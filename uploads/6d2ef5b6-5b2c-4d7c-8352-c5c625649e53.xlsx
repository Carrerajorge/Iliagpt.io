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luis/Downloads/"/>
    </mc:Choice>
  </mc:AlternateContent>
  <xr:revisionPtr revIDLastSave="0" documentId="13_ncr:1_{5A948E89-E075-7340-9E82-CF9675EDF37C}" xr6:coauthVersionLast="47" xr6:coauthVersionMax="47" xr10:uidLastSave="{00000000-0000-0000-0000-000000000000}"/>
  <bookViews>
    <workbookView xWindow="30240" yWindow="0" windowWidth="38400" windowHeight="21600" activeTab="8" xr2:uid="{D409AE7C-CC4A-4C53-A10D-52F86A6B72FA}"/>
  </bookViews>
  <sheets>
    <sheet name="BASE DE DATOS SCOPUS" sheetId="1" r:id="rId1"/>
    <sheet name="Figura 1" sheetId="20" state="hidden" r:id="rId2"/>
    <sheet name="PLANTILLA" sheetId="30" state="hidden" r:id="rId3"/>
    <sheet name="otros" sheetId="31" state="hidden" r:id="rId4"/>
    <sheet name="IDENTIFICATION - REMOVED" sheetId="3" r:id="rId5"/>
    <sheet name="SCREENING - EXCLUDED" sheetId="4" r:id="rId6"/>
    <sheet name="SCREENING - RETRIEVED" sheetId="12" r:id="rId7"/>
    <sheet name="SCREENING 2- FULL TEXT EXCLUDED" sheetId="5" r:id="rId8"/>
    <sheet name="INCLUDED" sheetId="7" r:id="rId9"/>
  </sheets>
  <definedNames>
    <definedName name="scopus__6" localSheetId="0">'BASE DE DATOS SCOPUS'!$B$4:$M$19</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7" roundtripDataSignature="AMtx7mgbud0D7ePXwZJyBC+w3zbvk98KyQ=="/>
    </ext>
  </extLst>
</workbook>
</file>

<file path=xl/calcChain.xml><?xml version="1.0" encoding="utf-8"?>
<calcChain xmlns="http://schemas.openxmlformats.org/spreadsheetml/2006/main">
  <c r="D52" i="31" l="1"/>
  <c r="D61" i="31"/>
  <c r="D60" i="31"/>
  <c r="D58" i="31"/>
  <c r="D57" i="31"/>
  <c r="D55" i="31"/>
  <c r="D54" i="31"/>
  <c r="D53" i="31"/>
  <c r="D28" i="30"/>
  <c r="C29" i="30"/>
  <c r="C30" i="30"/>
  <c r="C31" i="30"/>
  <c r="D31" i="30" s="1"/>
  <c r="C32" i="30"/>
  <c r="D32" i="30" s="1"/>
  <c r="C33" i="30"/>
  <c r="C28" i="30"/>
  <c r="B34" i="30"/>
  <c r="D33" i="30"/>
  <c r="D30" i="30"/>
  <c r="D29" i="30"/>
  <c r="K7" i="30"/>
  <c r="K11" i="30"/>
  <c r="K12" i="30"/>
  <c r="K19" i="30"/>
  <c r="K20" i="30"/>
  <c r="L7" i="30"/>
  <c r="L8" i="30"/>
  <c r="L9" i="30"/>
  <c r="L10" i="30"/>
  <c r="L11" i="30"/>
  <c r="L12" i="30"/>
  <c r="L13" i="30"/>
  <c r="L14" i="30"/>
  <c r="L15" i="30"/>
  <c r="L16" i="30"/>
  <c r="L17" i="30"/>
  <c r="L18" i="30"/>
  <c r="L19" i="30"/>
  <c r="L20" i="30"/>
  <c r="L6" i="30"/>
  <c r="K15" i="30"/>
  <c r="B10" i="30"/>
  <c r="C9" i="30" s="1"/>
  <c r="D9" i="30" s="1"/>
  <c r="K13" i="30" l="1"/>
  <c r="K8" i="30"/>
  <c r="K9" i="30"/>
  <c r="K17" i="30"/>
  <c r="D34" i="30"/>
  <c r="C34" i="30"/>
  <c r="K16" i="30"/>
  <c r="K18" i="30"/>
  <c r="K14" i="30"/>
  <c r="K10" i="30"/>
  <c r="K6" i="30"/>
  <c r="H6" i="30"/>
  <c r="J6" i="30"/>
  <c r="G6" i="30"/>
  <c r="I6" i="30"/>
  <c r="C8" i="30"/>
  <c r="D8" i="30" s="1"/>
  <c r="D10" i="30" s="1"/>
  <c r="C10" i="3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RAFAEL</author>
  </authors>
  <commentList>
    <comment ref="P1" authorId="0" shapeId="0" xr:uid="{00000000-0006-0000-0300-000001000000}">
      <text>
        <r>
          <rPr>
            <sz val="11"/>
            <color rgb="FF000000"/>
            <rFont val="Calibri"/>
            <family val="2"/>
          </rPr>
          <t xml:space="preserve">======
</t>
        </r>
        <r>
          <rPr>
            <sz val="11"/>
            <color rgb="FF000000"/>
            <rFont val="Calibri"/>
            <family val="2"/>
          </rPr>
          <t xml:space="preserve">ID#AAAAdVejgmM
</t>
        </r>
        <r>
          <rPr>
            <sz val="11"/>
            <color rgb="FF000000"/>
            <rFont val="Calibri"/>
            <family val="2"/>
          </rPr>
          <t xml:space="preserve">Rafael    (2022-07-29 20:02:29)
</t>
        </r>
        <r>
          <rPr>
            <sz val="11"/>
            <color rgb="FF000000"/>
            <rFont val="Calibri"/>
            <family val="2"/>
          </rPr>
          <t>Se debe revisar que el paper esté relacionado con las variables claves de la RSL, para el caso: gestión del cambio, cultura organizacional y a empresas. Considerar sus terminos asociados. En caso de dudas, por favor, no lo elimine.</t>
        </r>
      </text>
    </comment>
    <comment ref="R1" authorId="0" shapeId="0" xr:uid="{B8573579-A15E-4896-A72F-333F8EF555EC}">
      <text>
        <r>
          <rPr>
            <sz val="11"/>
            <color rgb="FF000000"/>
            <rFont val="Calibri"/>
            <family val="2"/>
          </rPr>
          <t xml:space="preserve">======
</t>
        </r>
        <r>
          <rPr>
            <sz val="11"/>
            <color rgb="FF000000"/>
            <rFont val="Calibri"/>
            <family val="2"/>
          </rPr>
          <t xml:space="preserve">ID#AAAAdVejgmM
</t>
        </r>
        <r>
          <rPr>
            <sz val="11"/>
            <color rgb="FF000000"/>
            <rFont val="Calibri"/>
            <family val="2"/>
          </rPr>
          <t xml:space="preserve">Rafael    (2022-07-29 20:02:29)
</t>
        </r>
        <r>
          <rPr>
            <sz val="11"/>
            <color rgb="FF000000"/>
            <rFont val="Calibri"/>
            <family val="2"/>
          </rPr>
          <t>Se debe revisar que el paper esté relacionado con las variables claves de la RSL, para el caso: gestión del cambio, cultura organizacional y a empresas. Considerar sus terminos asociados. En caso de dudas, por favor, no lo elimine.</t>
        </r>
      </text>
    </comment>
    <comment ref="S1" authorId="1" shapeId="0" xr:uid="{E25D9DDF-6EFA-4B31-9BF4-5EEA526D65FA}">
      <text>
        <r>
          <rPr>
            <b/>
            <sz val="9"/>
            <color rgb="FF000000"/>
            <rFont val="Tahoma"/>
            <family val="2"/>
          </rPr>
          <t>RAFAEL:</t>
        </r>
        <r>
          <rPr>
            <sz val="9"/>
            <color rgb="FF000000"/>
            <rFont val="Tahoma"/>
            <family val="2"/>
          </rPr>
          <t xml:space="preserve">
</t>
        </r>
        <r>
          <rPr>
            <sz val="9"/>
            <color rgb="FF000000"/>
            <rFont val="Tahoma"/>
            <family val="2"/>
          </rPr>
          <t>Luego de la revisión ciega del resumen de cada artículo, ambos investigadores deben decidir si el documento se incluye o no para su análisis de contenido. Se debe debatir solo en caso de dudas o evaluaciones diferentes en la revisión ciega de pares.</t>
        </r>
      </text>
    </comment>
    <comment ref="T1" authorId="0" shapeId="0" xr:uid="{00000000-0006-0000-0300-000004000000}">
      <text>
        <r>
          <rPr>
            <sz val="11"/>
            <color rgb="FF000000"/>
            <rFont val="Calibri"/>
            <family val="2"/>
          </rPr>
          <t xml:space="preserve">======
</t>
        </r>
        <r>
          <rPr>
            <sz val="11"/>
            <color rgb="FF000000"/>
            <rFont val="Calibri"/>
            <family val="2"/>
          </rPr>
          <t xml:space="preserve">ID#AAAAdVejglw
</t>
        </r>
        <r>
          <rPr>
            <sz val="11"/>
            <color rgb="FF000000"/>
            <rFont val="Calibri"/>
            <family val="2"/>
          </rPr>
          <t xml:space="preserve">Rafael    (2022-07-29 20:02:29)
</t>
        </r>
        <r>
          <rPr>
            <sz val="11"/>
            <color rgb="FF000000"/>
            <rFont val="Calibri"/>
            <family val="2"/>
          </rPr>
          <t xml:space="preserve">Incluir un breve razón de la exclusión del artículo. Por ejemplo: "La investigación está referido a una institución pública", "El tema es sobre culturas de grupos sociales de una comunidad".
</t>
        </r>
        <r>
          <rPr>
            <sz val="11"/>
            <color rgb="FF000000"/>
            <rFont val="Calibri"/>
            <family val="2"/>
          </rPr>
          <t>Se debe ser puntual en la razón principal de exclusión.</t>
        </r>
      </text>
    </comment>
  </commentList>
  <extLst>
    <ext xmlns:r="http://schemas.openxmlformats.org/officeDocument/2006/relationships" uri="GoogleSheetsCustomDataVersion1">
      <go:sheetsCustomData xmlns:go="http://customooxmlschemas.google.com/" r:id="rId1" roundtripDataSignature="AMtx7mgPJ77e2KK9qwHeShh4EbmHQMTWS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P1" authorId="0" shapeId="0" xr:uid="{090A76BF-44D6-4C97-B21F-79FFCD6A42CB}">
      <text>
        <r>
          <rPr>
            <sz val="11"/>
            <color theme="1"/>
            <rFont val="Calibri"/>
            <family val="2"/>
            <scheme val="minor"/>
          </rPr>
          <t>======
ID#AAAAdVejgl8
Rafael    (2022-07-29 20:02:29)
Buscar el documento a través de distintas fuentes. Si es de acceso abierto descargarlo desde la web de la página editorial. Si es de acceso privado, revisar en los recursos de la universidad, allí buscar si se tiene acceso a la revista o editorial (IEEE, EMERALD, MDPI, etc.)
Si se logra descargar, colocar Sí, en caso contrario, colocar NO.</t>
        </r>
      </text>
    </comment>
    <comment ref="Q1" authorId="0" shapeId="0" xr:uid="{C89E3429-0CEF-401E-A910-BA24072A95ED}">
      <text>
        <r>
          <rPr>
            <sz val="11"/>
            <color theme="1"/>
            <rFont val="Calibri"/>
            <family val="2"/>
            <scheme val="minor"/>
          </rPr>
          <t>======
ID#AAAAdVejgl4
Rafael    (2022-07-29 20:02:29)
Incluir brevemente la razón por la que no se pudo recuperar el documento.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RAFAEL</author>
  </authors>
  <commentList>
    <comment ref="V1" authorId="0" shapeId="0" xr:uid="{51CF1437-964C-4C66-ABE0-92674C07C069}">
      <text>
        <r>
          <rPr>
            <b/>
            <sz val="9"/>
            <color indexed="81"/>
            <rFont val="Tahoma"/>
            <family val="2"/>
          </rPr>
          <t>RAFAEL:</t>
        </r>
        <r>
          <rPr>
            <sz val="9"/>
            <color indexed="81"/>
            <rFont val="Tahoma"/>
            <family val="2"/>
          </rPr>
          <t xml:space="preserve">
======
Dos autores deben revisar el contenido del artículo con relación a las preguntas que el grupo ha propuesto para este análisis. Deben verificar que el documento esté relacionado con el tema de la RSL según el PICOC. Considerar sus terminos asociados. Los autores deben discutir en caso de diferencias. En caso de dudas o si no se llega a un acuerdo, por favor, no lo elimine. </t>
        </r>
      </text>
    </comment>
    <comment ref="X1" authorId="0" shapeId="0" xr:uid="{5BF141AA-13FE-4B82-98CB-BA20DDE51583}">
      <text>
        <r>
          <rPr>
            <b/>
            <sz val="9"/>
            <color indexed="81"/>
            <rFont val="Tahoma"/>
            <family val="2"/>
          </rPr>
          <t>RAFAEL:</t>
        </r>
        <r>
          <rPr>
            <sz val="9"/>
            <color indexed="81"/>
            <rFont val="Tahoma"/>
            <family val="2"/>
          </rPr>
          <t xml:space="preserve">
======
Dos autores deben revisar el contenido del artículo con relación a las preguntas que el grupo ha propuesto para este análisis. Deben verificar que el documento esté relacionado con el tema de la RSL según el PICOC. Considerar sus terminos asociados. Los autores deben discutir en caso de diferencias. En caso de dudas o si no se llega a un acuerdo, por favor, no lo elimine. </t>
        </r>
      </text>
    </comment>
    <comment ref="Y1" authorId="0" shapeId="0" xr:uid="{6C8DC215-7D6A-470A-A9E0-D3676879A426}">
      <text>
        <r>
          <rPr>
            <b/>
            <sz val="9"/>
            <color indexed="81"/>
            <rFont val="Tahoma"/>
            <family val="2"/>
          </rPr>
          <t>RAFAEL:</t>
        </r>
        <r>
          <rPr>
            <sz val="9"/>
            <color indexed="81"/>
            <rFont val="Tahoma"/>
            <family val="2"/>
          </rPr>
          <t xml:space="preserve">
Luego de la revisión ciega del resumen de cada artículo, ambos investigadores deben decidir si el documento se incluye o no para su análisis de contenido. Se debe debatir solo en caso de dudas o evaluaciones diferentes en la revisión ciega de pares.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RAFAEL</author>
    <author/>
  </authors>
  <commentList>
    <comment ref="W1" authorId="0" shapeId="0" xr:uid="{E34139B8-002E-EC40-BA4B-00E02BDACC74}">
      <text>
        <r>
          <rPr>
            <b/>
            <sz val="9"/>
            <color indexed="81"/>
            <rFont val="Tahoma"/>
            <family val="2"/>
          </rPr>
          <t>RAFAEL:</t>
        </r>
        <r>
          <rPr>
            <sz val="9"/>
            <color indexed="81"/>
            <rFont val="Tahoma"/>
            <family val="2"/>
          </rPr>
          <t xml:space="preserve">
Especificar si es un estudio:
Experimental: Especificar si es un estudio aleatorizado o no aleatorizado.
Observacional: Especificar si es trasnversal, de casos y controles o de cohorte</t>
        </r>
      </text>
    </comment>
    <comment ref="X1" authorId="0" shapeId="0" xr:uid="{20A68830-7AEB-264E-B32B-30A6ED8220DF}">
      <text>
        <r>
          <rPr>
            <b/>
            <sz val="9"/>
            <color indexed="81"/>
            <rFont val="Tahoma"/>
            <family val="2"/>
          </rPr>
          <t>RAFAEL:</t>
        </r>
        <r>
          <rPr>
            <sz val="9"/>
            <color indexed="81"/>
            <rFont val="Tahoma"/>
            <family val="2"/>
          </rPr>
          <t xml:space="preserve">
Especificar qué cuidados y qué métodos para controlar variables extrañas se llevaron a cabo</t>
        </r>
      </text>
    </comment>
    <comment ref="Y1" authorId="1" shapeId="0" xr:uid="{4E29AD2E-BE5F-9F47-B847-88BE9EC2F28D}">
      <text>
        <r>
          <rPr>
            <sz val="11"/>
            <color theme="1"/>
            <rFont val="Calibri"/>
            <family val="2"/>
            <scheme val="minor"/>
          </rPr>
          <t xml:space="preserve">
Rafael    (2022-07-29 20:02:29)
A qué o quienes se evaluaron.</t>
        </r>
      </text>
    </comment>
    <comment ref="Z1" authorId="0" shapeId="0" xr:uid="{CB6316D2-91FF-314B-870E-A917A0F6528C}">
      <text>
        <r>
          <rPr>
            <b/>
            <sz val="9"/>
            <color indexed="81"/>
            <rFont val="Tahoma"/>
            <family val="2"/>
          </rPr>
          <t>RAFAEL:</t>
        </r>
        <r>
          <rPr>
            <sz val="9"/>
            <color indexed="81"/>
            <rFont val="Tahoma"/>
            <family val="2"/>
          </rPr>
          <t xml:space="preserve">
 Datos sociodemográficos y medidas o porcentajes</t>
        </r>
      </text>
    </comment>
    <comment ref="AA1" authorId="0" shapeId="0" xr:uid="{8E009085-9B13-6842-AE89-C22159FB7253}">
      <text>
        <r>
          <rPr>
            <b/>
            <sz val="9"/>
            <color indexed="81"/>
            <rFont val="Tahoma"/>
            <family val="2"/>
          </rPr>
          <t>RAFAEL:</t>
        </r>
        <r>
          <rPr>
            <sz val="9"/>
            <color indexed="81"/>
            <rFont val="Tahoma"/>
            <family val="2"/>
          </rPr>
          <t xml:space="preserve">
Exponer el número total de participantes</t>
        </r>
      </text>
    </comment>
    <comment ref="AB1" authorId="0" shapeId="0" xr:uid="{7A0F6BD6-766B-FE4F-A819-849DDB1C0288}">
      <text>
        <r>
          <rPr>
            <b/>
            <sz val="9"/>
            <color indexed="81"/>
            <rFont val="Tahoma"/>
            <family val="2"/>
          </rPr>
          <t>RAFAEL:</t>
        </r>
        <r>
          <rPr>
            <sz val="9"/>
            <color indexed="81"/>
            <rFont val="Tahoma"/>
            <family val="2"/>
          </rPr>
          <t xml:space="preserve">
Especificar si el grupo fue aleatorio o no aleatorio</t>
        </r>
      </text>
    </comment>
    <comment ref="AD1" authorId="1" shapeId="0" xr:uid="{2AE86088-A079-8F4F-BEAD-4ABB53645F73}">
      <text>
        <r>
          <rPr>
            <sz val="11"/>
            <color theme="1"/>
            <rFont val="Calibri"/>
            <family val="2"/>
            <scheme val="minor"/>
          </rPr>
          <t>======
ID#AAAAe499xDw
Rafael    (2022-07-29 20:02:29)
Indicar el nombre del instrumento</t>
        </r>
      </text>
    </comment>
    <comment ref="AE1" authorId="0" shapeId="0" xr:uid="{A4DB43D0-7279-B744-8C83-5393DB6E4AD7}">
      <text>
        <r>
          <rPr>
            <b/>
            <sz val="9"/>
            <color indexed="81"/>
            <rFont val="Tahoma"/>
            <family val="2"/>
          </rPr>
          <t>RAFAEL:</t>
        </r>
        <r>
          <rPr>
            <sz val="9"/>
            <color indexed="81"/>
            <rFont val="Tahoma"/>
            <family val="2"/>
          </rPr>
          <t xml:space="preserve">
Especificar si se utilizaron pruebas de correlación (cuál) de asociación (Cuál), de Regresión (Cuáll), de análisis factorial, de Odds Ratio, de Riesgo relativo, Razón de prevalencia, etc</t>
        </r>
      </text>
    </comment>
    <comment ref="AG1" authorId="1" shapeId="0" xr:uid="{596D082D-612F-E040-B99D-317156806FE7}">
      <text>
        <r>
          <rPr>
            <sz val="11"/>
            <color theme="1"/>
            <rFont val="Calibri"/>
            <family val="2"/>
            <scheme val="minor"/>
          </rPr>
          <t>======
ID#AAAAe3fLuM8
Rafael    (2022-07-29 20:02:29)
Deducir del trabajo.
Acciones que ha realizado la empresa para lograr el cambio. Incluir acciones, políticas, procedimientos, actividades para lograr el cambio</t>
        </r>
      </text>
    </comment>
    <comment ref="AH1" authorId="1" shapeId="0" xr:uid="{8D569310-7692-9B45-A327-0D386BD85B3F}">
      <text>
        <r>
          <rPr>
            <sz val="11"/>
            <color rgb="FF000000"/>
            <rFont val="Calibri"/>
            <family val="2"/>
          </rPr>
          <t xml:space="preserve">======
</t>
        </r>
        <r>
          <rPr>
            <sz val="11"/>
            <color rgb="FF000000"/>
            <rFont val="Calibri"/>
            <family val="2"/>
          </rPr>
          <t xml:space="preserve">ID#AAAAe3fLuNA
</t>
        </r>
        <r>
          <rPr>
            <sz val="11"/>
            <color rgb="FF000000"/>
            <rFont val="Calibri"/>
            <family val="2"/>
          </rPr>
          <t xml:space="preserve">Rafael    (2022-07-29 20:02:29)
</t>
        </r>
        <r>
          <rPr>
            <sz val="11"/>
            <color rgb="FF000000"/>
            <rFont val="Calibri"/>
            <family val="2"/>
          </rPr>
          <t>Se deduce de la lectura del trabajo</t>
        </r>
      </text>
    </comment>
  </commentList>
  <extLst>
    <ext xmlns:r="http://schemas.openxmlformats.org/officeDocument/2006/relationships" uri="GoogleSheetsCustomDataVersion1">
      <go:sheetsCustomData xmlns:go="http://customooxmlschemas.google.com/" r:id="rId1" roundtripDataSignature="AMtx7mhhyH93IBmBAymn7OMmxh7IS9Jt+Q=="/>
    </ext>
  </extL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9AB18-A4CD-49C4-89B2-1E5F5C539F49}" keepAlive="1" name="Consulta - scopus" description="Conexión a la consulta 'scopus' en el libro." type="5" refreshedVersion="8" background="1" saveData="1">
    <dbPr connection="Provider=Microsoft.Mashup.OleDb.1;Data Source=$Workbook$;Location=scopus;Extended Properties=&quot;&quot;" command="SELECT * FROM [scopus]"/>
  </connection>
  <connection id="2" xr16:uid="{571C28AA-1DA6-495A-BF91-412148F8CE59}" keepAlive="1" name="Consulta - scopus (2)" description="Conexión a la consulta 'scopus (2)' en el libro." type="5" refreshedVersion="0" background="1">
    <dbPr connection="Provider=Microsoft.Mashup.OleDb.1;Data Source=$Workbook$;Location=&quot;scopus (2)&quot;;Extended Properties=&quot;&quot;" command="SELECT * FROM [scopus (2)]"/>
  </connection>
  <connection id="3" xr16:uid="{DC5443FC-C823-4738-A330-E7EA01FCDDD2}" keepAlive="1" name="Consulta - scopus (3)" description="Conexión a la consulta 'scopus (3)' en el libro." type="5" refreshedVersion="0" background="1">
    <dbPr connection="Provider=Microsoft.Mashup.OleDb.1;Data Source=$Workbook$;Location=&quot;scopus (3)&quot;;Extended Properties=&quot;&quot;" command="SELECT * FROM [scopus (3)]"/>
  </connection>
  <connection id="4" xr16:uid="{576E3267-ADEF-459F-9FB1-61A2895193FF}" keepAlive="1" name="Consulta - scopus (4)" description="Conexión a la consulta 'scopus (4)' en el libro." type="5" refreshedVersion="8" background="1" saveData="1">
    <dbPr connection="Provider=Microsoft.Mashup.OleDb.1;Data Source=$Workbook$;Location=&quot;scopus (4)&quot;;Extended Properties=&quot;&quot;" command="SELECT * FROM [scopus (4)]"/>
  </connection>
  <connection id="5" xr16:uid="{909F0CB9-513B-9C48-B78A-AED4093C61B4}" keepAlive="1" name="Consulta - scopus (5)" description="Conexión a la consulta 'scopus (5)' en el libro." type="5" refreshedVersion="8" background="1" saveData="1">
    <dbPr connection="Provider=Microsoft.Mashup.OleDb.1;Data Source=$Workbook$;Location=&quot;scopus (5)&quot;;Extended Properties=&quot;&quot;" command="SELECT * FROM [scopus (5)]"/>
  </connection>
  <connection id="6" xr16:uid="{F135C0C5-16CC-754E-8B87-9E7864ED9847}" keepAlive="1" name="Consulta - scopus (6)" description="Conexión a la consulta 'scopus (6)' en el libro." type="5" refreshedVersion="8" background="1" saveData="1">
    <dbPr connection="Provider=Microsoft.Mashup.OleDb.1;Data Source=$Workbook$;Location=&quot;scopus (6)&quot;;Extended Properties=&quot;&quot;" command="SELECT * FROM [scopus (6)]"/>
  </connection>
  <connection id="7" xr16:uid="{F5BF128D-7034-4E47-AEF3-B63EE8319170}" keepAlive="1" name="Consulta - scopus (7)" description="Conexión a la consulta 'scopus (7)' en el libro." type="5" refreshedVersion="8" background="1" saveData="1">
    <dbPr connection="Provider=Microsoft.Mashup.OleDb.1;Data Source=$Workbook$;Location=&quot;scopus (7)&quot;;Extended Properties=&quot;&quot;" command="SELECT * FROM [scopus (7)]"/>
  </connection>
  <connection id="8" xr16:uid="{146F5E98-9AA1-2445-93B9-8524F9073990}" keepAlive="1" name="Consulta - scopus (8)" description="Conexión a la consulta 'scopus (8)' en el libro." type="5" refreshedVersion="8" background="1" saveData="1">
    <dbPr connection="Provider=Microsoft.Mashup.OleDb.1;Data Source=$Workbook$;Location=&quot;scopus (8)&quot;;Extended Properties=&quot;&quot;" command="SELECT * FROM [scopus (8)]"/>
  </connection>
  <connection id="9" xr16:uid="{54CDC3D7-D782-B74D-BFEB-E41C026417F3}" keepAlive="1" name="Consulta - scopus (9)" description="Conexión a la consulta 'scopus (9)' en el libro." type="5" refreshedVersion="8" background="1" saveData="1">
    <dbPr connection="Provider=Microsoft.Mashup.OleDb.1;Data Source=$Workbook$;Location=&quot;scopus (9)&quot;;Extended Properties=&quot;&quot;" command="SELECT * FROM [scopus (9)]"/>
  </connection>
</connections>
</file>

<file path=xl/sharedStrings.xml><?xml version="1.0" encoding="utf-8"?>
<sst xmlns="http://schemas.openxmlformats.org/spreadsheetml/2006/main" count="5077" uniqueCount="617">
  <si>
    <t>Authors</t>
  </si>
  <si>
    <t>Title</t>
  </si>
  <si>
    <t>Year</t>
  </si>
  <si>
    <t>Journal</t>
  </si>
  <si>
    <t>Abstract</t>
  </si>
  <si>
    <t>Keywords</t>
  </si>
  <si>
    <t>Publisher/Editorial</t>
  </si>
  <si>
    <t>Language</t>
  </si>
  <si>
    <t>Document Type</t>
  </si>
  <si>
    <t>Cited by</t>
  </si>
  <si>
    <t>DOI</t>
  </si>
  <si>
    <t>City of publication</t>
  </si>
  <si>
    <t>Country of study</t>
  </si>
  <si>
    <t>Scopus</t>
  </si>
  <si>
    <t>WOS</t>
  </si>
  <si>
    <t>English</t>
  </si>
  <si>
    <t>X</t>
  </si>
  <si>
    <t>OXFORD</t>
  </si>
  <si>
    <t>ARDABIL</t>
  </si>
  <si>
    <t>BINGLEY</t>
  </si>
  <si>
    <t>PHILADELPHIA</t>
  </si>
  <si>
    <t>LONDON</t>
  </si>
  <si>
    <t>THOUSAND OAKS</t>
  </si>
  <si>
    <t>CAMBRIDGE</t>
  </si>
  <si>
    <t>HOBOKEN</t>
  </si>
  <si>
    <t>CARY</t>
  </si>
  <si>
    <t>OSLO</t>
  </si>
  <si>
    <t>BOGOTA DC</t>
  </si>
  <si>
    <t>BELGRADE</t>
  </si>
  <si>
    <t>CLARE</t>
  </si>
  <si>
    <t>OBSERVACIÓN 1
¿Por qué se eliminó el documento?</t>
  </si>
  <si>
    <t>¿Documento recuperado?</t>
  </si>
  <si>
    <t>OBSERVACIÓN 2
¿Por qué no se pudo recuperar el documento?</t>
  </si>
  <si>
    <t>No</t>
  </si>
  <si>
    <t>Sí</t>
  </si>
  <si>
    <t>¿La unidad de información brinda datos relacionados al objetivo de la RSL?</t>
  </si>
  <si>
    <t>¿El estudio presenta enfoques de gestión del cambio en las empresas?</t>
  </si>
  <si>
    <t>¿Se presentan mejoras o cambios en la cultura organizacional?</t>
  </si>
  <si>
    <t>Observaciones
¿Por qué se excluyó el documento?</t>
  </si>
  <si>
    <t>Objetivo principal de la investigación</t>
  </si>
  <si>
    <t>Tamaño del grupo de estudio o muestra</t>
  </si>
  <si>
    <t>Discusión/Conclusión principal</t>
  </si>
  <si>
    <t>¿En la conclusión, se observa alguna relación con el objetivo de la RSL?</t>
  </si>
  <si>
    <t>¿El propóstito del estudio es acorde al objetivo de la RSL?</t>
  </si>
  <si>
    <t>Yes</t>
  </si>
  <si>
    <t>Not</t>
  </si>
  <si>
    <t>Probably</t>
  </si>
  <si>
    <t>Luego de revisar el resumen ¿El artículo está referido al objetivo de la RSL?</t>
  </si>
  <si>
    <t>Evaluador 1
¿Quién?</t>
  </si>
  <si>
    <t>Evaluador 2
¿Quién?</t>
  </si>
  <si>
    <t>Decisión final
¿Se incluye el documento? (evaluación de pares ciego)</t>
  </si>
  <si>
    <t>Luego de revisar el contenido ¿El artículo está referido al tema u objetivo de la RSL?</t>
  </si>
  <si>
    <t>En duda</t>
  </si>
  <si>
    <t>Autores</t>
  </si>
  <si>
    <t>Título</t>
  </si>
  <si>
    <t>Año</t>
  </si>
  <si>
    <t>Revista</t>
  </si>
  <si>
    <t>Palabras clave</t>
  </si>
  <si>
    <t>Editorial/Publicación</t>
  </si>
  <si>
    <t>Idioma</t>
  </si>
  <si>
    <t>Tipo de documento</t>
  </si>
  <si>
    <t>DOI (acostumbra a mantenerse igual)</t>
  </si>
  <si>
    <t>Ciudad de publicación</t>
  </si>
  <si>
    <t>País de estudio</t>
  </si>
  <si>
    <t>Resumen en 2 palabras</t>
  </si>
  <si>
    <t>Publisher</t>
  </si>
  <si>
    <t>Language of Original Document</t>
  </si>
  <si>
    <t>Author Keywords</t>
  </si>
  <si>
    <t>Source title</t>
  </si>
  <si>
    <t>United States</t>
  </si>
  <si>
    <t>Germany</t>
  </si>
  <si>
    <t>Correspondence Address</t>
  </si>
  <si>
    <t>Revista de Psicologia (Peru)</t>
  </si>
  <si>
    <t>Rivera O.; Benites S.; Mendigure J.; Bonilla C.A.</t>
  </si>
  <si>
    <t>Therapeutic abandonment in multidrug-resistant tuberculosis: Associated factors in a high burden region in Perú; [Abandono terapéutico en tuberculosis multidrogorresistente: factores asociados en una región de alta carga en Perú]</t>
  </si>
  <si>
    <t>Biomedica</t>
  </si>
  <si>
    <t>Andrade G.; Espinoza A.</t>
  </si>
  <si>
    <t>Significado de psicólogas/os de atención primaria de salud sobre la intervención psicosocial de grupo en el tratamiento de la depresión en Chile</t>
  </si>
  <si>
    <t>Global Health Promotion</t>
  </si>
  <si>
    <t>Nogueira J.; Rocha D.G.; Akerman M.</t>
  </si>
  <si>
    <t>Políticas públicas adoptadas en la pandemia de la COVID-19 en tres países de América Latina: contribuciones de la Promoción de la Salud para no volver al mundo que existía</t>
  </si>
  <si>
    <t>da Cunha C.M.S.L.M.; Henriques M.A.P.; Costa A.C.J.S.</t>
  </si>
  <si>
    <t>Public health nursing: regulation and public health policies; [A enfermagem de saúde pública: regulação e políticas públicas de saúde]; [La enfermería de salud pública: regulación y las políticas públicas de salud]</t>
  </si>
  <si>
    <t>Revista Brasileira de Enfermagem</t>
  </si>
  <si>
    <t>Sanfrutos Velázquez N.</t>
  </si>
  <si>
    <t>La Finaciación de Los Servicios Regionales de Salud. Problemas y Posibles Soluciones</t>
  </si>
  <si>
    <t>Gaceta Sanitaria</t>
  </si>
  <si>
    <t>Gómez-Dantés O.; Frenk J.</t>
  </si>
  <si>
    <t>Chronicle of a century of public health in Mexico: From public health to social protection in health; [Crónica de un siglo de salud pública en México: De la salubridad pública a la protección social en salud]</t>
  </si>
  <si>
    <t>Salud Publica de Mexico</t>
  </si>
  <si>
    <t>Abandonment of therapy in multidrug-resistant tuberculosis: Associated factors in a region with a high burden of the disease in Perú; [Abandono del tratamiento en tuberculosis multirresistente: factores asociados en una región con alta carga de la enfermedad en Perú]</t>
  </si>
  <si>
    <t>Biomedica : revista del Instituto Nacional de Salud</t>
  </si>
  <si>
    <t>Rodríguez-Arenas M.Á.; Martín-Ríos M.D.; Gil-Borrelli C.</t>
  </si>
  <si>
    <t>Public health interventions against hate violence; [Intervenciones en salud pública contra la violencia de odio]</t>
  </si>
  <si>
    <t>Goigoechea Utrillo J.M.; Panella Ros J.; Portella Arguelaget E.</t>
  </si>
  <si>
    <t>Características del Tabaquismo en el Medio Escolar en Andorra</t>
  </si>
  <si>
    <t>Valero C.; Nebot M.; Villalbí J.R.</t>
  </si>
  <si>
    <t>Embarazo en adolescentes en barcelona: distribución, antecedentes y consecuencias</t>
  </si>
  <si>
    <t>dos Anjos V.Á.A.; Tavares G.H.; Ferreira J.S.; da Silva J.V.P.; da Costa F.R.</t>
  </si>
  <si>
    <t>Public health promotion policies and professional guidance in the Outdoor Gyms in Campo Grande/MS, Brazil; [Políticas públicas de promoção de saúde e orientação profissional em AAL em Campo Grande/MS, Brasil]; [Políticas de promoción de la salud pública y orientación profesional en AAL en Campo Grande/MS, Brasil]</t>
  </si>
  <si>
    <t>Retos</t>
  </si>
  <si>
    <t>Alves R.F.; Jiménez-Brobeil S.A.; Do Carmo Eulálio M.; De Andrade D.A.; Do Nascimento Cunha E.C.; Ferreira P.R.A.</t>
  </si>
  <si>
    <t>Public health interventions conducted by psychologists in Brazil, Spain and Portugal; [Intervenciones de psicólogos en la salud pública de Brasil, España y Portugal]</t>
  </si>
  <si>
    <t>Rodríguez R.; Márquez S.; López M.</t>
  </si>
  <si>
    <t>La perspectiva profesional en la reforma de la atención primaria de salud: una aproximación cualitativa</t>
  </si>
  <si>
    <t>Santa María Juárez L.A.</t>
  </si>
  <si>
    <t>Public health interventions: Conceptual basis for the determination of objectives and evaluation; [Intervenciones en salud Pública: Bases Conceptuales Para La Determinación De Objetivos Y Evaluación]</t>
  </si>
  <si>
    <t>Revista Peruana de Medicina Experimental y Salud Publica</t>
  </si>
  <si>
    <t>Medwave</t>
  </si>
  <si>
    <t>Y</t>
  </si>
  <si>
    <t>Base de datos</t>
  </si>
  <si>
    <t>Frecuencias</t>
  </si>
  <si>
    <t>Absoluta (n)</t>
  </si>
  <si>
    <t>Relativa (n/N)</t>
  </si>
  <si>
    <t>Porcentaje (%)</t>
  </si>
  <si>
    <t>Web of Science</t>
  </si>
  <si>
    <t>Total</t>
  </si>
  <si>
    <t>Identificación y selección de estudios a través de bases de datos</t>
  </si>
  <si>
    <t>Identification</t>
  </si>
  <si>
    <t>Screening</t>
  </si>
  <si>
    <t>Registros identificados desde:
Base de datos 1  Web of Science (n = 100)
Base de datos 2 Scopus (n = 200)</t>
  </si>
  <si>
    <t>Registros eliminados antes de la selección:
Registros duplicados eliminados (n = 30 )
Registros marcados como no elegibles por herramientas de automatización (n = 30)
Registros eliminados por otras razones (n = 25 )</t>
  </si>
  <si>
    <t>Registros examinados
(n = 25 )</t>
  </si>
  <si>
    <t>Registros excluidos*
(n = 30 )</t>
  </si>
  <si>
    <t>Informes buscados para recuperar
(n = 25 )</t>
  </si>
  <si>
    <t>Informes no recuperados
(n = 45 )</t>
  </si>
  <si>
    <t>Informes evaluados para elegibilidad
(n = 25 )</t>
  </si>
  <si>
    <t>Informes excluidos:
Razón 1 (n = 24)
Razón 2 (n = 15)
Razón 3 (n = 11 )
etc.(colocar la razón específica)</t>
  </si>
  <si>
    <t>Estudios incluidos en la revisión
(n = 40)</t>
  </si>
  <si>
    <t>Autor (es)</t>
  </si>
  <si>
    <t xml:space="preserve">Título </t>
  </si>
  <si>
    <t xml:space="preserve">País </t>
  </si>
  <si>
    <t>Tendencia de publicaciones por año</t>
  </si>
  <si>
    <t>Tendencia de Revistas o editoriales que publicaron</t>
  </si>
  <si>
    <t>Total general</t>
  </si>
  <si>
    <t>TIPO SCOPUS/WOS</t>
  </si>
  <si>
    <t>Cantidad y porcentaje por idioma de publicación</t>
  </si>
  <si>
    <t>Mayor incidencia de Cantidad de artículos por base de datos</t>
  </si>
  <si>
    <t>Etiquetas de fila</t>
  </si>
  <si>
    <t>Tabla 1</t>
  </si>
  <si>
    <t>Tabla 2</t>
  </si>
  <si>
    <t>N°</t>
  </si>
  <si>
    <t>Figura 2</t>
  </si>
  <si>
    <t>Absoluto (n)</t>
  </si>
  <si>
    <t>Mayor frecuencia de países de publicación</t>
  </si>
  <si>
    <t>Figura 3</t>
  </si>
  <si>
    <t>https://mapinseconds.com</t>
  </si>
  <si>
    <t>Figura 6</t>
  </si>
  <si>
    <t>Figura 7</t>
  </si>
  <si>
    <t xml:space="preserve"> Porcentaje (%)</t>
  </si>
  <si>
    <t>International Journal of Environmental Research and Public Health</t>
  </si>
  <si>
    <t>Scilo</t>
  </si>
  <si>
    <t>Redallyc</t>
  </si>
  <si>
    <t>Peru</t>
  </si>
  <si>
    <t>United Kingdom</t>
  </si>
  <si>
    <t>Switzerland</t>
  </si>
  <si>
    <t>México</t>
  </si>
  <si>
    <t>Uganda</t>
  </si>
  <si>
    <t>Ecuador</t>
  </si>
  <si>
    <t>Redalyc</t>
  </si>
  <si>
    <t>Scielo</t>
  </si>
  <si>
    <t>Google Académico</t>
  </si>
  <si>
    <t>ScienceDirect</t>
  </si>
  <si>
    <t>Web of Science (WoS).</t>
  </si>
  <si>
    <t>Caracteristicas</t>
  </si>
  <si>
    <t>Denominación</t>
  </si>
  <si>
    <t>f</t>
  </si>
  <si>
    <t>Elsevier</t>
  </si>
  <si>
    <t>International Nursing Review</t>
  </si>
  <si>
    <t>Perspectives on Sexual and Reproductive Health</t>
  </si>
  <si>
    <t>Sexual and Reproductive Health Matters</t>
  </si>
  <si>
    <t>Journal of Adolescent Health</t>
  </si>
  <si>
    <t>Journal of Youth and Adolescence</t>
  </si>
  <si>
    <t>Transactions of the Royal Society of Tropical Medicine and Hygiene</t>
  </si>
  <si>
    <t>Reproductive Health</t>
  </si>
  <si>
    <t>Fertility and Sterility</t>
  </si>
  <si>
    <t>Nurse Education in Practice</t>
  </si>
  <si>
    <t>BMC Public Health</t>
  </si>
  <si>
    <t>BMJ Open</t>
  </si>
  <si>
    <t>Journal of Cystic Fibrosis</t>
  </si>
  <si>
    <t>BMC Medical Research Methodology</t>
  </si>
  <si>
    <t>Medicina (Brazil)</t>
  </si>
  <si>
    <t>Journal of School Health</t>
  </si>
  <si>
    <t>Drug and Alcohol Dependence</t>
  </si>
  <si>
    <t>Journal of Aggression, Conflict and Peace Research</t>
  </si>
  <si>
    <t>SSM - Qualitative Research in Health</t>
  </si>
  <si>
    <t>AIDS and Behavior</t>
  </si>
  <si>
    <t>Hepatology</t>
  </si>
  <si>
    <t>Andrology</t>
  </si>
  <si>
    <t>Piaís</t>
  </si>
  <si>
    <t>Perú</t>
  </si>
  <si>
    <t>Brasil</t>
  </si>
  <si>
    <t>Colombia</t>
  </si>
  <si>
    <t>Accesibilidad</t>
  </si>
  <si>
    <t>Acesos libre</t>
  </si>
  <si>
    <t>Acceso restrinjido</t>
  </si>
  <si>
    <t>Enfoque</t>
  </si>
  <si>
    <t>Cuantitativo</t>
  </si>
  <si>
    <t>Cualitativo</t>
  </si>
  <si>
    <t>Wos</t>
  </si>
  <si>
    <t xml:space="preserve">Scielo </t>
  </si>
  <si>
    <t>ProQtes</t>
  </si>
  <si>
    <t>Modelo teórico de la variable de Intervención/Exposición (colocar el nombre)</t>
  </si>
  <si>
    <t>Modelo teórico de la variable de desenlace (outcome) (colocar el nombre)</t>
  </si>
  <si>
    <t>Principal concepto de la variable de Intervención/Exposición (colocar el nombre)</t>
  </si>
  <si>
    <t>Principal concepto de la variable de desenlace (outcome) (colocar el nombre)</t>
  </si>
  <si>
    <t>Diseño de investigación</t>
  </si>
  <si>
    <t>Control de sesgos relaizado en los estudios</t>
  </si>
  <si>
    <t>Unidad de información, Población, Participantes o grupo de estudio</t>
  </si>
  <si>
    <t>Características de la muestra o grupo de estudio</t>
  </si>
  <si>
    <t>Forma de selección del grupo de estudio</t>
  </si>
  <si>
    <t>Instrumento de recolección de datos para la variable de intervención o exposición</t>
  </si>
  <si>
    <t>Instrumento de recolección de datos para la la variable de desenlace (outcome)</t>
  </si>
  <si>
    <t>Estadísticos aplicados al análisis de datos</t>
  </si>
  <si>
    <t>Factores asociados a la variable de intervención/exposición encontrados</t>
  </si>
  <si>
    <t>Desenlace que se encontró en la variable del problema (outcome) u otras variables asociadas</t>
  </si>
  <si>
    <t>x</t>
  </si>
  <si>
    <t>Lin C.-C.; Chien C.-C.; Weng Y.-T.; Fang C.-C.; Wu N.-L.; Adelung R.; Abdollahifar M.; Takata R.; Alarcón-Suesca C.E.; Schmidt F.</t>
  </si>
  <si>
    <t>Interfacial engineering meets process optimization: Highly stable silicon-graphite anodes via pre-calendering polyvinylidene difluoride-MgO coatings</t>
  </si>
  <si>
    <t>Chemical Engineering Journal</t>
  </si>
  <si>
    <t>10.1016/j.cej.2025.167408</t>
  </si>
  <si>
    <t>Cycling stability; Dendrite suppression; Interfacial control; PVDF-MgO coating; Silicon-graphite anode</t>
  </si>
  <si>
    <t>Elsevier B.V.</t>
  </si>
  <si>
    <t>Article</t>
  </si>
  <si>
    <t>Pan X.; Yan Z.</t>
  </si>
  <si>
    <t>Lactonization–Dimerization Competition in the Perchloric Acid-Catalyzed Conversion of Oleic Acid to γ-Lactone: Process Optimization and DFT Calculations</t>
  </si>
  <si>
    <t>Industrial and Engineering Chemistry Research</t>
  </si>
  <si>
    <t>10.1021/acs.iecr.5c03647</t>
  </si>
  <si>
    <t>Perchloric acid exhibits excellent catalytic performance in the synthesis of lactones from unsaturated fatty acids. However, its potential explosive hazards limit its industrial application. To evaluate the feasibility of this catalytic system for industrialization and to provide guidance for the Brønsted acid-catalyzed lactone synthesis pathway, this study comprehensively investigates the reaction mechanism of the most commonly available 70 wt % perchloric acid in catalyzing the conversion of oleic acid to γ-lactone under mild conditions, combining experimental work with DFT calculations. A competitive reaction model between γ-lactonization and dimerization is proposed. The double bond migration was identified as the rate-determining step. Optimal conditions of 100–200 mol % (36–71 wt %) acid loading and a temperature range of 70–85 °C were established to maximize lactone yield, while polar solvents were found to be suboptimal for the reaction. © 2026 American Chemical Society</t>
  </si>
  <si>
    <t>Z. Yan; School of Chemistry and Chemical Engineering, Guangdong Provincial Key Lab of Green Chemical Product Technology, South China University of Technology, Guangzhou, 510640, China; email: zcyan@scut.edu.cn</t>
  </si>
  <si>
    <t>American Chemical Society</t>
  </si>
  <si>
    <t>Rezvani B.; Nabavi S.R.; Ghani M.</t>
  </si>
  <si>
    <t>Magnetic nanohybrid derived from MIL-53(Fe) as an efficient catalyst for catalytic ozonation of cefixime and process optimization by optimal design</t>
  </si>
  <si>
    <t>Process Safety and Environmental Protection</t>
  </si>
  <si>
    <t>10.1016/j.psep.2023.07.070</t>
  </si>
  <si>
    <t>The catalytic activity of metal-organic frameworks (MOFs) in the degradation of environmental pollutants has garnered considerable interest recently. FTIR, FE-SEM, EDS, XRD, XPS, VSM, TEM, and N2 sorption-desorption isotherms were used to characterize Fe-based nanohybrids derived from MIL-53(Fe). In the catalytic ozonation of cefixime (CFX), the nanohybrid (CM-500) synthesized at 500 °C exhibited high efficiency. The enhanced catalytic activity of CM-500 may have been caused by Lewis acid sites (LAS), iron oxides, and oxygenated functional groups of the mesoporous carbon substrate that remained after pyrolysis of the organic framework. During 15 min of continuous ozonation, the CM-500/O3 process was the most effective at removing CFX with a removal efficiency of 97%, significantly higher than single ozonation with a degradation efficiency of 43% under the same conditions. Modeling and optimization of process conditions were conducted using a novel and efficient class of experimental design, namely optimal design with the fewest possible runs. Calculated CFX degradation kinetic rate constants were 0.212 min-1 with CM-500, 0.043 min-1 with MIL-53 (Fe), and 0.038 min-1 for ozonation alone. Mineralization (measured COD and TOC) is significantly higher in the CM-500/O3 system compared to single ozonation. Moreover, the scavenging experiment confirmed that the reactive oxygen species in the catalytic ozonation of CFX are surface-adsorbed superoxide and hydroxyl radicals. Due to CM-500's sustained activity and magnetic properties, it is expected that it has a high catalytic capacity for treating pharmaceutical wastewater. © 2023 The Institution of Chemical Engineers</t>
  </si>
  <si>
    <t>Catalytic ozonation; Cefixime; Fe-based catalyst; Magnetic nanohybrid; Metal-organic framework; MIL-53(Fe); Optimal design</t>
  </si>
  <si>
    <t>S.R. Nabavi; Department of Applied Chemistry, Faculty of Chemistry, University of Mazandaran, Babolsar, Iran; email: srnabavi@umz.ac.ir</t>
  </si>
  <si>
    <t>Institution of Chemical Engineers</t>
  </si>
  <si>
    <t>Kachhi P.; Jadeja R.N.; Pandya S.; Kunnummal M.</t>
  </si>
  <si>
    <t>A novel 4-acylpyrazolone incorporated hydrotalcite super sorbent for removal of Pb(II): Process optimization and modeling using RSM</t>
  </si>
  <si>
    <t>Journal of Environmental Chemical Engineering</t>
  </si>
  <si>
    <t>10.1016/j.jece.2025.118824</t>
  </si>
  <si>
    <t>In this work, an economic and eco-friendly sorbent based on 1-(5-hydroxy-3-methyl-1-phenyl-1H-pyrazol-4-yl)ethanone and SDS intercalated Mg-Al double-layered hydroxide (HTC-PMAP) was developed for the efficient removal of Pb(II). HTC-PMAP was thoroughly characterized using elemental analysis, FT-IR, TGA, powder XRD, BET surface area and BJH pore size analysis, SEM, XPS, and zeta potential analysis. Under various adsorption conditions, including the impact of pH, sorbent dose, initial Pb(II) concentration, kinetics, thermodynamics, and Response Surface Methodology (RSM), the potential of HTC-PMAP for the removal of Pb(II) was assessed. RSM suggested that the adsorption mechanism follows a pseudo-second-order polynomial equation, revealing acceptable R2, adjacent R2 and p-values (&lt; 0.05). The adsorption equilibrium was achieved in 150min, revealing the qmax of 255.40mg/g with a removal efficiency of 99.99% for Pb(II) at pH =6 in the batch adsorption experiments. Adsorption isotherms were consistent with the Langmuir model (R2 = 0.99), indicating monomolecular layer adsorption, whereas kinetic investigations showed that the rate-limiting step follows the PSO model with an R2 of 0.99. The adsorption process was determined to be an endothermic, spontaneous process by positive ΔH0 and negative ΔG0 values. Furthermore, the removal process was not affected by the presence of competing cations commonly found in wastewater, except for Cu(II). A regeneration study reveals that recycling is simple and can be done up to three times using 0.02M acetic acid without sacrificing structural integrity and removal efficiency.  © 2025 Elsevier Ltd.</t>
  </si>
  <si>
    <t>Acylpyrazolone; Hydrotalcite; Memory effect; Pb(II); Response surface methodology</t>
  </si>
  <si>
    <t>R.N. Jadeja; Department of Chemistry, Faculty of Science, The Maharaja Sayajirao University of Baroda, Vadodara, 390002, India; email: rjadeja-chem@msubaroda.ac.in</t>
  </si>
  <si>
    <t>Elsevier Ltd</t>
  </si>
  <si>
    <t>Yu L.; Lei H.; Si M.; Liao Q.; Li Q.; Yang Z.; Jiang Z.; Yang W.</t>
  </si>
  <si>
    <t>Efficient detoxification and recovery of beryllium from lithium smelting slag by ultrasonic-assisted binary organic acids: Process optimization and mechanism</t>
  </si>
  <si>
    <t>10.1016/j.psep.2025.108326</t>
  </si>
  <si>
    <t>Lithium smelting slag (LSS), a hazardous waste from lithium carbonate production, contains carcinogenic beryllium (Be) that becomes environmentally mobile through mineral structure destruction during lithium extraction. This study developed a novel ultrasonic-oxalic acid-citric acid leaching system for efficient Be leaching from LSS. Under optimal leaching conditions, 99.1 % labile Be leaching rate was achieved, reducing the toxic leaching concentration of Be in detoxified slag from 804.7 μg·L⁻¹ to 5.65 μg·L⁻¹, significantly below the general industrial solid waste Class I standard threshold (10 μg L−1). Mechanistic investigations revealed that Be primarily exists in an acid-soluble fraction (bound to aluminosilicate sulfate), partially encapsulated by the gypsum phase. The binary acid system operates through synergistic mechanism involving the dissolution of the gypsum phase by oxalic acid and the release of Be bound to aluminosilicate sulfate via ion exchange and complexation with citric acid. Kinetics and thermodynamics confirmed mixed-control shrinking core behavior (Ea=24.924 kJ/mol), with the compound leaching agent concentration and liquid-to-solid ratio as dominant process parameters. The subsequent integrated process achieves the effective separation and recovery of Si and Be from the leachate. Si separation was accomplished through controlled polycondensation, achieving an 80.1 % precipitation rate, and producing silica with &gt; 99 % purity. For Be recovery, a three-stage countercurrent extraction system using 20 % P204 (O/A = 1.5:1) achieved a 98.9 % recovery rate. This research establishes an integrated technical solution for LSS management, achieving effective Be detoxification, high-value Si/Be recovery. © 2025</t>
  </si>
  <si>
    <t>Beryllium; Compound leaching agent; Lithium smelting slag; Separation and recovery; Ultrasonic-assisted leaching</t>
  </si>
  <si>
    <t>W. Yang; School of Metallurgy and Environment, Central South University, Changsha, 410083, China; email: yang220@csu.edu.cn</t>
  </si>
  <si>
    <t>Kakku S.; Jonna N.; Chakinala A.G.; Joshi J.; Vinu R.; Thota C.; Sharma A.</t>
  </si>
  <si>
    <t>Co-Pyrolysis Studies of Agricultural Residue and Plastics for Process Optimization in a Rotary Kiln Reactor System</t>
  </si>
  <si>
    <t>10.1021/acs.iecr.4c03309</t>
  </si>
  <si>
    <t>This research mainly focuses on the co-pyrolysis of agricultural biomass, i.e., groundnut shell (GS) and different plastics such as low-density polyethylene (LDPE), high-density polyethylene (HDPE), and polypropylene (PP). Co-pyrolysis studies were conducted in a semi pilotscale rotary kiln reactor at 500 °C with different biomass to plastic ratios (90:10, 70:30, and 40:60). The maximum pyrolytic oil (Py-oil) yield of 49% was obtained with GS/HDPE in 40:60 ratio, while the maximum non-condensable gases (NCGs) yield of 36% was obtained with GS/LDPE (40:60). Maximum char yields of up to 38% were observed with pure GS. The yields of py-oil and NCGs. increased with increasing plastic ratio, whereas for char, the yield decreased with increasing plastic ratio. Elemental analysis of the py-oil showed an increase in the carbon and hydrogen content from 59 to 79% and from 7 to 12%, respectively, with increasing plastic content. The higher heating value (HHV) of py-oil increased from 25 to 43 MJ/kg with the addition of plastics to biomass. The chemical composition of the oil also varied significantly with different blend ratios and depended on the type of plastic. Overall, it was observed that by increasing the plastic ratio, there is a corresponding decrease in phenolics and improvement in aromatics (45%), alcohols (20%), and hydrocarbons (35%). The carbon content in char was found to increase moderately from 72 to 80% with an increase in plastic content. © 2024 American Chemical Society.</t>
  </si>
  <si>
    <t>A. Sharma; Waste to Resources Laboratory, Department of Biotechnology and Chemical Engineering, Manipal University, Jaipur, Rajasthan, 303007, India; email: abhishek.sharma@jaipur.manipal.edu</t>
  </si>
  <si>
    <t>Liu J.; Lyu H.; Cheng C.; Peng Y.; Guo X.; Yan K.</t>
  </si>
  <si>
    <t>Process optimization and decoupling multi-parameter interaction in ion adsorption rare earth ore leaching via a machine learning approach</t>
  </si>
  <si>
    <t>Journal of Cleaner Production</t>
  </si>
  <si>
    <t>10.1016/j.jclepro.2025.146560</t>
  </si>
  <si>
    <t>The extraction of ion adsorption rare earth ore is crucial for the advancement of modern technologies, however, the leaching process is often resource-intensive, with significant environmental impacts. Traditional methods for process optimization are time-consuming and require extensive trial-and-error experimentation, which can be costly and inefficient. In this study, extensive historical data were collected from literature, and a dataset consisted of 2365 sets of data involving 14 input variables and 1 output variable was constructed after careful selection. Subsequently, 6 machine learning algorithms were trained, tuned, and compared. The optimized gradient boosting regressor model with RMSE of 7.874 % and R2 of 0.9063 for the test set was deemed robust and reliable. Leaching time was identified as the most influential factor on the extraction efficiency of rare earth oxides, followed by the concentration of lixiviant I, leaching method, pH value, and concentration of lixiviant II. Furthermore, partial dependence plots quantitatively decoupled the interaction between multiple parameters and proposed optimization strategies, overcoming the limitations of conventional single-variable experimental approaches. The development of this machine learning framework represents a methodological advancement in data-driven approaches for resource extraction and industrial process optimization. © 2025 Elsevier Ltd</t>
  </si>
  <si>
    <t>Feature importance and interaction; Ion adsorption rare earths; Leaching; Machine learning; Prediction and optimization</t>
  </si>
  <si>
    <t>Wang J.; Huang S.; Li M.; Xu J.; Jin F.; Yang Y.; Zhong H.; Wang C.; Li G.; Lu J.</t>
  </si>
  <si>
    <t>Fulfilling the negative emission effect of hydrothermal CO2 utilization through process optimization and supply chain decarbonization</t>
  </si>
  <si>
    <t>10.1016/j.jclepro.2025.145377</t>
  </si>
  <si>
    <t>Hydrothermal CO2 utilization for producing chemical feedstocks offers a promising route toward sustainable development and carbon neutrality. However, the significant energy consumption along with reductant consumption, introduces potential uncertainties in its environmental benefits. An ex-ante life cycle assessment of 12 hydrothermal CO2 utilization pathways revealed that the carbon footprint of benchmark cases cannot realize carbon reduction effect even when considering captured CO2 and offsets from converted products. By integrating chemical process simulation and scenario analysis of decarbonized background datasets, the influence of internal process variables and potential supply chain change were comprehensively analyzed. Under the optimal production system design and low-carbon scenario for energy supply, the carbon footprint can reach −0.4129 kg CO2-eq/kg absorbed CO2. This research elucidates how internal and external factors influence the environmental outcomes of hydrothermal CO2 conversion, providing a comprehensive framework for assessing the sustainability of emerging technologies and guiding their development towards minimizing environmental impacts. © 2025 Elsevier Ltd</t>
  </si>
  <si>
    <t>Chemical process simulation; CO&lt;sub&gt;2&lt;/sub&gt; utilization; Ex-ante life cycle assessment; Hydrothermal process; Scenario analysis</t>
  </si>
  <si>
    <t>Qiu H.; Shao S.; Zhang B.; Li B.; Wang H.; Wei Y.</t>
  </si>
  <si>
    <t>A promising approach for efficient and selective extraction of lithium from clay-type lithium resource: Process optimization and reaction mechanism</t>
  </si>
  <si>
    <t>10.1016/j.psep.2025.106848</t>
  </si>
  <si>
    <t>The development and utilization of clay-type lithium ore is highly important for alleviating the imbalance between the supply and demand of lithium resources in China. Here, a promising approach consisting of Na2SO4 roasting and water leaching was proposed to extract Li from clay-type lithium ore, and efficient and selective extraction of lithium was achieved. First, mineralogical analysis indicated that the experimental lithium ore was characterized by low Mg and high Al contents and was characterized as a carbonate clay-type. Lithium was predominantly adsorbed in the interlamination of clay minerals dominated by illite. Subsequently, the effects of the process parameters on lithium extraction during Na2SO4 roasting and water leaching were systematically investigated. The results revealed that 94.26 % of Li and less than 0.05 % of the impurities, such as Al and Fe, were leached into the solution under optimal conditions. Furthermore, based on the SEM-EDS, TOF-SIMS, FT-IR, MAS NMR, and XPS analyses of the raw ore and roasted products, the reaction mechanism was attributed to the ion exchange of Li+ with Na+. Eventually, a technical flow that enables additive recycling is recommended. Overall, the proposed process is easily performed and environmentally friendly and has considerable economic benefits and industrial application prospects. © 2025 The Institution of Chemical Engineers</t>
  </si>
  <si>
    <t>Carbonate clay-type lithium ore; Ion exchange; Recycling; Selective extraction; Sodium sulfate roasting</t>
  </si>
  <si>
    <t>S. Shao; Kunming, 68 Wenchang Road, 121 Street, Wuhua District, Yunnan Province, 650093, China; email: shaoshuang@kust.edu.cn</t>
  </si>
  <si>
    <t>Cruz D.; Park H.; Tiller P.; Kumar A.; Gonzalez R.; Mittal A.; Johnson D.K.; Park S.</t>
  </si>
  <si>
    <t>Catalytic conversion of paper sludge carbohydrates to jet fuel range hydrocarbons: Process optimization and techno-economic analysis</t>
  </si>
  <si>
    <t>10.1016/j.cej.2025.160622</t>
  </si>
  <si>
    <t>This study presents a catalytic pathway involving seven pretreatment and conversion steps to upgrade carbohydrates in paper sludge into a hydrocarbon blend compatible with conventional aviation fuel. Fuel-critical properties analysis by two independent laboratories confirmed that 44.3 % of the resulting hydrocarbon product meets Jet A standards. Nine biorefinery configurations were examined to identify strategies for reducing the minimum fuel selling price (MFSP) of the final hydrocarbon product. Techno-economic analysis revealed that replacing 1,4-dioxane with acetone and increasing sugar concentration during the dehydration step, along with using biobased methyl ethyl ketone in aldol-condensation, are key factors in reducing the MFSP from $8.6 per gasoline gallon equivalent (GGE) in the base case to $4.5/GGE in the optimized scenario. A sensitivity assessment was conducted for each configuration analyzed to identify additional process optimization opportunities to enhance the economic viability of the biorefinery process relative to conventional jet fuel. © 2025 The Author(s)</t>
  </si>
  <si>
    <t>Bioeconomy; Biorefinery; Process design; Pulp and paper; Solvent analysis; Waste valorization</t>
  </si>
  <si>
    <t>S. Park; North Carolina State University, Department of Forest Biomaterials, NC State University, Raleigh, Biltmore Hall, Campus Box 8005, 27695-8005, United States; email: sunkyu_park@ncsu.edu</t>
  </si>
  <si>
    <t>Wang J.; He P.; Wang Y.; Zhang H.; Lü F.</t>
  </si>
  <si>
    <t>Mechanism and process optimization for H2S removal by plant-derived deodorant</t>
  </si>
  <si>
    <t>10.1016/j.cej.2023.142016</t>
  </si>
  <si>
    <t>Plant-derived deodorant shows exciting prospect for odorous gas control, while controversy still exists on its effect of removing the malodorous substances with the fact that the removal mechanism and parameter optimization of this deodorization technology were rarely reported. Herein, a laboratory-scale bubbling absorption tower was used to conduct orthogonal test designed with three factors of five levels to investigate the efficiency of plant-derived deodorant to remove hydrogen sulfide (H2S). Compared with water, the aqueous solution of plant-derived deodorants could effectively remove H2S with a maximum removal efficiency of 99.99%. In particular, the removal efficiency of deodorant was about 40% higher than that of water at the H2S concentration of 70 mg/m3. After treated by the aqueous solution of plant-derived deodorants, the outlet concentration of H2S could be lower than 0.02 mg/m3, meeting the requirement of the odor pollutant emission standards in many countries, which exhibited the feasibility of using it an effective way to control H2S. Among the parameters including air input, concentration of H2S, and concentration of plant-derived deodorant, concentration of deodorant was the parameter that presented the most significant impact on the deodorization effect. The calculation results of absorption and reaction parameters showed that the removal of H2S by plant-derived deodorants is a process controlled by chemical absorption. © 2023 Elsevier B.V.</t>
  </si>
  <si>
    <t>Deodorization; Hydrogen sulfide; Mechanism; Odor pollution control; Plant-derived deodorants; Process parameter</t>
  </si>
  <si>
    <t>F. Lü; Tongji University, Shanghai, 200092, China; email: lvfan.rhodea@tongji.edu.cn</t>
  </si>
  <si>
    <t>Zhang Y.; Wang B.; Ji Z.; Jiao Y.; Shao Y.; Chen H.; Fan X.</t>
  </si>
  <si>
    <t>Plasma-catalytic CO2 methanation over NiFen/(Mg, Al)Ox catalysts: Catalyst development and process optimisation</t>
  </si>
  <si>
    <t>10.1016/j.cej.2023.142855</t>
  </si>
  <si>
    <t>Plasma-assisted catalytic carbon dioxide (CO2) methanation is a promising approach to valorise CO2 under mild conditions, and the system requires rational design regarding both catalysts and processes to advance it towards practical applications. Herein, the bimetallic NiFen/(Mg, Al)Ox catalysts were developed for plasma-catalytic CO2 methanation, and the effect of atomic ratio of Ni and Fe and reduction temperature on the catalysts was investigated systematically. The findings show that a higher reduction temperature was beneficial to the formation of Ni3Fe alloy and abundant surface oxygen vacancies, and increased CO2 adsorption ability. As a result, the NiFe0.1/(Mg, Al)Ox-800 catalyst led to a good catalytic performance in the plasma-assisted catalysis with about 84.7% CO2 conversion and 100% methane (CH4) selectivity. In addition, this study also employed response surface methodology (RSM) to explore the optimisation of plasma-catalytic CO2 methanation for the first time. Results from RSM show that in the plasma-catalytic system the selective CO2 hydrogenation to CH4 was favoured by higher applied voltage, lower gas flow rate and higher gas ratio (H2: CO2). © 2023 The Author(s)</t>
  </si>
  <si>
    <t>CO&lt;sub&gt;2&lt;/sub&gt; methanation; NiFe&lt;sub&gt;n&lt;/sub&gt;(Mg, Al)O&lt;sub&gt;x&lt;/sub&gt; catalyst; Plasma catalysis; Reduction temperature; response surface methodology (RSM)</t>
  </si>
  <si>
    <t>H. Chen; State Key Laboratory of Materials-Oriented Chemical Engineering, College of Chemical Engineering, Nanjing Tech University, Nanjing, 211800, China; email: h.chen@njtech.edu.cn</t>
  </si>
  <si>
    <t>Yang Q.; Meng X.; Zhao H.; Cao C.; Liu Y.; Huisingh D.</t>
  </si>
  <si>
    <t>Sustainable operations-oriented painting process optimisation in automobile maintenance service</t>
  </si>
  <si>
    <t>10.1016/j.jclepro.2021.129191</t>
  </si>
  <si>
    <t>Building a more sustainable society is an urgent requirement for today's service-oriented manufacturing enterprises, such as automobile maintenance firms. In automobile maintenance service, traditional painting process scheduling scheme usually only considers the profits of enterprises, ignoring the requirements of customers or other stakeholders. To address this gap and achieve sustainable operations of enterprises in the long term, this paper concentrated on the vehicle scheduling of painting process problem with the concern of the demands of managers, workers, customers, governments and non-government environmental protection organisations. This problem was formulated as a nonlinear 0–1 integer programming model to minimise makespan (MP), total pollutant emissions (TPE) and total customers' perceived dissatisfaction (TCPDS). A genetic algorithm was designed to solve the model, and a practical case using data from both the information system and the survey was performed to test the performance of the proposed model and algorithm. Computational results revealed that the genetic algorithm performed well in terms of validity and stability. Pareto solutions demonstrated that optimising task sequences helped increase customers' perceived satisfaction while improving the makespan of vehicle painting, decreased paint waste, and reduced worker health and safety risks. Some of the increases in the percentage of well-timed customer service reservations were catalysed by the method that combined tiered pricing, related to delivery times, the automobile painting efficiency, which improved customers' perceived satisfaction. This paper also further guides managers to incorporate sustainable development into operations in service-oriented manufacturing enterprises. © 2021 The Authors</t>
  </si>
  <si>
    <t>Multi-objective programming; Painting scheduling; Pareto solutions; Service-oriented manufacturing; Sustainable operations</t>
  </si>
  <si>
    <t>Chang C.; Feng L.-F.; Gu X.-P.; Zhang C.-L.; Dai L.-K.; Chen X.; Hu G.-H.</t>
  </si>
  <si>
    <t>In Situ Raman Spectroscopy Real-Time Monitoring of a Polyester Polymerization Process for Subsequent Process Optimization and Control</t>
  </si>
  <si>
    <t>10.1021/acs.iecr.2c02933</t>
  </si>
  <si>
    <t>Here, in situ Raman spectroscopy is used to develop a method for determining in real time the percentage of esterification denoted as Ester%, a key quality index of polymerization processes in polyester industries. Specifically, Raman spectra of the polymerization (esterification and polyesterification) of terephthalic acid (PTA) and 1,4-butanediol (BDO) to obtain poly(butylene terephthalate) (PBT) are monitored as a function of reaction time. They are processed through a background subtraction algorithm to yield Raman spectra, which allows for the identification and quantification of Raman bands corresponding to the ester and carboxylic groups. The Ester% is calculated by the ratio between the ester and carboxylic groups in terms of the characteristic peak intensities or areas. The ratio based on the Raman peak areas yields more satisfactory results, namely, the calculated values of the Ester% are less noisy and agree better with those obtained by titration. The established in situ Raman spectroscopy method allows for real-Time monitoring and quantification of the Ester% during the polymerization process. It will be adopted for process optimization and control at a pilot scale and ultimately at an industrial production scale. © 2022 American Chemical Society. All rights reserved.</t>
  </si>
  <si>
    <t>Kaya F.; Halisdemir U.; Taşar Ş.; Taşar B.</t>
  </si>
  <si>
    <t>Understanding the pH-responsive behavior of sodium bentonite: Experimental characterization and machine learning modeling for process optimization</t>
  </si>
  <si>
    <t>10.1016/j.jece.2025.120177</t>
  </si>
  <si>
    <t>Sodium bentonite, a smectite clay widely found in boron ore deposits such as colemanite, plays a crucial role in numerous industrial processes—including ceramics, wastewater treatment, and boric acid production—due to its high surface reactivity and ion-exchange capacity. However, its pH-dependent physicochemical behavior often causes filtration inefficiencies, flocculation challenges, and product quality issues. Despite extensive research on rheological and surface properties, integrated studies that combine experimental characterization with predictive data-driven modeling remain scarce, creating a gap in understanding and optimizing pH-sensitive clay systems. This study aims to bridge this gap by providing a comprehensive analysis of the physicochemical and morphological behavior of sodium bentonite across a broad pH range (1–9). Experimental analyses included pH equilibration monitoring, viscosity measurement, turbidity assessment, filtration performance, particle size distribution (via laser diffraction), and surface morphology characterization (SEM and FTIR). The results revealed that below the zero point of charge (pHzpc ≈ 8.5), bentonite surfaces become positively charged, promoting flocculation and improving filterability, while above this point, dispersion stability and viscosity increased, resulting in yellowish filtrates. FTIR spectra confirmed the chemical stability of bentonite across pH variations. Machine learning models—Linear Regression, Random Forest, Support Vector Machines, Gaussian Process Regression, and Boosted Trees—were employed to predict key process outputs (pH equilibrium, conductivity, and ion concentrations). Among these, Boosted Trees and GPR achieved the highest prediction accuracy (R² &gt; 0.95), demonstrating strong potential for process optimization. This work offers a data-driven framework to understand and control pH-sensitive processes involving sodium bentonite, providing valuable insights for industrial applications such as ceramics, wastewater treatment, drilling fluids, and mineral processing. The integration of experimental and machine learning approaches not only enhances predictive accuracy but also supports the design of more sustainable and efficient filtration systems. Copyright © 2025. Published by Elsevier Ltd.</t>
  </si>
  <si>
    <t>Machine learning; PH-dependent behavior; Process modeling; Sodium bentonite</t>
  </si>
  <si>
    <t>Ş. Taşar; Fırat University, Faculty of Engineering, Department of Chemical Engineering, Elazig, Turkey; email: sydtasar@firat.edu.tr</t>
  </si>
  <si>
    <t>Lin S.; Sun L.; Khalid Z.; Lv G.; Jiang X.; Yan J.</t>
  </si>
  <si>
    <t>Process optimization and mechanism for removal of chlorine from ultrasonic-enhanced Municipal Solid Waste Incineration fly ash water washing</t>
  </si>
  <si>
    <t>10.1016/j.jece.2025.115566</t>
  </si>
  <si>
    <t>The high soluble chloride content in municipal solid waste incineration (MSWI) fly ash limits its potential for resource reuse. An ultrasonic (US)- enhanced water washing process for the rapid and efficient removal of soluble chloride from MSWI fly ash was utilized in this study. Under the selected operating conditions (600 w, L/S =6 (L/kg), 500 rpm), a 95.8 % removal of soluble chloride was achieved in 5 min using ultrasonic treatment, comparable to the 94.5 % removal rate observed within 50 min of water washing under normal conditions. Moreover, ultrasonic water washing removes chlorine and reaches dissolution equilibrium faster than conventional water washing. In addition, laser particle size analyzer, surface area results and FE-SEM images confirmed that ultrasound can increase the contact area between MSWI fly ash particles and the liquid phase to promote chloride dissolution. Furthermore, ultrasonic treatment intensifies the structural collapse within and on the surfaces of MSWI fly ash particles. XRD phase analysis and ICP-AES analysis revealed that the ultrasonic water washing process enhances the dissolution of aluminum and certain active silica components in MSWI fly ash. Meanwhile, the sonochemical effect of ultrasonic increased the temperature of the system and promoted the dissolution of some insoluble chlorides. © 2025 Elsevier Ltd</t>
  </si>
  <si>
    <t>Dichlorination; MSWI fly ash; Ultrasonic; Water washing</t>
  </si>
  <si>
    <t>X. Jiang; State Key Laboratory of Clean Energy Utilization, Institute for Thermal Power Engineering, Zhejiang University, Hangzhou, Zhejiang, 310027, China; email: jiangxg@zju.edu.cn</t>
  </si>
  <si>
    <t>Gautier V.; Bertier L.; Lacroix V.; Chaise A.; Hertz A.; Roger A.-C.</t>
  </si>
  <si>
    <t>Investigation of potential biases in the comparison of membrane and conventional reactors in CO2 to methanol processes using process optimization</t>
  </si>
  <si>
    <t>10.1016/j.jclepro.2025.146394</t>
  </si>
  <si>
    <t>Membrane reactors applied to methanol synthesis from CO2 aim to alleviate low reaction conversions by shifting the thermodynamic equilibrium through in-situ water removal. The comparison between membrane reactors and conventional fixed-bed reactors has been previously studied in the literature at the process level. In fact, in the literature, membrane and conventional fixed-bed reactors have been so far compared under identical operating conditions at the process scale. However, studies at the reactor scale have identified that these types of reactors might have different optimal operating conditions. Therefore, potential biases in previous process simulation studies are investigated in the present article through process optimization using an energy cost criterion. This study uses design-free pseudo-homogeneous isothermal and isobaric plug-flow reactor models allowing the use of simplified and broad optimization variables. As a result, the optimal operating conditions for the membrane reactor process were found to depend significantly on the reactor's GHSV and the membrane's selectivity, and these conditions can differ greatly from those of a conventional fixed-bed reactor process. As such, comparing the two reactor types under the same operating conditions at the process level can lead to a bias favoring one reactor type depending on the chosen conditions. This study also explores the advantages of using compressed sweep gas and compares the performance of the two reactor types when varying levels of energy penalties are applied to high recycle ratios through the purge rate. © 2025 The Authors</t>
  </si>
  <si>
    <t>Bias investigation; CO&lt;sub&gt;2&lt;/sub&gt; conversion; Membrane reactors; Methanol synthesis; Process optimization</t>
  </si>
  <si>
    <t>A. Chaise; Univ Grenoble Alpes, CEA, DES, LITEN, DTCH, Grenoble, France; email: albin.chaise@cea.fr</t>
  </si>
  <si>
    <t>Wang J.; Niemoeller L.; Viswanath S.</t>
  </si>
  <si>
    <t>Kinetic model-aided process optimization via integrated in-situ FTIR and real-time oscillatory shear rheometry: A case study on impurity control and gelation mitigation for a solid phase peptide cleavage process</t>
  </si>
  <si>
    <t>10.1016/j.cej.2023.146928</t>
  </si>
  <si>
    <t>Solid phase peptide synthesis is a widely used technique for the production of medicinal peptides, particularly when using unnatural amino acids. In such processes, when the synthesis is complete and the designed peptide sequence is obtained, a subsequent peptide isolation technique is often employed using a trifluoroacetic acid (TFA)/dichloromethane (DCM) solution mixture to promote the cleavage of the peptide from the resin while retaining the protecting groups on the peptide (soft cleavage). The peptide is then isolated via distillation, precipitation/crystallization, and drying unit operations. Throughout these processes, the reaction conditions must be optimized to minimize peptide degradation in the acidic cleavage solution. Furthermore, any peptide network formation during cleavage can dramatically increase the solution viscosity which poses significant operating risks in manufacturing. In this study, a systematic model-aided kinetics and rheology analysis is performed to rapidly identify optimal reaction conditions using the minimum number of screening experiments. The reaction kinetics investigation was conducted with the aid of a mid-FTIR probe to track peptide and TFA solution concentrations during the reaction in real-time. A detailed kinetics model of peptide cleavage and impurity formation is proposed and the adsorption isotherm of TFA is also considered. To confirm that an acceptable solution viscosity can be maintained at the specified reaction conditions over the duration of the projected process time, in-situ oscillatory rheometry was conducted to monitor any viscosity and modulus increase in the soft-cleavage reaction medium. The novel combination of reaction kinetics modeling, impurity control techniques, and the development of a peptide network phase diagram provides a layered approach that can be utilized in the rapid rational design of any solid phase peptide isolation processes. © 2023 Elsevier B.V.</t>
  </si>
  <si>
    <t>Data rich experimentation; Peptide/protein gelation; Pharmaceutical manufacturing; Process design and scale up; Process optimization; Quality by design</t>
  </si>
  <si>
    <t>J. Wang; Synthetic Molecule Design and Development, Lilly Research Laboratories, Eli Lilly and Company, Indianapolis, 46285, United States; email: wang_jingyao@lilly.com</t>
  </si>
  <si>
    <t>Dai M.; Xue Q.; Guo T.; Guo Q.</t>
  </si>
  <si>
    <t>Process Optimization And Life Cycle Assessment In a 10MWth food waste chemical looping gasification system for hydrogen production</t>
  </si>
  <si>
    <t>10.1016/j.psep.2024.12.103</t>
  </si>
  <si>
    <t>The present study involved an in-depth simulation and evaluation of a 10 MWth food waste chemical looping gasification to hydrogen system, conducted using Aspen Plus process simulation software. The study extensively investigated process optimization, economic evaluation, and the environmental impacts associated with the application of this technology. The simulation results showed that maintaining a fuel reactor temperature at 850°C, an H2O/C ratio of 0.6, and an O/C of 0.45 yielded an H2/CO of 1.718, Y of 1.209 m3/kg, and CEG of 51.78 %. Life cycle assessment indicated favorable outcomes concerning environmental impacts. Particularly, the system operational in the Qingdao region showed a global warming potential of 1763.5 kgCO2-eq and an acidification potential of 16.77 kgSO2-eq. Economic analysis revealed that the system offers substantial economic benefits with a return on investment of 11.23 %, a payback period of 6.283 years, and a net present value of 1.201 × 106 $. The cost of this process significantly undercuts that of renewable hydrogen production, providing considerable environmental advantages by effectively utilizing waste resources and reducing waste disposal issues. Given its cost-effectiveness and environmental benefits, chemical looping gasification technology for hydrogen production from food waste holds wide-ranging future application potential. © 2024 The Institution of Chemical Engineers</t>
  </si>
  <si>
    <t>Aspen plus; Chemical looping gasification; Economic analysis; Food waste; Life cycle assessment</t>
  </si>
  <si>
    <t>T. Guo; Laboratory of Green &amp; Smart Chemical Engineering in Universities of Shandong, College of Chemical Engineering, Qingdao University of Science &amp; Technology, Qingdao, Shandong, 266042, China; email: tuo.guo.20@alumni.ucl.ac.uk</t>
  </si>
  <si>
    <t>Liu T.; Cui Y.; Wang Y.; Nagy Z.K.</t>
  </si>
  <si>
    <t>Seeded Cooling Crystallization Process Optimization of β Form l -Glutamic Acid Based on Variable Moving Horizon State Estimation</t>
  </si>
  <si>
    <t>10.1021/acs.iecr.1c03973</t>
  </si>
  <si>
    <t>In this paper, a cooling temperature optimization method is proposed for the seeded crystallization process of β form l-glutamic acid (LGA), based on moving horizon estimation (MHE) on the moment information of crystal growth kinetics. By transforming the population balance equations (PBEs) of the process kinetic model into differential algebraic equations using the quadrature method of moments (QMOM), a modified design of MHE with variable horizon is developed to estimate the zeroth- to the third-order moments that reflect the fundamental characteristics of the seeded cooling crystallization process. Based on these estimated moments, an optimization program is established to find the optimal operation profile of cooling temperature, by imposing the related constraints on these low-order moments and cooling rate for computation. An illustrative example of β form LGA crystallization yielding needle-shape crystals with one-dimensional size of length is used to demonstrate the advantage of the proposed MHE algorithm over the classical state estimation methods of extended Kalman filter (EKF) and MHE. Moreover, the optimized result of target crystal size distribution (CSD) by the proposed method is significantly improved compared to those of the conventional linear or programming cooling strategies along with another temperature optimization method in the literature. Experimental verification shows that the optimized temperature profile results in evidently improved product size distribution together with apparently reduced batch time. © 2022 American Chemical Society. All rights reserved.</t>
  </si>
  <si>
    <t>T. Liu; Institute of Advanced Control Technology, Dalian University of Technology, Dalian, 116024, China; email: liurouter@ieee.org</t>
  </si>
  <si>
    <t>Wang J.; Chen D.; Zhu L.</t>
  </si>
  <si>
    <t>Integrated Working Fluids and Process Optimization for Refrigeration Systems Using Polar PC-SAFT</t>
  </si>
  <si>
    <t>10.1021/acs.iecr.1c03624</t>
  </si>
  <si>
    <t>A systematic approach for the integrated optimization of working fluids and refrigeration processes is developed. In particular, the polar perturbed-chain statistical associated fluid theory (PC-SAFT) equation-of-state (EoS) is adopted as a unified thermodynamic framework that enables accurate predictions of different key refrigerant properties with very few parameters. A polar PC-SAFT parameter database consisting of 39 commonly used refrigerants is built. A new correlation equation on ideal heat capacity using polar PC-SAFT parameters is developed based on the Lasso regression technique. Numerical aspects are highlighted for an efficient equation-oriented implementation of the polar PC-SAFT EoS. A modified branch-and-bound procedure is proposed as an effective solution strategy for solving the mixed-integer nonlinear programming problem. The solution efficiency on single- and mixed-refrigerant optimizations is demonstrated based on a single cycle and an autocascade cycle refrigeration system, respectively. © 2021 American Chemical Society</t>
  </si>
  <si>
    <t>L. Zhu; College of Chemical Engineering, Zhejiang University of Technology, Hangzhou, 310014, China; email: zhuly@zjut.edu.cn</t>
  </si>
  <si>
    <t>Kaven L.F.; Schweidtmann A.M.; Keil J.; Israel J.; Wolter N.; Mitsos A.</t>
  </si>
  <si>
    <t>Data-driven product-process optimization of N-isopropylacrylamide microgel flow-synthesis</t>
  </si>
  <si>
    <t>10.1016/j.cej.2023.147567</t>
  </si>
  <si>
    <t>Microgels are cross-linked, colloidal polymer networks with great potential for stimuli-response release in drug-delivery applications, as their small size allows them to pass human cell boundaries. For applications with specified requirements regarding size, producing tailored microgels in a continuous flow reactor is advantageous because the microgel properties can be controlled tightly. However, no fully-specified mechanistic models are available for continuous microgel synthesis, as the physical properties of the included components are only studied partly. To address this gap and accelerate tailor-made microgel development, we propose a data-driven optimization in a hardware-in-the-loop approach to efficiently synthesize microgels with defined sizes. We optimize the synthesis regarding conflicting objectives (maximum production efficiency, minimum energy consumption, and the desired microgel radius) by applying Bayesian optimization via the solver “Thompson sampling efficient multi-objective optimization” (TS-EMO). We validate the optimization using the deterministic global solver “McCormick-based Algorithm for mixed-integer Nonlinear Global Optimization” (MAiNGO) and verify three computed Pareto optimal solutions via experiments. The proposed framework can be applied to other desired microgel properties and reactor setups and has the potential of efficient development by minimizing number of experiments and modeling effort needed. © 2023 Elsevier B.V.</t>
  </si>
  <si>
    <t>Bayesian optimization; Flow-chemistry; Microgel synthesis; Product-process optimization</t>
  </si>
  <si>
    <t>A. Mitsos; Aachen, Forckenbeckstr. 51, 52074, Germany; email: amitsos@alum.mit.edu</t>
  </si>
  <si>
    <t>Amraoui Y.; Prabhu A.A.; Narisetty V.; Coulon F.; Kumar Chandel A.; Willoughby N.; Jacob S.; Koutinas A.; Kumar V.</t>
  </si>
  <si>
    <t>Enhanced 2,3-Butanediol production by mutant Enterobacter ludwigii using Brewers’ spent grain hydrolysate: Process optimization for a pragmatic biorefinery loom</t>
  </si>
  <si>
    <t>10.1016/j.cej.2021.130851</t>
  </si>
  <si>
    <t>2,3-Butanediol (BDO) is a fossil-based versatile bulk chemical with a multitude of applications. BDO can also be synthesized using microbial cell factories harnessing renewable feedstocks. However, the high cost of the substrate via microbial route impedes commercial manufacturing of BDO. Therefore, identification of cheaper substrates could make bio-based BDO production more cost-competitive. Brewers’ spent grain (BSG), a major by-product of breweries, is an inexpensive source of fermentable sugars and proteins. In the present study, we have attempted the bioproduction of BDO by Enterobacter ludwigii using BSG as feedstock. A random E. ludwigii mutant obtained after treatment with ethyl methane sulfonate (EMS) resulted in a BDO titer (9.5 g/L), ~30% higher in comparison to the wild type strain with a yield of 0.48 gBDO/gGlucose approaching the theoretical yield of 0.50 gBDO/gGlucose. The enzymatic hydrolysis of microwave-assisted alkali pretreated BSG was optimized using the statistical Taguchi design. The BSG hydrolysis under optimal conditions (pH: 6.0; temperature: 50 °C; BSG: 10% w/v; enzyme loading: 2% v/v) resulted in a glucose yield of 0.25 gGlucose/gBiomass. The uncontrolled pH was found to be more beneficial for BDO accumulation from BSG hydrolysate in batch bioreactor cultivation as compared with controlled one. The fed-batch cultivation with forced pH fluctuations at an aeration rate of 2.0 vvm resulted in BDO accumulation of 118.5 g/L from glucose-rich BSG hydrolysate with the yield and productivity of 0.43 g/g and 1.65 g/L.h, respectively. To the best of our knowledge, this is the first study on BDO production from BSG. © 2021 Elsevier B.V.</t>
  </si>
  <si>
    <t>2,3-Butanediol; Brewers’ spent grain; Enterobacter ludwigii; Enzymatic hydrolysis; Glucose-rich BSG hydrolysate; Random mutagenesis</t>
  </si>
  <si>
    <t>V. Kumar; School of Water, Energy and Environment, Cranfield University, Cranfield, MK43 0AL, United Kingdom; email: Vinod.Kumar@cranfield.ac.uk</t>
  </si>
  <si>
    <t>Sarkar S.; Narayanan V.; Srivastava R.; Kulkarni A.R.</t>
  </si>
  <si>
    <t>Unleashing the Influence of High-Throughput Flow Process Optimization on Luminescent Behavior of Engineered ZnO Quantum Dots</t>
  </si>
  <si>
    <t>10.1021/acs.iecr.3c00805</t>
  </si>
  <si>
    <t>A.R. Kulkarni; Centre for Research in Nano Technology and Science, Indian Institute of Technology-Bombay, Mumbai, 400076, India; email: ajit.kulkarni@iitb.ac.in</t>
  </si>
  <si>
    <t>Andriani G.; Salano L.; Maria Bozzini M.; Mocellin P.; Manenti F.; Vianello C.</t>
  </si>
  <si>
    <t>Sustainability-Oriented Process Optimization for Biogasto Methanol: Balancing Safety, Economics, and Environmental Parameters</t>
  </si>
  <si>
    <t>10.1021/acs.iecr.5c00494</t>
  </si>
  <si>
    <t>In chemical plantdesign, the definition of process operationsand risk analysis represents two essential steps during the basicand detailed engineering phases. Traditionally, these steps are carriedout in a multidisciplinary manner, yet often in isolation, with eachstep feeding iterative procedures where the output of one informsthe other. This work introduces a novel, integrated framework thatembeds process and risk analysis early in the conceptual phase ofplant design. By doing so, it enables the quantitative comparisonof emerging technologies, focusing on their intrinsic safety profiles.A dynamic extension of the Fire and Explosion Index (DF&amp;EI) hasbeen developed to directly account for the plant’s operationalconditions, forming the basis for a more comprehensive risk assessment.Moreover, the DF&amp;EI formulation allows to embed the DF&amp;EIitself in sensitivity analysis, allowing for a real-time quantificationof the metric changing the operating conditions. In addition, economicand environmental indices have been formulated to support a sustainabilityanalysis based on key performance indicators (KPIs). This holistic,integrated approach, which combines process simulators with newlydeveloped numerical tools, allows for the optimal selection of operatingconditions, such as pressure and temperature. Furthermore, a sustainability-orientedstrategy is paramount for the development of innovative processes,allowing for multidomain considerations aimed to find the best compromisefor present and future scenarios. To validate the methodology, theproposed protocol was implemented in Aspen Hysys to optimize the performanceof the biogas-to-methanol (BGtoMEOH) process, designed to convertbiogas into methanol via syngas. This demonstrates the robustnessand applicability of the approach in realistic industrial scenarios,both for simplified and extended process flow schemes. The resultsunderscore the effectiveness of the developed protocol across variousstages of process design while also revealing differences in the outcomesobtained at varying levels of detail in an industrial context. Inthe simplified case, the optimal solution demonstrated superior performanceacross all evaluated indicators─environmental, safety, andeconomic─with KPIs closely approaching the maximum value of1, indicating optimal performance in each domain. Conversely, in theextended scheme, the solution that achieved the highest performancein environmental and economic perspectives (i.e., unity values) wasfound to be among the most hazardous from a safety standpoint (witha KPI value proximate to 0.813). These findings highlight the criticalneed for tailored assessments at each design stage, moving beyondtraditional techno-economic analyses to address the specific demandsand contextual factors of the industrial initiative under consideration. © 2025 The Authors. Published by American Chemical Society</t>
  </si>
  <si>
    <t>C. Vianello; Department of Industrial Engineering, Università degli Studi di Padova, Padova, 35135, Italy; email: chiara.vianello@unipd.it</t>
  </si>
  <si>
    <t>Karimi Darvanjooghi M.H.; Magdouli S.; Brar S.K.</t>
  </si>
  <si>
    <t>Enzymatic Biooxidation Technology (EnBiTe): Process Optimization for Recovery of Gold from Refractory Sulfide Ores in Cold Conditions</t>
  </si>
  <si>
    <t>10.1021/acs.iecr.5c02072</t>
  </si>
  <si>
    <t>This study uses modular enzymatic systems to investigate the application of the Enzymatic Biooxidation Technology (EnBiTe) for gold recovery from refractory sulfide ores. The biooxidation process was optimized under various conditions, including substrate flow rates of 5–10 mL/h, circulation flow rates of 50–200 mL/h, and aeration flow rates of 1.0–2.0 L/min. The EnBiTe system utilized two immobilized enzyme modules: a glucose oxidase (GO) module to produce oxidizing agents and a catalase (CAT) module to mitigate oxidative stress by consuming excess hydrogen peroxide. These modules were organized in parallel and series configurations, and within the parallel configuration, they have demonstrated superior performance. Pyrite dissolution reached a maximum of 91% under optimized conditions with a substrate flow rate of 10 mL/h and a circulation flow rate of 100 mL/h. The recovery rate of gold (Au) using cyanidation was higher (90%) in the parallel configuration with a circulation flow rate of 100 mL/h. This research highlights the efficacy of modular EnBiTe systems as controllable and efficient solutions for enhancing gold recovery, offering significant advantages over conventional microorganism-assisted biooxidation methods. © 2025 American Chemical Society</t>
  </si>
  <si>
    <t>S.K. Brar; Department of Civil Engineering, Lassonde School of Engineering, York University, Toronto, M3J 1P3, Canada; email: satinder.brar@lassonde.yorku.ca</t>
  </si>
  <si>
    <t>Balasubramani K.; Sivarajasekar N.; Sarojini G.; Naushad M.</t>
  </si>
  <si>
    <t>Removal of Antidiabetic Pharmaceutical (Metformin) Using Graphene Oxide Microcrystalline Cellulose (GOMCC): Insights to Process Optimization, Equilibrium, Kinetics, and Machine Learning</t>
  </si>
  <si>
    <t>10.1021/acs.iecr.2c04480</t>
  </si>
  <si>
    <t>Cellulose is a basic material for the manufacture of filters and adsorbent materials, as well as for the removal of contaminants, especially in food, pharma and other industries. The goal of this research is to see how a novel arrangement of biomass resources (hybrid biomass) can be used to improve the characteristics and behavior of microcrystalline cellulose (MCC) produced by the traditional method of acid hydrolysis. Chemical oxidation cum exfoliation was used to synthesize graphene oxide (GO) nanoparticles, which were then composited with microcrystalline cellulose (GOMCC) and used for metformin (MFM) adsorption from an aqueous medium. The GOMCC characterized using particle size distribution, X-ray analysis (XRD), Raman spectra analysis, Fourier transform infrared spectroscopy (FTIR), field-emission scanning electron microscopy (FESEM) analysis, and transmission electron microscopy (TEM). The GOMCC that had been prepared was mesoporous and had a reasonable surface area (196 m2/g), with a pore volume of 0.134 cm3/g and pore width of 17.85 nm. Batch-mode adsorption was performed at various temperatures (288, 303, and 318 K), GOMCC amounts (50, 100, and 150 mg), MFM concentrations (30, 50, and 70 mg/L), and pH values (4.5, 6.5, and 8.5) and were investigated with the Box-Behnken statistical design. The machine learning, models Support Vector Machine (SVM), Gaussian Process Regression (GPR), Regression Trees (TREE), and Ensemble of Regression Trees (Ensemble) are used to predict the adsorptive removal of MFM onto GOMCC from the BBD design input. Different isotherm equations and various kinetic models were used to assess the sorption data and ideal values were determined using the sum of normalized errors methodology. MFM maximal sorption capacity was investigated to be 132.10 mg/g. The kinetics revealed that the pseudo-first-order model fit the data exactly. MFM sorption was found to be spontaneous (ΔG°) and exothermic (ΔH°) in a thermodynamic analysis. The chemisorption of MFM onto GOMCC was followed by subsequent pore diffusion, which was exothermic and spontaneous. The main mechanisms responsible for the removal of MFM were found to be π-πinteractions, alone interactions, sulfur interactions, hydrophobic and hydrogen bonding.  © 2023 American Chemical Society.</t>
  </si>
  <si>
    <t>K. Balasubramani; Department of Chemical Engineering, Hindusthan College of Engineering and Technology, Valley Campus, Coimbatore, Tamilnadu, 641032, India; email: petrobala86@gmail.com</t>
  </si>
  <si>
    <t>Moussaoui H.</t>
  </si>
  <si>
    <t>Achieving energy savings and process optimization in plastic injection molding: A design of experiments study</t>
  </si>
  <si>
    <t>10.1016/j.jclepro.2024.143835</t>
  </si>
  <si>
    <t>The plastic injection molding process is essential for rapidly producing intricate plastic parts, yet optimizing its energy efficiency without compromising quality remains a challenge. This paper uses the Plackett-Burman method to investigate parameter interactions and identify optimal settings to minimize energy consumption while maintaining quality with the 750-ton hydraulic injection molding machine. Analysis of variance statistically evaluates parameter impacts. Specific energy consumption and cycle time are chosen as response variables, with eight parameters as factors. Results show screw rotation speed significantly impacts Specific energy consumption (84.18%) and mold closing movement affects cycle time (29.27%). The model explains 94.2% of Specific energy consumption variability and 99.34% of cycle time variability. Specifically, the study found that with an optimal configuration of the parameters, the system achieves an average specific energy consumption of 21.7477 kWh/kg and an average cycle time of 38.174 s. Pareto analysis highlights key factors for optimization, guiding efforts to improve energy efficiency. Interaction analysis reveals factors are largely independent. The prediction profiler offers insights into achieving lower energy consumption and cycle time, aiding cost reduction and process optimization. This study provides valuable insights for enhancing efficiency and sustainability in plastic injection molding. It introduces the novel application of the Plackett-Burman design to optimize energy efficiency in plastic injection molding. These crucial insights address complexity in industrial plastics manufacturing, focusing on key factors impacting energy and cycle time. © 2024 Elsevier Ltd</t>
  </si>
  <si>
    <t>Analysis of variance (ANOVA); Design of experiments; Energy efficiency; Plastic injection molding; Process optimization; Specific energy consumption</t>
  </si>
  <si>
    <t>Wang W.; Hu Y.; Zhang L.; Chen G.</t>
  </si>
  <si>
    <t>Lithium Extraction from Acidic Salt Lake Brine Using Solvent Extraction to Prepare Lithium Carbonate: Process Optimization and Mechanism Analysis</t>
  </si>
  <si>
    <t>10.1021/acs.iecr.5c03096</t>
  </si>
  <si>
    <t>This study proposed a simplified process in which FeCl3 was directly dissolved in actual acidic salt-lake brine, in contrast to the conventional tributyl phosphate (TBP)/FeCl3 extraction system that requires predissolving FeCl3 in an acidic, saturated MgCl2 solution prior to mixing with TBP to prepare the Fe3+-loaded organic phase. This modification streamlined the operational procedure and significantly reduced the rate of reagent consumption. Under optimized conditions (organic-to-aqueous phase ratio = 2, 70 vol % TBP, Fe/Li molar ratio = 1.5), the process achieved a lithium-extraction efficiency of 93.34%. The extraction mechanism of Li+, which involves cation exchange and coordination between TBP and Li+, was elucidated by Fourier-transform infrared spectroscopy and nuclear magnetic-resonance analysis. Furthermore, lithium carbonate with a purity of 97.48% was obtained from the stripping solution. Overall, this work provides a practical basis for the design and optimization of lithium extraction from salt-lake brine with high Mg/Li ratios. © 2025 American Chemical Society</t>
  </si>
  <si>
    <t>G. Chen; Textile Pollution Controlling Engineering Centre of Ministry of Environmental Protection, College of Environmental Science and Engineering, Donghua University, Shanghai, 201620, China; email: cheng@dhu.edu.cn</t>
  </si>
  <si>
    <t>Chen Z.; Zhang Y.; Zhou M.; Yin K.; Zhou Y.; Cui P.; Zhu Z.; Zhong L.; Wang Y.</t>
  </si>
  <si>
    <t>Mechanism analysis and process optimization of acetone–methanol azeotrope separation using 1-ethyl-3-methylimidazolium acetate based mixed extractants</t>
  </si>
  <si>
    <t>10.1016/j.jclepro.2022.134687</t>
  </si>
  <si>
    <t>The development of high-performance extractants and intensification technologies is crucial for saving energy in the separation of azeotropes by extractive distillation. An effective method for separating azeotropes by extractive distillation using an organic solvent–ionic liquid mixed extractant is proposed. The selectivity and solubility of 96 ionic liquids were calculated based on the conductor-like screening model for real solvents, and the best extractant, 1-ethyl-3-methylimidazolium acetate ([EMIM][AC]), was obtained. The interaction energy, bond length, and independent gradient model based on the Hirshfeld partition between different components and azeotropes were calculated by applying quantum chemistry to analyze the structure–activity relationship between molecules. The results showed that dimethyl sulfoxide has a stronger interaction with methanol than with other organic extractants, [EMIM][AC] + dimethyl sulfoxide is more likely to form hydrogen bonds with methanol, the O atom in dimethyl sulfoxide mainly forms hydrogen bonds with the H atom in methanol, and the H atom in [EMIM][AC] mainly forms hydrogen bonds with the O atom of methanol. In addition, a process for separating acetone–methanol by extractive distillation using a mixed extractant was designed. The minimum total annual cost (TAC) was considered as the objective function, and a sequential iterative optimization algorithm was used to optimize the separation process and obtain the optimal operating parameters. The results showed that the TAC of the extractive distillation process of [EMIM][AC] + dimethyl sulfoxide mixed extractant was 15.00% lower than that of [EMIM][AC] + N,N-dimethylformamide and 42.10% lower than that of [EMIM][AC] + N-methylpyrrolidone. In the extractive distillation process, the pollutant gas emissions of [EMIM][AC] + dimethyl sulfoxide decreased by 43.29% compared with those of [EMIM][AC] + N-methylpyrrolidone and 7.87% compared with those of [EMM][AC] + N,N-dimethylformamide. Finally, an energy-saving process of vapor-recompression extractive distillation was explored. The results showed that the TAC of vapor-recompression-assisted extractive distillation was 3.98% lower than that of [EMIM][AC] + dimethyl sulfoxide and that the pollutant gas emissions were 20.28% less than those of [EMIM][AC] + dimethyl sulfoxide. This study on the structure–activity relationship of mixed extractants and process optimization provides theoretical guidance for the separation of azeotropes in the industry. © 2022 Elsevier Ltd</t>
  </si>
  <si>
    <t>Azeotrope; Extractive distillation; Mixed extractants; Process simulation; Quantum chemistry</t>
  </si>
  <si>
    <t>Y. Wang; College of Chemical Engineering, Qingdao University of Science and Technology, Qingdao, 266042, China; email: wangyinglong@qust.edu.cn</t>
  </si>
  <si>
    <t>Ahmadkelayeh S.; Cheema S.K.; Hawboldt K.</t>
  </si>
  <si>
    <t>Extraction of astaxanthin from atlantic shrimp by-products using fish oil: Process optimization and operational parameter effects</t>
  </si>
  <si>
    <t>10.1016/j.jclepro.2022.133609</t>
  </si>
  <si>
    <t>Astaxanthin, a high value carotenoid used in pharmaceutical and nutritional applications, is high in shrimp relative to other crustaceans. This study investigates waste fish oil as an alternative to vegetable oil/organic solvents for astaxanthin recovery and presents the first comprehensive analysis of yields and compositions of lipid/fatty acid and astaxanthin using fish oil from shrimp processing by-products as a function of time, temperature and oil:waste ratio and pre-treatment. Box–Behnken design was used to determine the conditions that maximized astaxanthin yield (65 °C, 9:1 oil/by-product and 1.5 h). The extracts were high in triacylglycerols/omega-6 fatty acids relative to other solvents. Overall, pre-treatment to remove water increased astaxanthin yield. Long extraction times at lower temperature or high temperatures at lower extraction times reduce astaxanthin degradation/isomerisation. © 2022 Elsevier Ltd</t>
  </si>
  <si>
    <t>S. Ahmadkelayeh; Department of Process Engineering, Faculty of Engineering and Applied Science, St. John's, A1B 3X5, Canada; email: sahmadkelaye@mun.ca</t>
  </si>
  <si>
    <t>Yang M.; Ma Z.; Chen L.; Sun W.; Zhao L.</t>
  </si>
  <si>
    <t>Process Optimization and Kinetic Modeling for Sucrose Acylation to Sucrose-6-acetate through the Dibutyltin Oxide Method</t>
  </si>
  <si>
    <t>10.1021/acs.iecr.4c00530</t>
  </si>
  <si>
    <t>Sucrose-6-acetate (S-6-A) is an important intermediate in the industrial production process of sucralose. In this work, the synthesis and reaction kinetics for both the high-temperature and low-temperature processes of sucrose acylation to produce S-6-A via the dibutyltin oxide method were investigated. The influences of the molar ratios of both dibutyltin oxide (DBTO)/sucrose and acetic anhydride/sucrose, reaction time, and temperature on the yield of S-6-A were evaluated. Based on the reaction mechanism of the high-temperature process and the solubility characteristic of DBTO, the first-order pseudohomogeneous kinetic model was proposed, which fitted experimental data well in the temperature range of 360.15 to 370.65 K. In addition, the second-order pseudohomogeneous kinetic model was established for the low-temperature process, and the model fitting was in good agreement with experimental data in the temperature range of 274.15 to 296.15 K. The results indicate that the early stage cooling and reduction of reaction time can significantly enhance the yield of S-6-A in the low-temperature process. Hopefully, the kinetic models developed in this work can provide valuable insights into the process optimization of the acylation reaction, the design of the reactors, and the continuous process. © 2024 American Chemical Society.</t>
  </si>
  <si>
    <t>W. Sun; State Key Laboratory of Chemical Engineering, School of Chemical Engineering, East China University of Science and Technology, Shanghai, 200237, China; email: sunwz@ecust.edu.cn</t>
  </si>
  <si>
    <t>Rajendran N.; Kang D.; Han J.; Gurunathan B.</t>
  </si>
  <si>
    <t>Process optimization, economic and environmental analysis of biodiesel production from food waste using a citrus fruit peel biochar catalyst</t>
  </si>
  <si>
    <t>10.1016/j.jclepro.2022.132712</t>
  </si>
  <si>
    <t>The concept of sustainably reusing food waste to produce value-added byproducts, such as biodiesel, was studied. Food waste is an organic-rich source of lipids. An optimization study of the extraction of oil from food waste using a solvent for biodiesel production was undertaken. A biochar catalyst derived from citron (Citrus medica) peel containing a rich carbon source. A biodiesel yield of 96.3% was obtained under the optimized reaction conditions of a 1:10 oil to methanol molar ratio, 4 w% catalyst loading, reaction temperature of 55 °C, and a reaction time of 52 min. The conditions were optimized by response surface methodology with a central composite design. The biochar catalyst maintained a significant biodiesel yield for four cycles. This techno-economic analysis found that the annual plant revenue was $24,140,000 for a project lifetime of 20 years, the payback time was 3.16 years, the internal rate of return after tax was 39.92%, and the net present value at 10.0% interest was $55,017,000. A minimum biodiesel selling price of 0.46 $/kg was used, and the environmental sustainability of the produced biodiesel was assessed by a life cycle assessment. The impact of global warming potential on the FW-based biodiesel scenario was −3.967 kg CO2 equivalent. © 2022 Elsevier Ltd</t>
  </si>
  <si>
    <t>Biochar catalyst; Biodiesel; Food waste; Lifecycle assessment; Techno-economic analysis</t>
  </si>
  <si>
    <t>Choi A.E.S.; Roces S.A.; Dugos N.P.; Wan M.W.</t>
  </si>
  <si>
    <t>Adsorption of sulfones from actual oxidized diesel oil in the frame of oxidative desulfurization: A process optimization study using activated clay</t>
  </si>
  <si>
    <t>10.1016/j.jclepro.2022.132357</t>
  </si>
  <si>
    <t>Fossil-fuel derived oils in its raw form can be treated by oxidative desulfurization (ODS) to effectively remove sulfur compounds. The ODS technology undergoes an oxidation followed by the adsorption process. This research focuses on the integration of a process optimization on the latter part of the ODS. Specifically, the utilization of the activated clay adsorbent in the oxidized diesel oil was comprehensively examined. A Box-Behnken design under the response surface methodology in the adsorption process was utilized to investigate the sulfur reduction parameter by the process variables of initial pH (pH 1 to pH 5), adsorbent dosage (1 g–5 g), and adsorption temperature (25 °C–55 °C). The identification of the significant level was studied through the analysis of variance for the individual process variable and the variable interactions. The result indicated that the adsorbent dosage was an extremely significant (p-value &lt; 0.0001) process variable. The optimal sulfur reduction of 91.9% in the oxidized diesel oil can be obtained at the conditions of pH 1.19, 4.99 g, and 25.8 °C by the process variables of pH, adsorbent dosage, and temperature, respectively. The results of the research study demonstrate an innovative applicability of the activated clay in the oxidized diesel oil in the frame of ODS. This further supports the prospective usability of the clay material adsorbent for future industrial applications in the field of desulfurization. © 2022 Elsevier Ltd</t>
  </si>
  <si>
    <t>Activated clay; Box-Behnken design; Oxidative desulfurization; Oxidized diesel oil; Process optimization; Sulfur reduction</t>
  </si>
  <si>
    <t>Cheng J.; Zhang C.; Lin J.; Zhao Y.; Huang Y.; Shi M.; Zhu Z.; Chai L.; Yan X.; Wang Q.</t>
  </si>
  <si>
    <t>Multistage crystallization strategy for simultaneous recovery of NH₄SCN and (NH₄)₂SO₄ from hazardous desulfurization residues: Process optimization and techno-economic assessment</t>
  </si>
  <si>
    <t>10.1016/j.psep.2025.107221</t>
  </si>
  <si>
    <t>The coking industry generates hazardous desulfurization waste liquid (DWL), which contains abundant sulfur-containing salts such as ammonium thiocyanate (AT), ammonium sulfate (AS), and ammonium thiosulfate. However, improper handling of DWL poses severe environmental risks. Conventional treatment methods, including high-temperature pyrolysis, chemical precipitation, and evaporation crystallization, suffer from critical limitations: low sulfur recovery rates (typically 40 %–70 %), high operational costs, and insufficient product purity. To address these challenges, this study innovatively proposes an evaporation-cooling pretreatment process guided by the NH₄SCN-AS-H₂O ternary phase equilibrium system. For the first time, this method achieves ultra-high-purity products: ammonium thiocyanate (AT) at 98.54 % purity and ammonium sulfate (AS) at 99.92 % purity, with a total sulfur recovery rate of 90.92 %—40 % higher than traditional approaches. Additionally, the mixed salt (MS) byproduct undergoes solvent crystallization to yield secondary products with purity exceeding 99.96 %, eliminating the need for toxic reagents. By integrating phase diagram-guided optimization with streamlined operational procedures, this process significantly reduces costs while ensuring environmental sustainability, thereby establishing a novel pathway for resource recovery from DWL. © 2025</t>
  </si>
  <si>
    <t>Desulfurization waste liquid; Pre-separation; Recovery and separation; Sulfur; Ternary system</t>
  </si>
  <si>
    <t>X. Yan; School of Metallurgy and Environment, Central South University, Changsha, 410083, China; email: yanxu1202@csu.edu.cn</t>
  </si>
  <si>
    <t>Chen W.-H.; Lin Y.-T.; Biswas P.P.; Kwon E.E.; Tung T.-C.; Lee C.-E.; Ryšavý J.; Čespiva J.</t>
  </si>
  <si>
    <t>Oxygen-rich torrefaction of bamboo: Multivariate process optimization and environmental assessment</t>
  </si>
  <si>
    <t>10.1016/j.psep.2026.108473</t>
  </si>
  <si>
    <t>Torrefaction is a promising pretreatment method to enhance the fuel properties of lignocellulosic biomass; however, conventional studies are typically restricted to inert, air-limited, or air or flue gas atmospheres. In addition to inert and air torrefaction, this study also investigates the oxygen-rich torrefaction of bamboo (Phyllostachys makinoi Hay) under O2 concentrations up to 30 % to analyze both process performance and environmental implications. A three-level full factorial design combined with analysis of variance (ANOVA) is employed to optimize torrefaction operations in terms of energy yield, higher heating value, and solid product quality. Oxygen enrichment accelerates the devolatilization of bamboo and enhances carbonization efficiency, resulting in significantly higher energy densification. However, these benefits are accompanied by increased mass loss as oxygen levels rise, highlighting a clear trade-off between biochar quality and solid yield. Statistical modeling reveals a strong predictive capability (R2&gt; 0.95) for key responses, enabling the accurate determination of optimal conditions. For 1 kg of bamboo-derived biochar at a lab scale, the global warming potential (GWP) was found to range from 12 to 13 kg CO2-eq. Higher O2 levels improve fuel quality but increase indirect CO2 emissions from oxygen supply in the life cycle assessment (LCA). This highlights the critical need to strike a balance between process efficiency and overall sustainability goals. Overall, this work provides novel insights into the mechanisms, optimization, and environmental trade-offs of oxygen-rich bamboo torrefaction, offering guidance for designing low-carbon bioenergy systems and expanding the applicability of torrefaction in sustainable energy transitions. © 2026 The Institution of Chemical Engineers</t>
  </si>
  <si>
    <t>Analysis of variance (ANOVA); Bamboo; Biochar; Global warming potential (GWP); Life cycle assessment (LCA); Oxygen-rich torrefaction</t>
  </si>
  <si>
    <t>W.-H. Chen; Department of Aeronautics and Astronautics, National Cheng Kung University, Tainan, 701, Taiwan; email: chenwh@mail.ncku.edu.tw</t>
  </si>
  <si>
    <t>Ma H.; Yang L.; Yao C.; Zhao S.; Jiao F.; Luo G.; Chen G.</t>
  </si>
  <si>
    <t>Liquid-liquid addition reaction of ethylene oxide with hydrazine hydrate in microreactors: Kinetics and process optimization</t>
  </si>
  <si>
    <t>10.1016/j.cej.2024.154511</t>
  </si>
  <si>
    <t>The addition reaction of ethylene oxide (EO) and hydrazine hydrate (N2H4·H2O) to β-hydroxyethyl hydrazine (HEH) is an important process for the synthesis of hydrazine-derived monopropellant in the aerospace industry. Due to the complexity of this reaction mechanism, it is difficult to reduce the formation of byproducts and efficiently obtain pure HEH. Hence it is necessary to investigate process behavior and establish kinetic network for further optimization. Here a continuous microflow system was developed to systematically investigate the synthesis of HEH under high pressure in the liquid–liquid form. A simple and effective pre-column derivatization method was applied to characterize and quantify the product. Subsequently, a thorough optimization of parameters, including N2H4·H2O concentration, molar ratio (N2H4·H2O/EO), temperature and reaction time, was conducted. Additionally, response surface methodology was employed to optimize the reaction conditions, illuminating the intricate interactions among the specified variables and achieving a high HEH yield of 96.97 %. Finally, a kinetic model was established, and the activation energies for the main reaction and side reaction were measured to be 38.31 kJ·mol−1 and 44.94 kJ·mol−1, respectively. This kinetic model can enable the accurate determination of kinetic parameters and provide guidance for the process intensification of this EO addition reaction. © 2024 Elsevier B.V.</t>
  </si>
  <si>
    <t>Addition reaction; Energetic material; Kinetics; Microreactor; β-Hydroxyethyl hydrazine</t>
  </si>
  <si>
    <t>G. Chen; Dalian Institute of Chemical Physics, Chinese Academy of Sciences, Dalian, 116023, China; email: gwchen@dicp.ac.cn</t>
  </si>
  <si>
    <t>Muthukumar C.; Changmai M.; Vincent S.; Raju K.; Mathai J.; Damale S.; B G P.K.</t>
  </si>
  <si>
    <t>Process optimization, characterization and economic evaluation of nanoparticles derived from galvanic sludge for photodegradation of 4-nitrophenol under natural sunlight</t>
  </si>
  <si>
    <t>10.1016/j.jclepro.2022.133616</t>
  </si>
  <si>
    <t>The United Arab Emirates has an average of 10 h of sunlight and is available almost throughout the year. This energy has a huge potential to be utilized in photodegrading wastewater. To engineer a sustainable photocatalyst, the waste (galvanic sludge) obtained from the galvanization industry was utilized to degrade 4-nitrophenol under natural sunlight. Detailed morphological, chemical, and optical characterization of galvanic sludge (GS) was performed by UV-DRS, FESEM-EDX, XRD, XPS, PL, FTIR, and GC-MS. RSM-CCD was utilized for optimizing the three key parameters, such as pH, photocatalyst loading, and 4-nitrophenol concentration. The highest photodegradation efficiency of about 94.5% was obtained for a 4-nitrophenol concentration of 30 ppm with a photocatalyst loading of 0.02 g at a pH of 6 with 0.01 mL of H2O2. Based on the analysis of variance results, the R2 value of the overall model was 98.1%, which indicated that the obtained model was well suited for degrading 4-nitrophenol. An economic evaluation was performed for applicability in the real world. For this photodegradation model, the cost of treatment was determined to be USD 17.5/m3. To the best of our knowledge, for the first time we have innovatively used GS as an efficient photocatalyst for treating 4-nitrophenol. © 2022</t>
  </si>
  <si>
    <t>Economic evaluation; Galvanic sludge; RSM-CCD; Sunlight</t>
  </si>
  <si>
    <t>P.K. B G; Department of Chemical Engineering, BITS Pilani, Dubai Campus, International Academic City, Dubai, United Arab Emirates; email: prakash@dubai.bits-pilani.ac.in</t>
  </si>
  <si>
    <t>Liu H.; Basar I.A.; Lyczko N.; Nzihou A.; Eskicioglu C.</t>
  </si>
  <si>
    <t>Incorporating hydrothermal liquefaction into wastewater treatment – Part I: Process optimization for energy recovery and evaluation of product distribution</t>
  </si>
  <si>
    <t>10.1016/j.cej.2022.137838</t>
  </si>
  <si>
    <t>The treatment of significant amounts of municipal sewage sludge requires novel and efficient technologies. This study evaluated hydrothermal liquefaction as a means to sustainably convert sludge waste into a renewable energy source – biocrude, which can mitigate both environmental and energy-related challenges. Response surface methodology was employed to investigate the effects of reaction temperature (290–360 °C) and residence time (0–30 min) on product yield and biocrude quality. Both the highest and the lowest reaction temperature or residence time had negative effects on biocrude yield and energy recovery (ER), while high reaction severities improved biocrude quality. Under optimized conditions (332 °C for 16.9 min), biocrude yield (48.9%, dry ash-free) and ER (70.8%) were maximized. Biocrude composition followed the order of N-heterocycles &gt; O-heterocycles &gt; hydrocarbons, while nitrogenous compounds reduced, and hydrocarbons increased with reaction temperature. More distillable fractions in biocrude were also produced at higher reaction severities. The possible reaction pathways of biocrude formation were discussed and updated to include catalytic effects on inherent metals and Brønsted (acidic and basic) sites. The high content of O (7.8–13.1%), N (4.4–4.9%), and TAN (48.6–63.6 mg KOH/g) suggested the necessity of biocrude upgrading. Separating and recycling trace metals (e.g., 497–656 mg/kg Fe) from biocrude are necessary to relieve upgrading challenges. C, N, and P were mostly distributed into HTL biocrude, aqueous, and hydrochar, respectively, allowing their recovery. Most metals were concentrated in hydrochar. The results contribute to the advancement of the state of the art in biorefinery, which will guide the design of full-scale HTL sludge treatment systems combining resource recovery. © 2022 Elsevier B.V.</t>
  </si>
  <si>
    <t>Biofuels; Hydrothermal conversion; Pathway; Response surface methodology; Sewage sludge; Wastewater treatment</t>
  </si>
  <si>
    <t>C. Eskicioglu; UBC Bioreactor Technology Group, School of Engineering, The University of British Columbia, Okanagan Campus, Kelowna, 1137 Alumni Avenue, V1V 1V7, Canada; email: cigdem.eskicioglu@ubc.ca</t>
  </si>
  <si>
    <t>Wang P.; Wang K.; Li T.; Zhang S.; Wu J.; Wu F.; Fang G.; Wu C.; Liu X.</t>
  </si>
  <si>
    <t>Ultrasonic-assisted deep eutectic solvents extraction of saponins from Strobilanthes sarcorrhiza: Process optimization and mechanistic insights</t>
  </si>
  <si>
    <t>10.1016/j.cej.2026.173213</t>
  </si>
  <si>
    <t>Deep eutectic solvents (DESs) have emerged as a sustainable alternative for the efficient extraction of bioactive compounds. This study presents a green and efficient strategy for the extraction and purification of saponins from Strobilanthes sarcorrhiza C.Ling (SSC) using DESs. Seventeen different DESs were screened, with malic acid-choline chloride (Mal-ChCl, 3:1) identified as the most effective. The extraction process was optimized via response surface methodology, yielding optimal conditions of 63 °C, 60 min, and a liquid-solid ratio of 37 mL/g, which resulted in a high saponin yield of 113.41 mg/g. Subsequent purification utilizing D101 macroporous resin demonstrated that the adsorption kinetics followed a pseudo-second-order model, confirming the process was dominated by chemical sorption. This integrated approach enabled the identification of 26 saponins, including Ginsenoside F1, Notoginsenoside R2, and Prosapogenin A. To unravel the underlying extraction mechanism, molecular dynamics simulations were employed, revealing that the process was driven by a synergy of hydrogen bonding, π-π stacking, van der Waals interactions, and charge transfer. Critical interactions were found to involve the Cl− and OH groups of ChCl and the OH, C-O, and COOH groups of Mal. Electron cloud analysis further pinpointed the Cl− anion and the C=O/COOH groups as key active sites for saponin-DESs interaction. This work not only provides a sustainable and effective protocol for saponin extraction from SSC but also offers profound molecular-level insights into the mechanism, highlighting the significant potential of DESs in advanced separation processes. © 2026 Elsevier B.V.</t>
  </si>
  <si>
    <t>Deep eutectic solvent; Molecular simulation; Saponin; Strobilanthes sarcorrhiza C.Ling</t>
  </si>
  <si>
    <t>C. Wu; College of Food and Health, Zhejiang Agriculture and Forestry University, Hangzhou, 311300, China; email: changlingwu@zafu.edu.cn</t>
  </si>
  <si>
    <t>Chen Y.; Yu J.; Yang Y.; Huo F.; Li C.</t>
  </si>
  <si>
    <t>A continuous process for cyclic carbonate synthesis from CO2 catalyzed by the ionic liquid in a microreactor system: Reaction kinetics, mass transfer, and process optimization</t>
  </si>
  <si>
    <t>10.1016/j.cej.2022.140670</t>
  </si>
  <si>
    <t>The reaction of CO2 and propylene oxide (PO) for the synthesis of propylene carbonate (PC) is an important reaction, but the reaction is generally carried out under high-temperature and high-pressure conditions due to the limitations of reaction kinetics and mass transfer. Here, we propose a novel microreaction system catalyzed by ionic liquids (ILs). The reaction processes (e.g., catalyst, temperature, pressure, gas–liquid flow rate, catalyst concentration, residence time) were optimized within microreactors of different inner diameters. The kinetics for carbonate synthesis with CO2 catalyzed by ionic liquid (IL-[HMIM]Br) in a microreactor was evaluated, and the activation energy of [HMIM]Br was obtained. Based on the rough numerical estimation of mass transfer characteristics, coupled with the reaction characteristics, the microreactor enhancement can reduce the reaction time for this fast reaction to minutes, typically several hours in conventional reactors. This provides new opportunities for enhancing gas–liquid reactions with typical mass transfer control and for CO2 utilization to achieve carbon neutrality. © 2022 Elsevier B.V.</t>
  </si>
  <si>
    <t>CO&lt;sub&gt;2&lt;/sub&gt; fixation; Ionic liquid; Mass transfer; Microreactor; Reaction kinetics</t>
  </si>
  <si>
    <t>F. Huo; Beijing Key Laboratory of Ionic Liquids Clean Process, State Key Laboratory of Multiphase Complex Systems, Institute of Process Engineering, Chinese Academy of Sciences, Beijing, 100190, China; email: huofeng@ipe.ac.cn</t>
  </si>
  <si>
    <t>Liu M.; Kong L.; Zhang R.; Wang X.; Bi X.</t>
  </si>
  <si>
    <t>Multi-dimensional sustainability assessment and process optimization of toluene diisocyanate production: Integrating life cycle assessment, techno-economic analysis, and exergy analysis</t>
  </si>
  <si>
    <t>10.1016/j.jece.2026.122221</t>
  </si>
  <si>
    <t>Toluene diisocyanate (TDI), as a key precursor for polyurethane (PU) synthesis, has long faced the challenges of significant environmental impact and high economic costs in its traditional phosgene-based process. Although both light solvent and heavy solvent process routes have been adopted in industry, there is still a lack of systematic quantitative comparison of the two processes from the three dimensions of environmental impact, economic performance and energy efficiency at present. For this purpose, based on process simulation software, this study established two process flows for the preparation of TDI using phosgene method, respectively with light solvent chlorobenzene (MCB) and heavy solvent diethyl isophthalate (DEIP). This study further constructed a universal multi-dimensional evaluation framework, to systematically reveal the inherent trade-offs among environmental, economic, and thermodynamic goals through optimizing process parameters, and identify environmental hotspots and energy efficiency hotspots in the process flow. This framework strictly quantifies key performance indicators, including life cycle assessment (LCA) based on the EI16 index, total annual cost (TAC), and total exergy destruction (ED). Analysis indicates superior system performance for the light solvent process: compared to the heavy solvent process, it achieves approximately 40.9% lower TAC, 41.8% reduced environmental impact (EI16), and 34.6% lower total ED. © 2026 Elsevier Ltd.</t>
  </si>
  <si>
    <t>Economic evaluation; Exergy analysis; Life cycle assessment; Sustainable design; Toluene diisocyanate</t>
  </si>
  <si>
    <t>L. Kong; College of Chemical Engineering, Qingdao University of Science and Technology, Qingdao, 266042, China; email: klq@qust.edu.cn</t>
  </si>
  <si>
    <t>Kayathi A.; Chakrabarti P.P.; Bonfim-Rocha L.; Cardozo-Filho L.; Bollampalli A.; Jegatheesan V.</t>
  </si>
  <si>
    <t>Extraction of γ-Oryzanol from defatted rice bran using supercritical carbon dioxide (SC-CO2): Process optimisation of extract yield, scale-up and economic analysis</t>
  </si>
  <si>
    <t>10.1016/j.psep.2020.09.067</t>
  </si>
  <si>
    <t>Sustainable agricultural practises ensure production of quality products having negligible environmental impacts replacing conventional techniques. Supercritical carbon dioxide (SC−CO2) extraction, a replacement to flammable, toxic, non-ecological solvent extraction was carried out in this study to extract γ-oryzanol, a potent bioactive ingredient, from defatted rice bran. The response surface methodology was applied to optimize the handling parameters such as temperature, pressure and CO2 flow rate. Extraction of γ-oryzanol is investigated at low pressures (such as 15, 20 and 25 MPa) compared to previous studies. The highest (optimum) yield of γ-oryzanol was 36,000 mg.kg−1 at 10 w/w% of ethanol as co-solvent and the corresponding temperature, pressure and CO2 flow rate were 48.9 °C, 23.9 MPa and 29.8 g.min−1, respectively. The techno-economic assessment using Aspen plus software evaluated the return of investment of the plant processing 3000 tonnes of rice bran per year accounts for a net present value almost double the investment cost having a payback period of around 5 years. © 2020 Institution of Chemical Engineers</t>
  </si>
  <si>
    <t>Box-behnken design; Defatted rice bran; Process simulation; Supercritical carbon-dioxide extraction; γ-Oryzanol</t>
  </si>
  <si>
    <t>V. Jegatheesan; School of Engineering, RMIT University, Melbourne, 3000, Australia; email: jega.jegatheesan@rmit.edu.au</t>
  </si>
  <si>
    <t>Cao Y.; Gao R.; Lei J.; Hou Y.; Xu M.; Cao S.; Chen Z.; Duan Y.; Du H.</t>
  </si>
  <si>
    <t>Mechanistic insights into Cl transformation and calcium-based dechlorination during pyrolysis of waste plastics: Kinetics, product analysis and process optimization</t>
  </si>
  <si>
    <t>10.1016/j.jece.2025.119459</t>
  </si>
  <si>
    <t>Pyrolysis presents a promising pathway for the chemical recycling of waste plastics. However, the pyrolysis of chlorine-containing plastics can generate hazardous chlorinated compounds. Therefore, it is critical to investigate the migration, transformation, and removal of chlorine during pyrolysis to enable environmentally sustainable recycling. In this study, we combined kinetic analysis with in-situ FTIR and TG-FTIR-MS to elucidate the mechanisms of chlorine migration and transformation during the pyrolysis of chlorinated mixed plastics (CMPs). An efficient dechlorination process using calcium-based additives was also developed. The results indicate that the pyrolysis of CMPs occurs in two distinct stages (Stage Ⅰ and Stage Ⅱ), with average apparent activation energies (Ea) of 166.69 kJ/mol and 243.86 kJ/mol, respectively. The process followed mechanism functions involving diffusion, nucleation, and phase boundary reactions. Initially, weak C–Cl and C–H bonds ruptured preferentially, releasing HCl. This was followed by synergistic cleavage of the main C–C chains, generating radicals such as methyl (·CH₃), butyl (·C₄H₉), propylene (·C₃H₅), and phenyl (·C₆H₅). The combination of these radicals with free chlorine radicals (·Cl) resulted in the formation of diverse and complex chlorinated organic compounds. For dechlorination, Ca(OH)₂ was identified as the optimal calcium-based additive, achieving a chlorine removal efficiency of 97.75 %, attributed to its self-decomposition behavior. This study clarifies the transformation pathways of chlorinated pollutants during pyrolysis and proposes a practical calcium-based dechlorination strategy to support sustainable chlorine management in the valorization of plastic waste. © 2025 Elsevier Ltd.</t>
  </si>
  <si>
    <t>Dechlorination; In-situ FTIR; Kinetics; TG-FTIR-MS; Waste plastics</t>
  </si>
  <si>
    <t>H. Du; College of Chemistry and Chemical Engineering, Qingdao University, Qingdao, Shandong, 266071, China; email: duhui@qdu.edu.cn</t>
  </si>
  <si>
    <t>Song Q.; Ni L.; Jiang J.; Chen Z.; Fu G.; Yao H.; Cheng Z.</t>
  </si>
  <si>
    <t>Process optimization and thermal hazard analysis of the preparation of diphenyl sulfoxide using hydrogen peroxide as oxidant</t>
  </si>
  <si>
    <t>10.1016/j.psep.2022.10.042</t>
  </si>
  <si>
    <t>In this study, diphenyl sulfoxide was prepared by oxidizing diphenyl sulfide with hydrogen peroxide using phosphotungstic acid as catalyst in semi-batch mode. In order to optimize the synthesis process, a four-factor three-level Box-Behnken design was adopted. The result showed that under the optimal condition, namely catalyst concentration 0.19 mmol/mol, oxygen-sulfur ratio 1.08, reaction temperature 30 ºC, and dosing time 15 min, the yield of diphenyl sulfoxide could reach up to 79.05%. In addition, the thermal behavior of synthesis process was systematically investigated using a reaction calorimeter (EasyMax 102) equipped with a situ FTIR monitoring. The receivable mechanism is that H2O2 is activated by the catalyst and subsequently reacts with diphenyl sulfide to produce oxidized product. H2O2 was relatively stable when PTA was used as catalyst. Thermal risk index was used to assess the thermal hazard of H2O2 &amp; PTA. Furthermore, risk matrix method as well as Stoessel criticality diagram was used to assess the thermal risk of the process and an unacceptable risk was obtained. One of the main hidden dangers was the potential chemical splatter caused by decomposition of H2O2. It should be equipped with a pre-set quench or sufficient emergency discharge to avoid further loss. The results of this work proposed a solid foundation for the safe operation of this process and can be further used for scale-up. © 2022 The Institution of Chemical Engineers</t>
  </si>
  <si>
    <t>Diphenyl sulfide oxidation process Box–Behnken design process optimization thermal risk</t>
  </si>
  <si>
    <t>Yao H.; Fu G.; Ni Y.; Ni L.; Jiang J.; Zhang H.; Cheng Z.; Chen Z.</t>
  </si>
  <si>
    <t>Process optimization, thermal hazard evaluation and reaction mechanism of m-xylene nitration using HNO3-Ac2O as nitrating reagent</t>
  </si>
  <si>
    <t>10.1016/j.psep.2023.12.062</t>
  </si>
  <si>
    <t>Nitro-m-xylenes (NMX) was synthesized in semi-batch mode via m-xylene nitration using nitric acid-acetic anhydride (HNO3-Ac2O) as nitrating reagent in this work. The nitration process was optimized by response surface methodology. The yield of NMX could reach 92.40% under the optimal conditions of jacket temperature of 20 °C, 0.15 mol of HNO3 and 0.19 mol of Ac2O. Corresponding large reaction enthalpy (ΔH=240.9 kJ/mol) and adiabatic temperature rise (ΔTad,r =398.1 K) indicated the serious hazards of nitration in a thermal runaway scenario. Pyrolysis of nitration products occurred at about 320–400 °C by differential scanning calorimetry tests. The reaction order of the pyrolysis was determined to be 1.2 by adiabatic kinetic analysis. Thermal risk of the nitration process was assessed to be acceptable and level 1 via the risk matrix and Stoessel criticality diagram analyses, respectively. Furthermore, detailed nitration mechanisms for NO2+ generation and aromatic substitution were presented. The activation free enthalpy and free energy parameters for each step were calculated by density functional theory (DFT). These findings can help understand the exothermic sources of m-xylene nitration and guide the intrinsically safer design and scale-up of the process. © 2023 The Institution of Chemical Engineers</t>
  </si>
  <si>
    <t>Density functional theory; Nitration; Nitration mechanism; Response surface methodology; Thermal runaway</t>
  </si>
  <si>
    <t>L. Ni; Jiangsu Key Laboratory of Hazardous Chemicals Safety and Control, College of Safety Science and Engineering, Nanjing Tech University, Nanjing, 210009, China; email: lei_ni@163.com</t>
  </si>
  <si>
    <t>Alaithan A.; Elsharkawy K.; Ghanem A.S.; Elnakar H.; Elsamadony M.</t>
  </si>
  <si>
    <t>Eco-engineered ammonia removal via coupled electrocoagulation and ozonation: Process optimization and environmental insights</t>
  </si>
  <si>
    <t>10.1016/j.jece.2025.120616</t>
  </si>
  <si>
    <t>Ammonia removal from industrial wastewater remains a pressing environmental challenge, yet its sustainability implications are rarely quantified. This study presents integrated performance and life cycle assessment (LCA) of standalone and hybrid processes combining ozonation (O3) with electrocoagulation (EC) for ammonia-rich effluents. The hybrid O3 + EC configuration achieved 5.9- and 2.2-fold improvements in removal efficiency over EC and O3 alone, respectively, reaching 72.4 ± 9.5 % removal under optimal conditions (pH 10.0–10.5, 25 mA/cm2, 30 min). The synergistic performance arises from the co-generation of reactive oxygen species and aluminum hydroxide flocs, which accelerate ammonia oxidation and adsorption while minimizing nitrate accumulation. At this optimum, nitrite stabilized at 42.9 ± 7.1 mg/L and nitrate remained below 0.3 mg/L, confirming controlled nitrogen transformation pathways. The integrated system also demonstrated substantial environmental benefits: global warming potential, ozone depletion, and mineral resource depletion were reduced by 76.4 %, 73.8 %, and 74.5 %, respectively, compared to EC alone. These findings establish the O3 + EC hybrid as a novel, scalable, and environmentally superior technology for ammonia-rich wastewater treatment, bridging performance optimization with life cycle sustainability and industrial feasibility. © 2025 Elsevier Ltd.</t>
  </si>
  <si>
    <t>Ammonia removal; Life cycle assessment; Ozonation-electrocoagulation synergy; Process optimization</t>
  </si>
  <si>
    <t>M. Elsamadony; Department of Mechanical Engineering, King Fahd University of Petroleum &amp; Minerals, Dhahran, 31261, Saudi Arabia; email: mohamed.elsamadony@kfupm.edu.sa</t>
  </si>
  <si>
    <t>Tian T.; Lan Z.; Liu X.; Guo X.; Chen C.</t>
  </si>
  <si>
    <t>Remediation of molybdenum-contaminated soil by soil washing: Reagent screening, process optimization, ultrasound-assisted enhancement and phytotoxicity assessment</t>
  </si>
  <si>
    <t>10.1016/j.jece.2025.120386</t>
  </si>
  <si>
    <t>Soil contamination by molybdenum (Mo) poses significant environmental and human health risks due to its potential transfer into the food chain. Although soil washing is a promising remediation technique for heavy metal contaminated soils, its efficiency and applicability for Mo-contaminated soil remain poorly understood. This study developed an ultrasound-assisted soil washing technique to remediate Mo-contaminated soil (initial total Mo: 2229 mg/kg; available Mo: 557.92 mg/kg). Among 26 tested reagents, Na3PO4 and K3PO4 were the most effective, achieving Mo removal efficiencies of 9.87 % and 9.09 %, respectively, primarily through ligand exchange and alkaline-induced desorption. Optimization experiments determined the optimal conditions to be 0.4 mol/L Na3PO4 for 3 h or 0.6 mol/L K3PO4 for 2 h at a liquid-to-solid ratio of 3:1, with one washing cycle. The application of ultrasound significantly enhanced removal efficiency by converting Mo from less mobile forms (oxidizable and residual fraction) into more labile forms (acid-soluble and reducible fraction), increasing removal efficiencies to 45.10–59.23 % for Na3PO4 and 40.23–61.23 % for K3PO4, while also significantly reducing the available Mo content in the soil. Pot experiments demonstrated that ultrasound-assisted washing significantly reduced Mo uptake in Chinese cabbage by 44.27–66.30 %. However, ultrasound-assisted Na3PO4 washing resulted in significant phytotoxicity by inhibiting plant growth. In contrast, ultrasound-assisted K3PO4 washing showed no significant phytotoxicity. These findings suggest that ultrasound-assisted washing with K3PO4 offers an effective and environmentally friendly remediation strategy for Mo-contaminated soil with minimal phytotoxicity, whereas the use of Na3PO4, despite its higher removal efficiency, requires caution due to its adverse effects on plant growth. © 2025 Elsevier Ltd.</t>
  </si>
  <si>
    <t>Bioavailability; Molybdenum; Phosphate reagents; Soil remediation; Soil washing; Ultrasound</t>
  </si>
  <si>
    <t>C. Chen; School of Resources and Chemical Engineering, Sanming University, Sanming, 25 Jingdong Road, Sanyuan District, Fujian, 365004, China; email: cclchina.ch@163.com</t>
  </si>
  <si>
    <t>Amini A.; Rahmani F.; Kkamforoush M.; Akbari Sene R.</t>
  </si>
  <si>
    <t>Bentonite nanoparticles-incorporated ZnO nanofiber mats assembly by electro-centrifuge spinning for efficient photo-degradation of bentazon herbicide: Tuning composition and process optimization</t>
  </si>
  <si>
    <t>10.1016/j.jclepro.2023.137652</t>
  </si>
  <si>
    <t>Herein, photocatalytic features and performance of ZnO nanofiber mats spun by electro and electro-centrifuge spinning methods were evaluated by various characterization techniques and the UV-degradation of bentazon herbicide, respectively and then, compared with those of ZnO nanoparticles. Because of higher productivity and more flexibility in loading nanoparticles, the electro-centrifuge spinning method was chosen to fabricate bentonite nanoparticles incorporated ZnO nanofiber mats. The FESEM images clearly indicate the formation of 0D/1D nanoparticle/nanofiber morphologies in samples. XRD, EDX and FTIR analyses confirmed the formation of ZnO and the existence of bentonite. Based on the PL analysis, the bentonite nanoparticles get to inhibit the charge recombination. However, its excessive incorporation causes intense loss of active sites numbers and the surface coverage of ZnO nanofibers which restrict the light absorption as evidenced by FESEM and UV-DRS results. After 2 h irradiation, the efficiency removal of bentazon reached from 85.23% by pure ZnO nanofibers to 100% by composite nanofiber mats containing 5 wt% bentonite (ZnO-Ben5 (NF-ECS)). Nonetheless, the removal efficiency declines upon further increasing the content of incorporated bentonite. The kinetics study disclosed that the photocatalytic bentazon removal was best fitted with the first order model (R2 = 0.9907) with the maximum rate constant of 0.0243 min−1 over ZnO-Ben5 (NF-ECS). Moreover, RSM-CCD analysis was employed to model and optimize the photocatalytic treatment process. A reduced cubic model (Adj. R2 = 0.9934, p-value &lt;0.0001) was proposed for interpreting the system behavior. Under optimal operating conditions (photocatalyst dosage of 0.33 g.L−1, initial solution pH of 8.92, bentazon concentration of 10.11 ppm and irradiation time of 85.78 min), ZnO-Ben5 (NF-ECS) eliminated approximately 83% of bentazon after four-time recycling, reflecting a sustained great activity. © 2023 Elsevier Ltd</t>
  </si>
  <si>
    <t>Bentazon photodegradation; Bentonite nanoparticles; Electro-centrifuge spinning; Nanofiber; ZnO</t>
  </si>
  <si>
    <t>F. Rahmani; Department of Chemical Engineering, Faculty of Engineering, University of Kurdistan, Sanandaj, P.O. Box 66177-15175, Iran; email: F.rahmanichiyane@uok.ac.ir</t>
  </si>
  <si>
    <t>Chen L.; Deng G.; Wang Z.; Zhang K.; Cao L.; Luo H.; Guo A.; Pu F.; Luo D.; Liang B.</t>
  </si>
  <si>
    <t>Hydrogen-based direct reduction of vanadium-titanium magnetite raw ore: Process optimization and mechanism insights</t>
  </si>
  <si>
    <t>10.1016/j.cej.2024.159152</t>
  </si>
  <si>
    <t>Hydrogen reduction; Raw ore; Reaction mechanism; Vanadium-titanium magnetite</t>
  </si>
  <si>
    <t>D. Luo; School of Chemical Engineering, Sichuan University, Chengdu, 610065, China; email: dmluo@scu.edu.cn</t>
  </si>
  <si>
    <t>Salehi E.; Rafie S.F.; Fattahi T.; Rafiei F.; Kashi F.; Abu-Zahra N.; Mahmoudi F.</t>
  </si>
  <si>
    <t>Insights into the analogy between process optimization and molecular dynamics simulation of the CO2-Monoethanolamine absorption system</t>
  </si>
  <si>
    <t>10.1016/j.jclepro.2025.146940</t>
  </si>
  <si>
    <t>This work focuses on simulating and optimizing CO2 absorption in an industrial absorption column by utilizing Monoethanolamine (MEA) solution. The optimal operating conditions were obtained by the response surface methodology (RSM), via analysis of the effects of the important operational variables (column pressure, initial concentration, and temperature of the amine solution), on the CO2 removal percentage and amine loading capacity. Sobol's approach was applied to assess the sensitivity of the absorption system to the operating variables quantitatively. Results uncovered that the concentration of the amine solution is the most effective parameter influencing CO2 absorption. Returning to the results, CO2 absorption was enhanced by raising the temperature of the amine solution. Moreover, elevating the column pressure resulted in enhancement of CO2 removal due to enhanced solubility of CO2 in the solvent. The highest CO2 removal was obtained at the optimal operating conditions, including solvent temperature of 54 °C, amine concentration of 26  wt %, and column pressure of 6.5 bar. The molecular dynamics simulation technique was also employed to investigate the interaction energy changes of the binary amine-CO2 system at different temperatures and pressures. It was uncovered that the optimal temperature and pressure obtained by MD simulations confirm the results revealed by the process optimization approach. Moreover, MD simulation results disclosed that the absorption mechanism is primarily dominated by electrostatic interactions between the carbon of CO2 and the nitrogen of MEA, with minor contributions of van der Waals forces. In sum, it was disclosed that the simulation results of molecular-scale dynamics can verify and support the macro-scale process optimization outcomes. © 2025 Elsevier Ltd.</t>
  </si>
  <si>
    <t>Absorption; Carbon dioxide; Molecular dynamics simulation; Monoethanolamine; Process optimization</t>
  </si>
  <si>
    <t>E. Salehi; Department of Chemical Engineering, Faculty of Engineering, Arak University, Arak, 38156-8-8349, Iran; email: e-salehi@araku.ac.ir</t>
  </si>
  <si>
    <t>Zheng X.; Zhang T.; Li J.; Zhang G.; Chen H.; Cao S.; Li C.; Jin G.</t>
  </si>
  <si>
    <t>Synthesis of 2-Ethyl-3-oxazolidineethanol from Propanal and Diethanolamine: Kinetic and Process Optimization Study</t>
  </si>
  <si>
    <t>10.1021/acs.iecr.2c04262</t>
  </si>
  <si>
    <t>2-Ethyl-3-oxazolidineethanol (OE) is an important pharmaceutical intermediate for the treatment of dental plaque. A systematic investigation of the one-pot synthesis of OE from propanal (PA) and diethanolamine (DEA) was conducted herein. The process was carried out under mild reaction conditions without any addition of catalyst, and the product was characterized by Fourier transform infrared spectroscopy (FT-IR), 1H nuclear magnetic resonance (NMR), and electrospray ionization-tandem mass spectrometry (ESI-MS/MS). Additionally, the effects of the PA/DEA ratio, methanol/DEA ratio, reaction time, and temperature on the reaction results were explored. Based on the single-factor experiments, response surface methodology (RSM) was used to optimize the reaction conditions and it achieved a high OE yield of 98.48%, which is close to the prediction value of 98.38%. Furthermore, the reaction kinetics were calculated utilizing the second-order kinetic model, and activation energies of the forward and reverse reactions were 31.35 and 41.85 kJ·mol-1, respectively. Under the optimization reaction conditions, OE was efficiently synthesized, indicating a significant potential for industrial applications. © 2023 American Chemical Society.</t>
  </si>
  <si>
    <t>Chandel H.; Yadav R.; Shyam K.; Sharma G.; Murugesan S.; Purchase D.; Chaturvedi M.; Saxena G.</t>
  </si>
  <si>
    <t>Bioremediation of distillery effluent using a novel laccase-producing Bacillus velezensis HIM03: Process optimization, metabolite characterization, and phytotoxicity studies</t>
  </si>
  <si>
    <t>10.1016/j.jece.2026.121943</t>
  </si>
  <si>
    <t>Sustainable treatment of distillery industry effluent (DIE) remains challenging due to its strong coloration, complex pollutant profile, and toxicity. However, it is critical to ensure safe disposal/reuse, safeguard soil/water resources, mitigate environmental pollution, and protect public health. This study, for the first time, demonstrates the bioremediation of DIE using a novel ligninolytic enzyme-producing bacterial strain, Bacillus velezensis HIM03, attained significant reductions in pollution parameters within 144 h: COD (84.03%), BOD (87.00%), TDS (74.99%), phosphate (69.27%), sulfate (63.17%), nitrate (71.01%), phenol (74.03%), and heavy metals including Zn (85.93%), Cu (78.57%), Mn (75.26%), Fe (66.00%), and Pb (72.73%). The bacterium Bacillus velezensis HIM03 (GenBank Accession Number: OP659023) exhibited laccase production with a peak activity of 6.18 IU/mL/min at 96 h under optimal conditions [pH: 8, temperature: 35 ℃, glucose and peptone: C and N substrate (0.5%), inoculum size: 10 mL, shaking speed: 120 rpm], indicating its strong oxidative potential for degradation of recalcitrant coloring contaminants (RCCs). FT-IR and GC-MS examination confirmed the efficient degradation and structural transformation of RCCs into simpler, non-toxic metabolites, validating true detoxification rather than mere pollutant removal. Crucially, phytotoxicity assays showed an 82% seed germination in Phaseolus aureus L. (mung bean) when irrigated with treated DIE, demonstrating significant reduction in residual toxicity and improved environmental compatibility. These findings validate the role of novel Bacillus velezensis HIM03 in achieving regulatory-relevant pollutant removal, showcasing its strong potential for integration into economical and scalable bioremediation strategies for DIE, in line with the UN SDGs on clean water, health, and environmental sustainability. © 2026 Elsevier Ltd.</t>
  </si>
  <si>
    <t>Biodegradation; Distillery Industry; Ecotoxicity; FT-IR, GC-MS; Ligninolytic Enzyme</t>
  </si>
  <si>
    <t>G. Saxena; Department of Life Science, Faculty of Life Sciences, Mandsaur University, Mandsaur, Madhya Pradesh, 458 001, India; email: gaurav10saxena@gmail.com</t>
  </si>
  <si>
    <t>Yang Z.; Sun W.; Huang Y.; Feng Y.; Gao W.; Wang L.; Chen X.; Liu G.</t>
  </si>
  <si>
    <t>Serrated Mesh Cathode for Low-Energy-Consumption Electrochemical Descaling: Mechanism and Process Optimization</t>
  </si>
  <si>
    <t>10.1021/acs.iecr.3c00489</t>
  </si>
  <si>
    <t>The electrochemical descaling method has attracted a lot of attention because it can remove scaling ions in circulating water, which is known as an environmentally friendly technology. However, its application is limited by a low descaling rate, high energy consumption, and difficulty in cathodic regeneration. In this paper, a high-efficiency and low-energy electrochemical descaling system based on a novel serrated mesh cathode is proposed. Experimental and numerical simulation results show that the reaction at the tip region of the serrated mesh cathode is stronger than that at the flat region, resulting in a very weak adhesion between the scale layer and the cathode, which can be removed by simple mechanical cleaning. In addition, scale deposition reactions first occur in the tip region of the serrated mesh cathode, and then the reactions gradually shift to the flat region, greatly prolonging the cathode failure time. By designing a serrated mesh cathode in an electrochemical descaling system, we can effectively solve the problem of high energy consumption caused by cathode failure and scale deposition can be effectively solved. This work provides a simple and feasible solution for the industrialization of the electrochemical descaling technology. © 2023 American Chemical Society.</t>
  </si>
  <si>
    <t>Chandra Bhoumick M.; Paul S.; Roy S.; Mitra S.</t>
  </si>
  <si>
    <t>Selective Recovery of Ethyl Acetate by Air-Sparged Membrane Distillation Using Carbon Nanotube-Immobilized Membranes and Process Optimization via a Response Surface Approach</t>
  </si>
  <si>
    <t>10.1021/acs.iecr.2c03893</t>
  </si>
  <si>
    <t>Ethyl acetate (EA) is an extensively used industrial solvent, and typically, aqueous mixtures containing EA are discarded as hazardous waste. The recovery of EA from wastewater streams would have significant environmental benefits and be a circular economy approach to solvent recycling. However, with a relatively high water solubility (8.3% w/v at room temperature), it remains a challenge. In this paper, we report the recovery of EA from water using air-sparged sweep gas membrane distillation (AS-SGMD) with carbon nanotube-immobilized membranes. A central composite rotatable design was used to study the effect of process parameters on flux and selectivity via conventional SGMD and AS-SGMD. The experiments were run at different operating conditions of temperature, concentration, and flow rate. The flux reached as high as 1.41 kg/m2 h-1, and selectivity as high as 10.8 was obtained. The introduction of air sparging improved the flux by as much as 12% and the selectivity by 17%. The response surfaces of flux and selectivity as a function of operating variables were studied, and regression models were developed. For both regular SGMD and AS-SGMD, the selectivity of EA recovery followed a quadratic model, while the flux showed a linear response. The predicted and experimental responses were in agreement with a R2 value of 0.94. The optimization efforts showed that relatively low temperatures, higher concentrations, and high flow rates favored higher selectivity. © 2023 American Chemical Society.</t>
  </si>
  <si>
    <t>S. Mitra; Department of Chemistry and Environmental Science, New Jersey Institute of Technology, Newark, 07102, United States; email: somenath.mitra@njit.edu</t>
  </si>
  <si>
    <t>Yousefi M.; Gholami M.; Oskoei V.; Mohammadi A.A.; Baziar M.; Esrafili A.</t>
  </si>
  <si>
    <t>Comparison of LSSVM and RSM in simulating the removal of ciprofloxacin from aqueous solutions using magnetization of functionalized multi-walled carbon nanotubes: Process optimization using GA and RSM techniques</t>
  </si>
  <si>
    <t>10.1016/j.jece.2021.105677</t>
  </si>
  <si>
    <t>This inquiry focuses on acquiring empirical models to predict ciprofloxacin removal using magnetization of functionalized multi-walled carbon nanotubes (FMWCNTs-Fe3O4) from an aqueous solution. The response surface methodology (RSM) and support vector regression (SVR) as data mining techniques were adopted to develop models. Critical parameter effects comprising pH (3-10), adsorbent dose (0.2-1 g/L), contact time (5-60 min) and ciprofloxacin concentrations (30-100 mg/L) were analysed. The Langmuir, Freundlich, Temkin and Dubinin-Radushkevich isothermal models were utilized to fit the empirical data. FMWCNTs-Fe3O4 prepared by chemical co-precipitation method was loaded by Fe3O4 nanoparticles (using sonication) to synthesize functionalized multi-walled carbon nanotubes to remove ciprofloxacin (CIP). FMWCNTs-Fe3O4 were characterized by fourier transform infrared spectroscopy (FTIR), X-Ray diffraction (XRD), scanning electron microscope (SEM), transmission electron microscope (TEM), vibrating sample magnetometer (VSM) methods. The Langmuir model was utilized to precisely describe the maximum adsorption capacity(qmax) of 107.66 mg/g with R2 = 0.998. In this study, the pseudo-second-order model exactly described the adsorption process(R2 = 0.99). The results illustrated that the LSSVM (least squares support vector machine) model efficiently predicted the CIP removal percentage with very high accuracy in the training phase (R2 = 0.975) and the test phase (R2 =0.970). Moreover, the highest removal percentages in optimized step were achieved for RSM (pH 5.4, dose 0.78 g/L, time of 24.5 min, and CIP concentrations of 59 mg/L) and GA (genetic algorithm) (pH 4.4, dose 0.74 g/L, time of 42 min, and CIP concentrations of 38 mg/L) techniques by 88% and 99.1%, respectively. The FMCNTs-Fe3O4 efficiency has decreased by 12% even after five used cycles relative to the optimal conditions (regeneration). Therefore, FMWCNTs-Fe3O4 adsorption was considered to be an effective technique for CIP removal in the aqueous environment.  © 2021 Elsevier Ltd.</t>
  </si>
  <si>
    <t>Adsorption; Ciprofloxacin; FMWCNTs-Fe&lt;sub&gt;3&lt;/sub&gt;O&lt;sub&gt;4&lt;/sub&gt;; LSSVM; RSM</t>
  </si>
  <si>
    <t>A. Esrafili; Research Center for Environmental Health Technology, Iran University of Medical Sciences, Tehran, Iran; email: a.esrafili@iums.ac.ir</t>
  </si>
  <si>
    <t>Li B.; Li C.; Jing P.; Shi C.; Wu W.; Dong K.</t>
  </si>
  <si>
    <t>Mechanism-data hybrid-driven modeling of energy consumption and carbon emission for converter steelmaking process optimization</t>
  </si>
  <si>
    <t>10.1016/j.jclepro.2025.146964</t>
  </si>
  <si>
    <t>Iron and steel metallurgy is a high-energy consumption and high-carbon emission industry with global focus. The energy consumption and carbon emission of converter steelmaking are widely concerned as it is the core process of steel production. Existing work has mainly focused on modeling a single energy medium for converters and optimizing energy consumption and carbon emission from the perspective of the entire iron and steel metallurgical process. However, this research has failed to delve deeply into the energy-saving and carbon reduction potential of key steel production processes. Therefore, this research proposes an energy-saving and carbon reduction optimization method for converter based on mechanism-data hybrid modeling. The energy consumption and carbon emission characteristics of converter are first analyzed. An extreme gradient boosting combined with whale optimization algorithm method (WOA-XGBoost) is then used to establish mechanism-data hybrid-driven energy consumption and carbon emission models for converter. Furthermore, a process parameter optimization model that comprehensively considers converter energy consumption and carbon emission is constructed. An improved non-dominant sorting hiking optimization algorithm (INSHOA) is used to solve the optimization problem. The case study shows that the R2 values of the WOA-XGBoost model are 0.931 and 0.967, respectively, which have superior modeling accuracy compared with other methods. The optimization results demonstrate that compared with the empirical scheme, the proposed optimization model reduces the energy consumption, material carbon emission, and total carbon emission of the converter by 7.78 %, 9.60 %, and 35.16 %, respectively. Moreover, the proposed INSHOA shows superior algorithmic performance. Copyright © 2025. Published by Elsevier Ltd.</t>
  </si>
  <si>
    <t>Carbon emission; Converter steelmaking; Energy consumption; Process optimization</t>
  </si>
  <si>
    <t>C. Li; State Key Laboratory of Mechanical Transmission, Chongqing University, Chongqing, 400044, China; email: congboli@cqu.edu.cn</t>
  </si>
  <si>
    <t>Li Y.; Zhang J.; Yu Y.; Zhang Z.</t>
  </si>
  <si>
    <t>Process optimization study on single atom solutions for CO2 capture and methanation based on experiment and simulation</t>
  </si>
  <si>
    <t>10.1016/j.cej.2025.160064</t>
  </si>
  <si>
    <t>This work proposes a novel single atom solution (SAS) for carbon capture and methanation. It investigates the performance of SAS in CO2 capture and utilization process through experimental and simulation methods. Detailed calculations are conducted on the physical properties of the SAS, and the optimal ratio of SAS is selected for absorption and desorption experiments. Based on physical properties and experimental research, a process model for SAS capture and methanation is established by Aspen Plus. The results showed that the activation energy of the SAS desorption reaction became 55.5 kJ/mol, with a reduction of 30.8 % compared to 30 wt%MEA. The optimal reboiler heat load of the SAS desorption process was 2.24 GJ/t CO2, with a decrease of 40.3 % compared to 30 wt% MEA. The CO2 equivalent emission of the SAS capture and methanation process was −1.473 t CO2/t-pro. The successful application of the SAS in CO2 capture and utilization is of great significance for carbon neutrality. © 2025 Elsevier B.V.</t>
  </si>
  <si>
    <t>Aspen Plus; CO&lt;sub&gt;2&lt;/sub&gt; absorption; Methanation; Single atom solution</t>
  </si>
  <si>
    <t>Y. Yu; School of Chemical Engineering and Technology, Xi'an Jiaotong University, Xi'an, 710049, China; email: cloud.pine02@mail.xjtu.edu.cn</t>
  </si>
  <si>
    <t>Gouda S.P.; Shi D.; Basumatary S.; Li H.; Piloto-Rodríguez R.; Rokhum S.L.</t>
  </si>
  <si>
    <t>Sulfamic acid modified UiO-66 metal-organic framework for biodiesel production: Process optimization using response surface methodology, kinetics, and thermodynamic study</t>
  </si>
  <si>
    <t>10.1016/j.cej.2023.148154</t>
  </si>
  <si>
    <t>A novel sulfamic acid-modified UiO-66 metal–organic framework (UiO-66/SA) catalyst was synthesized in this work for the esterification of oleic acid to biodiesel. Oleic acid was used as a test substrate as it constitutes a major proportion of several biodiesel feedstocks like Jatropha curcas oil, karanja oil, and waste cooking oil. The catalyst was extensively characterized by XRD, TGA, FT-IR, BET, SEM, CHNS and XPS. The catalyst demonstrated a high acidity of 1.4 mmol g−1 evaluated by ammonia-temperature programmed desorption (NH3-TPD) analysis. Central composite design (CCD) approach of response surface methodology (RSM) was used to process the optimization of various parameters (RSM) where, a maximum biodiesel yield of 94.4 ± 0.3 % was obtained under the optimized reaction conditions of methanol to oil molar ratio of 21.9:1, catalyst loading of 7.6 wt%, reaction temperature of 85 °C, and reaction time of 1.8 h. The activation energy for the esterification reaction was found to be 41.56 kJ mol−1 and further, the thermodynamic study confirmed the endothermic nature of the reaction. Multiple regressions and analysis of variance (ANOVA) were used to fit the experimental data to a quadratic equation. © 2023 Elsevier B.V.</t>
  </si>
  <si>
    <t>Biodiesel; Central composite design; Esterification; Heterogeneous catalyst; Metal-organic framework; Response surface methodology</t>
  </si>
  <si>
    <t>S.L. Rokhum; Department of Chemistry, National Institute of Technology Silchar, Silchar, Assam, 788010, India; email: rokhum@che.nits.ac.in</t>
  </si>
  <si>
    <t>Melián E.P.; Santiago D.E.; León E.; Reboso J.V.; Herrera-Melián J.A.</t>
  </si>
  <si>
    <t>Treatment of laundry wastewater by different processes: Optimization and life cycle assessment</t>
  </si>
  <si>
    <t>10.1016/j.jece.2023.109302</t>
  </si>
  <si>
    <t>Wastewater from industrial laundries is often difficult to treat because it usually presents high turbidity and chemical oxygen demand (COD). We studied several processes for the treatment of laundry wastewater which was provided by a hotel in the south of Gran Canaria, Spain. More specifically, we studied coagulation with iron (III) sulphate, Fenton, photo-Fenton and a biological treatment (using a biofilter, and a granular activated carbon, GAC, filtration). The coagulation and Fenton processes produced large amounts of sludge and could not meet the required standards for water reuse in Spain. The use of photo-Fenton and the BF resulted in complete turbidity removal and high COD removal. However, we found that the effluent from the BF did not meet the COD removal criteria for water reuse, and thus a GAC filtration post-treatment was employed to reduce COD to acceptable levels. The photo-Fenton process alone did meet the criteria for water reuse. The estimated cost to treat 1 m3 of wastewater was 6.72 € for photo-Fenton and 0.71 € for BF + GAC. The cost and life cycle assessment analyses that were also performed revealed that the acquisition of the necessary reagents is the main contribution to the overall economic and environmental costs for both options, and that the BF + GAC option is notably cheaper. Additionally, this option also causes much lower environmental impacts than photo-Fenton.  © 2023 The Authors.</t>
  </si>
  <si>
    <t>Bioreactor; Coagulation; Fenton; Filtration; Laundry wastewater; Photo-Fenton</t>
  </si>
  <si>
    <t>D.E. Santiago; Grupo de Fotocatálisis y Espectroscopia Para Aplicaciones Medioambientales (FEAM), Instituto de Estudios Ambientales y Recursos Naturales (I-UNAT), Universidad de Las Palmas de Gran Canaria, Las Palmas, 35017, Spain; email: dunia.santiago@ulpgc.es</t>
  </si>
  <si>
    <t>Zarei M.; Motaghizadeh M.; Ranjbar A.; Hosseini M.G.; Babaei T.; Gheshlaghi A.</t>
  </si>
  <si>
    <t>Highly efficient doxycycline degradation by a novel Fe-Mn carbon aerogel electrode: Process optimization and degradation pathway</t>
  </si>
  <si>
    <t>10.1016/j.psep.2025.107815</t>
  </si>
  <si>
    <t>The advancement of efficient electrochemical systems aimed at the oxidative degradation of persistent pharmaceutical contaminants indicates challenges. This work focuses on preparing highly efficient bimetallic Fe-Mn/CA electrodes to remove doxycycline from contaminated waters via an electro-Fenton (EF)-like process. The structural properties of the prepared electrode were determined by scanning electron microscopy, energy dispersive X-ray spectroscopy-mapping, Fourier transform infrared spectroscopy, X-ray diffraction, atomic force microscopy, and Raman analysis. To investigate the electrochemical behavior of the prepared cathode, the cyclic voltammetry analysis was performed. The EDS results confirmed the successful incorporation of Fe-Mn metals into carbon aerogel structure. The outcomes point out that under optimal operational conditions (initial doxycycline concentration of 25 mg L−1, initial pH of 3, applied current density of 200 mA cm−2, and electrolyte concentration of 0.1 mol L−1), the degradation efficiency reached 96.93 %. The total organic carbon removal efficiency of doxycycline samples under optimal conditions in prolonged process times was obtained 85.02 %. Experimental results indicated that 1491 µmol L−1 of H2O2 was generated over 110 min of electrolysis. Finally, a feasible degradation pathway based on the identified intermediates was proposed. © 2025 The Institution of Chemical Engineers</t>
  </si>
  <si>
    <t>Advanced oxidation process; Carbon aerogel; Doxycycline; Electro-Fenton process; Wastewater treatment</t>
  </si>
  <si>
    <t>M. Zarei; Research Laboratory of Environmental Remediation, Department of Applied Chemistry, Faculty of Chemistry, University of Tabriz, Tabriz, 51666-16471, Iran; email: mzarei@tabrizu.ac.ir</t>
  </si>
  <si>
    <t>Zhang Y.; Yun J.; Zhou L.; Zhang G.; Zhao M.; Zabed H.M.; Qi X.</t>
  </si>
  <si>
    <t>Sustainable biosynthesis of 3-hydroxypropionic acid from crude glycerol: Metabolic engineering and process optimization</t>
  </si>
  <si>
    <t>10.1016/j.jclepro.2022.135524</t>
  </si>
  <si>
    <t>To achieve carbon neutrality and carbon peaking goals, biomanufacturing of high-value chemicals from sustainable biorefinery has emerged as an attractive alternative to traditional petrochemical-based processes. 3-Hydroxypropionic acid (3-HP) is one of the top value-added building-block chemicals with diverse applications, which has increased its demand for large-scale industrial production. Nevertheless, sustainable biosynthesis of 3-HP is limited by the lack of robust strains and the need for expensive fermentation medium components. Herein, efforts were made to overcome these limitations through metabolic engineering of Escherichia coli and process optimization. First, the functional 3-HP biosynthetic pathway was recruited and optimized in E. coli. Next, the endogenous glycerol facilitator (GlpF) was overexpressed to enhance glycerol uptake, and the expression level of aldehyde dehydrogenase (YdcW) was optimized for speeding up 3-HP biosynthesis. Subsequently, global regulator engineering further improved 3-HP production. Additionally, corn steep liquor (CSL) was used to develop a cheap fermentation medium. Finally, co-fermentation of crude glycerol with glucose and acetic acid using the final strain produced 67.62 g/L 3-HP with a yield and a productivity of 0.86 mol/mol glycerol and 1.41 g/L/h, respectively. © 2022 Elsevier Ltd</t>
  </si>
  <si>
    <t>3-Hydroxypropionic acid; Biosynthesis; Glycerol valorization; Metabolic engineering; Process optimization</t>
  </si>
  <si>
    <t>Farahmand G.; Isgoren M.; Sezer M.; Veli S.</t>
  </si>
  <si>
    <t>Enhanced detergent removal from hospital laundry wastewater using air-assisted electrocoagulation and peroxi-coagulation: Process optimization via Box-Behnken Design and a comparative approach</t>
  </si>
  <si>
    <t>10.1016/j.psep.2026.108423</t>
  </si>
  <si>
    <t>This study evaluated the detergent removal efficiencies of laundry wastewater from high bed capacity hospitals using air-assisted electrocoagulation (AA-EC) and peroxi-coagulation (PC) methods for the first time. In the AA-EC process, when aerated and non-aerated conditions were compared, the detergent removal efficiency increased from 18 % to 48 % with air assistance at the optimal airflow rate of 1.25 L/min. The AA-EC and PC processes were optimized using a Box–Behnken Design for detergent removal, yielding optimum conditions of pH 7.7, a current density of 14.23 mA/cm2, and 60 min for AA-EC, and pH 3, a current density of 20.40 mA/cm2, and 55.62 min for PC, with corresponding removal efficiencies of 75.63 % and 98.31 %, respectively. The operating costs were calculated as 3.94 $/m3 for the AA-EC process and 8.07 $/m3 for the PC process. Sludge characterization and scavenger analyses were used to identify the detergent removal mechanisms in the AA-EC and PC. In addition, QA/QC validation confirmed MBAS measurements were reliably quantified, with LOD and LOQ of 0.007 and 0.023 mg/L, respectively. This study significantly advances the literature by utilizing real hospital laundry wastewater, developing innovative electrocoagulation strategies, and optimizing the processes, thereby offering more effective and practical alternatives to conventional methods. © 2026 The Institution of Chemical Engineers</t>
  </si>
  <si>
    <t>Air-assisted electrocoagulation; Box-Behnken Design; Laundry wastewater; Peroxi-coagulation; Quality assurance</t>
  </si>
  <si>
    <t>M. Isgoren; Department of Environmental Protection, Kocaeli University, Kocaeli, 41275, Turkey; email: melike.isgoren@kocaeli.edu.tr</t>
  </si>
  <si>
    <t>Sun J.; Zhang W.; Xie S.; Shi S.; Du Z.; Liu F.; Liu Q.; Liu C.</t>
  </si>
  <si>
    <t>Enhanced treatment of fracturing flowback fluids using bioflocculant-modified fly ash cenospheres: Process optimization and mechanism analysis</t>
  </si>
  <si>
    <t>10.1016/j.psep.2025.107938</t>
  </si>
  <si>
    <t>Hydraulic fracturing produces complex organic wastewater, known as fracturing flowback fluid (FFF), which contains refractory pollutants and poses risks of secondary contamination, thereby challenging conventional treatment methods. This study developed an environmentally sustainable strategy using a microbial flocculant (MBF) synthesized from Bacillus paramycoides YQ1—a strain isolated from FFF—in combination with candelilla wax- modified fly ash cenospheres (CWFACs). Through process optimization, the MBF yield was increased from 4.38 to 5.78 g·L⁻¹, and its flocculation efficiency improved from 60.06 % to 87.84 %. Under optimal conditions, MBF alone achieved removal rates of 86.67 % for chroma, 81.98 % for suspended solids (SS) removal, and 65.13 % for oil, along with effective degradation of polycyclic aromatic hydrocarbons (PAHs). The integrated MBF-CWFACs system demonstrated enhanced performance, attaining 88.50 % chroma removal, 96.29 % SS removal, and 95.30 % oil removal. Mechanistic analysis revealed synergistic effects between bioflocculation and adsorption processes. This integrated approach offers a sustainable solution for FFF treatment, addressing both process efficiency and environmental safety concerns, providing insights for developing eco-friendly wastewater treatment technologies in the petroleum industry. © 2025 The Institution of Chemical Engineers</t>
  </si>
  <si>
    <t>Flocculation mechanism; Fracturing flowback fluids; Microbial flocculant; Modified fly ash cenospheres; Wastewater treatment</t>
  </si>
  <si>
    <t>J. Sun; College of Chemistry and Chemical Engineering, China University of Petroleum (East China), Qingdao, 266580, China; email: juan.sun@upc.edu.cn</t>
  </si>
  <si>
    <t>Tian P.; Gao P.; Wang M.; Li Y.; Han Y.</t>
  </si>
  <si>
    <t>Pilot-scale recovery of iron from refractory specularite ore using hydrogen-based mineral phase transformation technology: Process optimization, mineral characterization, and green production</t>
  </si>
  <si>
    <t>10.1016/j.jclepro.2025.144836</t>
  </si>
  <si>
    <t>Specularite, as a subspecies of hematite, is a potentially important iron resource, primarily distributed in South America. However, it is difficult to process by traditional methods due to their special properties. In this work, a study on specularite was conducted using grinding-hydrogen-based mineral phase transformation-magnetic separation technologies. The results showed that the iron concentrate produced in pilot-scale experiments meets excellent specifications, with a grade greater than 67% and recovery over 97%. In addition, the system operated with good stability, and its pollutant discharge complied with national standards. Following the further optimization of the process, the optimization process Ⅱ, namely magnetic separation-tailings with HMPT-magnetic separation, has demonstrated significant economic advantages. This process yielded an iron concentrate with a grade of 68.22% and a recovery of 97.20%, resulting in a net profit of about $9.75/h. Vibrating sample magnetometer (VSM) and scanning electron microscopy (SEM) and energy dispersive X-ray spectroscopy (EDS) analyses were used to characterized the material and its products. The results indicate that the magnetic properties of specularite have significantly improved, and the ore structure become looser and more holes, thereby enhancing the separation of iron minerals from gangue minerals. In summary, this research provided a reliable method for the efficient, green, and low-cost utilization of specularite on an industrial scale in the future. © 2025 Elsevier Ltd</t>
  </si>
  <si>
    <t>Green production; Hydrogen-based mineral phase transformation; Iron recovery; Microstructure analysis; Process optimization</t>
  </si>
  <si>
    <t>M. Wang; School of Resources and Civil Engineering, Northeastern University, Shenyang, 110819, China; email: 842538326@qq.com</t>
  </si>
  <si>
    <t>Zhang S.; Wei J.; Zou X.; Geng L.; Zhou X.</t>
  </si>
  <si>
    <t>Engineered ionic liquid-covalent organic framework composites for high-capacity CO₂ capture: Mechanism insights and process optimization</t>
  </si>
  <si>
    <t>10.1016/j.jece.2025.119044</t>
  </si>
  <si>
    <t>This work demonstrates a strategic fabrication of high-performance CO2 adsorbents by impregnating three conventional ionic liquids (ILs: [BMIM][NTf2], [EMIM][NTf2] or [EMIM][SCN]) with a covalent organic framework (COF) for carbon dioxide (CO2) capture under simulated flue gas streams (1 bar, 15 vol% CO2, 60 ℃). Through the systematical assessment of the effects of IL structural features (different anions and cations), adding ratios (15–95 wt%), and operational temperatures (30–90 °C), it was shown that the adsorbent modified by [EMIM][SCN] in an appropriate amount (35 wt%) achieves the remarkable CO2 adsorption capacity (5.273 mmol·g−1 at 60 ℃), representing a 3.7-fold enhancement compared to the original COF (1.419 mmol·g−1) due to its optimal combination of small molecular weight, short alkyl chain cation, and high CO2 affinity anion. FTIR analysis revealed the potential adsorption mechanisms: the amine of COF chemisorbs CO2 through carbamate formation, while the ILs enhance both chemisorption and physisorption of CO2 via the thiocyanate nucleophilicity, the [NTf2]- electronic redistribution, and hydrogen bonding of imidazolium, which is dominated by anion. The optimum CO2 adsorption temperature (45–60 ℃) matches post-desulfurization flue gas conditions in coal-fired plants. With excellent performance and robust stability, these innovative adsorbents show practical potential for CO2 capture in real post-combustion flue gas scenarios. © 2025 Elsevier Ltd.</t>
  </si>
  <si>
    <t>Adsorption mechanism; CO&lt;sub&gt;2&lt;/sub&gt; capture; Covalent organic framework; Ionic liquid</t>
  </si>
  <si>
    <t>J. Wei; Guangxi Collaborative Innovation Center for Water Pollution Control and Water Safety in Karst Area, Guilin University of Technology, Guilin, 541006, China; email: jianwen988@126.com</t>
  </si>
  <si>
    <t>He C.; Zhang C.; Hussain S.M.; UGWU K.G.; Zhu C.; Ma Y.; Fu T.</t>
  </si>
  <si>
    <t>Process optimization and reaction kinetics of heterogeneous nitration of naphthalene in microreactors</t>
  </si>
  <si>
    <t>10.1016/j.cej.2025.171616</t>
  </si>
  <si>
    <t>Microchemical technology can address the challenges of mass and heat transfer in nitration due to its heterogeneous and strongly exothermic characteristics, based on the advantages of high efficiency, rapidity, and intrinsic safety. However, the process and reaction kinetics of heterogeneous nitration of naphthalene in microreactors are still unclear. In this work, based on a continuous-flow microreactor system of naphthalene nitration, the process conditions for heterogeneous nitration of naphthalene are optimized through visualization methods, and the reaction kinetics and mass transfer characteristics are determined. The effects of total flow rate, ratio of flow rates of organic phase to aqueous phase, molar ratio of nitric acid to naphthalene, mass fraction of nitric acid in the aqueous phase, temperature, and residence time on the reaction are explored with only nitric acid as the nitrifying agent. In contrast to nitration with mixed acid, dinitronaphthalene is not generated in the reaction, and the conversion rate and selectivity can reach 100 % and 97.2 %, respectively. Based on the pseudo-homogeneous assumption, a second-order reaction kinetics model is obtained, and the reaction mechanism is verified. The changes in flow patterns and interfacial areas during the reaction process are investigated through a high-speed camera. The mass transfer coefficient KL and Hatta number Ha based on experiments and empirical formulas are obtained, and the pseudo-homogeneous assumption is verified. Finally, the reaction performance of microreactors and batch reactors is compared, and the space-time yield of microreactors increases by two orders of magnitude. © 2025 Elsevier B.V.</t>
  </si>
  <si>
    <t>Heterogeneous nitration; Kinetics; Mass transfer; Microreactor; Naphthalene</t>
  </si>
  <si>
    <t>C. Zhang; Wanhua Research Institute, Wanhua Chemical Group Co., Ltd., Yantai, Shandong, 264006, China; email: cyzhanga@whchem.com</t>
  </si>
  <si>
    <t>Song B.; Liu T.; Zhao M.; Cui Y.; Chen J.; Nagy Z.K.; Findeisen R.</t>
  </si>
  <si>
    <t>Surrogate Modeling with Sensitivity-Based Experiment Design and Process Optimization of Seeded Cooling Crystallization: A Case Study on β-Form LGA</t>
  </si>
  <si>
    <t>10.1021/acs.iecr.4c04292</t>
  </si>
  <si>
    <t>To facilitate quality-by-design (QbD) of seeded cooling crystallization, a novel surrogate modeling and process optimization method is proposed in this paper, based on the design of experiments (DoE) with sensitivity analysis on the process operating conditions. To overcome the deficiency of the crystal growth kinetic model related to the population balance equation, which could not reflect the explicit relationship between the process operating conditions (e.g., initial solution supersaturation and cooling rate) and product crystal size distribution (CSD), a surrogate model is established by using the Gaussian process regression (GPR) approach, based on experimental data from a permitted range of operating conditions. Correspondingly, a swarm-based metaheuristic algorithm named beluga whale optimization (BWO) is adopted to determine proper hyperparameters in the surrogate model. By analyzing the global sensitivity analysis (GSA) of product CSD with respect to these operation conditions, a sensitivity-based DoE is developed to reduce the number of batch experiments required for implementation. Based on the established surrogate model, a comprehensive quality criterion is introduced to optimize these operating conditions, which takes into account the information entropy of product CSD together with the desired product yield and size range. The seeded cooling crystallization process of the β-form l-glutamic acid is tested to verify the effectiveness and merits of the proposed modeling and optimization method. © 2025 American Chemical Society.</t>
  </si>
  <si>
    <t>Silicon/graphite (Si/Gr) composites, promising high-capacity anodes for next-generation lithium-ion batteries, suffer from instability due to silicon's large volume expansion and deleterious interfacial degradation. This work introduces a synergistic composite coating of poly(vinylidene fluoride) (PVDF) and magnesium oxide (MgO) nanoparticles, applied via facile immersion to Si/Gr electrodes, to stabilize the electrode structure and the critical electrode-electrolyte interface. Compared to pristine and PVDF-only controls, the PVDF-MgO coating significantly enhanced long-term cycling, achieving over 760 cycles with 77 % capacity retention, high Coulombic efficiencies (&gt;99.9 %), and improved rate capability. Post-mortem analysis confirmed the PVDF-MgO coatings preserved electrode integrity, dramatically suppressing thickness expansion (from ∼137 % for pristine to ∼49 % for optimized PVDF-MgO) after hundreds of cycles. Significantly, the PVDF-MgO coating suppressed lithium dendrite formation under high-rate (5C) and capacity-driven (20 % over-lithiation) conditions, promoting uniform, non-dendritic Li deposition. This suppression is attributed primarily to MgO's beneficial lithiophilicity and Lewis acid-base characteristics guiding Li nucleation and homogenizing ion flux, enabled by the composite structure. Crucially, the processing sequence was found to be paramount; applying the coating before electrode calendering, rather than after, unlocks the material's full potential and yields optimal performance. This discovery of a non-obvious process-structure-property relationship, where process engineering dictates interfacial stability, establishes the synergistic PVDF-MgO composite coating as an effective, scalable strategy for enhancing the durability, efficiency, and safety of high-energy Si/Gr anodes. © 2025 The Authors</t>
  </si>
  <si>
    <t>N.-L. Wu; Department of Chemical Engineering, National Taiwan University, Taipei, 10617, Taiwan; email: nlw001@ntu.edu.tw; M. Abdollahifar; Chair for Functional Nanomaterials, Department of Materials Science, Faculty of Engineering, Kiel University, Kiel, Kaiserstr. 2, 24143, Germany; email: moza@tf.uni-kiel.de; R. Takata; Evonik Operations GmbH, Hanau, Rodenbacher Chaussee 4, 63457, Germany; email: ryo.takata@evonik.com</t>
  </si>
  <si>
    <t>H. Lyu; Key Laboratory of Breeding Biotechnology and Sustainable Aquaculture, Institute of Hydrobiology, Chinese Academy of Sciences, Wuhan, 430072, China; email: lvhuafei@ihb.ac.cn; K. Yan; School of Metallurgy Engineering, Jiangxi University of Science and Technology, Ganzhou, 341000, China; email: 9120170065@jxust.edu.cn</t>
  </si>
  <si>
    <t>F. Jin; School of Environmental Science and Engineering, State Key Lab of Metal Matrix Composites, Shanghai Jiao Tong University, 800 Dongchuan Road, Shanghai, 200240, China; email: fmjin@sjtu.edu.cn; J. Lu; Innovation Centre for Environment and Resources, Shanghai University of Engineering Science, No.333 Longteng Road, Shanghai, 201620, China; email: wilsherelu@foxmail.com</t>
  </si>
  <si>
    <t>Y. Liu; Department of Management and Engineering, Linköping University, Linköping, SE-581 83, Sweden; email: yang.liu@liu.se; C. Cao; School of Management Science and Engineering, Chongqing Technology and Business University, Chongqing, 400067, China; email: caocejun0601@tju.edu.cn</t>
  </si>
  <si>
    <t>Engineered ZnO quantum dots (E-QDs) are sought-after nanostructures in healthcare and optoelectronic industries, necessitating a paradigm shift toward high-throughput continuous flow platforms, the crux to whose successful design and performance lies in comprehending the nucleation-growth kinetics, defect engineering, and reaction dynamics. This work investigates the synergistic interplay of enhanced hydrodynamics and heat-mass transfer in the helical coil reactor, fostering rapid nucleation-growth-driven E-QDs fabrication. We integrated computational fluid dynamic modeling, and comprehensive experimentation for producing E-QDs with record-high photoluminescence quantum yield (PLQY) (∼89% in the yellow-green spectrum) by carefully creating oxygen vacancies via a novel reproducible protocol. Dean vortices formed due to the helical geometry facilitated ultrafast mixing and accelerated reaction kinetics, yielding colloidally stable E-QDs in gram-scales [ζ = -39.7 mV, polydispersity index (PDI) ∼0.22] with a narrow particle size distribution (average particle size ∼4.5 nm). Contrastingly, the conventional batch route produced less stable E-QDs with ζ value of -15.3 mV, PDI ∼0.41, and diminished PLQY (∼40%) because of inadequate process control, batch-to-batch variability due to poor mixing, and heat transfer. The simple, economical, in-house-fabricated flow reactor manifested ∼90% increment in yield and reduced product cost. Thus, this research demonstrated the benefits of simulation-driven process engineering and reactor design in catalyzing QDs-based innovations. © 2023 American Chemical Society. All rights reserved.</t>
  </si>
  <si>
    <t>J. Han; School of Chemical Engineering, Jeonbuk National University, Jeonju, 54896, South Korea; email: jhhan@jbnu.ac.kr; B. Gurunathan; Department of Biotechnology, St. Joseph's College of Engineering, Chennai, 600119, India; email: basg2004@gmail.com</t>
  </si>
  <si>
    <t>A.E.S. Choi; Department of Chemical Engineering, De La Salle University, Malate, 2401 Taft Avenue, 0922, Philippines; email: angelo.choi@dlsu.edu.ph; M.W. Wan; Department of Environmental Engineering and Science, Chia Nan University of Pharmacy and Science, Tainan, 71710, Taiwan; email: peterwan@mail.cnu.edu.tw</t>
  </si>
  <si>
    <t>L. Ni; College of Safety Science and Engineering, Nanjing Tech University, Nanjing, 211816, China; email: lei_ni@njtech.edu.cn; J. Jiang; College of Safety Science and Engineering, Nanjing Tech University, Nanjing, 211816, China; email: junchengjiang@njtech.edu.cn</t>
  </si>
  <si>
    <t>The conventional processing of vanadium-titanium magnetite (VTM) has been associated with substantial CO2 emissions and inefficient resource utilization, raising significant sustainability concerns. This study introduced a hydrogen-based direct reduction method for processing VTM raw ore without the need for a beneficiation process. Through thermodynamic analysis and experimental validation, we demonstrated the feasibility of this novel approach, achieving a remarkable metallization degree of iron up to 92.6 % at 1120 °C. Additionally, this method effectively enriched iron and titanium, yielding recovery efficiencies of 91.0 % for iron and 58.4 % for titanium via wet grinding and magnetic separation. The reduction process of VTM followed a stepwise reaction mechanism, characterized by distinct pathways for titanium and iron. The conversion sequences were as follows: Fe2TiO5 → Fe2TiO4 → FeTiO3 → FeTi2O5 → TiO2 → TixOy for titanium and Fe2O3 → Fe3O4 → FeTiO3 → Fe + FeTi2O5 → Fe for iron. Notably, the conversion of FeTiO3 to Fe emerged as the rate-limiting step, with an apparent activation energy of 75.56 kJ·mol−1. These findings underscore the potential of hydrogen-based reduction as a sustainable and resource-efficient pathway for VTM processing, significantly contributing to reducing the environmental impact of metallurgical practices. © 2025 Elsevier B.V.</t>
  </si>
  <si>
    <t>C. Li; Beijing Key Laboratory of Ionic Liquids Clean Process, Key Laboratory of Multiphase Complex Systems, Institute of Process Engineering, Innovation Academy for Green Manufacture, Chinese Academy of Sciences, Beijing, 100190, China; email: csli@ipe.ac.cn; G. Jin; College of New Materials and Chemical Engineering, Beijing Institute of Petrochemical Technology, Beijing, 102617, China; email: jinguangzhou@bipt.edu.cn</t>
  </si>
  <si>
    <t>W. Sun; School of Chemical Engineering, Dalian University of Technology, Dalian, 116024, China; email: sunw@dlut.edu.cn; G. Liu; School of Chemical Engineering, Dalian University of Technology, Dalian, 116024, China; email: gchliu@dlut.edu.cn</t>
  </si>
  <si>
    <t>X. Qi; School of Food and Biological Engineering, Jiangsu University, Zhenjiang, 301 Xuefu Road, Jiangsu, 212013, China; email: qxh@ujs.edu.cn; H.M. Zabed; School of Food and Biological Engineering, Jiangsu University, Zhenjiang, 301 Xuefu Road, Jiangsu, 212013, China; email: zabedctgbd@yahoo.com</t>
  </si>
  <si>
    <t>T. Liu; Key Laboratory of Intelligent Control and Optimization for Industrial Equipment, Ministry of Education, Dalian University of Technology, Dalian, 116024, China; email: liurouter@ieee.org; R. Findeisen; Control and Cyberphysical Systems Laboratory, Technical University of Darmstadt, Darmstadt, 64283, Germany; email: rolf.findeisen@iat.tu-darmstadt.de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</si>
</sst>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8" x14ac:knownFonts="1">
    <font>
      <sz val="11"/>
      <color theme="1"/>
      <name val="Calibri"/>
      <scheme val="minor"/>
    </font>
    <font>
      <sz val="11"/>
      <color theme="1"/>
      <name val="Calibri"/>
      <family val="2"/>
      <scheme val="minor"/>
    </font>
    <font>
      <sz val="11"/>
      <color theme="1"/>
      <name val="Calibri"/>
      <family val="2"/>
      <scheme val="minor"/>
    </font>
    <font>
      <b/>
      <sz val="11"/>
      <color theme="0"/>
      <name val="Calibri"/>
      <family val="2"/>
    </font>
    <font>
      <b/>
      <sz val="11"/>
      <color theme="1"/>
      <name val="Calibri"/>
      <family val="2"/>
    </font>
    <font>
      <sz val="11"/>
      <color theme="1"/>
      <name val="Calibri"/>
      <family val="2"/>
    </font>
    <font>
      <b/>
      <sz val="11"/>
      <color rgb="FFFFFFFF"/>
      <name val="Calibri"/>
      <family val="2"/>
    </font>
    <font>
      <sz val="11"/>
      <color rgb="FF000000"/>
      <name val="Calibri"/>
      <family val="2"/>
    </font>
    <font>
      <sz val="11"/>
      <color rgb="FFFF0000"/>
      <name val="Calibri"/>
      <family val="2"/>
    </font>
    <font>
      <sz val="9"/>
      <color indexed="81"/>
      <name val="Tahoma"/>
      <family val="2"/>
    </font>
    <font>
      <b/>
      <sz val="11"/>
      <name val="Calibri"/>
      <family val="2"/>
    </font>
    <font>
      <b/>
      <sz val="9"/>
      <color indexed="81"/>
      <name val="Tahoma"/>
      <family val="2"/>
    </font>
    <font>
      <sz val="9.6"/>
      <color rgb="FF374151"/>
      <name val="Arial"/>
      <family val="2"/>
    </font>
    <font>
      <b/>
      <sz val="11"/>
      <color theme="0"/>
      <name val="Calibri"/>
      <family val="2"/>
      <scheme val="minor"/>
    </font>
    <font>
      <sz val="12"/>
      <color theme="1"/>
      <name val="Calibri"/>
      <family val="2"/>
      <scheme val="minor"/>
    </font>
    <font>
      <sz val="10"/>
      <name val="Arial"/>
      <family val="2"/>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9.6"/>
      <color rgb="FF374151"/>
      <name val="Arial"/>
      <family val="2"/>
    </font>
    <font>
      <sz val="12"/>
      <color theme="1"/>
      <name val="Times New Roman"/>
      <family val="1"/>
    </font>
    <font>
      <b/>
      <sz val="12"/>
      <color theme="1"/>
      <name val="Times New Roman"/>
      <family val="1"/>
    </font>
    <font>
      <sz val="11"/>
      <color theme="0"/>
      <name val="Calibri"/>
      <family val="2"/>
      <scheme val="minor"/>
    </font>
    <font>
      <sz val="9.6"/>
      <color theme="0"/>
      <name val="Arial"/>
      <family val="2"/>
    </font>
    <font>
      <sz val="11"/>
      <color rgb="FF000000"/>
      <name val="Calibri"/>
      <family val="2"/>
      <scheme val="minor"/>
    </font>
    <font>
      <b/>
      <sz val="9"/>
      <color rgb="FF000000"/>
      <name val="Tahoma"/>
      <family val="2"/>
    </font>
    <font>
      <sz val="9"/>
      <color rgb="FF000000"/>
      <name val="Tahoma"/>
      <family val="2"/>
    </font>
  </fonts>
  <fills count="24">
    <fill>
      <patternFill patternType="none"/>
    </fill>
    <fill>
      <patternFill patternType="gray125"/>
    </fill>
    <fill>
      <patternFill patternType="solid">
        <fgColor rgb="FF92D050"/>
        <bgColor rgb="FF92D050"/>
      </patternFill>
    </fill>
    <fill>
      <patternFill patternType="solid">
        <fgColor rgb="FF00B0F0"/>
        <bgColor rgb="FF00B0F0"/>
      </patternFill>
    </fill>
    <fill>
      <patternFill patternType="solid">
        <fgColor rgb="FFFFC000"/>
        <bgColor rgb="FFFFC000"/>
      </patternFill>
    </fill>
    <fill>
      <patternFill patternType="solid">
        <fgColor rgb="FFFFFFCC"/>
        <bgColor rgb="FFFFFFCC"/>
      </patternFill>
    </fill>
    <fill>
      <patternFill patternType="solid">
        <fgColor rgb="FFB4C6E7"/>
        <bgColor rgb="FFB4C6E7"/>
      </patternFill>
    </fill>
    <fill>
      <patternFill patternType="solid">
        <fgColor rgb="FFF7CAAC"/>
        <bgColor rgb="FFF7CAAC"/>
      </patternFill>
    </fill>
    <fill>
      <patternFill patternType="solid">
        <fgColor rgb="FFBDD6EE"/>
        <bgColor rgb="FFBDD6EE"/>
      </patternFill>
    </fill>
    <fill>
      <patternFill patternType="solid">
        <fgColor rgb="FFC5E0B3"/>
        <bgColor rgb="FFC5E0B3"/>
      </patternFill>
    </fill>
    <fill>
      <patternFill patternType="solid">
        <fgColor rgb="FFFFE598"/>
        <bgColor rgb="FFFFE598"/>
      </patternFill>
    </fill>
    <fill>
      <patternFill patternType="solid">
        <fgColor rgb="FFDADADA"/>
        <bgColor rgb="FFDADADA"/>
      </patternFill>
    </fill>
    <fill>
      <patternFill patternType="solid">
        <fgColor rgb="FFD8D8D8"/>
        <bgColor rgb="FFD8D8D8"/>
      </patternFill>
    </fill>
    <fill>
      <patternFill patternType="solid">
        <fgColor rgb="FFFF66FF"/>
        <bgColor rgb="FFFFC000"/>
      </patternFill>
    </fill>
    <fill>
      <patternFill patternType="solid">
        <fgColor theme="5"/>
        <bgColor indexed="64"/>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78CE1"/>
        <bgColor rgb="FFFFC000"/>
      </patternFill>
    </fill>
    <fill>
      <patternFill patternType="solid">
        <fgColor rgb="FFF78CE1"/>
        <bgColor indexed="64"/>
      </patternFill>
    </fill>
    <fill>
      <patternFill patternType="solid">
        <fgColor rgb="FF00B0F0"/>
        <bgColor rgb="FF92D050"/>
      </patternFill>
    </fill>
    <fill>
      <patternFill patternType="solid">
        <fgColor rgb="FF92D050"/>
        <bgColor indexed="64"/>
      </patternFill>
    </fill>
    <fill>
      <patternFill patternType="solid">
        <fgColor rgb="FF92D050"/>
        <bgColor theme="9"/>
      </patternFill>
    </fill>
  </fills>
  <borders count="19">
    <border>
      <left/>
      <right/>
      <top/>
      <bottom/>
      <diagonal/>
    </border>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9" tint="0.39997558519241921"/>
      </top>
      <bottom style="thin">
        <color theme="9" tint="0.39997558519241921"/>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rgb="FF999999"/>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rgb="FF999999"/>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14" fillId="0" borderId="1"/>
    <xf numFmtId="0" fontId="15" fillId="0" borderId="1"/>
    <xf numFmtId="9" fontId="17" fillId="0" borderId="0" applyFont="0" applyFill="0" applyBorder="0" applyAlignment="0" applyProtection="0"/>
    <xf numFmtId="0" fontId="19" fillId="0" borderId="0" applyNumberFormat="0" applyFill="0" applyBorder="0" applyAlignment="0" applyProtection="0"/>
  </cellStyleXfs>
  <cellXfs count="149">
    <xf numFmtId="0" fontId="0" fillId="0" borderId="0" xfId="0"/>
    <xf numFmtId="0" fontId="3" fillId="2" borderId="1" xfId="0" applyFont="1" applyFill="1" applyBorder="1" applyAlignment="1">
      <alignment horizontal="center" vertical="center"/>
    </xf>
    <xf numFmtId="0" fontId="4" fillId="0" borderId="0" xfId="0" applyFont="1" applyAlignment="1">
      <alignment horizontal="center"/>
    </xf>
    <xf numFmtId="0" fontId="5" fillId="0" borderId="0" xfId="0" applyFont="1"/>
    <xf numFmtId="0" fontId="5" fillId="0" borderId="0" xfId="0" applyFont="1" applyAlignment="1">
      <alignment horizontal="center" vertical="center"/>
    </xf>
    <xf numFmtId="0" fontId="5" fillId="0" borderId="0" xfId="0" applyFont="1" applyAlignment="1">
      <alignment horizontal="center"/>
    </xf>
    <xf numFmtId="0" fontId="4" fillId="5"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6" borderId="1" xfId="0" applyFont="1" applyFill="1" applyBorder="1"/>
    <xf numFmtId="0" fontId="5" fillId="6" borderId="1" xfId="0" applyFont="1" applyFill="1" applyBorder="1" applyAlignment="1">
      <alignment horizontal="center" vertical="center"/>
    </xf>
    <xf numFmtId="0" fontId="5" fillId="6" borderId="1" xfId="0" applyFont="1" applyFill="1" applyBorder="1" applyAlignment="1">
      <alignment horizontal="center"/>
    </xf>
    <xf numFmtId="0" fontId="5" fillId="6" borderId="1" xfId="0" applyFont="1" applyFill="1" applyBorder="1" applyAlignment="1">
      <alignment horizontal="center" vertical="center" wrapText="1"/>
    </xf>
    <xf numFmtId="0" fontId="5" fillId="0" borderId="0" xfId="0" applyFont="1" applyAlignment="1">
      <alignment wrapText="1"/>
    </xf>
    <xf numFmtId="0" fontId="6" fillId="2"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0" borderId="1" xfId="0" applyFont="1" applyFill="1" applyBorder="1" applyAlignment="1">
      <alignment vertical="center" wrapText="1"/>
    </xf>
    <xf numFmtId="0" fontId="5" fillId="12" borderId="1"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8" fillId="0" borderId="0" xfId="0" applyFont="1" applyAlignment="1">
      <alignment horizontal="center" vertical="center" wrapText="1"/>
    </xf>
    <xf numFmtId="0" fontId="5" fillId="0" borderId="0" xfId="0" applyFont="1" applyAlignment="1">
      <alignment horizontal="center" wrapText="1"/>
    </xf>
    <xf numFmtId="0" fontId="7" fillId="0" borderId="0" xfId="0" applyFont="1" applyAlignment="1">
      <alignment horizontal="left" vertical="center" wrapText="1"/>
    </xf>
    <xf numFmtId="0" fontId="7" fillId="0" borderId="0" xfId="0" applyFont="1" applyAlignment="1">
      <alignment horizontal="right" vertical="center" wrapText="1"/>
    </xf>
    <xf numFmtId="0" fontId="5" fillId="0" borderId="1" xfId="0" applyFont="1" applyBorder="1" applyAlignment="1">
      <alignment horizontal="center" vertical="center"/>
    </xf>
    <xf numFmtId="0" fontId="10" fillId="13" borderId="1" xfId="0" applyFont="1" applyFill="1" applyBorder="1" applyAlignment="1">
      <alignment horizontal="center" vertical="center" wrapText="1"/>
    </xf>
    <xf numFmtId="0" fontId="12" fillId="0" borderId="0" xfId="0" applyFont="1"/>
    <xf numFmtId="0" fontId="0" fillId="15" borderId="0" xfId="0" applyFill="1" applyAlignment="1">
      <alignment horizontal="center" vertical="center" textRotation="90"/>
    </xf>
    <xf numFmtId="0" fontId="16" fillId="15" borderId="1" xfId="0" applyFont="1" applyFill="1" applyBorder="1" applyAlignment="1">
      <alignment horizontal="center" vertical="center" textRotation="90"/>
    </xf>
    <xf numFmtId="0" fontId="0" fillId="15" borderId="1" xfId="0" applyFill="1" applyBorder="1" applyAlignment="1">
      <alignment horizontal="center" vertical="center" textRotation="90"/>
    </xf>
    <xf numFmtId="0" fontId="16" fillId="15" borderId="0" xfId="0" applyFont="1" applyFill="1" applyAlignment="1">
      <alignment horizontal="center" vertical="center" textRotation="90"/>
    </xf>
    <xf numFmtId="0" fontId="16" fillId="15" borderId="0" xfId="0" applyFont="1" applyFill="1" applyAlignment="1">
      <alignment horizontal="center" vertical="center"/>
    </xf>
    <xf numFmtId="0" fontId="0" fillId="15" borderId="0" xfId="0" applyFill="1" applyAlignment="1">
      <alignment horizontal="center" vertical="center"/>
    </xf>
    <xf numFmtId="0" fontId="0" fillId="15" borderId="8"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1" fillId="0" borderId="0" xfId="0" applyFont="1"/>
    <xf numFmtId="0" fontId="0" fillId="0" borderId="0" xfId="0" applyAlignment="1">
      <alignment horizontal="center" vertical="center"/>
    </xf>
    <xf numFmtId="0" fontId="0" fillId="17" borderId="0" xfId="0" applyFill="1" applyAlignment="1">
      <alignment horizontal="center" vertical="center"/>
    </xf>
    <xf numFmtId="0" fontId="1" fillId="0" borderId="0" xfId="0" applyFont="1" applyAlignment="1">
      <alignment horizontal="center" vertical="center"/>
    </xf>
    <xf numFmtId="0" fontId="0" fillId="0" borderId="7" xfId="0" applyBorder="1" applyAlignment="1">
      <alignment horizontal="center" vertical="center"/>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0" fillId="0" borderId="5" xfId="0" applyBorder="1" applyAlignment="1">
      <alignment horizontal="center" vertical="center"/>
    </xf>
    <xf numFmtId="0" fontId="0" fillId="0" borderId="7" xfId="0" pivotButton="1" applyBorder="1" applyAlignment="1">
      <alignment horizontal="center" vertical="center"/>
    </xf>
    <xf numFmtId="0" fontId="0" fillId="0" borderId="12" xfId="0" applyBorder="1" applyAlignment="1">
      <alignment horizontal="center" vertical="center"/>
    </xf>
    <xf numFmtId="0" fontId="16" fillId="0" borderId="5" xfId="0" applyFont="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9" fontId="16" fillId="0" borderId="5" xfId="3" applyFont="1" applyBorder="1" applyAlignment="1">
      <alignment horizontal="center" vertical="center"/>
    </xf>
    <xf numFmtId="0" fontId="16" fillId="0" borderId="0" xfId="0" applyFont="1" applyAlignment="1">
      <alignment horizontal="center" vertical="center"/>
    </xf>
    <xf numFmtId="0" fontId="0" fillId="0" borderId="6" xfId="0" applyBorder="1" applyAlignment="1">
      <alignment horizontal="center" vertical="center"/>
    </xf>
    <xf numFmtId="9" fontId="0" fillId="0" borderId="5" xfId="0" applyNumberFormat="1" applyBorder="1" applyAlignment="1">
      <alignment horizontal="center" vertical="center"/>
    </xf>
    <xf numFmtId="0" fontId="18" fillId="0" borderId="5" xfId="0" applyFont="1" applyBorder="1" applyAlignment="1">
      <alignment horizontal="center" vertical="center"/>
    </xf>
    <xf numFmtId="2" fontId="0" fillId="0" borderId="1" xfId="0" applyNumberFormat="1" applyBorder="1" applyAlignment="1">
      <alignment horizontal="center" vertical="center"/>
    </xf>
    <xf numFmtId="2" fontId="0" fillId="0" borderId="6" xfId="0" applyNumberFormat="1" applyBorder="1" applyAlignment="1">
      <alignment horizontal="center" vertical="center"/>
    </xf>
    <xf numFmtId="10" fontId="0" fillId="0" borderId="6" xfId="0" applyNumberFormat="1" applyBorder="1" applyAlignment="1">
      <alignment horizontal="center" vertical="center"/>
    </xf>
    <xf numFmtId="2" fontId="0" fillId="0" borderId="5" xfId="0" applyNumberFormat="1" applyBorder="1" applyAlignment="1">
      <alignment horizontal="center" vertical="center"/>
    </xf>
    <xf numFmtId="10" fontId="0" fillId="0" borderId="5" xfId="0" applyNumberFormat="1" applyBorder="1" applyAlignment="1">
      <alignment horizontal="center" vertical="center"/>
    </xf>
    <xf numFmtId="0" fontId="18" fillId="0" borderId="5" xfId="0" pivotButton="1" applyFont="1" applyBorder="1" applyAlignment="1">
      <alignment horizontal="center" vertical="center"/>
    </xf>
    <xf numFmtId="0" fontId="0" fillId="0" borderId="14" xfId="0" applyBorder="1" applyAlignment="1">
      <alignment horizontal="center" vertical="center"/>
    </xf>
    <xf numFmtId="0" fontId="1" fillId="0" borderId="15" xfId="0" applyFont="1" applyBorder="1" applyAlignment="1">
      <alignment horizontal="center" vertical="center"/>
    </xf>
    <xf numFmtId="43" fontId="0" fillId="0" borderId="1" xfId="0" applyNumberFormat="1" applyBorder="1" applyAlignment="1">
      <alignment horizontal="center" vertical="center"/>
    </xf>
    <xf numFmtId="43" fontId="0" fillId="0" borderId="6" xfId="0" applyNumberFormat="1" applyBorder="1" applyAlignment="1">
      <alignment horizontal="center" vertical="center"/>
    </xf>
    <xf numFmtId="43" fontId="0" fillId="0" borderId="5" xfId="0" applyNumberFormat="1" applyBorder="1" applyAlignment="1">
      <alignment horizontal="center" vertical="center"/>
    </xf>
    <xf numFmtId="0" fontId="0" fillId="0" borderId="13" xfId="0" applyBorder="1" applyAlignment="1">
      <alignment horizontal="center" vertical="center"/>
    </xf>
    <xf numFmtId="43" fontId="0" fillId="0" borderId="13" xfId="0" applyNumberFormat="1" applyBorder="1" applyAlignment="1">
      <alignment horizontal="center" vertical="center"/>
    </xf>
    <xf numFmtId="10" fontId="0" fillId="0" borderId="13" xfId="0" applyNumberFormat="1" applyBorder="1" applyAlignment="1">
      <alignment horizontal="center" vertical="center"/>
    </xf>
    <xf numFmtId="0" fontId="18" fillId="0" borderId="13" xfId="0" pivotButton="1" applyFont="1" applyBorder="1" applyAlignment="1">
      <alignment horizontal="center" vertical="center"/>
    </xf>
    <xf numFmtId="0" fontId="18" fillId="0" borderId="13" xfId="0" applyFont="1" applyBorder="1" applyAlignment="1">
      <alignment horizontal="center" vertical="center"/>
    </xf>
    <xf numFmtId="0" fontId="20" fillId="0" borderId="0" xfId="0" applyFont="1"/>
    <xf numFmtId="43" fontId="0" fillId="0" borderId="7" xfId="0" applyNumberFormat="1" applyBorder="1" applyAlignment="1">
      <alignment horizontal="center" vertical="center"/>
    </xf>
    <xf numFmtId="10" fontId="0" fillId="0" borderId="16"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43" fontId="0" fillId="0" borderId="11" xfId="0" applyNumberFormat="1" applyBorder="1" applyAlignment="1">
      <alignment horizontal="center" vertical="center"/>
    </xf>
    <xf numFmtId="10" fontId="0" fillId="0" borderId="9" xfId="0" applyNumberFormat="1" applyBorder="1" applyAlignment="1">
      <alignment horizontal="center" vertical="center"/>
    </xf>
    <xf numFmtId="0" fontId="18" fillId="0" borderId="1" xfId="0" applyFont="1" applyBorder="1" applyAlignment="1">
      <alignment horizontal="center" vertical="center"/>
    </xf>
    <xf numFmtId="0" fontId="1" fillId="0" borderId="1" xfId="4" applyFont="1" applyBorder="1" applyAlignment="1">
      <alignment horizontal="left" vertical="center"/>
    </xf>
    <xf numFmtId="9" fontId="0" fillId="0" borderId="1" xfId="3" applyFont="1" applyBorder="1" applyAlignment="1">
      <alignment horizontal="center" vertical="center"/>
    </xf>
    <xf numFmtId="9" fontId="1" fillId="0" borderId="1" xfId="3" applyFont="1" applyBorder="1" applyAlignment="1">
      <alignment horizontal="center" vertical="center"/>
    </xf>
    <xf numFmtId="0" fontId="21" fillId="0" borderId="1" xfId="0" applyFont="1" applyBorder="1" applyAlignment="1">
      <alignment horizontal="left" vertical="center"/>
    </xf>
    <xf numFmtId="9" fontId="18" fillId="0" borderId="1" xfId="0" applyNumberFormat="1" applyFont="1" applyBorder="1" applyAlignment="1">
      <alignment horizontal="center" vertical="center"/>
    </xf>
    <xf numFmtId="0" fontId="22" fillId="0" borderId="5" xfId="0" applyFont="1" applyBorder="1" applyAlignment="1">
      <alignment horizontal="center" vertical="center" wrapText="1"/>
    </xf>
    <xf numFmtId="0" fontId="21" fillId="0" borderId="5" xfId="0" applyFont="1" applyBorder="1" applyAlignment="1">
      <alignment horizontal="center" vertical="center" wrapText="1"/>
    </xf>
    <xf numFmtId="9" fontId="21" fillId="0" borderId="5" xfId="3" applyFont="1" applyBorder="1" applyAlignment="1">
      <alignment horizontal="center" vertical="center" wrapText="1"/>
    </xf>
    <xf numFmtId="0" fontId="21" fillId="0" borderId="1" xfId="0" applyFont="1" applyBorder="1" applyAlignment="1">
      <alignment horizontal="center" vertical="center" wrapText="1"/>
    </xf>
    <xf numFmtId="9" fontId="21" fillId="0" borderId="1" xfId="3" applyFont="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9" fontId="0" fillId="0" borderId="5" xfId="3" applyFont="1" applyBorder="1" applyAlignment="1">
      <alignment horizontal="center" vertical="center" wrapText="1"/>
    </xf>
    <xf numFmtId="9" fontId="0" fillId="0" borderId="1" xfId="3" applyFont="1" applyBorder="1" applyAlignment="1">
      <alignment horizontal="center" vertical="center" wrapText="1"/>
    </xf>
    <xf numFmtId="0" fontId="2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9" fontId="0" fillId="0" borderId="6" xfId="3" applyFont="1" applyBorder="1" applyAlignment="1">
      <alignment horizontal="center" vertical="center" wrapText="1"/>
    </xf>
    <xf numFmtId="0" fontId="0" fillId="0" borderId="1" xfId="0" applyBorder="1"/>
    <xf numFmtId="0" fontId="1" fillId="18" borderId="0" xfId="0" applyFont="1" applyFill="1" applyAlignment="1">
      <alignment wrapText="1"/>
    </xf>
    <xf numFmtId="0" fontId="25" fillId="18" borderId="0" xfId="0" applyFont="1" applyFill="1" applyAlignment="1">
      <alignment wrapText="1"/>
    </xf>
    <xf numFmtId="0" fontId="5" fillId="0" borderId="1" xfId="0" applyFont="1" applyBorder="1"/>
    <xf numFmtId="0" fontId="25" fillId="0" borderId="0" xfId="0" applyFont="1"/>
    <xf numFmtId="0" fontId="10" fillId="19" borderId="1" xfId="0" applyFont="1" applyFill="1" applyBorder="1" applyAlignment="1">
      <alignment horizontal="center" vertical="center" wrapText="1"/>
    </xf>
    <xf numFmtId="0" fontId="5" fillId="20" borderId="1" xfId="0" applyFont="1" applyFill="1" applyBorder="1" applyAlignment="1">
      <alignment horizontal="center"/>
    </xf>
    <xf numFmtId="0" fontId="5" fillId="0" borderId="1" xfId="0"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8" fillId="0" borderId="0" xfId="0" applyFont="1" applyAlignment="1">
      <alignment vertical="center" wrapText="1"/>
    </xf>
    <xf numFmtId="0" fontId="6" fillId="21" borderId="1" xfId="0" applyFont="1" applyFill="1" applyBorder="1" applyAlignment="1">
      <alignment horizontal="center" vertical="center" wrapText="1"/>
    </xf>
    <xf numFmtId="0" fontId="23" fillId="22" borderId="0" xfId="0" applyFont="1" applyFill="1" applyAlignment="1">
      <alignment vertical="center"/>
    </xf>
    <xf numFmtId="0" fontId="24" fillId="22" borderId="0" xfId="0" applyFont="1" applyFill="1" applyAlignment="1">
      <alignment horizontal="center" vertical="center"/>
    </xf>
    <xf numFmtId="0" fontId="3" fillId="22" borderId="0" xfId="0" applyFont="1" applyFill="1" applyAlignment="1">
      <alignment horizontal="center" vertical="center"/>
    </xf>
    <xf numFmtId="0" fontId="13" fillId="23" borderId="4" xfId="0" applyFont="1" applyFill="1" applyBorder="1" applyAlignment="1">
      <alignment horizontal="center" vertical="center"/>
    </xf>
    <xf numFmtId="0" fontId="2" fillId="15" borderId="7" xfId="0" applyFont="1" applyFill="1" applyBorder="1" applyAlignment="1">
      <alignment horizontal="center" vertical="center" wrapText="1"/>
    </xf>
    <xf numFmtId="0" fontId="0" fillId="15" borderId="7" xfId="0" applyFill="1" applyBorder="1" applyAlignment="1">
      <alignment horizontal="center" vertical="center"/>
    </xf>
    <xf numFmtId="0" fontId="0" fillId="16" borderId="0" xfId="0" applyFill="1" applyAlignment="1">
      <alignment horizontal="center" vertical="center"/>
    </xf>
    <xf numFmtId="0" fontId="16" fillId="15" borderId="7" xfId="0" applyFont="1" applyFill="1" applyBorder="1" applyAlignment="1">
      <alignment horizontal="center" vertical="center" wrapText="1"/>
    </xf>
    <xf numFmtId="0" fontId="18" fillId="14" borderId="0" xfId="0" applyFont="1" applyFill="1" applyAlignment="1">
      <alignment horizontal="center" vertical="center"/>
    </xf>
    <xf numFmtId="0" fontId="0" fillId="15" borderId="11" xfId="0" applyFill="1" applyBorder="1" applyAlignment="1">
      <alignment horizontal="center" vertical="center"/>
    </xf>
    <xf numFmtId="0" fontId="16" fillId="16" borderId="7" xfId="0" applyFont="1" applyFill="1" applyBorder="1" applyAlignment="1">
      <alignment horizontal="center" vertical="center" textRotation="90"/>
    </xf>
    <xf numFmtId="0" fontId="0" fillId="16" borderId="7" xfId="0" applyFill="1" applyBorder="1" applyAlignment="1">
      <alignment horizontal="center" vertical="center" textRotation="90"/>
    </xf>
    <xf numFmtId="0" fontId="16" fillId="16" borderId="0" xfId="0" applyFont="1" applyFill="1" applyAlignment="1">
      <alignment horizontal="center" vertical="center" textRotation="90"/>
    </xf>
    <xf numFmtId="0" fontId="0" fillId="16" borderId="0" xfId="0" applyFill="1" applyAlignment="1">
      <alignment horizontal="center" vertical="center" textRotation="90"/>
    </xf>
    <xf numFmtId="0" fontId="16" fillId="0" borderId="5" xfId="0" applyFont="1" applyBorder="1" applyAlignment="1">
      <alignment horizontal="center" vertical="center"/>
    </xf>
    <xf numFmtId="0" fontId="18" fillId="0" borderId="1" xfId="0" applyFont="1" applyBorder="1" applyAlignment="1">
      <alignment horizontal="center" vertical="center"/>
    </xf>
    <xf numFmtId="0" fontId="21" fillId="0" borderId="5"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cellXfs>
  <cellStyles count="5">
    <cellStyle name="Hipervínculo" xfId="4" builtinId="8"/>
    <cellStyle name="Normal" xfId="0" builtinId="0"/>
    <cellStyle name="Normal 2" xfId="1" xr:uid="{39C2E650-EDB4-4CF2-8D5C-9659792CA355}"/>
    <cellStyle name="Normal 3" xfId="2" xr:uid="{7BA673F3-5187-46D9-BF22-E99DBB67F784}"/>
    <cellStyle name="Porcentaje" xfId="3" builtinId="5"/>
  </cellStyles>
  <dxfs count="258">
    <dxf>
      <font>
        <color rgb="FF9C0006"/>
      </font>
      <fill>
        <patternFill>
          <bgColor rgb="FFFFC7CE"/>
        </patternFill>
      </fill>
    </dxf>
    <dxf>
      <border>
        <bottom/>
      </border>
    </dxf>
    <dxf>
      <font>
        <b/>
        <family val="2"/>
      </font>
    </dxf>
    <dxf>
      <font>
        <b/>
        <family val="2"/>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top/>
        <bottom/>
        <horizontal/>
      </border>
    </dxf>
    <dxf>
      <border>
        <top/>
        <bottom/>
        <horizontal/>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bottom/>
      </border>
    </dxf>
    <dxf>
      <border>
        <left/>
        <right/>
        <bottom/>
      </border>
    </dxf>
    <dxf>
      <border>
        <left/>
        <right/>
        <bottom/>
      </border>
    </dxf>
    <dxf>
      <border>
        <left/>
        <right/>
        <bottom/>
      </border>
    </dxf>
    <dxf>
      <border>
        <left/>
        <right/>
        <bottom/>
      </border>
    </dxf>
    <dxf>
      <border>
        <left/>
        <right/>
        <bottom/>
      </border>
    </dxf>
    <dxf>
      <border>
        <left/>
        <right/>
        <top/>
        <bottom/>
        <vertical/>
      </border>
    </dxf>
    <dxf>
      <border>
        <left/>
        <right/>
        <top/>
        <bottom/>
        <vertical/>
      </border>
    </dxf>
    <dxf>
      <font>
        <b/>
        <family val="2"/>
      </font>
    </dxf>
    <dxf>
      <font>
        <b/>
        <family val="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b/>
        <family val="2"/>
      </font>
    </dxf>
    <dxf>
      <font>
        <b/>
        <family val="2"/>
      </font>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bottom/>
      </border>
    </dxf>
    <dxf>
      <border>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amily val="2"/>
      </font>
    </dxf>
    <dxf>
      <font>
        <b/>
        <family val="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bottom/>
      </border>
    </dxf>
    <dxf>
      <border>
        <bottom/>
      </border>
    </dxf>
    <dxf>
      <border>
        <bottom style="thin">
          <color indexed="64"/>
        </bottom>
      </border>
    </dxf>
    <dxf>
      <border>
        <bottom style="thin">
          <color indexed="64"/>
        </bottom>
      </border>
    </dxf>
    <dxf>
      <font>
        <b/>
        <family val="2"/>
      </font>
    </dxf>
    <dxf>
      <font>
        <b/>
        <family val="2"/>
      </font>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78CE1"/>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33"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32" Type="http://schemas.openxmlformats.org/officeDocument/2006/relationships/calcChain" Target="calcChain.xml"/><Relationship Id="rId5" Type="http://schemas.openxmlformats.org/officeDocument/2006/relationships/worksheet" Target="worksheets/sheet5.xml"/><Relationship Id="rId28" Type="http://schemas.openxmlformats.org/officeDocument/2006/relationships/theme" Target="theme/theme1.xml"/><Relationship Id="rId10"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7" Type="http://customschemas.google.com/relationships/workbookmetadata" Target="metadata"/><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2.xlsx]PLANTILLA!TablaDinámica7</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PLANTILLA!$AT$5</c:f>
              <c:strCache>
                <c:ptCount val="1"/>
                <c:pt idx="0">
                  <c:v>Absoluto (n)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8A-43EE-BB95-BC9AA7ADF78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8A-43EE-BB95-BC9AA7ADF78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8A-43EE-BB95-BC9AA7ADF7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PLANTILLA!$AT$6:$AT$7</c:f>
              <c:numCache>
                <c:formatCode>General</c:formatCode>
                <c:ptCount val="1"/>
                <c:pt idx="0">
                  <c:v>30</c:v>
                </c:pt>
              </c:numCache>
            </c:numRef>
          </c:val>
          <c:extLst>
            <c:ext xmlns:c16="http://schemas.microsoft.com/office/drawing/2014/chart" uri="{C3380CC4-5D6E-409C-BE32-E72D297353CC}">
              <c16:uniqueId val="{00000000-3A9A-44FE-A099-9AF659847F52}"/>
            </c:ext>
          </c:extLst>
        </c:ser>
        <c:ser>
          <c:idx val="1"/>
          <c:order val="1"/>
          <c:tx>
            <c:strRef>
              <c:f>PLANTILLA!$AU$5</c:f>
              <c:strCache>
                <c:ptCount val="1"/>
                <c:pt idx="0">
                  <c:v>Relativa (n/N)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04-5143-BB7E-BAA8C62D6F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04-5143-BB7E-BAA8C62D6F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7604-5143-BB7E-BAA8C62D6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PLANTILLA!$AU$6:$AU$7</c:f>
              <c:numCache>
                <c:formatCode>_(* #,##0.00_);_(* \(#,##0.00\);_(* "-"??_);_(@_)</c:formatCode>
                <c:ptCount val="1"/>
                <c:pt idx="0">
                  <c:v>1</c:v>
                </c:pt>
              </c:numCache>
            </c:numRef>
          </c:val>
          <c:extLst>
            <c:ext xmlns:c16="http://schemas.microsoft.com/office/drawing/2014/chart" uri="{C3380CC4-5D6E-409C-BE32-E72D297353CC}">
              <c16:uniqueId val="{00000006-9A8A-43EE-BB95-BC9AA7ADF781}"/>
            </c:ext>
          </c:extLst>
        </c:ser>
        <c:ser>
          <c:idx val="2"/>
          <c:order val="2"/>
          <c:tx>
            <c:strRef>
              <c:f>PLANTILLA!$AV$5</c:f>
              <c:strCache>
                <c:ptCount val="1"/>
                <c:pt idx="0">
                  <c:v> Porcentaje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7604-5143-BB7E-BAA8C62D6F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7604-5143-BB7E-BAA8C62D6F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7604-5143-BB7E-BAA8C62D6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PLANTILLA!$AV$6:$AV$7</c:f>
              <c:numCache>
                <c:formatCode>0.00%</c:formatCode>
                <c:ptCount val="1"/>
                <c:pt idx="0">
                  <c:v>1</c:v>
                </c:pt>
              </c:numCache>
            </c:numRef>
          </c:val>
          <c:extLst>
            <c:ext xmlns:c16="http://schemas.microsoft.com/office/drawing/2014/chart" uri="{C3380CC4-5D6E-409C-BE32-E72D297353CC}">
              <c16:uniqueId val="{00000008-9A8A-43EE-BB95-BC9AA7ADF78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PLANTILLA!$T$6</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PLANTILLA!$S$7:$S$10</c:f>
              <c:strCache>
                <c:ptCount val="3"/>
                <c:pt idx="0">
                  <c:v>2021</c:v>
                </c:pt>
                <c:pt idx="1">
                  <c:v>2022</c:v>
                </c:pt>
                <c:pt idx="2">
                  <c:v>2023</c:v>
                </c:pt>
              </c:strCache>
            </c:strRef>
          </c:cat>
          <c:val>
            <c:numRef>
              <c:f>PLANTILLA!$T$7:$T$10</c:f>
              <c:numCache>
                <c:formatCode>General</c:formatCode>
                <c:ptCount val="3"/>
                <c:pt idx="0">
                  <c:v>13</c:v>
                </c:pt>
                <c:pt idx="1">
                  <c:v>8</c:v>
                </c:pt>
                <c:pt idx="2">
                  <c:v>9</c:v>
                </c:pt>
              </c:numCache>
            </c:numRef>
          </c:val>
          <c:smooth val="0"/>
          <c:extLst>
            <c:ext xmlns:c16="http://schemas.microsoft.com/office/drawing/2014/chart" uri="{C3380CC4-5D6E-409C-BE32-E72D297353CC}">
              <c16:uniqueId val="{00000000-E348-48C5-B15C-F53F8DEC09A2}"/>
            </c:ext>
          </c:extLst>
        </c:ser>
        <c:dLbls>
          <c:showLegendKey val="0"/>
          <c:showVal val="0"/>
          <c:showCatName val="0"/>
          <c:showSerName val="0"/>
          <c:showPercent val="0"/>
          <c:showBubbleSize val="0"/>
        </c:dLbls>
        <c:smooth val="0"/>
        <c:axId val="264090960"/>
        <c:axId val="264066000"/>
      </c:lineChart>
      <c:catAx>
        <c:axId val="2640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64066000"/>
        <c:crosses val="autoZero"/>
        <c:auto val="1"/>
        <c:lblAlgn val="ctr"/>
        <c:lblOffset val="100"/>
        <c:noMultiLvlLbl val="0"/>
      </c:catAx>
      <c:valAx>
        <c:axId val="2640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6409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3508311461066"/>
          <c:y val="5.0925925925925923E-2"/>
          <c:w val="0.76666097987751536"/>
          <c:h val="0.50059565470982792"/>
        </c:manualLayout>
      </c:layout>
      <c:barChart>
        <c:barDir val="col"/>
        <c:grouping val="clustered"/>
        <c:varyColors val="0"/>
        <c:ser>
          <c:idx val="0"/>
          <c:order val="0"/>
          <c:tx>
            <c:strRef>
              <c:f>PLANTILLA!$AG$6</c:f>
              <c:strCache>
                <c:ptCount val="1"/>
                <c:pt idx="0">
                  <c:v>Total</c:v>
                </c:pt>
              </c:strCache>
            </c:strRef>
          </c:tx>
          <c:spPr>
            <a:solidFill>
              <a:schemeClr val="accent1"/>
            </a:solidFill>
            <a:ln>
              <a:noFill/>
            </a:ln>
            <a:effectLst/>
          </c:spPr>
          <c:invertIfNegative val="0"/>
          <c:cat>
            <c:strRef>
              <c:f>PLANTILLA!$AF$7:$AF$9</c:f>
              <c:strCache>
                <c:ptCount val="2"/>
                <c:pt idx="0">
                  <c:v>Gaceta Sanitaria</c:v>
                </c:pt>
                <c:pt idx="1">
                  <c:v>Medwave</c:v>
                </c:pt>
              </c:strCache>
            </c:strRef>
          </c:cat>
          <c:val>
            <c:numRef>
              <c:f>PLANTILLA!$AG$7:$AG$9</c:f>
              <c:numCache>
                <c:formatCode>General</c:formatCode>
                <c:ptCount val="2"/>
                <c:pt idx="0">
                  <c:v>1</c:v>
                </c:pt>
                <c:pt idx="1">
                  <c:v>1</c:v>
                </c:pt>
              </c:numCache>
            </c:numRef>
          </c:val>
          <c:extLst>
            <c:ext xmlns:c16="http://schemas.microsoft.com/office/drawing/2014/chart" uri="{C3380CC4-5D6E-409C-BE32-E72D297353CC}">
              <c16:uniqueId val="{00000000-A0F1-45F9-907F-3E0B72DFDB1E}"/>
            </c:ext>
          </c:extLst>
        </c:ser>
        <c:dLbls>
          <c:showLegendKey val="0"/>
          <c:showVal val="0"/>
          <c:showCatName val="0"/>
          <c:showSerName val="0"/>
          <c:showPercent val="0"/>
          <c:showBubbleSize val="0"/>
        </c:dLbls>
        <c:gapWidth val="219"/>
        <c:overlap val="-27"/>
        <c:axId val="356122672"/>
        <c:axId val="356106864"/>
      </c:barChart>
      <c:catAx>
        <c:axId val="3561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06864"/>
        <c:crosses val="autoZero"/>
        <c:auto val="1"/>
        <c:lblAlgn val="ctr"/>
        <c:lblOffset val="100"/>
        <c:noMultiLvlLbl val="0"/>
      </c:catAx>
      <c:valAx>
        <c:axId val="35610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2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DOC OK 2 2.xlsx]PLANTILLA!TablaDinámica3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PLANTILLA!$BJ$5</c:f>
              <c:strCache>
                <c:ptCount val="1"/>
                <c:pt idx="0">
                  <c:v>Total</c:v>
                </c:pt>
              </c:strCache>
            </c:strRef>
          </c:tx>
          <c:spPr>
            <a:solidFill>
              <a:schemeClr val="accent1"/>
            </a:solidFill>
            <a:ln>
              <a:noFill/>
            </a:ln>
            <a:effectLst/>
          </c:spPr>
          <c:invertIfNegative val="0"/>
          <c:cat>
            <c:strRef>
              <c:f>PLANTILLA!$BI$6:$BI$9</c:f>
              <c:strCache>
                <c:ptCount val="3"/>
                <c:pt idx="0">
                  <c:v>Scopus</c:v>
                </c:pt>
                <c:pt idx="1">
                  <c:v>Scilo</c:v>
                </c:pt>
                <c:pt idx="2">
                  <c:v>Redallyc</c:v>
                </c:pt>
              </c:strCache>
            </c:strRef>
          </c:cat>
          <c:val>
            <c:numRef>
              <c:f>PLANTILLA!$BJ$6:$BJ$9</c:f>
              <c:numCache>
                <c:formatCode>General</c:formatCode>
                <c:ptCount val="3"/>
                <c:pt idx="0">
                  <c:v>10</c:v>
                </c:pt>
                <c:pt idx="1">
                  <c:v>10</c:v>
                </c:pt>
                <c:pt idx="2">
                  <c:v>10</c:v>
                </c:pt>
              </c:numCache>
            </c:numRef>
          </c:val>
          <c:extLst>
            <c:ext xmlns:c16="http://schemas.microsoft.com/office/drawing/2014/chart" uri="{C3380CC4-5D6E-409C-BE32-E72D297353CC}">
              <c16:uniqueId val="{00000000-552F-4736-BD15-637B8A4B058D}"/>
            </c:ext>
          </c:extLst>
        </c:ser>
        <c:dLbls>
          <c:showLegendKey val="0"/>
          <c:showVal val="0"/>
          <c:showCatName val="0"/>
          <c:showSerName val="0"/>
          <c:showPercent val="0"/>
          <c:showBubbleSize val="0"/>
        </c:dLbls>
        <c:gapWidth val="219"/>
        <c:overlap val="-27"/>
        <c:axId val="356128496"/>
        <c:axId val="356132656"/>
      </c:barChart>
      <c:catAx>
        <c:axId val="35612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32656"/>
        <c:crosses val="autoZero"/>
        <c:auto val="1"/>
        <c:lblAlgn val="ctr"/>
        <c:lblOffset val="100"/>
        <c:noMultiLvlLbl val="0"/>
      </c:catAx>
      <c:valAx>
        <c:axId val="35613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2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25400</xdr:colOff>
      <xdr:row>4</xdr:row>
      <xdr:rowOff>0</xdr:rowOff>
    </xdr:from>
    <xdr:to>
      <xdr:col>5</xdr:col>
      <xdr:colOff>635000</xdr:colOff>
      <xdr:row>4</xdr:row>
      <xdr:rowOff>12700</xdr:rowOff>
    </xdr:to>
    <xdr:cxnSp macro="">
      <xdr:nvCxnSpPr>
        <xdr:cNvPr id="3" name="Conector recto de flecha 2">
          <a:extLst>
            <a:ext uri="{FF2B5EF4-FFF2-40B4-BE49-F238E27FC236}">
              <a16:creationId xmlns:a16="http://schemas.microsoft.com/office/drawing/2014/main" id="{D8AA002F-B6AA-B5AE-9F70-D7017D148639}"/>
            </a:ext>
          </a:extLst>
        </xdr:cNvPr>
        <xdr:cNvCxnSpPr/>
      </xdr:nvCxnSpPr>
      <xdr:spPr>
        <a:xfrm flipV="1">
          <a:off x="3187700" y="1117600"/>
          <a:ext cx="609600"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48</xdr:col>
      <xdr:colOff>352425</xdr:colOff>
      <xdr:row>1</xdr:row>
      <xdr:rowOff>28575</xdr:rowOff>
    </xdr:from>
    <xdr:to>
      <xdr:col>54</xdr:col>
      <xdr:colOff>352425</xdr:colOff>
      <xdr:row>15</xdr:row>
      <xdr:rowOff>104775</xdr:rowOff>
    </xdr:to>
    <xdr:graphicFrame macro="">
      <xdr:nvGraphicFramePr>
        <xdr:cNvPr id="5" name="Gráfico 4">
          <a:extLst>
            <a:ext uri="{FF2B5EF4-FFF2-40B4-BE49-F238E27FC236}">
              <a16:creationId xmlns:a16="http://schemas.microsoft.com/office/drawing/2014/main" id="{23855CE9-8D05-FF25-ED10-CD58FC08E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76200</xdr:colOff>
      <xdr:row>5</xdr:row>
      <xdr:rowOff>19050</xdr:rowOff>
    </xdr:from>
    <xdr:to>
      <xdr:col>25</xdr:col>
      <xdr:colOff>85725</xdr:colOff>
      <xdr:row>19</xdr:row>
      <xdr:rowOff>95250</xdr:rowOff>
    </xdr:to>
    <xdr:graphicFrame macro="">
      <xdr:nvGraphicFramePr>
        <xdr:cNvPr id="3" name="Gráfico 2">
          <a:extLst>
            <a:ext uri="{FF2B5EF4-FFF2-40B4-BE49-F238E27FC236}">
              <a16:creationId xmlns:a16="http://schemas.microsoft.com/office/drawing/2014/main" id="{B276ED08-C68A-3E5B-8721-894BEBAB7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57150</xdr:colOff>
      <xdr:row>2</xdr:row>
      <xdr:rowOff>161925</xdr:rowOff>
    </xdr:from>
    <xdr:to>
      <xdr:col>37</xdr:col>
      <xdr:colOff>666750</xdr:colOff>
      <xdr:row>17</xdr:row>
      <xdr:rowOff>47625</xdr:rowOff>
    </xdr:to>
    <xdr:graphicFrame macro="">
      <xdr:nvGraphicFramePr>
        <xdr:cNvPr id="7" name="Gráfico 6">
          <a:extLst>
            <a:ext uri="{FF2B5EF4-FFF2-40B4-BE49-F238E27FC236}">
              <a16:creationId xmlns:a16="http://schemas.microsoft.com/office/drawing/2014/main" id="{AB87C7A1-6B33-F1A2-7AF9-B3DA588C7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733425</xdr:colOff>
      <xdr:row>1</xdr:row>
      <xdr:rowOff>152400</xdr:rowOff>
    </xdr:from>
    <xdr:to>
      <xdr:col>68</xdr:col>
      <xdr:colOff>733425</xdr:colOff>
      <xdr:row>16</xdr:row>
      <xdr:rowOff>38100</xdr:rowOff>
    </xdr:to>
    <xdr:graphicFrame macro="">
      <xdr:nvGraphicFramePr>
        <xdr:cNvPr id="8" name="Gráfico 7">
          <a:extLst>
            <a:ext uri="{FF2B5EF4-FFF2-40B4-BE49-F238E27FC236}">
              <a16:creationId xmlns:a16="http://schemas.microsoft.com/office/drawing/2014/main" id="{BF97C18E-B1DE-DEBE-E431-E7B7FBBE8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n Sofia Veliz Ruiz" refreshedDate="45182.05233460648" createdVersion="8" refreshedVersion="8" minRefreshableVersion="3" recordCount="100" xr:uid="{6027FB25-6003-446D-9C22-40ABFF7C90CF}">
  <cacheSource type="worksheet">
    <worksheetSource ref="B4:Q104" sheet="BASE DE DATOS SCOPUS"/>
  </cacheSource>
  <cacheFields count="16">
    <cacheField name="Authors" numFmtId="0">
      <sharedItems containsMixedTypes="1" containsNumber="1" containsInteger="1" minValue="0" maxValue="0" longText="1"/>
    </cacheField>
    <cacheField name="Title" numFmtId="0">
      <sharedItems containsMixedTypes="1" containsNumber="1" containsInteger="1" minValue="0" maxValue="0" longText="1"/>
    </cacheField>
    <cacheField name="Year" numFmtId="0">
      <sharedItems containsSemiMixedTypes="0" containsString="0" containsNumber="1" containsInteger="1" minValue="0" maxValue="2023" count="24">
        <n v="2022"/>
        <n v="2021"/>
        <n v="2023"/>
        <n v="0"/>
        <n v="2019" u="1"/>
        <n v="2020" u="1"/>
        <n v="1991" u="1"/>
        <n v="2018" u="1"/>
        <n v="1992" u="1"/>
        <n v="1994" u="1"/>
        <n v="2016" u="1"/>
        <n v="1995" u="1"/>
        <n v="2008" u="1"/>
        <n v="2011" u="1"/>
        <n v="1990" u="1"/>
        <n v="2017" u="1"/>
        <n v="2005" u="1"/>
        <n v="2004" u="1"/>
        <n v="1993" u="1"/>
        <n v="2006" u="1"/>
        <n v="1989" u="1"/>
        <n v="2014" u="1"/>
        <n v="2001" u="1"/>
        <n v="2007" u="1"/>
      </sharedItems>
    </cacheField>
    <cacheField name="Journal" numFmtId="0">
      <sharedItems containsMixedTypes="1" containsNumber="1" containsInteger="1" minValue="0" maxValue="0" count="28">
        <s v="Frontiers in Nutrition"/>
        <s v="International Breastfeeding Journal"/>
        <s v="Dental and Medical Problems"/>
        <s v="American Journal of Clinical Nutrition"/>
        <s v="International Journal of Environmental Research and Public Health"/>
        <s v="Nutrients"/>
        <s v="Frontiers in Oncology"/>
        <s v="Maternal and Child Nutrition"/>
        <s v="International Journal for Equity in Health"/>
        <s v="PLoS ONE"/>
        <s v="Frontiers in Immunology"/>
        <s v="Revista de Gastroenterologia de Mexico"/>
        <s v="Open Forum Infectious Diseases"/>
        <s v="Journal of Community Health"/>
        <s v="Journal of Clinical Pediatric Dentistry"/>
        <s v="Cancers"/>
        <s v="Gaceta Sanitaria"/>
        <s v="Nature Human Behaviour"/>
        <s v="Medwave"/>
        <s v="Public Health in Practice"/>
        <s v="World Journal of Dentistry"/>
        <s v="American Journal of Human Biology"/>
        <s v="Tropical Medicine and Infectious Disease"/>
        <s v="Enfermeria Global"/>
        <s v="Lancet Regional Health - Americas"/>
        <s v="Maternal and Child Health Journal"/>
        <s v="Journal of Pediatric Surgery Case Reports"/>
        <n v="0"/>
      </sharedItems>
    </cacheField>
    <cacheField name="Abstract" numFmtId="0">
      <sharedItems containsMixedTypes="1" containsNumber="1" containsInteger="1" minValue="0" maxValue="0" longText="1"/>
    </cacheField>
    <cacheField name="Keywords" numFmtId="0">
      <sharedItems containsMixedTypes="1" containsNumber="1" containsInteger="1" minValue="0" maxValue="0"/>
    </cacheField>
    <cacheField name="Publisher/Editorial" numFmtId="0">
      <sharedItems containsMixedTypes="1" containsNumber="1" containsInteger="1" minValue="0" maxValue="0"/>
    </cacheField>
    <cacheField name="Language" numFmtId="0">
      <sharedItems containsMixedTypes="1" containsNumber="1" containsInteger="1" minValue="0" maxValue="0" count="2">
        <s v="English"/>
        <n v="0"/>
      </sharedItems>
    </cacheField>
    <cacheField name="Document Type" numFmtId="0">
      <sharedItems containsMixedTypes="1" containsNumber="1" containsInteger="1" minValue="0" maxValue="0"/>
    </cacheField>
    <cacheField name="DOI" numFmtId="0">
      <sharedItems containsMixedTypes="1" containsNumber="1" containsInteger="1" minValue="0" maxValue="0"/>
    </cacheField>
    <cacheField name="City of publication" numFmtId="0">
      <sharedItems longText="1"/>
    </cacheField>
    <cacheField name="Country of study" numFmtId="0">
      <sharedItems containsBlank="1" count="16">
        <s v="Peru"/>
        <s v="United States"/>
        <s v="Germany"/>
        <s v="United Kingdom"/>
        <s v="Switzerland"/>
        <s v="México"/>
        <s v="Uganda"/>
        <s v="Ecuador"/>
        <m/>
        <s v="Nigeria" u="1"/>
        <s v="South Africa" u="1"/>
        <s v="Brazil" u="1"/>
        <s v="China" u="1"/>
        <s v="Ethiopia" u="1"/>
        <s v="Netherlands" u="1"/>
        <s v="New Zealand" u="1"/>
      </sharedItems>
    </cacheField>
    <cacheField name="Scopus" numFmtId="0">
      <sharedItems containsBlank="1"/>
    </cacheField>
    <cacheField name="WOS" numFmtId="0">
      <sharedItems containsNonDate="0" containsString="0" containsBlank="1"/>
    </cacheField>
    <cacheField name="Link" numFmtId="0">
      <sharedItems containsMixedTypes="1" containsNumber="1" containsInteger="1" minValue="0" maxValue="0"/>
    </cacheField>
    <cacheField name="TIPO SCOPUS/WOS" numFmtId="0">
      <sharedItems containsBlank="1" count="9">
        <s v="Scilo"/>
        <s v="Scopus"/>
        <s v="Redallyc"/>
        <m/>
        <s v="CIELO" u="1"/>
        <s v="JUAN" u="1"/>
        <s v="MARCO" u="1"/>
        <s v="PEPITO" u="1"/>
        <s v="REDALIC"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Hernández-Vásquez A.; Vargas-Fernández R."/>
    <s v="Socioeconomic determinants and inequalities in exclusive breastfeeding among children in Peru"/>
    <x v="0"/>
    <x v="0"/>
    <s v="Introduction: Although Latin America and the Caribbean have one of the highest prevalences of exclusive breastfeeding (EBF), the countries in this region have socioeconomic determinants that influence the frequency of this practice and do not allow achieving the 70% target recommended by the World Health Organization. Therefore, the objective of the study was to examine the socioeconomic determinants and perform a decomposition analysis of socioeconomic inequalities in EBF in Peruvian children 6 to 59 months of age. Methods: A cross-sectional study was carried out using the 2021 Demographic and Family Health Survey. The dependent variable for the study was EBF up to 6 months of age and the wealth index variable was used to perform the inequality analysis. Poisson log generalized linear regression models were fitted to evaluate the association between EBF and the independent variables, and concentration curves and Erreygers concentration index decomposition were used to analyze inequalities in EBF. Results: A total of 9926 surveyed participants were included. The prevalence of EBF was 70.5% (95% confidence interval: 69.2-71.8). Women who were married, self-identified as native, received EBF training, resided in the highlands and jungle, and their child was the second or older showed a higher likelihood of EBF. In the inequality analysis, EBF was concentrated among the poorest mothers and the major contributors were residing in the highlands and jungle and belonging to the middle and wealthy quintiles. Discussion: Our findings suggest that the main strategies to encourage the practice of EBF should be focused on all mothers regardless of their socioeconomic status in order to reduce the EBF gap between richer and poorer women. Copyright © 2022 Hernández-Vásquez and Vargas-Fernández."/>
    <s v="cross-sectional studies; exclusive breastfeeding; Peru; social inequalities; socioeconomic factors"/>
    <s v="Frontiers Media S.A."/>
    <x v="0"/>
    <s v="Article"/>
    <s v="10.3389/fnut.2022.1073838"/>
    <s v="A. Hernández-Vásquez; Centro de Excelencia en Investigaciones Económicas y Sociales en Salud, Vicerrectorado de Investigación, Universidad San Ignacio de Loyola, Lima, Peru; email: ahernandez@usil.edu.pe"/>
    <x v="0"/>
    <s v="X"/>
    <m/>
    <s v="https://www.scopus.com/inward/record.uri?eid=2-s2.0-85145202868&amp;doi=10.3389%2ffnut.2022.1073838&amp;partnerID=40&amp;md5=dd2706173dc79e0cd6184bf72e7c9a83"/>
    <x v="0"/>
  </r>
  <r>
    <s v="Rothstein J.D.; Winch P.J.; Pachas J.; Cabrera L.Z.; Ochoa M.; Gilman R.H.; Caulfield L.E."/>
    <s v="Vulnerable families and costly formula: a qualitative exploration of infant formula purchasing among peri-urban Peruvian households"/>
    <x v="1"/>
    <x v="1"/>
    <s v="Background: Substantial evidence exists surrounding the health risks of breast milk substitutes (BMS) in place of exclusive breastfeeding among infants &lt; 6 months of age in resource-poor settings. Yet, mothers’ experiences of selecting and purchasing BMS brands have not been well studied to date. This qualitative study explored the factors influencing BMS purchasing practices, along with the consequences of those decisions, in peri-urban Lima, Peru. Methods: We conducted in-depth interviews (IDIs) with 29 mothers who had begun mixed-feeding their infants during the first 6 months of life. Interviews explored participants’ reasons for initiating infant formula use and their experiences of selecting, purchasing, and providing BMS to their children. Audio recordings were transcribed, coded, and key themes and illustrative vignettes were identified. Results: The primary reported reasons for initiating infant formula use included having received a recommendation for infant formula from a healthcare provider, concerns about an infant’s weight gain, and the perception of insufficient breast milk. Mothers tended to initially purchase the BMS brand that had been recommended by a doctor, which was often more expensive than the alternatives. The costs of BMS, which escalated as infants grew, often disrupted the household economy and generated significant stress. While some mothers identified alternatives allowing them to continue purchasing the same brand, others chose to switch to less expensive products. Several mothers began to feed their infants follow-on formula or commercial milk, despite their awareness that such practices were not recommended for infants under 6 months of age. The approval of family members and the absence of an infant’s immediate adverse reaction influenced mothers’ decisions to continue purchasing these products. Conclusions: The high costs of BMS may deepen existing socio-economic vulnerabilities and generate new risks for infant health. The continued dedication of resources towards breastfeeding education and support is critical, and strategies would benefit from underscoring the long-term financial and health consequences of infant formula use, and from strengthening women’s self-efficacy to refuse to initiate infant formula when recommended. In addition, health providers should be trained in counseling to help women to relactate or return to exclusive breastfeeding after cessation. © 2021, The Author(s)."/>
    <s v="Breast milk substitutes; Decision-making; Infant feeding; Peru; Qualitative"/>
    <s v="BioMed Central Ltd"/>
    <x v="0"/>
    <s v="Article"/>
    <s v="10.1186/s13006-021-00356-6"/>
    <s v="J.D. Rothstein; Department of International Health, Johns Hopkins Bloomberg School of Public Health, Baltimore, United States; email: jrothstein@jhu.edu"/>
    <x v="1"/>
    <s v="X"/>
    <m/>
    <s v="https://www.scopus.com/inward/record.uri?eid=2-s2.0-85100227825&amp;doi=10.1186%2fs13006-021-00356-6&amp;partnerID=40&amp;md5=f93ce2cbf98cac8d4bef356da726aace"/>
    <x v="1"/>
  </r>
  <r>
    <s v="Góngora-León I.; Alarcón-Calle C.S.; Aliaga-Del Castillo A.; Flores-Mir C.; Arriola-Guillén L.E."/>
    <s v="Association of breastfeeding duration with the development of non-nutritive habits, and transversal and vertical occlusal alterations in preschool children: A cross-sectional study"/>
    <x v="2"/>
    <x v="2"/>
    <s v="Background. Breastfeeding has multiple nutritional, immunological and psychological benefits, as well as a positive influence on the development of the stomatognathic system. Objectives. The present study attempted to determine the relationship between the duration of breastfeeding and the development of non-nutritive habits, and transversal and vertical occlusal alterations in preschool children. Material and methods. This cross-sectional study involved 155 preschoolers aged 2–5 years from 3 public schools in Lima, Peru. The sample was divided into 2 groups with regard to the duration of breast-feeding: group A (n = 50) included infants that had been breastfed for up to 6 months; and group B (n = 105) included infants that had been breastfed for 6–12 months. Two trained and calibrated dentists evaluated each group, and clinically determined the presence or absence of transversal or vertical occlusal alterations. Likewise, the children’s parents or caregivers were consulted to determine the development of non-nutritive habits. Results. A significant association was found between breastfeeding duration and the development of the oral breathing habit; groups A and B showed a prevalence of 30.0% and 16.2%, respectively (p = 0.048). Likewise, breastfeeding duration affected the appearance of oral breathing (OR (odds ratio) = 0.84; 95% CI (confidence interval): 0.74–0.96; p = 0.011). Furthermore, the use of a bottle for more than 24 months significantly influenced the appearance of oral habits (OR = 3.55; 95% CI: 1.20–10.55; p = 0.022) and open bite (OR = 12.12; 95% CI: 1.16–126.31; p = 0.037). Conclusions. Breastfeeding duration of 6–12 months was shown to be a protective factor in preventing the appearance of oral breathing. Posterior crossbite (PCB), open bite and deep bite seemed not to be influenced by breastfeeding duration. However, the use of a bottle for more than 24 months significantly influenced the appearance of anterior open bite. © by Author(s)."/>
    <s v="breastfeeding; dental occlusion; habits"/>
    <s v="Wroclaw University of Medicine"/>
    <x v="0"/>
    <s v="Article"/>
    <s v="10.17219/dmp/145416"/>
    <s v="L.E. Arriola-Guillén; Division of Orthodontics, School of Dentistry, Scientific University of the South (Universidad Científica del Sur), Lima, Peru; email: luchoarriola@gmail.com"/>
    <x v="0"/>
    <s v="X"/>
    <m/>
    <s v="https://www.scopus.com/inward/record.uri?eid=2-s2.0-85151044221&amp;doi=10.17219%2fdmp%2f145416&amp;partnerID=40&amp;md5=ba09fcc788ddc9e2aad47216e1efd04f"/>
    <x v="2"/>
  </r>
  <r>
    <s v="Mccormick B.J.J.; Richard S.A.; Murray-Kolb L.E.; Kang G.; Lima A.A.M.; Mduma E.; Kosek M.N.; Rogawski Mcquade E.T.; Houpt E.R.; Bessong P.; Shrestha S.; Bhutta Z.; Ahmed T.; Caulfield L.E.; Acosta A.M.; De Burga R.R.; Chavez C.B.; Flores J.T.; Olotegui M.P.; Pinedo S.R.; Salas M.S.; Trigoso D.R.; Vasquez A.O.; Ahmed I.; Alam D.; Ali A.; Qureshi S.; Rasheed M.; Soofi S.; Turab A.; Yousafzai A.; Zaidi A.K.M.; Bodhidatta L.; Ammu G.; Babji S.; Bose A.; George A.T.; Hariraju D.; Jennifer M.S.; John S.; Kaki S.; Karunakaran P.; Koshy B.; Lazarus R.P.; Muliyil J.; Ragasudha P.; Raghava M.V.; Raju S.; Ramachandran A.; Ramadas R.; Ramanujam K.; Rose A.; Roshan R.; Sharma S.L.; Shanmuga Sundaram E.; Thomas R.J.; Pan W.K.; Ambikapathi R.; Carreon J.D.; Doan V.; Hoest C.; Knobler S.; McGrath M.; Miller M.A.; Psaki S.; Rasmussen Z.; Seidman J.C.; Gottlieb M.; Lang D.R.; Tountas K.H.; Svensen E.; Amour C.; Bayyo E.; Mduma E.R.; Mvungi R.; Nshama R.; Pascal J.; Swema B.M.; Yarrot L.; Mason C.J.; Shamsir Ahmed A.M.; Alam M.A.; Haque R.; Haque U.; Hossain M.I.; Islam M.; Mahfuz M.; Mondal D.; Nahar B.; Tofail F.; Chandyo R.K.; Shrestha P.S.; Shrestha R.; Ulak M.; Bauck A.; Black R.E.; Checkley W.; Lee G.O.; Schulze K.; Yori P.P.; Ross A.C.; Schaefer B.; Simons S.; Pendergast L.; Abreu C.B.; Costa H.; Di Moura A.; Filho J.Q.; Havt A.; Leite Á.M.; Lima N.L.; Lima I.F.; Maciel B.L.L.; Medeiros P.H.Q.S.; Moraes M.; Mota F.S.; Oriá R.B.; Quetz J.; Soares A.M.; Mota R.M.S.; Patil C.L.; Mahopo C.; Maphula A.; Nyathi E.; Samie A.; Barrett L.; Dillingham R.; Gratz J.; Guerrant R.L.; Houpt E.; Petri W.A., Jr.; Platts-Mills J.; Rogawski E.; Scharf R.; Shrestha B.; Rayamajhi B.B.; Shrestha S.K.; Strand T."/>
    <s v="Full breastfeeding protection against common enteric bacteria and viruses: Results from the MAL-ED cohort study"/>
    <x v="0"/>
    <x v="3"/>
    <s v="Background: Breastfeeding is known to reduce the risk of enteropathogen infections, but protection from specific enteropathogens is not well characterized. Objective: The aim was to estimate the association between full breastfeeding (days fed breast milk exclusively or with nonnutritive liquids) and enteropathogen detection. Methods: A total of 2145 newborns were enrolled at 8 sites, of whom 1712 had breastfeeding and key enteropathogen data through 6 mo. We focused on 11 enteropathogens: adenovirus 40/41, norovirus, sapovirus, astrovirus, and rotavirus, enterotoxigenic Escherichia coli (ETEC), Campylobacter spp., and typical enteropathogenic E. coli as well as entero-aggregative E. coli, Shigella and Cryptosporidium. Logistic regression was used to estimate the risk of enteropathogen detection in stools and survival analysis was used to estimate the timing of first detection of an enteropathogen. Results: Infants with 10% more days of full breastfeeding within the preceding 30 d of a stool sample were less likely to have the 3 E. coli and Campylobacter spp. detected in their stool (mean odds: 0.92-0.99) but equally likely (0.99-1.02) to have the viral pathogens detected in their stool. A 10% longer period of full breastfeeding from birth was associated with later first detection of the 3 E. coli, Campylobacter, adenovirus, astrovirus, and rotavirus (mean HRs of 0.52-0.75). The hazards declined and point estimates were not statistically significant at 3 mo. Conclusions: In this large multicenter cohort study, full breastfeeding was associated with lower likelihood of detecting 4 important enteric pathogens in the first 6 mo of life. These results also show that full breastfeeding is related to delays in the first detection of some bacterial and viral pathogens in the stool. As several of these pathogens are risk factors for poor growth during childhood, this work underscores the importance of exclusive or full breastfeeding during the first 6 mo of life to optimize early health. © 2021 The Author(s). Published by Oxford University Press on behalf of the American Society for Nutrition."/>
    <s v="breastfeeding; enteropathogens; enteropathy; infant feeding; MAL-ED"/>
    <s v="Oxford University Press"/>
    <x v="0"/>
    <s v="Article"/>
    <s v="10.1093/ajcn/nqab391"/>
    <s v="L.E. Caulfield; The Johns Hopkins Bloomberg School of Public Health, Baltimore, United States; email: lcaulfi1@jhu.edu"/>
    <x v="1"/>
    <s v="X"/>
    <m/>
    <s v="https://www.scopus.com/inward/record.uri?eid=2-s2.0-85125682982&amp;doi=10.1093%2fajcn%2fnqab391&amp;partnerID=40&amp;md5=146abfe9c89d1e45dfca18ab42711a1d"/>
    <x v="0"/>
  </r>
  <r>
    <s v="Yamunaque-Carranza M.; Medina-Ramirez S.A.; Mamani-García C.S.; Caira-Chuquineyra B.; Fernandez-Guzman D.; Urrunaga-Pastor D.; Bendezu-Quispe G."/>
    <s v="Factors Associated with Adequate Breastfeeding: Evidence from the Peruvian Demographic and Health Survey, 2019"/>
    <x v="0"/>
    <x v="4"/>
    <s v="Objective: To assess the factors associated with adequate breastfeeding (ABF) among Peruvian mothers during 2019. Materials and Methods: We performed a secondary analysis of the 2019 Demographic and Family Health Survey (ENDES) database of Peru. ABF was defined based on the recommendations of the World Health Organization, which defined it as starting breastfeeding within the first hour of life and continuing with exclusive breastfeeding for up to 6 months. To determine the factors associated with ABF, a Poisson generalized linear models with log-link function was used. Adjusted prevalence ratios (aPR) with their respective 95% confidence intervals (95% CI) were calculated. Results: A prevalence of ABF of 48.1% was identified among 11,157 women who reported at least one child in the last five years. Most of them were young (68.6%) and lived in urban areas (65.5%). Furthermore, being unemployed (aPR:1.02; 95% CI:1.00–1.04); residing on the coast, except for Metropolitan Lima (aPR:1.08; 95% CI:1.04–1.11), the highlands (aPR:1.14; 95% CI:1.11–1.18), and the jungle (aPR:1.20; 95% CI: 1.16–1.24); having had a vaginal delivery (aPR:1.30; 95% CI:1.27–1.05); and having two children (aPR:1.03; 95% CI:1.01–1.05) or three or more children (aPR:1.03; 95% CI:1.01–1.05) were associated with a higher frequency of ABF. Conclusions: One out of two women between 18–59 with children performed ABF. The factors associated with ABF were the current occupation, region of residence, type of delivery, and parity. Health policies and strategies should be implemented, considering our results, to promote maternal counseling by health personnel in order to increase the prevalence of ABF in the Peruvian population. © 2022 by the authors."/>
    <s v="breastfeeding continuation; breastfeeding initiation; health surveys; newborn; Peru"/>
    <s v="MDPI"/>
    <x v="0"/>
    <s v="Article"/>
    <s v="10.3390/ijerph192013607"/>
    <s v="D. Urrunaga-Pastor; Facultad de Ciencias de la Salud, Universidad Científica del Sur, Carrera de Medicina Humana, Lima, 15067, Peru; email: diego.urrunaga.pastor1@gmail.com"/>
    <x v="0"/>
    <s v="X"/>
    <m/>
    <s v="https://www.scopus.com/inward/record.uri?eid=2-s2.0-85140905449&amp;doi=10.3390%2fijerph192013607&amp;partnerID=40&amp;md5=ed52e2c54411d9f2cc14cfa93412039c"/>
    <x v="1"/>
  </r>
  <r>
    <s v="Saadh M.J.; Pal R.S.; Arias-Gonzáles J.L.; Orosco Gavilán J.C.; JC D.; Mohany M.; Al-Rejaie S.S.; Bahrami A.; Kadham M.J.; Amin A.H.; Georgia H."/>
    <s v="A Mendelian Randomization Analysis Investigates Causal Associations between Inflammatory Bowel Diseases and Variable Risk Factors"/>
    <x v="2"/>
    <x v="5"/>
    <s v="The question of whether variable risk factors and various nutrients are causally related to inflammatory bowel diseases (IBDs) has remained unanswered so far. Thus, this study investigated whether genetically predicted risk factors and nutrients play a function in the occurrence of inflammatory bowel diseases, including ulcerative colitis (UC), non-infective colitis (NIC), and Crohn’s disease (CD), using Mendelian randomization (MR) analysis. Utilizing the data of genome-wide association studies (GWASs) with 37 exposure factors, we ran Mendelian randomization analyses based on up to 458,109 participants. Univariable and multivariable MR analyses were conducted to determine causal risk factors for IBD diseases. Genetic predisposition to smoking and appendectomy as well as vegetable and fruit intake, breastfeeding, n-3 PUFAs, n-6 PUFAs, vitamin D, total cholesterol, whole-body fat mass, and physical activity were related to the risk of UC (p &lt; 0.05). The effect of lifestyle behaviors on UC was attenuated after correcting for appendectomy. Genetically driven smoking, alcohol consumption, appendectomy, tonsillectomy, blood calcium, tea intake, autoimmune diseases, type 2 diabetes, cesarean delivery, vitamin D deficiency, and antibiotic exposure increased the risk of CD (p &lt; 0.05), while vegetable and fruit intake, breastfeeding, physical activity, blood zinc, and n-3 PUFAs decreased the risk of CD (p &lt; 0.05). Appendectomy, antibiotics, physical activity, blood zinc, n-3 PUFAs, and vegetable fruit intake remained significant predictors in multivariable MR (p &lt; 0.05). Besides smoking, breastfeeding, alcoholic drinks, vegetable and fruit intake, vitamin D, appendectomy, and n-3 PUFAs were associated with NIC (p &lt; 0.05). Smoking, alcoholic drinks, vegetable and fruit intake, vitamin D, appendectomy, and n-3 PUFAs remained significant predictors in multivariable MR (p &lt; 0.05). Our results provide new and comprehensive evidence demonstrating that there are approving causal effects of various risk factors on IBDs. These findings also supply some suggestions for the treatment and prevention of these diseases. © 2023 by the authors."/>
    <s v="Crohn’s disease; inflammatory bowel disease; Mendelian randomization; non-infective colitis; risk factor; ulcerative colitis"/>
    <s v="MDPI"/>
    <x v="0"/>
    <s v="Article"/>
    <s v="10.3390/nu15051202"/>
    <s v="A. Bahrami; Biomedical Center for Systems Biology Science Munich, Ludwig Maximilians University, Munich, 80333, Germany; email: a.bahrami@ut.ac.ir; H. Georgia; Institute of Immunology, Hannover Medical School, Hannover, 30625, Germany; email: georgia.hrosti@mh-hannover.de"/>
    <x v="2"/>
    <s v="X"/>
    <m/>
    <s v="https://www.scopus.com/inward/record.uri?eid=2-s2.0-85149696319&amp;doi=10.3390%2fnu15051202&amp;partnerID=40&amp;md5=2fbc48e92644d2a73e8de88899c8a8f4"/>
    <x v="2"/>
  </r>
  <r>
    <s v="Zavala V.A.; Casavilca-Zambrano S.; Navarro-Vásquez J.; Tamayo L.I.; Castañeda C.A.; Valencia G.; Morante Z.; Calderón M.; Abugattas J.E.; Gómez H.L.; Fuentes H.A.; Liendo-Picoaga R.; Cotrina J.M.; Neciosup S.P.; Roque K.; Vásquez J.; Mas L.; Gálvez-Nino M.; Fejerman L.; Vidaurre T."/>
    <s v="Breast cancer subtype and clinical characteristics in women from Peru"/>
    <x v="2"/>
    <x v="6"/>
    <s v="Introduction: Breast cancer is a heterogeneous disease, and the distribution of the different subtypes varies by race/ethnic category in the United States and by country. Established breast cancer-associated factors impact subtype-specific risk; however, these included limited or no representation of Latin American diversity. To address this gap in knowledge, we report a description of demographic, reproductive, and lifestyle breast cancer-associated factors by age at diagnosis and disease subtype for The Peruvian Genetics and Genomics of Breast Cancer (PEGEN-BC) study. Methods: The PEGEN-BC study is a hospital-based breast cancer cohort that includes 1943 patients diagnosed at the Instituto Nacional de Enfermedades Neoplásicas in Lima, Peru. Demographic and reproductive information, as well as lifestyle exposures, were collected with a questionnaire. Clinical data, including tumor Hormone Receptor (HR) status and Human Epidermal Growth Factor Receptor 2 (HER2) status, were abstracted from electronic medical records. Differences in proportions and mean values were tested using Chi-squared and one-way ANOVA tests, respectively. Multinomial logistic regression models were used for multivariate association analyses. Results: The distribution of subtypes was 52% HR+HER2-, 19% HR+HER2+, 16% HR-HER2-, and 13% HR-HER2+. Indigenous American (IA) genetic ancestry was higher, and height was lower among individuals with the HR-HER2+ subtype (80% IA vs. 76% overall, p=0.007; 152 cm vs. 153 cm overall, p=0.032, respectively). In multivariate models, IA ancestry was associated with HR-HER2+ subtype (OR=1.38,95%CI=1.06-1.79, p=0.017) and parous women showed increased risk for HR-HER2+ (OR=2.7,95%CI=1.5-4.8, p&lt;0.001) and HR-HER2- tumors (OR=2.4,95%CI=1.5-4.0, p&lt;0.001) compared to nulliparous women. Multiple patient and tumor characteristics differed by age at diagnosis (&lt;50 vs. &gt;=50), including ancestry, region of residence, family history, height, BMI, breastfeeding, parity, and stage at diagnosis (p&lt;0.02 for all variables). Discussion: The characteristics of the PEGEN-BC study participants do not suggest heterogeneity by tumor subtype except for IA genetic ancestry proportion, which has been previously reported. Differences by age at diagnosis were apparent and concordant with what is known about pre- and post-menopausal-specific disease risk factors. Additional studies in Peru should be developed to further understand the main contributors to the specific age of onset and molecular disease subtypes in this population and develop population-appropriate predictive models for prevention. Copyright © 2023 Zavala, Casavilca-Zambrano, Navarro-Vásquez, Tamayo, Castañeda, Valencia, Morante, Calderón, Abugattas, Gómez, Fuentes, Liendo-Picoaga, Cotrina, Neciosup, Roque, Vásquez, Mas, Gálvez-Nino, Fejerman and Vidaurre."/>
    <s v="breast cancer; genetic ancestry; Hispanics/Latinas; Indigenous American; tumor subtype"/>
    <s v="Frontiers Media S.A."/>
    <x v="0"/>
    <s v="Article"/>
    <s v="10.3389/fonc.2023.938042"/>
    <s v="L. Fejerman; Department of Public Health Sciences, University of California, Davis, Davis, United States; email: lfejerman@ucdavis.edu"/>
    <x v="2"/>
    <s v="X"/>
    <m/>
    <s v="https://www.scopus.com/inward/record.uri?eid=2-s2.0-85150261448&amp;doi=10.3389%2ffonc.2023.938042&amp;partnerID=40&amp;md5=ccbd5d1cf92a11a31980154ae4e5b69f"/>
    <x v="0"/>
  </r>
  <r>
    <s v="Pradeilles R.; Pareja R.; Creed-Kanashiro H.M.; Griffiths P.L.; Holdsworth M.; Verdezoto N.; Eymard-Duvernay S.; Landais E.; Stanley M.; Rousham E.K."/>
    <s v="Diet and food insecurity among mothers, infants, and young children in Peru before and during COVID-19: A panel survey"/>
    <x v="0"/>
    <x v="7"/>
    <s v="The COVID-19 pandemic may impact diet and nutrition through increased household food insecurity, lack of access to health services, and poorer quality diets. The primary aim of this study is to assess the impact of the pandemic on dietary outcomes of mothers and their infants and young children (IYC) in low-income urban areas of Peru. We conducted a panel study, with one survey prepandemic (n = 244) and one survey 9 months after the onset of COVID-19 (n = 254). We assessed breastfeeding and complementary feeding indicators and maternal dietary diversity in both surveys. During COVID-19, we assessed household food insecurity experience and economic impacts of the pandemic on livelihoods; receipt of financial or food assistance, and uptake of health services. Almost all respondents (98.0%) reported adverse economic impacts due to the pandemic and 46.9% of households were at risk of moderate or severe household food insecurity. The proportion of households receiving government food assistance nearly doubled between the two surveys (36.5%–59.5%). Dietary indicators, however, did not worsen in mothers or IYC. Positive changes included an increase in exclusive breastfeeding &lt;6 months (24.2%–39.0%, p &lt; 0.008) and a decrease in sweet food consumption by IYC (33.1%–18.1%, p = 0.001) and mothers (34.0%–14.6%, p &lt; 0.001). The prevalence of sugar-sweetened beverage consumption remained high in both mothers (97%) and IYC (78%). In sum, we found dietary indicators had not significantly worsened 9 months into the COVID-19 pandemic. However, several indicators remain suboptimal and should be targeted in future interventions. © 2022 The Authors. Maternal &amp; Child Nutrition published by John Wiley &amp; Sons Ltd."/>
    <s v="breast feeding; COVID-19; diet; food insecurity; infant; pandemic; women's health"/>
    <s v="John Wiley and Sons Inc"/>
    <x v="0"/>
    <s v="Article"/>
    <s v="10.1111/mcn.13343"/>
    <s v="E.K. Rousham; Centre for Global Health and Human Development, School of Sport, Exercise and Health Sciences, Loughborough University, Loughborough, United Kingdom; email: e.k.rousham@lboro.ac.uk"/>
    <x v="1"/>
    <s v="X"/>
    <m/>
    <s v="https://www.scopus.com/inward/record.uri?eid=2-s2.0-85126066928&amp;doi=10.1111%2fmcn.13343&amp;partnerID=40&amp;md5=6b33e76eb2d1dd2976ef5912b13f96e7"/>
    <x v="1"/>
  </r>
  <r>
    <s v="Nuño Martínez N.; Wallenborn J.; Mäusezahl D.; Hartinger S.M.; Muela Ribera J."/>
    <s v="Socio-cultural factors for breastfeeding cessation and their relationship with child diarrhoea in the rural high-altitude Peruvian Andes – a qualitative study"/>
    <x v="1"/>
    <x v="8"/>
    <s v="Background: In some areas of the world, breast milk is seen as a potential source of child diarrhoea. While this belief has been explored in African and Southeast Asian countries, it remains vastly understudied in Latin American contexts. We investigate socio-cultural factors contributing to breastfeeding cessation in rural high-altitude populations of the Peruvian Andes. The role of socio- cultural factors in the local explanatory model of child diarrhoea, and whether these perceptions were integrated in the local healthcare system were assessed. Methods: Within the framework of a randomised controlled trial, we conducted semi-structured interviews with 40 mothers and 15 health personnel from local healthcare centres involved in the trial. Results: Cultural beliefs on breastfeeding cessation included the perception that breast milk turned into “blood” after six months and that breastfeeding caused child diarrhoea. We identified eight local types of child diarrhoea, and women linked six of them with breastfeeding practices. “Infection” was the only diarrhoea mothers linked to hygiene and the germ disease concept and perceived as treatable through drug therapy. Women believed that other types of diarrhoea could not be treated within the formal healthcare sector. Interviews with health personnel revealed no protocol for, or consensus about, the integration of the local explanatory model of child diarrhoea in local healthcare and service provision. Conclusions: The local explanatory model in rural Andean Peru connected breastfeeding with child diarrhoeas. Cultural beliefs regarding diarrhoea management may increase home treatments, even in cases of severe diarrhoeal episodes. Future national breastfeeding support programmes should promote peer-counselling approaches to reduce negative attitudes towards breastfeeding and health practitioners. Local explanatory models should be incorporated into provincial and regional strategies for child diarrhoea management to promote equity in health and improve provider-patient relationships. © 2021, The Author(s)."/>
    <s v="Breastfeeding; Child; Child diarrhoea; Female; Local explanatory models; Peer-counselling; Peru; Pregnancy; Social norms; Socio-cultural factors"/>
    <s v="BioMed Central Ltd"/>
    <x v="0"/>
    <s v="Article"/>
    <s v="10.1186/s12939-021-01505-3"/>
    <s v="D. Mäusezahl; Department of Public Health and Epidemiology, Swiss Tropical and Public Health Institute, Basel, P.O. Box CH-4002, Socinstrasse 57, Switzerland; email: daniel.maeusezahl@unibas.ch"/>
    <x v="3"/>
    <s v="X"/>
    <m/>
    <s v="https://www.scopus.com/inward/record.uri?eid=2-s2.0-85110705651&amp;doi=10.1186%2fs12939-021-01505-3&amp;partnerID=40&amp;md5=1b64250f7680ba2060df1fbb7ab03122"/>
    <x v="2"/>
  </r>
  <r>
    <s v="Irene Del Mastro N.; Tejada-Llacsa P.J.; Reinders S.; Pérez R.; Solís Y.; Alva I.; Blas M.M."/>
    <s v="Home birth preference, childbirth, and newborn care practices in rural Peruvian Amazon"/>
    <x v="1"/>
    <x v="9"/>
    <s v="Home birth is very common in the Peruvian Amazon. In rural areas of the Loreto region, home to indigenous populations such as the Kukama-Kukamiria, birth takes place at home constantly. This study aims to understand the preference for home births as well as childbirth and newborn care practices among Kukama-Kukamiria women in rural Loreto. Following a case study approach, sixty semi-structured, face-to-face interviews were conducted with recent mothers who experienced childbirth within one year prior to the interview, female relatives of recent mothers who had a role in childbirth, male relatives of recent mothers, community health workers, and traditional healers. We found that for women from these communities, home birth is a courageous act and an intimate (i.e. members of the community and relatives participate in it) and inexpensive practice in comparison with institutional birth. These preferences are also linked to experiences of mistreatment at health facilities, lack of cultural adaptation of birthing services, and access barriers to them. Preparations for home births included handwashing and cleaning delivery surfaces. After birth, waiting for the godparent to arrive to cut the cord can delay drying of the newborn. Discarding of colostrum, lack of skin-to-skin contact as well as a range of responses regarding immediate breastfeeding and immediate drying of the baby were also found. These findings were used to tailor the educational content of the Mamas del Rio program, where community health workers are trained to identify pregnancy early, perform home visits to pregnant women and newborns, and promote essential newborn care practices in case institutional birth is not desired or feasible. We make recommendations to improve Peru's cultural adaptation of birthing services. © 2021 Del Mastro N. et al. This is an open access article distributed under the terms of the Creative Commons Attribution License, which permits unrestricted use, distribution, and reproduction in any medium, provided the original author and source are credited."/>
    <s v=""/>
    <s v="Public Library of Science"/>
    <x v="0"/>
    <s v="Article"/>
    <s v="10.1371/journal.pone.0250702"/>
    <s v="N. Irene Del Mastro; Department of Sociology, University of California, Los Angeles, United States; email: idelmastro@ucla.edu"/>
    <x v="4"/>
    <s v="X"/>
    <m/>
    <s v="https://www.scopus.com/inward/record.uri?eid=2-s2.0-85105254182&amp;doi=10.1371%2fjournal.pone.0250702&amp;partnerID=40&amp;md5=3748bd8209b8dbb97af302d471f2d761"/>
    <x v="0"/>
  </r>
  <r>
    <s v="McGuire M.K.; Randall A.Z.; Seppo A.E.; Järvinen K.M.; Meehan C.L.; Gindola D.; Williams J.E.; Sellen D.W.; Kamau-Mbuthia E.W.; Kamundia E.W.; Mbugua S.; Moore S.E.; Prentice A.M.; Foster J.A.; Otoo G.E.; Rodríguez J.M.; Pareja R.G.; Bode L.; McGuire M.A.; Campo J.J."/>
    <s v="Multipathogen Analysis of IgA and IgG Antigen Specificity for Selected Pathogens in Milk Produced by Women From Diverse Geographical Regions: The INSPIRE Study"/>
    <x v="1"/>
    <x v="10"/>
    <s v="Breastfeeding provides defense against infectious disease during early life. The mechanisms underlying this protection are complex but likely include the vast array of immune cells and components, such as immunoglobulins, in milk. Simply characterizing the concentrations of these bioactives, however, provides only limited information regarding their potential relationships with disease risk in the recipient infant. Rather, understanding pathogen and antigen specificity profiles of milk-borne immunoglobulins might lead to a more complete understanding of how maternal immunity impacts infant health and wellbeing. Milk produced by women living in 11 geographically dispersed populations was applied to a protein microarray containing antigens from 16 pathogens, including diarrheagenic E. coli, Shigella spp., Salmonella enterica serovar Typhi, Staphylococcus aureus, Streptococcus pneumoniae, Mycobacterium tuberculosis and other pathogens of global health concern, and specific IgA and IgG binding was measured. Our analysis identified novel disease-specific antigen responses and suggests that some IgA and IgG responses vary substantially within and among populations. Patterns of antibody reactivity analyzed by principal component analysis and differential reactivity analysis were associated with either lower-to-middle-income countries (LMICs) or high-income countries (HICs). Antibody levels were generally higher in LMICs than HICs, particularly for Shigella and diarrheagenic E. coli antigens, although sets of S. aureus, S. pneumoniae, and some M. tuberculosis antigens were more reactive in HICs. Differential responses were typically specific to canonical immunodominant antigens, but a set of nondifferential but highly reactive antibodies were specific to antigens possibly universally recognized by antibodies in human milk. This approach provides a promising means to understand how breastfeeding and human milk protect (or do not protect) infants from environmentally relevant pathogens. Furthermore, this approach might lead to interventions to boost population-specific immunity in at-risk breastfeeding mothers and their infants. © Copyright © 2021 McGuire, Randall, Seppo, Järvinen, Meehan, Gindola, Williams, Sellen, Kamau-Mbuthia, Kamundia, Mbugua, Moore, Prentice, Foster, Otoo, Rodríguez, Pareja, Bode, McGuire and Campo."/>
    <s v="breastfeeding; breastmilk; human milk; IgA; IgG; immunoglobulins; pathogen; protein array"/>
    <s v="Frontiers Media S.A."/>
    <x v="0"/>
    <s v="Article"/>
    <s v="10.3389/fimmu.2020.614372"/>
    <s v="; "/>
    <x v="1"/>
    <s v="X"/>
    <m/>
    <s v="https://www.scopus.com/inward/record.uri?eid=2-s2.0-85101663676&amp;doi=10.3389%2ffimmu.2020.614372&amp;partnerID=40&amp;md5=3ec78590728c7fe49a35ef33efee6fe1"/>
    <x v="1"/>
  </r>
  <r>
    <s v="Vázquez-Frias R.; Ladino L.; Bagés-Mesa M.C.; Hernández-Rosiles V.; Ochoa-Ortiz E.; Alomía M.; Bejarano R.; Boggio-Marzet C.; Bojórquez-Ramos M.C.; Colindres-Campos E.; Fernández G.; García-Bacallao E.; González-Cerda I.; Guisande A.; Guzmán C.; Moraga-Mardones F.; Palacios-Rosales J.; Ramírez-Rodríguez N.E.; Roda J.; Sanabria M.C.; Sánchez-Valverde F.; Santiago R.J.; Sepúlveda-Valbuena N.; Spolidoro J.; Valdivieso-Falcón P.; Villalobos-Palencia N.; Koletzko B."/>
    <s v="Consensus on complementary feeding from the Latin American Society for Pediatric Gastroenterology, Hepatology and Nutrition: COCO 2023; [Consenso de alimentación complementaria de la Sociedad Latinoamericana de Gastroenterología, Hepatología y Nutrición Pediátrica: COCO 2023]"/>
    <x v="2"/>
    <x v="11"/>
    <s v="Complementary feeding (CF) is defined as the feeding of infants that complements breastfeeding, or alternatively, feeding with a breast milk substitute, and is a process that is more than simply a guide as to what and how to introduce foods. The information provided by healthcare professionals must be up-to-date and evidence-based. Most of the recommendations that appear in the different international guidelines and position papers are widely applicable, but some must be regionalized or adapted to fit the conditions and reality of each geographic zone. The Nutrition Working Group of the Latin American Society for Pediatric Gastroenterology, Hepatology and Nutrition (LASPGHAN) summoned a group of experts from each of the society's member countries, to develop a consensus on CF, incorporating, whenever possible, local information adapted to the reality of the region. The aim of the present document is to show the results of that endeavor. Utilizing the Delphi method, a total of 34 statements on relevant aspects of CF were evaluated, discussed, and voted upon. © 2022 Asociación Mexicana de Gastroenterología"/>
    <s v="Breast milk; Complementary feeding; Infant nutrition; Latin America; Nutrition; Perceptive"/>
    <s v="Asociacion Mexicana de Gastroenterologia"/>
    <x v="0"/>
    <s v="Article"/>
    <s v="10.1016/j.rgmx.2022.11.001"/>
    <s v="R. Vázquez-Frias; Departamento de Gastroenterología y Nutrición, Hospital Infantil de México Federico Gómez. Vicepresidencia de la Sociedad Latinoamericana de Gastroenterología, Hepatología y Nutrición Pediátrica. Dr. Márquez 162, Doctores, Cuauhtémoc, 06720, Ciudad de México, México. Teléfono: 5552289917; Ext. 2139.; email: rovaf@yahoo.com"/>
    <x v="5"/>
    <s v="X"/>
    <m/>
    <s v="https://www.scopus.com/inward/record.uri?eid=2-s2.0-85146466351&amp;doi=10.1016%2fj.rgmx.2022.11.001&amp;partnerID=40&amp;md5=dc7fc7cc64f0800a866818552d9e1c22"/>
    <x v="2"/>
  </r>
  <r>
    <s v="Guga G.; Elwood S.; Kimathi C.; Kang G.; Kosek M.N.; Lima A.A.M.; Bessong P.O.; Samie A.; Haque R.; Leite J.P.; Bodhidatta L.; Iqbal N.; Page N.; Kiwelu I.; Bhutta Z.A.; Ahmed T.; Liu J.; Rogawski McQuade E.T.; Houpt E.; Platts-Mills J.A.; Mduma E.R."/>
    <s v="Burden, Clinical Characteristics, Risk Factors, and Seasonality of Adenovirus 40/41 Diarrhea in Children in Eight Low-Resource Settings"/>
    <x v="0"/>
    <x v="12"/>
    <s v="Background: The application of molecular diagnostics has identified enteric group adenovirus serotypes 40 and 41 as important causes of diarrhea in children. However, many aspects of the epidemiology of adenovirus 40/41 diarrhea have not been described. Methods: We used data from the 8-site Etiology, Risk Factors, and Interactions of Enteric Infections and Malnutrition and the Consequences for Child Health and Development Project birth cohort study to describe site-and age-specific incidence, risk factors, clinical characteristics, and seasonality. Results: The incidence of adenovirus 40/41 diarrhea was substantially higher by quantitative polymerase chain reaction than enzyme immunoassay and peaked at ∼30 episodes per 100 child-years in children aged 7-15 months, with substantial variation in incidence between sites. A significant burden was also seen in children 0-6 months of age, higher than other viral etiologies with the exception of rotavirus. Children with adenovirus 40/41 diarrhea were more likely to have a fever than children with norovirus, sapovirus, and astrovirus (adjusted odds ratio [aOR], 1.62; 95% CI, 1.16-2.26) but less likely than children with rotavirus (aOR, 0.66; 95% CI, 0.49-0.91). Exclusive breastfeeding was strongly protective against adenovirus 40/41 diarrhea (hazard ratio, 0.64; 95% CI, 0.48-0.85), but no other risk factors were identified. The seasonality of adenovirus 40/41 diarrhea varied substantially between sites and did not have clear associations with seasonal variations in temperature or rainfall. Conclusions: This study supports the situation of adenovirus 40/41 as a pathogen of substantial importance, especially in infants. Fever was a distinguishing characteristic in comparison to other nonrotavirus viral etiologies, and promotion of exclusive breastfeeding may reduce the high observed burden in the first 6 months of life. © 2022 The Author(s). Published by Oxford University Press on behalf of Infectious Diseases Society of America."/>
    <s v="Adenovirus; Children; Diarrhea; qPCR; Seasonality"/>
    <s v="Oxford University Press"/>
    <x v="0"/>
    <s v="Article"/>
    <s v="10.1093/ofid/ofac241"/>
    <s v="J.A. Platts-Mills; Division of Infectious Diseases and International Health, University of Virginia, Charlottesville, PO Box 801340, 22908, United States; email: jp5t@virginia.edu"/>
    <x v="1"/>
    <s v="X"/>
    <m/>
    <s v="https://www.scopus.com/inward/record.uri?eid=2-s2.0-85135688565&amp;doi=10.1093%2fofid%2fofac241&amp;partnerID=40&amp;md5=2c822c8b6fe48d2a36a67c91c8395232"/>
    <x v="0"/>
  </r>
  <r>
    <s v="Etti M.; Alger J.; Salas S.P.; Saggers R.; Ramdin T.; Endler M.; Gemzell-Danielsson K.; Alfven T.; Ahmed Y.; Callejas A.; Eskenazi D.; Khalil A.; Le Doare K."/>
    <s v="Global research priorities for COVID-19 in maternal, reproductive and child health: Results of an international survey"/>
    <x v="1"/>
    <x v="9"/>
    <s v="Background The World Health Organization's &quot;Coordinated Global Research Roadmap: 2019 Novel Coronavirus&quot;outlined the need for research that focuses on the impact of COVID-19 on pregnant women and children. More than one year after the first reported case significant knowledge gaps remain, highlighting the need for a coordinated approach. To address this need, the Maternal, Newborn and Child Health Working Group (MNCH WG) of the COVID- 19 Clinical Research Coalition conducted an international survey to identify global research priorities for COVID-19 in maternal, reproductive and child health. Method This project was undertaken using a modified Delphi method. An electronic questionnaire was disseminated to clinicians and researchers in three different languages (English, French and Spanish) via MNCH WG affiliated networks. Respondents were asked to select the five most urgent research priorities among a list of 17 identified by the MNCH WG. Analysis of questionnaire data was undertaken to identify key similarities and differences among respondents according to questionnaire language, location and specialty. Following elimination of the seven lowest ranking priorities, the questionnaire was recirculated to the original pool of respondents. Thematic analysis of final questionnaire data was undertaken by the MNCH WG from which four priority research themes emerged. Results Questionnaire 1 was completed by 225 respondents from 29 countries. Questionnaire 2 was returned by 49 respondents. The four priority research themes which emerged from the analysis were 1) access to healthcare during the COVID-19 pandemic, 2) the direct and 3) indirect effects of COVID-19 on pregnant and breastfeeding women and children and 4) the transmission of COVID-19 and protection from infection. Conclusion The results of these questionnaires indicated a high level of concordance among continents and specialties regarding priority research themes. This prioritized list of research uncertainties, developed to specifically highlight the most urgent clinical needs as perceived by healthcare professionals and researchers, could help funding organizations and researchers to answer the most pressing questions for clinicians and public health professionals during the pandemic. It is hoped that these identified priority research themes can help focus the discussion regarding the allocation of limited resources to enhance COVID-19 research in MNCH globally.  © 2021 Etti et al. This is an open access article distributed under the terms of the Creative Commons Attribution License, which permits unrestricted use, distribution, and reproduction in any medium, provided the original author and source are credited."/>
    <s v=""/>
    <s v="Public Library of Science"/>
    <x v="0"/>
    <s v="Article"/>
    <s v="10.1371/journal.pone.0257516"/>
    <s v="M. Etti; Makerere University Johns Hopkins University Research Collaboration, Kampala, Uganda; email: melanie.etti@doctors.org.uk"/>
    <x v="6"/>
    <s v="X"/>
    <m/>
    <s v="https://www.scopus.com/inward/record.uri?eid=2-s2.0-85115811535&amp;doi=10.1371%2fjournal.pone.0257516&amp;partnerID=40&amp;md5=4dce59387cd56cc9b4fed622ed0c68af"/>
    <x v="1"/>
  </r>
  <r>
    <s v="Westgard C.M.; Llatance M.A.; Calderón L.F.; Rojo G.P.; Young M.; Orrego-Ferreyros L.A."/>
    <s v="The Creation of a Field Manual for Community Health Workers to Teach Child Health and Development During Home Visits: A Case Study of Participatory Content Creation"/>
    <x v="2"/>
    <x v="13"/>
    <s v="Community health workers (CHWs) play a crucial role in improving child health and development in underserved populations. However, CHWs often face challenges in accessing appropriate guidance and materials for their home visits, hindering their ability to deliver accurate and relevant information to families. Extensive searches for existing resources were conducted to search for established field manual guidebooks for CHWs, however, no suitable material was found, highlighting the need for this case study. The exercise aimed to develop a comprehensive field manual guidebook and animated videos to support CHWs in the Amazon of Peru during their home visits. A multidisciplinary team of specialists was assembled to develop the material. The material development process employed a design thinking methodology, incorporating participatory content creation workshops with CHWs and experts in health topics relevant to the Amazon. This approach ensured cultural relevance and sensitivity in conveying information. The team created a list of 38 essential health and early childhood development messages for Amazonian communities. Infographics were designed for each topic, accompanied by easy-to-understand language and images to assist CHWs in conveying information effectively. To provide additional support, seven animated videos were created based on health behavior theory, covering topics such as anemia, healthy diet, diarrhea, breastfeeding, clean water, child-caregiver bond, and early childhood stimulation. The videos were designed for CHWs to share with caregivers during home visits, enhancing information transmission. The resulting guidebook, infographics, and animated videos were presented to CHWs in Loreto, Peru for feedback. Updated versions were printed and distributed to CHWs in seven communities in Loreto. © 2023, The Author(s), under exclusive licence to Springer Science+Business Media, LLC, part of Springer Nature."/>
    <s v="Amazon; Child development; Child health; Community health workers; Field manual; Health promotion"/>
    <s v="Springer"/>
    <x v="0"/>
    <s v="Article"/>
    <s v="10.1007/s10900-023-01260-2"/>
    <s v="C.M. Westgard; Department of Research and Implementation, Elementos, Lima, Peru; email: cmwestgard@gmail.com"/>
    <x v="0"/>
    <s v="X"/>
    <m/>
    <s v="https://www.scopus.com/inward/record.uri?eid=2-s2.0-85165894176&amp;doi=10.1007%2fs10900-023-01260-2&amp;partnerID=40&amp;md5=3d9d9a42ba55c444bf32353c3def6e9f"/>
    <x v="2"/>
  </r>
  <r>
    <s v="Alarcón-Calle C.S.; Góngora-León I.; Aliaga-Del Castillo A.; Flores-Mir C.; Arriola-Guillén L.E."/>
    <s v="Association Between Breastfeeding Type and Duration and the Molar and Facial Characteristics of Preschoolers Aged 2 To 6 Years: A Cross-Sectional Study"/>
    <x v="0"/>
    <x v="14"/>
    <s v="Objective: To calculate the association between the type and duration of breastfeeding and the deciduous molar relationship and facial characteristics of preschoolers aged 2 to 6 years. Study design: This crosssectional study included 160 pre-schoolers aged 2 to 6 years old, enrolled in the 2019 academic year from 3 public schools in Data collection involved two phases. The first phase consisted in determining the facial type, anteroposterior and vertical profile, facial dimensions, and the molar relationship between primary second molars. The second phase included interviews with the parents or legal guardians. Children with exclusive breastfeeding and with mixed/artificial feeding (breastfeeding and bottle-feeding, or exclusive artificial bottle-feeding) were included. Chi-square test, t-test, multiple linear regression, and binary logistic regression tests were applied (p&lt;0.05). Results: The facial length, width, and the lower third were greater in the exclusive breastfeeding group than in the mixed/artificial feeding group (3.74mm, p=0.002; 2.06mm, p=0.047; and 2.94mm, p=0.015; respectively). In addition, children with breastfeeding for more than six months showed greater facial length, facial width and lower third (3.20mm, p=0.038; 3.68mm, p=0.006; and 3.57mm, p=0.026; respectively). The duration of exclusive breastfeeding influenced facial width, noting an increase of 3.32mm (p=0.011) if a pre-schooler had exclusive breastfeeding for more than six months. Conclusion: There were no significant associations between type and duration of breastfeeding and the molar terminal plane, facial type, or profile. However, facial dimensions were greater in the exclusive breastfeeding group, and when breastfeeding was longer than six months. © 2022 Clinical Pediatric Dentistry."/>
    <s v="Breastfeeding; Face; Preschool; Primary dentition"/>
    <s v="Journal of Clinical Pediatric Dentistry"/>
    <x v="0"/>
    <s v="Article"/>
    <s v="10.17796/1053-4625-46.3.10"/>
    <s v="L.E. Arriola-Guillén; Division of Orthodontics, School of Dentistry, Universidad Científica del Sur, Lima, Av. Paseo de la Rep blica 5544, Miraflores, 15074, Peru; email: luchoarriola@gmail.com"/>
    <x v="1"/>
    <m/>
    <m/>
    <s v="https://www.scopus.com/inward/record.uri?eid=2-s2.0-85133987585&amp;doi=10.17796%2f1053-4625-46.3.10&amp;partnerID=40&amp;md5=52c4555ee5b5f95a15fb6609abe01b81"/>
    <x v="0"/>
  </r>
  <r>
    <s v="Randhawa J.K.; Kim M.E.; Polski A.; Reid M.W.; Mascarenhas K.; Brown B.; Fabian I.D.; Kaliki S.; Stacey A.W.; Burner E.; Sayegh C.S.; Poblete R.A.; Ji X.; Zou Y.; Sultana S.; Rashid R.; Sherief S.T.; Cassoux N.; Garcia J.; Coronado R.D.; López A.M.Z.; Ushakova T.; Polyakov V.G.; Roy S.R.; Ahmad A.; Reddy M.A.; Sagoo M.S.; Al Harby L.; Astbury N.J.; Bascaran C.; Blum S.; Bowman R.; Burton M.J.; Gomel N.; Keren-Froim N.; Madgar S.; Zondervan M.; Berry J.L."/>
    <s v="The effects of breastfeeding on retinoblastoma development: Results from an international multicenter retinoblastoma survey"/>
    <x v="1"/>
    <x v="15"/>
    <s v="The protective effects of breastfeeding on various childhood malignancies have been established but an association has not yet been determined for retinoblastoma (RB). We aimed to further investigate the role of breastfeeding in the severity of nonhereditary RB development, assessing relationship to (1) age at diagnosis, (2) ocular prognosis, measured by International Intraocular RB Classification (IIRC) or Intraocular Classification of RB (ICRB) group and success of eye salvage, and (3) extraocular involvement. Analyses were performed on a global dataset subgroup of 344 RB patients whose legal guardian(s) consented to answer a neonatal questionnaire. Patients with undetermined or mixed feeding history, family history of RB, or sporadic bilateral RB were excluded. There was no statistically significant difference between breastfed and formula-fed groups in (1) age at diagnosis (p = 0.20), (2) ocular prognosis measures of IIRC/ICRB group (p = 0.62) and success of eye salvage (p = 0.16), or (3) extraocular involvement shown by International Retinoblastoma Staging System (IRSS) at presentation (p = 0.74), lymph node involvement (p = 0.20), and distant metastases (p = 0.37). This study suggests that breastfeeding neither impacts the sporadic development nor is associated with a decrease in the severity of nonhereditary RB as measured by age at diagnosis, stage of disease, ocular prognosis, and extraocular spread. A further exploration into the impact of diet on children who develop RB is warranted. © 2021 by the authors."/>
    <s v="Breastfeeding; Eye; Pediatric cancer; Retinoblastoma; Tumor"/>
    <s v="MDPI"/>
    <x v="0"/>
    <s v="Article"/>
    <s v="10.3390/cancers13194773"/>
    <s v="J.L. Berry; The Vision Center at Children’s Hospital Los Angeles, Los Angeles, 90027, United States; email: jesse.berry@med.usc.edu"/>
    <x v="1"/>
    <m/>
    <m/>
    <s v="https://www.scopus.com/inward/record.uri?eid=2-s2.0-85115659350&amp;doi=10.3390%2fcancers13194773&amp;partnerID=40&amp;md5=327e97ac6a80412e061a04d568037ee2"/>
    <x v="1"/>
  </r>
  <r>
    <s v="Paca-Palao A.; Huayanay-Espinoza C.A.; Parra D.C.; Velasquez-Melendez G.; Miranda J.J."/>
    <s v="Association between exclusive breastfeeding and obesity in children: a cross-sectional study of three Latin American countries; [Asociación entre lactancia materna y probabilidad de obesidad en la infancia en tres países latinoamericanos]"/>
    <x v="1"/>
    <x v="16"/>
    <s v="Objective: To determine if breastfeeding for at least the first six months of life is associated with overweight and obesity in children 2 to 5 years old. Method: Cross sectional analysis of data from national demographic and health surveys conducted in Bolivia, Colombia and Peru. Overweight and obesity were defined using World Health Organization standard definitions. Odds ratios (OR) were calculated using multinomial logistic regression. Results: The prevalence of obesity in children 2 to 5 years old was 10.4% (95% confidence interval [95%CI]: 8.2-12.6) in Bolivia, 4.9% in Colombia (95%CI: 4.0-5.8), and 6.4% (95%CI: 5.2-8.0) in Peru. Prevalence of exclusive breastfeeding for at least the first 6 months in the study population was 89.9% (95%CI: 87.8-91.9) in Bolivia, 73.9% (95%CI: 72.2-75.6) in Colombia, and 92.8% (95%CI: 91.2-92.4) in Peru. Exclusive breastfeeding was associated with a decreased risk of obesity in children as compared to no breastfeeding or breastfeeding for less than 6 months in Bolivia (OR =. 30; 95%CI:. 16-.57) and a marginal association in Colombia (OR =. 71; 95%CI:. 47-1.06) and Peru (OR =. 49; 95%CI: 0.23-1.04). No association between breastfeeding and overweight was found. Conclusion: Exclusive breastfeeding for at least the first six months of life decreases the risk of obesity in children 2 to 5 years old in Bolivia. A similar but weaker pattern was observed for children in Colombia and Peru. © 2019 SESPAS"/>
    <s v="Breastfeeding; Children; Obesity; Overweight"/>
    <s v="Ediciones Doyma, S.L."/>
    <x v="0"/>
    <s v="Article"/>
    <s v="10.1016/j.gaceta.2019.09.002"/>
    <s v=""/>
    <x v="0"/>
    <m/>
    <m/>
    <s v="https://www.scopus.com/inward/record.uri?eid=2-s2.0-85075900466&amp;doi=10.1016%2fj.gaceta.2019.09.002&amp;partnerID=40&amp;md5=3d90e70e95b9e76b91363dccbfdbb5f2"/>
    <x v="2"/>
  </r>
  <r>
    <s v="Bhattacharjee N.V.; Schaeffer L.E.; Hay S.I.; Lu D.; Schipp M.F.; Lazzar-Atwood A.; Donkers K.M.; Abady G.G.; Abd-Allah F.; Abdelalim A.; Abebo Z.H.; Abejie A.N.; Abosetugn A.E.; Abreu L.G.; Abrigo M.R.M.; Abu-Gharbieh E.; Abushouk A.I.; Adamu A.L.; Adedeji I.A.; Adegbosin A.E.; Adekanmbi V.; Adetokunboh O.O.; Agudelo-Botero M.; Aji B.; Akinyemi O.O.; Alamneh A.A.; Alanezi F.M.; Alanzi T.M.; Albright J.; Alcalde-Rabanal J.E.; Alemu B.W.; Alhassan R.K.; Ali B.A.; Ali S.; Alinia C.; Alipour V.; Amit A.M.L.; Amugsi D.A.; Anbesu E.W.; Ancuceanu R.; Anjomshoa M.; Ansari F.; Antonio C.A.T.; Anvari D.; Arabloo J.; Arora A.; Artanti K.D.; Asemahagn M.A.; Asmare W.N.; Atout M.M.W.; Ausloos M.; Awoke N.; Quintanilla B.P.A.; Ayanore M.A.; Aynalem Y.A.; Ayza M.A.; Azene Z.N.; Darshan B.B.; Badiye A.D.; Baig A.A.; Bakkannavar S.M.; Banach M.; Banik P.C.; Bärnighausen T.W.; Basaleem H.; Bayati M.; Baye B.A.; Bedi N.; Belay S.A.; Bhagavathula A.S.; Bhandari D.; Bhardwaj N.; Bhardwaj P.; Bhutta Z.A.; Bijani A.; Birhan T.A.; Birihane B.M.; Bitew Z.W.; Bohlouli S.; Bohluli M.; Bojia H.A.; Boloor A.; Brady O.J.; Bragazzi N.L.; Brunoni A.R.; Budhathoki S.S.; Nagaraja S.B.; Butt Z.A.; Cárdenas R.; Castaldelli-Maia J.M.; Castro F.; Cernigliaro A.; Charan J.; Chatterjee P.; Chatterjee S.; Chattu V.K.; Chaturvedi S.; Chowdhury M.A.K.; Chu D.-T.; Collison M.L.; Cook A.J.; Cork M.A.; Couto R.A.S.; Dagnew B.; Dai H.; Dandona L.; Dandona R.; Daneshpajouhnejad P.; Darwesh A.M.; Darwish A.H.; Daryani A.; Das J.K.; Gupta R.D.; Dávila-Cervantes C.A.; Davis A.C.; Weaver N.D.; Denova-Gutiérrez E.; Deribe K.; Desalew A.; Deshpande A.; Dessie A.; Deuba K.; Dharmaratne S.D.; Dhimal M.; Dhungana G.P.; Diaz D.; Didarloo A.; Dipeolu I.O.; Doan L.P.; Duko B.; Duraes A.R.; Dwyer-Lindgren L.; Earl L.; Zaki M.E.S.; Tantawi M.E.; Elema T.B.; Elhabashy H.R.; El-Jaafary S.I.; Faris P.S.; Faro A.; Farzadfar F.; Feigin V.L.; Feleke B.E.; Ferede T.Y.; Fischer F.; Foigt N.A.; Folayan M.O.; Franklin R.C.; Gad M.M.; Gaidhane S.; Gardner W.M.; Geberemariyam B.S.; Gebregiorgis B.G.; Gebremedhin K.B.; Gebremichael B.; Ghaffarpasand F.; Gilani S.A.; Ginindza T.G.; Glagn M.; Golechha M.; Gonfa K.B.; Goulart B.N.G.; Gudi N.; Guido D.; Guled R.A.; Guo Y.; Hamidi S.; Handiso D.W.; Hasaballah A.I.; Hassan A.; Hayat K.; Hegazy M.I.; Heidari B.; Henry N.J.; Herteliu C.; de Hidru H.D.; Ho H.C.; Hoang C.L.; Holla R.; Hon J.; Hosseini M.; Hosseinzadeh M.; Househ M.; Hsairi M.; Hu G.; Huda T.M.; Hwang B.-F.; Ibitoye S.E.; Ilesanmi O.S.; Ilic I.M.; Ilic M.D.; Inbaraj L.R.; Iqbal U.; Irvani S.S.N.; Islam M.M.; Iwu C.C.D.; Iwu C.J.; Jain A.; Janodia M.D.; Javaheri T.; John-Akinola Y.O.; Johnson K.B.; Joukar F.; Jozwiak J.J.; Kabir A.; Kalankesh L.R.; Kalhor R.; Kamath A.; Kamyari N.; Kanchan O.T.; Kapoor N.; Matin B.K.; Karimi S.E.; Kasaye H.K.; Kassahun G.; Kassebaum N.J.; Kayode G.A.; Karyani A.K.; Keiyoro P.N.; Kelkay B.; Khalid N.; Khan M.N.; Khatab K.; Khater A.M.; Khater M.M.; Khatib M.N.; Kim Y.J.; Kimokoti R.W.; Kinyoki D.K.; Kisa A.; Kisa S.; Kosen S.; Krishan K.; Kulkarni V.; Kumar G.A.; Kumar M.; Kumar N.; Kumar P.; Kurmi O.P.; Kusuma D.; Vecchia C.L.; Lad S.D.; Lami F.H.; Landires I.; Lansingh V.C.; Lasrado S.; Lee P.H.; LeGrand K.E.; Letourneau I.D.; Lewycka S.; Li B.; Li M.-C.; Li S.; Liu X.; Lodha R.; Lopez J.C.F.; Louie C.; Machado D.B.; Maled V.; Maleki S.; Malta D.C.; Mamun A.A.; Manafi N.; Mansournia M.A.; Mapoma C.C.; Marczak L.B.; Martins-Melo F.R.; Mehndiratta M.M.; Mejia-Rodriguez F.; Mekonnen T.C.; Mendoza W.; Menezes R.G.; Mengesha E.W.; Mersha A.M.; Miller T.R.; Mini G.K.; Mirrakhimov E.M.; Misra S.; Moghadaszadeh M.; Mohammad D.K.; Mohammadian-Hafshejani A.; Mohammed J.A.; Mohammed S.; Mokdad A.H.; Montero-Zamora P.A.; Moradi M.; Moradzadeh R.; Moraga P.; Mosser J.F.; Mousavi S.M.; Khaneghah A.M.; Munro S.B.; Muriithi M.K.; Mustafa G.; Muthupandian S.; Nagarajan A.J.; Naik G.; Naimzada M.D.; Nangia V.; Nascimento B.R.; Nayak V.C.; Ndejjo R.; Ndwandwe D.E.; Negoi I.; Nguefack-Tsague G.; Ngunjiri J.W.; Nguyen C.T.; Nguyen D.N.; Nguyen H.L.T.; Nigussie S.N.; Nigussie T.T.N.; Nikbakhsh R.; Nnaji C.A.; Nunez-Samudio V.; Oancea B.; Oghenetega O.B.; Olagunju A.T.; Olusanya B.O.; Olusanya J.O.; Omer M.O.; Onwujekwe O.E.; Ortega-Altamirano D.V.; Osgood-Zimmerman A.E.; Otstavnov N.; Otstavnov S.S.; Owolabi M.O.; Mahesh P.A.; Padubidri J.R.; Pana A.; Pandey A.; Pandi-Perumal S.R.; Pangaribuan H.U.; Parsekar S.S.; Pasupula D.K.; Patel U.K.; Pathak A.; Pathak M.; Pattanshetty S.M.; Patton G.C.; Paulos K.; Pepito V.C.F.; Pickering B.V.; Pinheiro M.; Piwoz E.G.; Pokhrel K.N.; Pourjafar H.; Prada S.I.; Pribadi D.R.A.; Syed Z.Q.; Rabiee M.; Rabiee N.; Rahim F.; Rahimzadeh S.; Rahman A.; Rahman M.H.U.; Rahmani A.M.; Rai R.K.; Ranabhat C.L.; Rao S.J.; Rastogi P.; Rathi P.; Rawaf D.L.; Rawaf S.; Rawassizadeh R.; Rawat R.; Rawat R.; Regassa L.D.; Rego M.A.S.; Reiner R.C., Jr.; Reshmi B.; Rezapour A.; Ribeiro A.I.; Rickard J.; Roever L.; Rumisha S.F.; Rwegerera G.M.; Sagar R.; Sajadi S.M.; Salem M.R.; Samy A.M.; Santric-Milicevic M.M.; Saraswathy S.Y.I.; Sarker A.R.; Sartorius B.; Sathian B.; Saxena D.; Sbarra A.N.; Sengupta D.; Senthilkumaran S.; Sha F.; Shafaat O.; Shaheen A.A.; Shaikh M.A.; Shalash A.S.; Shannawaz M.; Sheikh A.; Shetty B.S.K.; Shetty R.S.; Shibuya K.; Shiferaw W.S.; Shin J.I.; Silva D.A.S.; Singh N.P.; Singh P.; Singh S.; Sintayehu Y.; Skryabin V.Y.; Skryabina A.A.; Soheili A.; Soltani S.; Sorrie M.B.; Spurlock E.E.; Steuben K.M.; Sudaryanto A.; Sufiyan M.B.; Swartz S.J.; Tadesse E.G.; Tamiru A.T.; Tapak L.; Tareque M.I.; Tarigan I.U.; Tesema G.A.; Tesfay F.H.; Teshome A.; Tessema Z.T.; Thankappan K.R.; Thapar R.; Thomas N.; Topor-Madry R.; Tovani-Palone M.R.; Traini E.; Tran B.X.; Truong P.N.; Tsegaye B.T.B.T.; Ullah I.; Umeokonkwo C.D.; Unnikrishnan B.; Upadhyay E.; Uzochukwu B.S.C.; VanderHeide J.D.; Violante F.S.; Vo B.; Wado Y.D.; Waheed Y.; Wamai R.G.; Wang F.; Wang Y.; Wang Y.-P.; Wickramasinghe N.D.; Wiens K.E.; Wiysonge C.S.; Woyczynski L.; Wu A.-M.; Wu C.; Yamada T.; Yaya S.; Yeshaneh A.; Yeshaw Y.; Yeshitila Y.G.; Yilma M.T.; Yip P.; Yonemoto N.; Yosef T.; Younis M.Z.; Yousuf A.Y.; Yu C.; Yu Y.; Yuce D.; Zafar S.; Zaidi S.S.; Zaki L.; Zakzuk J.; Zamanian M.; Zar H.J.; Zastrozhin M.S.; Zastrozhina A.; Zelellw D.A.; Zhang Y.; Zhang Z.-J.; Zhao X.-J.G.; Zodpey S.; Zuniga Y.M.H.; Hay S.I."/>
    <s v="Mapping inequalities in exclusive breastfeeding in low- and middle-income countries, 2000–2018"/>
    <x v="1"/>
    <x v="17"/>
    <s v="Exclusive breastfeeding (EBF)—giving infants only breast-milk for the first 6 months of life—is a component of optimal breastfeeding practices effective in preventing child morbidity and mortality. EBF practices are known to vary by population and comparable subnational estimates of prevalence and progress across low- and middle-income countries (LMICs) are required for planning policy and interventions. Here we present a geospatial analysis of EBF prevalence estimates from 2000 to 2018 across 94 LMICs mapped to policy-relevant administrative units (for example, districts), quantify subnational inequalities and their changes over time, and estimate probabilities of meeting the World Health Organization’s Global Nutrition Target (WHO GNT) of ≥70% EBF prevalence by 2030. While six LMICs are projected to meet the WHO GNT of ≥70% EBF prevalence at a national scale, only three are predicted to meet the target in all their district-level units by 2030. © 2021, The Author(s)."/>
    <s v=""/>
    <s v="Nature Research"/>
    <x v="0"/>
    <s v="Article"/>
    <s v="10.1038/s41562-021-01108-6"/>
    <s v="S.I. Hay; Institute for Health Metrics and Evaluation, University of Washington, Seattle, United States; email: sihay@uw.edu"/>
    <x v="0"/>
    <m/>
    <m/>
    <s v="https://www.scopus.com/inward/record.uri?eid=2-s2.0-85107815293&amp;doi=10.1038%2fs41562-021-01108-6&amp;partnerID=40&amp;md5=bfb7277de057cb541d0f5440209574a7"/>
    <x v="0"/>
  </r>
  <r>
    <s v="Dávila-Aliaga C.; Torres-Marcos E.; Paucar-Zegarra R.; Hinojosa-Pérez R.; Espinoza-Vivas Y.; Mendoza-Ibáñez E.; Marín D.; Espínola-Sánchez M.; De la Cruz-Dávila J.; Arango-Ochante P."/>
    <s v="Clinical and epidemiological characterization in the follow-up of newborns with COVID-19: a descriptive study; [Caracterización clínica y epidemiológica en el seguimiento de recién nacidos con COVID-19: estudio descriptivo]"/>
    <x v="1"/>
    <x v="18"/>
    <s v="Introduction COVID-19 disease affects newborns, but its middle and long-term effects are still unclear. Objective To describe the clinical and epidemiological characteristics and follow-up of newborns infected with SARS-CoV-2. Methods An observational and descriptive study. We included newborns with SARS-CoV-2 positive RT-PCR born from SARS-CoV-2 sero-positive mothers. Delivery and newborn care were provided at the 'Instituto Nacional Materno Perinatal' from Peru between June 1 and September 30, 2020. Perinatal information was collected from medical records. Remote follow-up and face-to-face evalua-tions gathered epidemiological and clinical information, in addition to serological and RT-PCR tests for SARS-CoV-2. Descriptive statistics were used for analysis. Results During the study period, 4733 neonates were born at the institution. We found that 1488 (31.4%) were born from seropositive for SARS-CoV-2 mothers. Finally, we included the 34 (2.3%) newborns with positive RT-PCR for SARS-CoV-2. Regarding the included newborns, 29.4% were delivered by cesarean section, 26.5% had low birth weight, 11.8% were preterm, 26.5% were hospitalized, and one died. Twenty-eight had a remote follow-up, and 18 also had a face-to-face follow-up. A total of 64.3% were exclusively breastfed, 28.6% were mixed breastfed, and 7.1% used a substitute formula. The face-to-face evaluation was performed between one and four months of chronological age. We found that 100% had negative control RT-PCR test for COVID-19, 38.9% had a negative serological test (IgM, IgG), and 61.1% positive IgG. Conclusions Neonatal SARS-CoV-2 infection is rare, and most infected infants are asymptomatic. Vaginal delivery, breastfeeding, and joint iso-lation did not related with complications during hospital care. Infants under remote and in-person follow-up showed favorable clinical evolution during the study period. © 2021, Medwave Estudios Ltda. All rights reserved."/>
    <s v=""/>
    <s v="Medwave Estudios Ltda"/>
    <x v="0"/>
    <s v="Article"/>
    <s v="10.5867/medwave.2021.11.002141"/>
    <s v="C. Dávila-Aliaga; Lima, Jr. Santa Rosa, 941, Cercado de Lima, Peru; email: davilacarmen@hotmail.com"/>
    <x v="0"/>
    <m/>
    <m/>
    <s v="https://www.scopus.com/inward/record.uri?eid=2-s2.0-85122842636&amp;doi=10.5867%2fmedwave.2021.11.002141&amp;partnerID=40&amp;md5=9ef6d53bdee4fbc5a4a1a5b9e995835f"/>
    <x v="1"/>
  </r>
  <r>
    <s v="Castro-Bedriñana J.; Chirinos-Peinado D.; De La Cruz-Calderón G."/>
    <s v="Predictive model of stunting in the Central Andean region of Peru based on socioeconomic and agri-food determinants"/>
    <x v="1"/>
    <x v="19"/>
    <s v="Objectives: A limitation in the design and monitoring of public health policies is the lack of conceptual models to explain their results. The objective of this study was to develop a predictive model of stunting in children under 5 years of age in the central Andean region of Peru, using socioeconomic and agro-productive predictors. Study design: Cross-sectional data of 380 families in 15 districts of the central region of Peru. WHO criteria were used to define stunting prediction model. Methods: An explanatory and predictive study of stunting in children was carried out considering causality criteria through Chi-square tests and bivariate logistic regression. Family food production, maternal education, breastfeeding practices and others determinant related to rural zone conditions were considered as explanatory variables in stunting of children under 5 years old. Three exhaustive models for predicted the presence of stunting was developed. Results: Stunting percentage was 40.3. To Hosmer and Lemeshow test, the best fit was the model that considered the level of maternal education, timely consumption of colostrum, birth weight and guinea pig rearing, having high reliability (P ​&lt; ​0.05). Conclusions: A predictive model for early detection of stunting risk in rural areas of the Andean region was developed based on simple and easily applied indicators. Effective policies are required to improve the feeding practices of pregnant women, increase breastfeeding and promote guinea pig raising for self-consumption and improve the nutritional status of children. © 2021 The Author(s)"/>
    <s v="Agri-food determinants; Guinea pig Raising; Peruvian high andes; Socioeconomic disparities; Stunting prediction"/>
    <s v="Elsevier B.V."/>
    <x v="0"/>
    <s v="Article"/>
    <s v="10.1016/j.puhip.2021.100112"/>
    <s v="J. Castro-Bedriñana; Huancayo, Av. Mariscal Castilla, 3909 El Tambo, Peru; email: jcastro@uncp.edu.pe"/>
    <x v="7"/>
    <m/>
    <m/>
    <s v="https://www.scopus.com/inward/record.uri?eid=2-s2.0-85103626747&amp;doi=10.1016%2fj.puhip.2021.100112&amp;partnerID=40&amp;md5=c47582ff35afddb671ad036ce557be12"/>
    <x v="2"/>
  </r>
  <r>
    <s v="Munives-Marcos A.K.; Arauzo-Sinchez C.J.; Cupé-Araujo A.C.; Ladera-Castañeda M.I.; Cervantes-Ganoza L.A.; Cayo-Rojas C.F."/>
    <s v="Variability of Sugars Concentrations in Infant Follow-on Formulas with Higher Consumption in Peru: A Preliminary Study"/>
    <x v="2"/>
    <x v="20"/>
    <s v="Aim: The aim of the present preliminary study was to determine sugar concentration in infant follow-on formulas most widely consumed in Peru. Materials and methods: In this descriptive and observational study, the sample was represented by five brands of infant follow-on formulas most consumed in Peru (A, Similac 2; B, Enfamil 2®; C, NAN 2®; D, Baby Lac Pro 2®; and E, Lacti Kids Premium 2®); with two samples of each, collected at two different locations in the Peruvian capital. Subsequently, the concentration of total and individual sugars (lactose, sucrose, glucose, fructose, and maltose) was determined using the high-performance liquid chromatography (HPLC) method in a specialized laboratory. For the comparison of means, Welch’s robust analysis of variance (ANOVA) test for equality of means and Tukey’s post hoc test were used. The significance level was p &lt; 0.05. Results: The total sugars concentration per 100 gm of the five infant follow-on formulas showed a mean of 38.9 ± 11.03 gm, being Similac 2, the infant follow-on formula, with the highest concentration of 50.33 ± 0.11 gm and Enfamil 2, the lowest with 22.75 ± 0.06 gm. The average sugars recorded in the laboratory were compared with those on the product label for Similac 2 (50.3 and 53.1 gr), NAN 2 (46.5 and 51.5 gr), Baby Lac Pro 2 (41.5 and 57.0 gr), Lacti Kids Premium 2 (33.3 and 57.0 gr) and Enfamil 2 (22.8 and 56.0 gr). Furthermore, when comparing the infant follow-on formulas, significant differences were observed between all sugar concentrations (p &lt; 0.001), with the follow-on formula with the significantly higher sugar concentration being Similac 2 (p &lt; 0.001) and the one with the significantly lower concentration being Enfamil 2 (p &lt; 0.001). Regarding individual sugars, per 100 gm analyzed, fructose and maltose registered values &lt;0.70 g. Similar values were obtained for glucose except for Enfamil 2 (1.07 ± 0.01gr) and Baby Lac Pro 2 (0.72 ± 0.01gr) and for sucrose except for Lacti Kids Premium 2 (11.92 ± 0.01gr) and Similac 2 (9.94 ± 0.08 gr). On the other hand, the highest lactose value found was in NAN 2 (46.51 ± 0.08 gr), and the lowest value obtained was in Lacti Kids Premium 2 (21.42 ± 0.01 gr). Conclusion: There is a variability of sugar concentrations in infant follow-on formulas, being these values lower than those referred to on product labels. The formula with the lowest discrepancy was Similac 2, while the formula with the highest discrepancy was Enfamil 2, with Similac 2 and Enfamil 2 being significantly the formulas with the highest and lowest sugar concentration, respectively. In addition, among individual sugars, lactose, and sucrose stood out in greater proportion compared to other free sugars. Clinical significance: It is important that institutions responsible for infant nutritional safety encourage and promote the use and practice of breastfeeding during early life and provide adequate guidance regarding daily doses of infant follow-on formulas since, according to the World Health Organization (WHO), the high consumption of free sugars contained in these formulas can put infants’ oral health at risk. © The Author(s). 2023 Open Access."/>
    <s v="Carbohydrates; Dental caries; Diet; Infant formula; Infants; Preliminary study; Sucrose; Sugars"/>
    <s v="Jaypee Brothers Medical Publishers (P) Ltd"/>
    <x v="0"/>
    <s v="Article"/>
    <s v="10.5005/jp-journals-10015-2199"/>
    <s v="C.F. Cayo-Rojas; School of Stomatology, Universidad Privada San Juan Bautista, Lima, Peru; email: cesarcayorojas@gmail.com"/>
    <x v="1"/>
    <m/>
    <m/>
    <s v="https://www.scopus.com/inward/record.uri?eid=2-s2.0-85160105481&amp;doi=10.5005%2fjp-journals-10015-2199&amp;partnerID=40&amp;md5=5fd2fbf3931cc8e63ebc3e35cb164f37"/>
    <x v="0"/>
  </r>
  <r>
    <s v="Tello B.; Rivadeneira M.F.; Moncayo A.L.; Buitrón J.; Astudillo F.; Estrella A.; Torres A.L."/>
    <s v="Breastfeeding, feeding practices and stunting in indigenous Ecuadorians under 2 years of age"/>
    <x v="0"/>
    <x v="1"/>
    <s v="Background: The indigenous child population in Ecuador has a high prevalence of stunting. There is limited evidence of the association between breastfeeding, feeding practices, and stunting in indigenous children. This study aimed to analyze the prevalence of breastfeeding and complementary feeding practices and explore their association with stunting in Ecuadorian indigenous children under two years of age. Methods: Cross-sectional study of secondary data analysis using the 2012 Ecuador National Health and Nutrition Study, in 625 children aged 0–23 months (48,069 expanded sample), representative for the indigenous population. Breastfeeding and complementary feeding indicators were analyzed by age groups. Timely initiation of breastfeeding (within one hour after birth), exclusive breastfeeding (infants under six months who received only breast milk for the previous day), and other indicators were measured. Chi-square test or Fisher's exact test and logistic regression for complex samples were used to explore association with demographic and socioeconomic factors and stunting. Results: Twenty-six-point eight percent of the children were stunted. Stunting occurred mainly in children with rural residence, on poor households, and where there were four or more children. Most of the children had a timely initiation of breastfeeding (69.5% for 0–12 months and 75.5% for 13–23 months) and exclusive breastfeeding up to six months (78.2%). Among children between 6–12 months of age, 99.3% continued to be breastfed. In children from ages 6 to 12 months, 32.5% received food with adequate dietary diversity. Lower percentages of complementary feeding occurred in the poorest, adolescent mothers or those with less education. Children who did not receive the minimum frequency of meals for their age had higher odds of stunting (OR 3.28; 95% CI 1.3, 8.27). Children from age 19 to 23 months who consumed foods rich in iron showed lower probabilities of stunting (OR 0.04; 95% CI 0.00, 0.51). Conclusions: Breastfeeding practices reached a prevalence of 70% or more, without being associated with stunting. Complementary feeding practices showed differences by socioeconomic condition. Not reaching the minimum meal frequency between 6 and 12 months of age was associated with stunting. Plans and strategies are necessary to promote adequate feeding and breastfeeding practices in the indigenous population. © 2022, The Author(s)."/>
    <s v="Breastfeeding; Child feeding; Child public health; Complementary feeding; Indigenous population; Stunting"/>
    <s v="BioMed Central Ltd"/>
    <x v="0"/>
    <s v="Article"/>
    <s v="10.1186/s13006-022-00461-0"/>
    <s v="M.F. Rivadeneira; Facultad de Medicina, Instituto de Salud Pública, Pontificia Universidad Católica del Ecuador, Quito, 12 de Octubre and Roca, 1076, Ecuador; email: mfrivadeneirag@puce.edu.ec"/>
    <x v="0"/>
    <m/>
    <m/>
    <s v="https://www.scopus.com/inward/record.uri?eid=2-s2.0-85125793193&amp;doi=10.1186%2fs13006-022-00461-0&amp;partnerID=40&amp;md5=783d94284868fdd454e8f1d124dfc5ee"/>
    <x v="1"/>
  </r>
  <r>
    <s v="Caffé B.; Blackwell A.; Fehrenkamp B.D.; Williams J.E.; Pace R.M.; Lackey K.A.; Ruiz L.; Rodríguez J.M.; McGuire M.A.; Foster J.A.; Sellen D.W.; Kamau-Mbuthia E.W.; Kamundia E.W.; Mbugua S.; Moore S.E.; Prentice A.M.; Kvist L.J.; Otoo G.E.; Pareja R.G.; Bode L.; Gebeyehu D.; Gindola D.K.; Boothman S.; Flores K.; McGuire M.K.; Meehan C.L."/>
    <s v="Human milk immune factors, maternal nutritional status, and infant sex: The INSPIRE study"/>
    <x v="2"/>
    <x v="21"/>
    <s v="Objectives: Breastfeeding is an energetically costly and intense form of human parental investment, providing sole-source nutrition in early infancy and bioactive components, including immune factors. Given the energetic cost of lactation, milk factors may be subject to tradeoffs, and variation in concentrations have been explored utilizing the Trivers-Willard hypothesis. As human milk immune factors are critical to developing immune system and protect infants against pathogens, we tested whether concentrations of milk immune factors (IgA, IgM, IgG, EGF, TGFβ2, and IL-10) vary in response to infant sex and maternal condition (proxied by maternal diet diversity [DD] and body mass index [BMI]) as posited in the Trivers-Willard hypothesis and consider the application of the hypothesis to milk composition. Methods: We analyzed concentrations of immune factors in 358 milk samples collected from women residing in 10 international sites using linear mixed-effects models to test for an interaction between maternal condition, including population as a random effect and infant age and maternal age as fixed effects. Results: IgG concentrations were significantly lower in milk produced by women consuming diets with low diversity with male infants than those with female infants. No other significant associations were identified. Conclusions: IgG concentrations were related to infant sex and maternal diet diversity, providing minimal support for the hypothesis. Given the lack of associations across other select immune factors, results suggest that the Trivers-Willard hypothesis may not be broadly applied to human milk immune factors as a measure of maternal investment, which are likely buffered against perturbations in maternal condition. © 2023 The Authors. American Journal of Human Biology published by Wiley Periodicals LLC."/>
    <s v=""/>
    <s v="John Wiley and Sons Inc"/>
    <x v="0"/>
    <s v="Article"/>
    <s v="10.1002/ajhb.23943"/>
    <s v="C.L. Meehan; Department of Anthropology, Washington State University, Pullman, United States; email: cmeehan@wsu.edu"/>
    <x v="0"/>
    <m/>
    <m/>
    <s v="https://www.scopus.com/inward/record.uri?eid=2-s2.0-85163048258&amp;doi=10.1002%2fajhb.23943&amp;partnerID=40&amp;md5=3e09d92bbb5b4a2efa69ea270c47a9f2"/>
    <x v="2"/>
  </r>
  <r>
    <s v="Vizcarra-Jiménez D.; Copaja-Corzo C.; Hueda-Zavaleta M.; Parihuana-Travezaño E.G.; Gutierrez-Flores M.; Rivarola-Hidalgo M.; Benites-Zapata V.A."/>
    <s v="Predictors of Death in Patients with Neonatal Sepsis in a Peruvian Hospital"/>
    <x v="0"/>
    <x v="22"/>
    <s v="Reducing neonatal mortality is a global challenge. This study’s objective was to determine the predictors of mortality in patients with neonatal sepsis. The study was a retrospective cohort study in a Peruvian hospital from January 2014 to April 2022. Neonates diagnosed with sepsis were included. To find predictors of mortality, we used Cox proportional regression models. We evaluated 288 neonates with sepsis; the median birth weight and hospitalization time were 3270 g and seven days, respectively. During follow-up, 18.4% did not survive, and the most common complications were jaundice (35.42%), respiratory distress syndrome (29.51%), and septic shock (12.5%). The most isolated bacteria were Klebsiella pneumoniae. The risk factors associated with higher mortality were prematurity (aHR = 13.92; 95% CI: 1.71–113.51), platelets &lt;150,000 (aHR = 3.64; 1.22–10.88), creatinine greater than 1.10 (aHR = 3.03; 1.09–8.45), septic shock (aHR = 4.41; 2.23–8.74), and admission to IMV (aHR = 5.61; 1.86–16.88), On the other hand, breastfeeding was associated with a lower risk of death (aHR = 0.25; 0.13–0.48). In conclusion, we report a high incidence of death and identify clinical (prematurity, septic shock, admission to IMV) and laboratory characteristics (elevated creatinine and thrombocytopenia) associated with higher mortality in patients with neonatal sepsis. Breastfeeding was a factor associated with survival in these patients. © 2022 by the authors."/>
    <s v="mortality; neonatal sepsis; newborn; Peru; premature; risk factors; sepsis; thrombocytopenia"/>
    <s v="MDPI"/>
    <x v="0"/>
    <s v="Article"/>
    <s v="10.3390/tropicalmed7110342"/>
    <s v="C. Copaja-Corzo; Facultad de Ciencias de la Salud, Universidad Privada de Tacna, Tacna, 23003, Peru; email: cescopajac@upt.pe; V.A. Benites-Zapata; Unidad de Investigación para la Generación y Síntesis de Evidencias en Salud, Universidad San Ignacio de Loyola, Lima, 15024, Peru; email: vbenites@usil.edu.pe"/>
    <x v="0"/>
    <m/>
    <m/>
    <s v="https://www.scopus.com/inward/record.uri?eid=2-s2.0-85141782142&amp;doi=10.3390%2ftropicalmed7110342&amp;partnerID=40&amp;md5=e166a3a06fc1bb64269f2b167fa2cf08"/>
    <x v="0"/>
  </r>
  <r>
    <s v="Romaní K.J.O.; Montalvo Y.J.O.; Encarnación J.R.E.; de la Rosa L.N.; Velásquez C.A.J."/>
    <s v="Analysis of the multicausal model of anemia level in children 6-35 months old in Peru; [Análisis del modelo multicausal sobre el nivel de la anemia en niños de 6 a 35 meses en Perú]"/>
    <x v="1"/>
    <x v="23"/>
    <s v="Introduction: Iron deficiency anemia in children from 6 to 35 months is a severe public health issue. Objective: to determine the prevalence of anemia level and related factors in children under three years applying multicausal model in Peruvian population. Materials and methods: To explanatory level research was carried out applying a secondary analysis with data found in the database of the 2019 Demographic and Family Health Survey. The main variable was the level of anemia in which Hemocue® test was used. Weighted values, frequencies, percentages, goodness-of-fit, and an ordinal regression model were taken into consideration. Results: 40.20% of children under three years old presented anemia. Factors as presence of diarrhea (OR = 1.30), 12 months of life (OR: 3.33), not starting prenatal control (OR: 1.19), male gender (OR: 1.25), mother with anemia (OR: 1.75), mothers who are 15 to 24 (OR: 1.94), water well as a source of water (OR: 1.53), Aymara as mother tongue (OR: 2.31) were associated with anemia level. Conclusions: Among the risk factors associated with anemia according to the multicausal model, diarrhea in the last two weeks is a determinant factor, among the underlying factors are the child's age, source of drinking water, prenatal care, anemia and the woman's age. In addition, the protective factors correspond to breastfeeding for some time and the highest wealth quintile. © COPYRIGHT Servicio de Publicaciones - Universidad de Murcia"/>
    <s v="Anemia; Iron-deficiency; Public health; Risk factors"/>
    <s v="Universidad de Murcia Servicio de Publicaciones"/>
    <x v="0"/>
    <s v="Article"/>
    <s v="10.6018/eglobal.472871"/>
    <s v="K.J.O. Romaní; Research Department of Health Sciences Faculty Catolic University, Sapientiae Headquarter, Peru; email: kortiz@ucss.edu.pe"/>
    <x v="1"/>
    <m/>
    <m/>
    <s v="https://www.scopus.com/inward/record.uri?eid=2-s2.0-85121827855&amp;doi=10.6018%2feglobal.472871&amp;partnerID=40&amp;md5=eeca3bb88a7338c8d3636b317e6501a4"/>
    <x v="1"/>
  </r>
  <r>
    <s v="Richard S.A.; McCormick B.J.J.; Murray-Kolb L.E.; Patil C.L.; Chandyo R.K.; Mahopo C.; Maciel B.L.; Bose A.; Mahfuz M.; Ambikapathi R.; Olortegui M.P.; Caulfield L.E."/>
    <s v="Characteristics associated with the transition to partial breastfeeding prior to 6 months of age: Data from seven sites in a birth cohort study"/>
    <x v="1"/>
    <x v="7"/>
    <s v="The WHO recommends exclusive breastfeeding for the first 6 months of life. However, the transition of the infants' diet to partial breastfeeding with the addition of animal milks and/or solids typically occurs earlier than this. Here, we explored factors associated with the timing of an early transition to partial breastfeeding across seven sites of a birth cohort study in which twice weekly information on infant feeding practices was collected. Infant (size, sex, illness and temperament), maternal (age, education, parity and depressive symptoms), breastfeeding initiation practices (time of initiation, colostrum and pre-lacteal feeding) and household factors (food security, crowding, assets, income and resources) were considered. Three consecutive caregiver reports of feeding animal milks and/or solids (over a 10-day period) were characterized as a transition to partial breastfeeding, and Cox proportional hazard models with time (in days) to partial breastfeeding were used to evaluate associations with both fixed and time-varying characteristics. Overall, 1470 infants were included in this analysis. Median age of transition to partial breastfeeding ranged from 59 days (South Africa and Tanzania) to 178 days (Bangladesh). Overall, higher weight-for-length z-scores were associated with later transitions to partial breastfeeding, as were food insecurity, and infant cough in the past 30 days. Maternal depressive symptoms (evaluated amongst 1227 infants from six sites) were associated with an earlier transition to partial breastfeeding. Relative thinness or heaviness within each site was related to breastfeeding transitions, as opposed to absolute z-scores. Further research is needed to understand relationships between local perceptions of infant body size and decisions about breastfeeding. © 2021 The Authors. Maternal &amp; Child Nutrition published by John Wiley &amp; Sons Ltd."/>
    <s v="breastfeeding; food insecurity; infant feeding; infant growth; maternal depression"/>
    <s v="Blackwell Publishing Ltd"/>
    <x v="0"/>
    <s v="Article"/>
    <s v="10.1111/mcn.13166"/>
    <s v="S.A. Richard; Fogarty International Center, National Institutes of Health, Bethesda, United States; email: srichard@idcrp.org"/>
    <x v="3"/>
    <m/>
    <m/>
    <s v="https://www.scopus.com/inward/record.uri?eid=2-s2.0-85101909955&amp;doi=10.1111%2fmcn.13166&amp;partnerID=40&amp;md5=8338b90d6dd96d7a297a284ad73c3b01"/>
    <x v="2"/>
  </r>
  <r>
    <s v="Reinders S.; Blas M.M.; Neuman M.; Huicho L.; Ronsmans C."/>
    <s v="Prevalence of essential newborn care in home and facility births in the Peruvian Amazon: Analysis of census data from programme evaluation in three remote districts of the Loreto region"/>
    <x v="2"/>
    <x v="24"/>
    <s v="Background: Essential newborn care (ENC) covers optimal breastfeeding, thermal care, and hygienic cord care. These practices are fundamental to save newborn lives. Despite neonatal mortality remaining high in some parts of Peru, no comprehensive data on ENC is available. We sought to estimate the prevalence of ENC and assess differences between facility and home births in the remote Peruvian Amazon. Methods: We used baseline data from a household census of rural communities of three districts in Loreto region, collected as part of the evaluation of a maternal-neonatal health (MNH) programme. Women between 15 and 49 years with a live birth in the last 12 months were invited to complete a questionnaire about MNH-related care and ENC. Prevalence of ENC was calculated for all births and disaggregated by place of birth. Adjusted prevalence differences (PD) were post-estimated from logistic regression models on the effect of place of birth on ENC. Findings: All 79 rural communities with a population of 14,474 were censused. Among 324 (&gt;99%) women interviewed, 70% gave birth at home, most (93%) without skilled birth assistance. Among all births, prevalence was lowest for immediate skin-to-skin contact (24%), colostrum feeding (47%), and early breastfeeding (64%). ENC was consistently lower in home compared to facility births. After adjusting for confounders, largest PD were found for immediate skin-to-skin contact (50% [95% CI: 38–62]), colostrum feeding (26% [16–36]), and clean cord care (23% [14–32]). ENC prevalence in facilities ranged between 58 and 93%; delayed bathing was lower compared to home births (−19% [−31 to −7]). Interpretation: Low prevalence of ENC practices among home births in a setting with high neonatal mortality and difficult access to quality care in facilities suggests potential for a community-based intervention to promote ENC practices at home, along with promotion of healthcare seeking and simultaneous strengthening of routine facility care. Funding: Grand Challenges Canada and Peruvian National Council of Science, Technology, and Technology Innovation. © 2022 The Author(s)"/>
    <s v="Amazon; Breastfeeding; Cord care; Essential newborn care; Indigenous; Maternal-neonatal health; Peru; Prevalence; Thermal care"/>
    <s v="Elsevier Ltd"/>
    <x v="0"/>
    <s v="Article"/>
    <s v="10.1016/j.lana.2022.100404"/>
    <s v="S. Reinders; Department of Infectious Disease Epidemiology, London School of Hygiene &amp; Tropical Medicine, London, WC1E 7HT, United Kingdom; email: stefan.reinders@lshtm.ac.uk"/>
    <x v="1"/>
    <m/>
    <m/>
    <s v="https://www.scopus.com/inward/record.uri?eid=2-s2.0-85143795481&amp;doi=10.1016%2fj.lana.2022.100404&amp;partnerID=40&amp;md5=7f6ccc06b73996f259b61b84d67f411e"/>
    <x v="0"/>
  </r>
  <r>
    <s v="Robert R.C.; Penny M.E.; Barbagelatta G.; Gainer S.A."/>
    <s v="Feeding Homemade Sugar Sweetened Beverages in Addition to Breastfeeding: Survey Results from Caregivers of Infants and Young Children in Peri-Urban Lima, Peru"/>
    <x v="2"/>
    <x v="25"/>
    <s v="Objectives: Consumption of sugar sweetened beverages (SSB) is associated with childhood obesity and other negative health conditions. Feeding SSB to infants and young children (IYC) under 2 years may displace consumption of breastmilk and nutrient rich foods critical for optimal growth and development. The World Health Organization (WHO) recommends avoiding added sugar (e.g. SSB) for IYC under 2 years. We sought to describe the variety of homemade and commercial SSB as well as breastmilk and beverages without added sugar fed to IYC aged 4–23 months living in a low-income, populous peri-urban area of Lima, Peru. Methods: A cross-sectional survey was conducted with 181 households with IYC aged 4–23 months. A list of common local homemade and commercial beverages was used to investigate what caregivers had fed to the child in the past 24 h. Results: A total of 93.9% of caregivers reported feeding at least one beverage to their child other than breastmilk in the past 24 h. This included a variety of homemade SSB (73.5%), commercial SSB (18.2%) and homemade beverages without added sugar (70.2%). A high percentage (83.4%) of children were also breastfed. Conclusions for Practice: Our findings suggest that interventions to address feeding homemade SSB to IYC within households are needed to support WHO recommendations and complement current commercial SSB policy regulations in Peru. © 2023, The Author(s), under exclusive licence to Springer Science+Business Media, LLC, part of Springer Nature."/>
    <s v="Homemade; Infant feeding practices; Latin America; Peru; Sugar sweetened beverages; Young child feeding"/>
    <s v="Springer"/>
    <x v="0"/>
    <s v="Article"/>
    <s v="10.1007/s10995-023-03668-7"/>
    <s v="R.C. Robert; Conway School of Nursing, The Catholic University of America, Washington, 620 Michigan Ave. N.E, United States; email: robert@cua.edu"/>
    <x v="0"/>
    <m/>
    <m/>
    <s v="https://www.scopus.com/inward/record.uri?eid=2-s2.0-85160217848&amp;doi=10.1007%2fs10995-023-03668-7&amp;partnerID=40&amp;md5=cbaa24a52c5a1ca3e556d3c3b9032a9b"/>
    <x v="1"/>
  </r>
  <r>
    <s v="Delgado C.A.; Sánchez V.; Shimabuku R.; Cadillo G.; Tabuchi M.; Durand F."/>
    <s v="Neonatal Appendicitis"/>
    <x v="1"/>
    <x v="26"/>
    <s v="Neonatal appendicitis is an unusual finding with a high mortality rate that occurs in term or preterm newborns. An uncomplicated debut is associated with delayed interventions and diagnosis, resulting in increased mortality. We present a preterm female patient native to a central region of the highlands of Peru who was born at 33 weeks gestation with a birth weight of 1310 g. She was born by cesarean section due to fetal distress and premature detachment of the placenta. She spent four days under CPAP-type respiratory support, and in her first week of life, she was already breastfeeding. At nine days of age, she presented with vomiting, initially resembling dairy but then becoming bilious and like coffee grounds. Imaging studies excluded pyloric hypertrophy and abnormal intestinal transit but resulted in a referral to a tertiary pediatric hospital in Lima to rule out intestinal malrotation. The patient arrived stable at the pediatric hospital at 20 days of life. Imaging studies excluded intestinal malrotation but exhibited a slow intestinal transit. An exploratory surgical intervention scheduled for the fifth day after arrival had to be deferred due to thrombocytopenia and increased prothrombin time, although this condition promptly corrected itself in two days. Finally, a laparotomy at 29 days of age revealed an appendix with vascular congestion and peri-appendicitis. Neonatal appendicitis, in this case, had a recurrent clinical presentation with full recovery after appendectomy. The patient had recurrent signs of intestinal obstruction with alternating periods of clinical and laboratory stability. These recurrent or intermittent clinical manifestations of neonatal appendicitis can delay the diagnosis and contribute to increased mortality. © 2020 The Authors"/>
    <s v="Acute appendicitis; Newborn; Preterm"/>
    <s v="Elsevier Inc."/>
    <x v="0"/>
    <s v="Article"/>
    <s v="10.1016/j.epsc.2020.101759"/>
    <s v="C.A. Delgado; Department of Pediatrics, Faculty of Medicine, Universidad Nacional Mayor de San Marcos, Neonatal Unit, Instituto Nacional de Salud del Niño, Breña, 642 Brazil Avenue, Lima 5, Peru; email: cdelgadob1@unmsm.edu.pe"/>
    <x v="0"/>
    <m/>
    <m/>
    <s v="https://www.scopus.com/inward/record.uri?eid=2-s2.0-85097874747&amp;doi=10.1016%2fj.epsc.2020.101759&amp;partnerID=40&amp;md5=64612b2ea796c37ae71ecfaaeccc5a1d"/>
    <x v="2"/>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173A72-CEE4-4B48-8D51-1717C8829370}"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N6:Q10" firstHeaderRow="0" firstDataRow="1" firstDataCol="1"/>
  <pivotFields count="16">
    <pivotField showAll="0"/>
    <pivotField showAll="0"/>
    <pivotField axis="axisRow"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1"/>
    </i>
    <i>
      <x v="22"/>
    </i>
    <i>
      <x v="23"/>
    </i>
    <i t="grand">
      <x/>
    </i>
  </rowItems>
  <colFields count="1">
    <field x="-2"/>
  </colFields>
  <colItems count="3">
    <i>
      <x/>
    </i>
    <i i="1">
      <x v="1"/>
    </i>
    <i i="2">
      <x v="2"/>
    </i>
  </colItems>
  <dataFields count="3">
    <dataField name="Absoluto (n)" fld="3" subtotal="count" baseField="0" baseItem="0"/>
    <dataField name="Relativa (n/N)" fld="3" subtotal="count" showDataAs="percentOfCol" baseField="2" baseItem="3" numFmtId="2"/>
    <dataField name=" Porcentaje (%)" fld="3" subtotal="count" showDataAs="percentOfCol" baseField="2" baseItem="5" numFmtId="10"/>
  </dataFields>
  <formats count="41">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axis="axisValues" fieldPosition="0"/>
    </format>
    <format dxfId="35">
      <pivotArea outline="0" fieldPosition="0">
        <references count="1">
          <reference field="4294967294" count="1">
            <x v="1"/>
          </reference>
        </references>
      </pivotArea>
    </format>
    <format dxfId="34">
      <pivotArea outline="0" fieldPosition="0">
        <references count="1">
          <reference field="4294967294" count="1">
            <x v="2"/>
          </reference>
        </references>
      </pivotArea>
    </format>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fieldPosition="0">
        <references count="1">
          <reference field="4294967294" count="3">
            <x v="0"/>
            <x v="1"/>
            <x v="2"/>
          </reference>
        </references>
      </pivotArea>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fieldPosition="0">
        <references count="1">
          <reference field="4294967294" count="3">
            <x v="0"/>
            <x v="1"/>
            <x v="2"/>
          </reference>
        </references>
      </pivotArea>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grandRow="1" outline="0" fieldPosition="0"/>
    </format>
    <format dxfId="16">
      <pivotArea dataOnly="0" labelOnly="1" outline="0" fieldPosition="0">
        <references count="1">
          <reference field="4294967294" count="3">
            <x v="0"/>
            <x v="1"/>
            <x v="2"/>
          </reference>
        </references>
      </pivotArea>
    </format>
    <format dxfId="15">
      <pivotArea type="all" dataOnly="0" outline="0" fieldPosition="0"/>
    </format>
    <format dxfId="14">
      <pivotArea outline="0" collapsedLevelsAreSubtotals="1" fieldPosition="0"/>
    </format>
    <format dxfId="13">
      <pivotArea field="2" type="button" dataOnly="0" labelOnly="1" outline="0" axis="axisRow" fieldPosition="0"/>
    </format>
    <format dxfId="12">
      <pivotArea dataOnly="0" labelOnly="1" fieldPosition="0">
        <references count="1">
          <reference field="2" count="0"/>
        </references>
      </pivotArea>
    </format>
    <format dxfId="11">
      <pivotArea dataOnly="0" labelOnly="1" grandRow="1" outline="0" fieldPosition="0"/>
    </format>
    <format dxfId="10">
      <pivotArea dataOnly="0" labelOnly="1" outline="0" fieldPosition="0">
        <references count="1">
          <reference field="4294967294" count="3">
            <x v="0"/>
            <x v="1"/>
            <x v="2"/>
          </reference>
        </references>
      </pivotArea>
    </format>
    <format dxfId="9">
      <pivotArea type="all" dataOnly="0" outline="0" fieldPosition="0"/>
    </format>
    <format dxfId="8">
      <pivotArea field="2" type="button" dataOnly="0" labelOnly="1" outline="0" axis="axisRow" fieldPosition="0"/>
    </format>
    <format dxfId="7">
      <pivotArea dataOnly="0" labelOnly="1" outline="0" fieldPosition="0">
        <references count="1">
          <reference field="4294967294" count="3">
            <x v="0"/>
            <x v="1"/>
            <x v="2"/>
          </reference>
        </references>
      </pivotArea>
    </format>
    <format dxfId="6">
      <pivotArea outline="0" collapsedLevelsAreSubtotals="1" fieldPosition="0"/>
    </format>
    <format dxfId="5">
      <pivotArea dataOnly="0" labelOnly="1" fieldPosition="0">
        <references count="1">
          <reference field="2" count="0"/>
        </references>
      </pivotArea>
    </format>
    <format dxfId="4">
      <pivotArea dataOnly="0" labelOnly="1" grandRow="1" outline="0" fieldPosition="0"/>
    </format>
    <format dxfId="3">
      <pivotArea field="2" type="button" dataOnly="0" labelOnly="1" outline="0" axis="axisRow" fieldPosition="0"/>
    </format>
    <format dxfId="2">
      <pivotArea dataOnly="0" labelOnly="1" outline="0" fieldPosition="0">
        <references count="1">
          <reference field="4294967294" count="3">
            <x v="0"/>
            <x v="1"/>
            <x v="2"/>
          </reference>
        </references>
      </pivotArea>
    </format>
    <format dxfId="1">
      <pivotArea dataOnly="0" labelOnly="1" fieldPosition="0">
        <references count="1">
          <reference field="2" count="1">
            <x v="23"/>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03ADC0-A0BB-4ED7-819F-D280561C0F08}"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BD5:BG9"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h="1" m="1" x="4"/>
        <item m="1" x="5"/>
        <item m="1" x="6"/>
        <item m="1" x="7"/>
        <item m="1" x="8"/>
        <item x="1"/>
        <item h="1" x="3"/>
        <item x="0"/>
        <item x="2"/>
        <item t="default"/>
      </items>
    </pivotField>
  </pivotFields>
  <rowFields count="1">
    <field x="15"/>
  </rowFields>
  <rowItems count="4">
    <i>
      <x v="5"/>
    </i>
    <i>
      <x v="7"/>
    </i>
    <i>
      <x v="8"/>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42">
    <format dxfId="83">
      <pivotArea type="all" dataOnly="0" outline="0" fieldPosition="0"/>
    </format>
    <format dxfId="82">
      <pivotArea outline="0" collapsedLevelsAreSubtotals="1" fieldPosition="0"/>
    </format>
    <format dxfId="81">
      <pivotArea field="2" type="button" dataOnly="0" labelOnly="1" outline="0"/>
    </format>
    <format dxfId="80">
      <pivotArea dataOnly="0" labelOnly="1" grandRow="1" outline="0" fieldPosition="0"/>
    </format>
    <format dxfId="79">
      <pivotArea dataOnly="0" labelOnly="1" outline="0" axis="axisValues" fieldPosition="0"/>
    </format>
    <format dxfId="78">
      <pivotArea outline="0" fieldPosition="0">
        <references count="1">
          <reference field="4294967294" count="1">
            <x v="1"/>
          </reference>
        </references>
      </pivotArea>
    </format>
    <format dxfId="77">
      <pivotArea outline="0" fieldPosition="0">
        <references count="1">
          <reference field="4294967294" count="1">
            <x v="2"/>
          </reference>
        </references>
      </pivotArea>
    </format>
    <format dxfId="76">
      <pivotArea outline="0" collapsedLevelsAreSubtotals="1" fieldPosition="0">
        <references count="1">
          <reference field="4294967294" count="1" selected="0">
            <x v="1"/>
          </reference>
        </references>
      </pivotArea>
    </format>
    <format dxfId="75">
      <pivotArea type="all" dataOnly="0" outline="0" fieldPosition="0"/>
    </format>
    <format dxfId="74">
      <pivotArea outline="0" collapsedLevelsAreSubtotals="1" fieldPosition="0"/>
    </format>
    <format dxfId="73">
      <pivotArea field="15" type="button" dataOnly="0" labelOnly="1" outline="0" axis="axisRow" fieldPosition="0"/>
    </format>
    <format dxfId="72">
      <pivotArea dataOnly="0" labelOnly="1" fieldPosition="0">
        <references count="1">
          <reference field="15" count="0"/>
        </references>
      </pivotArea>
    </format>
    <format dxfId="71">
      <pivotArea dataOnly="0" labelOnly="1" grandRow="1" outline="0" fieldPosition="0"/>
    </format>
    <format dxfId="70">
      <pivotArea dataOnly="0" labelOnly="1" outline="0" fieldPosition="0">
        <references count="1">
          <reference field="4294967294" count="3">
            <x v="0"/>
            <x v="1"/>
            <x v="2"/>
          </reference>
        </references>
      </pivotArea>
    </format>
    <format dxfId="69">
      <pivotArea type="all" dataOnly="0" outline="0" fieldPosition="0"/>
    </format>
    <format dxfId="68">
      <pivotArea outline="0" collapsedLevelsAreSubtotals="1" fieldPosition="0"/>
    </format>
    <format dxfId="67">
      <pivotArea field="15" type="button" dataOnly="0" labelOnly="1" outline="0" axis="axisRow" fieldPosition="0"/>
    </format>
    <format dxfId="66">
      <pivotArea dataOnly="0" labelOnly="1" fieldPosition="0">
        <references count="1">
          <reference field="15" count="0"/>
        </references>
      </pivotArea>
    </format>
    <format dxfId="65">
      <pivotArea dataOnly="0" labelOnly="1" grandRow="1" outline="0" fieldPosition="0"/>
    </format>
    <format dxfId="64">
      <pivotArea dataOnly="0" labelOnly="1" outline="0" fieldPosition="0">
        <references count="1">
          <reference field="4294967294" count="3">
            <x v="0"/>
            <x v="1"/>
            <x v="2"/>
          </reference>
        </references>
      </pivotArea>
    </format>
    <format dxfId="63">
      <pivotArea field="15" type="button" dataOnly="0" labelOnly="1" outline="0" axis="axisRow" fieldPosition="0"/>
    </format>
    <format dxfId="62">
      <pivotArea dataOnly="0" labelOnly="1" outline="0" fieldPosition="0">
        <references count="1">
          <reference field="4294967294" count="3">
            <x v="0"/>
            <x v="1"/>
            <x v="2"/>
          </reference>
        </references>
      </pivotArea>
    </format>
    <format dxfId="61">
      <pivotArea field="15" type="button" dataOnly="0" labelOnly="1" outline="0" axis="axisRow" fieldPosition="0"/>
    </format>
    <format dxfId="60">
      <pivotArea dataOnly="0" labelOnly="1" outline="0" fieldPosition="0">
        <references count="1">
          <reference field="4294967294" count="3">
            <x v="0"/>
            <x v="1"/>
            <x v="2"/>
          </reference>
        </references>
      </pivotArea>
    </format>
    <format dxfId="59">
      <pivotArea type="all" dataOnly="0" outline="0" fieldPosition="0"/>
    </format>
    <format dxfId="58">
      <pivotArea outline="0" collapsedLevelsAreSubtotals="1" fieldPosition="0"/>
    </format>
    <format dxfId="57">
      <pivotArea field="15" type="button" dataOnly="0" labelOnly="1" outline="0" axis="axisRow" fieldPosition="0"/>
    </format>
    <format dxfId="56">
      <pivotArea dataOnly="0" labelOnly="1" fieldPosition="0">
        <references count="1">
          <reference field="15" count="0"/>
        </references>
      </pivotArea>
    </format>
    <format dxfId="55">
      <pivotArea dataOnly="0" labelOnly="1" grandRow="1" outline="0" fieldPosition="0"/>
    </format>
    <format dxfId="54">
      <pivotArea dataOnly="0" labelOnly="1" outline="0" fieldPosition="0">
        <references count="1">
          <reference field="4294967294" count="3">
            <x v="0"/>
            <x v="1"/>
            <x v="2"/>
          </reference>
        </references>
      </pivotArea>
    </format>
    <format dxfId="53">
      <pivotArea type="all" dataOnly="0" outline="0" fieldPosition="0"/>
    </format>
    <format dxfId="52">
      <pivotArea field="15" type="button" dataOnly="0" labelOnly="1" outline="0" axis="axisRow" fieldPosition="0"/>
    </format>
    <format dxfId="51">
      <pivotArea dataOnly="0" labelOnly="1" outline="0" fieldPosition="0">
        <references count="1">
          <reference field="4294967294" count="3">
            <x v="0"/>
            <x v="1"/>
            <x v="2"/>
          </reference>
        </references>
      </pivotArea>
    </format>
    <format dxfId="50">
      <pivotArea outline="0" collapsedLevelsAreSubtotals="1" fieldPosition="0"/>
    </format>
    <format dxfId="49">
      <pivotArea dataOnly="0" labelOnly="1" fieldPosition="0">
        <references count="1">
          <reference field="15" count="0"/>
        </references>
      </pivotArea>
    </format>
    <format dxfId="48">
      <pivotArea outline="0" collapsedLevelsAreSubtotals="1" fieldPosition="0"/>
    </format>
    <format dxfId="47">
      <pivotArea dataOnly="0" labelOnly="1" fieldPosition="0">
        <references count="1">
          <reference field="15" count="0"/>
        </references>
      </pivotArea>
    </format>
    <format dxfId="46">
      <pivotArea dataOnly="0" labelOnly="1" grandRow="1" outline="0" fieldPosition="0"/>
    </format>
    <format dxfId="45">
      <pivotArea grandRow="1" outline="0" collapsedLevelsAreSubtotals="1" fieldPosition="0"/>
    </format>
    <format dxfId="44">
      <pivotArea dataOnly="0" labelOnly="1" grandRow="1" outline="0" fieldPosition="0"/>
    </format>
    <format dxfId="43">
      <pivotArea collapsedLevelsAreSubtotals="1" fieldPosition="0">
        <references count="1">
          <reference field="15" count="2">
            <x v="7"/>
            <x v="8"/>
          </reference>
        </references>
      </pivotArea>
    </format>
    <format dxfId="42">
      <pivotArea dataOnly="0" labelOnly="1" fieldPosition="0">
        <references count="1">
          <reference field="15" count="2">
            <x v="7"/>
            <x v="8"/>
          </reference>
        </references>
      </pivotArea>
    </format>
  </formats>
  <chartFormats count="7">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5DF60-A1FF-44FD-80A8-AB9C60651502}"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BI5:BJ9" firstHeaderRow="1"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m="1" x="4"/>
        <item m="1" x="5"/>
        <item m="1" x="6"/>
        <item m="1" x="7"/>
        <item m="1" x="8"/>
        <item x="1"/>
        <item h="1" x="3"/>
        <item x="0"/>
        <item x="2"/>
        <item t="default"/>
      </items>
    </pivotField>
  </pivotFields>
  <rowFields count="1">
    <field x="15"/>
  </rowFields>
  <rowItems count="4">
    <i>
      <x v="5"/>
    </i>
    <i>
      <x v="7"/>
    </i>
    <i>
      <x v="8"/>
    </i>
    <i t="grand">
      <x/>
    </i>
  </rowItems>
  <colItems count="1">
    <i/>
  </colItems>
  <dataFields count="1">
    <dataField name="Absoluto (n)" fld="3" subtotal="count" baseField="0" baseItem="0"/>
  </dataFields>
  <formats count="17">
    <format dxfId="100">
      <pivotArea type="all" dataOnly="0" outline="0" fieldPosition="0"/>
    </format>
    <format dxfId="99">
      <pivotArea outline="0" collapsedLevelsAreSubtotals="1" fieldPosition="0"/>
    </format>
    <format dxfId="98">
      <pivotArea field="2" type="button" dataOnly="0" labelOnly="1" outline="0"/>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5" type="button" dataOnly="0" labelOnly="1" outline="0" axis="axisRow" fieldPosition="0"/>
    </format>
    <format dxfId="92">
      <pivotArea dataOnly="0" labelOnly="1" fieldPosition="0">
        <references count="1">
          <reference field="15"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5" type="button" dataOnly="0" labelOnly="1" outline="0" axis="axisRow" fieldPosition="0"/>
    </format>
    <format dxfId="86">
      <pivotArea dataOnly="0" labelOnly="1" fieldPosition="0">
        <references count="1">
          <reference field="15" count="0"/>
        </references>
      </pivotArea>
    </format>
    <format dxfId="85">
      <pivotArea dataOnly="0" labelOnly="1" grandRow="1" outline="0" fieldPosition="0"/>
    </format>
    <format dxfId="84">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F51A4-C8F6-4A71-B739-650903FFE294}"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S6:T10" firstHeaderRow="1" firstDataRow="1" firstDataCol="1"/>
  <pivotFields count="16">
    <pivotField showAll="0"/>
    <pivotField showAll="0"/>
    <pivotField axis="axisRow"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1"/>
    </i>
    <i>
      <x v="22"/>
    </i>
    <i>
      <x v="23"/>
    </i>
    <i t="grand">
      <x/>
    </i>
  </rowItems>
  <colItems count="1">
    <i/>
  </colItems>
  <dataFields count="1">
    <dataField name="Absoluto (n)" fld="3" subtotal="count" baseField="0" baseItem="0"/>
  </dataFields>
  <formats count="18">
    <format dxfId="118">
      <pivotArea type="all" dataOnly="0" outline="0" fieldPosition="0"/>
    </format>
    <format dxfId="117">
      <pivotArea outline="0" collapsedLevelsAreSubtotals="1" fieldPosition="0"/>
    </format>
    <format dxfId="116">
      <pivotArea field="2" type="button" dataOnly="0" labelOnly="1" outline="0" axis="axisRow" fieldPosition="0"/>
    </format>
    <format dxfId="115">
      <pivotArea dataOnly="0" labelOnly="1" fieldPosition="0">
        <references count="1">
          <reference field="2" count="0"/>
        </references>
      </pivotArea>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2" type="button" dataOnly="0" labelOnly="1" outline="0" axis="axisRow" fieldPosition="0"/>
    </format>
    <format dxfId="109">
      <pivotArea dataOnly="0" labelOnly="1" fieldPosition="0">
        <references count="1">
          <reference field="2"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F8FDDC-5F20-4DEE-A259-170C6A457622}"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S5:AV7"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s>
  <rowFields count="1">
    <field x="7"/>
  </rowFields>
  <rowItems count="2">
    <i>
      <x v="1"/>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39">
    <format dxfId="157">
      <pivotArea type="all" dataOnly="0" outline="0" fieldPosition="0"/>
    </format>
    <format dxfId="156">
      <pivotArea outline="0" collapsedLevelsAreSubtotals="1" fieldPosition="0"/>
    </format>
    <format dxfId="155">
      <pivotArea field="2" type="button" dataOnly="0" labelOnly="1" outline="0"/>
    </format>
    <format dxfId="154">
      <pivotArea dataOnly="0" labelOnly="1" grandRow="1" outline="0" fieldPosition="0"/>
    </format>
    <format dxfId="153">
      <pivotArea dataOnly="0" labelOnly="1" outline="0" axis="axisValues" fieldPosition="0"/>
    </format>
    <format dxfId="152">
      <pivotArea outline="0" fieldPosition="0">
        <references count="1">
          <reference field="4294967294" count="1">
            <x v="1"/>
          </reference>
        </references>
      </pivotArea>
    </format>
    <format dxfId="151">
      <pivotArea outline="0" fieldPosition="0">
        <references count="1">
          <reference field="4294967294" count="1">
            <x v="2"/>
          </reference>
        </references>
      </pivotArea>
    </format>
    <format dxfId="150">
      <pivotArea outline="0" collapsedLevelsAreSubtotals="1" fieldPosition="0">
        <references count="1">
          <reference field="4294967294" count="1" selected="0">
            <x v="1"/>
          </reference>
        </references>
      </pivotArea>
    </format>
    <format dxfId="149">
      <pivotArea type="all" dataOnly="0" outline="0" fieldPosition="0"/>
    </format>
    <format dxfId="148">
      <pivotArea outline="0" collapsedLevelsAreSubtotals="1" fieldPosition="0"/>
    </format>
    <format dxfId="147">
      <pivotArea field="7" type="button" dataOnly="0" labelOnly="1" outline="0" axis="axisRow" fieldPosition="0"/>
    </format>
    <format dxfId="146">
      <pivotArea dataOnly="0" labelOnly="1" fieldPosition="0">
        <references count="1">
          <reference field="7" count="0"/>
        </references>
      </pivotArea>
    </format>
    <format dxfId="145">
      <pivotArea dataOnly="0" labelOnly="1" grandRow="1" outline="0" fieldPosition="0"/>
    </format>
    <format dxfId="144">
      <pivotArea dataOnly="0" labelOnly="1" outline="0" fieldPosition="0">
        <references count="1">
          <reference field="4294967294" count="3">
            <x v="0"/>
            <x v="1"/>
            <x v="2"/>
          </reference>
        </references>
      </pivotArea>
    </format>
    <format dxfId="143">
      <pivotArea type="all" dataOnly="0" outline="0" fieldPosition="0"/>
    </format>
    <format dxfId="142">
      <pivotArea outline="0" collapsedLevelsAreSubtotals="1" fieldPosition="0"/>
    </format>
    <format dxfId="141">
      <pivotArea field="7" type="button" dataOnly="0" labelOnly="1" outline="0" axis="axisRow" fieldPosition="0"/>
    </format>
    <format dxfId="140">
      <pivotArea dataOnly="0" labelOnly="1" fieldPosition="0">
        <references count="1">
          <reference field="7" count="0"/>
        </references>
      </pivotArea>
    </format>
    <format dxfId="139">
      <pivotArea dataOnly="0" labelOnly="1" grandRow="1" outline="0" fieldPosition="0"/>
    </format>
    <format dxfId="138">
      <pivotArea dataOnly="0" labelOnly="1" outline="0" fieldPosition="0">
        <references count="1">
          <reference field="4294967294" count="3">
            <x v="0"/>
            <x v="1"/>
            <x v="2"/>
          </reference>
        </references>
      </pivotArea>
    </format>
    <format dxfId="137">
      <pivotArea type="all" dataOnly="0" outline="0" fieldPosition="0"/>
    </format>
    <format dxfId="136">
      <pivotArea outline="0" collapsedLevelsAreSubtotals="1" fieldPosition="0"/>
    </format>
    <format dxfId="135">
      <pivotArea field="7" type="button" dataOnly="0" labelOnly="1" outline="0" axis="axisRow" fieldPosition="0"/>
    </format>
    <format dxfId="134">
      <pivotArea dataOnly="0" labelOnly="1" fieldPosition="0">
        <references count="1">
          <reference field="7" count="0"/>
        </references>
      </pivotArea>
    </format>
    <format dxfId="133">
      <pivotArea dataOnly="0" labelOnly="1" grandRow="1" outline="0" fieldPosition="0"/>
    </format>
    <format dxfId="132">
      <pivotArea dataOnly="0" labelOnly="1" outline="0" fieldPosition="0">
        <references count="1">
          <reference field="4294967294" count="3">
            <x v="0"/>
            <x v="1"/>
            <x v="2"/>
          </reference>
        </references>
      </pivotArea>
    </format>
    <format dxfId="131">
      <pivotArea type="all" dataOnly="0" outline="0" fieldPosition="0"/>
    </format>
    <format dxfId="130">
      <pivotArea outline="0" collapsedLevelsAreSubtotals="1" fieldPosition="0"/>
    </format>
    <format dxfId="129">
      <pivotArea field="7" type="button" dataOnly="0" labelOnly="1" outline="0" axis="axisRow" fieldPosition="0"/>
    </format>
    <format dxfId="128">
      <pivotArea dataOnly="0" labelOnly="1" grandRow="1" outline="0" fieldPosition="0"/>
    </format>
    <format dxfId="127">
      <pivotArea dataOnly="0" labelOnly="1" outline="0" fieldPosition="0">
        <references count="1">
          <reference field="4294967294" count="3">
            <x v="0"/>
            <x v="1"/>
            <x v="2"/>
          </reference>
        </references>
      </pivotArea>
    </format>
    <format dxfId="126">
      <pivotArea outline="0" collapsedLevelsAreSubtotals="1" fieldPosition="0"/>
    </format>
    <format dxfId="125">
      <pivotArea dataOnly="0" labelOnly="1" grandRow="1" outline="0" fieldPosition="0"/>
    </format>
    <format dxfId="124">
      <pivotArea collapsedLevelsAreSubtotals="1" fieldPosition="0">
        <references count="1">
          <reference field="7" count="0"/>
        </references>
      </pivotArea>
    </format>
    <format dxfId="123">
      <pivotArea dataOnly="0" labelOnly="1" fieldPosition="0">
        <references count="1">
          <reference field="7" count="0"/>
        </references>
      </pivotArea>
    </format>
    <format dxfId="122">
      <pivotArea collapsedLevelsAreSubtotals="1" fieldPosition="0">
        <references count="1">
          <reference field="7" count="0"/>
        </references>
      </pivotArea>
    </format>
    <format dxfId="121">
      <pivotArea dataOnly="0" labelOnly="1" fieldPosition="0">
        <references count="1">
          <reference field="7" count="0"/>
        </references>
      </pivotArea>
    </format>
    <format dxfId="120">
      <pivotArea field="7" type="button" dataOnly="0" labelOnly="1" outline="0" axis="axisRow" fieldPosition="0"/>
    </format>
    <format dxfId="119">
      <pivotArea dataOnly="0" labelOnly="1" outline="0" fieldPosition="0">
        <references count="1">
          <reference field="4294967294" count="3">
            <x v="0"/>
            <x v="1"/>
            <x v="2"/>
          </reference>
        </references>
      </pivotArea>
    </format>
  </formats>
  <chartFormats count="9">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8" format="6">
      <pivotArea type="data" outline="0" fieldPosition="0">
        <references count="2">
          <reference field="4294967294" count="1" selected="0">
            <x v="1"/>
          </reference>
          <reference field="7" count="1" selected="0">
            <x v="1"/>
          </reference>
        </references>
      </pivotArea>
    </chartFormat>
    <chartFormat chart="8" format="9">
      <pivotArea type="data" outline="0" fieldPosition="0">
        <references count="2">
          <reference field="4294967294" count="1" selected="0">
            <x v="2"/>
          </reference>
          <reference field="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959C52-0D19-471E-9DF7-0DE483F937CB}"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M6:AP15"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axis="axisRow" showAll="0">
      <items count="17">
        <item m="1" x="11"/>
        <item m="1" x="12"/>
        <item m="1" x="13"/>
        <item x="2"/>
        <item m="1" x="14"/>
        <item m="1" x="15"/>
        <item m="1" x="9"/>
        <item m="1" x="10"/>
        <item x="1"/>
        <item h="1" x="8"/>
        <item x="0"/>
        <item x="3"/>
        <item x="4"/>
        <item x="5"/>
        <item x="6"/>
        <item x="7"/>
        <item t="default"/>
      </items>
    </pivotField>
    <pivotField showAll="0"/>
    <pivotField showAll="0"/>
    <pivotField showAll="0"/>
    <pivotField showAll="0"/>
  </pivotFields>
  <rowFields count="1">
    <field x="11"/>
  </rowFields>
  <rowItems count="9">
    <i>
      <x v="3"/>
    </i>
    <i>
      <x v="8"/>
    </i>
    <i>
      <x v="10"/>
    </i>
    <i>
      <x v="11"/>
    </i>
    <i>
      <x v="12"/>
    </i>
    <i>
      <x v="13"/>
    </i>
    <i>
      <x v="14"/>
    </i>
    <i>
      <x v="15"/>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40">
    <format dxfId="197">
      <pivotArea type="all" dataOnly="0" outline="0" fieldPosition="0"/>
    </format>
    <format dxfId="196">
      <pivotArea outline="0" collapsedLevelsAreSubtotals="1" fieldPosition="0"/>
    </format>
    <format dxfId="195">
      <pivotArea field="2" type="button" dataOnly="0" labelOnly="1" outline="0"/>
    </format>
    <format dxfId="194">
      <pivotArea dataOnly="0" labelOnly="1" grandRow="1" outline="0" fieldPosition="0"/>
    </format>
    <format dxfId="193">
      <pivotArea dataOnly="0" labelOnly="1" outline="0" axis="axisValues" fieldPosition="0"/>
    </format>
    <format dxfId="192">
      <pivotArea outline="0" fieldPosition="0">
        <references count="1">
          <reference field="4294967294" count="1">
            <x v="1"/>
          </reference>
        </references>
      </pivotArea>
    </format>
    <format dxfId="191">
      <pivotArea outline="0" fieldPosition="0">
        <references count="1">
          <reference field="4294967294" count="1">
            <x v="2"/>
          </reference>
        </references>
      </pivotArea>
    </format>
    <format dxfId="190">
      <pivotArea outline="0" collapsedLevelsAreSubtotals="1" fieldPosition="0">
        <references count="1">
          <reference field="4294967294" count="1" selected="0">
            <x v="1"/>
          </reference>
        </references>
      </pivotArea>
    </format>
    <format dxfId="189">
      <pivotArea type="all" dataOnly="0" outline="0" fieldPosition="0"/>
    </format>
    <format dxfId="188">
      <pivotArea outline="0" collapsedLevelsAreSubtotals="1" fieldPosition="0"/>
    </format>
    <format dxfId="187">
      <pivotArea field="11" type="button" dataOnly="0" labelOnly="1" outline="0" axis="axisRow" fieldPosition="0"/>
    </format>
    <format dxfId="186">
      <pivotArea dataOnly="0" labelOnly="1" fieldPosition="0">
        <references count="1">
          <reference field="11" count="0"/>
        </references>
      </pivotArea>
    </format>
    <format dxfId="185">
      <pivotArea dataOnly="0" labelOnly="1" grandRow="1" outline="0" fieldPosition="0"/>
    </format>
    <format dxfId="184">
      <pivotArea dataOnly="0" labelOnly="1" outline="0" fieldPosition="0">
        <references count="1">
          <reference field="4294967294" count="3">
            <x v="0"/>
            <x v="1"/>
            <x v="2"/>
          </reference>
        </references>
      </pivotArea>
    </format>
    <format dxfId="183">
      <pivotArea type="all" dataOnly="0" outline="0" fieldPosition="0"/>
    </format>
    <format dxfId="182">
      <pivotArea outline="0" collapsedLevelsAreSubtotals="1" fieldPosition="0"/>
    </format>
    <format dxfId="181">
      <pivotArea field="11" type="button" dataOnly="0" labelOnly="1" outline="0" axis="axisRow" fieldPosition="0"/>
    </format>
    <format dxfId="180">
      <pivotArea dataOnly="0" labelOnly="1" fieldPosition="0">
        <references count="1">
          <reference field="11" count="0"/>
        </references>
      </pivotArea>
    </format>
    <format dxfId="179">
      <pivotArea dataOnly="0" labelOnly="1" grandRow="1" outline="0" fieldPosition="0"/>
    </format>
    <format dxfId="178">
      <pivotArea dataOnly="0" labelOnly="1" outline="0" fieldPosition="0">
        <references count="1">
          <reference field="4294967294" count="3">
            <x v="0"/>
            <x v="1"/>
            <x v="2"/>
          </reference>
        </references>
      </pivotArea>
    </format>
    <format dxfId="177">
      <pivotArea field="11" type="button" dataOnly="0" labelOnly="1" outline="0" axis="axisRow" fieldPosition="0"/>
    </format>
    <format dxfId="176">
      <pivotArea dataOnly="0" labelOnly="1" outline="0" fieldPosition="0">
        <references count="1">
          <reference field="4294967294" count="3">
            <x v="0"/>
            <x v="1"/>
            <x v="2"/>
          </reference>
        </references>
      </pivotArea>
    </format>
    <format dxfId="175">
      <pivotArea type="all" dataOnly="0" outline="0" fieldPosition="0"/>
    </format>
    <format dxfId="174">
      <pivotArea outline="0" collapsedLevelsAreSubtotals="1" fieldPosition="0"/>
    </format>
    <format dxfId="173">
      <pivotArea field="11" type="button" dataOnly="0" labelOnly="1" outline="0" axis="axisRow" fieldPosition="0"/>
    </format>
    <format dxfId="172">
      <pivotArea dataOnly="0" labelOnly="1" fieldPosition="0">
        <references count="1">
          <reference field="11" count="0"/>
        </references>
      </pivotArea>
    </format>
    <format dxfId="171">
      <pivotArea dataOnly="0" labelOnly="1" grandRow="1" outline="0" fieldPosition="0"/>
    </format>
    <format dxfId="170">
      <pivotArea dataOnly="0" labelOnly="1" outline="0" fieldPosition="0">
        <references count="1">
          <reference field="4294967294" count="3">
            <x v="0"/>
            <x v="1"/>
            <x v="2"/>
          </reference>
        </references>
      </pivotArea>
    </format>
    <format dxfId="169">
      <pivotArea type="all" dataOnly="0" outline="0" fieldPosition="0"/>
    </format>
    <format dxfId="168">
      <pivotArea outline="0" collapsedLevelsAreSubtotals="1" fieldPosition="0"/>
    </format>
    <format dxfId="167">
      <pivotArea field="11" type="button" dataOnly="0" labelOnly="1" outline="0" axis="axisRow" fieldPosition="0"/>
    </format>
    <format dxfId="166">
      <pivotArea dataOnly="0" labelOnly="1" fieldPosition="0">
        <references count="1">
          <reference field="11" count="0"/>
        </references>
      </pivotArea>
    </format>
    <format dxfId="165">
      <pivotArea dataOnly="0" labelOnly="1" grandRow="1" outline="0" fieldPosition="0"/>
    </format>
    <format dxfId="164">
      <pivotArea dataOnly="0" labelOnly="1" outline="0" fieldPosition="0">
        <references count="1">
          <reference field="4294967294" count="3">
            <x v="0"/>
            <x v="1"/>
            <x v="2"/>
          </reference>
        </references>
      </pivotArea>
    </format>
    <format dxfId="163">
      <pivotArea collapsedLevelsAreSubtotals="1" fieldPosition="0">
        <references count="1">
          <reference field="11" count="0"/>
        </references>
      </pivotArea>
    </format>
    <format dxfId="162">
      <pivotArea dataOnly="0" labelOnly="1" fieldPosition="0">
        <references count="1">
          <reference field="11" count="0"/>
        </references>
      </pivotArea>
    </format>
    <format dxfId="161">
      <pivotArea grandRow="1" outline="0" collapsedLevelsAreSubtotals="1" fieldPosition="0"/>
    </format>
    <format dxfId="160">
      <pivotArea dataOnly="0" labelOnly="1" grandRow="1" outline="0" fieldPosition="0"/>
    </format>
    <format dxfId="159">
      <pivotArea collapsedLevelsAreSubtotals="1" fieldPosition="0">
        <references count="1">
          <reference field="11" count="2">
            <x v="7"/>
            <x v="8"/>
          </reference>
        </references>
      </pivotArea>
    </format>
    <format dxfId="158">
      <pivotArea dataOnly="0" labelOnly="1" fieldPosition="0">
        <references count="1">
          <reference field="11" count="2">
            <x v="7"/>
            <x v="8"/>
          </reference>
        </references>
      </pivotArea>
    </format>
  </format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FDCD73-9AA6-48AC-96D2-17578826C08E}" name="TablaDinámica1"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2">
  <location ref="AF6:AG9" firstHeaderRow="1"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axis="axisRow" dataField="1" showAll="0">
      <items count="29">
        <item h="1" x="27"/>
        <item x="16"/>
        <item x="18"/>
        <item h="1" x="0"/>
        <item h="1" x="1"/>
        <item h="1" x="2"/>
        <item h="1" x="3"/>
        <item h="1" x="4"/>
        <item h="1" x="5"/>
        <item h="1" x="6"/>
        <item h="1" x="7"/>
        <item h="1" x="8"/>
        <item h="1" x="9"/>
        <item h="1" x="10"/>
        <item h="1" x="11"/>
        <item h="1" x="12"/>
        <item h="1" x="13"/>
        <item h="1" x="14"/>
        <item h="1" x="15"/>
        <item h="1" x="17"/>
        <item h="1" x="19"/>
        <item h="1" x="20"/>
        <item h="1" x="21"/>
        <item h="1" x="22"/>
        <item h="1" x="23"/>
        <item h="1" x="24"/>
        <item h="1" x="25"/>
        <item h="1"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v="2"/>
    </i>
    <i t="grand">
      <x/>
    </i>
  </rowItems>
  <colItems count="1">
    <i/>
  </colItems>
  <dataFields count="1">
    <dataField name="Absoluto (n)" fld="3" subtotal="count" baseField="0" baseItem="0"/>
  </dataFields>
  <formats count="17">
    <format dxfId="214">
      <pivotArea type="all" dataOnly="0" outline="0" fieldPosition="0"/>
    </format>
    <format dxfId="213">
      <pivotArea outline="0" collapsedLevelsAreSubtotals="1" fieldPosition="0"/>
    </format>
    <format dxfId="212">
      <pivotArea field="2" type="button" dataOnly="0" labelOnly="1" outline="0"/>
    </format>
    <format dxfId="211">
      <pivotArea dataOnly="0" labelOnly="1" grandRow="1" outline="0"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field="3" type="button" dataOnly="0" labelOnly="1" outline="0" axis="axisRow" fieldPosition="0"/>
    </format>
    <format dxfId="206">
      <pivotArea dataOnly="0" labelOnly="1" fieldPosition="0">
        <references count="1">
          <reference field="3" count="0"/>
        </references>
      </pivotArea>
    </format>
    <format dxfId="205">
      <pivotArea dataOnly="0" labelOnly="1" grandRow="1" outline="0" fieldPosition="0"/>
    </format>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field="3" type="button" dataOnly="0" labelOnly="1" outline="0" axis="axisRow" fieldPosition="0"/>
    </format>
    <format dxfId="200">
      <pivotArea dataOnly="0" labelOnly="1" fieldPosition="0">
        <references count="1">
          <reference field="3" count="0"/>
        </references>
      </pivotArea>
    </format>
    <format dxfId="199">
      <pivotArea dataOnly="0" labelOnly="1" grandRow="1" outline="0" fieldPosition="0"/>
    </format>
    <format dxfId="198">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E937F1-BA7F-4AA4-B207-25A368826B4B}" name="TablaDinámica5"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9">
  <location ref="AA6:AD9"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axis="axisRow" dataField="1" showAll="0">
      <items count="29">
        <item h="1" x="27"/>
        <item x="16"/>
        <item x="18"/>
        <item h="1" x="0"/>
        <item h="1" x="1"/>
        <item h="1" x="2"/>
        <item h="1" x="3"/>
        <item h="1" x="4"/>
        <item h="1" x="5"/>
        <item h="1" x="6"/>
        <item h="1" x="7"/>
        <item h="1" x="8"/>
        <item h="1" x="9"/>
        <item h="1" x="10"/>
        <item h="1" x="11"/>
        <item h="1" x="12"/>
        <item h="1" x="13"/>
        <item h="1" x="14"/>
        <item h="1" x="15"/>
        <item h="1" x="17"/>
        <item h="1" x="19"/>
        <item h="1" x="20"/>
        <item h="1" x="21"/>
        <item h="1" x="22"/>
        <item h="1" x="23"/>
        <item h="1" x="24"/>
        <item h="1" x="25"/>
        <item h="1"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v="2"/>
    </i>
    <i t="grand">
      <x/>
    </i>
  </rowItems>
  <colFields count="1">
    <field x="-2"/>
  </colFields>
  <colItems count="3">
    <i>
      <x/>
    </i>
    <i i="1">
      <x v="1"/>
    </i>
    <i i="2">
      <x v="2"/>
    </i>
  </colItems>
  <dataFields count="3">
    <dataField name="Absoluto (n)" fld="3" subtotal="count" baseField="0" baseItem="0"/>
    <dataField name="Relativa (n/N)" fld="3" subtotal="count" showDataAs="percentOfCol" baseField="3" baseItem="4" numFmtId="43"/>
    <dataField name=" Porcentaje (%)" fld="3" subtotal="count" showDataAs="percentOfCol" baseField="0" baseItem="0" numFmtId="10"/>
  </dataFields>
  <formats count="43">
    <format dxfId="257">
      <pivotArea type="all" dataOnly="0" outline="0" fieldPosition="0"/>
    </format>
    <format dxfId="256">
      <pivotArea outline="0" collapsedLevelsAreSubtotals="1" fieldPosition="0"/>
    </format>
    <format dxfId="255">
      <pivotArea field="2" type="button" dataOnly="0" labelOnly="1" outline="0"/>
    </format>
    <format dxfId="254">
      <pivotArea dataOnly="0" labelOnly="1" grandRow="1" outline="0" fieldPosition="0"/>
    </format>
    <format dxfId="253">
      <pivotArea dataOnly="0" labelOnly="1" outline="0" axis="axisValues" fieldPosition="0"/>
    </format>
    <format dxfId="252">
      <pivotArea outline="0" fieldPosition="0">
        <references count="1">
          <reference field="4294967294" count="1">
            <x v="1"/>
          </reference>
        </references>
      </pivotArea>
    </format>
    <format dxfId="251">
      <pivotArea outline="0" fieldPosition="0">
        <references count="1">
          <reference field="4294967294" count="1">
            <x v="2"/>
          </reference>
        </references>
      </pivotArea>
    </format>
    <format dxfId="250">
      <pivotArea outline="0" collapsedLevelsAreSubtotals="1" fieldPosition="0">
        <references count="1">
          <reference field="4294967294" count="1" selected="0">
            <x v="1"/>
          </reference>
        </references>
      </pivotArea>
    </format>
    <format dxfId="249">
      <pivotArea type="all" dataOnly="0" outline="0" fieldPosition="0"/>
    </format>
    <format dxfId="248">
      <pivotArea outline="0" collapsedLevelsAreSubtotals="1" fieldPosition="0"/>
    </format>
    <format dxfId="247">
      <pivotArea field="3" type="button" dataOnly="0" labelOnly="1" outline="0" axis="axisRow" fieldPosition="0"/>
    </format>
    <format dxfId="246">
      <pivotArea dataOnly="0" labelOnly="1" fieldPosition="0">
        <references count="1">
          <reference field="3" count="0"/>
        </references>
      </pivotArea>
    </format>
    <format dxfId="245">
      <pivotArea dataOnly="0" labelOnly="1" grandRow="1" outline="0" fieldPosition="0"/>
    </format>
    <format dxfId="244">
      <pivotArea dataOnly="0" labelOnly="1" outline="0" fieldPosition="0">
        <references count="1">
          <reference field="4294967294" count="3">
            <x v="0"/>
            <x v="1"/>
            <x v="2"/>
          </reference>
        </references>
      </pivotArea>
    </format>
    <format dxfId="243">
      <pivotArea type="all" dataOnly="0" outline="0" fieldPosition="0"/>
    </format>
    <format dxfId="242">
      <pivotArea outline="0" collapsedLevelsAreSubtotals="1" fieldPosition="0"/>
    </format>
    <format dxfId="241">
      <pivotArea field="3" type="button" dataOnly="0" labelOnly="1" outline="0" axis="axisRow" fieldPosition="0"/>
    </format>
    <format dxfId="240">
      <pivotArea dataOnly="0" labelOnly="1" fieldPosition="0">
        <references count="1">
          <reference field="3" count="0"/>
        </references>
      </pivotArea>
    </format>
    <format dxfId="239">
      <pivotArea dataOnly="0" labelOnly="1" grandRow="1" outline="0" fieldPosition="0"/>
    </format>
    <format dxfId="238">
      <pivotArea dataOnly="0" labelOnly="1" outline="0" fieldPosition="0">
        <references count="1">
          <reference field="4294967294" count="3">
            <x v="0"/>
            <x v="1"/>
            <x v="2"/>
          </reference>
        </references>
      </pivotArea>
    </format>
    <format dxfId="237">
      <pivotArea type="all" dataOnly="0" outline="0" fieldPosition="0"/>
    </format>
    <format dxfId="236">
      <pivotArea outline="0" collapsedLevelsAreSubtotals="1" fieldPosition="0"/>
    </format>
    <format dxfId="235">
      <pivotArea field="3" type="button" dataOnly="0" labelOnly="1" outline="0" axis="axisRow" fieldPosition="0"/>
    </format>
    <format dxfId="234">
      <pivotArea dataOnly="0" labelOnly="1" fieldPosition="0">
        <references count="1">
          <reference field="3" count="0"/>
        </references>
      </pivotArea>
    </format>
    <format dxfId="233">
      <pivotArea dataOnly="0" labelOnly="1" grandRow="1" outline="0" fieldPosition="0"/>
    </format>
    <format dxfId="232">
      <pivotArea dataOnly="0" labelOnly="1" outline="0" fieldPosition="0">
        <references count="1">
          <reference field="4294967294" count="3">
            <x v="0"/>
            <x v="1"/>
            <x v="2"/>
          </reference>
        </references>
      </pivotArea>
    </format>
    <format dxfId="231">
      <pivotArea type="all" dataOnly="0" outline="0" fieldPosition="0"/>
    </format>
    <format dxfId="230">
      <pivotArea field="3" type="button" dataOnly="0" labelOnly="1" outline="0" axis="axisRow" fieldPosition="0"/>
    </format>
    <format dxfId="229">
      <pivotArea dataOnly="0" labelOnly="1" outline="0" fieldPosition="0">
        <references count="1">
          <reference field="4294967294" count="3">
            <x v="0"/>
            <x v="1"/>
            <x v="2"/>
          </reference>
        </references>
      </pivotArea>
    </format>
    <format dxfId="228">
      <pivotArea type="all" dataOnly="0" outline="0" fieldPosition="0"/>
    </format>
    <format dxfId="227">
      <pivotArea outline="0" collapsedLevelsAreSubtotals="1" fieldPosition="0"/>
    </format>
    <format dxfId="226">
      <pivotArea field="3" type="button" dataOnly="0" labelOnly="1" outline="0" axis="axisRow" fieldPosition="0"/>
    </format>
    <format dxfId="225">
      <pivotArea dataOnly="0" labelOnly="1" grandRow="1" outline="0" fieldPosition="0"/>
    </format>
    <format dxfId="224">
      <pivotArea dataOnly="0" labelOnly="1" outline="0" fieldPosition="0">
        <references count="1">
          <reference field="4294967294" count="3">
            <x v="0"/>
            <x v="1"/>
            <x v="2"/>
          </reference>
        </references>
      </pivotArea>
    </format>
    <format dxfId="223">
      <pivotArea outline="0" collapsedLevelsAreSubtotals="1" fieldPosition="0"/>
    </format>
    <format dxfId="222">
      <pivotArea dataOnly="0" labelOnly="1" fieldPosition="0">
        <references count="1">
          <reference field="3" count="0"/>
        </references>
      </pivotArea>
    </format>
    <format dxfId="221">
      <pivotArea dataOnly="0" labelOnly="1" grandRow="1" outline="0" fieldPosition="0"/>
    </format>
    <format dxfId="220">
      <pivotArea field="3" type="button" dataOnly="0" labelOnly="1" outline="0" axis="axisRow" fieldPosition="0"/>
    </format>
    <format dxfId="219">
      <pivotArea dataOnly="0" labelOnly="1" outline="0" fieldPosition="0">
        <references count="1">
          <reference field="4294967294" count="3">
            <x v="0"/>
            <x v="1"/>
            <x v="2"/>
          </reference>
        </references>
      </pivotArea>
    </format>
    <format dxfId="218">
      <pivotArea collapsedLevelsAreSubtotals="1" fieldPosition="0">
        <references count="1">
          <reference field="3" count="0"/>
        </references>
      </pivotArea>
    </format>
    <format dxfId="217">
      <pivotArea dataOnly="0" labelOnly="1" fieldPosition="0">
        <references count="1">
          <reference field="3" count="0"/>
        </references>
      </pivotArea>
    </format>
    <format dxfId="216">
      <pivotArea collapsedLevelsAreSubtotals="1" fieldPosition="0">
        <references count="1">
          <reference field="3" count="1">
            <x v="2"/>
          </reference>
        </references>
      </pivotArea>
    </format>
    <format dxfId="215">
      <pivotArea dataOnly="0" labelOnly="1" fieldPosition="0">
        <references count="1">
          <reference field="3" count="1">
            <x v="2"/>
          </reference>
        </references>
      </pivotArea>
    </format>
  </format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hyperlink" Target="http://www.scielo.org/php/index.php" TargetMode="External"/><Relationship Id="rId4" Type="http://schemas.openxmlformats.org/officeDocument/2006/relationships/pivotTable" Target="../pivotTables/pivotTable4.xml"/><Relationship Id="rId9" Type="http://schemas.openxmlformats.org/officeDocument/2006/relationships/hyperlink" Target="https://www.redalyc.org/"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Z1110"/>
  <sheetViews>
    <sheetView topLeftCell="C46" workbookViewId="0">
      <selection activeCell="I86" sqref="I86"/>
    </sheetView>
  </sheetViews>
  <sheetFormatPr baseColWidth="10" defaultColWidth="14.5" defaultRowHeight="15" customHeight="1" x14ac:dyDescent="0.2"/>
  <cols>
    <col min="1" max="1" width="5.1640625" customWidth="1"/>
    <col min="2" max="2" width="12.1640625" customWidth="1"/>
    <col min="3" max="3" width="14.5" customWidth="1"/>
    <col min="4" max="4" width="9.1640625" customWidth="1"/>
    <col min="5" max="5" width="17.1640625" customWidth="1"/>
    <col min="6" max="6" width="20.6640625" bestFit="1" customWidth="1"/>
    <col min="7" max="7" width="17.83203125" customWidth="1"/>
    <col min="8" max="8" width="20.5" customWidth="1"/>
    <col min="9" max="9" width="9.83203125" customWidth="1"/>
    <col min="10" max="10" width="15.83203125" bestFit="1" customWidth="1"/>
    <col min="11" max="11" width="24.83203125" customWidth="1"/>
    <col min="12" max="12" width="16.5" customWidth="1"/>
    <col min="13" max="13" width="16.5" style="115" customWidth="1"/>
    <col min="14" max="14" width="8.6640625" customWidth="1"/>
    <col min="15" max="15" width="9.1640625" customWidth="1"/>
    <col min="16" max="16" width="8.83203125" customWidth="1"/>
    <col min="17" max="17" width="24.5" bestFit="1" customWidth="1"/>
    <col min="18" max="26" width="8.83203125" customWidth="1"/>
  </cols>
  <sheetData>
    <row r="1" spans="1:26" ht="8" customHeight="1" x14ac:dyDescent="0.2">
      <c r="M1"/>
    </row>
    <row r="2" spans="1:26" ht="15" customHeight="1" x14ac:dyDescent="0.2">
      <c r="A2" s="127"/>
      <c r="B2" s="128" t="s">
        <v>53</v>
      </c>
      <c r="C2" s="128" t="s">
        <v>54</v>
      </c>
      <c r="D2" s="128" t="s">
        <v>55</v>
      </c>
      <c r="E2" s="128" t="s">
        <v>56</v>
      </c>
      <c r="F2" s="128" t="s">
        <v>64</v>
      </c>
      <c r="G2" s="128" t="s">
        <v>57</v>
      </c>
      <c r="H2" s="128" t="s">
        <v>58</v>
      </c>
      <c r="I2" s="128" t="s">
        <v>59</v>
      </c>
      <c r="J2" s="128" t="s">
        <v>60</v>
      </c>
      <c r="K2" s="128" t="s">
        <v>61</v>
      </c>
      <c r="L2" s="128" t="s">
        <v>62</v>
      </c>
      <c r="M2" s="128" t="s">
        <v>63</v>
      </c>
      <c r="N2" s="128"/>
      <c r="O2" s="128"/>
      <c r="P2" s="1"/>
      <c r="Q2" s="129" t="s">
        <v>135</v>
      </c>
    </row>
    <row r="3" spans="1:26" ht="15" customHeight="1" x14ac:dyDescent="0.2">
      <c r="A3" s="127"/>
      <c r="B3" s="1" t="s">
        <v>0</v>
      </c>
      <c r="C3" s="1" t="s">
        <v>1</v>
      </c>
      <c r="D3" s="1" t="s">
        <v>2</v>
      </c>
      <c r="E3" s="1" t="s">
        <v>68</v>
      </c>
      <c r="F3" s="1" t="s">
        <v>4</v>
      </c>
      <c r="G3" s="1" t="s">
        <v>67</v>
      </c>
      <c r="H3" s="1" t="s">
        <v>65</v>
      </c>
      <c r="I3" s="130" t="s">
        <v>66</v>
      </c>
      <c r="J3" s="1" t="s">
        <v>8</v>
      </c>
      <c r="K3" s="1" t="s">
        <v>10</v>
      </c>
      <c r="L3" s="1" t="s">
        <v>71</v>
      </c>
      <c r="M3" s="1" t="s">
        <v>12</v>
      </c>
      <c r="N3" s="1"/>
      <c r="O3" s="1"/>
      <c r="P3" s="1"/>
      <c r="Q3" s="129" t="s">
        <v>135</v>
      </c>
    </row>
    <row r="4" spans="1:26" ht="24.75" customHeight="1" x14ac:dyDescent="0.2">
      <c r="A4" s="127"/>
      <c r="B4" s="1" t="s">
        <v>0</v>
      </c>
      <c r="C4" s="1" t="s">
        <v>1</v>
      </c>
      <c r="D4" s="1" t="s">
        <v>2</v>
      </c>
      <c r="E4" s="1" t="s">
        <v>3</v>
      </c>
      <c r="F4" s="1" t="s">
        <v>4</v>
      </c>
      <c r="G4" s="1" t="s">
        <v>5</v>
      </c>
      <c r="H4" s="1" t="s">
        <v>6</v>
      </c>
      <c r="I4" s="1" t="s">
        <v>7</v>
      </c>
      <c r="J4" s="1" t="s">
        <v>8</v>
      </c>
      <c r="K4" s="1" t="s">
        <v>10</v>
      </c>
      <c r="L4" s="1" t="s">
        <v>11</v>
      </c>
      <c r="M4" s="1" t="s">
        <v>12</v>
      </c>
      <c r="N4" s="1"/>
      <c r="O4" s="1"/>
      <c r="P4" s="130"/>
      <c r="Q4" s="129" t="s">
        <v>135</v>
      </c>
      <c r="R4" s="2"/>
      <c r="S4" s="2"/>
      <c r="T4" s="88"/>
      <c r="U4" s="88"/>
      <c r="V4" s="2"/>
      <c r="W4" s="2"/>
      <c r="X4" s="2"/>
      <c r="Y4" s="2"/>
      <c r="Z4" s="2"/>
    </row>
    <row r="5" spans="1:26" ht="14.25" customHeight="1" x14ac:dyDescent="0.2">
      <c r="A5">
        <v>2</v>
      </c>
      <c r="B5" t="s">
        <v>217</v>
      </c>
      <c r="C5" t="s">
        <v>218</v>
      </c>
      <c r="D5">
        <v>2025</v>
      </c>
      <c r="E5" t="s">
        <v>219</v>
      </c>
      <c r="F5" t="s">
        <v>603</v>
      </c>
      <c r="G5" t="s">
        <v>221</v>
      </c>
      <c r="H5" t="s">
        <v>222</v>
      </c>
      <c r="I5" t="s">
        <v>15</v>
      </c>
      <c r="J5" t="s">
        <v>223</v>
      </c>
      <c r="K5" t="s">
        <v>220</v>
      </c>
      <c r="L5" t="s">
        <v>604</v>
      </c>
      <c r="M5" s="44"/>
      <c r="N5" s="4"/>
      <c r="Q5" s="54"/>
      <c r="T5" s="44"/>
      <c r="U5" s="44"/>
    </row>
    <row r="6" spans="1:26" ht="14.25" customHeight="1" x14ac:dyDescent="0.2">
      <c r="A6">
        <v>3</v>
      </c>
      <c r="B6" t="s">
        <v>224</v>
      </c>
      <c r="C6" t="s">
        <v>225</v>
      </c>
      <c r="D6">
        <v>2026</v>
      </c>
      <c r="E6" t="s">
        <v>226</v>
      </c>
      <c r="F6" t="s">
        <v>228</v>
      </c>
      <c r="G6">
        <v>0</v>
      </c>
      <c r="H6" t="s">
        <v>230</v>
      </c>
      <c r="I6" t="s">
        <v>15</v>
      </c>
      <c r="J6" t="s">
        <v>223</v>
      </c>
      <c r="K6" t="s">
        <v>227</v>
      </c>
      <c r="L6" t="s">
        <v>229</v>
      </c>
      <c r="M6" s="44"/>
      <c r="N6" s="4"/>
      <c r="Q6" s="54"/>
      <c r="T6" s="44"/>
      <c r="U6" s="44"/>
    </row>
    <row r="7" spans="1:26" ht="14.25" customHeight="1" x14ac:dyDescent="0.2">
      <c r="A7">
        <v>4</v>
      </c>
      <c r="B7" t="s">
        <v>231</v>
      </c>
      <c r="C7" t="s">
        <v>232</v>
      </c>
      <c r="D7">
        <v>2023</v>
      </c>
      <c r="E7" t="s">
        <v>233</v>
      </c>
      <c r="F7" t="s">
        <v>235</v>
      </c>
      <c r="G7" t="s">
        <v>236</v>
      </c>
      <c r="H7" t="s">
        <v>238</v>
      </c>
      <c r="I7" t="s">
        <v>15</v>
      </c>
      <c r="J7" t="s">
        <v>223</v>
      </c>
      <c r="K7" t="s">
        <v>234</v>
      </c>
      <c r="L7" t="s">
        <v>237</v>
      </c>
      <c r="M7" s="44"/>
      <c r="N7" s="4"/>
      <c r="Q7" s="54"/>
      <c r="T7" s="44"/>
      <c r="U7" s="44"/>
    </row>
    <row r="8" spans="1:26" ht="14.25" customHeight="1" x14ac:dyDescent="0.2">
      <c r="A8">
        <v>5</v>
      </c>
      <c r="B8" t="s">
        <v>239</v>
      </c>
      <c r="C8" t="s">
        <v>240</v>
      </c>
      <c r="D8">
        <v>2025</v>
      </c>
      <c r="E8" t="s">
        <v>241</v>
      </c>
      <c r="F8" t="s">
        <v>243</v>
      </c>
      <c r="G8" t="s">
        <v>244</v>
      </c>
      <c r="H8" t="s">
        <v>246</v>
      </c>
      <c r="I8" t="s">
        <v>15</v>
      </c>
      <c r="J8" t="s">
        <v>223</v>
      </c>
      <c r="K8" t="s">
        <v>242</v>
      </c>
      <c r="L8" t="s">
        <v>245</v>
      </c>
      <c r="M8" s="44"/>
      <c r="N8" s="4"/>
      <c r="Q8" s="54"/>
      <c r="T8" s="44"/>
      <c r="U8" s="44"/>
    </row>
    <row r="9" spans="1:26" ht="14.25" customHeight="1" x14ac:dyDescent="0.2">
      <c r="A9">
        <v>6</v>
      </c>
      <c r="B9" t="s">
        <v>247</v>
      </c>
      <c r="C9" t="s">
        <v>248</v>
      </c>
      <c r="D9">
        <v>2026</v>
      </c>
      <c r="E9" t="s">
        <v>233</v>
      </c>
      <c r="F9" t="s">
        <v>250</v>
      </c>
      <c r="G9" t="s">
        <v>251</v>
      </c>
      <c r="H9" t="s">
        <v>238</v>
      </c>
      <c r="I9" t="s">
        <v>15</v>
      </c>
      <c r="J9" t="s">
        <v>223</v>
      </c>
      <c r="K9" t="s">
        <v>249</v>
      </c>
      <c r="L9" t="s">
        <v>252</v>
      </c>
      <c r="M9" s="44"/>
      <c r="N9" s="4"/>
      <c r="Q9" s="54"/>
      <c r="T9" s="44"/>
      <c r="U9" s="44"/>
    </row>
    <row r="10" spans="1:26" ht="14.25" customHeight="1" x14ac:dyDescent="0.2">
      <c r="A10">
        <v>7</v>
      </c>
      <c r="B10" t="s">
        <v>253</v>
      </c>
      <c r="C10" t="s">
        <v>254</v>
      </c>
      <c r="D10">
        <v>2024</v>
      </c>
      <c r="E10" t="s">
        <v>226</v>
      </c>
      <c r="F10" t="s">
        <v>256</v>
      </c>
      <c r="G10">
        <v>0</v>
      </c>
      <c r="H10" t="s">
        <v>230</v>
      </c>
      <c r="I10" t="s">
        <v>15</v>
      </c>
      <c r="J10" t="s">
        <v>223</v>
      </c>
      <c r="K10" t="s">
        <v>255</v>
      </c>
      <c r="L10" t="s">
        <v>257</v>
      </c>
      <c r="M10" s="44"/>
      <c r="N10" s="4"/>
      <c r="Q10" s="54"/>
      <c r="T10" s="44"/>
      <c r="U10" s="44"/>
    </row>
    <row r="11" spans="1:26" ht="14.25" customHeight="1" x14ac:dyDescent="0.2">
      <c r="A11">
        <v>8</v>
      </c>
      <c r="B11" t="s">
        <v>258</v>
      </c>
      <c r="C11" t="s">
        <v>259</v>
      </c>
      <c r="D11">
        <v>2025</v>
      </c>
      <c r="E11" t="s">
        <v>260</v>
      </c>
      <c r="F11" t="s">
        <v>262</v>
      </c>
      <c r="G11" t="s">
        <v>263</v>
      </c>
      <c r="H11" t="s">
        <v>246</v>
      </c>
      <c r="I11" t="s">
        <v>15</v>
      </c>
      <c r="J11" t="s">
        <v>223</v>
      </c>
      <c r="K11" t="s">
        <v>261</v>
      </c>
      <c r="L11" t="s">
        <v>605</v>
      </c>
      <c r="M11" s="44"/>
      <c r="N11" s="4"/>
      <c r="Q11" s="54"/>
      <c r="T11" s="44"/>
      <c r="U11" s="44"/>
    </row>
    <row r="12" spans="1:26" ht="14.25" customHeight="1" x14ac:dyDescent="0.2">
      <c r="A12">
        <v>9</v>
      </c>
      <c r="B12" t="s">
        <v>264</v>
      </c>
      <c r="C12" t="s">
        <v>265</v>
      </c>
      <c r="D12">
        <v>2025</v>
      </c>
      <c r="E12" t="s">
        <v>260</v>
      </c>
      <c r="F12" t="s">
        <v>267</v>
      </c>
      <c r="G12" t="s">
        <v>268</v>
      </c>
      <c r="H12" t="s">
        <v>246</v>
      </c>
      <c r="I12" t="s">
        <v>15</v>
      </c>
      <c r="J12" t="s">
        <v>223</v>
      </c>
      <c r="K12" t="s">
        <v>266</v>
      </c>
      <c r="L12" t="s">
        <v>606</v>
      </c>
      <c r="M12" s="44"/>
      <c r="N12" s="4"/>
      <c r="Q12" s="54"/>
      <c r="T12" s="44"/>
      <c r="U12" s="44"/>
    </row>
    <row r="13" spans="1:26" ht="14.25" customHeight="1" x14ac:dyDescent="0.2">
      <c r="A13">
        <v>10</v>
      </c>
      <c r="B13" t="s">
        <v>269</v>
      </c>
      <c r="C13" t="s">
        <v>270</v>
      </c>
      <c r="D13">
        <v>2025</v>
      </c>
      <c r="E13" t="s">
        <v>233</v>
      </c>
      <c r="F13" t="s">
        <v>272</v>
      </c>
      <c r="G13" t="s">
        <v>273</v>
      </c>
      <c r="H13" t="s">
        <v>238</v>
      </c>
      <c r="I13" t="s">
        <v>15</v>
      </c>
      <c r="J13" t="s">
        <v>223</v>
      </c>
      <c r="K13" t="s">
        <v>271</v>
      </c>
      <c r="L13" t="s">
        <v>274</v>
      </c>
      <c r="M13" s="44"/>
      <c r="N13" s="4"/>
      <c r="Q13" s="54"/>
      <c r="T13" s="44"/>
      <c r="U13" s="44"/>
    </row>
    <row r="14" spans="1:26" ht="14.25" customHeight="1" x14ac:dyDescent="0.2">
      <c r="A14">
        <v>11</v>
      </c>
      <c r="B14" t="s">
        <v>275</v>
      </c>
      <c r="C14" t="s">
        <v>276</v>
      </c>
      <c r="D14">
        <v>2025</v>
      </c>
      <c r="E14" t="s">
        <v>219</v>
      </c>
      <c r="F14" t="s">
        <v>278</v>
      </c>
      <c r="G14" t="s">
        <v>279</v>
      </c>
      <c r="H14" t="s">
        <v>222</v>
      </c>
      <c r="I14" t="s">
        <v>15</v>
      </c>
      <c r="J14" t="s">
        <v>223</v>
      </c>
      <c r="K14" t="s">
        <v>277</v>
      </c>
      <c r="L14" t="s">
        <v>280</v>
      </c>
      <c r="M14" s="44"/>
      <c r="N14" s="4"/>
      <c r="Q14" s="54"/>
      <c r="T14" s="44"/>
      <c r="U14" s="44"/>
    </row>
    <row r="15" spans="1:26" ht="14.25" customHeight="1" x14ac:dyDescent="0.2">
      <c r="A15">
        <v>12</v>
      </c>
      <c r="B15" t="s">
        <v>281</v>
      </c>
      <c r="C15" t="s">
        <v>282</v>
      </c>
      <c r="D15">
        <v>2023</v>
      </c>
      <c r="E15" t="s">
        <v>219</v>
      </c>
      <c r="F15" t="s">
        <v>284</v>
      </c>
      <c r="G15" t="s">
        <v>285</v>
      </c>
      <c r="H15" t="s">
        <v>222</v>
      </c>
      <c r="I15" t="s">
        <v>15</v>
      </c>
      <c r="J15" t="s">
        <v>223</v>
      </c>
      <c r="K15" t="s">
        <v>283</v>
      </c>
      <c r="L15" t="s">
        <v>286</v>
      </c>
      <c r="M15" s="44"/>
      <c r="N15" s="4"/>
      <c r="Q15" s="54"/>
      <c r="T15" s="44"/>
      <c r="U15" s="44"/>
    </row>
    <row r="16" spans="1:26" ht="14.25" customHeight="1" x14ac:dyDescent="0.2">
      <c r="A16">
        <v>13</v>
      </c>
      <c r="B16" t="s">
        <v>287</v>
      </c>
      <c r="C16" t="s">
        <v>288</v>
      </c>
      <c r="D16">
        <v>2023</v>
      </c>
      <c r="E16" t="s">
        <v>219</v>
      </c>
      <c r="F16" t="s">
        <v>290</v>
      </c>
      <c r="G16" t="s">
        <v>291</v>
      </c>
      <c r="H16" t="s">
        <v>222</v>
      </c>
      <c r="I16" t="s">
        <v>15</v>
      </c>
      <c r="J16" t="s">
        <v>223</v>
      </c>
      <c r="K16" t="s">
        <v>289</v>
      </c>
      <c r="L16" t="s">
        <v>292</v>
      </c>
      <c r="M16" s="44"/>
      <c r="N16" s="4"/>
      <c r="Q16" s="54"/>
      <c r="T16" s="44"/>
      <c r="U16" s="44"/>
    </row>
    <row r="17" spans="1:21" ht="14.25" customHeight="1" x14ac:dyDescent="0.2">
      <c r="A17">
        <v>14</v>
      </c>
      <c r="B17" t="s">
        <v>293</v>
      </c>
      <c r="C17" t="s">
        <v>294</v>
      </c>
      <c r="D17">
        <v>2021</v>
      </c>
      <c r="E17" t="s">
        <v>260</v>
      </c>
      <c r="F17" t="s">
        <v>296</v>
      </c>
      <c r="G17" t="s">
        <v>297</v>
      </c>
      <c r="H17" t="s">
        <v>246</v>
      </c>
      <c r="I17" t="s">
        <v>15</v>
      </c>
      <c r="J17" t="s">
        <v>223</v>
      </c>
      <c r="K17" t="s">
        <v>295</v>
      </c>
      <c r="L17" t="s">
        <v>607</v>
      </c>
      <c r="M17" s="44"/>
      <c r="N17" s="4"/>
      <c r="Q17" s="54"/>
      <c r="T17" s="44"/>
      <c r="U17" s="44"/>
    </row>
    <row r="18" spans="1:21" ht="14.25" customHeight="1" x14ac:dyDescent="0.2">
      <c r="A18">
        <v>15</v>
      </c>
      <c r="B18" t="s">
        <v>298</v>
      </c>
      <c r="C18" t="s">
        <v>299</v>
      </c>
      <c r="D18">
        <v>2022</v>
      </c>
      <c r="E18" t="s">
        <v>226</v>
      </c>
      <c r="F18" t="s">
        <v>301</v>
      </c>
      <c r="G18">
        <v>0</v>
      </c>
      <c r="H18" t="s">
        <v>230</v>
      </c>
      <c r="I18" t="s">
        <v>15</v>
      </c>
      <c r="J18" t="s">
        <v>223</v>
      </c>
      <c r="K18" t="s">
        <v>300</v>
      </c>
      <c r="L18">
        <v>0</v>
      </c>
      <c r="M18" s="44"/>
      <c r="N18" s="4"/>
      <c r="Q18" s="54"/>
      <c r="T18" s="44"/>
      <c r="U18" s="44"/>
    </row>
    <row r="19" spans="1:21" ht="14.25" customHeight="1" x14ac:dyDescent="0.2">
      <c r="A19">
        <v>16</v>
      </c>
      <c r="B19" t="s">
        <v>302</v>
      </c>
      <c r="C19" t="s">
        <v>303</v>
      </c>
      <c r="D19">
        <v>2025</v>
      </c>
      <c r="E19" t="s">
        <v>241</v>
      </c>
      <c r="F19" t="s">
        <v>305</v>
      </c>
      <c r="G19" t="s">
        <v>306</v>
      </c>
      <c r="H19" t="s">
        <v>246</v>
      </c>
      <c r="I19" t="s">
        <v>15</v>
      </c>
      <c r="J19" t="s">
        <v>223</v>
      </c>
      <c r="K19" t="s">
        <v>304</v>
      </c>
      <c r="L19" t="s">
        <v>307</v>
      </c>
      <c r="M19" s="44"/>
      <c r="N19" s="4"/>
      <c r="Q19" s="54"/>
      <c r="T19" s="44"/>
      <c r="U19" s="44"/>
    </row>
    <row r="20" spans="1:21" ht="14.25" customHeight="1" x14ac:dyDescent="0.2">
      <c r="A20">
        <v>17</v>
      </c>
      <c r="B20" t="s">
        <v>308</v>
      </c>
      <c r="C20" t="s">
        <v>309</v>
      </c>
      <c r="D20">
        <v>2025</v>
      </c>
      <c r="E20" t="s">
        <v>241</v>
      </c>
      <c r="F20" t="s">
        <v>311</v>
      </c>
      <c r="G20" t="s">
        <v>312</v>
      </c>
      <c r="H20" t="s">
        <v>246</v>
      </c>
      <c r="I20" t="s">
        <v>15</v>
      </c>
      <c r="J20" t="s">
        <v>223</v>
      </c>
      <c r="K20" t="s">
        <v>310</v>
      </c>
      <c r="L20" t="s">
        <v>313</v>
      </c>
      <c r="M20" s="44"/>
      <c r="N20" s="4"/>
      <c r="Q20" s="54"/>
      <c r="T20" s="44"/>
      <c r="U20" s="44"/>
    </row>
    <row r="21" spans="1:21" ht="14.25" customHeight="1" x14ac:dyDescent="0.2">
      <c r="A21">
        <v>18</v>
      </c>
      <c r="B21" t="s">
        <v>314</v>
      </c>
      <c r="C21" t="s">
        <v>315</v>
      </c>
      <c r="D21">
        <v>2025</v>
      </c>
      <c r="E21" t="s">
        <v>260</v>
      </c>
      <c r="F21" t="s">
        <v>317</v>
      </c>
      <c r="G21" t="s">
        <v>318</v>
      </c>
      <c r="H21" t="s">
        <v>246</v>
      </c>
      <c r="I21" t="s">
        <v>15</v>
      </c>
      <c r="J21" t="s">
        <v>223</v>
      </c>
      <c r="K21" t="s">
        <v>316</v>
      </c>
      <c r="L21" t="s">
        <v>319</v>
      </c>
      <c r="M21" s="44"/>
      <c r="N21" s="4"/>
      <c r="Q21" s="54"/>
      <c r="T21" s="44"/>
      <c r="U21" s="44"/>
    </row>
    <row r="22" spans="1:21" ht="14.25" customHeight="1" x14ac:dyDescent="0.2">
      <c r="A22">
        <v>19</v>
      </c>
      <c r="B22" t="s">
        <v>320</v>
      </c>
      <c r="C22" t="s">
        <v>321</v>
      </c>
      <c r="D22">
        <v>2023</v>
      </c>
      <c r="E22" t="s">
        <v>219</v>
      </c>
      <c r="F22" t="s">
        <v>323</v>
      </c>
      <c r="G22" t="s">
        <v>324</v>
      </c>
      <c r="H22" t="s">
        <v>222</v>
      </c>
      <c r="I22" t="s">
        <v>15</v>
      </c>
      <c r="J22" t="s">
        <v>223</v>
      </c>
      <c r="K22" t="s">
        <v>322</v>
      </c>
      <c r="L22" t="s">
        <v>325</v>
      </c>
      <c r="M22" s="44"/>
      <c r="N22" s="4"/>
      <c r="Q22" s="54"/>
      <c r="T22" s="44"/>
      <c r="U22" s="44"/>
    </row>
    <row r="23" spans="1:21" ht="14.25" customHeight="1" x14ac:dyDescent="0.2">
      <c r="A23">
        <v>20</v>
      </c>
      <c r="B23" t="s">
        <v>326</v>
      </c>
      <c r="C23" t="s">
        <v>327</v>
      </c>
      <c r="D23">
        <v>2025</v>
      </c>
      <c r="E23" t="s">
        <v>233</v>
      </c>
      <c r="F23" t="s">
        <v>329</v>
      </c>
      <c r="G23" t="s">
        <v>330</v>
      </c>
      <c r="H23" t="s">
        <v>238</v>
      </c>
      <c r="I23" t="s">
        <v>15</v>
      </c>
      <c r="J23" t="s">
        <v>223</v>
      </c>
      <c r="K23" t="s">
        <v>328</v>
      </c>
      <c r="L23" t="s">
        <v>331</v>
      </c>
      <c r="M23" s="44"/>
      <c r="N23" s="4"/>
      <c r="Q23" s="54"/>
      <c r="T23" s="44"/>
      <c r="U23" s="44"/>
    </row>
    <row r="24" spans="1:21" ht="14.25" customHeight="1" x14ac:dyDescent="0.2">
      <c r="A24">
        <v>21</v>
      </c>
      <c r="B24" t="s">
        <v>332</v>
      </c>
      <c r="C24" t="s">
        <v>333</v>
      </c>
      <c r="D24">
        <v>2022</v>
      </c>
      <c r="E24" t="s">
        <v>226</v>
      </c>
      <c r="F24" t="s">
        <v>335</v>
      </c>
      <c r="G24">
        <v>0</v>
      </c>
      <c r="H24" t="s">
        <v>230</v>
      </c>
      <c r="I24" t="s">
        <v>15</v>
      </c>
      <c r="J24" t="s">
        <v>223</v>
      </c>
      <c r="K24" t="s">
        <v>334</v>
      </c>
      <c r="L24" t="s">
        <v>336</v>
      </c>
      <c r="M24" s="44"/>
      <c r="N24" s="4"/>
      <c r="Q24" s="54"/>
      <c r="T24" s="44"/>
      <c r="U24" s="44"/>
    </row>
    <row r="25" spans="1:21" ht="14.25" customHeight="1" x14ac:dyDescent="0.2">
      <c r="A25">
        <v>22</v>
      </c>
      <c r="B25" t="s">
        <v>337</v>
      </c>
      <c r="C25" t="s">
        <v>338</v>
      </c>
      <c r="D25">
        <v>2021</v>
      </c>
      <c r="E25" t="s">
        <v>226</v>
      </c>
      <c r="F25" t="s">
        <v>340</v>
      </c>
      <c r="G25">
        <v>0</v>
      </c>
      <c r="H25" t="s">
        <v>230</v>
      </c>
      <c r="I25" t="s">
        <v>15</v>
      </c>
      <c r="J25" t="s">
        <v>223</v>
      </c>
      <c r="K25" t="s">
        <v>339</v>
      </c>
      <c r="L25" t="s">
        <v>341</v>
      </c>
      <c r="M25" s="44"/>
      <c r="Q25" s="54"/>
      <c r="T25" s="44"/>
      <c r="U25" s="44"/>
    </row>
    <row r="26" spans="1:21" ht="14.25" customHeight="1" x14ac:dyDescent="0.2">
      <c r="A26">
        <v>23</v>
      </c>
      <c r="B26" t="s">
        <v>342</v>
      </c>
      <c r="C26" t="s">
        <v>343</v>
      </c>
      <c r="D26">
        <v>2024</v>
      </c>
      <c r="E26" t="s">
        <v>219</v>
      </c>
      <c r="F26" t="s">
        <v>345</v>
      </c>
      <c r="G26" t="s">
        <v>346</v>
      </c>
      <c r="H26" t="s">
        <v>222</v>
      </c>
      <c r="I26" t="s">
        <v>15</v>
      </c>
      <c r="J26" t="s">
        <v>223</v>
      </c>
      <c r="K26" t="s">
        <v>344</v>
      </c>
      <c r="L26" t="s">
        <v>347</v>
      </c>
      <c r="M26" s="44"/>
      <c r="Q26" s="54"/>
      <c r="T26" s="44"/>
      <c r="U26" s="44"/>
    </row>
    <row r="27" spans="1:21" ht="14.25" customHeight="1" x14ac:dyDescent="0.2">
      <c r="A27">
        <v>24</v>
      </c>
      <c r="B27" t="s">
        <v>348</v>
      </c>
      <c r="C27" t="s">
        <v>349</v>
      </c>
      <c r="D27">
        <v>2022</v>
      </c>
      <c r="E27" t="s">
        <v>219</v>
      </c>
      <c r="F27" t="s">
        <v>351</v>
      </c>
      <c r="G27" t="s">
        <v>352</v>
      </c>
      <c r="H27" t="s">
        <v>222</v>
      </c>
      <c r="I27" t="s">
        <v>15</v>
      </c>
      <c r="J27" t="s">
        <v>223</v>
      </c>
      <c r="K27" t="s">
        <v>350</v>
      </c>
      <c r="L27" t="s">
        <v>353</v>
      </c>
      <c r="M27" s="44"/>
      <c r="Q27" s="54"/>
      <c r="T27" s="44"/>
      <c r="U27" s="44"/>
    </row>
    <row r="28" spans="1:21" ht="14.25" customHeight="1" x14ac:dyDescent="0.2">
      <c r="A28">
        <v>25</v>
      </c>
      <c r="B28" t="s">
        <v>354</v>
      </c>
      <c r="C28" t="s">
        <v>355</v>
      </c>
      <c r="D28">
        <v>2023</v>
      </c>
      <c r="E28" t="s">
        <v>226</v>
      </c>
      <c r="F28" t="s">
        <v>608</v>
      </c>
      <c r="G28">
        <v>0</v>
      </c>
      <c r="H28" t="s">
        <v>230</v>
      </c>
      <c r="I28" t="s">
        <v>15</v>
      </c>
      <c r="J28" t="s">
        <v>223</v>
      </c>
      <c r="K28" t="s">
        <v>356</v>
      </c>
      <c r="L28" t="s">
        <v>357</v>
      </c>
      <c r="M28" s="44"/>
      <c r="Q28" s="54"/>
      <c r="T28" s="44"/>
      <c r="U28" s="44"/>
    </row>
    <row r="29" spans="1:21" ht="14.25" customHeight="1" x14ac:dyDescent="0.2">
      <c r="A29">
        <v>26</v>
      </c>
      <c r="B29" t="s">
        <v>358</v>
      </c>
      <c r="C29" t="s">
        <v>359</v>
      </c>
      <c r="D29">
        <v>2025</v>
      </c>
      <c r="E29" t="s">
        <v>226</v>
      </c>
      <c r="F29" t="s">
        <v>361</v>
      </c>
      <c r="G29">
        <v>0</v>
      </c>
      <c r="H29" t="s">
        <v>230</v>
      </c>
      <c r="I29" t="s">
        <v>15</v>
      </c>
      <c r="J29" t="s">
        <v>223</v>
      </c>
      <c r="K29" t="s">
        <v>360</v>
      </c>
      <c r="L29" t="s">
        <v>362</v>
      </c>
      <c r="M29" s="44"/>
      <c r="Q29" s="54"/>
      <c r="T29" s="44"/>
      <c r="U29" s="44"/>
    </row>
    <row r="30" spans="1:21" ht="14.25" customHeight="1" x14ac:dyDescent="0.2">
      <c r="A30">
        <v>27</v>
      </c>
      <c r="B30" t="s">
        <v>363</v>
      </c>
      <c r="C30" t="s">
        <v>364</v>
      </c>
      <c r="D30">
        <v>2025</v>
      </c>
      <c r="E30" t="s">
        <v>226</v>
      </c>
      <c r="F30" t="s">
        <v>366</v>
      </c>
      <c r="G30">
        <v>0</v>
      </c>
      <c r="H30" t="s">
        <v>230</v>
      </c>
      <c r="I30" t="s">
        <v>15</v>
      </c>
      <c r="J30" t="s">
        <v>223</v>
      </c>
      <c r="K30" t="s">
        <v>365</v>
      </c>
      <c r="L30" t="s">
        <v>367</v>
      </c>
      <c r="M30" s="44"/>
      <c r="Q30" s="54"/>
      <c r="T30" s="44"/>
      <c r="U30" s="44"/>
    </row>
    <row r="31" spans="1:21" ht="14.25" customHeight="1" x14ac:dyDescent="0.2">
      <c r="A31">
        <v>28</v>
      </c>
      <c r="B31" t="s">
        <v>368</v>
      </c>
      <c r="C31" t="s">
        <v>369</v>
      </c>
      <c r="D31">
        <v>2023</v>
      </c>
      <c r="E31" t="s">
        <v>226</v>
      </c>
      <c r="F31" t="s">
        <v>371</v>
      </c>
      <c r="G31">
        <v>0</v>
      </c>
      <c r="H31" t="s">
        <v>230</v>
      </c>
      <c r="I31" t="s">
        <v>15</v>
      </c>
      <c r="J31" t="s">
        <v>223</v>
      </c>
      <c r="K31" t="s">
        <v>370</v>
      </c>
      <c r="L31" t="s">
        <v>372</v>
      </c>
      <c r="M31" s="44"/>
      <c r="Q31" s="54"/>
      <c r="T31" s="44"/>
      <c r="U31" s="44"/>
    </row>
    <row r="32" spans="1:21" ht="14.25" customHeight="1" x14ac:dyDescent="0.2">
      <c r="A32">
        <v>29</v>
      </c>
      <c r="B32" t="s">
        <v>373</v>
      </c>
      <c r="C32" t="s">
        <v>374</v>
      </c>
      <c r="D32">
        <v>2024</v>
      </c>
      <c r="E32" t="s">
        <v>260</v>
      </c>
      <c r="F32" t="s">
        <v>376</v>
      </c>
      <c r="G32" t="s">
        <v>377</v>
      </c>
      <c r="H32" t="s">
        <v>246</v>
      </c>
      <c r="I32" t="s">
        <v>15</v>
      </c>
      <c r="J32" t="s">
        <v>223</v>
      </c>
      <c r="K32" t="s">
        <v>375</v>
      </c>
      <c r="L32">
        <v>0</v>
      </c>
      <c r="M32" s="44"/>
      <c r="Q32" s="54"/>
      <c r="T32" s="44"/>
      <c r="U32" s="44"/>
    </row>
    <row r="33" spans="1:21" ht="14.25" customHeight="1" x14ac:dyDescent="0.2">
      <c r="A33">
        <v>30</v>
      </c>
      <c r="B33" t="s">
        <v>378</v>
      </c>
      <c r="C33" t="s">
        <v>379</v>
      </c>
      <c r="D33">
        <v>2025</v>
      </c>
      <c r="E33" t="s">
        <v>226</v>
      </c>
      <c r="F33" t="s">
        <v>381</v>
      </c>
      <c r="G33">
        <v>0</v>
      </c>
      <c r="H33" t="s">
        <v>230</v>
      </c>
      <c r="I33" t="s">
        <v>15</v>
      </c>
      <c r="J33" t="s">
        <v>223</v>
      </c>
      <c r="K33" t="s">
        <v>380</v>
      </c>
      <c r="L33" t="s">
        <v>382</v>
      </c>
      <c r="M33" s="44"/>
      <c r="Q33" s="54"/>
      <c r="T33" s="44"/>
      <c r="U33" s="44"/>
    </row>
    <row r="34" spans="1:21" ht="14.25" customHeight="1" x14ac:dyDescent="0.2">
      <c r="A34">
        <v>31</v>
      </c>
      <c r="B34" t="s">
        <v>383</v>
      </c>
      <c r="C34" t="s">
        <v>384</v>
      </c>
      <c r="D34">
        <v>2022</v>
      </c>
      <c r="E34" t="s">
        <v>260</v>
      </c>
      <c r="F34" t="s">
        <v>386</v>
      </c>
      <c r="G34" t="s">
        <v>387</v>
      </c>
      <c r="H34" t="s">
        <v>246</v>
      </c>
      <c r="I34" t="s">
        <v>15</v>
      </c>
      <c r="J34" t="s">
        <v>223</v>
      </c>
      <c r="K34" t="s">
        <v>385</v>
      </c>
      <c r="L34" t="s">
        <v>388</v>
      </c>
      <c r="M34" s="44"/>
      <c r="Q34" s="54"/>
    </row>
    <row r="35" spans="1:21" ht="14.25" customHeight="1" x14ac:dyDescent="0.2">
      <c r="A35">
        <v>32</v>
      </c>
      <c r="B35" t="s">
        <v>389</v>
      </c>
      <c r="C35" t="s">
        <v>390</v>
      </c>
      <c r="D35">
        <v>2022</v>
      </c>
      <c r="E35" t="s">
        <v>260</v>
      </c>
      <c r="F35" t="s">
        <v>392</v>
      </c>
      <c r="G35">
        <v>0</v>
      </c>
      <c r="H35" t="s">
        <v>246</v>
      </c>
      <c r="I35" t="s">
        <v>15</v>
      </c>
      <c r="J35" t="s">
        <v>223</v>
      </c>
      <c r="K35" t="s">
        <v>391</v>
      </c>
      <c r="L35" t="s">
        <v>393</v>
      </c>
      <c r="Q35" s="54"/>
    </row>
    <row r="36" spans="1:21" ht="14.25" customHeight="1" x14ac:dyDescent="0.2">
      <c r="A36">
        <v>33</v>
      </c>
      <c r="B36" t="s">
        <v>394</v>
      </c>
      <c r="C36" t="s">
        <v>395</v>
      </c>
      <c r="D36">
        <v>2024</v>
      </c>
      <c r="E36" t="s">
        <v>226</v>
      </c>
      <c r="F36" t="s">
        <v>397</v>
      </c>
      <c r="G36">
        <v>0</v>
      </c>
      <c r="H36" t="s">
        <v>230</v>
      </c>
      <c r="I36" t="s">
        <v>15</v>
      </c>
      <c r="J36" t="s">
        <v>223</v>
      </c>
      <c r="K36" t="s">
        <v>396</v>
      </c>
      <c r="L36" t="s">
        <v>398</v>
      </c>
      <c r="Q36" s="54"/>
    </row>
    <row r="37" spans="1:21" ht="14.25" customHeight="1" x14ac:dyDescent="0.2">
      <c r="A37">
        <v>34</v>
      </c>
      <c r="B37" t="s">
        <v>399</v>
      </c>
      <c r="C37" t="s">
        <v>400</v>
      </c>
      <c r="D37">
        <v>2022</v>
      </c>
      <c r="E37" t="s">
        <v>260</v>
      </c>
      <c r="F37" t="s">
        <v>402</v>
      </c>
      <c r="G37" t="s">
        <v>403</v>
      </c>
      <c r="H37" t="s">
        <v>246</v>
      </c>
      <c r="I37" t="s">
        <v>15</v>
      </c>
      <c r="J37" t="s">
        <v>223</v>
      </c>
      <c r="K37" t="s">
        <v>401</v>
      </c>
      <c r="L37" t="s">
        <v>609</v>
      </c>
      <c r="Q37" s="54"/>
    </row>
    <row r="38" spans="1:21" ht="14.25" customHeight="1" x14ac:dyDescent="0.2">
      <c r="A38">
        <v>35</v>
      </c>
      <c r="B38" t="s">
        <v>404</v>
      </c>
      <c r="C38" t="s">
        <v>405</v>
      </c>
      <c r="D38">
        <v>2022</v>
      </c>
      <c r="E38" t="s">
        <v>260</v>
      </c>
      <c r="F38" t="s">
        <v>407</v>
      </c>
      <c r="G38" t="s">
        <v>408</v>
      </c>
      <c r="H38" t="s">
        <v>246</v>
      </c>
      <c r="I38" t="s">
        <v>15</v>
      </c>
      <c r="J38" t="s">
        <v>223</v>
      </c>
      <c r="K38" t="s">
        <v>406</v>
      </c>
      <c r="L38" t="s">
        <v>610</v>
      </c>
      <c r="Q38" s="54"/>
    </row>
    <row r="39" spans="1:21" ht="14.25" customHeight="1" x14ac:dyDescent="0.2">
      <c r="A39">
        <v>36</v>
      </c>
      <c r="B39" t="s">
        <v>409</v>
      </c>
      <c r="C39" t="s">
        <v>410</v>
      </c>
      <c r="D39">
        <v>2025</v>
      </c>
      <c r="E39" t="s">
        <v>233</v>
      </c>
      <c r="F39" t="s">
        <v>412</v>
      </c>
      <c r="G39" t="s">
        <v>413</v>
      </c>
      <c r="H39" t="s">
        <v>238</v>
      </c>
      <c r="I39" t="s">
        <v>15</v>
      </c>
      <c r="J39" t="s">
        <v>223</v>
      </c>
      <c r="K39" t="s">
        <v>411</v>
      </c>
      <c r="L39" t="s">
        <v>414</v>
      </c>
      <c r="Q39" s="54"/>
    </row>
    <row r="40" spans="1:21" ht="14.25" customHeight="1" x14ac:dyDescent="0.2">
      <c r="A40">
        <v>37</v>
      </c>
      <c r="B40" t="s">
        <v>415</v>
      </c>
      <c r="C40" t="s">
        <v>416</v>
      </c>
      <c r="D40">
        <v>2026</v>
      </c>
      <c r="E40" t="s">
        <v>233</v>
      </c>
      <c r="F40" t="s">
        <v>418</v>
      </c>
      <c r="G40" t="s">
        <v>419</v>
      </c>
      <c r="H40" t="s">
        <v>238</v>
      </c>
      <c r="I40" t="s">
        <v>15</v>
      </c>
      <c r="J40" t="s">
        <v>223</v>
      </c>
      <c r="K40" t="s">
        <v>417</v>
      </c>
      <c r="L40" t="s">
        <v>420</v>
      </c>
      <c r="Q40" s="54"/>
    </row>
    <row r="41" spans="1:21" ht="14.25" customHeight="1" x14ac:dyDescent="0.2">
      <c r="A41">
        <v>38</v>
      </c>
      <c r="B41" t="s">
        <v>421</v>
      </c>
      <c r="C41" t="s">
        <v>422</v>
      </c>
      <c r="D41">
        <v>2024</v>
      </c>
      <c r="E41" t="s">
        <v>219</v>
      </c>
      <c r="F41" t="s">
        <v>424</v>
      </c>
      <c r="G41" t="s">
        <v>425</v>
      </c>
      <c r="H41" t="s">
        <v>222</v>
      </c>
      <c r="I41" t="s">
        <v>15</v>
      </c>
      <c r="J41" t="s">
        <v>223</v>
      </c>
      <c r="K41" t="s">
        <v>423</v>
      </c>
      <c r="L41" t="s">
        <v>426</v>
      </c>
      <c r="Q41" s="54"/>
    </row>
    <row r="42" spans="1:21" ht="14.25" customHeight="1" x14ac:dyDescent="0.2">
      <c r="A42">
        <v>39</v>
      </c>
      <c r="B42" t="s">
        <v>427</v>
      </c>
      <c r="C42" t="s">
        <v>428</v>
      </c>
      <c r="D42">
        <v>2022</v>
      </c>
      <c r="E42" t="s">
        <v>260</v>
      </c>
      <c r="F42" t="s">
        <v>430</v>
      </c>
      <c r="G42" t="s">
        <v>431</v>
      </c>
      <c r="H42" t="s">
        <v>246</v>
      </c>
      <c r="I42" t="s">
        <v>15</v>
      </c>
      <c r="J42" t="s">
        <v>223</v>
      </c>
      <c r="K42" t="s">
        <v>429</v>
      </c>
      <c r="L42" t="s">
        <v>432</v>
      </c>
      <c r="Q42" s="54"/>
    </row>
    <row r="43" spans="1:21" ht="14.25" customHeight="1" x14ac:dyDescent="0.2">
      <c r="A43">
        <v>40</v>
      </c>
      <c r="B43" t="s">
        <v>433</v>
      </c>
      <c r="C43" t="s">
        <v>434</v>
      </c>
      <c r="D43">
        <v>2022</v>
      </c>
      <c r="E43" t="s">
        <v>219</v>
      </c>
      <c r="F43" t="s">
        <v>436</v>
      </c>
      <c r="G43" t="s">
        <v>437</v>
      </c>
      <c r="H43" t="s">
        <v>222</v>
      </c>
      <c r="I43" t="s">
        <v>15</v>
      </c>
      <c r="J43" t="s">
        <v>223</v>
      </c>
      <c r="K43" t="s">
        <v>435</v>
      </c>
      <c r="L43" t="s">
        <v>438</v>
      </c>
      <c r="Q43" s="54"/>
    </row>
    <row r="44" spans="1:21" ht="14.25" customHeight="1" x14ac:dyDescent="0.2">
      <c r="A44">
        <v>41</v>
      </c>
      <c r="B44" t="s">
        <v>439</v>
      </c>
      <c r="C44" t="s">
        <v>440</v>
      </c>
      <c r="D44">
        <v>2026</v>
      </c>
      <c r="E44" t="s">
        <v>219</v>
      </c>
      <c r="F44" t="s">
        <v>442</v>
      </c>
      <c r="G44" t="s">
        <v>443</v>
      </c>
      <c r="H44" t="s">
        <v>222</v>
      </c>
      <c r="I44" t="s">
        <v>15</v>
      </c>
      <c r="J44" t="s">
        <v>223</v>
      </c>
      <c r="K44" t="s">
        <v>441</v>
      </c>
      <c r="L44" t="s">
        <v>444</v>
      </c>
      <c r="Q44" s="54"/>
    </row>
    <row r="45" spans="1:21" ht="14.25" customHeight="1" x14ac:dyDescent="0.2">
      <c r="A45">
        <v>42</v>
      </c>
      <c r="B45" t="s">
        <v>445</v>
      </c>
      <c r="C45" t="s">
        <v>446</v>
      </c>
      <c r="D45">
        <v>2023</v>
      </c>
      <c r="E45" t="s">
        <v>219</v>
      </c>
      <c r="F45" t="s">
        <v>448</v>
      </c>
      <c r="G45" t="s">
        <v>449</v>
      </c>
      <c r="H45" t="s">
        <v>222</v>
      </c>
      <c r="I45" t="s">
        <v>15</v>
      </c>
      <c r="J45" t="s">
        <v>223</v>
      </c>
      <c r="K45" t="s">
        <v>447</v>
      </c>
      <c r="L45" t="s">
        <v>450</v>
      </c>
      <c r="Q45" s="54"/>
    </row>
    <row r="46" spans="1:21" ht="14.25" customHeight="1" x14ac:dyDescent="0.2">
      <c r="A46">
        <v>43</v>
      </c>
      <c r="B46" t="s">
        <v>451</v>
      </c>
      <c r="C46" t="s">
        <v>452</v>
      </c>
      <c r="D46">
        <v>2026</v>
      </c>
      <c r="E46" t="s">
        <v>241</v>
      </c>
      <c r="F46" t="s">
        <v>454</v>
      </c>
      <c r="G46" t="s">
        <v>455</v>
      </c>
      <c r="H46" t="s">
        <v>246</v>
      </c>
      <c r="I46" t="s">
        <v>15</v>
      </c>
      <c r="J46" t="s">
        <v>223</v>
      </c>
      <c r="K46" t="s">
        <v>453</v>
      </c>
      <c r="L46" t="s">
        <v>456</v>
      </c>
      <c r="Q46" s="54"/>
    </row>
    <row r="47" spans="1:21" ht="14.25" customHeight="1" x14ac:dyDescent="0.2">
      <c r="A47">
        <v>44</v>
      </c>
      <c r="B47" t="s">
        <v>457</v>
      </c>
      <c r="C47" t="s">
        <v>458</v>
      </c>
      <c r="D47">
        <v>2021</v>
      </c>
      <c r="E47" t="s">
        <v>233</v>
      </c>
      <c r="F47" t="s">
        <v>460</v>
      </c>
      <c r="G47" t="s">
        <v>461</v>
      </c>
      <c r="H47" t="s">
        <v>238</v>
      </c>
      <c r="I47" t="s">
        <v>15</v>
      </c>
      <c r="J47" t="s">
        <v>223</v>
      </c>
      <c r="K47" t="s">
        <v>459</v>
      </c>
      <c r="L47" t="s">
        <v>462</v>
      </c>
      <c r="Q47" s="54"/>
    </row>
    <row r="48" spans="1:21" ht="14.25" customHeight="1" x14ac:dyDescent="0.2">
      <c r="A48">
        <v>45</v>
      </c>
      <c r="B48" t="s">
        <v>463</v>
      </c>
      <c r="C48" t="s">
        <v>464</v>
      </c>
      <c r="D48">
        <v>2025</v>
      </c>
      <c r="E48" t="s">
        <v>241</v>
      </c>
      <c r="F48" t="s">
        <v>466</v>
      </c>
      <c r="G48" t="s">
        <v>467</v>
      </c>
      <c r="H48" t="s">
        <v>246</v>
      </c>
      <c r="I48" t="s">
        <v>15</v>
      </c>
      <c r="J48" t="s">
        <v>223</v>
      </c>
      <c r="K48" t="s">
        <v>465</v>
      </c>
      <c r="L48" t="s">
        <v>468</v>
      </c>
      <c r="Q48" s="54"/>
    </row>
    <row r="49" spans="1:17" ht="14.25" customHeight="1" x14ac:dyDescent="0.2">
      <c r="A49">
        <v>46</v>
      </c>
      <c r="B49" t="s">
        <v>469</v>
      </c>
      <c r="C49" t="s">
        <v>470</v>
      </c>
      <c r="D49">
        <v>2022</v>
      </c>
      <c r="E49" t="s">
        <v>233</v>
      </c>
      <c r="F49" t="s">
        <v>472</v>
      </c>
      <c r="G49" t="s">
        <v>473</v>
      </c>
      <c r="H49" t="s">
        <v>238</v>
      </c>
      <c r="I49" t="s">
        <v>15</v>
      </c>
      <c r="J49" t="s">
        <v>223</v>
      </c>
      <c r="K49" t="s">
        <v>471</v>
      </c>
      <c r="L49" t="s">
        <v>611</v>
      </c>
      <c r="Q49" s="54"/>
    </row>
    <row r="50" spans="1:17" ht="14.25" customHeight="1" x14ac:dyDescent="0.2">
      <c r="A50">
        <v>47</v>
      </c>
      <c r="B50" t="s">
        <v>474</v>
      </c>
      <c r="C50" t="s">
        <v>475</v>
      </c>
      <c r="D50">
        <v>2024</v>
      </c>
      <c r="E50" t="s">
        <v>233</v>
      </c>
      <c r="F50" t="s">
        <v>477</v>
      </c>
      <c r="G50" t="s">
        <v>478</v>
      </c>
      <c r="H50" t="s">
        <v>238</v>
      </c>
      <c r="I50" t="s">
        <v>15</v>
      </c>
      <c r="J50" t="s">
        <v>223</v>
      </c>
      <c r="K50" t="s">
        <v>476</v>
      </c>
      <c r="L50" t="s">
        <v>479</v>
      </c>
      <c r="Q50" s="54"/>
    </row>
    <row r="51" spans="1:17" ht="14.25" customHeight="1" x14ac:dyDescent="0.2">
      <c r="A51">
        <v>48</v>
      </c>
      <c r="B51" t="s">
        <v>480</v>
      </c>
      <c r="C51" t="s">
        <v>481</v>
      </c>
      <c r="D51">
        <v>2026</v>
      </c>
      <c r="E51" t="s">
        <v>241</v>
      </c>
      <c r="F51" t="s">
        <v>483</v>
      </c>
      <c r="G51" t="s">
        <v>484</v>
      </c>
      <c r="H51" t="s">
        <v>246</v>
      </c>
      <c r="I51" t="s">
        <v>15</v>
      </c>
      <c r="J51" t="s">
        <v>223</v>
      </c>
      <c r="K51" t="s">
        <v>482</v>
      </c>
      <c r="L51" t="s">
        <v>485</v>
      </c>
      <c r="Q51" s="54"/>
    </row>
    <row r="52" spans="1:17" ht="14.25" customHeight="1" x14ac:dyDescent="0.2">
      <c r="A52">
        <v>49</v>
      </c>
      <c r="B52" t="s">
        <v>486</v>
      </c>
      <c r="C52" t="s">
        <v>487</v>
      </c>
      <c r="D52">
        <v>2025</v>
      </c>
      <c r="E52" t="s">
        <v>241</v>
      </c>
      <c r="F52" t="s">
        <v>489</v>
      </c>
      <c r="G52" t="s">
        <v>490</v>
      </c>
      <c r="H52" t="s">
        <v>246</v>
      </c>
      <c r="I52" t="s">
        <v>15</v>
      </c>
      <c r="J52" t="s">
        <v>223</v>
      </c>
      <c r="K52" t="s">
        <v>488</v>
      </c>
      <c r="L52" t="s">
        <v>491</v>
      </c>
      <c r="Q52" s="54"/>
    </row>
    <row r="53" spans="1:17" ht="14.25" customHeight="1" x14ac:dyDescent="0.2">
      <c r="A53">
        <v>50</v>
      </c>
      <c r="B53" t="s">
        <v>492</v>
      </c>
      <c r="C53" t="s">
        <v>493</v>
      </c>
      <c r="D53">
        <v>2023</v>
      </c>
      <c r="E53" t="s">
        <v>260</v>
      </c>
      <c r="F53" t="s">
        <v>495</v>
      </c>
      <c r="G53" t="s">
        <v>496</v>
      </c>
      <c r="H53" t="s">
        <v>246</v>
      </c>
      <c r="I53" t="s">
        <v>15</v>
      </c>
      <c r="J53" t="s">
        <v>223</v>
      </c>
      <c r="K53" t="s">
        <v>494</v>
      </c>
      <c r="L53" t="s">
        <v>497</v>
      </c>
      <c r="Q53" s="54"/>
    </row>
    <row r="54" spans="1:17" ht="14.25" customHeight="1" x14ac:dyDescent="0.2">
      <c r="A54">
        <v>51</v>
      </c>
      <c r="B54" t="s">
        <v>498</v>
      </c>
      <c r="C54" t="s">
        <v>499</v>
      </c>
      <c r="D54">
        <v>2025</v>
      </c>
      <c r="E54" t="s">
        <v>219</v>
      </c>
      <c r="F54" t="s">
        <v>612</v>
      </c>
      <c r="G54" t="s">
        <v>501</v>
      </c>
      <c r="H54" t="s">
        <v>222</v>
      </c>
      <c r="I54" t="s">
        <v>15</v>
      </c>
      <c r="J54" t="s">
        <v>223</v>
      </c>
      <c r="K54" t="s">
        <v>500</v>
      </c>
      <c r="L54" t="s">
        <v>502</v>
      </c>
      <c r="Q54" s="54"/>
    </row>
    <row r="55" spans="1:17" ht="14.25" customHeight="1" x14ac:dyDescent="0.2">
      <c r="A55">
        <v>52</v>
      </c>
      <c r="B55" t="s">
        <v>503</v>
      </c>
      <c r="C55" t="s">
        <v>504</v>
      </c>
      <c r="D55">
        <v>2025</v>
      </c>
      <c r="E55" t="s">
        <v>260</v>
      </c>
      <c r="F55" t="s">
        <v>506</v>
      </c>
      <c r="G55" t="s">
        <v>507</v>
      </c>
      <c r="H55" t="s">
        <v>246</v>
      </c>
      <c r="I55" t="s">
        <v>15</v>
      </c>
      <c r="J55" t="s">
        <v>223</v>
      </c>
      <c r="K55" t="s">
        <v>505</v>
      </c>
      <c r="L55" t="s">
        <v>508</v>
      </c>
      <c r="Q55" s="54"/>
    </row>
    <row r="56" spans="1:17" ht="14.25" customHeight="1" x14ac:dyDescent="0.2">
      <c r="A56">
        <v>53</v>
      </c>
      <c r="B56" t="s">
        <v>509</v>
      </c>
      <c r="C56" t="s">
        <v>510</v>
      </c>
      <c r="D56">
        <v>2023</v>
      </c>
      <c r="E56" t="s">
        <v>226</v>
      </c>
      <c r="F56" t="s">
        <v>512</v>
      </c>
      <c r="G56">
        <v>0</v>
      </c>
      <c r="H56" t="s">
        <v>230</v>
      </c>
      <c r="I56" t="s">
        <v>15</v>
      </c>
      <c r="J56" t="s">
        <v>223</v>
      </c>
      <c r="K56" t="s">
        <v>511</v>
      </c>
      <c r="L56" t="s">
        <v>613</v>
      </c>
      <c r="Q56" s="54"/>
    </row>
    <row r="57" spans="1:17" ht="14.25" customHeight="1" x14ac:dyDescent="0.2">
      <c r="A57">
        <v>54</v>
      </c>
      <c r="B57" t="s">
        <v>513</v>
      </c>
      <c r="C57" t="s">
        <v>514</v>
      </c>
      <c r="D57">
        <v>2026</v>
      </c>
      <c r="E57" t="s">
        <v>241</v>
      </c>
      <c r="F57" t="s">
        <v>516</v>
      </c>
      <c r="G57" t="s">
        <v>517</v>
      </c>
      <c r="H57" t="s">
        <v>246</v>
      </c>
      <c r="I57" t="s">
        <v>15</v>
      </c>
      <c r="J57" t="s">
        <v>223</v>
      </c>
      <c r="K57" t="s">
        <v>515</v>
      </c>
      <c r="L57" t="s">
        <v>518</v>
      </c>
      <c r="Q57" s="54"/>
    </row>
    <row r="58" spans="1:17" ht="14.25" customHeight="1" x14ac:dyDescent="0.2">
      <c r="A58">
        <v>55</v>
      </c>
      <c r="B58" t="s">
        <v>519</v>
      </c>
      <c r="C58" t="s">
        <v>520</v>
      </c>
      <c r="D58">
        <v>2023</v>
      </c>
      <c r="E58" t="s">
        <v>226</v>
      </c>
      <c r="F58" t="s">
        <v>522</v>
      </c>
      <c r="G58">
        <v>0</v>
      </c>
      <c r="H58" t="s">
        <v>230</v>
      </c>
      <c r="I58" t="s">
        <v>15</v>
      </c>
      <c r="J58" t="s">
        <v>223</v>
      </c>
      <c r="K58" t="s">
        <v>521</v>
      </c>
      <c r="L58" t="s">
        <v>614</v>
      </c>
      <c r="Q58" s="54"/>
    </row>
    <row r="59" spans="1:17" ht="14.25" customHeight="1" x14ac:dyDescent="0.2">
      <c r="A59">
        <v>56</v>
      </c>
      <c r="B59" t="s">
        <v>523</v>
      </c>
      <c r="C59" t="s">
        <v>524</v>
      </c>
      <c r="D59">
        <v>2023</v>
      </c>
      <c r="E59" t="s">
        <v>226</v>
      </c>
      <c r="F59" t="s">
        <v>526</v>
      </c>
      <c r="G59">
        <v>0</v>
      </c>
      <c r="H59" t="s">
        <v>230</v>
      </c>
      <c r="I59" t="s">
        <v>15</v>
      </c>
      <c r="J59" t="s">
        <v>223</v>
      </c>
      <c r="K59" t="s">
        <v>525</v>
      </c>
      <c r="L59" t="s">
        <v>527</v>
      </c>
      <c r="Q59" s="54"/>
    </row>
    <row r="60" spans="1:17" ht="14.25" customHeight="1" x14ac:dyDescent="0.2">
      <c r="A60">
        <v>57</v>
      </c>
      <c r="B60" t="s">
        <v>528</v>
      </c>
      <c r="C60" t="s">
        <v>529</v>
      </c>
      <c r="D60">
        <v>2021</v>
      </c>
      <c r="E60" t="s">
        <v>241</v>
      </c>
      <c r="F60" t="s">
        <v>531</v>
      </c>
      <c r="G60" t="s">
        <v>532</v>
      </c>
      <c r="H60" t="s">
        <v>246</v>
      </c>
      <c r="I60" t="s">
        <v>15</v>
      </c>
      <c r="J60" t="s">
        <v>223</v>
      </c>
      <c r="K60" t="s">
        <v>530</v>
      </c>
      <c r="L60" t="s">
        <v>533</v>
      </c>
      <c r="Q60" s="54"/>
    </row>
    <row r="61" spans="1:17" ht="14.25" customHeight="1" x14ac:dyDescent="0.2">
      <c r="A61">
        <v>58</v>
      </c>
      <c r="B61" t="s">
        <v>534</v>
      </c>
      <c r="C61" t="s">
        <v>535</v>
      </c>
      <c r="D61">
        <v>2025</v>
      </c>
      <c r="E61" t="s">
        <v>260</v>
      </c>
      <c r="F61" t="s">
        <v>537</v>
      </c>
      <c r="G61" t="s">
        <v>538</v>
      </c>
      <c r="H61" t="s">
        <v>246</v>
      </c>
      <c r="I61" t="s">
        <v>15</v>
      </c>
      <c r="J61" t="s">
        <v>223</v>
      </c>
      <c r="K61" t="s">
        <v>536</v>
      </c>
      <c r="L61" t="s">
        <v>539</v>
      </c>
      <c r="Q61" s="54"/>
    </row>
    <row r="62" spans="1:17" ht="14.25" customHeight="1" x14ac:dyDescent="0.2">
      <c r="A62">
        <v>59</v>
      </c>
      <c r="B62" t="s">
        <v>540</v>
      </c>
      <c r="C62" t="s">
        <v>541</v>
      </c>
      <c r="D62">
        <v>2025</v>
      </c>
      <c r="E62" t="s">
        <v>219</v>
      </c>
      <c r="F62" t="s">
        <v>543</v>
      </c>
      <c r="G62" t="s">
        <v>544</v>
      </c>
      <c r="H62" t="s">
        <v>222</v>
      </c>
      <c r="I62" t="s">
        <v>15</v>
      </c>
      <c r="J62" t="s">
        <v>223</v>
      </c>
      <c r="K62" t="s">
        <v>542</v>
      </c>
      <c r="L62" t="s">
        <v>545</v>
      </c>
      <c r="Q62" s="54"/>
    </row>
    <row r="63" spans="1:17" ht="14.25" customHeight="1" x14ac:dyDescent="0.2">
      <c r="A63">
        <v>60</v>
      </c>
      <c r="B63" t="s">
        <v>546</v>
      </c>
      <c r="C63" t="s">
        <v>547</v>
      </c>
      <c r="D63">
        <v>2024</v>
      </c>
      <c r="E63" t="s">
        <v>219</v>
      </c>
      <c r="F63" t="s">
        <v>549</v>
      </c>
      <c r="G63" t="s">
        <v>550</v>
      </c>
      <c r="H63" t="s">
        <v>222</v>
      </c>
      <c r="I63" t="s">
        <v>15</v>
      </c>
      <c r="J63" t="s">
        <v>223</v>
      </c>
      <c r="K63" t="s">
        <v>548</v>
      </c>
      <c r="L63" t="s">
        <v>551</v>
      </c>
      <c r="Q63" s="54"/>
    </row>
    <row r="64" spans="1:17" ht="14.25" customHeight="1" x14ac:dyDescent="0.2">
      <c r="A64">
        <v>61</v>
      </c>
      <c r="B64" t="s">
        <v>552</v>
      </c>
      <c r="C64" t="s">
        <v>553</v>
      </c>
      <c r="D64">
        <v>2023</v>
      </c>
      <c r="E64" t="s">
        <v>241</v>
      </c>
      <c r="F64" t="s">
        <v>555</v>
      </c>
      <c r="G64" t="s">
        <v>556</v>
      </c>
      <c r="H64" t="s">
        <v>246</v>
      </c>
      <c r="I64" t="s">
        <v>15</v>
      </c>
      <c r="J64" t="s">
        <v>223</v>
      </c>
      <c r="K64" t="s">
        <v>554</v>
      </c>
      <c r="L64" t="s">
        <v>557</v>
      </c>
      <c r="Q64" s="54"/>
    </row>
    <row r="65" spans="1:17" ht="14.25" customHeight="1" x14ac:dyDescent="0.2">
      <c r="A65">
        <v>62</v>
      </c>
      <c r="B65" t="s">
        <v>558</v>
      </c>
      <c r="C65" t="s">
        <v>559</v>
      </c>
      <c r="D65">
        <v>2025</v>
      </c>
      <c r="E65" t="s">
        <v>233</v>
      </c>
      <c r="F65" t="s">
        <v>561</v>
      </c>
      <c r="G65" t="s">
        <v>562</v>
      </c>
      <c r="H65" t="s">
        <v>238</v>
      </c>
      <c r="I65" t="s">
        <v>15</v>
      </c>
      <c r="J65" t="s">
        <v>223</v>
      </c>
      <c r="K65" t="s">
        <v>560</v>
      </c>
      <c r="L65" t="s">
        <v>563</v>
      </c>
      <c r="Q65" s="54"/>
    </row>
    <row r="66" spans="1:17" ht="14.25" customHeight="1" x14ac:dyDescent="0.2">
      <c r="A66">
        <v>63</v>
      </c>
      <c r="B66" t="s">
        <v>564</v>
      </c>
      <c r="C66" t="s">
        <v>565</v>
      </c>
      <c r="D66">
        <v>2023</v>
      </c>
      <c r="E66" t="s">
        <v>260</v>
      </c>
      <c r="F66" t="s">
        <v>567</v>
      </c>
      <c r="G66" t="s">
        <v>568</v>
      </c>
      <c r="H66" t="s">
        <v>246</v>
      </c>
      <c r="I66" t="s">
        <v>15</v>
      </c>
      <c r="J66" t="s">
        <v>223</v>
      </c>
      <c r="K66" t="s">
        <v>566</v>
      </c>
      <c r="L66" t="s">
        <v>615</v>
      </c>
      <c r="Q66" s="54"/>
    </row>
    <row r="67" spans="1:17" ht="14.25" customHeight="1" x14ac:dyDescent="0.2">
      <c r="A67">
        <v>64</v>
      </c>
      <c r="B67" t="s">
        <v>569</v>
      </c>
      <c r="C67" t="s">
        <v>570</v>
      </c>
      <c r="D67">
        <v>2026</v>
      </c>
      <c r="E67" t="s">
        <v>233</v>
      </c>
      <c r="F67" t="s">
        <v>572</v>
      </c>
      <c r="G67" t="s">
        <v>573</v>
      </c>
      <c r="H67" t="s">
        <v>238</v>
      </c>
      <c r="I67" t="s">
        <v>15</v>
      </c>
      <c r="J67" t="s">
        <v>223</v>
      </c>
      <c r="K67" t="s">
        <v>571</v>
      </c>
      <c r="L67" t="s">
        <v>574</v>
      </c>
      <c r="Q67" s="54"/>
    </row>
    <row r="68" spans="1:17" ht="14.25" customHeight="1" x14ac:dyDescent="0.2">
      <c r="A68">
        <v>65</v>
      </c>
      <c r="B68" t="s">
        <v>575</v>
      </c>
      <c r="C68" t="s">
        <v>576</v>
      </c>
      <c r="D68">
        <v>2025</v>
      </c>
      <c r="E68" t="s">
        <v>233</v>
      </c>
      <c r="F68" t="s">
        <v>578</v>
      </c>
      <c r="G68" t="s">
        <v>579</v>
      </c>
      <c r="H68" t="s">
        <v>238</v>
      </c>
      <c r="I68" t="s">
        <v>15</v>
      </c>
      <c r="J68" t="s">
        <v>223</v>
      </c>
      <c r="K68" t="s">
        <v>577</v>
      </c>
      <c r="L68" t="s">
        <v>580</v>
      </c>
      <c r="Q68" s="54"/>
    </row>
    <row r="69" spans="1:17" ht="14.25" customHeight="1" x14ac:dyDescent="0.2">
      <c r="A69">
        <v>66</v>
      </c>
      <c r="B69" t="s">
        <v>581</v>
      </c>
      <c r="C69" t="s">
        <v>582</v>
      </c>
      <c r="D69">
        <v>2025</v>
      </c>
      <c r="E69" t="s">
        <v>260</v>
      </c>
      <c r="F69" t="s">
        <v>584</v>
      </c>
      <c r="G69" t="s">
        <v>585</v>
      </c>
      <c r="H69" t="s">
        <v>246</v>
      </c>
      <c r="I69" t="s">
        <v>15</v>
      </c>
      <c r="J69" t="s">
        <v>223</v>
      </c>
      <c r="K69" t="s">
        <v>583</v>
      </c>
      <c r="L69" t="s">
        <v>586</v>
      </c>
      <c r="Q69" s="54"/>
    </row>
    <row r="70" spans="1:17" ht="14.25" customHeight="1" x14ac:dyDescent="0.2">
      <c r="A70">
        <v>67</v>
      </c>
      <c r="B70" t="s">
        <v>587</v>
      </c>
      <c r="C70" t="s">
        <v>588</v>
      </c>
      <c r="D70">
        <v>2025</v>
      </c>
      <c r="E70" t="s">
        <v>241</v>
      </c>
      <c r="F70" t="s">
        <v>590</v>
      </c>
      <c r="G70" t="s">
        <v>591</v>
      </c>
      <c r="H70" t="s">
        <v>246</v>
      </c>
      <c r="I70" t="s">
        <v>15</v>
      </c>
      <c r="J70" t="s">
        <v>223</v>
      </c>
      <c r="K70" t="s">
        <v>589</v>
      </c>
      <c r="L70" t="s">
        <v>592</v>
      </c>
      <c r="Q70" s="54"/>
    </row>
    <row r="71" spans="1:17" ht="14.25" customHeight="1" x14ac:dyDescent="0.2">
      <c r="A71">
        <v>68</v>
      </c>
      <c r="B71" t="s">
        <v>593</v>
      </c>
      <c r="C71" t="s">
        <v>594</v>
      </c>
      <c r="D71">
        <v>2026</v>
      </c>
      <c r="E71" t="s">
        <v>219</v>
      </c>
      <c r="F71" t="s">
        <v>596</v>
      </c>
      <c r="G71" t="s">
        <v>597</v>
      </c>
      <c r="H71" t="s">
        <v>222</v>
      </c>
      <c r="I71" t="s">
        <v>15</v>
      </c>
      <c r="J71" t="s">
        <v>223</v>
      </c>
      <c r="K71" t="s">
        <v>595</v>
      </c>
      <c r="L71" t="s">
        <v>598</v>
      </c>
      <c r="Q71" s="54"/>
    </row>
    <row r="72" spans="1:17" ht="14.25" customHeight="1" x14ac:dyDescent="0.2">
      <c r="A72">
        <v>69</v>
      </c>
      <c r="B72" t="s">
        <v>599</v>
      </c>
      <c r="C72" t="s">
        <v>600</v>
      </c>
      <c r="D72">
        <v>2025</v>
      </c>
      <c r="E72" t="s">
        <v>226</v>
      </c>
      <c r="F72" t="s">
        <v>602</v>
      </c>
      <c r="G72">
        <v>0</v>
      </c>
      <c r="H72" t="s">
        <v>230</v>
      </c>
      <c r="I72" t="s">
        <v>15</v>
      </c>
      <c r="J72" t="s">
        <v>223</v>
      </c>
      <c r="K72" t="s">
        <v>601</v>
      </c>
      <c r="L72" t="s">
        <v>616</v>
      </c>
      <c r="Q72" s="54"/>
    </row>
    <row r="73" spans="1:17" ht="14.25" customHeight="1" x14ac:dyDescent="0.2">
      <c r="Q73" s="54"/>
    </row>
    <row r="74" spans="1:17" ht="14.25" customHeight="1" x14ac:dyDescent="0.2">
      <c r="Q74" s="54"/>
    </row>
    <row r="75" spans="1:17" ht="14.25" customHeight="1" x14ac:dyDescent="0.2">
      <c r="Q75" s="54"/>
    </row>
    <row r="76" spans="1:17" ht="14.25" customHeight="1" x14ac:dyDescent="0.2">
      <c r="Q76" s="54"/>
    </row>
    <row r="77" spans="1:17" ht="14.25" customHeight="1" x14ac:dyDescent="0.2">
      <c r="Q77" s="54"/>
    </row>
    <row r="78" spans="1:17" ht="14.25" customHeight="1" x14ac:dyDescent="0.2">
      <c r="Q78" s="54"/>
    </row>
    <row r="79" spans="1:17" ht="14.25" customHeight="1" x14ac:dyDescent="0.2">
      <c r="Q79" s="54"/>
    </row>
    <row r="80" spans="1:17" ht="14.25" customHeight="1" x14ac:dyDescent="0.2">
      <c r="Q80" s="54"/>
    </row>
    <row r="81" spans="17:17" ht="14.25" customHeight="1" x14ac:dyDescent="0.2">
      <c r="Q81" s="54"/>
    </row>
    <row r="82" spans="17:17" ht="14.25" customHeight="1" x14ac:dyDescent="0.2">
      <c r="Q82" s="54"/>
    </row>
    <row r="83" spans="17:17" ht="14.25" customHeight="1" x14ac:dyDescent="0.2">
      <c r="Q83" s="54"/>
    </row>
    <row r="84" spans="17:17" ht="14.25" customHeight="1" x14ac:dyDescent="0.2">
      <c r="Q84" s="54"/>
    </row>
    <row r="85" spans="17:17" ht="14.25" customHeight="1" x14ac:dyDescent="0.2">
      <c r="Q85" s="54"/>
    </row>
    <row r="86" spans="17:17" ht="14.25" customHeight="1" x14ac:dyDescent="0.2">
      <c r="Q86" s="54"/>
    </row>
    <row r="87" spans="17:17" ht="14.25" customHeight="1" x14ac:dyDescent="0.2">
      <c r="Q87" s="54"/>
    </row>
    <row r="88" spans="17:17" ht="14.25" customHeight="1" x14ac:dyDescent="0.2">
      <c r="Q88" s="54"/>
    </row>
    <row r="89" spans="17:17" ht="14.25" customHeight="1" x14ac:dyDescent="0.2">
      <c r="Q89" s="54"/>
    </row>
    <row r="90" spans="17:17" ht="14.25" customHeight="1" x14ac:dyDescent="0.2">
      <c r="Q90" s="54"/>
    </row>
    <row r="91" spans="17:17" ht="14.25" customHeight="1" x14ac:dyDescent="0.2">
      <c r="Q91" s="54"/>
    </row>
    <row r="92" spans="17:17" ht="14.25" customHeight="1" x14ac:dyDescent="0.2">
      <c r="Q92" s="54"/>
    </row>
    <row r="93" spans="17:17" ht="14.25" customHeight="1" x14ac:dyDescent="0.2">
      <c r="Q93" s="54"/>
    </row>
    <row r="94" spans="17:17" ht="14.25" customHeight="1" x14ac:dyDescent="0.2">
      <c r="Q94" s="54"/>
    </row>
    <row r="95" spans="17:17" ht="14.25" customHeight="1" x14ac:dyDescent="0.2">
      <c r="Q95" s="54"/>
    </row>
    <row r="96" spans="17:17" ht="14.25" customHeight="1" x14ac:dyDescent="0.2">
      <c r="Q96" s="54"/>
    </row>
    <row r="97" spans="17:17" ht="14.25" customHeight="1" x14ac:dyDescent="0.2">
      <c r="Q97" s="54"/>
    </row>
    <row r="98" spans="17:17" ht="14.25" customHeight="1" x14ac:dyDescent="0.2">
      <c r="Q98" s="54"/>
    </row>
    <row r="99" spans="17:17" ht="14.25" customHeight="1" x14ac:dyDescent="0.2">
      <c r="Q99" s="54"/>
    </row>
    <row r="100" spans="17:17" ht="14.25" customHeight="1" x14ac:dyDescent="0.2">
      <c r="Q100" s="54"/>
    </row>
    <row r="101" spans="17:17" ht="14.25" customHeight="1" x14ac:dyDescent="0.2">
      <c r="Q101" s="54"/>
    </row>
    <row r="102" spans="17:17" ht="14.25" customHeight="1" x14ac:dyDescent="0.2">
      <c r="Q102" s="54"/>
    </row>
    <row r="103" spans="17:17" ht="14.25" customHeight="1" x14ac:dyDescent="0.2">
      <c r="Q103" s="54"/>
    </row>
    <row r="104" spans="17:17" ht="14.25" customHeight="1" x14ac:dyDescent="0.2">
      <c r="Q104" s="54"/>
    </row>
    <row r="105" spans="17:17" ht="14.25" customHeight="1" x14ac:dyDescent="0.2">
      <c r="Q105" s="54"/>
    </row>
    <row r="106" spans="17:17" ht="14.25" customHeight="1" x14ac:dyDescent="0.2">
      <c r="Q106" s="54"/>
    </row>
    <row r="107" spans="17:17" ht="14.25" customHeight="1" x14ac:dyDescent="0.2">
      <c r="Q107" s="54"/>
    </row>
    <row r="108" spans="17:17" ht="14.25" customHeight="1" x14ac:dyDescent="0.2">
      <c r="Q108" s="54"/>
    </row>
    <row r="109" spans="17:17" ht="14.25" customHeight="1" x14ac:dyDescent="0.2">
      <c r="Q109" s="54"/>
    </row>
    <row r="110" spans="17:17" ht="14.25" customHeight="1" x14ac:dyDescent="0.2">
      <c r="Q110" s="54"/>
    </row>
    <row r="111" spans="17:17" ht="14.25" customHeight="1" x14ac:dyDescent="0.2">
      <c r="Q111" s="54"/>
    </row>
    <row r="112" spans="17:17" ht="14.25" customHeight="1" x14ac:dyDescent="0.2">
      <c r="Q112" s="54"/>
    </row>
    <row r="113" spans="17:17" ht="14.25" customHeight="1" x14ac:dyDescent="0.2">
      <c r="Q113" s="54"/>
    </row>
    <row r="114" spans="17:17" ht="14.25" customHeight="1" x14ac:dyDescent="0.2">
      <c r="Q114" s="54"/>
    </row>
    <row r="115" spans="17:17" ht="14.25" customHeight="1" x14ac:dyDescent="0.2">
      <c r="Q115" s="54"/>
    </row>
    <row r="116" spans="17:17" ht="14.25" customHeight="1" x14ac:dyDescent="0.2">
      <c r="Q116" s="54"/>
    </row>
    <row r="117" spans="17:17" ht="14.25" customHeight="1" x14ac:dyDescent="0.2">
      <c r="Q117" s="54"/>
    </row>
    <row r="118" spans="17:17" ht="14.25" customHeight="1" x14ac:dyDescent="0.2">
      <c r="Q118" s="54"/>
    </row>
    <row r="119" spans="17:17" ht="14.25" customHeight="1" x14ac:dyDescent="0.2">
      <c r="Q119" s="54"/>
    </row>
    <row r="120" spans="17:17" ht="14.25" customHeight="1" x14ac:dyDescent="0.2">
      <c r="Q120" s="54"/>
    </row>
    <row r="121" spans="17:17" ht="14.25" customHeight="1" x14ac:dyDescent="0.2">
      <c r="Q121" s="54"/>
    </row>
    <row r="122" spans="17:17" ht="14.25" customHeight="1" x14ac:dyDescent="0.2">
      <c r="Q122" s="54"/>
    </row>
    <row r="123" spans="17:17" ht="14.25" customHeight="1" x14ac:dyDescent="0.2">
      <c r="Q123" s="54"/>
    </row>
    <row r="124" spans="17:17" ht="14.25" customHeight="1" x14ac:dyDescent="0.2">
      <c r="Q124" s="54"/>
    </row>
    <row r="125" spans="17:17" ht="14.25" customHeight="1" x14ac:dyDescent="0.2">
      <c r="Q125" s="54"/>
    </row>
    <row r="126" spans="17:17" ht="14.25" customHeight="1" x14ac:dyDescent="0.2">
      <c r="Q126" s="54"/>
    </row>
    <row r="127" spans="17:17" ht="14.25" customHeight="1" x14ac:dyDescent="0.2">
      <c r="Q127" s="54"/>
    </row>
    <row r="128" spans="17:17" ht="14.25" customHeight="1" x14ac:dyDescent="0.2">
      <c r="Q128" s="54"/>
    </row>
    <row r="129" spans="17:17" ht="14.25" customHeight="1" x14ac:dyDescent="0.2">
      <c r="Q129" s="54"/>
    </row>
    <row r="130" spans="17:17" ht="14.25" customHeight="1" x14ac:dyDescent="0.2">
      <c r="Q130" s="54"/>
    </row>
    <row r="131" spans="17:17" ht="14.25" customHeight="1" x14ac:dyDescent="0.2">
      <c r="Q131" s="54"/>
    </row>
    <row r="132" spans="17:17" ht="14.25" customHeight="1" x14ac:dyDescent="0.2">
      <c r="Q132" s="54"/>
    </row>
    <row r="133" spans="17:17" ht="14.25" customHeight="1" x14ac:dyDescent="0.2">
      <c r="Q133" s="54"/>
    </row>
    <row r="134" spans="17:17" ht="14.25" customHeight="1" x14ac:dyDescent="0.2">
      <c r="Q134" s="54"/>
    </row>
    <row r="135" spans="17:17" ht="14.25" customHeight="1" x14ac:dyDescent="0.2">
      <c r="Q135" s="54"/>
    </row>
    <row r="136" spans="17:17" ht="14.25" customHeight="1" x14ac:dyDescent="0.2">
      <c r="Q136" s="54"/>
    </row>
    <row r="137" spans="17:17" ht="14.25" customHeight="1" x14ac:dyDescent="0.2">
      <c r="Q137" s="54"/>
    </row>
    <row r="138" spans="17:17" ht="14.25" customHeight="1" x14ac:dyDescent="0.2">
      <c r="Q138" s="54"/>
    </row>
    <row r="139" spans="17:17" ht="14.25" customHeight="1" x14ac:dyDescent="0.2">
      <c r="Q139" s="54"/>
    </row>
    <row r="140" spans="17:17" ht="14.25" customHeight="1" x14ac:dyDescent="0.2">
      <c r="Q140" s="54"/>
    </row>
    <row r="141" spans="17:17" ht="14.25" customHeight="1" x14ac:dyDescent="0.2">
      <c r="Q141" s="54"/>
    </row>
    <row r="142" spans="17:17" ht="14.25" customHeight="1" x14ac:dyDescent="0.2">
      <c r="Q142" s="54"/>
    </row>
    <row r="143" spans="17:17" ht="14.25" customHeight="1" x14ac:dyDescent="0.2">
      <c r="Q143" s="54"/>
    </row>
    <row r="144" spans="17:17" ht="14.25" customHeight="1" x14ac:dyDescent="0.2">
      <c r="Q144" s="54"/>
    </row>
    <row r="145" spans="17:17" ht="14.25" customHeight="1" x14ac:dyDescent="0.2">
      <c r="Q145" s="54"/>
    </row>
    <row r="146" spans="17:17" ht="14.25" customHeight="1" x14ac:dyDescent="0.2">
      <c r="Q146" s="54"/>
    </row>
    <row r="147" spans="17:17" ht="14.25" customHeight="1" x14ac:dyDescent="0.2">
      <c r="Q147" s="54"/>
    </row>
    <row r="148" spans="17:17" ht="14.25" customHeight="1" x14ac:dyDescent="0.2">
      <c r="Q148" s="54"/>
    </row>
    <row r="149" spans="17:17" ht="14.25" customHeight="1" x14ac:dyDescent="0.2">
      <c r="Q149" s="54"/>
    </row>
    <row r="150" spans="17:17" ht="14.25" customHeight="1" x14ac:dyDescent="0.2">
      <c r="Q150" s="54"/>
    </row>
    <row r="151" spans="17:17" ht="14.25" customHeight="1" x14ac:dyDescent="0.2">
      <c r="Q151" s="54"/>
    </row>
    <row r="152" spans="17:17" ht="14.25" customHeight="1" x14ac:dyDescent="0.2">
      <c r="Q152" s="54"/>
    </row>
    <row r="153" spans="17:17" ht="14.25" customHeight="1" x14ac:dyDescent="0.2">
      <c r="Q153" s="54"/>
    </row>
    <row r="154" spans="17:17" ht="14.25" customHeight="1" x14ac:dyDescent="0.2">
      <c r="Q154" s="54"/>
    </row>
    <row r="155" spans="17:17" ht="14.25" customHeight="1" x14ac:dyDescent="0.2">
      <c r="Q155" s="54"/>
    </row>
    <row r="156" spans="17:17" ht="14.25" customHeight="1" x14ac:dyDescent="0.2">
      <c r="Q156" s="54"/>
    </row>
    <row r="157" spans="17:17" ht="14.25" customHeight="1" x14ac:dyDescent="0.2">
      <c r="Q157" s="54"/>
    </row>
    <row r="158" spans="17:17" ht="14.25" customHeight="1" x14ac:dyDescent="0.2">
      <c r="Q158" s="54"/>
    </row>
    <row r="159" spans="17:17" ht="14.25" customHeight="1" x14ac:dyDescent="0.2">
      <c r="Q159" s="54"/>
    </row>
    <row r="160" spans="17:17" ht="14.25" customHeight="1" x14ac:dyDescent="0.2">
      <c r="Q160" s="54"/>
    </row>
    <row r="161" spans="17:17" ht="14.25" customHeight="1" x14ac:dyDescent="0.2">
      <c r="Q161" s="54"/>
    </row>
    <row r="162" spans="17:17" ht="14.25" customHeight="1" x14ac:dyDescent="0.2">
      <c r="Q162" s="54"/>
    </row>
    <row r="163" spans="17:17" ht="14.25" customHeight="1" x14ac:dyDescent="0.2">
      <c r="Q163" s="54"/>
    </row>
    <row r="164" spans="17:17" ht="14.25" customHeight="1" x14ac:dyDescent="0.2">
      <c r="Q164" s="54"/>
    </row>
    <row r="165" spans="17:17" ht="14.25" customHeight="1" x14ac:dyDescent="0.2">
      <c r="Q165" s="54"/>
    </row>
    <row r="166" spans="17:17" ht="14.25" customHeight="1" x14ac:dyDescent="0.2">
      <c r="Q166" s="54"/>
    </row>
    <row r="167" spans="17:17" ht="14.25" customHeight="1" x14ac:dyDescent="0.2">
      <c r="Q167" s="54"/>
    </row>
    <row r="168" spans="17:17" ht="14.25" customHeight="1" x14ac:dyDescent="0.2">
      <c r="Q168" s="54"/>
    </row>
    <row r="169" spans="17:17" ht="14.25" customHeight="1" x14ac:dyDescent="0.2">
      <c r="Q169" s="54"/>
    </row>
    <row r="170" spans="17:17" ht="14.25" customHeight="1" x14ac:dyDescent="0.2">
      <c r="Q170" s="54"/>
    </row>
    <row r="171" spans="17:17" ht="14.25" customHeight="1" x14ac:dyDescent="0.2">
      <c r="Q171" s="54"/>
    </row>
    <row r="172" spans="17:17" ht="14.25" customHeight="1" x14ac:dyDescent="0.2">
      <c r="Q172" s="54"/>
    </row>
    <row r="173" spans="17:17" ht="14.25" customHeight="1" x14ac:dyDescent="0.2">
      <c r="Q173" s="54"/>
    </row>
    <row r="174" spans="17:17" ht="14.25" customHeight="1" x14ac:dyDescent="0.2">
      <c r="Q174" s="54"/>
    </row>
    <row r="175" spans="17:17" ht="14.25" customHeight="1" x14ac:dyDescent="0.2">
      <c r="Q175" s="54"/>
    </row>
    <row r="176" spans="17:17" ht="14.25" customHeight="1" x14ac:dyDescent="0.2">
      <c r="Q176" s="54"/>
    </row>
    <row r="177" spans="17:17" ht="14.25" customHeight="1" x14ac:dyDescent="0.2">
      <c r="Q177" s="54"/>
    </row>
    <row r="178" spans="17:17" ht="14.25" customHeight="1" x14ac:dyDescent="0.2">
      <c r="Q178" s="54"/>
    </row>
    <row r="179" spans="17:17" ht="15.75" customHeight="1" x14ac:dyDescent="0.2">
      <c r="Q179" s="54"/>
    </row>
    <row r="180" spans="17:17" ht="15.75" customHeight="1" x14ac:dyDescent="0.2">
      <c r="Q180" s="54"/>
    </row>
    <row r="181" spans="17:17" ht="15.75" customHeight="1" x14ac:dyDescent="0.2">
      <c r="Q181" s="54"/>
    </row>
    <row r="182" spans="17:17" ht="15.75" customHeight="1" x14ac:dyDescent="0.2">
      <c r="Q182" s="54"/>
    </row>
    <row r="183" spans="17:17" ht="15.75" customHeight="1" x14ac:dyDescent="0.2">
      <c r="Q183" s="54"/>
    </row>
    <row r="184" spans="17:17" ht="15.75" customHeight="1" x14ac:dyDescent="0.2">
      <c r="Q184" s="54"/>
    </row>
    <row r="185" spans="17:17" ht="15.75" customHeight="1" x14ac:dyDescent="0.2">
      <c r="Q185" s="54"/>
    </row>
    <row r="186" spans="17:17" ht="15.75" customHeight="1" x14ac:dyDescent="0.2">
      <c r="Q186" s="54"/>
    </row>
    <row r="187" spans="17:17" ht="15.75" customHeight="1" x14ac:dyDescent="0.2">
      <c r="Q187" s="54"/>
    </row>
    <row r="188" spans="17:17" ht="15.75" customHeight="1" x14ac:dyDescent="0.2">
      <c r="Q188" s="54"/>
    </row>
    <row r="189" spans="17:17" ht="15.75" customHeight="1" x14ac:dyDescent="0.2">
      <c r="Q189" s="54"/>
    </row>
    <row r="190" spans="17:17" ht="15.75" customHeight="1" x14ac:dyDescent="0.2">
      <c r="Q190" s="54"/>
    </row>
    <row r="191" spans="17:17" ht="15.75" customHeight="1" x14ac:dyDescent="0.2">
      <c r="Q191" s="54"/>
    </row>
    <row r="192" spans="17:17" ht="15.75" customHeight="1" x14ac:dyDescent="0.2">
      <c r="Q192" s="54"/>
    </row>
    <row r="193" spans="17:17" ht="15.75" customHeight="1" x14ac:dyDescent="0.2">
      <c r="Q193" s="54"/>
    </row>
    <row r="194" spans="17:17" ht="15.75" customHeight="1" x14ac:dyDescent="0.2">
      <c r="Q194" s="54"/>
    </row>
    <row r="195" spans="17:17" ht="15.75" customHeight="1" x14ac:dyDescent="0.2">
      <c r="Q195" s="54"/>
    </row>
    <row r="196" spans="17:17" ht="15.75" customHeight="1" x14ac:dyDescent="0.2">
      <c r="Q196" s="54"/>
    </row>
    <row r="197" spans="17:17" ht="15.75" customHeight="1" x14ac:dyDescent="0.2">
      <c r="Q197" s="54"/>
    </row>
    <row r="198" spans="17:17" ht="15.75" customHeight="1" x14ac:dyDescent="0.2">
      <c r="Q198" s="54"/>
    </row>
    <row r="199" spans="17:17" ht="15.75" customHeight="1" x14ac:dyDescent="0.2">
      <c r="Q199" s="54"/>
    </row>
    <row r="200" spans="17:17" ht="15.75" customHeight="1" x14ac:dyDescent="0.2">
      <c r="Q200" s="54"/>
    </row>
    <row r="201" spans="17:17" ht="15.75" customHeight="1" x14ac:dyDescent="0.2">
      <c r="Q201" s="54"/>
    </row>
    <row r="202" spans="17:17" ht="15.75" customHeight="1" x14ac:dyDescent="0.2">
      <c r="Q202" s="54"/>
    </row>
    <row r="203" spans="17:17" ht="15.75" customHeight="1" x14ac:dyDescent="0.2">
      <c r="Q203" s="54"/>
    </row>
    <row r="204" spans="17:17" ht="15.75" customHeight="1" x14ac:dyDescent="0.2">
      <c r="Q204" s="54"/>
    </row>
    <row r="205" spans="17:17" ht="15.75" customHeight="1" x14ac:dyDescent="0.2">
      <c r="Q205" s="54"/>
    </row>
    <row r="206" spans="17:17" ht="15.75" customHeight="1" x14ac:dyDescent="0.2">
      <c r="Q206" s="54"/>
    </row>
    <row r="207" spans="17:17" ht="15.75" customHeight="1" x14ac:dyDescent="0.2">
      <c r="Q207" s="54"/>
    </row>
    <row r="208" spans="17:17" ht="15.75" customHeight="1" x14ac:dyDescent="0.2">
      <c r="Q208" s="54"/>
    </row>
    <row r="209" spans="17:17" ht="15.75" customHeight="1" x14ac:dyDescent="0.2">
      <c r="Q209" s="54"/>
    </row>
    <row r="210" spans="17:17" ht="15.75" customHeight="1" x14ac:dyDescent="0.2">
      <c r="Q210" s="54"/>
    </row>
    <row r="211" spans="17:17" ht="15.75" customHeight="1" x14ac:dyDescent="0.2">
      <c r="Q211" s="54"/>
    </row>
    <row r="212" spans="17:17" ht="15.75" customHeight="1" x14ac:dyDescent="0.2">
      <c r="Q212" s="54"/>
    </row>
    <row r="213" spans="17:17" ht="15.75" customHeight="1" x14ac:dyDescent="0.2">
      <c r="Q213" s="54"/>
    </row>
    <row r="214" spans="17:17" ht="15.75" customHeight="1" x14ac:dyDescent="0.2">
      <c r="Q214" s="54"/>
    </row>
    <row r="215" spans="17:17" ht="15.75" customHeight="1" x14ac:dyDescent="0.2">
      <c r="Q215" s="54"/>
    </row>
    <row r="216" spans="17:17" ht="15.75" customHeight="1" x14ac:dyDescent="0.2">
      <c r="Q216" s="54"/>
    </row>
    <row r="217" spans="17:17" ht="15.75" customHeight="1" x14ac:dyDescent="0.2">
      <c r="Q217" s="54"/>
    </row>
    <row r="218" spans="17:17" ht="15.75" customHeight="1" x14ac:dyDescent="0.2">
      <c r="Q218" s="54"/>
    </row>
    <row r="219" spans="17:17" ht="15.75" customHeight="1" x14ac:dyDescent="0.2">
      <c r="Q219" s="54"/>
    </row>
    <row r="220" spans="17:17" ht="15.75" customHeight="1" x14ac:dyDescent="0.2">
      <c r="Q220" s="54"/>
    </row>
    <row r="221" spans="17:17" ht="15.75" customHeight="1" x14ac:dyDescent="0.2">
      <c r="Q221" s="54"/>
    </row>
    <row r="222" spans="17:17" ht="15.75" customHeight="1" x14ac:dyDescent="0.2">
      <c r="Q222" s="54"/>
    </row>
    <row r="223" spans="17:17" ht="15.75" customHeight="1" x14ac:dyDescent="0.2">
      <c r="Q223" s="54"/>
    </row>
    <row r="224" spans="17:17" ht="15.75" customHeight="1" x14ac:dyDescent="0.2">
      <c r="Q224" s="54"/>
    </row>
    <row r="225" spans="17:17" ht="15.75" customHeight="1" x14ac:dyDescent="0.2">
      <c r="Q225" s="54"/>
    </row>
    <row r="226" spans="17:17" ht="15.75" customHeight="1" x14ac:dyDescent="0.2">
      <c r="Q226" s="54"/>
    </row>
    <row r="227" spans="17:17" ht="15.75" customHeight="1" x14ac:dyDescent="0.2">
      <c r="Q227" s="54"/>
    </row>
    <row r="228" spans="17:17" ht="15.75" customHeight="1" x14ac:dyDescent="0.2">
      <c r="Q228" s="54"/>
    </row>
    <row r="229" spans="17:17" ht="15.75" customHeight="1" x14ac:dyDescent="0.2">
      <c r="Q229" s="54"/>
    </row>
    <row r="230" spans="17:17" ht="15.75" customHeight="1" x14ac:dyDescent="0.2">
      <c r="Q230" s="54"/>
    </row>
    <row r="231" spans="17:17" ht="15.75" customHeight="1" x14ac:dyDescent="0.2">
      <c r="Q231" s="54"/>
    </row>
    <row r="232" spans="17:17" ht="15.75" customHeight="1" x14ac:dyDescent="0.2">
      <c r="Q232" s="54"/>
    </row>
    <row r="233" spans="17:17" ht="15.75" customHeight="1" x14ac:dyDescent="0.2">
      <c r="Q233" s="54"/>
    </row>
    <row r="234" spans="17:17" ht="15.75" customHeight="1" x14ac:dyDescent="0.2">
      <c r="Q234" s="54"/>
    </row>
    <row r="235" spans="17:17" ht="15.75" customHeight="1" x14ac:dyDescent="0.2">
      <c r="Q235" s="54"/>
    </row>
    <row r="236" spans="17:17" ht="15.75" customHeight="1" x14ac:dyDescent="0.2">
      <c r="Q236" s="54"/>
    </row>
    <row r="237" spans="17:17" ht="15.75" customHeight="1" x14ac:dyDescent="0.2">
      <c r="Q237" s="54"/>
    </row>
    <row r="238" spans="17:17" ht="15.75" customHeight="1" x14ac:dyDescent="0.2">
      <c r="Q238" s="54"/>
    </row>
    <row r="239" spans="17:17" ht="15.75" customHeight="1" x14ac:dyDescent="0.2">
      <c r="Q239" s="54"/>
    </row>
    <row r="240" spans="17:17" ht="15.75" customHeight="1" x14ac:dyDescent="0.2">
      <c r="Q240" s="54"/>
    </row>
    <row r="241" spans="17:17" ht="15.75" customHeight="1" x14ac:dyDescent="0.2">
      <c r="Q241" s="54"/>
    </row>
    <row r="242" spans="17:17" ht="15.75" customHeight="1" x14ac:dyDescent="0.2">
      <c r="Q242" s="54"/>
    </row>
    <row r="243" spans="17:17" ht="15.75" customHeight="1" x14ac:dyDescent="0.2">
      <c r="Q243" s="54"/>
    </row>
    <row r="244" spans="17:17" ht="15.75" customHeight="1" x14ac:dyDescent="0.2">
      <c r="Q244" s="54"/>
    </row>
    <row r="245" spans="17:17" ht="15.75" customHeight="1" x14ac:dyDescent="0.2">
      <c r="Q245" s="54"/>
    </row>
    <row r="246" spans="17:17" ht="15.75" customHeight="1" x14ac:dyDescent="0.2">
      <c r="Q246" s="54"/>
    </row>
    <row r="247" spans="17:17" ht="15.75" customHeight="1" x14ac:dyDescent="0.2">
      <c r="Q247" s="54"/>
    </row>
    <row r="248" spans="17:17" ht="15.75" customHeight="1" x14ac:dyDescent="0.2">
      <c r="Q248" s="54"/>
    </row>
    <row r="249" spans="17:17" ht="15.75" customHeight="1" x14ac:dyDescent="0.2">
      <c r="Q249" s="54"/>
    </row>
    <row r="250" spans="17:17" ht="15.75" customHeight="1" x14ac:dyDescent="0.2">
      <c r="Q250" s="54"/>
    </row>
    <row r="251" spans="17:17" ht="15.75" customHeight="1" x14ac:dyDescent="0.2">
      <c r="Q251" s="54"/>
    </row>
    <row r="252" spans="17:17" ht="15.75" customHeight="1" x14ac:dyDescent="0.2">
      <c r="Q252" s="54"/>
    </row>
    <row r="253" spans="17:17" ht="15.75" customHeight="1" x14ac:dyDescent="0.2">
      <c r="Q253" s="54"/>
    </row>
    <row r="254" spans="17:17" ht="15.75" customHeight="1" x14ac:dyDescent="0.2">
      <c r="Q254" s="54"/>
    </row>
    <row r="255" spans="17:17" ht="15.75" customHeight="1" x14ac:dyDescent="0.2">
      <c r="Q255" s="54"/>
    </row>
    <row r="256" spans="17:17" ht="15.75" customHeight="1" x14ac:dyDescent="0.2">
      <c r="Q256" s="54"/>
    </row>
    <row r="257" spans="17:17" ht="15.75" customHeight="1" x14ac:dyDescent="0.2">
      <c r="Q257" s="54"/>
    </row>
    <row r="258" spans="17:17" ht="15.75" customHeight="1" x14ac:dyDescent="0.2">
      <c r="Q258" s="54"/>
    </row>
    <row r="259" spans="17:17" ht="15.75" customHeight="1" x14ac:dyDescent="0.2">
      <c r="Q259" s="54"/>
    </row>
    <row r="260" spans="17:17" ht="15.75" customHeight="1" x14ac:dyDescent="0.2">
      <c r="Q260" s="54"/>
    </row>
    <row r="261" spans="17:17" ht="15.75" customHeight="1" x14ac:dyDescent="0.2">
      <c r="Q261" s="54"/>
    </row>
    <row r="262" spans="17:17" ht="15.75" customHeight="1" x14ac:dyDescent="0.2">
      <c r="Q262" s="54"/>
    </row>
    <row r="263" spans="17:17" ht="15.75" customHeight="1" x14ac:dyDescent="0.2">
      <c r="Q263" s="54"/>
    </row>
    <row r="264" spans="17:17" ht="15.75" customHeight="1" x14ac:dyDescent="0.2">
      <c r="Q264" s="54"/>
    </row>
    <row r="265" spans="17:17" ht="15.75" customHeight="1" x14ac:dyDescent="0.2">
      <c r="Q265" s="54"/>
    </row>
    <row r="266" spans="17:17" ht="15.75" customHeight="1" x14ac:dyDescent="0.2">
      <c r="Q266" s="54"/>
    </row>
    <row r="267" spans="17:17" ht="15.75" customHeight="1" x14ac:dyDescent="0.2">
      <c r="Q267" s="54"/>
    </row>
    <row r="268" spans="17:17" ht="15.75" customHeight="1" x14ac:dyDescent="0.2">
      <c r="Q268" s="54"/>
    </row>
    <row r="269" spans="17:17" ht="15.75" customHeight="1" x14ac:dyDescent="0.2">
      <c r="Q269" s="54"/>
    </row>
    <row r="270" spans="17:17" ht="15.75" customHeight="1" x14ac:dyDescent="0.2">
      <c r="Q270" s="54"/>
    </row>
    <row r="271" spans="17:17" ht="15.75" customHeight="1" x14ac:dyDescent="0.2">
      <c r="Q271" s="54"/>
    </row>
    <row r="272" spans="17:17" ht="15.75" customHeight="1" x14ac:dyDescent="0.2">
      <c r="Q272" s="54"/>
    </row>
    <row r="273" spans="17:17" ht="15.75" customHeight="1" x14ac:dyDescent="0.2">
      <c r="Q273" s="54"/>
    </row>
    <row r="274" spans="17:17" ht="15.75" customHeight="1" x14ac:dyDescent="0.2">
      <c r="Q274" s="54"/>
    </row>
    <row r="275" spans="17:17" ht="15.75" customHeight="1" x14ac:dyDescent="0.2">
      <c r="Q275" s="54"/>
    </row>
    <row r="276" spans="17:17" ht="15.75" customHeight="1" x14ac:dyDescent="0.2">
      <c r="Q276" s="54"/>
    </row>
    <row r="277" spans="17:17" ht="15.75" customHeight="1" x14ac:dyDescent="0.2">
      <c r="Q277" s="54"/>
    </row>
    <row r="278" spans="17:17" ht="15.75" customHeight="1" x14ac:dyDescent="0.2">
      <c r="Q278" s="54"/>
    </row>
    <row r="279" spans="17:17" ht="15.75" customHeight="1" x14ac:dyDescent="0.2">
      <c r="Q279" s="54"/>
    </row>
    <row r="280" spans="17:17" ht="15.75" customHeight="1" x14ac:dyDescent="0.2">
      <c r="Q280" s="54"/>
    </row>
    <row r="281" spans="17:17" ht="15.75" customHeight="1" x14ac:dyDescent="0.2">
      <c r="Q281" s="54"/>
    </row>
    <row r="282" spans="17:17" ht="15.75" customHeight="1" x14ac:dyDescent="0.2">
      <c r="Q282" s="54"/>
    </row>
    <row r="283" spans="17:17" ht="15.75" customHeight="1" x14ac:dyDescent="0.2">
      <c r="Q283" s="54"/>
    </row>
    <row r="284" spans="17:17" ht="15.75" customHeight="1" x14ac:dyDescent="0.2">
      <c r="Q284" s="54"/>
    </row>
    <row r="285" spans="17:17" ht="15.75" customHeight="1" x14ac:dyDescent="0.2">
      <c r="Q285" s="54"/>
    </row>
    <row r="286" spans="17:17" ht="15.75" customHeight="1" x14ac:dyDescent="0.2">
      <c r="Q286" s="54"/>
    </row>
    <row r="287" spans="17:17" ht="15.75" customHeight="1" x14ac:dyDescent="0.2">
      <c r="Q287" s="54"/>
    </row>
    <row r="288" spans="17:17" ht="15.75" customHeight="1" x14ac:dyDescent="0.2">
      <c r="Q288" s="54"/>
    </row>
    <row r="289" spans="17:17" ht="15.75" customHeight="1" x14ac:dyDescent="0.2">
      <c r="Q289" s="54"/>
    </row>
    <row r="290" spans="17:17" ht="15.75" customHeight="1" x14ac:dyDescent="0.2">
      <c r="Q290" s="54"/>
    </row>
    <row r="291" spans="17:17" ht="15.75" customHeight="1" x14ac:dyDescent="0.2">
      <c r="Q291" s="54"/>
    </row>
    <row r="292" spans="17:17" ht="15.75" customHeight="1" x14ac:dyDescent="0.2">
      <c r="Q292" s="54"/>
    </row>
    <row r="293" spans="17:17" ht="15.75" customHeight="1" x14ac:dyDescent="0.2">
      <c r="Q293" s="54"/>
    </row>
    <row r="294" spans="17:17" ht="15.75" customHeight="1" x14ac:dyDescent="0.2">
      <c r="Q294" s="54"/>
    </row>
    <row r="295" spans="17:17" ht="15.75" customHeight="1" x14ac:dyDescent="0.2">
      <c r="Q295" s="54"/>
    </row>
    <row r="296" spans="17:17" ht="15.75" customHeight="1" x14ac:dyDescent="0.2">
      <c r="Q296" s="54"/>
    </row>
    <row r="297" spans="17:17" ht="15.75" customHeight="1" x14ac:dyDescent="0.2">
      <c r="Q297" s="54"/>
    </row>
    <row r="298" spans="17:17" ht="15.75" customHeight="1" x14ac:dyDescent="0.2">
      <c r="Q298" s="54"/>
    </row>
    <row r="299" spans="17:17" ht="15.75" customHeight="1" x14ac:dyDescent="0.2">
      <c r="Q299" s="54"/>
    </row>
    <row r="300" spans="17:17" ht="15.75" customHeight="1" x14ac:dyDescent="0.2">
      <c r="Q300" s="54"/>
    </row>
    <row r="301" spans="17:17" ht="15.75" customHeight="1" x14ac:dyDescent="0.2">
      <c r="Q301" s="54"/>
    </row>
    <row r="302" spans="17:17" ht="15.75" customHeight="1" x14ac:dyDescent="0.2">
      <c r="Q302" s="54"/>
    </row>
    <row r="303" spans="17:17" ht="15.75" customHeight="1" x14ac:dyDescent="0.2">
      <c r="Q303" s="54"/>
    </row>
    <row r="304" spans="17:17" ht="15.75" customHeight="1" x14ac:dyDescent="0.2">
      <c r="Q304" s="54"/>
    </row>
    <row r="305" spans="17:17" ht="15.75" customHeight="1" x14ac:dyDescent="0.2">
      <c r="Q305" s="54"/>
    </row>
    <row r="306" spans="17:17" ht="15.75" customHeight="1" x14ac:dyDescent="0.2">
      <c r="Q306" s="54"/>
    </row>
    <row r="307" spans="17:17" ht="15.75" customHeight="1" x14ac:dyDescent="0.2">
      <c r="Q307" s="54"/>
    </row>
    <row r="308" spans="17:17" ht="15.75" customHeight="1" x14ac:dyDescent="0.2">
      <c r="Q308" s="54"/>
    </row>
    <row r="309" spans="17:17" ht="15.75" customHeight="1" x14ac:dyDescent="0.2">
      <c r="Q309" s="54"/>
    </row>
    <row r="310" spans="17:17" ht="15.75" customHeight="1" x14ac:dyDescent="0.2">
      <c r="Q310" s="54"/>
    </row>
    <row r="311" spans="17:17" ht="15.75" customHeight="1" x14ac:dyDescent="0.2">
      <c r="Q311" s="54"/>
    </row>
    <row r="312" spans="17:17" ht="15.75" customHeight="1" x14ac:dyDescent="0.2">
      <c r="Q312" s="54"/>
    </row>
    <row r="313" spans="17:17" ht="15.75" customHeight="1" x14ac:dyDescent="0.2">
      <c r="Q313" s="54"/>
    </row>
    <row r="314" spans="17:17" ht="15.75" customHeight="1" x14ac:dyDescent="0.2">
      <c r="Q314" s="54"/>
    </row>
    <row r="315" spans="17:17" ht="15.75" customHeight="1" x14ac:dyDescent="0.2">
      <c r="Q315" s="54"/>
    </row>
    <row r="316" spans="17:17" ht="15.75" customHeight="1" x14ac:dyDescent="0.2">
      <c r="Q316" s="54"/>
    </row>
    <row r="317" spans="17:17" ht="15.75" customHeight="1" x14ac:dyDescent="0.2">
      <c r="Q317" s="54"/>
    </row>
    <row r="318" spans="17:17" ht="15.75" customHeight="1" x14ac:dyDescent="0.2">
      <c r="Q318" s="54"/>
    </row>
    <row r="319" spans="17:17" ht="15.75" customHeight="1" x14ac:dyDescent="0.2">
      <c r="Q319" s="54"/>
    </row>
    <row r="320" spans="17:17" ht="15.75" customHeight="1" x14ac:dyDescent="0.2">
      <c r="Q320" s="54"/>
    </row>
    <row r="321" spans="17:17" ht="15.75" customHeight="1" x14ac:dyDescent="0.2">
      <c r="Q321" s="54"/>
    </row>
    <row r="322" spans="17:17" ht="15.75" customHeight="1" x14ac:dyDescent="0.2">
      <c r="Q322" s="54"/>
    </row>
    <row r="323" spans="17:17" ht="15.75" customHeight="1" x14ac:dyDescent="0.2">
      <c r="Q323" s="54"/>
    </row>
    <row r="324" spans="17:17" ht="15.75" customHeight="1" x14ac:dyDescent="0.2">
      <c r="Q324" s="54"/>
    </row>
    <row r="325" spans="17:17" ht="15.75" customHeight="1" x14ac:dyDescent="0.2">
      <c r="Q325" s="54"/>
    </row>
    <row r="326" spans="17:17" ht="15.75" customHeight="1" x14ac:dyDescent="0.2">
      <c r="Q326" s="54"/>
    </row>
    <row r="327" spans="17:17" ht="15.75" customHeight="1" x14ac:dyDescent="0.2">
      <c r="Q327" s="54"/>
    </row>
    <row r="328" spans="17:17" ht="15.75" customHeight="1" x14ac:dyDescent="0.2">
      <c r="Q328" s="54"/>
    </row>
    <row r="329" spans="17:17" ht="15.75" customHeight="1" x14ac:dyDescent="0.2">
      <c r="Q329" s="54"/>
    </row>
    <row r="330" spans="17:17" ht="15.75" customHeight="1" x14ac:dyDescent="0.2">
      <c r="Q330" s="54"/>
    </row>
    <row r="331" spans="17:17" ht="15.75" customHeight="1" x14ac:dyDescent="0.2">
      <c r="Q331" s="54"/>
    </row>
    <row r="332" spans="17:17" ht="15.75" customHeight="1" x14ac:dyDescent="0.2">
      <c r="Q332" s="54"/>
    </row>
    <row r="333" spans="17:17" ht="15.75" customHeight="1" x14ac:dyDescent="0.2">
      <c r="Q333" s="54"/>
    </row>
    <row r="334" spans="17:17" ht="15.75" customHeight="1" x14ac:dyDescent="0.2">
      <c r="Q334" s="54"/>
    </row>
    <row r="335" spans="17:17" ht="15.75" customHeight="1" x14ac:dyDescent="0.2">
      <c r="Q335" s="54"/>
    </row>
    <row r="336" spans="17:17" ht="15.75" customHeight="1" x14ac:dyDescent="0.2">
      <c r="Q336" s="54"/>
    </row>
    <row r="337" spans="17:17" ht="15.75" customHeight="1" x14ac:dyDescent="0.2">
      <c r="Q337" s="54"/>
    </row>
    <row r="338" spans="17:17" ht="15.75" customHeight="1" x14ac:dyDescent="0.2">
      <c r="Q338" s="54"/>
    </row>
    <row r="339" spans="17:17" ht="15.75" customHeight="1" x14ac:dyDescent="0.2">
      <c r="Q339" s="54"/>
    </row>
    <row r="340" spans="17:17" ht="15.75" customHeight="1" x14ac:dyDescent="0.2">
      <c r="Q340" s="54"/>
    </row>
    <row r="341" spans="17:17" ht="15.75" customHeight="1" x14ac:dyDescent="0.2">
      <c r="Q341" s="54"/>
    </row>
    <row r="342" spans="17:17" ht="15.75" customHeight="1" x14ac:dyDescent="0.2">
      <c r="Q342" s="54"/>
    </row>
    <row r="343" spans="17:17" ht="15.75" customHeight="1" x14ac:dyDescent="0.2">
      <c r="Q343" s="54"/>
    </row>
    <row r="344" spans="17:17" ht="15.75" customHeight="1" x14ac:dyDescent="0.2">
      <c r="Q344" s="54"/>
    </row>
    <row r="345" spans="17:17" ht="15.75" customHeight="1" x14ac:dyDescent="0.2">
      <c r="Q345" s="54"/>
    </row>
    <row r="346" spans="17:17" ht="15.75" customHeight="1" x14ac:dyDescent="0.2">
      <c r="Q346" s="54"/>
    </row>
    <row r="347" spans="17:17" ht="15.75" customHeight="1" x14ac:dyDescent="0.2">
      <c r="Q347" s="54"/>
    </row>
    <row r="348" spans="17:17" ht="15.75" customHeight="1" x14ac:dyDescent="0.2">
      <c r="Q348" s="54"/>
    </row>
    <row r="349" spans="17:17" ht="15.75" customHeight="1" x14ac:dyDescent="0.2">
      <c r="Q349" s="54"/>
    </row>
    <row r="350" spans="17:17" ht="15.75" customHeight="1" x14ac:dyDescent="0.2">
      <c r="Q350" s="54"/>
    </row>
    <row r="351" spans="17:17" ht="15.75" customHeight="1" x14ac:dyDescent="0.2">
      <c r="Q351" s="54"/>
    </row>
    <row r="352" spans="17:17" ht="15.75" customHeight="1" x14ac:dyDescent="0.2">
      <c r="Q352" s="54"/>
    </row>
    <row r="353" spans="17:17" ht="15.75" customHeight="1" x14ac:dyDescent="0.2">
      <c r="Q353" s="54"/>
    </row>
    <row r="354" spans="17:17" ht="15.75" customHeight="1" x14ac:dyDescent="0.2">
      <c r="Q354" s="54"/>
    </row>
    <row r="355" spans="17:17" ht="15.75" customHeight="1" x14ac:dyDescent="0.2">
      <c r="Q355" s="54"/>
    </row>
    <row r="356" spans="17:17" ht="15.75" customHeight="1" x14ac:dyDescent="0.2">
      <c r="Q356" s="54"/>
    </row>
    <row r="357" spans="17:17" ht="15.75" customHeight="1" x14ac:dyDescent="0.2">
      <c r="Q357" s="54"/>
    </row>
    <row r="358" spans="17:17" ht="15.75" customHeight="1" x14ac:dyDescent="0.2">
      <c r="Q358" s="54"/>
    </row>
    <row r="359" spans="17:17" ht="15.75" customHeight="1" x14ac:dyDescent="0.2">
      <c r="Q359" s="54"/>
    </row>
    <row r="360" spans="17:17" ht="15.75" customHeight="1" x14ac:dyDescent="0.2">
      <c r="Q360" s="54"/>
    </row>
    <row r="361" spans="17:17" ht="15.75" customHeight="1" x14ac:dyDescent="0.2">
      <c r="Q361" s="54"/>
    </row>
    <row r="362" spans="17:17" ht="15.75" customHeight="1" x14ac:dyDescent="0.2">
      <c r="Q362" s="54"/>
    </row>
    <row r="363" spans="17:17" ht="15.75" customHeight="1" x14ac:dyDescent="0.2">
      <c r="Q363" s="54"/>
    </row>
    <row r="364" spans="17:17" ht="15.75" customHeight="1" x14ac:dyDescent="0.2">
      <c r="Q364" s="54"/>
    </row>
    <row r="365" spans="17:17" ht="15.75" customHeight="1" x14ac:dyDescent="0.2">
      <c r="Q365" s="54"/>
    </row>
    <row r="366" spans="17:17" ht="15.75" customHeight="1" x14ac:dyDescent="0.2">
      <c r="Q366" s="54"/>
    </row>
    <row r="367" spans="17:17" ht="15.75" customHeight="1" x14ac:dyDescent="0.2">
      <c r="Q367" s="54"/>
    </row>
    <row r="368" spans="17:17" ht="15.75" customHeight="1" x14ac:dyDescent="0.2">
      <c r="Q368" s="54"/>
    </row>
    <row r="369" spans="17:17" ht="15.75" customHeight="1" x14ac:dyDescent="0.2">
      <c r="Q369" s="54"/>
    </row>
    <row r="370" spans="17:17" ht="15.75" customHeight="1" x14ac:dyDescent="0.2">
      <c r="Q370" s="54"/>
    </row>
    <row r="371" spans="17:17" ht="15.75" customHeight="1" x14ac:dyDescent="0.2">
      <c r="Q371" s="54"/>
    </row>
    <row r="372" spans="17:17" ht="15.75" customHeight="1" x14ac:dyDescent="0.2">
      <c r="Q372" s="54"/>
    </row>
    <row r="373" spans="17:17" ht="15.75" customHeight="1" x14ac:dyDescent="0.2">
      <c r="Q373" s="54"/>
    </row>
    <row r="374" spans="17:17" ht="15.75" customHeight="1" x14ac:dyDescent="0.2">
      <c r="Q374" s="54"/>
    </row>
    <row r="375" spans="17:17" ht="15.75" customHeight="1" x14ac:dyDescent="0.2">
      <c r="Q375" s="54"/>
    </row>
    <row r="376" spans="17:17" ht="15.75" customHeight="1" x14ac:dyDescent="0.2">
      <c r="Q376" s="54"/>
    </row>
    <row r="377" spans="17:17" ht="15.75" customHeight="1" x14ac:dyDescent="0.2">
      <c r="Q377" s="54"/>
    </row>
    <row r="378" spans="17:17" ht="15.75" customHeight="1" x14ac:dyDescent="0.2">
      <c r="Q378" s="54"/>
    </row>
    <row r="379" spans="17:17" ht="15.75" customHeight="1" x14ac:dyDescent="0.2">
      <c r="Q379" s="54"/>
    </row>
    <row r="380" spans="17:17" ht="15.75" customHeight="1" x14ac:dyDescent="0.2">
      <c r="Q380" s="54"/>
    </row>
    <row r="381" spans="17:17" ht="15.75" customHeight="1" x14ac:dyDescent="0.2">
      <c r="Q381" s="54"/>
    </row>
    <row r="382" spans="17:17" ht="15.75" customHeight="1" x14ac:dyDescent="0.2">
      <c r="Q382" s="54"/>
    </row>
    <row r="383" spans="17:17" ht="15.75" customHeight="1" x14ac:dyDescent="0.2">
      <c r="Q383" s="54"/>
    </row>
    <row r="384" spans="17:17" ht="15.75" customHeight="1" x14ac:dyDescent="0.2">
      <c r="Q384" s="54"/>
    </row>
    <row r="385" spans="17:17" ht="15.75" customHeight="1" x14ac:dyDescent="0.2">
      <c r="Q385" s="54"/>
    </row>
    <row r="386" spans="17:17" ht="15.75" customHeight="1" x14ac:dyDescent="0.2">
      <c r="Q386" s="54"/>
    </row>
    <row r="387" spans="17:17" ht="15.75" customHeight="1" x14ac:dyDescent="0.2">
      <c r="Q387" s="54"/>
    </row>
    <row r="388" spans="17:17" ht="15.75" customHeight="1" x14ac:dyDescent="0.2">
      <c r="Q388" s="54"/>
    </row>
    <row r="389" spans="17:17" ht="15.75" customHeight="1" x14ac:dyDescent="0.2">
      <c r="Q389" s="54"/>
    </row>
    <row r="390" spans="17:17" ht="15.75" customHeight="1" x14ac:dyDescent="0.2">
      <c r="Q390" s="54"/>
    </row>
    <row r="391" spans="17:17" ht="15.75" customHeight="1" x14ac:dyDescent="0.2">
      <c r="Q391" s="54"/>
    </row>
    <row r="392" spans="17:17" ht="15.75" customHeight="1" x14ac:dyDescent="0.2">
      <c r="Q392" s="54"/>
    </row>
    <row r="393" spans="17:17" ht="15.75" customHeight="1" x14ac:dyDescent="0.2">
      <c r="Q393" s="54"/>
    </row>
    <row r="394" spans="17:17" ht="15.75" customHeight="1" x14ac:dyDescent="0.2">
      <c r="Q394" s="54"/>
    </row>
    <row r="395" spans="17:17" ht="15.75" customHeight="1" x14ac:dyDescent="0.2">
      <c r="Q395" s="54"/>
    </row>
    <row r="396" spans="17:17" ht="15.75" customHeight="1" x14ac:dyDescent="0.2">
      <c r="Q396" s="54"/>
    </row>
    <row r="397" spans="17:17" ht="15.75" customHeight="1" x14ac:dyDescent="0.2">
      <c r="Q397" s="54"/>
    </row>
    <row r="398" spans="17:17" ht="15.75" customHeight="1" x14ac:dyDescent="0.2">
      <c r="Q398" s="54"/>
    </row>
    <row r="399" spans="17:17" ht="15.75" customHeight="1" x14ac:dyDescent="0.2">
      <c r="Q399" s="54"/>
    </row>
    <row r="400" spans="17:17" ht="15.75" customHeight="1" x14ac:dyDescent="0.2">
      <c r="Q400" s="54"/>
    </row>
    <row r="401" spans="17:17" ht="15.75" customHeight="1" x14ac:dyDescent="0.2">
      <c r="Q401" s="54"/>
    </row>
    <row r="402" spans="17:17" ht="15.75" customHeight="1" x14ac:dyDescent="0.2">
      <c r="Q402" s="54"/>
    </row>
    <row r="403" spans="17:17" ht="15.75" customHeight="1" x14ac:dyDescent="0.2">
      <c r="Q403" s="54"/>
    </row>
    <row r="404" spans="17:17" ht="15.75" customHeight="1" x14ac:dyDescent="0.2">
      <c r="Q404" s="54"/>
    </row>
    <row r="405" spans="17:17" ht="15.75" customHeight="1" x14ac:dyDescent="0.2">
      <c r="Q405" s="54"/>
    </row>
    <row r="406" spans="17:17" ht="15.75" customHeight="1" x14ac:dyDescent="0.2">
      <c r="Q406" s="54"/>
    </row>
    <row r="407" spans="17:17" ht="15.75" customHeight="1" x14ac:dyDescent="0.2">
      <c r="Q407" s="54"/>
    </row>
    <row r="408" spans="17:17" ht="15.75" customHeight="1" x14ac:dyDescent="0.2">
      <c r="Q408" s="54"/>
    </row>
    <row r="409" spans="17:17" ht="15.75" customHeight="1" x14ac:dyDescent="0.2">
      <c r="Q409" s="54"/>
    </row>
    <row r="410" spans="17:17" ht="15.75" customHeight="1" x14ac:dyDescent="0.2">
      <c r="Q410" s="54"/>
    </row>
    <row r="411" spans="17:17" ht="15.75" customHeight="1" x14ac:dyDescent="0.2">
      <c r="Q411" s="54"/>
    </row>
    <row r="412" spans="17:17" ht="15.75" customHeight="1" x14ac:dyDescent="0.2">
      <c r="Q412" s="54"/>
    </row>
    <row r="413" spans="17:17" ht="15.75" customHeight="1" x14ac:dyDescent="0.2">
      <c r="Q413" s="54"/>
    </row>
    <row r="414" spans="17:17" ht="15.75" customHeight="1" x14ac:dyDescent="0.2">
      <c r="Q414" s="54"/>
    </row>
    <row r="415" spans="17:17" ht="15.75" customHeight="1" x14ac:dyDescent="0.2">
      <c r="Q415" s="54"/>
    </row>
    <row r="416" spans="17:17" ht="15.75" customHeight="1" x14ac:dyDescent="0.2">
      <c r="Q416" s="54"/>
    </row>
    <row r="417" spans="17:17" ht="15.75" customHeight="1" x14ac:dyDescent="0.2">
      <c r="Q417" s="54"/>
    </row>
    <row r="418" spans="17:17" ht="15.75" customHeight="1" x14ac:dyDescent="0.2">
      <c r="Q418" s="54"/>
    </row>
    <row r="419" spans="17:17" ht="15.75" customHeight="1" x14ac:dyDescent="0.2">
      <c r="Q419" s="54"/>
    </row>
    <row r="420" spans="17:17" ht="15.75" customHeight="1" x14ac:dyDescent="0.2">
      <c r="Q420" s="54"/>
    </row>
    <row r="421" spans="17:17" ht="15.75" customHeight="1" x14ac:dyDescent="0.2">
      <c r="Q421" s="54"/>
    </row>
    <row r="422" spans="17:17" ht="15.75" customHeight="1" x14ac:dyDescent="0.2">
      <c r="Q422" s="54"/>
    </row>
    <row r="423" spans="17:17" ht="15.75" customHeight="1" x14ac:dyDescent="0.2">
      <c r="Q423" s="54"/>
    </row>
    <row r="424" spans="17:17" ht="15.75" customHeight="1" x14ac:dyDescent="0.2">
      <c r="Q424" s="54"/>
    </row>
    <row r="425" spans="17:17" ht="15.75" customHeight="1" x14ac:dyDescent="0.2">
      <c r="Q425" s="54"/>
    </row>
    <row r="426" spans="17:17" ht="15.75" customHeight="1" x14ac:dyDescent="0.2">
      <c r="Q426" s="54"/>
    </row>
    <row r="427" spans="17:17" ht="15.75" customHeight="1" x14ac:dyDescent="0.2">
      <c r="Q427" s="54"/>
    </row>
    <row r="428" spans="17:17" ht="15.75" customHeight="1" x14ac:dyDescent="0.2">
      <c r="Q428" s="54"/>
    </row>
    <row r="429" spans="17:17" ht="15.75" customHeight="1" x14ac:dyDescent="0.2">
      <c r="Q429" s="54"/>
    </row>
    <row r="430" spans="17:17" ht="15.75" customHeight="1" x14ac:dyDescent="0.2">
      <c r="Q430" s="54"/>
    </row>
    <row r="431" spans="17:17" ht="15.75" customHeight="1" x14ac:dyDescent="0.2">
      <c r="Q431" s="54"/>
    </row>
    <row r="432" spans="17:17" ht="15.75" customHeight="1" x14ac:dyDescent="0.2">
      <c r="Q432" s="54"/>
    </row>
    <row r="433" spans="17:17" ht="15.75" customHeight="1" x14ac:dyDescent="0.2">
      <c r="Q433" s="54"/>
    </row>
    <row r="434" spans="17:17" ht="15.75" customHeight="1" x14ac:dyDescent="0.2">
      <c r="Q434" s="54"/>
    </row>
    <row r="435" spans="17:17" ht="15.75" customHeight="1" x14ac:dyDescent="0.2">
      <c r="Q435" s="54"/>
    </row>
    <row r="436" spans="17:17" ht="15.75" customHeight="1" x14ac:dyDescent="0.2">
      <c r="Q436" s="54"/>
    </row>
    <row r="437" spans="17:17" ht="15.75" customHeight="1" x14ac:dyDescent="0.2">
      <c r="Q437" s="54"/>
    </row>
    <row r="438" spans="17:17" ht="15.75" customHeight="1" x14ac:dyDescent="0.2">
      <c r="Q438" s="54"/>
    </row>
    <row r="439" spans="17:17" ht="15.75" customHeight="1" x14ac:dyDescent="0.2">
      <c r="Q439" s="54"/>
    </row>
    <row r="440" spans="17:17" ht="15.75" customHeight="1" x14ac:dyDescent="0.2">
      <c r="Q440" s="54"/>
    </row>
    <row r="441" spans="17:17" ht="15.75" customHeight="1" x14ac:dyDescent="0.2">
      <c r="Q441" s="54"/>
    </row>
    <row r="442" spans="17:17" ht="15.75" customHeight="1" x14ac:dyDescent="0.2">
      <c r="Q442" s="54"/>
    </row>
    <row r="443" spans="17:17" ht="15.75" customHeight="1" x14ac:dyDescent="0.2">
      <c r="Q443" s="54"/>
    </row>
    <row r="444" spans="17:17" ht="15.75" customHeight="1" x14ac:dyDescent="0.2">
      <c r="Q444" s="54"/>
    </row>
    <row r="445" spans="17:17" ht="15.75" customHeight="1" x14ac:dyDescent="0.2">
      <c r="Q445" s="54"/>
    </row>
    <row r="446" spans="17:17" ht="15.75" customHeight="1" x14ac:dyDescent="0.2">
      <c r="Q446" s="54"/>
    </row>
    <row r="447" spans="17:17" ht="15.75" customHeight="1" x14ac:dyDescent="0.2">
      <c r="Q447" s="54"/>
    </row>
    <row r="448" spans="17:17" ht="15.75" customHeight="1" x14ac:dyDescent="0.2">
      <c r="Q448" s="54"/>
    </row>
    <row r="449" spans="17:17" ht="15.75" customHeight="1" x14ac:dyDescent="0.2">
      <c r="Q449" s="54"/>
    </row>
    <row r="450" spans="17:17" ht="15.75" customHeight="1" x14ac:dyDescent="0.2">
      <c r="Q450" s="54"/>
    </row>
    <row r="451" spans="17:17" ht="15.75" customHeight="1" x14ac:dyDescent="0.2">
      <c r="Q451" s="54"/>
    </row>
    <row r="452" spans="17:17" ht="15.75" customHeight="1" x14ac:dyDescent="0.2">
      <c r="Q452" s="54"/>
    </row>
    <row r="453" spans="17:17" ht="15.75" customHeight="1" x14ac:dyDescent="0.2">
      <c r="Q453" s="54"/>
    </row>
    <row r="454" spans="17:17" ht="15.75" customHeight="1" x14ac:dyDescent="0.2">
      <c r="Q454" s="54"/>
    </row>
    <row r="455" spans="17:17" ht="15.75" customHeight="1" x14ac:dyDescent="0.2">
      <c r="Q455" s="54"/>
    </row>
    <row r="456" spans="17:17" ht="15.75" customHeight="1" x14ac:dyDescent="0.2">
      <c r="Q456" s="54"/>
    </row>
    <row r="457" spans="17:17" ht="15.75" customHeight="1" x14ac:dyDescent="0.2">
      <c r="Q457" s="54"/>
    </row>
    <row r="458" spans="17:17" ht="15.75" customHeight="1" x14ac:dyDescent="0.2">
      <c r="Q458" s="54"/>
    </row>
    <row r="459" spans="17:17" ht="15.75" customHeight="1" x14ac:dyDescent="0.2">
      <c r="Q459" s="54"/>
    </row>
    <row r="460" spans="17:17" ht="15.75" customHeight="1" x14ac:dyDescent="0.2">
      <c r="Q460" s="54"/>
    </row>
    <row r="461" spans="17:17" ht="15.75" customHeight="1" x14ac:dyDescent="0.2">
      <c r="Q461" s="54"/>
    </row>
    <row r="462" spans="17:17" ht="15.75" customHeight="1" x14ac:dyDescent="0.2">
      <c r="Q462" s="54"/>
    </row>
    <row r="463" spans="17:17" ht="15.75" customHeight="1" x14ac:dyDescent="0.2">
      <c r="Q463" s="54"/>
    </row>
    <row r="464" spans="17:17" ht="15.75" customHeight="1" x14ac:dyDescent="0.2">
      <c r="Q464" s="54"/>
    </row>
    <row r="465" spans="17:17" ht="15.75" customHeight="1" x14ac:dyDescent="0.2">
      <c r="Q465" s="54"/>
    </row>
    <row r="466" spans="17:17" ht="15.75" customHeight="1" x14ac:dyDescent="0.2">
      <c r="Q466" s="54"/>
    </row>
    <row r="467" spans="17:17" ht="15.75" customHeight="1" x14ac:dyDescent="0.2">
      <c r="Q467" s="54"/>
    </row>
    <row r="468" spans="17:17" ht="15.75" customHeight="1" x14ac:dyDescent="0.2">
      <c r="Q468" s="54"/>
    </row>
    <row r="469" spans="17:17" ht="15.75" customHeight="1" x14ac:dyDescent="0.2">
      <c r="Q469" s="54"/>
    </row>
    <row r="470" spans="17:17" ht="15.75" customHeight="1" x14ac:dyDescent="0.2">
      <c r="Q470" s="54"/>
    </row>
    <row r="471" spans="17:17" ht="15.75" customHeight="1" x14ac:dyDescent="0.2">
      <c r="Q471" s="54"/>
    </row>
    <row r="472" spans="17:17" ht="15.75" customHeight="1" x14ac:dyDescent="0.2">
      <c r="Q472" s="54"/>
    </row>
    <row r="473" spans="17:17" ht="15.75" customHeight="1" x14ac:dyDescent="0.2">
      <c r="Q473" s="54"/>
    </row>
    <row r="474" spans="17:17" ht="15.75" customHeight="1" x14ac:dyDescent="0.2">
      <c r="Q474" s="54"/>
    </row>
    <row r="475" spans="17:17" ht="15.75" customHeight="1" x14ac:dyDescent="0.2">
      <c r="Q475" s="54"/>
    </row>
    <row r="476" spans="17:17" ht="15.75" customHeight="1" x14ac:dyDescent="0.2">
      <c r="Q476" s="54"/>
    </row>
    <row r="477" spans="17:17" ht="15.75" customHeight="1" x14ac:dyDescent="0.2">
      <c r="Q477" s="54"/>
    </row>
    <row r="478" spans="17:17" ht="15.75" customHeight="1" x14ac:dyDescent="0.2">
      <c r="Q478" s="54"/>
    </row>
    <row r="479" spans="17:17" ht="15.75" customHeight="1" x14ac:dyDescent="0.2">
      <c r="Q479" s="54"/>
    </row>
    <row r="480" spans="17:17" ht="15.75" customHeight="1" x14ac:dyDescent="0.2">
      <c r="Q480" s="54"/>
    </row>
    <row r="481" spans="17:17" ht="15.75" customHeight="1" x14ac:dyDescent="0.2">
      <c r="Q481" s="54"/>
    </row>
    <row r="482" spans="17:17" ht="15.75" customHeight="1" x14ac:dyDescent="0.2">
      <c r="Q482" s="54"/>
    </row>
    <row r="483" spans="17:17" ht="15.75" customHeight="1" x14ac:dyDescent="0.2">
      <c r="Q483" s="54"/>
    </row>
    <row r="484" spans="17:17" ht="15.75" customHeight="1" x14ac:dyDescent="0.2">
      <c r="Q484" s="54"/>
    </row>
    <row r="485" spans="17:17" ht="15.75" customHeight="1" x14ac:dyDescent="0.2">
      <c r="Q485" s="54"/>
    </row>
    <row r="486" spans="17:17" ht="15.75" customHeight="1" x14ac:dyDescent="0.2">
      <c r="Q486" s="54"/>
    </row>
    <row r="487" spans="17:17" ht="15.75" customHeight="1" x14ac:dyDescent="0.2">
      <c r="Q487" s="54"/>
    </row>
    <row r="488" spans="17:17" ht="15.75" customHeight="1" x14ac:dyDescent="0.2">
      <c r="Q488" s="54"/>
    </row>
    <row r="489" spans="17:17" ht="15.75" customHeight="1" x14ac:dyDescent="0.2">
      <c r="Q489" s="54"/>
    </row>
    <row r="490" spans="17:17" ht="15.75" customHeight="1" x14ac:dyDescent="0.2">
      <c r="Q490" s="54"/>
    </row>
    <row r="491" spans="17:17" ht="15.75" customHeight="1" x14ac:dyDescent="0.2">
      <c r="Q491" s="54"/>
    </row>
    <row r="492" spans="17:17" ht="15.75" customHeight="1" x14ac:dyDescent="0.2">
      <c r="Q492" s="54"/>
    </row>
    <row r="493" spans="17:17" ht="15.75" customHeight="1" x14ac:dyDescent="0.2">
      <c r="Q493" s="54"/>
    </row>
    <row r="494" spans="17:17" ht="15.75" customHeight="1" x14ac:dyDescent="0.2">
      <c r="Q494" s="54"/>
    </row>
    <row r="495" spans="17:17" ht="15.75" customHeight="1" x14ac:dyDescent="0.2">
      <c r="Q495" s="54"/>
    </row>
    <row r="496" spans="17:17" ht="15.75" customHeight="1" x14ac:dyDescent="0.2">
      <c r="Q496" s="54"/>
    </row>
    <row r="497" spans="17:17" ht="15.75" customHeight="1" x14ac:dyDescent="0.2">
      <c r="Q497" s="54"/>
    </row>
    <row r="498" spans="17:17" ht="15.75" customHeight="1" x14ac:dyDescent="0.2">
      <c r="Q498" s="54"/>
    </row>
    <row r="499" spans="17:17" ht="15.75" customHeight="1" x14ac:dyDescent="0.2">
      <c r="Q499" s="54"/>
    </row>
    <row r="500" spans="17:17" ht="15.75" customHeight="1" x14ac:dyDescent="0.2">
      <c r="Q500" s="54"/>
    </row>
    <row r="501" spans="17:17" ht="15.75" customHeight="1" x14ac:dyDescent="0.2">
      <c r="Q501" s="54"/>
    </row>
    <row r="502" spans="17:17" ht="15.75" customHeight="1" x14ac:dyDescent="0.2">
      <c r="Q502" s="54"/>
    </row>
    <row r="503" spans="17:17" ht="15.75" customHeight="1" x14ac:dyDescent="0.2">
      <c r="Q503" s="54"/>
    </row>
    <row r="504" spans="17:17" ht="15.75" customHeight="1" x14ac:dyDescent="0.2">
      <c r="Q504" s="54"/>
    </row>
    <row r="505" spans="17:17" ht="15.75" customHeight="1" x14ac:dyDescent="0.2">
      <c r="Q505" s="54"/>
    </row>
    <row r="506" spans="17:17" ht="15.75" customHeight="1" x14ac:dyDescent="0.2">
      <c r="Q506" s="54"/>
    </row>
    <row r="507" spans="17:17" ht="15.75" customHeight="1" x14ac:dyDescent="0.2">
      <c r="Q507" s="54"/>
    </row>
    <row r="508" spans="17:17" ht="15.75" customHeight="1" x14ac:dyDescent="0.2">
      <c r="Q508" s="54"/>
    </row>
    <row r="509" spans="17:17" ht="15.75" customHeight="1" x14ac:dyDescent="0.2">
      <c r="Q509" s="54"/>
    </row>
    <row r="510" spans="17:17" ht="15.75" customHeight="1" x14ac:dyDescent="0.2">
      <c r="Q510" s="54"/>
    </row>
    <row r="511" spans="17:17" ht="15.75" customHeight="1" x14ac:dyDescent="0.2">
      <c r="Q511" s="54"/>
    </row>
    <row r="512" spans="17:17" ht="15.75" customHeight="1" x14ac:dyDescent="0.2">
      <c r="Q512" s="54"/>
    </row>
    <row r="513" spans="17:17" ht="15.75" customHeight="1" x14ac:dyDescent="0.2">
      <c r="Q513" s="54"/>
    </row>
    <row r="514" spans="17:17" ht="15.75" customHeight="1" x14ac:dyDescent="0.2">
      <c r="Q514" s="54"/>
    </row>
    <row r="515" spans="17:17" ht="15.75" customHeight="1" x14ac:dyDescent="0.2">
      <c r="Q515" s="54"/>
    </row>
    <row r="516" spans="17:17" ht="15.75" customHeight="1" x14ac:dyDescent="0.2">
      <c r="Q516" s="54"/>
    </row>
    <row r="517" spans="17:17" ht="15.75" customHeight="1" x14ac:dyDescent="0.2">
      <c r="Q517" s="54"/>
    </row>
    <row r="518" spans="17:17" ht="15.75" customHeight="1" x14ac:dyDescent="0.2">
      <c r="Q518" s="54"/>
    </row>
    <row r="519" spans="17:17" ht="15.75" customHeight="1" x14ac:dyDescent="0.2">
      <c r="Q519" s="54"/>
    </row>
    <row r="520" spans="17:17" ht="15.75" customHeight="1" x14ac:dyDescent="0.2">
      <c r="Q520" s="54"/>
    </row>
    <row r="521" spans="17:17" ht="15.75" customHeight="1" x14ac:dyDescent="0.2">
      <c r="Q521" s="54"/>
    </row>
    <row r="522" spans="17:17" ht="15.75" customHeight="1" x14ac:dyDescent="0.2">
      <c r="Q522" s="54"/>
    </row>
    <row r="523" spans="17:17" ht="15.75" customHeight="1" x14ac:dyDescent="0.2">
      <c r="Q523" s="54"/>
    </row>
    <row r="524" spans="17:17" ht="15.75" customHeight="1" x14ac:dyDescent="0.2">
      <c r="Q524" s="54"/>
    </row>
    <row r="525" spans="17:17" ht="15.75" customHeight="1" x14ac:dyDescent="0.2">
      <c r="Q525" s="54"/>
    </row>
    <row r="526" spans="17:17" ht="15.75" customHeight="1" x14ac:dyDescent="0.2">
      <c r="Q526" s="54"/>
    </row>
    <row r="527" spans="17:17" ht="15.75" customHeight="1" x14ac:dyDescent="0.2">
      <c r="Q527" s="54"/>
    </row>
    <row r="528" spans="17:17" ht="15.75" customHeight="1" x14ac:dyDescent="0.2">
      <c r="Q528" s="54"/>
    </row>
    <row r="529" spans="17:17" ht="15.75" customHeight="1" x14ac:dyDescent="0.2">
      <c r="Q529" s="54"/>
    </row>
    <row r="530" spans="17:17" ht="15.75" customHeight="1" x14ac:dyDescent="0.2">
      <c r="Q530" s="54"/>
    </row>
    <row r="531" spans="17:17" ht="15.75" customHeight="1" x14ac:dyDescent="0.2">
      <c r="Q531" s="54"/>
    </row>
    <row r="532" spans="17:17" ht="15.75" customHeight="1" x14ac:dyDescent="0.2">
      <c r="Q532" s="54"/>
    </row>
    <row r="533" spans="17:17" ht="15.75" customHeight="1" x14ac:dyDescent="0.2">
      <c r="Q533" s="54"/>
    </row>
    <row r="534" spans="17:17" ht="15.75" customHeight="1" x14ac:dyDescent="0.2">
      <c r="Q534" s="54"/>
    </row>
    <row r="535" spans="17:17" ht="15.75" customHeight="1" x14ac:dyDescent="0.2">
      <c r="Q535" s="54"/>
    </row>
    <row r="536" spans="17:17" ht="15.75" customHeight="1" x14ac:dyDescent="0.2">
      <c r="Q536" s="54"/>
    </row>
    <row r="537" spans="17:17" ht="15.75" customHeight="1" x14ac:dyDescent="0.2">
      <c r="Q537" s="54"/>
    </row>
    <row r="538" spans="17:17" ht="15.75" customHeight="1" x14ac:dyDescent="0.2">
      <c r="Q538" s="54"/>
    </row>
    <row r="539" spans="17:17" ht="15.75" customHeight="1" x14ac:dyDescent="0.2">
      <c r="Q539" s="54"/>
    </row>
    <row r="540" spans="17:17" ht="15.75" customHeight="1" x14ac:dyDescent="0.2">
      <c r="Q540" s="54"/>
    </row>
    <row r="541" spans="17:17" ht="15.75" customHeight="1" x14ac:dyDescent="0.2">
      <c r="Q541" s="54"/>
    </row>
    <row r="542" spans="17:17" ht="15.75" customHeight="1" x14ac:dyDescent="0.2">
      <c r="Q542" s="54"/>
    </row>
    <row r="543" spans="17:17" ht="15.75" customHeight="1" x14ac:dyDescent="0.2">
      <c r="Q543" s="54"/>
    </row>
    <row r="544" spans="17:17" ht="15.75" customHeight="1" x14ac:dyDescent="0.2">
      <c r="Q544" s="54"/>
    </row>
    <row r="545" spans="17:17" ht="15.75" customHeight="1" x14ac:dyDescent="0.2">
      <c r="Q545" s="54"/>
    </row>
    <row r="546" spans="17:17" ht="15.75" customHeight="1" x14ac:dyDescent="0.2">
      <c r="Q546" s="54"/>
    </row>
    <row r="547" spans="17:17" ht="15.75" customHeight="1" x14ac:dyDescent="0.2">
      <c r="Q547" s="54"/>
    </row>
    <row r="548" spans="17:17" ht="15.75" customHeight="1" x14ac:dyDescent="0.2">
      <c r="Q548" s="54"/>
    </row>
    <row r="549" spans="17:17" ht="15.75" customHeight="1" x14ac:dyDescent="0.2">
      <c r="Q549" s="54"/>
    </row>
    <row r="550" spans="17:17" ht="15.75" customHeight="1" x14ac:dyDescent="0.2">
      <c r="Q550" s="54"/>
    </row>
    <row r="551" spans="17:17" ht="15.75" customHeight="1" x14ac:dyDescent="0.2">
      <c r="Q551" s="54"/>
    </row>
    <row r="552" spans="17:17" ht="15.75" customHeight="1" x14ac:dyDescent="0.2">
      <c r="Q552" s="54"/>
    </row>
    <row r="553" spans="17:17" ht="15.75" customHeight="1" x14ac:dyDescent="0.2">
      <c r="Q553" s="54"/>
    </row>
    <row r="554" spans="17:17" ht="15.75" customHeight="1" x14ac:dyDescent="0.2">
      <c r="Q554" s="54"/>
    </row>
    <row r="555" spans="17:17" ht="15.75" customHeight="1" x14ac:dyDescent="0.2">
      <c r="Q555" s="54"/>
    </row>
    <row r="556" spans="17:17" ht="15.75" customHeight="1" x14ac:dyDescent="0.2">
      <c r="Q556" s="54"/>
    </row>
    <row r="557" spans="17:17" ht="15.75" customHeight="1" x14ac:dyDescent="0.2">
      <c r="Q557" s="54"/>
    </row>
    <row r="558" spans="17:17" ht="15.75" customHeight="1" x14ac:dyDescent="0.2">
      <c r="Q558" s="54"/>
    </row>
    <row r="559" spans="17:17" ht="15.75" customHeight="1" x14ac:dyDescent="0.2">
      <c r="Q559" s="54"/>
    </row>
    <row r="560" spans="17:17" ht="15.75" customHeight="1" x14ac:dyDescent="0.2">
      <c r="Q560" s="54"/>
    </row>
    <row r="561" spans="17:17" ht="15.75" customHeight="1" x14ac:dyDescent="0.2">
      <c r="Q561" s="54"/>
    </row>
    <row r="562" spans="17:17" ht="15.75" customHeight="1" x14ac:dyDescent="0.2">
      <c r="Q562" s="54"/>
    </row>
    <row r="563" spans="17:17" ht="15.75" customHeight="1" x14ac:dyDescent="0.2">
      <c r="Q563" s="54"/>
    </row>
    <row r="564" spans="17:17" ht="15.75" customHeight="1" x14ac:dyDescent="0.2">
      <c r="Q564" s="54"/>
    </row>
    <row r="565" spans="17:17" ht="15.75" customHeight="1" x14ac:dyDescent="0.2">
      <c r="Q565" s="54"/>
    </row>
    <row r="566" spans="17:17" ht="15.75" customHeight="1" x14ac:dyDescent="0.2">
      <c r="Q566" s="54"/>
    </row>
    <row r="567" spans="17:17" ht="15.75" customHeight="1" x14ac:dyDescent="0.2">
      <c r="Q567" s="54"/>
    </row>
    <row r="568" spans="17:17" ht="15.75" customHeight="1" x14ac:dyDescent="0.2">
      <c r="Q568" s="54"/>
    </row>
    <row r="569" spans="17:17" ht="15.75" customHeight="1" x14ac:dyDescent="0.2">
      <c r="Q569" s="54"/>
    </row>
    <row r="570" spans="17:17" ht="15.75" customHeight="1" x14ac:dyDescent="0.2">
      <c r="Q570" s="54"/>
    </row>
    <row r="571" spans="17:17" ht="15.75" customHeight="1" x14ac:dyDescent="0.2">
      <c r="Q571" s="54"/>
    </row>
    <row r="572" spans="17:17" ht="15.75" customHeight="1" x14ac:dyDescent="0.2">
      <c r="Q572" s="54"/>
    </row>
    <row r="573" spans="17:17" ht="15.75" customHeight="1" x14ac:dyDescent="0.2">
      <c r="Q573" s="54"/>
    </row>
    <row r="574" spans="17:17" ht="15.75" customHeight="1" x14ac:dyDescent="0.2">
      <c r="Q574" s="54"/>
    </row>
    <row r="575" spans="17:17" ht="15.75" customHeight="1" x14ac:dyDescent="0.2">
      <c r="Q575" s="54"/>
    </row>
    <row r="576" spans="17:17" ht="15.75" customHeight="1" x14ac:dyDescent="0.2">
      <c r="Q576" s="54"/>
    </row>
    <row r="577" spans="17:17" ht="15.75" customHeight="1" x14ac:dyDescent="0.2">
      <c r="Q577" s="54"/>
    </row>
    <row r="578" spans="17:17" ht="15.75" customHeight="1" x14ac:dyDescent="0.2">
      <c r="Q578" s="54"/>
    </row>
    <row r="579" spans="17:17" ht="15.75" customHeight="1" x14ac:dyDescent="0.2">
      <c r="Q579" s="54"/>
    </row>
    <row r="580" spans="17:17" ht="15.75" customHeight="1" x14ac:dyDescent="0.2">
      <c r="Q580" s="54"/>
    </row>
    <row r="581" spans="17:17" ht="15.75" customHeight="1" x14ac:dyDescent="0.2">
      <c r="Q581" s="54"/>
    </row>
    <row r="582" spans="17:17" ht="15.75" customHeight="1" x14ac:dyDescent="0.2">
      <c r="Q582" s="54"/>
    </row>
    <row r="583" spans="17:17" ht="15.75" customHeight="1" x14ac:dyDescent="0.2">
      <c r="Q583" s="54"/>
    </row>
    <row r="584" spans="17:17" ht="15.75" customHeight="1" x14ac:dyDescent="0.2">
      <c r="Q584" s="54"/>
    </row>
    <row r="585" spans="17:17" ht="15.75" customHeight="1" x14ac:dyDescent="0.2">
      <c r="Q585" s="54"/>
    </row>
    <row r="586" spans="17:17" ht="15.75" customHeight="1" x14ac:dyDescent="0.2">
      <c r="Q586" s="54"/>
    </row>
    <row r="587" spans="17:17" ht="15.75" customHeight="1" x14ac:dyDescent="0.2">
      <c r="Q587" s="54"/>
    </row>
    <row r="588" spans="17:17" ht="15.75" customHeight="1" x14ac:dyDescent="0.2">
      <c r="Q588" s="54"/>
    </row>
    <row r="589" spans="17:17" ht="15.75" customHeight="1" x14ac:dyDescent="0.2">
      <c r="Q589" s="54"/>
    </row>
    <row r="590" spans="17:17" ht="15.75" customHeight="1" x14ac:dyDescent="0.2">
      <c r="Q590" s="54"/>
    </row>
    <row r="591" spans="17:17" ht="15.75" customHeight="1" x14ac:dyDescent="0.2">
      <c r="Q591" s="54"/>
    </row>
    <row r="592" spans="17:17" ht="15.75" customHeight="1" x14ac:dyDescent="0.2">
      <c r="Q592" s="54"/>
    </row>
    <row r="593" spans="17:17" ht="15.75" customHeight="1" x14ac:dyDescent="0.2">
      <c r="Q593" s="54"/>
    </row>
    <row r="594" spans="17:17" ht="15.75" customHeight="1" x14ac:dyDescent="0.2">
      <c r="Q594" s="54"/>
    </row>
    <row r="595" spans="17:17" ht="15.75" customHeight="1" x14ac:dyDescent="0.2">
      <c r="Q595" s="54"/>
    </row>
    <row r="596" spans="17:17" ht="15.75" customHeight="1" x14ac:dyDescent="0.2">
      <c r="Q596" s="54"/>
    </row>
    <row r="597" spans="17:17" ht="15.75" customHeight="1" x14ac:dyDescent="0.2">
      <c r="Q597" s="54"/>
    </row>
    <row r="598" spans="17:17" ht="15.75" customHeight="1" x14ac:dyDescent="0.2">
      <c r="Q598" s="54"/>
    </row>
    <row r="599" spans="17:17" ht="15.75" customHeight="1" x14ac:dyDescent="0.2">
      <c r="Q599" s="54"/>
    </row>
    <row r="600" spans="17:17" ht="15.75" customHeight="1" x14ac:dyDescent="0.2">
      <c r="Q600" s="54"/>
    </row>
    <row r="601" spans="17:17" ht="15.75" customHeight="1" x14ac:dyDescent="0.2">
      <c r="Q601" s="54"/>
    </row>
    <row r="602" spans="17:17" ht="15.75" customHeight="1" x14ac:dyDescent="0.2">
      <c r="Q602" s="54"/>
    </row>
    <row r="603" spans="17:17" ht="15.75" customHeight="1" x14ac:dyDescent="0.2">
      <c r="Q603" s="54"/>
    </row>
    <row r="604" spans="17:17" ht="15.75" customHeight="1" x14ac:dyDescent="0.2">
      <c r="Q604" s="54"/>
    </row>
    <row r="605" spans="17:17" ht="15.75" customHeight="1" x14ac:dyDescent="0.2">
      <c r="Q605" s="54"/>
    </row>
    <row r="606" spans="17:17" ht="15.75" customHeight="1" x14ac:dyDescent="0.2">
      <c r="Q606" s="54"/>
    </row>
    <row r="607" spans="17:17" ht="15.75" customHeight="1" x14ac:dyDescent="0.2">
      <c r="Q607" s="54"/>
    </row>
    <row r="608" spans="17:17" ht="15.75" customHeight="1" x14ac:dyDescent="0.2">
      <c r="Q608" s="54"/>
    </row>
    <row r="609" spans="17:17" ht="15.75" customHeight="1" x14ac:dyDescent="0.2">
      <c r="Q609" s="54"/>
    </row>
    <row r="610" spans="17:17" ht="15.75" customHeight="1" x14ac:dyDescent="0.2">
      <c r="Q610" s="54"/>
    </row>
    <row r="611" spans="17:17" ht="15.75" customHeight="1" x14ac:dyDescent="0.2">
      <c r="Q611" s="54"/>
    </row>
    <row r="612" spans="17:17" ht="15.75" customHeight="1" x14ac:dyDescent="0.2">
      <c r="Q612" s="54"/>
    </row>
    <row r="613" spans="17:17" ht="15.75" customHeight="1" x14ac:dyDescent="0.2">
      <c r="Q613" s="54"/>
    </row>
    <row r="614" spans="17:17" ht="15.75" customHeight="1" x14ac:dyDescent="0.2">
      <c r="Q614" s="54"/>
    </row>
    <row r="615" spans="17:17" ht="15.75" customHeight="1" x14ac:dyDescent="0.2">
      <c r="Q615" s="54"/>
    </row>
    <row r="616" spans="17:17" ht="15.75" customHeight="1" x14ac:dyDescent="0.2">
      <c r="Q616" s="54"/>
    </row>
    <row r="617" spans="17:17" ht="15.75" customHeight="1" x14ac:dyDescent="0.2">
      <c r="Q617" s="54"/>
    </row>
    <row r="618" spans="17:17" ht="15.75" customHeight="1" x14ac:dyDescent="0.2">
      <c r="Q618" s="54"/>
    </row>
    <row r="619" spans="17:17" ht="15.75" customHeight="1" x14ac:dyDescent="0.2">
      <c r="Q619" s="54"/>
    </row>
    <row r="620" spans="17:17" ht="15.75" customHeight="1" x14ac:dyDescent="0.2">
      <c r="Q620" s="54"/>
    </row>
    <row r="621" spans="17:17" ht="15.75" customHeight="1" x14ac:dyDescent="0.2">
      <c r="Q621" s="54"/>
    </row>
    <row r="622" spans="17:17" ht="15.75" customHeight="1" x14ac:dyDescent="0.2">
      <c r="Q622" s="54"/>
    </row>
    <row r="623" spans="17:17" ht="15.75" customHeight="1" x14ac:dyDescent="0.2">
      <c r="Q623" s="54"/>
    </row>
    <row r="624" spans="17:17" ht="15.75" customHeight="1" x14ac:dyDescent="0.2">
      <c r="Q624" s="54"/>
    </row>
    <row r="625" spans="17:17" ht="15.75" customHeight="1" x14ac:dyDescent="0.2">
      <c r="Q625" s="54"/>
    </row>
    <row r="626" spans="17:17" ht="15.75" customHeight="1" x14ac:dyDescent="0.2">
      <c r="Q626" s="54"/>
    </row>
    <row r="627" spans="17:17" ht="15.75" customHeight="1" x14ac:dyDescent="0.2">
      <c r="Q627" s="54"/>
    </row>
    <row r="628" spans="17:17" ht="15.75" customHeight="1" x14ac:dyDescent="0.2">
      <c r="Q628" s="54"/>
    </row>
    <row r="629" spans="17:17" ht="15.75" customHeight="1" x14ac:dyDescent="0.2">
      <c r="Q629" s="54"/>
    </row>
    <row r="630" spans="17:17" ht="15.75" customHeight="1" x14ac:dyDescent="0.2">
      <c r="Q630" s="54"/>
    </row>
    <row r="631" spans="17:17" ht="15.75" customHeight="1" x14ac:dyDescent="0.2">
      <c r="Q631" s="54"/>
    </row>
    <row r="632" spans="17:17" ht="15.75" customHeight="1" x14ac:dyDescent="0.2">
      <c r="Q632" s="54"/>
    </row>
    <row r="633" spans="17:17" ht="15.75" customHeight="1" x14ac:dyDescent="0.2">
      <c r="Q633" s="54"/>
    </row>
    <row r="634" spans="17:17" ht="15.75" customHeight="1" x14ac:dyDescent="0.2">
      <c r="Q634" s="54"/>
    </row>
    <row r="635" spans="17:17" ht="15.75" customHeight="1" x14ac:dyDescent="0.2">
      <c r="Q635" s="54"/>
    </row>
    <row r="636" spans="17:17" ht="15.75" customHeight="1" x14ac:dyDescent="0.2">
      <c r="Q636" s="54"/>
    </row>
    <row r="637" spans="17:17" ht="15.75" customHeight="1" x14ac:dyDescent="0.2">
      <c r="Q637" s="54"/>
    </row>
    <row r="638" spans="17:17" ht="15.75" customHeight="1" x14ac:dyDescent="0.2">
      <c r="Q638" s="54"/>
    </row>
    <row r="639" spans="17:17" ht="15.75" customHeight="1" x14ac:dyDescent="0.2">
      <c r="Q639" s="54"/>
    </row>
    <row r="640" spans="17:17" ht="15.75" customHeight="1" x14ac:dyDescent="0.2">
      <c r="Q640" s="54"/>
    </row>
    <row r="641" spans="17:17" ht="15.75" customHeight="1" x14ac:dyDescent="0.2">
      <c r="Q641" s="54"/>
    </row>
    <row r="642" spans="17:17" ht="15.75" customHeight="1" x14ac:dyDescent="0.2">
      <c r="Q642" s="54"/>
    </row>
    <row r="643" spans="17:17" ht="15.75" customHeight="1" x14ac:dyDescent="0.2">
      <c r="Q643" s="54"/>
    </row>
    <row r="644" spans="17:17" ht="15.75" customHeight="1" x14ac:dyDescent="0.2">
      <c r="Q644" s="54"/>
    </row>
    <row r="645" spans="17:17" ht="15.75" customHeight="1" x14ac:dyDescent="0.2">
      <c r="Q645" s="54"/>
    </row>
    <row r="646" spans="17:17" ht="15.75" customHeight="1" x14ac:dyDescent="0.2">
      <c r="Q646" s="54"/>
    </row>
    <row r="647" spans="17:17" ht="15.75" customHeight="1" x14ac:dyDescent="0.2">
      <c r="Q647" s="54"/>
    </row>
    <row r="648" spans="17:17" ht="15.75" customHeight="1" x14ac:dyDescent="0.2">
      <c r="Q648" s="54"/>
    </row>
    <row r="649" spans="17:17" ht="15.75" customHeight="1" x14ac:dyDescent="0.2">
      <c r="Q649" s="54"/>
    </row>
    <row r="650" spans="17:17" ht="15.75" customHeight="1" x14ac:dyDescent="0.2">
      <c r="Q650" s="54"/>
    </row>
    <row r="651" spans="17:17" ht="15.75" customHeight="1" x14ac:dyDescent="0.2">
      <c r="Q651" s="54"/>
    </row>
    <row r="652" spans="17:17" ht="15.75" customHeight="1" x14ac:dyDescent="0.2">
      <c r="Q652" s="54"/>
    </row>
    <row r="653" spans="17:17" ht="15.75" customHeight="1" x14ac:dyDescent="0.2">
      <c r="Q653" s="54"/>
    </row>
    <row r="654" spans="17:17" ht="15.75" customHeight="1" x14ac:dyDescent="0.2">
      <c r="Q654" s="54"/>
    </row>
    <row r="655" spans="17:17" ht="15.75" customHeight="1" x14ac:dyDescent="0.2">
      <c r="Q655" s="54"/>
    </row>
    <row r="656" spans="17:17" ht="15.75" customHeight="1" x14ac:dyDescent="0.2">
      <c r="Q656" s="54"/>
    </row>
    <row r="657" spans="17:17" ht="15.75" customHeight="1" x14ac:dyDescent="0.2">
      <c r="Q657" s="54"/>
    </row>
    <row r="658" spans="17:17" ht="15.75" customHeight="1" x14ac:dyDescent="0.2">
      <c r="Q658" s="54"/>
    </row>
    <row r="659" spans="17:17" ht="15.75" customHeight="1" x14ac:dyDescent="0.2">
      <c r="Q659" s="54"/>
    </row>
    <row r="660" spans="17:17" ht="15.75" customHeight="1" x14ac:dyDescent="0.2">
      <c r="Q660" s="54"/>
    </row>
    <row r="661" spans="17:17" ht="15.75" customHeight="1" x14ac:dyDescent="0.2">
      <c r="Q661" s="54"/>
    </row>
    <row r="662" spans="17:17" ht="15.75" customHeight="1" x14ac:dyDescent="0.2">
      <c r="Q662" s="54"/>
    </row>
    <row r="663" spans="17:17" ht="15.75" customHeight="1" x14ac:dyDescent="0.2">
      <c r="Q663" s="54"/>
    </row>
    <row r="664" spans="17:17" ht="15" customHeight="1" x14ac:dyDescent="0.2">
      <c r="Q664" s="54"/>
    </row>
    <row r="665" spans="17:17" ht="15" customHeight="1" x14ac:dyDescent="0.2">
      <c r="Q665" s="54"/>
    </row>
    <row r="666" spans="17:17" ht="15" customHeight="1" x14ac:dyDescent="0.2">
      <c r="Q666" s="54"/>
    </row>
    <row r="667" spans="17:17" ht="15" customHeight="1" x14ac:dyDescent="0.2">
      <c r="Q667" s="54"/>
    </row>
    <row r="668" spans="17:17" ht="15" customHeight="1" x14ac:dyDescent="0.2">
      <c r="Q668" s="54"/>
    </row>
    <row r="669" spans="17:17" ht="15" customHeight="1" x14ac:dyDescent="0.2">
      <c r="Q669" s="54"/>
    </row>
    <row r="670" spans="17:17" ht="15" customHeight="1" x14ac:dyDescent="0.2">
      <c r="Q670" s="54"/>
    </row>
    <row r="671" spans="17:17" ht="15" customHeight="1" x14ac:dyDescent="0.2">
      <c r="Q671" s="54"/>
    </row>
    <row r="672" spans="17:17" ht="15" customHeight="1" x14ac:dyDescent="0.2">
      <c r="Q672" s="54"/>
    </row>
    <row r="673" spans="17:17" ht="15" customHeight="1" x14ac:dyDescent="0.2">
      <c r="Q673" s="54"/>
    </row>
    <row r="674" spans="17:17" ht="15" customHeight="1" x14ac:dyDescent="0.2">
      <c r="Q674" s="54"/>
    </row>
    <row r="675" spans="17:17" ht="15" customHeight="1" x14ac:dyDescent="0.2">
      <c r="Q675" s="54"/>
    </row>
    <row r="676" spans="17:17" ht="15" customHeight="1" x14ac:dyDescent="0.2">
      <c r="Q676" s="54"/>
    </row>
    <row r="677" spans="17:17" ht="15" customHeight="1" x14ac:dyDescent="0.2">
      <c r="Q677" s="54"/>
    </row>
    <row r="678" spans="17:17" ht="15" customHeight="1" x14ac:dyDescent="0.2">
      <c r="Q678" s="54"/>
    </row>
    <row r="679" spans="17:17" ht="15" customHeight="1" x14ac:dyDescent="0.2">
      <c r="Q679" s="54"/>
    </row>
    <row r="680" spans="17:17" ht="15" customHeight="1" x14ac:dyDescent="0.2">
      <c r="Q680" s="54"/>
    </row>
    <row r="681" spans="17:17" ht="15" customHeight="1" x14ac:dyDescent="0.2">
      <c r="Q681" s="54"/>
    </row>
    <row r="682" spans="17:17" ht="15" customHeight="1" x14ac:dyDescent="0.2">
      <c r="Q682" s="54"/>
    </row>
    <row r="683" spans="17:17" ht="15" customHeight="1" x14ac:dyDescent="0.2">
      <c r="Q683" s="54"/>
    </row>
    <row r="684" spans="17:17" ht="15" customHeight="1" x14ac:dyDescent="0.2">
      <c r="Q684" s="54"/>
    </row>
    <row r="685" spans="17:17" ht="15" customHeight="1" x14ac:dyDescent="0.2">
      <c r="Q685" s="54"/>
    </row>
    <row r="686" spans="17:17" ht="15" customHeight="1" x14ac:dyDescent="0.2">
      <c r="Q686" s="54"/>
    </row>
    <row r="687" spans="17:17" ht="15" customHeight="1" x14ac:dyDescent="0.2">
      <c r="Q687" s="54"/>
    </row>
    <row r="688" spans="17:17" ht="15" customHeight="1" x14ac:dyDescent="0.2">
      <c r="Q688" s="54"/>
    </row>
    <row r="689" spans="17:17" ht="15" customHeight="1" x14ac:dyDescent="0.2">
      <c r="Q689" s="54"/>
    </row>
    <row r="690" spans="17:17" ht="15" customHeight="1" x14ac:dyDescent="0.2">
      <c r="Q690" s="54"/>
    </row>
    <row r="691" spans="17:17" ht="15" customHeight="1" x14ac:dyDescent="0.2">
      <c r="Q691" s="54"/>
    </row>
    <row r="692" spans="17:17" ht="15" customHeight="1" x14ac:dyDescent="0.2">
      <c r="Q692" s="54"/>
    </row>
    <row r="693" spans="17:17" ht="15" customHeight="1" x14ac:dyDescent="0.2">
      <c r="Q693" s="54"/>
    </row>
    <row r="694" spans="17:17" ht="15" customHeight="1" x14ac:dyDescent="0.2">
      <c r="Q694" s="54"/>
    </row>
    <row r="695" spans="17:17" ht="15" customHeight="1" x14ac:dyDescent="0.2">
      <c r="Q695" s="54"/>
    </row>
    <row r="696" spans="17:17" ht="15" customHeight="1" x14ac:dyDescent="0.2">
      <c r="Q696" s="54"/>
    </row>
    <row r="697" spans="17:17" ht="15" customHeight="1" x14ac:dyDescent="0.2">
      <c r="Q697" s="54"/>
    </row>
    <row r="698" spans="17:17" ht="15" customHeight="1" x14ac:dyDescent="0.2">
      <c r="Q698" s="54"/>
    </row>
    <row r="699" spans="17:17" ht="15" customHeight="1" x14ac:dyDescent="0.2">
      <c r="Q699" s="54"/>
    </row>
    <row r="700" spans="17:17" ht="15" customHeight="1" x14ac:dyDescent="0.2">
      <c r="Q700" s="54"/>
    </row>
    <row r="701" spans="17:17" ht="15" customHeight="1" x14ac:dyDescent="0.2">
      <c r="Q701" s="54"/>
    </row>
    <row r="702" spans="17:17" ht="15" customHeight="1" x14ac:dyDescent="0.2">
      <c r="Q702" s="54"/>
    </row>
    <row r="703" spans="17:17" ht="15" customHeight="1" x14ac:dyDescent="0.2">
      <c r="Q703" s="54"/>
    </row>
    <row r="704" spans="17:17" ht="15" customHeight="1" x14ac:dyDescent="0.2">
      <c r="Q704" s="54"/>
    </row>
    <row r="705" spans="17:17" ht="15" customHeight="1" x14ac:dyDescent="0.2">
      <c r="Q705" s="54"/>
    </row>
    <row r="706" spans="17:17" ht="15" customHeight="1" x14ac:dyDescent="0.2">
      <c r="Q706" s="54"/>
    </row>
    <row r="707" spans="17:17" ht="15" customHeight="1" x14ac:dyDescent="0.2">
      <c r="Q707" s="54"/>
    </row>
    <row r="708" spans="17:17" ht="15" customHeight="1" x14ac:dyDescent="0.2">
      <c r="Q708" s="54"/>
    </row>
    <row r="709" spans="17:17" ht="15" customHeight="1" x14ac:dyDescent="0.2">
      <c r="Q709" s="54"/>
    </row>
    <row r="710" spans="17:17" ht="15" customHeight="1" x14ac:dyDescent="0.2">
      <c r="Q710" s="54"/>
    </row>
    <row r="711" spans="17:17" ht="15" customHeight="1" x14ac:dyDescent="0.2">
      <c r="Q711" s="54"/>
    </row>
    <row r="712" spans="17:17" ht="15" customHeight="1" x14ac:dyDescent="0.2">
      <c r="Q712" s="54"/>
    </row>
    <row r="713" spans="17:17" ht="15" customHeight="1" x14ac:dyDescent="0.2">
      <c r="Q713" s="54"/>
    </row>
    <row r="714" spans="17:17" ht="15" customHeight="1" x14ac:dyDescent="0.2">
      <c r="Q714" s="54"/>
    </row>
    <row r="715" spans="17:17" ht="15" customHeight="1" x14ac:dyDescent="0.2">
      <c r="Q715" s="54"/>
    </row>
    <row r="716" spans="17:17" ht="15" customHeight="1" x14ac:dyDescent="0.2">
      <c r="Q716" s="54"/>
    </row>
    <row r="717" spans="17:17" ht="15" customHeight="1" x14ac:dyDescent="0.2">
      <c r="Q717" s="54"/>
    </row>
    <row r="718" spans="17:17" ht="15" customHeight="1" x14ac:dyDescent="0.2">
      <c r="Q718" s="54"/>
    </row>
    <row r="719" spans="17:17" ht="15" customHeight="1" x14ac:dyDescent="0.2">
      <c r="Q719" s="54"/>
    </row>
    <row r="720" spans="17:17" ht="15" customHeight="1" x14ac:dyDescent="0.2">
      <c r="Q720" s="54"/>
    </row>
    <row r="721" spans="17:17" ht="15" customHeight="1" x14ac:dyDescent="0.2">
      <c r="Q721" s="54"/>
    </row>
    <row r="722" spans="17:17" ht="15" customHeight="1" x14ac:dyDescent="0.2">
      <c r="Q722" s="54"/>
    </row>
    <row r="723" spans="17:17" ht="15" customHeight="1" x14ac:dyDescent="0.2">
      <c r="Q723" s="54"/>
    </row>
    <row r="724" spans="17:17" ht="15" customHeight="1" x14ac:dyDescent="0.2">
      <c r="Q724" s="54"/>
    </row>
    <row r="725" spans="17:17" ht="15" customHeight="1" x14ac:dyDescent="0.2">
      <c r="Q725" s="54"/>
    </row>
    <row r="726" spans="17:17" ht="15" customHeight="1" x14ac:dyDescent="0.2">
      <c r="Q726" s="54"/>
    </row>
    <row r="727" spans="17:17" ht="15" customHeight="1" x14ac:dyDescent="0.2">
      <c r="Q727" s="54"/>
    </row>
    <row r="728" spans="17:17" ht="15" customHeight="1" x14ac:dyDescent="0.2">
      <c r="Q728" s="54"/>
    </row>
    <row r="729" spans="17:17" ht="15" customHeight="1" x14ac:dyDescent="0.2">
      <c r="Q729" s="54"/>
    </row>
    <row r="730" spans="17:17" ht="15" customHeight="1" x14ac:dyDescent="0.2">
      <c r="Q730" s="54"/>
    </row>
    <row r="731" spans="17:17" ht="15" customHeight="1" x14ac:dyDescent="0.2">
      <c r="Q731" s="54"/>
    </row>
    <row r="732" spans="17:17" ht="15" customHeight="1" x14ac:dyDescent="0.2">
      <c r="Q732" s="54"/>
    </row>
    <row r="733" spans="17:17" ht="15" customHeight="1" x14ac:dyDescent="0.2">
      <c r="Q733" s="54"/>
    </row>
    <row r="734" spans="17:17" ht="15" customHeight="1" x14ac:dyDescent="0.2">
      <c r="Q734" s="54"/>
    </row>
    <row r="735" spans="17:17" ht="15" customHeight="1" x14ac:dyDescent="0.2">
      <c r="Q735" s="54"/>
    </row>
    <row r="736" spans="17:17" ht="15" customHeight="1" x14ac:dyDescent="0.2">
      <c r="Q736" s="54"/>
    </row>
    <row r="737" spans="17:17" ht="15" customHeight="1" x14ac:dyDescent="0.2">
      <c r="Q737" s="54"/>
    </row>
    <row r="738" spans="17:17" ht="15" customHeight="1" x14ac:dyDescent="0.2">
      <c r="Q738" s="54"/>
    </row>
    <row r="739" spans="17:17" ht="15" customHeight="1" x14ac:dyDescent="0.2">
      <c r="Q739" s="54"/>
    </row>
    <row r="740" spans="17:17" ht="15" customHeight="1" x14ac:dyDescent="0.2">
      <c r="Q740" s="54"/>
    </row>
    <row r="741" spans="17:17" ht="15" customHeight="1" x14ac:dyDescent="0.2">
      <c r="Q741" s="54"/>
    </row>
    <row r="742" spans="17:17" ht="15" customHeight="1" x14ac:dyDescent="0.2">
      <c r="Q742" s="54"/>
    </row>
    <row r="743" spans="17:17" ht="15" customHeight="1" x14ac:dyDescent="0.2">
      <c r="Q743" s="54"/>
    </row>
    <row r="744" spans="17:17" ht="15" customHeight="1" x14ac:dyDescent="0.2">
      <c r="Q744" s="54"/>
    </row>
    <row r="745" spans="17:17" ht="15" customHeight="1" x14ac:dyDescent="0.2">
      <c r="Q745" s="54"/>
    </row>
    <row r="746" spans="17:17" ht="15" customHeight="1" x14ac:dyDescent="0.2">
      <c r="Q746" s="54"/>
    </row>
    <row r="747" spans="17:17" ht="15" customHeight="1" x14ac:dyDescent="0.2">
      <c r="Q747" s="54"/>
    </row>
    <row r="748" spans="17:17" ht="15" customHeight="1" x14ac:dyDescent="0.2">
      <c r="Q748" s="54"/>
    </row>
    <row r="749" spans="17:17" ht="15" customHeight="1" x14ac:dyDescent="0.2">
      <c r="Q749" s="54"/>
    </row>
    <row r="750" spans="17:17" ht="15" customHeight="1" x14ac:dyDescent="0.2">
      <c r="Q750" s="54"/>
    </row>
    <row r="751" spans="17:17" ht="15" customHeight="1" x14ac:dyDescent="0.2">
      <c r="Q751" s="54"/>
    </row>
    <row r="752" spans="17:17" ht="15" customHeight="1" x14ac:dyDescent="0.2">
      <c r="Q752" s="54"/>
    </row>
    <row r="753" spans="17:17" ht="15" customHeight="1" x14ac:dyDescent="0.2">
      <c r="Q753" s="54"/>
    </row>
    <row r="754" spans="17:17" ht="15" customHeight="1" x14ac:dyDescent="0.2">
      <c r="Q754" s="54"/>
    </row>
    <row r="755" spans="17:17" ht="15" customHeight="1" x14ac:dyDescent="0.2">
      <c r="Q755" s="54"/>
    </row>
    <row r="756" spans="17:17" ht="15" customHeight="1" x14ac:dyDescent="0.2">
      <c r="Q756" s="54"/>
    </row>
    <row r="757" spans="17:17" ht="15" customHeight="1" x14ac:dyDescent="0.2">
      <c r="Q757" s="54"/>
    </row>
    <row r="758" spans="17:17" ht="15" customHeight="1" x14ac:dyDescent="0.2">
      <c r="Q758" s="54"/>
    </row>
    <row r="759" spans="17:17" ht="15" customHeight="1" x14ac:dyDescent="0.2">
      <c r="Q759" s="54"/>
    </row>
    <row r="760" spans="17:17" ht="15" customHeight="1" x14ac:dyDescent="0.2">
      <c r="Q760" s="54"/>
    </row>
    <row r="761" spans="17:17" ht="15" customHeight="1" x14ac:dyDescent="0.2">
      <c r="Q761" s="54"/>
    </row>
    <row r="762" spans="17:17" ht="15" customHeight="1" x14ac:dyDescent="0.2">
      <c r="Q762" s="54"/>
    </row>
    <row r="763" spans="17:17" ht="15" customHeight="1" x14ac:dyDescent="0.2">
      <c r="Q763" s="54"/>
    </row>
    <row r="764" spans="17:17" ht="15" customHeight="1" x14ac:dyDescent="0.2">
      <c r="Q764" s="54"/>
    </row>
    <row r="765" spans="17:17" ht="15" customHeight="1" x14ac:dyDescent="0.2">
      <c r="Q765" s="54"/>
    </row>
    <row r="766" spans="17:17" ht="15" customHeight="1" x14ac:dyDescent="0.2">
      <c r="Q766" s="54"/>
    </row>
    <row r="767" spans="17:17" ht="15" customHeight="1" x14ac:dyDescent="0.2">
      <c r="Q767" s="54"/>
    </row>
    <row r="768" spans="17:17" ht="15" customHeight="1" x14ac:dyDescent="0.2">
      <c r="Q768" s="54"/>
    </row>
    <row r="769" spans="17:17" ht="15" customHeight="1" x14ac:dyDescent="0.2">
      <c r="Q769" s="54"/>
    </row>
    <row r="770" spans="17:17" ht="15" customHeight="1" x14ac:dyDescent="0.2">
      <c r="Q770" s="54"/>
    </row>
    <row r="771" spans="17:17" ht="15" customHeight="1" x14ac:dyDescent="0.2">
      <c r="Q771" s="54"/>
    </row>
    <row r="772" spans="17:17" ht="15" customHeight="1" x14ac:dyDescent="0.2">
      <c r="Q772" s="54"/>
    </row>
    <row r="773" spans="17:17" ht="15" customHeight="1" x14ac:dyDescent="0.2">
      <c r="Q773" s="54"/>
    </row>
    <row r="774" spans="17:17" ht="15" customHeight="1" x14ac:dyDescent="0.2">
      <c r="Q774" s="54"/>
    </row>
    <row r="775" spans="17:17" ht="15" customHeight="1" x14ac:dyDescent="0.2">
      <c r="Q775" s="54"/>
    </row>
    <row r="776" spans="17:17" ht="15" customHeight="1" x14ac:dyDescent="0.2">
      <c r="Q776" s="54"/>
    </row>
    <row r="777" spans="17:17" ht="15" customHeight="1" x14ac:dyDescent="0.2">
      <c r="Q777" s="54"/>
    </row>
    <row r="778" spans="17:17" ht="15" customHeight="1" x14ac:dyDescent="0.2">
      <c r="Q778" s="54"/>
    </row>
    <row r="779" spans="17:17" ht="15" customHeight="1" x14ac:dyDescent="0.2">
      <c r="Q779" s="54"/>
    </row>
    <row r="780" spans="17:17" ht="15" customHeight="1" x14ac:dyDescent="0.2">
      <c r="Q780" s="54"/>
    </row>
    <row r="781" spans="17:17" ht="15" customHeight="1" x14ac:dyDescent="0.2">
      <c r="Q781" s="54"/>
    </row>
    <row r="782" spans="17:17" ht="15" customHeight="1" x14ac:dyDescent="0.2">
      <c r="Q782" s="54"/>
    </row>
    <row r="783" spans="17:17" ht="15" customHeight="1" x14ac:dyDescent="0.2">
      <c r="Q783" s="54"/>
    </row>
    <row r="784" spans="17:17" ht="15" customHeight="1" x14ac:dyDescent="0.2">
      <c r="Q784" s="54"/>
    </row>
    <row r="785" spans="17:17" ht="15" customHeight="1" x14ac:dyDescent="0.2">
      <c r="Q785" s="54"/>
    </row>
    <row r="786" spans="17:17" ht="15" customHeight="1" x14ac:dyDescent="0.2">
      <c r="Q786" s="54"/>
    </row>
    <row r="787" spans="17:17" ht="15" customHeight="1" x14ac:dyDescent="0.2">
      <c r="Q787" s="54"/>
    </row>
    <row r="788" spans="17:17" ht="15" customHeight="1" x14ac:dyDescent="0.2">
      <c r="Q788" s="54"/>
    </row>
    <row r="789" spans="17:17" ht="15" customHeight="1" x14ac:dyDescent="0.2">
      <c r="Q789" s="54"/>
    </row>
    <row r="790" spans="17:17" ht="15" customHeight="1" x14ac:dyDescent="0.2">
      <c r="Q790" s="54"/>
    </row>
    <row r="791" spans="17:17" ht="15" customHeight="1" x14ac:dyDescent="0.2">
      <c r="Q791" s="54"/>
    </row>
    <row r="792" spans="17:17" ht="15" customHeight="1" x14ac:dyDescent="0.2">
      <c r="Q792" s="54"/>
    </row>
    <row r="793" spans="17:17" ht="15" customHeight="1" x14ac:dyDescent="0.2">
      <c r="Q793" s="54"/>
    </row>
    <row r="794" spans="17:17" ht="15" customHeight="1" x14ac:dyDescent="0.2">
      <c r="Q794" s="54"/>
    </row>
    <row r="795" spans="17:17" ht="15" customHeight="1" x14ac:dyDescent="0.2">
      <c r="Q795" s="54"/>
    </row>
    <row r="796" spans="17:17" ht="15" customHeight="1" x14ac:dyDescent="0.2">
      <c r="Q796" s="54"/>
    </row>
    <row r="797" spans="17:17" ht="15" customHeight="1" x14ac:dyDescent="0.2">
      <c r="Q797" s="54"/>
    </row>
    <row r="798" spans="17:17" ht="15" customHeight="1" x14ac:dyDescent="0.2">
      <c r="Q798" s="54"/>
    </row>
    <row r="799" spans="17:17" ht="15" customHeight="1" x14ac:dyDescent="0.2">
      <c r="Q799" s="54"/>
    </row>
    <row r="800" spans="17:17" ht="15" customHeight="1" x14ac:dyDescent="0.2">
      <c r="Q800" s="54"/>
    </row>
    <row r="801" spans="17:17" ht="15" customHeight="1" x14ac:dyDescent="0.2">
      <c r="Q801" s="54"/>
    </row>
    <row r="802" spans="17:17" ht="15" customHeight="1" x14ac:dyDescent="0.2">
      <c r="Q802" s="54"/>
    </row>
    <row r="803" spans="17:17" ht="15" customHeight="1" x14ac:dyDescent="0.2">
      <c r="Q803" s="54"/>
    </row>
    <row r="804" spans="17:17" ht="15" customHeight="1" x14ac:dyDescent="0.2">
      <c r="Q804" s="54"/>
    </row>
    <row r="805" spans="17:17" ht="15" customHeight="1" x14ac:dyDescent="0.2">
      <c r="Q805" s="54"/>
    </row>
    <row r="806" spans="17:17" ht="15" customHeight="1" x14ac:dyDescent="0.2">
      <c r="Q806" s="54"/>
    </row>
    <row r="807" spans="17:17" ht="15" customHeight="1" x14ac:dyDescent="0.2">
      <c r="Q807" s="54"/>
    </row>
    <row r="808" spans="17:17" ht="15" customHeight="1" x14ac:dyDescent="0.2">
      <c r="Q808" s="54"/>
    </row>
    <row r="809" spans="17:17" ht="15" customHeight="1" x14ac:dyDescent="0.2">
      <c r="Q809" s="54"/>
    </row>
    <row r="810" spans="17:17" ht="15" customHeight="1" x14ac:dyDescent="0.2">
      <c r="Q810" s="54"/>
    </row>
    <row r="811" spans="17:17" ht="15" customHeight="1" x14ac:dyDescent="0.2">
      <c r="Q811" s="54"/>
    </row>
    <row r="812" spans="17:17" ht="15" customHeight="1" x14ac:dyDescent="0.2">
      <c r="Q812" s="54"/>
    </row>
    <row r="813" spans="17:17" ht="15" customHeight="1" x14ac:dyDescent="0.2">
      <c r="Q813" s="54"/>
    </row>
    <row r="814" spans="17:17" ht="15" customHeight="1" x14ac:dyDescent="0.2">
      <c r="Q814" s="54"/>
    </row>
    <row r="815" spans="17:17" ht="15" customHeight="1" x14ac:dyDescent="0.2">
      <c r="Q815" s="54"/>
    </row>
    <row r="816" spans="17:17" ht="15" customHeight="1" x14ac:dyDescent="0.2">
      <c r="Q816" s="54"/>
    </row>
    <row r="817" spans="17:17" ht="15" customHeight="1" x14ac:dyDescent="0.2">
      <c r="Q817" s="54"/>
    </row>
    <row r="818" spans="17:17" ht="15" customHeight="1" x14ac:dyDescent="0.2">
      <c r="Q818" s="54"/>
    </row>
    <row r="819" spans="17:17" ht="15" customHeight="1" x14ac:dyDescent="0.2">
      <c r="Q819" s="54"/>
    </row>
    <row r="820" spans="17:17" ht="15" customHeight="1" x14ac:dyDescent="0.2">
      <c r="Q820" s="54"/>
    </row>
    <row r="821" spans="17:17" ht="15" customHeight="1" x14ac:dyDescent="0.2">
      <c r="Q821" s="54"/>
    </row>
    <row r="822" spans="17:17" ht="15" customHeight="1" x14ac:dyDescent="0.2">
      <c r="Q822" s="54"/>
    </row>
    <row r="823" spans="17:17" ht="15" customHeight="1" x14ac:dyDescent="0.2">
      <c r="Q823" s="54"/>
    </row>
    <row r="824" spans="17:17" ht="15" customHeight="1" x14ac:dyDescent="0.2">
      <c r="Q824" s="54"/>
    </row>
    <row r="825" spans="17:17" ht="15" customHeight="1" x14ac:dyDescent="0.2">
      <c r="Q825" s="54"/>
    </row>
    <row r="826" spans="17:17" ht="15" customHeight="1" x14ac:dyDescent="0.2">
      <c r="Q826" s="54"/>
    </row>
    <row r="827" spans="17:17" ht="15" customHeight="1" x14ac:dyDescent="0.2">
      <c r="Q827" s="54"/>
    </row>
    <row r="828" spans="17:17" ht="15" customHeight="1" x14ac:dyDescent="0.2">
      <c r="Q828" s="54"/>
    </row>
    <row r="829" spans="17:17" ht="15" customHeight="1" x14ac:dyDescent="0.2">
      <c r="Q829" s="54"/>
    </row>
    <row r="830" spans="17:17" ht="15" customHeight="1" x14ac:dyDescent="0.2">
      <c r="Q830" s="54"/>
    </row>
    <row r="831" spans="17:17" ht="15" customHeight="1" x14ac:dyDescent="0.2">
      <c r="Q831" s="54"/>
    </row>
    <row r="832" spans="17:17" ht="15" customHeight="1" x14ac:dyDescent="0.2">
      <c r="Q832" s="54"/>
    </row>
    <row r="833" spans="17:17" ht="15" customHeight="1" x14ac:dyDescent="0.2">
      <c r="Q833" s="54"/>
    </row>
    <row r="834" spans="17:17" ht="15" customHeight="1" x14ac:dyDescent="0.2">
      <c r="Q834" s="54"/>
    </row>
    <row r="835" spans="17:17" ht="15" customHeight="1" x14ac:dyDescent="0.2">
      <c r="Q835" s="54"/>
    </row>
    <row r="836" spans="17:17" ht="15" customHeight="1" x14ac:dyDescent="0.2">
      <c r="Q836" s="54"/>
    </row>
    <row r="837" spans="17:17" ht="15" customHeight="1" x14ac:dyDescent="0.2">
      <c r="Q837" s="54"/>
    </row>
    <row r="838" spans="17:17" ht="15" customHeight="1" x14ac:dyDescent="0.2">
      <c r="Q838" s="54"/>
    </row>
    <row r="839" spans="17:17" ht="15" customHeight="1" x14ac:dyDescent="0.2">
      <c r="Q839" s="54"/>
    </row>
    <row r="840" spans="17:17" ht="15" customHeight="1" x14ac:dyDescent="0.2">
      <c r="Q840" s="54"/>
    </row>
    <row r="841" spans="17:17" ht="15" customHeight="1" x14ac:dyDescent="0.2">
      <c r="Q841" s="54"/>
    </row>
    <row r="842" spans="17:17" ht="15" customHeight="1" x14ac:dyDescent="0.2">
      <c r="Q842" s="54"/>
    </row>
    <row r="843" spans="17:17" ht="15" customHeight="1" x14ac:dyDescent="0.2">
      <c r="Q843" s="54"/>
    </row>
    <row r="844" spans="17:17" ht="15" customHeight="1" x14ac:dyDescent="0.2">
      <c r="Q844" s="54"/>
    </row>
    <row r="845" spans="17:17" ht="15" customHeight="1" x14ac:dyDescent="0.2">
      <c r="Q845" s="54"/>
    </row>
    <row r="846" spans="17:17" ht="15" customHeight="1" x14ac:dyDescent="0.2">
      <c r="Q846" s="54"/>
    </row>
    <row r="847" spans="17:17" ht="15" customHeight="1" x14ac:dyDescent="0.2">
      <c r="Q847" s="54"/>
    </row>
    <row r="848" spans="17:17" ht="15" customHeight="1" x14ac:dyDescent="0.2">
      <c r="Q848" s="54"/>
    </row>
    <row r="849" spans="17:17" ht="15" customHeight="1" x14ac:dyDescent="0.2">
      <c r="Q849" s="54"/>
    </row>
    <row r="850" spans="17:17" ht="15" customHeight="1" x14ac:dyDescent="0.2">
      <c r="Q850" s="54"/>
    </row>
    <row r="851" spans="17:17" ht="15" customHeight="1" x14ac:dyDescent="0.2">
      <c r="Q851" s="54"/>
    </row>
    <row r="852" spans="17:17" ht="15" customHeight="1" x14ac:dyDescent="0.2">
      <c r="Q852" s="54"/>
    </row>
    <row r="853" spans="17:17" ht="15" customHeight="1" x14ac:dyDescent="0.2">
      <c r="Q853" s="54"/>
    </row>
    <row r="854" spans="17:17" ht="15" customHeight="1" x14ac:dyDescent="0.2">
      <c r="Q854" s="54"/>
    </row>
    <row r="855" spans="17:17" ht="15" customHeight="1" x14ac:dyDescent="0.2">
      <c r="Q855" s="54"/>
    </row>
    <row r="856" spans="17:17" ht="15" customHeight="1" x14ac:dyDescent="0.2">
      <c r="Q856" s="54"/>
    </row>
    <row r="857" spans="17:17" ht="15" customHeight="1" x14ac:dyDescent="0.2">
      <c r="Q857" s="54"/>
    </row>
    <row r="858" spans="17:17" ht="15" customHeight="1" x14ac:dyDescent="0.2">
      <c r="Q858" s="54"/>
    </row>
    <row r="859" spans="17:17" ht="15" customHeight="1" x14ac:dyDescent="0.2">
      <c r="Q859" s="54"/>
    </row>
    <row r="860" spans="17:17" ht="15" customHeight="1" x14ac:dyDescent="0.2">
      <c r="Q860" s="54"/>
    </row>
    <row r="861" spans="17:17" ht="15" customHeight="1" x14ac:dyDescent="0.2">
      <c r="Q861" s="54"/>
    </row>
    <row r="862" spans="17:17" ht="15" customHeight="1" x14ac:dyDescent="0.2">
      <c r="Q862" s="54"/>
    </row>
    <row r="863" spans="17:17" ht="15" customHeight="1" x14ac:dyDescent="0.2">
      <c r="Q863" s="54"/>
    </row>
    <row r="864" spans="17:17" ht="15" customHeight="1" x14ac:dyDescent="0.2">
      <c r="Q864" s="54"/>
    </row>
    <row r="865" spans="17:17" ht="15" customHeight="1" x14ac:dyDescent="0.2">
      <c r="Q865" s="54"/>
    </row>
    <row r="866" spans="17:17" ht="15" customHeight="1" x14ac:dyDescent="0.2">
      <c r="Q866" s="54"/>
    </row>
    <row r="867" spans="17:17" ht="15" customHeight="1" x14ac:dyDescent="0.2">
      <c r="Q867" s="54"/>
    </row>
    <row r="868" spans="17:17" ht="15" customHeight="1" x14ac:dyDescent="0.2">
      <c r="Q868" s="54"/>
    </row>
    <row r="869" spans="17:17" ht="15" customHeight="1" x14ac:dyDescent="0.2">
      <c r="Q869" s="54"/>
    </row>
    <row r="870" spans="17:17" ht="15" customHeight="1" x14ac:dyDescent="0.2">
      <c r="Q870" s="54"/>
    </row>
    <row r="871" spans="17:17" ht="15" customHeight="1" x14ac:dyDescent="0.2">
      <c r="Q871" s="54"/>
    </row>
    <row r="872" spans="17:17" ht="15" customHeight="1" x14ac:dyDescent="0.2">
      <c r="Q872" s="54"/>
    </row>
    <row r="873" spans="17:17" ht="15" customHeight="1" x14ac:dyDescent="0.2">
      <c r="Q873" s="54"/>
    </row>
    <row r="874" spans="17:17" ht="15" customHeight="1" x14ac:dyDescent="0.2">
      <c r="Q874" s="54"/>
    </row>
    <row r="875" spans="17:17" ht="15" customHeight="1" x14ac:dyDescent="0.2">
      <c r="Q875" s="54"/>
    </row>
    <row r="876" spans="17:17" ht="15" customHeight="1" x14ac:dyDescent="0.2">
      <c r="Q876" s="54"/>
    </row>
    <row r="877" spans="17:17" ht="15" customHeight="1" x14ac:dyDescent="0.2">
      <c r="Q877" s="54"/>
    </row>
    <row r="878" spans="17:17" ht="15" customHeight="1" x14ac:dyDescent="0.2">
      <c r="Q878" s="54"/>
    </row>
    <row r="879" spans="17:17" ht="15" customHeight="1" x14ac:dyDescent="0.2">
      <c r="Q879" s="54"/>
    </row>
    <row r="880" spans="17:17" ht="15" customHeight="1" x14ac:dyDescent="0.2">
      <c r="Q880" s="54"/>
    </row>
    <row r="881" spans="17:17" ht="15" customHeight="1" x14ac:dyDescent="0.2">
      <c r="Q881" s="54"/>
    </row>
    <row r="882" spans="17:17" ht="15" customHeight="1" x14ac:dyDescent="0.2">
      <c r="Q882" s="54"/>
    </row>
    <row r="883" spans="17:17" ht="15" customHeight="1" x14ac:dyDescent="0.2">
      <c r="Q883" s="54"/>
    </row>
    <row r="884" spans="17:17" ht="15" customHeight="1" x14ac:dyDescent="0.2">
      <c r="Q884" s="54"/>
    </row>
    <row r="885" spans="17:17" ht="15" customHeight="1" x14ac:dyDescent="0.2">
      <c r="Q885" s="54"/>
    </row>
    <row r="886" spans="17:17" ht="15" customHeight="1" x14ac:dyDescent="0.2">
      <c r="Q886" s="54"/>
    </row>
    <row r="887" spans="17:17" ht="15" customHeight="1" x14ac:dyDescent="0.2">
      <c r="Q887" s="54"/>
    </row>
    <row r="888" spans="17:17" ht="15" customHeight="1" x14ac:dyDescent="0.2">
      <c r="Q888" s="54"/>
    </row>
    <row r="889" spans="17:17" ht="15" customHeight="1" x14ac:dyDescent="0.2">
      <c r="Q889" s="54"/>
    </row>
    <row r="890" spans="17:17" ht="15" customHeight="1" x14ac:dyDescent="0.2">
      <c r="Q890" s="54"/>
    </row>
    <row r="891" spans="17:17" ht="15" customHeight="1" x14ac:dyDescent="0.2">
      <c r="Q891" s="54"/>
    </row>
    <row r="892" spans="17:17" ht="15" customHeight="1" x14ac:dyDescent="0.2">
      <c r="Q892" s="54"/>
    </row>
    <row r="893" spans="17:17" ht="15" customHeight="1" x14ac:dyDescent="0.2">
      <c r="Q893" s="54"/>
    </row>
    <row r="894" spans="17:17" ht="15" customHeight="1" x14ac:dyDescent="0.2">
      <c r="Q894" s="54"/>
    </row>
    <row r="895" spans="17:17" ht="15" customHeight="1" x14ac:dyDescent="0.2">
      <c r="Q895" s="54"/>
    </row>
    <row r="896" spans="17:17" ht="15" customHeight="1" x14ac:dyDescent="0.2">
      <c r="Q896" s="54"/>
    </row>
    <row r="897" spans="17:17" ht="15" customHeight="1" x14ac:dyDescent="0.2">
      <c r="Q897" s="54"/>
    </row>
    <row r="898" spans="17:17" ht="15" customHeight="1" x14ac:dyDescent="0.2">
      <c r="Q898" s="54"/>
    </row>
    <row r="899" spans="17:17" ht="15" customHeight="1" x14ac:dyDescent="0.2">
      <c r="Q899" s="54"/>
    </row>
    <row r="900" spans="17:17" ht="15" customHeight="1" x14ac:dyDescent="0.2">
      <c r="Q900" s="54"/>
    </row>
    <row r="901" spans="17:17" ht="15" customHeight="1" x14ac:dyDescent="0.2">
      <c r="Q901" s="54"/>
    </row>
    <row r="902" spans="17:17" ht="15" customHeight="1" x14ac:dyDescent="0.2">
      <c r="Q902" s="54"/>
    </row>
    <row r="903" spans="17:17" ht="15" customHeight="1" x14ac:dyDescent="0.2">
      <c r="Q903" s="54"/>
    </row>
    <row r="904" spans="17:17" ht="15" customHeight="1" x14ac:dyDescent="0.2">
      <c r="Q904" s="54"/>
    </row>
    <row r="905" spans="17:17" ht="15" customHeight="1" x14ac:dyDescent="0.2">
      <c r="Q905" s="54"/>
    </row>
    <row r="906" spans="17:17" ht="15" customHeight="1" x14ac:dyDescent="0.2">
      <c r="Q906" s="54"/>
    </row>
    <row r="907" spans="17:17" ht="15" customHeight="1" x14ac:dyDescent="0.2">
      <c r="Q907" s="54"/>
    </row>
    <row r="908" spans="17:17" ht="15" customHeight="1" x14ac:dyDescent="0.2">
      <c r="Q908" s="54"/>
    </row>
    <row r="909" spans="17:17" ht="15" customHeight="1" x14ac:dyDescent="0.2">
      <c r="Q909" s="54"/>
    </row>
    <row r="910" spans="17:17" ht="15" customHeight="1" x14ac:dyDescent="0.2">
      <c r="Q910" s="54"/>
    </row>
    <row r="911" spans="17:17" ht="15" customHeight="1" x14ac:dyDescent="0.2">
      <c r="Q911" s="54"/>
    </row>
    <row r="912" spans="17:17" ht="15" customHeight="1" x14ac:dyDescent="0.2">
      <c r="Q912" s="54"/>
    </row>
    <row r="913" spans="17:17" ht="15" customHeight="1" x14ac:dyDescent="0.2">
      <c r="Q913" s="54"/>
    </row>
    <row r="914" spans="17:17" ht="15" customHeight="1" x14ac:dyDescent="0.2">
      <c r="Q914" s="54"/>
    </row>
    <row r="915" spans="17:17" ht="15" customHeight="1" x14ac:dyDescent="0.2">
      <c r="Q915" s="54"/>
    </row>
    <row r="916" spans="17:17" ht="15" customHeight="1" x14ac:dyDescent="0.2">
      <c r="Q916" s="54"/>
    </row>
    <row r="917" spans="17:17" ht="15" customHeight="1" x14ac:dyDescent="0.2">
      <c r="Q917" s="54"/>
    </row>
    <row r="918" spans="17:17" ht="15" customHeight="1" x14ac:dyDescent="0.2">
      <c r="Q918" s="54"/>
    </row>
    <row r="919" spans="17:17" ht="15" customHeight="1" x14ac:dyDescent="0.2">
      <c r="Q919" s="54"/>
    </row>
    <row r="920" spans="17:17" ht="15" customHeight="1" x14ac:dyDescent="0.2">
      <c r="Q920" s="54"/>
    </row>
    <row r="921" spans="17:17" ht="15" customHeight="1" x14ac:dyDescent="0.2">
      <c r="Q921" s="54"/>
    </row>
    <row r="922" spans="17:17" ht="15" customHeight="1" x14ac:dyDescent="0.2">
      <c r="Q922" s="54"/>
    </row>
    <row r="923" spans="17:17" ht="15" customHeight="1" x14ac:dyDescent="0.2">
      <c r="Q923" s="54"/>
    </row>
    <row r="924" spans="17:17" ht="15" customHeight="1" x14ac:dyDescent="0.2">
      <c r="Q924" s="54"/>
    </row>
    <row r="925" spans="17:17" ht="15" customHeight="1" x14ac:dyDescent="0.2">
      <c r="Q925" s="54"/>
    </row>
    <row r="926" spans="17:17" ht="15" customHeight="1" x14ac:dyDescent="0.2">
      <c r="Q926" s="54"/>
    </row>
    <row r="927" spans="17:17" ht="15" customHeight="1" x14ac:dyDescent="0.2">
      <c r="Q927" s="54"/>
    </row>
    <row r="928" spans="17:17" ht="15" customHeight="1" x14ac:dyDescent="0.2">
      <c r="Q928" s="54"/>
    </row>
    <row r="929" spans="17:17" ht="15" customHeight="1" x14ac:dyDescent="0.2">
      <c r="Q929" s="54"/>
    </row>
    <row r="930" spans="17:17" ht="15" customHeight="1" x14ac:dyDescent="0.2">
      <c r="Q930" s="54"/>
    </row>
    <row r="931" spans="17:17" ht="15" customHeight="1" x14ac:dyDescent="0.2">
      <c r="Q931" s="54"/>
    </row>
    <row r="932" spans="17:17" ht="15" customHeight="1" x14ac:dyDescent="0.2">
      <c r="Q932" s="54"/>
    </row>
    <row r="933" spans="17:17" ht="15" customHeight="1" x14ac:dyDescent="0.2">
      <c r="Q933" s="54"/>
    </row>
    <row r="934" spans="17:17" ht="15" customHeight="1" x14ac:dyDescent="0.2">
      <c r="Q934" s="54"/>
    </row>
    <row r="935" spans="17:17" ht="15" customHeight="1" x14ac:dyDescent="0.2">
      <c r="Q935" s="54"/>
    </row>
    <row r="936" spans="17:17" ht="15" customHeight="1" x14ac:dyDescent="0.2">
      <c r="Q936" s="54"/>
    </row>
    <row r="937" spans="17:17" ht="15" customHeight="1" x14ac:dyDescent="0.2">
      <c r="Q937" s="54"/>
    </row>
    <row r="938" spans="17:17" ht="15" customHeight="1" x14ac:dyDescent="0.2">
      <c r="Q938" s="54"/>
    </row>
    <row r="939" spans="17:17" ht="15" customHeight="1" x14ac:dyDescent="0.2">
      <c r="Q939" s="54"/>
    </row>
    <row r="940" spans="17:17" ht="15" customHeight="1" x14ac:dyDescent="0.2">
      <c r="Q940" s="54"/>
    </row>
    <row r="941" spans="17:17" ht="15" customHeight="1" x14ac:dyDescent="0.2">
      <c r="Q941" s="54"/>
    </row>
    <row r="942" spans="17:17" ht="15" customHeight="1" x14ac:dyDescent="0.2">
      <c r="Q942" s="54"/>
    </row>
    <row r="943" spans="17:17" ht="15" customHeight="1" x14ac:dyDescent="0.2">
      <c r="Q943" s="54"/>
    </row>
    <row r="944" spans="17:17" ht="15" customHeight="1" x14ac:dyDescent="0.2">
      <c r="Q944" s="54"/>
    </row>
    <row r="945" spans="17:17" ht="15" customHeight="1" x14ac:dyDescent="0.2">
      <c r="Q945" s="54"/>
    </row>
    <row r="946" spans="17:17" ht="15" customHeight="1" x14ac:dyDescent="0.2">
      <c r="Q946" s="54"/>
    </row>
    <row r="947" spans="17:17" ht="15" customHeight="1" x14ac:dyDescent="0.2">
      <c r="Q947" s="54"/>
    </row>
    <row r="948" spans="17:17" ht="15" customHeight="1" x14ac:dyDescent="0.2">
      <c r="Q948" s="54"/>
    </row>
    <row r="949" spans="17:17" ht="15" customHeight="1" x14ac:dyDescent="0.2">
      <c r="Q949" s="54"/>
    </row>
    <row r="950" spans="17:17" ht="15" customHeight="1" x14ac:dyDescent="0.2">
      <c r="Q950" s="54"/>
    </row>
    <row r="951" spans="17:17" ht="15" customHeight="1" x14ac:dyDescent="0.2">
      <c r="Q951" s="54"/>
    </row>
    <row r="952" spans="17:17" ht="15" customHeight="1" x14ac:dyDescent="0.2">
      <c r="Q952" s="54"/>
    </row>
    <row r="953" spans="17:17" ht="15" customHeight="1" x14ac:dyDescent="0.2">
      <c r="Q953" s="54"/>
    </row>
    <row r="954" spans="17:17" ht="15" customHeight="1" x14ac:dyDescent="0.2">
      <c r="Q954" s="54"/>
    </row>
    <row r="955" spans="17:17" ht="15" customHeight="1" x14ac:dyDescent="0.2">
      <c r="Q955" s="54"/>
    </row>
    <row r="956" spans="17:17" ht="15" customHeight="1" x14ac:dyDescent="0.2">
      <c r="Q956" s="54"/>
    </row>
    <row r="957" spans="17:17" ht="15" customHeight="1" x14ac:dyDescent="0.2">
      <c r="Q957" s="54"/>
    </row>
    <row r="958" spans="17:17" ht="15" customHeight="1" x14ac:dyDescent="0.2">
      <c r="Q958" s="54"/>
    </row>
    <row r="959" spans="17:17" ht="15" customHeight="1" x14ac:dyDescent="0.2">
      <c r="Q959" s="54"/>
    </row>
    <row r="960" spans="17:17" ht="15" customHeight="1" x14ac:dyDescent="0.2">
      <c r="Q960" s="54"/>
    </row>
    <row r="961" spans="17:17" ht="15" customHeight="1" x14ac:dyDescent="0.2">
      <c r="Q961" s="54"/>
    </row>
    <row r="962" spans="17:17" ht="15" customHeight="1" x14ac:dyDescent="0.2">
      <c r="Q962" s="54"/>
    </row>
    <row r="963" spans="17:17" ht="15" customHeight="1" x14ac:dyDescent="0.2">
      <c r="Q963" s="54"/>
    </row>
    <row r="964" spans="17:17" ht="15" customHeight="1" x14ac:dyDescent="0.2">
      <c r="Q964" s="54"/>
    </row>
    <row r="965" spans="17:17" ht="15" customHeight="1" x14ac:dyDescent="0.2">
      <c r="Q965" s="54"/>
    </row>
    <row r="966" spans="17:17" ht="15" customHeight="1" x14ac:dyDescent="0.2">
      <c r="Q966" s="54"/>
    </row>
    <row r="967" spans="17:17" ht="15" customHeight="1" x14ac:dyDescent="0.2">
      <c r="Q967" s="54"/>
    </row>
    <row r="968" spans="17:17" ht="15" customHeight="1" x14ac:dyDescent="0.2">
      <c r="Q968" s="54"/>
    </row>
    <row r="969" spans="17:17" ht="15" customHeight="1" x14ac:dyDescent="0.2">
      <c r="Q969" s="54"/>
    </row>
    <row r="970" spans="17:17" ht="15" customHeight="1" x14ac:dyDescent="0.2">
      <c r="Q970" s="54"/>
    </row>
    <row r="971" spans="17:17" ht="15" customHeight="1" x14ac:dyDescent="0.2">
      <c r="Q971" s="54"/>
    </row>
    <row r="972" spans="17:17" ht="15" customHeight="1" x14ac:dyDescent="0.2">
      <c r="Q972" s="54"/>
    </row>
    <row r="973" spans="17:17" ht="15" customHeight="1" x14ac:dyDescent="0.2">
      <c r="Q973" s="54"/>
    </row>
    <row r="974" spans="17:17" ht="15" customHeight="1" x14ac:dyDescent="0.2">
      <c r="Q974" s="54"/>
    </row>
    <row r="975" spans="17:17" ht="15" customHeight="1" x14ac:dyDescent="0.2">
      <c r="Q975" s="54"/>
    </row>
    <row r="976" spans="17:17" ht="15" customHeight="1" x14ac:dyDescent="0.2">
      <c r="Q976" s="54"/>
    </row>
    <row r="977" spans="17:17" ht="15" customHeight="1" x14ac:dyDescent="0.2">
      <c r="Q977" s="54"/>
    </row>
    <row r="978" spans="17:17" ht="15" customHeight="1" x14ac:dyDescent="0.2">
      <c r="Q978" s="54"/>
    </row>
    <row r="979" spans="17:17" ht="15" customHeight="1" x14ac:dyDescent="0.2">
      <c r="Q979" s="54"/>
    </row>
    <row r="980" spans="17:17" ht="15" customHeight="1" x14ac:dyDescent="0.2">
      <c r="Q980" s="54"/>
    </row>
    <row r="981" spans="17:17" ht="15" customHeight="1" x14ac:dyDescent="0.2">
      <c r="Q981" s="54"/>
    </row>
    <row r="982" spans="17:17" ht="15" customHeight="1" x14ac:dyDescent="0.2">
      <c r="Q982" s="54"/>
    </row>
    <row r="983" spans="17:17" ht="15" customHeight="1" x14ac:dyDescent="0.2">
      <c r="Q983" s="54"/>
    </row>
    <row r="984" spans="17:17" ht="15" customHeight="1" x14ac:dyDescent="0.2">
      <c r="Q984" s="54"/>
    </row>
    <row r="985" spans="17:17" ht="15" customHeight="1" x14ac:dyDescent="0.2">
      <c r="Q985" s="54"/>
    </row>
    <row r="986" spans="17:17" ht="15" customHeight="1" x14ac:dyDescent="0.2">
      <c r="Q986" s="54"/>
    </row>
    <row r="987" spans="17:17" ht="15" customHeight="1" x14ac:dyDescent="0.2">
      <c r="Q987" s="54"/>
    </row>
    <row r="988" spans="17:17" ht="15" customHeight="1" x14ac:dyDescent="0.2">
      <c r="Q988" s="54"/>
    </row>
    <row r="989" spans="17:17" ht="15" customHeight="1" x14ac:dyDescent="0.2">
      <c r="Q989" s="54"/>
    </row>
    <row r="990" spans="17:17" ht="15" customHeight="1" x14ac:dyDescent="0.2">
      <c r="Q990" s="54"/>
    </row>
    <row r="991" spans="17:17" ht="15" customHeight="1" x14ac:dyDescent="0.2">
      <c r="Q991" s="54"/>
    </row>
    <row r="992" spans="17:17" ht="15" customHeight="1" x14ac:dyDescent="0.2">
      <c r="Q992" s="54"/>
    </row>
    <row r="993" spans="17:17" ht="15" customHeight="1" x14ac:dyDescent="0.2">
      <c r="Q993" s="54"/>
    </row>
    <row r="994" spans="17:17" ht="15" customHeight="1" x14ac:dyDescent="0.2">
      <c r="Q994" s="54"/>
    </row>
    <row r="995" spans="17:17" ht="15" customHeight="1" x14ac:dyDescent="0.2">
      <c r="Q995" s="54"/>
    </row>
    <row r="996" spans="17:17" ht="15" customHeight="1" x14ac:dyDescent="0.2">
      <c r="Q996" s="54"/>
    </row>
    <row r="997" spans="17:17" ht="15" customHeight="1" x14ac:dyDescent="0.2">
      <c r="Q997" s="54"/>
    </row>
    <row r="998" spans="17:17" ht="15" customHeight="1" x14ac:dyDescent="0.2">
      <c r="Q998" s="54"/>
    </row>
    <row r="999" spans="17:17" ht="15" customHeight="1" x14ac:dyDescent="0.2">
      <c r="Q999" s="54"/>
    </row>
    <row r="1000" spans="17:17" ht="15" customHeight="1" x14ac:dyDescent="0.2">
      <c r="Q1000" s="54"/>
    </row>
    <row r="1001" spans="17:17" ht="15" customHeight="1" x14ac:dyDescent="0.2">
      <c r="Q1001" s="54"/>
    </row>
    <row r="1002" spans="17:17" ht="15" customHeight="1" x14ac:dyDescent="0.2">
      <c r="Q1002" s="54"/>
    </row>
    <row r="1003" spans="17:17" ht="15" customHeight="1" x14ac:dyDescent="0.2">
      <c r="Q1003" s="54"/>
    </row>
    <row r="1004" spans="17:17" ht="15" customHeight="1" x14ac:dyDescent="0.2">
      <c r="Q1004" s="54"/>
    </row>
    <row r="1005" spans="17:17" ht="15" customHeight="1" x14ac:dyDescent="0.2">
      <c r="Q1005" s="54"/>
    </row>
    <row r="1006" spans="17:17" ht="15" customHeight="1" x14ac:dyDescent="0.2">
      <c r="Q1006" s="54"/>
    </row>
    <row r="1007" spans="17:17" ht="15" customHeight="1" x14ac:dyDescent="0.2">
      <c r="Q1007" s="54"/>
    </row>
    <row r="1008" spans="17:17" ht="15" customHeight="1" x14ac:dyDescent="0.2">
      <c r="Q1008" s="54"/>
    </row>
    <row r="1009" spans="17:17" ht="15" customHeight="1" x14ac:dyDescent="0.2">
      <c r="Q1009" s="54"/>
    </row>
    <row r="1010" spans="17:17" ht="15" customHeight="1" x14ac:dyDescent="0.2">
      <c r="Q1010" s="54"/>
    </row>
    <row r="1011" spans="17:17" ht="15" customHeight="1" x14ac:dyDescent="0.2">
      <c r="Q1011" s="54"/>
    </row>
    <row r="1012" spans="17:17" ht="15" customHeight="1" x14ac:dyDescent="0.2">
      <c r="Q1012" s="54"/>
    </row>
    <row r="1013" spans="17:17" ht="15" customHeight="1" x14ac:dyDescent="0.2">
      <c r="Q1013" s="54"/>
    </row>
    <row r="1014" spans="17:17" ht="15" customHeight="1" x14ac:dyDescent="0.2">
      <c r="Q1014" s="54"/>
    </row>
    <row r="1015" spans="17:17" ht="15" customHeight="1" x14ac:dyDescent="0.2">
      <c r="Q1015" s="54"/>
    </row>
    <row r="1016" spans="17:17" ht="15" customHeight="1" x14ac:dyDescent="0.2">
      <c r="Q1016" s="54"/>
    </row>
    <row r="1017" spans="17:17" ht="15" customHeight="1" x14ac:dyDescent="0.2">
      <c r="Q1017" s="54"/>
    </row>
    <row r="1018" spans="17:17" ht="15" customHeight="1" x14ac:dyDescent="0.2">
      <c r="Q1018" s="54"/>
    </row>
    <row r="1019" spans="17:17" ht="15" customHeight="1" x14ac:dyDescent="0.2">
      <c r="Q1019" s="54"/>
    </row>
    <row r="1020" spans="17:17" ht="15" customHeight="1" x14ac:dyDescent="0.2">
      <c r="Q1020" s="54"/>
    </row>
    <row r="1021" spans="17:17" ht="15" customHeight="1" x14ac:dyDescent="0.2">
      <c r="Q1021" s="54"/>
    </row>
    <row r="1022" spans="17:17" ht="15" customHeight="1" x14ac:dyDescent="0.2">
      <c r="Q1022" s="54"/>
    </row>
    <row r="1023" spans="17:17" ht="15" customHeight="1" x14ac:dyDescent="0.2">
      <c r="Q1023" s="54"/>
    </row>
    <row r="1024" spans="17:17" ht="15" customHeight="1" x14ac:dyDescent="0.2">
      <c r="Q1024" s="54"/>
    </row>
    <row r="1025" spans="17:17" ht="15" customHeight="1" x14ac:dyDescent="0.2">
      <c r="Q1025" s="54"/>
    </row>
    <row r="1026" spans="17:17" ht="15" customHeight="1" x14ac:dyDescent="0.2">
      <c r="Q1026" s="54"/>
    </row>
    <row r="1027" spans="17:17" ht="15" customHeight="1" x14ac:dyDescent="0.2">
      <c r="Q1027" s="54"/>
    </row>
    <row r="1028" spans="17:17" ht="15" customHeight="1" x14ac:dyDescent="0.2">
      <c r="Q1028" s="54"/>
    </row>
    <row r="1029" spans="17:17" ht="15" customHeight="1" x14ac:dyDescent="0.2">
      <c r="Q1029" s="54"/>
    </row>
    <row r="1030" spans="17:17" ht="15" customHeight="1" x14ac:dyDescent="0.2">
      <c r="Q1030" s="54"/>
    </row>
    <row r="1031" spans="17:17" ht="15" customHeight="1" x14ac:dyDescent="0.2">
      <c r="Q1031" s="54"/>
    </row>
    <row r="1032" spans="17:17" ht="15" customHeight="1" x14ac:dyDescent="0.2">
      <c r="Q1032" s="54"/>
    </row>
    <row r="1033" spans="17:17" ht="15" customHeight="1" x14ac:dyDescent="0.2">
      <c r="Q1033" s="54"/>
    </row>
    <row r="1034" spans="17:17" ht="15" customHeight="1" x14ac:dyDescent="0.2">
      <c r="Q1034" s="54"/>
    </row>
    <row r="1035" spans="17:17" ht="15" customHeight="1" x14ac:dyDescent="0.2">
      <c r="Q1035" s="54"/>
    </row>
    <row r="1036" spans="17:17" ht="15" customHeight="1" x14ac:dyDescent="0.2">
      <c r="Q1036" s="54"/>
    </row>
    <row r="1037" spans="17:17" ht="15" customHeight="1" x14ac:dyDescent="0.2">
      <c r="Q1037" s="54"/>
    </row>
    <row r="1038" spans="17:17" ht="15" customHeight="1" x14ac:dyDescent="0.2">
      <c r="Q1038" s="54"/>
    </row>
    <row r="1039" spans="17:17" ht="15" customHeight="1" x14ac:dyDescent="0.2">
      <c r="Q1039" s="54"/>
    </row>
    <row r="1040" spans="17:17" ht="15" customHeight="1" x14ac:dyDescent="0.2">
      <c r="Q1040" s="54"/>
    </row>
    <row r="1041" spans="17:17" ht="15" customHeight="1" x14ac:dyDescent="0.2">
      <c r="Q1041" s="54"/>
    </row>
    <row r="1042" spans="17:17" ht="15" customHeight="1" x14ac:dyDescent="0.2">
      <c r="Q1042" s="54"/>
    </row>
    <row r="1043" spans="17:17" ht="15" customHeight="1" x14ac:dyDescent="0.2">
      <c r="Q1043" s="54"/>
    </row>
    <row r="1044" spans="17:17" ht="15" customHeight="1" x14ac:dyDescent="0.2">
      <c r="Q1044" s="54"/>
    </row>
    <row r="1045" spans="17:17" ht="15" customHeight="1" x14ac:dyDescent="0.2">
      <c r="Q1045" s="54"/>
    </row>
    <row r="1046" spans="17:17" ht="15" customHeight="1" x14ac:dyDescent="0.2">
      <c r="Q1046" s="54"/>
    </row>
    <row r="1047" spans="17:17" ht="15" customHeight="1" x14ac:dyDescent="0.2">
      <c r="Q1047" s="54"/>
    </row>
    <row r="1048" spans="17:17" ht="15" customHeight="1" x14ac:dyDescent="0.2">
      <c r="Q1048" s="54"/>
    </row>
    <row r="1049" spans="17:17" ht="15" customHeight="1" x14ac:dyDescent="0.2">
      <c r="Q1049" s="54"/>
    </row>
    <row r="1050" spans="17:17" ht="15" customHeight="1" x14ac:dyDescent="0.2">
      <c r="Q1050" s="54"/>
    </row>
    <row r="1051" spans="17:17" ht="15" customHeight="1" x14ac:dyDescent="0.2">
      <c r="Q1051" s="54"/>
    </row>
    <row r="1052" spans="17:17" ht="15" customHeight="1" x14ac:dyDescent="0.2">
      <c r="Q1052" s="54"/>
    </row>
    <row r="1053" spans="17:17" ht="15" customHeight="1" x14ac:dyDescent="0.2">
      <c r="Q1053" s="54"/>
    </row>
    <row r="1054" spans="17:17" ht="15" customHeight="1" x14ac:dyDescent="0.2">
      <c r="Q1054" s="54"/>
    </row>
    <row r="1055" spans="17:17" ht="15" customHeight="1" x14ac:dyDescent="0.2">
      <c r="Q1055" s="54"/>
    </row>
    <row r="1056" spans="17:17" ht="15" customHeight="1" x14ac:dyDescent="0.2">
      <c r="Q1056" s="54"/>
    </row>
    <row r="1057" spans="17:17" ht="15" customHeight="1" x14ac:dyDescent="0.2">
      <c r="Q1057" s="54"/>
    </row>
    <row r="1058" spans="17:17" ht="15" customHeight="1" x14ac:dyDescent="0.2">
      <c r="Q1058" s="54"/>
    </row>
    <row r="1059" spans="17:17" ht="15" customHeight="1" x14ac:dyDescent="0.2">
      <c r="Q1059" s="54"/>
    </row>
    <row r="1060" spans="17:17" ht="15" customHeight="1" x14ac:dyDescent="0.2">
      <c r="Q1060" s="54"/>
    </row>
    <row r="1061" spans="17:17" ht="15" customHeight="1" x14ac:dyDescent="0.2">
      <c r="Q1061" s="54"/>
    </row>
    <row r="1062" spans="17:17" ht="15" customHeight="1" x14ac:dyDescent="0.2">
      <c r="Q1062" s="54"/>
    </row>
    <row r="1063" spans="17:17" ht="15" customHeight="1" x14ac:dyDescent="0.2">
      <c r="Q1063" s="54"/>
    </row>
    <row r="1064" spans="17:17" ht="15" customHeight="1" x14ac:dyDescent="0.2">
      <c r="Q1064" s="54"/>
    </row>
    <row r="1065" spans="17:17" ht="15" customHeight="1" x14ac:dyDescent="0.2">
      <c r="Q1065" s="54"/>
    </row>
    <row r="1066" spans="17:17" ht="15" customHeight="1" x14ac:dyDescent="0.2">
      <c r="Q1066" s="54"/>
    </row>
    <row r="1067" spans="17:17" ht="15" customHeight="1" x14ac:dyDescent="0.2">
      <c r="Q1067" s="54"/>
    </row>
    <row r="1068" spans="17:17" ht="15" customHeight="1" x14ac:dyDescent="0.2">
      <c r="Q1068" s="54"/>
    </row>
    <row r="1069" spans="17:17" ht="15" customHeight="1" x14ac:dyDescent="0.2">
      <c r="Q1069" s="54"/>
    </row>
    <row r="1070" spans="17:17" ht="15" customHeight="1" x14ac:dyDescent="0.2">
      <c r="Q1070" s="54"/>
    </row>
    <row r="1071" spans="17:17" ht="15" customHeight="1" x14ac:dyDescent="0.2">
      <c r="Q1071" s="54"/>
    </row>
    <row r="1072" spans="17:17" ht="15" customHeight="1" x14ac:dyDescent="0.2">
      <c r="Q1072" s="54"/>
    </row>
    <row r="1073" spans="17:17" ht="15" customHeight="1" x14ac:dyDescent="0.2">
      <c r="Q1073" s="54"/>
    </row>
    <row r="1074" spans="17:17" ht="15" customHeight="1" x14ac:dyDescent="0.2">
      <c r="Q1074" s="54"/>
    </row>
    <row r="1075" spans="17:17" ht="15" customHeight="1" x14ac:dyDescent="0.2">
      <c r="Q1075" s="54"/>
    </row>
    <row r="1076" spans="17:17" ht="15" customHeight="1" x14ac:dyDescent="0.2">
      <c r="Q1076" s="54"/>
    </row>
    <row r="1077" spans="17:17" ht="15" customHeight="1" x14ac:dyDescent="0.2">
      <c r="Q1077" s="54"/>
    </row>
    <row r="1078" spans="17:17" ht="15" customHeight="1" x14ac:dyDescent="0.2">
      <c r="Q1078" s="54"/>
    </row>
    <row r="1079" spans="17:17" ht="15" customHeight="1" x14ac:dyDescent="0.2">
      <c r="Q1079" s="54"/>
    </row>
    <row r="1080" spans="17:17" ht="15" customHeight="1" x14ac:dyDescent="0.2">
      <c r="Q1080" s="54"/>
    </row>
    <row r="1081" spans="17:17" ht="15" customHeight="1" x14ac:dyDescent="0.2">
      <c r="Q1081" s="54"/>
    </row>
    <row r="1082" spans="17:17" ht="15" customHeight="1" x14ac:dyDescent="0.2">
      <c r="Q1082" s="54"/>
    </row>
    <row r="1083" spans="17:17" ht="15" customHeight="1" x14ac:dyDescent="0.2">
      <c r="Q1083" s="54"/>
    </row>
    <row r="1084" spans="17:17" ht="15" customHeight="1" x14ac:dyDescent="0.2">
      <c r="Q1084" s="54"/>
    </row>
    <row r="1085" spans="17:17" ht="15" customHeight="1" x14ac:dyDescent="0.2">
      <c r="Q1085" s="54"/>
    </row>
    <row r="1086" spans="17:17" ht="15" customHeight="1" x14ac:dyDescent="0.2">
      <c r="Q1086" s="54"/>
    </row>
    <row r="1087" spans="17:17" ht="15" customHeight="1" x14ac:dyDescent="0.2">
      <c r="Q1087" s="54"/>
    </row>
    <row r="1088" spans="17:17" ht="15" customHeight="1" x14ac:dyDescent="0.2">
      <c r="Q1088" s="54"/>
    </row>
    <row r="1089" spans="17:17" ht="15" customHeight="1" x14ac:dyDescent="0.2">
      <c r="Q1089" s="54"/>
    </row>
    <row r="1090" spans="17:17" ht="15" customHeight="1" x14ac:dyDescent="0.2">
      <c r="Q1090" s="54"/>
    </row>
    <row r="1091" spans="17:17" ht="15" customHeight="1" x14ac:dyDescent="0.2">
      <c r="Q1091" s="54"/>
    </row>
    <row r="1092" spans="17:17" ht="15" customHeight="1" x14ac:dyDescent="0.2">
      <c r="Q1092" s="54"/>
    </row>
    <row r="1093" spans="17:17" ht="15" customHeight="1" x14ac:dyDescent="0.2">
      <c r="Q1093" s="54"/>
    </row>
    <row r="1094" spans="17:17" ht="15" customHeight="1" x14ac:dyDescent="0.2">
      <c r="Q1094" s="54"/>
    </row>
    <row r="1095" spans="17:17" ht="15" customHeight="1" x14ac:dyDescent="0.2">
      <c r="Q1095" s="54"/>
    </row>
    <row r="1096" spans="17:17" ht="15" customHeight="1" x14ac:dyDescent="0.2">
      <c r="Q1096" s="54"/>
    </row>
    <row r="1097" spans="17:17" ht="15" customHeight="1" x14ac:dyDescent="0.2">
      <c r="Q1097" s="54"/>
    </row>
    <row r="1098" spans="17:17" ht="15" customHeight="1" x14ac:dyDescent="0.2">
      <c r="Q1098" s="54"/>
    </row>
    <row r="1099" spans="17:17" ht="15" customHeight="1" x14ac:dyDescent="0.2">
      <c r="Q1099" s="54"/>
    </row>
    <row r="1100" spans="17:17" ht="15" customHeight="1" x14ac:dyDescent="0.2">
      <c r="Q1100" s="54"/>
    </row>
    <row r="1101" spans="17:17" ht="15" customHeight="1" x14ac:dyDescent="0.2">
      <c r="Q1101" s="54"/>
    </row>
    <row r="1102" spans="17:17" ht="15" customHeight="1" x14ac:dyDescent="0.2">
      <c r="Q1102" s="54"/>
    </row>
    <row r="1103" spans="17:17" ht="15" customHeight="1" x14ac:dyDescent="0.2">
      <c r="Q1103" s="54"/>
    </row>
    <row r="1104" spans="17:17" ht="15" customHeight="1" x14ac:dyDescent="0.2">
      <c r="Q1104" s="54"/>
    </row>
    <row r="1105" spans="17:17" ht="15" customHeight="1" x14ac:dyDescent="0.2">
      <c r="Q1105" s="54"/>
    </row>
    <row r="1106" spans="17:17" ht="15" customHeight="1" x14ac:dyDescent="0.2">
      <c r="Q1106" s="54"/>
    </row>
    <row r="1107" spans="17:17" ht="15" customHeight="1" x14ac:dyDescent="0.2">
      <c r="Q1107" s="54"/>
    </row>
    <row r="1108" spans="17:17" ht="15" customHeight="1" x14ac:dyDescent="0.2">
      <c r="Q1108" s="54"/>
    </row>
    <row r="1109" spans="17:17" ht="15" customHeight="1" x14ac:dyDescent="0.2">
      <c r="Q1109" s="54"/>
    </row>
    <row r="1110" spans="17:17" ht="15" customHeight="1" x14ac:dyDescent="0.2">
      <c r="Q1110" s="54"/>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2234-9363-0646-8D56-F8F4B6965FD6}">
  <sheetPr>
    <tabColor rgb="FFFF0000"/>
  </sheetPr>
  <dimension ref="A1:I25"/>
  <sheetViews>
    <sheetView workbookViewId="0">
      <selection activeCell="C3" sqref="C3:E6"/>
    </sheetView>
  </sheetViews>
  <sheetFormatPr baseColWidth="10" defaultColWidth="10.83203125" defaultRowHeight="15" x14ac:dyDescent="0.2"/>
  <cols>
    <col min="1" max="1" width="6.1640625" style="50" customWidth="1"/>
    <col min="2" max="2" width="2.83203125" style="50" customWidth="1"/>
    <col min="3" max="5" width="10.83203125" style="50"/>
    <col min="6" max="6" width="8.5" style="50" customWidth="1"/>
    <col min="7" max="16384" width="10.83203125" style="50"/>
  </cols>
  <sheetData>
    <row r="1" spans="1:9" ht="21" customHeight="1" x14ac:dyDescent="0.2">
      <c r="C1" s="135" t="s">
        <v>117</v>
      </c>
      <c r="D1" s="135"/>
      <c r="E1" s="135"/>
      <c r="F1" s="135"/>
      <c r="G1" s="135"/>
      <c r="H1" s="135"/>
      <c r="I1" s="135"/>
    </row>
    <row r="2" spans="1:9" x14ac:dyDescent="0.2">
      <c r="C2" s="49"/>
      <c r="D2" s="49"/>
      <c r="E2" s="49"/>
      <c r="F2" s="49"/>
      <c r="G2" s="49"/>
    </row>
    <row r="3" spans="1:9" ht="26" customHeight="1" x14ac:dyDescent="0.2">
      <c r="A3" s="137" t="s">
        <v>118</v>
      </c>
      <c r="B3" s="46"/>
      <c r="C3" s="134" t="s">
        <v>120</v>
      </c>
      <c r="D3" s="132"/>
      <c r="E3" s="132"/>
      <c r="G3" s="134" t="s">
        <v>121</v>
      </c>
      <c r="H3" s="132"/>
      <c r="I3" s="132"/>
    </row>
    <row r="4" spans="1:9" ht="26" customHeight="1" x14ac:dyDescent="0.2">
      <c r="A4" s="138"/>
      <c r="B4" s="47"/>
      <c r="C4" s="132"/>
      <c r="D4" s="132"/>
      <c r="E4" s="132"/>
      <c r="F4" s="136"/>
      <c r="G4" s="132"/>
      <c r="H4" s="132"/>
      <c r="I4" s="132"/>
    </row>
    <row r="5" spans="1:9" ht="26" customHeight="1" x14ac:dyDescent="0.2">
      <c r="A5" s="138"/>
      <c r="B5" s="47"/>
      <c r="C5" s="132"/>
      <c r="D5" s="132"/>
      <c r="E5" s="132"/>
      <c r="F5" s="136"/>
      <c r="G5" s="132"/>
      <c r="H5" s="132"/>
      <c r="I5" s="132"/>
    </row>
    <row r="6" spans="1:9" ht="26" customHeight="1" x14ac:dyDescent="0.2">
      <c r="A6" s="138"/>
      <c r="B6" s="47"/>
      <c r="C6" s="132"/>
      <c r="D6" s="132"/>
      <c r="E6" s="132"/>
      <c r="G6" s="132"/>
      <c r="H6" s="132"/>
      <c r="I6" s="132"/>
    </row>
    <row r="7" spans="1:9" ht="26" customHeight="1" x14ac:dyDescent="0.2">
      <c r="A7" s="45"/>
      <c r="B7" s="45"/>
      <c r="D7" s="51"/>
    </row>
    <row r="8" spans="1:9" x14ac:dyDescent="0.2">
      <c r="A8" s="139" t="s">
        <v>119</v>
      </c>
      <c r="B8" s="48"/>
      <c r="C8" s="134" t="s">
        <v>122</v>
      </c>
      <c r="D8" s="132"/>
      <c r="E8" s="132"/>
      <c r="G8" s="134" t="s">
        <v>123</v>
      </c>
      <c r="H8" s="132"/>
      <c r="I8" s="132"/>
    </row>
    <row r="9" spans="1:9" x14ac:dyDescent="0.2">
      <c r="A9" s="140"/>
      <c r="B9" s="45"/>
      <c r="C9" s="132"/>
      <c r="D9" s="132"/>
      <c r="E9" s="132"/>
      <c r="F9" s="51"/>
      <c r="G9" s="132"/>
      <c r="H9" s="132"/>
      <c r="I9" s="132"/>
    </row>
    <row r="10" spans="1:9" x14ac:dyDescent="0.2">
      <c r="A10" s="140"/>
      <c r="B10" s="45"/>
      <c r="D10" s="51"/>
    </row>
    <row r="11" spans="1:9" x14ac:dyDescent="0.2">
      <c r="A11" s="140"/>
      <c r="B11" s="45"/>
      <c r="D11" s="52"/>
    </row>
    <row r="12" spans="1:9" x14ac:dyDescent="0.2">
      <c r="A12" s="140"/>
      <c r="B12" s="45"/>
      <c r="C12" s="134" t="s">
        <v>124</v>
      </c>
      <c r="D12" s="132"/>
      <c r="E12" s="132"/>
      <c r="G12" s="134" t="s">
        <v>125</v>
      </c>
      <c r="H12" s="132"/>
      <c r="I12" s="132"/>
    </row>
    <row r="13" spans="1:9" x14ac:dyDescent="0.2">
      <c r="A13" s="140"/>
      <c r="B13" s="45"/>
      <c r="C13" s="132"/>
      <c r="D13" s="132"/>
      <c r="E13" s="132"/>
      <c r="F13" s="51"/>
      <c r="G13" s="132"/>
      <c r="H13" s="132"/>
      <c r="I13" s="132"/>
    </row>
    <row r="14" spans="1:9" x14ac:dyDescent="0.2">
      <c r="A14" s="140"/>
      <c r="B14" s="45"/>
      <c r="D14" s="51"/>
    </row>
    <row r="15" spans="1:9" ht="39" customHeight="1" x14ac:dyDescent="0.2">
      <c r="A15" s="140"/>
      <c r="B15" s="45"/>
      <c r="D15" s="52"/>
    </row>
    <row r="16" spans="1:9" ht="26" customHeight="1" x14ac:dyDescent="0.2">
      <c r="A16" s="140"/>
      <c r="B16" s="45"/>
      <c r="C16" s="134" t="s">
        <v>126</v>
      </c>
      <c r="D16" s="132"/>
      <c r="E16" s="132"/>
      <c r="G16" s="131" t="s">
        <v>127</v>
      </c>
      <c r="H16" s="132"/>
      <c r="I16" s="132"/>
    </row>
    <row r="17" spans="1:9" ht="26" customHeight="1" x14ac:dyDescent="0.2">
      <c r="A17" s="140"/>
      <c r="B17" s="45"/>
      <c r="C17" s="132"/>
      <c r="D17" s="132"/>
      <c r="E17" s="132"/>
      <c r="F17" s="51"/>
      <c r="G17" s="132"/>
      <c r="H17" s="132"/>
      <c r="I17" s="132"/>
    </row>
    <row r="18" spans="1:9" ht="26" customHeight="1" x14ac:dyDescent="0.2">
      <c r="A18" s="140"/>
      <c r="B18" s="45"/>
      <c r="D18" s="51"/>
      <c r="G18" s="132"/>
      <c r="H18" s="132"/>
      <c r="I18" s="132"/>
    </row>
    <row r="19" spans="1:9" ht="26" customHeight="1" x14ac:dyDescent="0.2">
      <c r="A19" s="140"/>
      <c r="B19" s="45"/>
      <c r="D19" s="52"/>
    </row>
    <row r="20" spans="1:9" x14ac:dyDescent="0.2">
      <c r="D20" s="53"/>
    </row>
    <row r="21" spans="1:9" x14ac:dyDescent="0.2">
      <c r="A21" s="133"/>
      <c r="C21" s="134" t="s">
        <v>128</v>
      </c>
      <c r="D21" s="132"/>
      <c r="E21" s="132"/>
    </row>
    <row r="22" spans="1:9" x14ac:dyDescent="0.2">
      <c r="A22" s="133"/>
      <c r="C22" s="132"/>
      <c r="D22" s="132"/>
      <c r="E22" s="132"/>
    </row>
    <row r="23" spans="1:9" x14ac:dyDescent="0.2">
      <c r="A23" s="133"/>
      <c r="C23" s="132"/>
      <c r="D23" s="132"/>
      <c r="E23" s="132"/>
    </row>
    <row r="24" spans="1:9" x14ac:dyDescent="0.2">
      <c r="A24" s="133"/>
      <c r="C24" s="132"/>
      <c r="D24" s="132"/>
      <c r="E24" s="132"/>
    </row>
    <row r="25" spans="1:9" x14ac:dyDescent="0.2">
      <c r="A25" s="133"/>
      <c r="C25" s="132"/>
      <c r="D25" s="132"/>
      <c r="E25" s="132"/>
    </row>
  </sheetData>
  <mergeCells count="14">
    <mergeCell ref="G16:I18"/>
    <mergeCell ref="A21:A25"/>
    <mergeCell ref="C21:E25"/>
    <mergeCell ref="C1:I1"/>
    <mergeCell ref="F4:F5"/>
    <mergeCell ref="A3:A6"/>
    <mergeCell ref="A8:A19"/>
    <mergeCell ref="C3:E6"/>
    <mergeCell ref="G3:I6"/>
    <mergeCell ref="C8:E9"/>
    <mergeCell ref="C12:E13"/>
    <mergeCell ref="C16:E17"/>
    <mergeCell ref="G8:I9"/>
    <mergeCell ref="G12:I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74B96-457B-4F22-AAB5-0378875C3651}">
  <sheetPr>
    <tabColor rgb="FFFF0000"/>
  </sheetPr>
  <dimension ref="A1:BK34"/>
  <sheetViews>
    <sheetView showGridLines="0" zoomScale="150" workbookViewId="0">
      <selection activeCell="E30" sqref="E30"/>
    </sheetView>
  </sheetViews>
  <sheetFormatPr baseColWidth="10" defaultRowHeight="15" outlineLevelCol="1" x14ac:dyDescent="0.2"/>
  <cols>
    <col min="1" max="1" width="15.6640625" style="55" customWidth="1"/>
    <col min="2" max="4" width="15.33203125" style="55" customWidth="1" outlineLevel="1"/>
    <col min="5" max="5" width="9.5" style="55" customWidth="1"/>
    <col min="6" max="6" width="12.5" style="55" customWidth="1"/>
    <col min="7" max="7" width="11.5" style="55" customWidth="1" outlineLevel="1"/>
    <col min="8" max="11" width="8.6640625" style="55" customWidth="1" outlineLevel="1"/>
    <col min="12" max="12" width="14.5" style="55" customWidth="1" outlineLevel="1"/>
    <col min="13" max="13" width="11.5" style="55"/>
    <col min="14" max="14" width="18.33203125" style="55" bestFit="1" customWidth="1"/>
    <col min="15" max="15" width="10.6640625" style="55" customWidth="1" outlineLevel="1"/>
    <col min="16" max="16" width="12" style="55" customWidth="1" outlineLevel="1"/>
    <col min="17" max="17" width="12.83203125" style="55" customWidth="1" outlineLevel="1"/>
    <col min="18" max="18" width="3" style="55" customWidth="1" outlineLevel="1"/>
    <col min="19" max="19" width="18" style="55" customWidth="1" outlineLevel="1"/>
    <col min="20" max="20" width="10.6640625" style="55" customWidth="1" outlineLevel="1"/>
    <col min="21" max="21" width="14.5" style="55" customWidth="1" outlineLevel="1"/>
    <col min="22" max="25" width="10.83203125" style="55"/>
    <col min="26" max="26" width="4" style="55" customWidth="1"/>
    <col min="27" max="27" width="28.33203125" style="55" customWidth="1"/>
    <col min="28" max="28" width="12" style="55" hidden="1" customWidth="1" outlineLevel="1"/>
    <col min="29" max="29" width="17" style="55" hidden="1" customWidth="1" outlineLevel="1"/>
    <col min="30" max="30" width="18" style="55" hidden="1" customWidth="1" outlineLevel="1"/>
    <col min="31" max="31" width="3.83203125" style="55" customWidth="1" collapsed="1"/>
    <col min="32" max="38" width="10.83203125" style="55"/>
    <col min="39" max="39" width="18.33203125" style="55" bestFit="1" customWidth="1"/>
    <col min="40" max="40" width="10.6640625" style="55" customWidth="1" outlineLevel="1"/>
    <col min="41" max="41" width="12" style="55" customWidth="1" outlineLevel="1"/>
    <col min="42" max="42" width="12.83203125" style="55" customWidth="1" outlineLevel="1"/>
    <col min="43" max="44" width="10.83203125" style="55"/>
    <col min="45" max="45" width="18.33203125" style="55" bestFit="1" customWidth="1"/>
    <col min="46" max="46" width="10.6640625" style="55" customWidth="1" outlineLevel="1"/>
    <col min="47" max="47" width="12" style="55" customWidth="1" outlineLevel="1"/>
    <col min="48" max="48" width="12.83203125" style="55" customWidth="1" outlineLevel="1"/>
    <col min="49" max="55" width="10.83203125" style="55"/>
    <col min="56" max="56" width="18.33203125" style="55" bestFit="1" customWidth="1"/>
    <col min="57" max="57" width="10.6640625" style="55" hidden="1" customWidth="1" outlineLevel="1"/>
    <col min="58" max="58" width="12" style="55" hidden="1" customWidth="1" outlineLevel="1"/>
    <col min="59" max="59" width="12.83203125" style="55" hidden="1" customWidth="1" outlineLevel="1"/>
    <col min="60" max="60" width="4" style="55" hidden="1" customWidth="1" outlineLevel="1"/>
    <col min="61" max="61" width="18" style="55" hidden="1" customWidth="1" outlineLevel="1"/>
    <col min="62" max="62" width="10.6640625" style="55" hidden="1" customWidth="1" outlineLevel="1"/>
    <col min="63" max="63" width="10.83203125" style="55" collapsed="1"/>
    <col min="64" max="16384" width="10.83203125" style="55"/>
  </cols>
  <sheetData>
    <row r="1" spans="1:62" ht="15.75" customHeight="1" x14ac:dyDescent="0.2"/>
    <row r="3" spans="1:62" x14ac:dyDescent="0.2">
      <c r="A3" s="56" t="s">
        <v>139</v>
      </c>
      <c r="F3" s="56" t="s">
        <v>140</v>
      </c>
      <c r="N3" s="56" t="s">
        <v>142</v>
      </c>
      <c r="AA3" s="56" t="s">
        <v>142</v>
      </c>
      <c r="AM3" s="56" t="s">
        <v>145</v>
      </c>
      <c r="AN3" s="57" t="s">
        <v>149</v>
      </c>
      <c r="AS3" s="56" t="s">
        <v>147</v>
      </c>
      <c r="AT3" s="58" t="s">
        <v>143</v>
      </c>
      <c r="AU3" s="59" t="s">
        <v>113</v>
      </c>
      <c r="AV3" s="60" t="s">
        <v>149</v>
      </c>
      <c r="BD3" s="56" t="s">
        <v>148</v>
      </c>
      <c r="BE3" s="58" t="s">
        <v>143</v>
      </c>
      <c r="BF3" s="59" t="s">
        <v>113</v>
      </c>
      <c r="BG3" s="60" t="s">
        <v>149</v>
      </c>
    </row>
    <row r="4" spans="1:62" x14ac:dyDescent="0.2">
      <c r="N4" s="55" t="s">
        <v>132</v>
      </c>
      <c r="AA4" s="55" t="s">
        <v>133</v>
      </c>
      <c r="AM4" s="55" t="s">
        <v>144</v>
      </c>
      <c r="AS4" s="55" t="s">
        <v>136</v>
      </c>
      <c r="BE4" s="55" t="s">
        <v>137</v>
      </c>
    </row>
    <row r="5" spans="1:62" x14ac:dyDescent="0.2">
      <c r="F5" s="71" t="s">
        <v>141</v>
      </c>
      <c r="G5" s="71" t="s">
        <v>129</v>
      </c>
      <c r="H5" s="71" t="s">
        <v>130</v>
      </c>
      <c r="I5" s="71" t="s">
        <v>55</v>
      </c>
      <c r="J5" s="71" t="s">
        <v>56</v>
      </c>
      <c r="K5" s="71" t="s">
        <v>131</v>
      </c>
      <c r="L5" s="71" t="s">
        <v>110</v>
      </c>
      <c r="AA5" s="65"/>
      <c r="AB5" s="78"/>
      <c r="AC5" s="78"/>
      <c r="AD5" s="79"/>
      <c r="AS5" s="77" t="s">
        <v>138</v>
      </c>
      <c r="AT5" s="71" t="s">
        <v>143</v>
      </c>
      <c r="AU5" s="71" t="s">
        <v>113</v>
      </c>
      <c r="AV5" s="71" t="s">
        <v>149</v>
      </c>
      <c r="BD5" s="77" t="s">
        <v>138</v>
      </c>
      <c r="BE5" s="71" t="s">
        <v>143</v>
      </c>
      <c r="BF5" s="71" t="s">
        <v>113</v>
      </c>
      <c r="BG5" s="71" t="s">
        <v>149</v>
      </c>
      <c r="BI5" s="62" t="s">
        <v>138</v>
      </c>
      <c r="BJ5" s="63" t="s">
        <v>143</v>
      </c>
    </row>
    <row r="6" spans="1:62" x14ac:dyDescent="0.2">
      <c r="A6" s="64" t="s">
        <v>110</v>
      </c>
      <c r="B6" s="141" t="s">
        <v>111</v>
      </c>
      <c r="C6" s="141"/>
      <c r="D6" s="141"/>
      <c r="F6" s="61">
        <v>1</v>
      </c>
      <c r="G6" s="61" t="str">
        <f>'BASE DE DATOS SCOPUS'!B5</f>
        <v>Lin C.-C.; Chien C.-C.; Weng Y.-T.; Fang C.-C.; Wu N.-L.; Adelung R.; Abdollahifar M.; Takata R.; Alarcón-Suesca C.E.; Schmidt F.</v>
      </c>
      <c r="H6" s="61" t="str">
        <f>'BASE DE DATOS SCOPUS'!C5</f>
        <v>Interfacial engineering meets process optimization: Highly stable silicon-graphite anodes via pre-calendering polyvinylidene difluoride-MgO coatings</v>
      </c>
      <c r="I6" s="61">
        <f>'BASE DE DATOS SCOPUS'!D5</f>
        <v>2025</v>
      </c>
      <c r="J6" s="61" t="str">
        <f>'BASE DE DATOS SCOPUS'!E5</f>
        <v>Chemical Engineering Journal</v>
      </c>
      <c r="K6" s="61" t="str">
        <f>'BASE DE DATOS SCOPUS'!L5</f>
        <v>N.-L. Wu; Department of Chemical Engineering, National Taiwan University, Taipei, 10617, Taiwan; email: nlw001@ntu.edu.tw; M. Abdollahifar; Chair for Functional Nanomaterials, Department of Materials Science, Faculty of Engineering, Kiel University, Kiel, Kaiserstr. 2, 24143, Germany; email: moza@tf.uni-kiel.de; R. Takata; Evonik Operations GmbH, Hanau, Rodenbacher Chaussee 4, 63457, Germany; email: ryo.takata@evonik.com</v>
      </c>
      <c r="L6" s="61">
        <f>'BASE DE DATOS SCOPUS'!Q5</f>
        <v>0</v>
      </c>
      <c r="N6" s="86" t="s">
        <v>138</v>
      </c>
      <c r="O6" s="87" t="s">
        <v>143</v>
      </c>
      <c r="P6" s="87" t="s">
        <v>113</v>
      </c>
      <c r="Q6" s="87" t="s">
        <v>149</v>
      </c>
      <c r="R6" s="65"/>
      <c r="S6" s="62" t="s">
        <v>138</v>
      </c>
      <c r="T6" s="63" t="s">
        <v>143</v>
      </c>
      <c r="AA6" s="86" t="s">
        <v>138</v>
      </c>
      <c r="AB6" s="87" t="s">
        <v>143</v>
      </c>
      <c r="AC6" s="87" t="s">
        <v>113</v>
      </c>
      <c r="AD6" s="87" t="s">
        <v>149</v>
      </c>
      <c r="AF6" s="62" t="s">
        <v>138</v>
      </c>
      <c r="AG6" s="63" t="s">
        <v>143</v>
      </c>
      <c r="AM6" s="77" t="s">
        <v>138</v>
      </c>
      <c r="AN6" s="71" t="s">
        <v>143</v>
      </c>
      <c r="AO6" s="71" t="s">
        <v>113</v>
      </c>
      <c r="AP6" s="71" t="s">
        <v>149</v>
      </c>
      <c r="AS6" s="83" t="s">
        <v>15</v>
      </c>
      <c r="AT6" s="83">
        <v>30</v>
      </c>
      <c r="AU6" s="84">
        <v>1</v>
      </c>
      <c r="AV6" s="85">
        <v>1</v>
      </c>
      <c r="BD6" s="83" t="s">
        <v>13</v>
      </c>
      <c r="BE6" s="91">
        <v>10</v>
      </c>
      <c r="BF6" s="89">
        <v>0.33333333333333331</v>
      </c>
      <c r="BG6" s="90">
        <v>0.33333333333333331</v>
      </c>
      <c r="BI6" s="58" t="s">
        <v>13</v>
      </c>
      <c r="BJ6" s="63">
        <v>10</v>
      </c>
    </row>
    <row r="7" spans="1:62" x14ac:dyDescent="0.2">
      <c r="A7" s="65"/>
      <c r="B7" s="64" t="s">
        <v>112</v>
      </c>
      <c r="C7" s="64" t="s">
        <v>113</v>
      </c>
      <c r="D7" s="64" t="s">
        <v>114</v>
      </c>
      <c r="F7" s="65">
        <v>2</v>
      </c>
      <c r="G7" s="65" t="s">
        <v>73</v>
      </c>
      <c r="H7" s="65" t="s">
        <v>74</v>
      </c>
      <c r="I7" s="65">
        <v>2019</v>
      </c>
      <c r="J7" s="65" t="s">
        <v>75</v>
      </c>
      <c r="K7" s="65" t="str">
        <f>'BASE DE DATOS SCOPUS'!L6</f>
        <v>Z. Yan; School of Chemistry and Chemical Engineering, Guangdong Provincial Key Lab of Green Chemical Product Technology, South China University of Technology, Guangzhou, 510640, China; email: zcyan@scut.edu.cn</v>
      </c>
      <c r="L7" s="65">
        <f>'BASE DE DATOS SCOPUS'!Q6</f>
        <v>0</v>
      </c>
      <c r="N7" s="61">
        <v>2021</v>
      </c>
      <c r="O7" s="61">
        <v>13</v>
      </c>
      <c r="P7" s="75">
        <v>0.43333333333333335</v>
      </c>
      <c r="Q7" s="76">
        <v>0.43333333333333335</v>
      </c>
      <c r="R7" s="66"/>
      <c r="S7" s="58">
        <v>2021</v>
      </c>
      <c r="T7" s="63">
        <v>13</v>
      </c>
      <c r="AA7" s="61" t="s">
        <v>86</v>
      </c>
      <c r="AB7" s="61">
        <v>1</v>
      </c>
      <c r="AC7" s="82">
        <v>0.5</v>
      </c>
      <c r="AD7" s="76">
        <v>0.5</v>
      </c>
      <c r="AF7" s="58" t="s">
        <v>86</v>
      </c>
      <c r="AG7" s="63">
        <v>1</v>
      </c>
      <c r="AM7" s="61" t="s">
        <v>70</v>
      </c>
      <c r="AN7" s="61">
        <v>2</v>
      </c>
      <c r="AO7" s="82">
        <v>6.6666666666666666E-2</v>
      </c>
      <c r="AP7" s="76">
        <v>6.6666666666666666E-2</v>
      </c>
      <c r="AS7" s="83" t="s">
        <v>134</v>
      </c>
      <c r="AT7" s="69">
        <v>30</v>
      </c>
      <c r="AU7" s="81">
        <v>1</v>
      </c>
      <c r="AV7" s="74">
        <v>1</v>
      </c>
      <c r="BD7" s="65" t="s">
        <v>151</v>
      </c>
      <c r="BE7" s="92">
        <v>10</v>
      </c>
      <c r="BF7" s="93">
        <v>0.33333333333333331</v>
      </c>
      <c r="BG7" s="94">
        <v>0.33333333333333331</v>
      </c>
      <c r="BI7" s="58" t="s">
        <v>151</v>
      </c>
      <c r="BJ7" s="63">
        <v>10</v>
      </c>
    </row>
    <row r="8" spans="1:62" x14ac:dyDescent="0.2">
      <c r="A8" s="64" t="s">
        <v>13</v>
      </c>
      <c r="B8" s="61">
        <v>613</v>
      </c>
      <c r="C8" s="61">
        <f>B8/B$10</f>
        <v>0.55525362318840576</v>
      </c>
      <c r="D8" s="67">
        <f>C8*100%</f>
        <v>0.55525362318840576</v>
      </c>
      <c r="F8" s="65">
        <v>3</v>
      </c>
      <c r="G8" s="65" t="s">
        <v>76</v>
      </c>
      <c r="H8" s="65" t="s">
        <v>77</v>
      </c>
      <c r="I8" s="65">
        <v>2019</v>
      </c>
      <c r="J8" s="65" t="s">
        <v>78</v>
      </c>
      <c r="K8" s="65" t="str">
        <f>'BASE DE DATOS SCOPUS'!L7</f>
        <v>S.R. Nabavi; Department of Applied Chemistry, Faculty of Chemistry, University of Mazandaran, Babolsar, Iran; email: srnabavi@umz.ac.ir</v>
      </c>
      <c r="L8" s="65">
        <f>'BASE DE DATOS SCOPUS'!Q7</f>
        <v>0</v>
      </c>
      <c r="N8" s="65">
        <v>2022</v>
      </c>
      <c r="O8" s="65">
        <v>8</v>
      </c>
      <c r="P8" s="72">
        <v>0.26666666666666666</v>
      </c>
      <c r="Q8" s="66">
        <v>0.26666666666666666</v>
      </c>
      <c r="R8" s="66"/>
      <c r="S8" s="58">
        <v>2022</v>
      </c>
      <c r="T8" s="63">
        <v>8</v>
      </c>
      <c r="AA8" s="65" t="s">
        <v>108</v>
      </c>
      <c r="AB8" s="65">
        <v>1</v>
      </c>
      <c r="AC8" s="80">
        <v>0.5</v>
      </c>
      <c r="AD8" s="66">
        <v>0.5</v>
      </c>
      <c r="AF8" s="58" t="s">
        <v>108</v>
      </c>
      <c r="AG8" s="63">
        <v>1</v>
      </c>
      <c r="AM8" s="65" t="s">
        <v>69</v>
      </c>
      <c r="AN8" s="65">
        <v>10</v>
      </c>
      <c r="AO8" s="80">
        <v>0.33333333333333331</v>
      </c>
      <c r="AP8" s="66">
        <v>0.33333333333333331</v>
      </c>
      <c r="BD8" s="65" t="s">
        <v>152</v>
      </c>
      <c r="BE8" s="92">
        <v>10</v>
      </c>
      <c r="BF8" s="93">
        <v>0.33333333333333331</v>
      </c>
      <c r="BG8" s="94">
        <v>0.33333333333333331</v>
      </c>
      <c r="BI8" s="58" t="s">
        <v>152</v>
      </c>
      <c r="BJ8" s="63">
        <v>10</v>
      </c>
    </row>
    <row r="9" spans="1:62" x14ac:dyDescent="0.2">
      <c r="A9" s="68" t="s">
        <v>115</v>
      </c>
      <c r="B9" s="69">
        <v>491</v>
      </c>
      <c r="C9" s="61">
        <f>B9/B$10</f>
        <v>0.44474637681159418</v>
      </c>
      <c r="D9" s="67">
        <f>C9*100%</f>
        <v>0.44474637681159418</v>
      </c>
      <c r="F9" s="65">
        <v>4</v>
      </c>
      <c r="G9" s="65" t="s">
        <v>79</v>
      </c>
      <c r="H9" s="65" t="s">
        <v>80</v>
      </c>
      <c r="I9" s="65">
        <v>2021</v>
      </c>
      <c r="J9" s="65" t="s">
        <v>78</v>
      </c>
      <c r="K9" s="65" t="str">
        <f>'BASE DE DATOS SCOPUS'!L8</f>
        <v>R.N. Jadeja; Department of Chemistry, Faculty of Science, The Maharaja Sayajirao University of Baroda, Vadodara, 390002, India; email: rjadeja-chem@msubaroda.ac.in</v>
      </c>
      <c r="L9" s="65">
        <f>'BASE DE DATOS SCOPUS'!Q8</f>
        <v>0</v>
      </c>
      <c r="N9" s="65">
        <v>2023</v>
      </c>
      <c r="O9" s="65">
        <v>9</v>
      </c>
      <c r="P9" s="72">
        <v>0.3</v>
      </c>
      <c r="Q9" s="66">
        <v>0.3</v>
      </c>
      <c r="R9" s="66"/>
      <c r="S9" s="58">
        <v>2023</v>
      </c>
      <c r="T9" s="63">
        <v>9</v>
      </c>
      <c r="AA9" s="83" t="s">
        <v>134</v>
      </c>
      <c r="AB9" s="69">
        <v>2</v>
      </c>
      <c r="AC9" s="81">
        <v>1</v>
      </c>
      <c r="AD9" s="74">
        <v>1</v>
      </c>
      <c r="AF9" s="58" t="s">
        <v>134</v>
      </c>
      <c r="AG9" s="63">
        <v>2</v>
      </c>
      <c r="AM9" s="65" t="s">
        <v>153</v>
      </c>
      <c r="AN9" s="65">
        <v>12</v>
      </c>
      <c r="AO9" s="80">
        <v>0.4</v>
      </c>
      <c r="AP9" s="66">
        <v>0.4</v>
      </c>
      <c r="BD9" s="83" t="s">
        <v>134</v>
      </c>
      <c r="BE9" s="91">
        <v>30</v>
      </c>
      <c r="BF9" s="89">
        <v>1</v>
      </c>
      <c r="BG9" s="90">
        <v>1</v>
      </c>
      <c r="BI9" s="58" t="s">
        <v>134</v>
      </c>
      <c r="BJ9" s="63">
        <v>30</v>
      </c>
    </row>
    <row r="10" spans="1:62" x14ac:dyDescent="0.2">
      <c r="A10" s="64" t="s">
        <v>116</v>
      </c>
      <c r="B10" s="61">
        <f>SUM(B8:B9)</f>
        <v>1104</v>
      </c>
      <c r="C10" s="61">
        <f>SUM(C8:C9)</f>
        <v>1</v>
      </c>
      <c r="D10" s="70">
        <f>SUM(D8:D9)</f>
        <v>1</v>
      </c>
      <c r="F10" s="65">
        <v>5</v>
      </c>
      <c r="G10" s="65" t="s">
        <v>81</v>
      </c>
      <c r="H10" s="65" t="s">
        <v>82</v>
      </c>
      <c r="I10" s="65">
        <v>2020</v>
      </c>
      <c r="J10" s="65" t="s">
        <v>83</v>
      </c>
      <c r="K10" s="65" t="str">
        <f>'BASE DE DATOS SCOPUS'!L9</f>
        <v>W. Yang; School of Metallurgy and Environment, Central South University, Changsha, 410083, China; email: yang220@csu.edu.cn</v>
      </c>
      <c r="L10" s="65">
        <f>'BASE DE DATOS SCOPUS'!Q9</f>
        <v>0</v>
      </c>
      <c r="N10" s="83" t="s">
        <v>134</v>
      </c>
      <c r="O10" s="69">
        <v>30</v>
      </c>
      <c r="P10" s="73">
        <v>1</v>
      </c>
      <c r="Q10" s="74">
        <v>1</v>
      </c>
      <c r="R10" s="66"/>
      <c r="S10" s="58" t="s">
        <v>134</v>
      </c>
      <c r="T10" s="63">
        <v>30</v>
      </c>
      <c r="AM10" s="65" t="s">
        <v>154</v>
      </c>
      <c r="AN10" s="65">
        <v>2</v>
      </c>
      <c r="AO10" s="80">
        <v>6.6666666666666666E-2</v>
      </c>
      <c r="AP10" s="66">
        <v>6.6666666666666666E-2</v>
      </c>
      <c r="BD10"/>
      <c r="BE10"/>
      <c r="BF10"/>
      <c r="BG10"/>
      <c r="BI10"/>
      <c r="BJ10"/>
    </row>
    <row r="11" spans="1:62" x14ac:dyDescent="0.2">
      <c r="F11" s="65">
        <v>6</v>
      </c>
      <c r="G11" s="65" t="s">
        <v>84</v>
      </c>
      <c r="H11" s="65" t="s">
        <v>85</v>
      </c>
      <c r="I11" s="65">
        <v>1991</v>
      </c>
      <c r="J11" s="65" t="s">
        <v>86</v>
      </c>
      <c r="K11" s="65" t="str">
        <f>'BASE DE DATOS SCOPUS'!L10</f>
        <v>A. Sharma; Waste to Resources Laboratory, Department of Biotechnology and Chemical Engineering, Manipal University, Jaipur, Rajasthan, 303007, India; email: abhishek.sharma@jaipur.manipal.edu</v>
      </c>
      <c r="L11" s="65">
        <f>'BASE DE DATOS SCOPUS'!Q10</f>
        <v>0</v>
      </c>
      <c r="R11" s="66"/>
      <c r="AM11" s="65" t="s">
        <v>155</v>
      </c>
      <c r="AN11" s="65">
        <v>1</v>
      </c>
      <c r="AO11" s="80">
        <v>3.3333333333333333E-2</v>
      </c>
      <c r="AP11" s="66">
        <v>3.3333333333333333E-2</v>
      </c>
      <c r="BD11"/>
      <c r="BE11"/>
      <c r="BF11"/>
      <c r="BG11"/>
      <c r="BI11"/>
      <c r="BJ11"/>
    </row>
    <row r="12" spans="1:62" x14ac:dyDescent="0.2">
      <c r="F12" s="65">
        <v>7</v>
      </c>
      <c r="G12" s="65" t="s">
        <v>87</v>
      </c>
      <c r="H12" s="65" t="s">
        <v>88</v>
      </c>
      <c r="I12" s="65">
        <v>2019</v>
      </c>
      <c r="J12" s="65" t="s">
        <v>89</v>
      </c>
      <c r="K12" s="65" t="str">
        <f>'BASE DE DATOS SCOPUS'!L11</f>
        <v>H. Lyu; Key Laboratory of Breeding Biotechnology and Sustainable Aquaculture, Institute of Hydrobiology, Chinese Academy of Sciences, Wuhan, 430072, China; email: lvhuafei@ihb.ac.cn; K. Yan; School of Metallurgy Engineering, Jiangxi University of Science and Technology, Ganzhou, 341000, China; email: 9120170065@jxust.edu.cn</v>
      </c>
      <c r="L12" s="65">
        <f>'BASE DE DATOS SCOPUS'!Q11</f>
        <v>0</v>
      </c>
      <c r="R12" s="66"/>
      <c r="AM12" s="65" t="s">
        <v>156</v>
      </c>
      <c r="AN12" s="65">
        <v>1</v>
      </c>
      <c r="AO12" s="80">
        <v>3.3333333333333333E-2</v>
      </c>
      <c r="AP12" s="66">
        <v>3.3333333333333333E-2</v>
      </c>
      <c r="BD12"/>
      <c r="BE12"/>
      <c r="BF12"/>
      <c r="BG12"/>
      <c r="BI12"/>
      <c r="BJ12"/>
    </row>
    <row r="13" spans="1:62" x14ac:dyDescent="0.2">
      <c r="F13" s="65">
        <v>8</v>
      </c>
      <c r="G13" s="65" t="s">
        <v>73</v>
      </c>
      <c r="H13" s="65" t="s">
        <v>90</v>
      </c>
      <c r="I13" s="65">
        <v>2019</v>
      </c>
      <c r="J13" s="65" t="s">
        <v>91</v>
      </c>
      <c r="K13" s="65" t="str">
        <f>'BASE DE DATOS SCOPUS'!L12</f>
        <v>F. Jin; School of Environmental Science and Engineering, State Key Lab of Metal Matrix Composites, Shanghai Jiao Tong University, 800 Dongchuan Road, Shanghai, 200240, China; email: fmjin@sjtu.edu.cn; J. Lu; Innovation Centre for Environment and Resources, Shanghai University of Engineering Science, No.333 Longteng Road, Shanghai, 201620, China; email: wilsherelu@foxmail.com</v>
      </c>
      <c r="L13" s="65">
        <f>'BASE DE DATOS SCOPUS'!Q12</f>
        <v>0</v>
      </c>
      <c r="R13" s="66"/>
      <c r="AM13" s="65" t="s">
        <v>157</v>
      </c>
      <c r="AN13" s="65">
        <v>1</v>
      </c>
      <c r="AO13" s="80">
        <v>3.3333333333333333E-2</v>
      </c>
      <c r="AP13" s="66">
        <v>3.3333333333333333E-2</v>
      </c>
      <c r="BD13"/>
      <c r="BE13"/>
      <c r="BF13"/>
      <c r="BG13"/>
      <c r="BI13"/>
      <c r="BJ13"/>
    </row>
    <row r="14" spans="1:62" x14ac:dyDescent="0.2">
      <c r="F14" s="65">
        <v>9</v>
      </c>
      <c r="G14" s="65" t="s">
        <v>92</v>
      </c>
      <c r="H14" s="65" t="s">
        <v>93</v>
      </c>
      <c r="I14" s="65">
        <v>2018</v>
      </c>
      <c r="J14" s="65" t="s">
        <v>86</v>
      </c>
      <c r="K14" s="65" t="str">
        <f>'BASE DE DATOS SCOPUS'!L13</f>
        <v>S. Shao; Kunming, 68 Wenchang Road, 121 Street, Wuhua District, Yunnan Province, 650093, China; email: shaoshuang@kust.edu.cn</v>
      </c>
      <c r="L14" s="65">
        <f>'BASE DE DATOS SCOPUS'!Q13</f>
        <v>0</v>
      </c>
      <c r="R14" s="66"/>
      <c r="AM14" s="69" t="s">
        <v>158</v>
      </c>
      <c r="AN14" s="69">
        <v>1</v>
      </c>
      <c r="AO14" s="81">
        <v>3.3333333333333333E-2</v>
      </c>
      <c r="AP14" s="74">
        <v>3.3333333333333333E-2</v>
      </c>
    </row>
    <row r="15" spans="1:62" x14ac:dyDescent="0.2">
      <c r="F15" s="65">
        <v>10</v>
      </c>
      <c r="G15" s="65" t="s">
        <v>94</v>
      </c>
      <c r="H15" s="65" t="s">
        <v>95</v>
      </c>
      <c r="I15" s="65">
        <v>1992</v>
      </c>
      <c r="J15" s="65" t="s">
        <v>86</v>
      </c>
      <c r="K15" s="65" t="str">
        <f>'BASE DE DATOS SCOPUS'!L14</f>
        <v>S. Park; North Carolina State University, Department of Forest Biomaterials, NC State University, Raleigh, Biltmore Hall, Campus Box 8005, 27695-8005, United States; email: sunkyu_park@ncsu.edu</v>
      </c>
      <c r="L15" s="65">
        <f>'BASE DE DATOS SCOPUS'!Q14</f>
        <v>0</v>
      </c>
      <c r="R15" s="66"/>
      <c r="AM15" s="83" t="s">
        <v>134</v>
      </c>
      <c r="AN15" s="69">
        <v>30</v>
      </c>
      <c r="AO15" s="81">
        <v>1</v>
      </c>
      <c r="AP15" s="74">
        <v>1</v>
      </c>
    </row>
    <row r="16" spans="1:62" x14ac:dyDescent="0.2">
      <c r="F16" s="65">
        <v>11</v>
      </c>
      <c r="G16" s="65" t="s">
        <v>96</v>
      </c>
      <c r="H16" s="65" t="s">
        <v>97</v>
      </c>
      <c r="I16" s="65">
        <v>1994</v>
      </c>
      <c r="J16" s="65" t="s">
        <v>86</v>
      </c>
      <c r="K16" s="65" t="str">
        <f>'BASE DE DATOS SCOPUS'!L15</f>
        <v>F. Lü; Tongji University, Shanghai, 200092, China; email: lvfan.rhodea@tongji.edu.cn</v>
      </c>
      <c r="L16" s="65">
        <f>'BASE DE DATOS SCOPUS'!Q15</f>
        <v>0</v>
      </c>
      <c r="R16" s="66"/>
      <c r="AM16"/>
      <c r="AN16"/>
      <c r="AO16"/>
      <c r="AP16"/>
    </row>
    <row r="17" spans="1:40" x14ac:dyDescent="0.2">
      <c r="F17" s="65">
        <v>12</v>
      </c>
      <c r="G17" s="65" t="s">
        <v>98</v>
      </c>
      <c r="H17" s="65" t="s">
        <v>99</v>
      </c>
      <c r="I17" s="65">
        <v>2020</v>
      </c>
      <c r="J17" s="65" t="s">
        <v>100</v>
      </c>
      <c r="K17" s="65" t="str">
        <f>'BASE DE DATOS SCOPUS'!L16</f>
        <v>H. Chen; State Key Laboratory of Materials-Oriented Chemical Engineering, College of Chemical Engineering, Nanjing Tech University, Nanjing, 211800, China; email: h.chen@njtech.edu.cn</v>
      </c>
      <c r="L17" s="65">
        <f>'BASE DE DATOS SCOPUS'!Q16</f>
        <v>0</v>
      </c>
      <c r="R17" s="66"/>
    </row>
    <row r="18" spans="1:40" x14ac:dyDescent="0.2">
      <c r="F18" s="65">
        <v>13</v>
      </c>
      <c r="G18" s="65" t="s">
        <v>101</v>
      </c>
      <c r="H18" s="65" t="s">
        <v>102</v>
      </c>
      <c r="I18" s="65">
        <v>2016</v>
      </c>
      <c r="J18" s="65" t="s">
        <v>72</v>
      </c>
      <c r="K18" s="65" t="str">
        <f>'BASE DE DATOS SCOPUS'!L17</f>
        <v>Y. Liu; Department of Management and Engineering, Linköping University, Linköping, SE-581 83, Sweden; email: yang.liu@liu.se; C. Cao; School of Management Science and Engineering, Chongqing Technology and Business University, Chongqing, 400067, China; email: caocejun0601@tju.edu.cn</v>
      </c>
      <c r="L18" s="65">
        <f>'BASE DE DATOS SCOPUS'!Q17</f>
        <v>0</v>
      </c>
      <c r="R18" s="66"/>
      <c r="AN18" s="55" t="s">
        <v>146</v>
      </c>
    </row>
    <row r="19" spans="1:40" x14ac:dyDescent="0.2">
      <c r="F19" s="65">
        <v>14</v>
      </c>
      <c r="G19" s="65" t="s">
        <v>103</v>
      </c>
      <c r="H19" s="65" t="s">
        <v>104</v>
      </c>
      <c r="I19" s="65">
        <v>1995</v>
      </c>
      <c r="J19" s="65" t="s">
        <v>86</v>
      </c>
      <c r="K19" s="65">
        <f>'BASE DE DATOS SCOPUS'!L18</f>
        <v>0</v>
      </c>
      <c r="L19" s="65">
        <f>'BASE DE DATOS SCOPUS'!Q18</f>
        <v>0</v>
      </c>
      <c r="R19" s="66"/>
    </row>
    <row r="20" spans="1:40" x14ac:dyDescent="0.2">
      <c r="F20" s="69">
        <v>15</v>
      </c>
      <c r="G20" s="69" t="s">
        <v>105</v>
      </c>
      <c r="H20" s="69" t="s">
        <v>106</v>
      </c>
      <c r="I20" s="69">
        <v>2018</v>
      </c>
      <c r="J20" s="69" t="s">
        <v>107</v>
      </c>
      <c r="K20" s="69" t="str">
        <f>'BASE DE DATOS SCOPUS'!L19</f>
        <v>Ş. Taşar; Fırat University, Faculty of Engineering, Department of Chemical Engineering, Elazig, Turkey; email: sydtasar@firat.edu.tr</v>
      </c>
      <c r="L20" s="69">
        <f>'BASE DE DATOS SCOPUS'!Q19</f>
        <v>0</v>
      </c>
      <c r="R20" s="66"/>
    </row>
    <row r="21" spans="1:40" x14ac:dyDescent="0.2">
      <c r="R21" s="66"/>
    </row>
    <row r="22" spans="1:40" x14ac:dyDescent="0.2">
      <c r="R22" s="66"/>
    </row>
    <row r="23" spans="1:40" x14ac:dyDescent="0.2">
      <c r="R23" s="66"/>
    </row>
    <row r="24" spans="1:40" x14ac:dyDescent="0.2">
      <c r="R24" s="66"/>
    </row>
    <row r="25" spans="1:40" x14ac:dyDescent="0.2">
      <c r="R25" s="66"/>
    </row>
    <row r="26" spans="1:40" x14ac:dyDescent="0.2">
      <c r="A26" s="95" t="s">
        <v>110</v>
      </c>
      <c r="B26" s="142" t="s">
        <v>111</v>
      </c>
      <c r="C26" s="142"/>
      <c r="D26" s="142"/>
      <c r="R26" s="66"/>
    </row>
    <row r="27" spans="1:40" x14ac:dyDescent="0.2">
      <c r="A27" s="95"/>
      <c r="B27" s="95" t="s">
        <v>112</v>
      </c>
      <c r="C27" s="95" t="s">
        <v>113</v>
      </c>
      <c r="D27" s="95" t="s">
        <v>114</v>
      </c>
      <c r="R27" s="66"/>
    </row>
    <row r="28" spans="1:40" x14ac:dyDescent="0.2">
      <c r="A28" s="96" t="s">
        <v>159</v>
      </c>
      <c r="B28" s="65">
        <v>6</v>
      </c>
      <c r="C28" s="65">
        <f>B28/B$34</f>
        <v>0.12</v>
      </c>
      <c r="D28" s="97">
        <f>C28/C$34</f>
        <v>0.12</v>
      </c>
      <c r="R28" s="66"/>
    </row>
    <row r="29" spans="1:40" x14ac:dyDescent="0.2">
      <c r="A29" s="96" t="s">
        <v>160</v>
      </c>
      <c r="B29" s="65">
        <v>11</v>
      </c>
      <c r="C29" s="65">
        <f t="shared" ref="C29:C33" si="0">B29/B$34</f>
        <v>0.22</v>
      </c>
      <c r="D29" s="98">
        <f>C29*100%</f>
        <v>0.22</v>
      </c>
      <c r="R29" s="66"/>
    </row>
    <row r="30" spans="1:40" ht="16" x14ac:dyDescent="0.2">
      <c r="A30" s="99" t="s">
        <v>161</v>
      </c>
      <c r="B30" s="65">
        <v>6</v>
      </c>
      <c r="C30" s="65">
        <f t="shared" si="0"/>
        <v>0.12</v>
      </c>
      <c r="D30" s="98">
        <f t="shared" ref="D30:D33" si="1">C30*100%</f>
        <v>0.12</v>
      </c>
      <c r="R30" s="66"/>
    </row>
    <row r="31" spans="1:40" ht="16" x14ac:dyDescent="0.2">
      <c r="A31" s="99" t="s">
        <v>13</v>
      </c>
      <c r="B31" s="65">
        <v>16</v>
      </c>
      <c r="C31" s="65">
        <f t="shared" si="0"/>
        <v>0.32</v>
      </c>
      <c r="D31" s="98">
        <f t="shared" si="1"/>
        <v>0.32</v>
      </c>
    </row>
    <row r="32" spans="1:40" ht="16" x14ac:dyDescent="0.2">
      <c r="A32" s="99" t="s">
        <v>162</v>
      </c>
      <c r="B32" s="65">
        <v>5</v>
      </c>
      <c r="C32" s="65">
        <f t="shared" si="0"/>
        <v>0.1</v>
      </c>
      <c r="D32" s="98">
        <f t="shared" si="1"/>
        <v>0.1</v>
      </c>
    </row>
    <row r="33" spans="1:4" ht="16" x14ac:dyDescent="0.2">
      <c r="A33" s="99" t="s">
        <v>163</v>
      </c>
      <c r="B33" s="65">
        <v>6</v>
      </c>
      <c r="C33" s="65">
        <f t="shared" si="0"/>
        <v>0.12</v>
      </c>
      <c r="D33" s="98">
        <f t="shared" si="1"/>
        <v>0.12</v>
      </c>
    </row>
    <row r="34" spans="1:4" x14ac:dyDescent="0.2">
      <c r="A34" s="95" t="s">
        <v>116</v>
      </c>
      <c r="B34" s="95">
        <f>SUM(B28:B33)</f>
        <v>50</v>
      </c>
      <c r="C34" s="95">
        <f>SUM(C28:C33)</f>
        <v>1</v>
      </c>
      <c r="D34" s="100">
        <f>SUM(D28:D33)</f>
        <v>1</v>
      </c>
    </row>
  </sheetData>
  <mergeCells count="2">
    <mergeCell ref="B6:D6"/>
    <mergeCell ref="B26:D26"/>
  </mergeCells>
  <hyperlinks>
    <hyperlink ref="A28" r:id="rId9" display="https://www.redalyc.org/" xr:uid="{ED1A0976-CC1D-E345-B79F-553E5D476A84}"/>
    <hyperlink ref="A29" r:id="rId10" tooltip="Scielo" display="http://www.scielo.org/php/index.php" xr:uid="{01521ED9-984E-A84A-8516-AAB9CA9B7314}"/>
  </hyperlinks>
  <pageMargins left="0.7" right="0.7" top="0.75" bottom="0.75" header="0.3" footer="0.3"/>
  <pageSetup paperSize="9"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D624-C81E-7643-863B-D270978DB766}">
  <dimension ref="A22:F61"/>
  <sheetViews>
    <sheetView topLeftCell="A8" workbookViewId="0">
      <selection activeCell="A22" sqref="A22:F61"/>
    </sheetView>
  </sheetViews>
  <sheetFormatPr baseColWidth="10" defaultRowHeight="15" x14ac:dyDescent="0.2"/>
  <cols>
    <col min="2" max="2" width="52.5" bestFit="1" customWidth="1"/>
  </cols>
  <sheetData>
    <row r="22" spans="1:4" ht="34" x14ac:dyDescent="0.2">
      <c r="A22" s="101" t="s">
        <v>164</v>
      </c>
      <c r="B22" s="101" t="s">
        <v>165</v>
      </c>
      <c r="C22" s="101" t="s">
        <v>166</v>
      </c>
      <c r="D22" s="101" t="s">
        <v>149</v>
      </c>
    </row>
    <row r="23" spans="1:4" ht="17" x14ac:dyDescent="0.2">
      <c r="A23" s="143" t="s">
        <v>110</v>
      </c>
      <c r="B23" s="102" t="s">
        <v>159</v>
      </c>
      <c r="C23" s="102">
        <v>4</v>
      </c>
      <c r="D23" s="103">
        <v>0.13333333333333333</v>
      </c>
    </row>
    <row r="24" spans="1:4" ht="17" x14ac:dyDescent="0.2">
      <c r="A24" s="144"/>
      <c r="B24" s="104" t="s">
        <v>160</v>
      </c>
      <c r="C24" s="104">
        <v>6</v>
      </c>
      <c r="D24" s="105">
        <v>0.2</v>
      </c>
    </row>
    <row r="25" spans="1:4" ht="17" x14ac:dyDescent="0.2">
      <c r="A25" s="144"/>
      <c r="B25" s="104" t="s">
        <v>161</v>
      </c>
      <c r="C25" s="104">
        <v>5</v>
      </c>
      <c r="D25" s="105">
        <v>0.16666666666666666</v>
      </c>
    </row>
    <row r="26" spans="1:4" ht="17" x14ac:dyDescent="0.2">
      <c r="A26" s="144"/>
      <c r="B26" s="104" t="s">
        <v>167</v>
      </c>
      <c r="C26" s="104">
        <v>5</v>
      </c>
      <c r="D26" s="105">
        <v>0.16666666666666666</v>
      </c>
    </row>
    <row r="27" spans="1:4" ht="17" x14ac:dyDescent="0.2">
      <c r="A27" s="144"/>
      <c r="B27" s="104" t="s">
        <v>162</v>
      </c>
      <c r="C27" s="104">
        <v>5</v>
      </c>
      <c r="D27" s="105">
        <v>0.16666666666666666</v>
      </c>
    </row>
    <row r="28" spans="1:4" ht="17" x14ac:dyDescent="0.2">
      <c r="A28" s="145"/>
      <c r="B28" s="104" t="s">
        <v>163</v>
      </c>
      <c r="C28" s="104">
        <v>5</v>
      </c>
      <c r="D28" s="105">
        <v>0.16666666666666666</v>
      </c>
    </row>
    <row r="29" spans="1:4" x14ac:dyDescent="0.2">
      <c r="A29" s="146" t="s">
        <v>56</v>
      </c>
      <c r="B29" s="61" t="s">
        <v>150</v>
      </c>
      <c r="C29" s="61">
        <v>2</v>
      </c>
      <c r="D29" s="76">
        <v>6.6666666666666666E-2</v>
      </c>
    </row>
    <row r="30" spans="1:4" x14ac:dyDescent="0.2">
      <c r="A30" s="147"/>
      <c r="B30" s="65" t="s">
        <v>168</v>
      </c>
      <c r="C30" s="65">
        <v>1</v>
      </c>
      <c r="D30" s="66">
        <v>3.3333333333333333E-2</v>
      </c>
    </row>
    <row r="31" spans="1:4" x14ac:dyDescent="0.2">
      <c r="A31" s="147"/>
      <c r="B31" s="65" t="s">
        <v>169</v>
      </c>
      <c r="C31" s="65">
        <v>1</v>
      </c>
      <c r="D31" s="66">
        <v>3.3333333333333333E-2</v>
      </c>
    </row>
    <row r="32" spans="1:4" x14ac:dyDescent="0.2">
      <c r="A32" s="147"/>
      <c r="B32" s="65" t="s">
        <v>170</v>
      </c>
      <c r="C32" s="65">
        <v>1</v>
      </c>
      <c r="D32" s="66">
        <v>3.3333333333333333E-2</v>
      </c>
    </row>
    <row r="33" spans="1:4" x14ac:dyDescent="0.2">
      <c r="A33" s="147"/>
      <c r="B33" s="65" t="s">
        <v>171</v>
      </c>
      <c r="C33" s="65">
        <v>2</v>
      </c>
      <c r="D33" s="66">
        <v>6.6666666666666666E-2</v>
      </c>
    </row>
    <row r="34" spans="1:4" x14ac:dyDescent="0.2">
      <c r="A34" s="147"/>
      <c r="B34" s="65" t="s">
        <v>172</v>
      </c>
      <c r="C34" s="65">
        <v>1</v>
      </c>
      <c r="D34" s="66">
        <v>3.3333333333333333E-2</v>
      </c>
    </row>
    <row r="35" spans="1:4" x14ac:dyDescent="0.2">
      <c r="A35" s="147"/>
      <c r="B35" s="65" t="s">
        <v>173</v>
      </c>
      <c r="C35" s="65">
        <v>1</v>
      </c>
      <c r="D35" s="66">
        <v>3.3333333333333333E-2</v>
      </c>
    </row>
    <row r="36" spans="1:4" x14ac:dyDescent="0.2">
      <c r="A36" s="147"/>
      <c r="B36" s="65" t="s">
        <v>174</v>
      </c>
      <c r="C36" s="65">
        <v>5</v>
      </c>
      <c r="D36" s="66">
        <v>0.16666666666666666</v>
      </c>
    </row>
    <row r="37" spans="1:4" x14ac:dyDescent="0.2">
      <c r="A37" s="147"/>
      <c r="B37" s="65" t="s">
        <v>175</v>
      </c>
      <c r="C37" s="65">
        <v>2</v>
      </c>
      <c r="D37" s="66">
        <v>6.6666666666666666E-2</v>
      </c>
    </row>
    <row r="38" spans="1:4" x14ac:dyDescent="0.2">
      <c r="A38" s="147"/>
      <c r="B38" s="65" t="s">
        <v>176</v>
      </c>
      <c r="C38" s="65">
        <v>1</v>
      </c>
      <c r="D38" s="66">
        <v>3.3333333333333333E-2</v>
      </c>
    </row>
    <row r="39" spans="1:4" x14ac:dyDescent="0.2">
      <c r="A39" s="147"/>
      <c r="B39" s="65" t="s">
        <v>177</v>
      </c>
      <c r="C39" s="65">
        <v>1</v>
      </c>
      <c r="D39" s="66">
        <v>3.3333333333333333E-2</v>
      </c>
    </row>
    <row r="40" spans="1:4" x14ac:dyDescent="0.2">
      <c r="A40" s="147"/>
      <c r="B40" s="65" t="s">
        <v>178</v>
      </c>
      <c r="C40" s="65">
        <v>2</v>
      </c>
      <c r="D40" s="66">
        <v>6.6666666666666666E-2</v>
      </c>
    </row>
    <row r="41" spans="1:4" x14ac:dyDescent="0.2">
      <c r="A41" s="147"/>
      <c r="B41" s="65" t="s">
        <v>179</v>
      </c>
      <c r="C41" s="65">
        <v>1</v>
      </c>
      <c r="D41" s="66">
        <v>3.3333333333333333E-2</v>
      </c>
    </row>
    <row r="42" spans="1:4" x14ac:dyDescent="0.2">
      <c r="A42" s="147"/>
      <c r="B42" s="65" t="s">
        <v>180</v>
      </c>
      <c r="C42" s="65">
        <v>1</v>
      </c>
      <c r="D42" s="66">
        <v>3.3333333333333333E-2</v>
      </c>
    </row>
    <row r="43" spans="1:4" x14ac:dyDescent="0.2">
      <c r="A43" s="147"/>
      <c r="B43" s="65" t="s">
        <v>181</v>
      </c>
      <c r="C43" s="65">
        <v>1</v>
      </c>
      <c r="D43" s="66">
        <v>3.3333333333333333E-2</v>
      </c>
    </row>
    <row r="44" spans="1:4" x14ac:dyDescent="0.2">
      <c r="A44" s="147"/>
      <c r="B44" s="65" t="s">
        <v>182</v>
      </c>
      <c r="C44" s="65">
        <v>1</v>
      </c>
      <c r="D44" s="66">
        <v>3.3333333333333333E-2</v>
      </c>
    </row>
    <row r="45" spans="1:4" x14ac:dyDescent="0.2">
      <c r="A45" s="147"/>
      <c r="B45" s="65" t="s">
        <v>183</v>
      </c>
      <c r="C45" s="65">
        <v>1</v>
      </c>
      <c r="D45" s="66">
        <v>3.3333333333333333E-2</v>
      </c>
    </row>
    <row r="46" spans="1:4" x14ac:dyDescent="0.2">
      <c r="A46" s="147"/>
      <c r="B46" s="65" t="s">
        <v>184</v>
      </c>
      <c r="C46" s="65">
        <v>1</v>
      </c>
      <c r="D46" s="66">
        <v>3.3333333333333333E-2</v>
      </c>
    </row>
    <row r="47" spans="1:4" x14ac:dyDescent="0.2">
      <c r="A47" s="147"/>
      <c r="B47" s="65" t="s">
        <v>185</v>
      </c>
      <c r="C47" s="65">
        <v>1</v>
      </c>
      <c r="D47" s="66">
        <v>3.3333333333333333E-2</v>
      </c>
    </row>
    <row r="48" spans="1:4" x14ac:dyDescent="0.2">
      <c r="A48" s="147"/>
      <c r="B48" s="65" t="s">
        <v>186</v>
      </c>
      <c r="C48" s="65">
        <v>1</v>
      </c>
      <c r="D48" s="66">
        <v>3.3333333333333333E-2</v>
      </c>
    </row>
    <row r="49" spans="1:6" x14ac:dyDescent="0.2">
      <c r="A49" s="147"/>
      <c r="B49" s="65" t="s">
        <v>187</v>
      </c>
      <c r="C49" s="65">
        <v>1</v>
      </c>
      <c r="D49" s="66">
        <v>3.3333333333333333E-2</v>
      </c>
    </row>
    <row r="50" spans="1:6" x14ac:dyDescent="0.2">
      <c r="A50" s="148"/>
      <c r="B50" s="69" t="s">
        <v>188</v>
      </c>
      <c r="C50" s="69">
        <v>1</v>
      </c>
      <c r="D50" s="74">
        <v>3.3333333333333333E-2</v>
      </c>
      <c r="F50" s="54">
        <v>30</v>
      </c>
    </row>
    <row r="51" spans="1:6" ht="34" x14ac:dyDescent="0.2">
      <c r="B51" s="101" t="s">
        <v>189</v>
      </c>
      <c r="C51" s="101" t="s">
        <v>166</v>
      </c>
      <c r="D51" s="101" t="s">
        <v>149</v>
      </c>
    </row>
    <row r="52" spans="1:6" ht="16" x14ac:dyDescent="0.2">
      <c r="B52" s="108" t="s">
        <v>158</v>
      </c>
      <c r="C52" s="108">
        <v>4</v>
      </c>
      <c r="D52" s="109">
        <f>C52/F$50</f>
        <v>0.13333333333333333</v>
      </c>
    </row>
    <row r="53" spans="1:6" ht="16" x14ac:dyDescent="0.2">
      <c r="B53" s="106" t="s">
        <v>190</v>
      </c>
      <c r="C53" s="106">
        <v>8</v>
      </c>
      <c r="D53" s="110">
        <f t="shared" ref="D53:D55" si="0">C53/F$50</f>
        <v>0.26666666666666666</v>
      </c>
    </row>
    <row r="54" spans="1:6" ht="16" x14ac:dyDescent="0.2">
      <c r="B54" s="106" t="s">
        <v>191</v>
      </c>
      <c r="C54" s="106">
        <v>12</v>
      </c>
      <c r="D54" s="110">
        <f t="shared" si="0"/>
        <v>0.4</v>
      </c>
    </row>
    <row r="55" spans="1:6" ht="16" x14ac:dyDescent="0.2">
      <c r="B55" s="106" t="s">
        <v>192</v>
      </c>
      <c r="C55" s="106">
        <v>6</v>
      </c>
      <c r="D55" s="110">
        <f t="shared" si="0"/>
        <v>0.2</v>
      </c>
    </row>
    <row r="56" spans="1:6" ht="17" x14ac:dyDescent="0.2">
      <c r="B56" s="111" t="s">
        <v>193</v>
      </c>
      <c r="C56" s="106"/>
      <c r="D56" s="106"/>
    </row>
    <row r="57" spans="1:6" ht="16" x14ac:dyDescent="0.2">
      <c r="B57" s="112" t="s">
        <v>194</v>
      </c>
      <c r="C57" s="106">
        <v>22</v>
      </c>
      <c r="D57" s="110">
        <f>C57/F$50</f>
        <v>0.73333333333333328</v>
      </c>
    </row>
    <row r="58" spans="1:6" ht="16" x14ac:dyDescent="0.2">
      <c r="B58" s="112" t="s">
        <v>195</v>
      </c>
      <c r="C58" s="106">
        <v>8</v>
      </c>
      <c r="D58" s="110">
        <f>C58/F$50</f>
        <v>0.26666666666666666</v>
      </c>
    </row>
    <row r="59" spans="1:6" ht="17" x14ac:dyDescent="0.2">
      <c r="B59" s="111" t="s">
        <v>196</v>
      </c>
      <c r="C59" s="106"/>
      <c r="D59" s="106"/>
    </row>
    <row r="60" spans="1:6" ht="16" x14ac:dyDescent="0.2">
      <c r="B60" s="112" t="s">
        <v>197</v>
      </c>
      <c r="C60" s="106">
        <v>21</v>
      </c>
      <c r="D60" s="110">
        <f>C60/F$50</f>
        <v>0.7</v>
      </c>
    </row>
    <row r="61" spans="1:6" ht="16" x14ac:dyDescent="0.2">
      <c r="B61" s="113" t="s">
        <v>198</v>
      </c>
      <c r="C61" s="107">
        <v>9</v>
      </c>
      <c r="D61" s="114">
        <f>C61/F$50</f>
        <v>0.3</v>
      </c>
    </row>
  </sheetData>
  <mergeCells count="2">
    <mergeCell ref="A23:A28"/>
    <mergeCell ref="A29:A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07"/>
  <sheetViews>
    <sheetView topLeftCell="A43" workbookViewId="0">
      <selection activeCell="H76" sqref="H76"/>
    </sheetView>
  </sheetViews>
  <sheetFormatPr baseColWidth="10" defaultColWidth="14.5" defaultRowHeight="15" customHeight="1" x14ac:dyDescent="0.2"/>
  <cols>
    <col min="1" max="1" width="5.1640625" customWidth="1"/>
    <col min="2" max="2" width="12.1640625" customWidth="1"/>
    <col min="3" max="3" width="14.5" customWidth="1"/>
    <col min="4" max="4" width="9.1640625" customWidth="1"/>
    <col min="5" max="5" width="17.1640625" customWidth="1"/>
    <col min="6" max="6" width="20.6640625" bestFit="1" customWidth="1"/>
    <col min="7" max="7" width="17.83203125" customWidth="1"/>
    <col min="8" max="8" width="20.5" customWidth="1"/>
    <col min="9" max="9" width="9.83203125" customWidth="1"/>
    <col min="10" max="10" width="15.83203125" bestFit="1" customWidth="1"/>
    <col min="11" max="11" width="24.83203125" customWidth="1"/>
    <col min="12" max="12" width="16.5" customWidth="1"/>
    <col min="13" max="13" width="16.5" style="115" customWidth="1"/>
    <col min="14" max="14" width="8.6640625" customWidth="1"/>
    <col min="15" max="15" width="9.1640625" customWidth="1"/>
    <col min="16" max="16" width="8.83203125" customWidth="1"/>
    <col min="17" max="17" width="24.5" bestFit="1" customWidth="1"/>
    <col min="18" max="26" width="8.83203125" customWidth="1"/>
  </cols>
  <sheetData>
    <row r="1" spans="1:26" ht="24.75" customHeight="1" x14ac:dyDescent="0.2">
      <c r="A1" s="127"/>
      <c r="B1" s="1" t="s">
        <v>0</v>
      </c>
      <c r="C1" s="1" t="s">
        <v>1</v>
      </c>
      <c r="D1" s="1" t="s">
        <v>2</v>
      </c>
      <c r="E1" s="1" t="s">
        <v>3</v>
      </c>
      <c r="F1" s="1" t="s">
        <v>4</v>
      </c>
      <c r="G1" s="1" t="s">
        <v>5</v>
      </c>
      <c r="H1" s="1" t="s">
        <v>6</v>
      </c>
      <c r="I1" s="1" t="s">
        <v>7</v>
      </c>
      <c r="J1" s="1" t="s">
        <v>8</v>
      </c>
      <c r="K1" s="1" t="s">
        <v>10</v>
      </c>
      <c r="L1" s="1" t="s">
        <v>11</v>
      </c>
      <c r="M1" s="1" t="s">
        <v>12</v>
      </c>
      <c r="N1" s="1"/>
      <c r="O1" s="1"/>
      <c r="P1" s="130"/>
      <c r="Q1" s="129" t="s">
        <v>135</v>
      </c>
      <c r="R1" s="2"/>
      <c r="S1" s="2"/>
      <c r="T1" s="88"/>
      <c r="U1" s="88"/>
      <c r="V1" s="2"/>
      <c r="W1" s="2"/>
      <c r="X1" s="2"/>
      <c r="Y1" s="2"/>
      <c r="Z1" s="2"/>
    </row>
    <row r="2" spans="1:26" ht="14.25" customHeight="1" x14ac:dyDescent="0.2">
      <c r="A2">
        <v>2</v>
      </c>
      <c r="B2" t="s">
        <v>217</v>
      </c>
      <c r="C2" t="s">
        <v>218</v>
      </c>
      <c r="D2">
        <v>2025</v>
      </c>
      <c r="E2" t="s">
        <v>219</v>
      </c>
      <c r="F2" t="s">
        <v>603</v>
      </c>
      <c r="G2" t="s">
        <v>221</v>
      </c>
      <c r="H2" t="s">
        <v>222</v>
      </c>
      <c r="I2" t="s">
        <v>15</v>
      </c>
      <c r="J2" t="s">
        <v>223</v>
      </c>
      <c r="K2" t="s">
        <v>220</v>
      </c>
      <c r="L2" t="s">
        <v>604</v>
      </c>
      <c r="M2" s="44"/>
      <c r="N2" s="4"/>
      <c r="Q2" s="54"/>
      <c r="T2" s="44"/>
      <c r="U2" s="44"/>
    </row>
    <row r="3" spans="1:26" ht="14.25" customHeight="1" x14ac:dyDescent="0.2">
      <c r="A3">
        <v>3</v>
      </c>
      <c r="B3" t="s">
        <v>224</v>
      </c>
      <c r="C3" t="s">
        <v>225</v>
      </c>
      <c r="D3">
        <v>2026</v>
      </c>
      <c r="E3" t="s">
        <v>226</v>
      </c>
      <c r="F3" t="s">
        <v>228</v>
      </c>
      <c r="G3">
        <v>0</v>
      </c>
      <c r="H3" t="s">
        <v>230</v>
      </c>
      <c r="I3" t="s">
        <v>15</v>
      </c>
      <c r="J3" t="s">
        <v>223</v>
      </c>
      <c r="K3" t="s">
        <v>227</v>
      </c>
      <c r="L3" t="s">
        <v>229</v>
      </c>
      <c r="M3" s="44"/>
      <c r="N3" s="4"/>
      <c r="Q3" s="54"/>
      <c r="T3" s="44"/>
      <c r="U3" s="44"/>
    </row>
    <row r="4" spans="1:26" ht="14.25" customHeight="1" x14ac:dyDescent="0.2">
      <c r="A4">
        <v>4</v>
      </c>
      <c r="B4" t="s">
        <v>231</v>
      </c>
      <c r="C4" t="s">
        <v>232</v>
      </c>
      <c r="D4">
        <v>2023</v>
      </c>
      <c r="E4" t="s">
        <v>233</v>
      </c>
      <c r="F4" t="s">
        <v>235</v>
      </c>
      <c r="G4" t="s">
        <v>236</v>
      </c>
      <c r="H4" t="s">
        <v>238</v>
      </c>
      <c r="I4" t="s">
        <v>15</v>
      </c>
      <c r="J4" t="s">
        <v>223</v>
      </c>
      <c r="K4" t="s">
        <v>234</v>
      </c>
      <c r="L4" t="s">
        <v>237</v>
      </c>
      <c r="M4" s="44"/>
      <c r="N4" s="4"/>
      <c r="Q4" s="54"/>
      <c r="T4" s="44"/>
      <c r="U4" s="44"/>
    </row>
    <row r="5" spans="1:26" ht="14.25" customHeight="1" x14ac:dyDescent="0.2">
      <c r="A5">
        <v>5</v>
      </c>
      <c r="B5" t="s">
        <v>239</v>
      </c>
      <c r="C5" t="s">
        <v>240</v>
      </c>
      <c r="D5">
        <v>2025</v>
      </c>
      <c r="E5" t="s">
        <v>241</v>
      </c>
      <c r="F5" t="s">
        <v>243</v>
      </c>
      <c r="G5" t="s">
        <v>244</v>
      </c>
      <c r="H5" t="s">
        <v>246</v>
      </c>
      <c r="I5" t="s">
        <v>15</v>
      </c>
      <c r="J5" t="s">
        <v>223</v>
      </c>
      <c r="K5" t="s">
        <v>242</v>
      </c>
      <c r="L5" t="s">
        <v>245</v>
      </c>
      <c r="M5" s="44"/>
      <c r="N5" s="4"/>
      <c r="Q5" s="54"/>
      <c r="T5" s="44"/>
      <c r="U5" s="44"/>
    </row>
    <row r="6" spans="1:26" ht="14.25" customHeight="1" x14ac:dyDescent="0.2">
      <c r="A6">
        <v>6</v>
      </c>
      <c r="B6" t="s">
        <v>247</v>
      </c>
      <c r="C6" t="s">
        <v>248</v>
      </c>
      <c r="D6">
        <v>2026</v>
      </c>
      <c r="E6" t="s">
        <v>233</v>
      </c>
      <c r="F6" t="s">
        <v>250</v>
      </c>
      <c r="G6" t="s">
        <v>251</v>
      </c>
      <c r="H6" t="s">
        <v>238</v>
      </c>
      <c r="I6" t="s">
        <v>15</v>
      </c>
      <c r="J6" t="s">
        <v>223</v>
      </c>
      <c r="K6" t="s">
        <v>249</v>
      </c>
      <c r="L6" t="s">
        <v>252</v>
      </c>
      <c r="M6" s="44"/>
      <c r="N6" s="4"/>
      <c r="Q6" s="54"/>
      <c r="T6" s="44"/>
      <c r="U6" s="44"/>
    </row>
    <row r="7" spans="1:26" ht="14.25" customHeight="1" x14ac:dyDescent="0.2">
      <c r="A7">
        <v>7</v>
      </c>
      <c r="B7" t="s">
        <v>253</v>
      </c>
      <c r="C7" t="s">
        <v>254</v>
      </c>
      <c r="D7">
        <v>2024</v>
      </c>
      <c r="E7" t="s">
        <v>226</v>
      </c>
      <c r="F7" t="s">
        <v>256</v>
      </c>
      <c r="G7">
        <v>0</v>
      </c>
      <c r="H7" t="s">
        <v>230</v>
      </c>
      <c r="I7" t="s">
        <v>15</v>
      </c>
      <c r="J7" t="s">
        <v>223</v>
      </c>
      <c r="K7" t="s">
        <v>255</v>
      </c>
      <c r="L7" t="s">
        <v>257</v>
      </c>
      <c r="M7" s="44"/>
      <c r="N7" s="4"/>
      <c r="Q7" s="54"/>
      <c r="T7" s="44"/>
      <c r="U7" s="44"/>
    </row>
    <row r="8" spans="1:26" ht="14.25" customHeight="1" x14ac:dyDescent="0.2">
      <c r="A8">
        <v>8</v>
      </c>
      <c r="B8" t="s">
        <v>258</v>
      </c>
      <c r="C8" t="s">
        <v>259</v>
      </c>
      <c r="D8">
        <v>2025</v>
      </c>
      <c r="E8" t="s">
        <v>260</v>
      </c>
      <c r="F8" t="s">
        <v>262</v>
      </c>
      <c r="G8" t="s">
        <v>263</v>
      </c>
      <c r="H8" t="s">
        <v>246</v>
      </c>
      <c r="I8" t="s">
        <v>15</v>
      </c>
      <c r="J8" t="s">
        <v>223</v>
      </c>
      <c r="K8" t="s">
        <v>261</v>
      </c>
      <c r="L8" t="s">
        <v>605</v>
      </c>
      <c r="M8" s="44"/>
      <c r="N8" s="4"/>
      <c r="Q8" s="54"/>
      <c r="T8" s="44"/>
      <c r="U8" s="44"/>
    </row>
    <row r="9" spans="1:26" ht="14.25" customHeight="1" x14ac:dyDescent="0.2">
      <c r="A9">
        <v>9</v>
      </c>
      <c r="B9" t="s">
        <v>264</v>
      </c>
      <c r="C9" t="s">
        <v>265</v>
      </c>
      <c r="D9">
        <v>2025</v>
      </c>
      <c r="E9" t="s">
        <v>260</v>
      </c>
      <c r="F9" t="s">
        <v>267</v>
      </c>
      <c r="G9" t="s">
        <v>268</v>
      </c>
      <c r="H9" t="s">
        <v>246</v>
      </c>
      <c r="I9" t="s">
        <v>15</v>
      </c>
      <c r="J9" t="s">
        <v>223</v>
      </c>
      <c r="K9" t="s">
        <v>266</v>
      </c>
      <c r="L9" t="s">
        <v>606</v>
      </c>
      <c r="M9" s="44"/>
      <c r="N9" s="4"/>
      <c r="Q9" s="54"/>
      <c r="T9" s="44"/>
      <c r="U9" s="44"/>
    </row>
    <row r="10" spans="1:26" ht="14.25" customHeight="1" x14ac:dyDescent="0.2">
      <c r="A10">
        <v>10</v>
      </c>
      <c r="B10" t="s">
        <v>269</v>
      </c>
      <c r="C10" t="s">
        <v>270</v>
      </c>
      <c r="D10">
        <v>2025</v>
      </c>
      <c r="E10" t="s">
        <v>233</v>
      </c>
      <c r="F10" t="s">
        <v>272</v>
      </c>
      <c r="G10" t="s">
        <v>273</v>
      </c>
      <c r="H10" t="s">
        <v>238</v>
      </c>
      <c r="I10" t="s">
        <v>15</v>
      </c>
      <c r="J10" t="s">
        <v>223</v>
      </c>
      <c r="K10" t="s">
        <v>271</v>
      </c>
      <c r="L10" t="s">
        <v>274</v>
      </c>
      <c r="M10" s="44"/>
      <c r="N10" s="4"/>
      <c r="Q10" s="54"/>
      <c r="T10" s="44"/>
      <c r="U10" s="44"/>
    </row>
    <row r="11" spans="1:26" ht="14.25" customHeight="1" x14ac:dyDescent="0.2">
      <c r="A11">
        <v>11</v>
      </c>
      <c r="B11" t="s">
        <v>275</v>
      </c>
      <c r="C11" t="s">
        <v>276</v>
      </c>
      <c r="D11">
        <v>2025</v>
      </c>
      <c r="E11" t="s">
        <v>219</v>
      </c>
      <c r="F11" t="s">
        <v>278</v>
      </c>
      <c r="G11" t="s">
        <v>279</v>
      </c>
      <c r="H11" t="s">
        <v>222</v>
      </c>
      <c r="I11" t="s">
        <v>15</v>
      </c>
      <c r="J11" t="s">
        <v>223</v>
      </c>
      <c r="K11" t="s">
        <v>277</v>
      </c>
      <c r="L11" t="s">
        <v>280</v>
      </c>
      <c r="M11" s="44"/>
      <c r="N11" s="4"/>
      <c r="Q11" s="54"/>
      <c r="T11" s="44"/>
      <c r="U11" s="44"/>
    </row>
    <row r="12" spans="1:26" ht="14.25" customHeight="1" x14ac:dyDescent="0.2">
      <c r="A12">
        <v>12</v>
      </c>
      <c r="B12" t="s">
        <v>281</v>
      </c>
      <c r="C12" t="s">
        <v>282</v>
      </c>
      <c r="D12">
        <v>2023</v>
      </c>
      <c r="E12" t="s">
        <v>219</v>
      </c>
      <c r="F12" t="s">
        <v>284</v>
      </c>
      <c r="G12" t="s">
        <v>285</v>
      </c>
      <c r="H12" t="s">
        <v>222</v>
      </c>
      <c r="I12" t="s">
        <v>15</v>
      </c>
      <c r="J12" t="s">
        <v>223</v>
      </c>
      <c r="K12" t="s">
        <v>283</v>
      </c>
      <c r="L12" t="s">
        <v>286</v>
      </c>
      <c r="M12" s="44"/>
      <c r="N12" s="4"/>
      <c r="Q12" s="54"/>
      <c r="T12" s="44"/>
      <c r="U12" s="44"/>
    </row>
    <row r="13" spans="1:26" ht="14.25" customHeight="1" x14ac:dyDescent="0.2">
      <c r="A13">
        <v>13</v>
      </c>
      <c r="B13" t="s">
        <v>287</v>
      </c>
      <c r="C13" t="s">
        <v>288</v>
      </c>
      <c r="D13">
        <v>2023</v>
      </c>
      <c r="E13" t="s">
        <v>219</v>
      </c>
      <c r="F13" t="s">
        <v>290</v>
      </c>
      <c r="G13" t="s">
        <v>291</v>
      </c>
      <c r="H13" t="s">
        <v>222</v>
      </c>
      <c r="I13" t="s">
        <v>15</v>
      </c>
      <c r="J13" t="s">
        <v>223</v>
      </c>
      <c r="K13" t="s">
        <v>289</v>
      </c>
      <c r="L13" t="s">
        <v>292</v>
      </c>
      <c r="M13" s="44"/>
      <c r="N13" s="4"/>
      <c r="Q13" s="54"/>
      <c r="T13" s="44"/>
      <c r="U13" s="44"/>
    </row>
    <row r="14" spans="1:26" ht="14.25" customHeight="1" x14ac:dyDescent="0.2">
      <c r="A14">
        <v>14</v>
      </c>
      <c r="B14" t="s">
        <v>293</v>
      </c>
      <c r="C14" t="s">
        <v>294</v>
      </c>
      <c r="D14">
        <v>2021</v>
      </c>
      <c r="E14" t="s">
        <v>260</v>
      </c>
      <c r="F14" t="s">
        <v>296</v>
      </c>
      <c r="G14" t="s">
        <v>297</v>
      </c>
      <c r="H14" t="s">
        <v>246</v>
      </c>
      <c r="I14" t="s">
        <v>15</v>
      </c>
      <c r="J14" t="s">
        <v>223</v>
      </c>
      <c r="K14" t="s">
        <v>295</v>
      </c>
      <c r="L14" t="s">
        <v>607</v>
      </c>
      <c r="M14" s="44"/>
      <c r="N14" s="4"/>
      <c r="Q14" s="54"/>
      <c r="T14" s="44"/>
      <c r="U14" s="44"/>
    </row>
    <row r="15" spans="1:26" ht="14.25" customHeight="1" x14ac:dyDescent="0.2">
      <c r="A15">
        <v>15</v>
      </c>
      <c r="B15" t="s">
        <v>298</v>
      </c>
      <c r="C15" t="s">
        <v>299</v>
      </c>
      <c r="D15">
        <v>2022</v>
      </c>
      <c r="E15" t="s">
        <v>226</v>
      </c>
      <c r="F15" t="s">
        <v>301</v>
      </c>
      <c r="G15">
        <v>0</v>
      </c>
      <c r="H15" t="s">
        <v>230</v>
      </c>
      <c r="I15" t="s">
        <v>15</v>
      </c>
      <c r="J15" t="s">
        <v>223</v>
      </c>
      <c r="K15" t="s">
        <v>300</v>
      </c>
      <c r="L15">
        <v>0</v>
      </c>
      <c r="M15" s="44"/>
      <c r="N15" s="4"/>
      <c r="Q15" s="54"/>
      <c r="T15" s="44"/>
      <c r="U15" s="44"/>
    </row>
    <row r="16" spans="1:26" ht="14.25" customHeight="1" x14ac:dyDescent="0.2">
      <c r="A16">
        <v>16</v>
      </c>
      <c r="B16" t="s">
        <v>302</v>
      </c>
      <c r="C16" t="s">
        <v>303</v>
      </c>
      <c r="D16">
        <v>2025</v>
      </c>
      <c r="E16" t="s">
        <v>241</v>
      </c>
      <c r="F16" t="s">
        <v>305</v>
      </c>
      <c r="G16" t="s">
        <v>306</v>
      </c>
      <c r="H16" t="s">
        <v>246</v>
      </c>
      <c r="I16" t="s">
        <v>15</v>
      </c>
      <c r="J16" t="s">
        <v>223</v>
      </c>
      <c r="K16" t="s">
        <v>304</v>
      </c>
      <c r="L16" t="s">
        <v>307</v>
      </c>
      <c r="M16" s="44"/>
      <c r="N16" s="4"/>
      <c r="Q16" s="54"/>
      <c r="T16" s="44"/>
      <c r="U16" s="44"/>
    </row>
    <row r="17" spans="1:21" ht="14.25" customHeight="1" x14ac:dyDescent="0.2">
      <c r="A17">
        <v>17</v>
      </c>
      <c r="B17" t="s">
        <v>308</v>
      </c>
      <c r="C17" t="s">
        <v>309</v>
      </c>
      <c r="D17">
        <v>2025</v>
      </c>
      <c r="E17" t="s">
        <v>241</v>
      </c>
      <c r="F17" t="s">
        <v>311</v>
      </c>
      <c r="G17" t="s">
        <v>312</v>
      </c>
      <c r="H17" t="s">
        <v>246</v>
      </c>
      <c r="I17" t="s">
        <v>15</v>
      </c>
      <c r="J17" t="s">
        <v>223</v>
      </c>
      <c r="K17" t="s">
        <v>310</v>
      </c>
      <c r="L17" t="s">
        <v>313</v>
      </c>
      <c r="M17" s="44"/>
      <c r="N17" s="4"/>
      <c r="Q17" s="54"/>
      <c r="T17" s="44"/>
      <c r="U17" s="44"/>
    </row>
    <row r="18" spans="1:21" ht="14.25" customHeight="1" x14ac:dyDescent="0.2">
      <c r="A18">
        <v>18</v>
      </c>
      <c r="B18" t="s">
        <v>314</v>
      </c>
      <c r="C18" t="s">
        <v>315</v>
      </c>
      <c r="D18">
        <v>2025</v>
      </c>
      <c r="E18" t="s">
        <v>260</v>
      </c>
      <c r="F18" t="s">
        <v>317</v>
      </c>
      <c r="G18" t="s">
        <v>318</v>
      </c>
      <c r="H18" t="s">
        <v>246</v>
      </c>
      <c r="I18" t="s">
        <v>15</v>
      </c>
      <c r="J18" t="s">
        <v>223</v>
      </c>
      <c r="K18" t="s">
        <v>316</v>
      </c>
      <c r="L18" t="s">
        <v>319</v>
      </c>
      <c r="M18" s="44"/>
      <c r="N18" s="4"/>
      <c r="Q18" s="54"/>
      <c r="T18" s="44"/>
      <c r="U18" s="44"/>
    </row>
    <row r="19" spans="1:21" ht="14.25" customHeight="1" x14ac:dyDescent="0.2">
      <c r="A19">
        <v>19</v>
      </c>
      <c r="B19" t="s">
        <v>320</v>
      </c>
      <c r="C19" t="s">
        <v>321</v>
      </c>
      <c r="D19">
        <v>2023</v>
      </c>
      <c r="E19" t="s">
        <v>219</v>
      </c>
      <c r="F19" t="s">
        <v>323</v>
      </c>
      <c r="G19" t="s">
        <v>324</v>
      </c>
      <c r="H19" t="s">
        <v>222</v>
      </c>
      <c r="I19" t="s">
        <v>15</v>
      </c>
      <c r="J19" t="s">
        <v>223</v>
      </c>
      <c r="K19" t="s">
        <v>322</v>
      </c>
      <c r="L19" t="s">
        <v>325</v>
      </c>
      <c r="M19" s="44"/>
      <c r="N19" s="4"/>
      <c r="Q19" s="54"/>
      <c r="T19" s="44"/>
      <c r="U19" s="44"/>
    </row>
    <row r="20" spans="1:21" ht="14.25" customHeight="1" x14ac:dyDescent="0.2">
      <c r="A20">
        <v>20</v>
      </c>
      <c r="B20" t="s">
        <v>326</v>
      </c>
      <c r="C20" t="s">
        <v>327</v>
      </c>
      <c r="D20">
        <v>2025</v>
      </c>
      <c r="E20" t="s">
        <v>233</v>
      </c>
      <c r="F20" t="s">
        <v>329</v>
      </c>
      <c r="G20" t="s">
        <v>330</v>
      </c>
      <c r="H20" t="s">
        <v>238</v>
      </c>
      <c r="I20" t="s">
        <v>15</v>
      </c>
      <c r="J20" t="s">
        <v>223</v>
      </c>
      <c r="K20" t="s">
        <v>328</v>
      </c>
      <c r="L20" t="s">
        <v>331</v>
      </c>
      <c r="M20" s="44"/>
      <c r="N20" s="4"/>
      <c r="Q20" s="54"/>
      <c r="T20" s="44"/>
      <c r="U20" s="44"/>
    </row>
    <row r="21" spans="1:21" ht="14.25" customHeight="1" x14ac:dyDescent="0.2">
      <c r="A21">
        <v>21</v>
      </c>
      <c r="B21" t="s">
        <v>332</v>
      </c>
      <c r="C21" t="s">
        <v>333</v>
      </c>
      <c r="D21">
        <v>2022</v>
      </c>
      <c r="E21" t="s">
        <v>226</v>
      </c>
      <c r="F21" t="s">
        <v>335</v>
      </c>
      <c r="G21">
        <v>0</v>
      </c>
      <c r="H21" t="s">
        <v>230</v>
      </c>
      <c r="I21" t="s">
        <v>15</v>
      </c>
      <c r="J21" t="s">
        <v>223</v>
      </c>
      <c r="K21" t="s">
        <v>334</v>
      </c>
      <c r="L21" t="s">
        <v>336</v>
      </c>
      <c r="M21" s="44"/>
      <c r="N21" s="4"/>
      <c r="Q21" s="54"/>
      <c r="T21" s="44"/>
      <c r="U21" s="44"/>
    </row>
    <row r="22" spans="1:21" ht="14.25" customHeight="1" x14ac:dyDescent="0.2">
      <c r="A22">
        <v>22</v>
      </c>
      <c r="B22" t="s">
        <v>337</v>
      </c>
      <c r="C22" t="s">
        <v>338</v>
      </c>
      <c r="D22">
        <v>2021</v>
      </c>
      <c r="E22" t="s">
        <v>226</v>
      </c>
      <c r="F22" t="s">
        <v>340</v>
      </c>
      <c r="G22">
        <v>0</v>
      </c>
      <c r="H22" t="s">
        <v>230</v>
      </c>
      <c r="I22" t="s">
        <v>15</v>
      </c>
      <c r="J22" t="s">
        <v>223</v>
      </c>
      <c r="K22" t="s">
        <v>339</v>
      </c>
      <c r="L22" t="s">
        <v>341</v>
      </c>
      <c r="M22" s="44"/>
      <c r="Q22" s="54"/>
      <c r="T22" s="44"/>
      <c r="U22" s="44"/>
    </row>
    <row r="23" spans="1:21" ht="14.25" customHeight="1" x14ac:dyDescent="0.2">
      <c r="A23">
        <v>23</v>
      </c>
      <c r="B23" t="s">
        <v>342</v>
      </c>
      <c r="C23" t="s">
        <v>343</v>
      </c>
      <c r="D23">
        <v>2024</v>
      </c>
      <c r="E23" t="s">
        <v>219</v>
      </c>
      <c r="F23" t="s">
        <v>345</v>
      </c>
      <c r="G23" t="s">
        <v>346</v>
      </c>
      <c r="H23" t="s">
        <v>222</v>
      </c>
      <c r="I23" t="s">
        <v>15</v>
      </c>
      <c r="J23" t="s">
        <v>223</v>
      </c>
      <c r="K23" t="s">
        <v>344</v>
      </c>
      <c r="L23" t="s">
        <v>347</v>
      </c>
      <c r="M23" s="44"/>
      <c r="Q23" s="54"/>
      <c r="T23" s="44"/>
      <c r="U23" s="44"/>
    </row>
    <row r="24" spans="1:21" ht="14.25" customHeight="1" x14ac:dyDescent="0.2">
      <c r="A24">
        <v>24</v>
      </c>
      <c r="B24" t="s">
        <v>348</v>
      </c>
      <c r="C24" t="s">
        <v>349</v>
      </c>
      <c r="D24">
        <v>2022</v>
      </c>
      <c r="E24" t="s">
        <v>219</v>
      </c>
      <c r="F24" t="s">
        <v>351</v>
      </c>
      <c r="G24" t="s">
        <v>352</v>
      </c>
      <c r="H24" t="s">
        <v>222</v>
      </c>
      <c r="I24" t="s">
        <v>15</v>
      </c>
      <c r="J24" t="s">
        <v>223</v>
      </c>
      <c r="K24" t="s">
        <v>350</v>
      </c>
      <c r="L24" t="s">
        <v>353</v>
      </c>
      <c r="M24" s="44"/>
      <c r="Q24" s="54"/>
      <c r="T24" s="44"/>
      <c r="U24" s="44"/>
    </row>
    <row r="25" spans="1:21" ht="14.25" customHeight="1" x14ac:dyDescent="0.2">
      <c r="A25">
        <v>25</v>
      </c>
      <c r="B25" t="s">
        <v>354</v>
      </c>
      <c r="C25" t="s">
        <v>355</v>
      </c>
      <c r="D25">
        <v>2023</v>
      </c>
      <c r="E25" t="s">
        <v>226</v>
      </c>
      <c r="F25" t="s">
        <v>608</v>
      </c>
      <c r="G25">
        <v>0</v>
      </c>
      <c r="H25" t="s">
        <v>230</v>
      </c>
      <c r="I25" t="s">
        <v>15</v>
      </c>
      <c r="J25" t="s">
        <v>223</v>
      </c>
      <c r="K25" t="s">
        <v>356</v>
      </c>
      <c r="L25" t="s">
        <v>357</v>
      </c>
      <c r="M25" s="44"/>
      <c r="Q25" s="54"/>
      <c r="T25" s="44"/>
      <c r="U25" s="44"/>
    </row>
    <row r="26" spans="1:21" ht="14.25" customHeight="1" x14ac:dyDescent="0.2">
      <c r="A26">
        <v>26</v>
      </c>
      <c r="B26" t="s">
        <v>358</v>
      </c>
      <c r="C26" t="s">
        <v>359</v>
      </c>
      <c r="D26">
        <v>2025</v>
      </c>
      <c r="E26" t="s">
        <v>226</v>
      </c>
      <c r="F26" t="s">
        <v>361</v>
      </c>
      <c r="G26">
        <v>0</v>
      </c>
      <c r="H26" t="s">
        <v>230</v>
      </c>
      <c r="I26" t="s">
        <v>15</v>
      </c>
      <c r="J26" t="s">
        <v>223</v>
      </c>
      <c r="K26" t="s">
        <v>360</v>
      </c>
      <c r="L26" t="s">
        <v>362</v>
      </c>
      <c r="M26" s="44"/>
      <c r="Q26" s="54"/>
      <c r="T26" s="44"/>
      <c r="U26" s="44"/>
    </row>
    <row r="27" spans="1:21" ht="14.25" customHeight="1" x14ac:dyDescent="0.2">
      <c r="A27">
        <v>27</v>
      </c>
      <c r="B27" t="s">
        <v>363</v>
      </c>
      <c r="C27" t="s">
        <v>364</v>
      </c>
      <c r="D27">
        <v>2025</v>
      </c>
      <c r="E27" t="s">
        <v>226</v>
      </c>
      <c r="F27" t="s">
        <v>366</v>
      </c>
      <c r="G27">
        <v>0</v>
      </c>
      <c r="H27" t="s">
        <v>230</v>
      </c>
      <c r="I27" t="s">
        <v>15</v>
      </c>
      <c r="J27" t="s">
        <v>223</v>
      </c>
      <c r="K27" t="s">
        <v>365</v>
      </c>
      <c r="L27" t="s">
        <v>367</v>
      </c>
      <c r="M27" s="44"/>
      <c r="Q27" s="54"/>
      <c r="T27" s="44"/>
      <c r="U27" s="44"/>
    </row>
    <row r="28" spans="1:21" ht="14.25" customHeight="1" x14ac:dyDescent="0.2">
      <c r="A28">
        <v>28</v>
      </c>
      <c r="B28" t="s">
        <v>368</v>
      </c>
      <c r="C28" t="s">
        <v>369</v>
      </c>
      <c r="D28">
        <v>2023</v>
      </c>
      <c r="E28" t="s">
        <v>226</v>
      </c>
      <c r="F28" t="s">
        <v>371</v>
      </c>
      <c r="G28">
        <v>0</v>
      </c>
      <c r="H28" t="s">
        <v>230</v>
      </c>
      <c r="I28" t="s">
        <v>15</v>
      </c>
      <c r="J28" t="s">
        <v>223</v>
      </c>
      <c r="K28" t="s">
        <v>370</v>
      </c>
      <c r="L28" t="s">
        <v>372</v>
      </c>
      <c r="M28" s="44"/>
      <c r="Q28" s="54"/>
      <c r="T28" s="44"/>
      <c r="U28" s="44"/>
    </row>
    <row r="29" spans="1:21" ht="14.25" customHeight="1" x14ac:dyDescent="0.2">
      <c r="A29">
        <v>29</v>
      </c>
      <c r="B29" t="s">
        <v>373</v>
      </c>
      <c r="C29" t="s">
        <v>374</v>
      </c>
      <c r="D29">
        <v>2024</v>
      </c>
      <c r="E29" t="s">
        <v>260</v>
      </c>
      <c r="F29" t="s">
        <v>376</v>
      </c>
      <c r="G29" t="s">
        <v>377</v>
      </c>
      <c r="H29" t="s">
        <v>246</v>
      </c>
      <c r="I29" t="s">
        <v>15</v>
      </c>
      <c r="J29" t="s">
        <v>223</v>
      </c>
      <c r="K29" t="s">
        <v>375</v>
      </c>
      <c r="L29">
        <v>0</v>
      </c>
      <c r="M29" s="44"/>
      <c r="Q29" s="54"/>
      <c r="T29" s="44"/>
      <c r="U29" s="44"/>
    </row>
    <row r="30" spans="1:21" ht="14.25" customHeight="1" x14ac:dyDescent="0.2">
      <c r="A30">
        <v>30</v>
      </c>
      <c r="B30" t="s">
        <v>378</v>
      </c>
      <c r="C30" t="s">
        <v>379</v>
      </c>
      <c r="D30">
        <v>2025</v>
      </c>
      <c r="E30" t="s">
        <v>226</v>
      </c>
      <c r="F30" t="s">
        <v>381</v>
      </c>
      <c r="G30">
        <v>0</v>
      </c>
      <c r="H30" t="s">
        <v>230</v>
      </c>
      <c r="I30" t="s">
        <v>15</v>
      </c>
      <c r="J30" t="s">
        <v>223</v>
      </c>
      <c r="K30" t="s">
        <v>380</v>
      </c>
      <c r="L30" t="s">
        <v>382</v>
      </c>
      <c r="M30" s="44"/>
      <c r="Q30" s="54"/>
      <c r="T30" s="44"/>
      <c r="U30" s="44"/>
    </row>
    <row r="31" spans="1:21" ht="14.25" customHeight="1" x14ac:dyDescent="0.2">
      <c r="A31">
        <v>31</v>
      </c>
      <c r="B31" t="s">
        <v>383</v>
      </c>
      <c r="C31" t="s">
        <v>384</v>
      </c>
      <c r="D31">
        <v>2022</v>
      </c>
      <c r="E31" t="s">
        <v>260</v>
      </c>
      <c r="F31" t="s">
        <v>386</v>
      </c>
      <c r="G31" t="s">
        <v>387</v>
      </c>
      <c r="H31" t="s">
        <v>246</v>
      </c>
      <c r="I31" t="s">
        <v>15</v>
      </c>
      <c r="J31" t="s">
        <v>223</v>
      </c>
      <c r="K31" t="s">
        <v>385</v>
      </c>
      <c r="L31" t="s">
        <v>388</v>
      </c>
      <c r="M31" s="44"/>
      <c r="Q31" s="54"/>
    </row>
    <row r="32" spans="1:21" ht="14.25" customHeight="1" x14ac:dyDescent="0.2">
      <c r="A32">
        <v>32</v>
      </c>
      <c r="B32" t="s">
        <v>389</v>
      </c>
      <c r="C32" t="s">
        <v>390</v>
      </c>
      <c r="D32">
        <v>2022</v>
      </c>
      <c r="E32" t="s">
        <v>260</v>
      </c>
      <c r="F32" t="s">
        <v>392</v>
      </c>
      <c r="G32">
        <v>0</v>
      </c>
      <c r="H32" t="s">
        <v>246</v>
      </c>
      <c r="I32" t="s">
        <v>15</v>
      </c>
      <c r="J32" t="s">
        <v>223</v>
      </c>
      <c r="K32" t="s">
        <v>391</v>
      </c>
      <c r="L32" t="s">
        <v>393</v>
      </c>
      <c r="Q32" s="54"/>
    </row>
    <row r="33" spans="1:17" ht="14.25" customHeight="1" x14ac:dyDescent="0.2">
      <c r="A33">
        <v>33</v>
      </c>
      <c r="B33" t="s">
        <v>394</v>
      </c>
      <c r="C33" t="s">
        <v>395</v>
      </c>
      <c r="D33">
        <v>2024</v>
      </c>
      <c r="E33" t="s">
        <v>226</v>
      </c>
      <c r="F33" t="s">
        <v>397</v>
      </c>
      <c r="G33">
        <v>0</v>
      </c>
      <c r="H33" t="s">
        <v>230</v>
      </c>
      <c r="I33" t="s">
        <v>15</v>
      </c>
      <c r="J33" t="s">
        <v>223</v>
      </c>
      <c r="K33" t="s">
        <v>396</v>
      </c>
      <c r="L33" t="s">
        <v>398</v>
      </c>
      <c r="Q33" s="54"/>
    </row>
    <row r="34" spans="1:17" ht="14.25" customHeight="1" x14ac:dyDescent="0.2">
      <c r="A34">
        <v>34</v>
      </c>
      <c r="B34" t="s">
        <v>399</v>
      </c>
      <c r="C34" t="s">
        <v>400</v>
      </c>
      <c r="D34">
        <v>2022</v>
      </c>
      <c r="E34" t="s">
        <v>260</v>
      </c>
      <c r="F34" t="s">
        <v>402</v>
      </c>
      <c r="G34" t="s">
        <v>403</v>
      </c>
      <c r="H34" t="s">
        <v>246</v>
      </c>
      <c r="I34" t="s">
        <v>15</v>
      </c>
      <c r="J34" t="s">
        <v>223</v>
      </c>
      <c r="K34" t="s">
        <v>401</v>
      </c>
      <c r="L34" t="s">
        <v>609</v>
      </c>
      <c r="Q34" s="54"/>
    </row>
    <row r="35" spans="1:17" ht="14.25" customHeight="1" x14ac:dyDescent="0.2">
      <c r="A35">
        <v>35</v>
      </c>
      <c r="B35" t="s">
        <v>404</v>
      </c>
      <c r="C35" t="s">
        <v>405</v>
      </c>
      <c r="D35">
        <v>2022</v>
      </c>
      <c r="E35" t="s">
        <v>260</v>
      </c>
      <c r="F35" t="s">
        <v>407</v>
      </c>
      <c r="G35" t="s">
        <v>408</v>
      </c>
      <c r="H35" t="s">
        <v>246</v>
      </c>
      <c r="I35" t="s">
        <v>15</v>
      </c>
      <c r="J35" t="s">
        <v>223</v>
      </c>
      <c r="K35" t="s">
        <v>406</v>
      </c>
      <c r="L35" t="s">
        <v>610</v>
      </c>
      <c r="Q35" s="54"/>
    </row>
    <row r="36" spans="1:17" ht="14.25" customHeight="1" x14ac:dyDescent="0.2">
      <c r="A36">
        <v>36</v>
      </c>
      <c r="B36" t="s">
        <v>409</v>
      </c>
      <c r="C36" t="s">
        <v>410</v>
      </c>
      <c r="D36">
        <v>2025</v>
      </c>
      <c r="E36" t="s">
        <v>233</v>
      </c>
      <c r="F36" t="s">
        <v>412</v>
      </c>
      <c r="G36" t="s">
        <v>413</v>
      </c>
      <c r="H36" t="s">
        <v>238</v>
      </c>
      <c r="I36" t="s">
        <v>15</v>
      </c>
      <c r="J36" t="s">
        <v>223</v>
      </c>
      <c r="K36" t="s">
        <v>411</v>
      </c>
      <c r="L36" t="s">
        <v>414</v>
      </c>
      <c r="Q36" s="54"/>
    </row>
    <row r="37" spans="1:17" ht="14.25" customHeight="1" x14ac:dyDescent="0.2">
      <c r="A37">
        <v>37</v>
      </c>
      <c r="B37" t="s">
        <v>415</v>
      </c>
      <c r="C37" t="s">
        <v>416</v>
      </c>
      <c r="D37">
        <v>2026</v>
      </c>
      <c r="E37" t="s">
        <v>233</v>
      </c>
      <c r="F37" t="s">
        <v>418</v>
      </c>
      <c r="G37" t="s">
        <v>419</v>
      </c>
      <c r="H37" t="s">
        <v>238</v>
      </c>
      <c r="I37" t="s">
        <v>15</v>
      </c>
      <c r="J37" t="s">
        <v>223</v>
      </c>
      <c r="K37" t="s">
        <v>417</v>
      </c>
      <c r="L37" t="s">
        <v>420</v>
      </c>
      <c r="Q37" s="54"/>
    </row>
    <row r="38" spans="1:17" ht="14.25" customHeight="1" x14ac:dyDescent="0.2">
      <c r="A38">
        <v>38</v>
      </c>
      <c r="B38" t="s">
        <v>421</v>
      </c>
      <c r="C38" t="s">
        <v>422</v>
      </c>
      <c r="D38">
        <v>2024</v>
      </c>
      <c r="E38" t="s">
        <v>219</v>
      </c>
      <c r="F38" t="s">
        <v>424</v>
      </c>
      <c r="G38" t="s">
        <v>425</v>
      </c>
      <c r="H38" t="s">
        <v>222</v>
      </c>
      <c r="I38" t="s">
        <v>15</v>
      </c>
      <c r="J38" t="s">
        <v>223</v>
      </c>
      <c r="K38" t="s">
        <v>423</v>
      </c>
      <c r="L38" t="s">
        <v>426</v>
      </c>
      <c r="Q38" s="54"/>
    </row>
    <row r="39" spans="1:17" ht="14.25" customHeight="1" x14ac:dyDescent="0.2">
      <c r="A39">
        <v>39</v>
      </c>
      <c r="B39" t="s">
        <v>427</v>
      </c>
      <c r="C39" t="s">
        <v>428</v>
      </c>
      <c r="D39">
        <v>2022</v>
      </c>
      <c r="E39" t="s">
        <v>260</v>
      </c>
      <c r="F39" t="s">
        <v>430</v>
      </c>
      <c r="G39" t="s">
        <v>431</v>
      </c>
      <c r="H39" t="s">
        <v>246</v>
      </c>
      <c r="I39" t="s">
        <v>15</v>
      </c>
      <c r="J39" t="s">
        <v>223</v>
      </c>
      <c r="K39" t="s">
        <v>429</v>
      </c>
      <c r="L39" t="s">
        <v>432</v>
      </c>
      <c r="Q39" s="54"/>
    </row>
    <row r="40" spans="1:17" ht="14.25" customHeight="1" x14ac:dyDescent="0.2">
      <c r="A40">
        <v>40</v>
      </c>
      <c r="B40" t="s">
        <v>433</v>
      </c>
      <c r="C40" t="s">
        <v>434</v>
      </c>
      <c r="D40">
        <v>2022</v>
      </c>
      <c r="E40" t="s">
        <v>219</v>
      </c>
      <c r="F40" t="s">
        <v>436</v>
      </c>
      <c r="G40" t="s">
        <v>437</v>
      </c>
      <c r="H40" t="s">
        <v>222</v>
      </c>
      <c r="I40" t="s">
        <v>15</v>
      </c>
      <c r="J40" t="s">
        <v>223</v>
      </c>
      <c r="K40" t="s">
        <v>435</v>
      </c>
      <c r="L40" t="s">
        <v>438</v>
      </c>
      <c r="Q40" s="54"/>
    </row>
    <row r="41" spans="1:17" ht="14.25" customHeight="1" x14ac:dyDescent="0.2">
      <c r="A41">
        <v>41</v>
      </c>
      <c r="B41" t="s">
        <v>439</v>
      </c>
      <c r="C41" t="s">
        <v>440</v>
      </c>
      <c r="D41">
        <v>2026</v>
      </c>
      <c r="E41" t="s">
        <v>219</v>
      </c>
      <c r="F41" t="s">
        <v>442</v>
      </c>
      <c r="G41" t="s">
        <v>443</v>
      </c>
      <c r="H41" t="s">
        <v>222</v>
      </c>
      <c r="I41" t="s">
        <v>15</v>
      </c>
      <c r="J41" t="s">
        <v>223</v>
      </c>
      <c r="K41" t="s">
        <v>441</v>
      </c>
      <c r="L41" t="s">
        <v>444</v>
      </c>
      <c r="Q41" s="54"/>
    </row>
    <row r="42" spans="1:17" ht="14.25" customHeight="1" x14ac:dyDescent="0.2">
      <c r="A42">
        <v>42</v>
      </c>
      <c r="B42" t="s">
        <v>445</v>
      </c>
      <c r="C42" t="s">
        <v>446</v>
      </c>
      <c r="D42">
        <v>2023</v>
      </c>
      <c r="E42" t="s">
        <v>219</v>
      </c>
      <c r="F42" t="s">
        <v>448</v>
      </c>
      <c r="G42" t="s">
        <v>449</v>
      </c>
      <c r="H42" t="s">
        <v>222</v>
      </c>
      <c r="I42" t="s">
        <v>15</v>
      </c>
      <c r="J42" t="s">
        <v>223</v>
      </c>
      <c r="K42" t="s">
        <v>447</v>
      </c>
      <c r="L42" t="s">
        <v>450</v>
      </c>
      <c r="Q42" s="54"/>
    </row>
    <row r="43" spans="1:17" ht="14.25" customHeight="1" x14ac:dyDescent="0.2">
      <c r="A43">
        <v>43</v>
      </c>
      <c r="B43" t="s">
        <v>451</v>
      </c>
      <c r="C43" t="s">
        <v>452</v>
      </c>
      <c r="D43">
        <v>2026</v>
      </c>
      <c r="E43" t="s">
        <v>241</v>
      </c>
      <c r="F43" t="s">
        <v>454</v>
      </c>
      <c r="G43" t="s">
        <v>455</v>
      </c>
      <c r="H43" t="s">
        <v>246</v>
      </c>
      <c r="I43" t="s">
        <v>15</v>
      </c>
      <c r="J43" t="s">
        <v>223</v>
      </c>
      <c r="K43" t="s">
        <v>453</v>
      </c>
      <c r="L43" t="s">
        <v>456</v>
      </c>
      <c r="Q43" s="54"/>
    </row>
    <row r="44" spans="1:17" ht="14.25" customHeight="1" x14ac:dyDescent="0.2">
      <c r="A44">
        <v>44</v>
      </c>
      <c r="B44" t="s">
        <v>457</v>
      </c>
      <c r="C44" t="s">
        <v>458</v>
      </c>
      <c r="D44">
        <v>2021</v>
      </c>
      <c r="E44" t="s">
        <v>233</v>
      </c>
      <c r="F44" t="s">
        <v>460</v>
      </c>
      <c r="G44" t="s">
        <v>461</v>
      </c>
      <c r="H44" t="s">
        <v>238</v>
      </c>
      <c r="I44" t="s">
        <v>15</v>
      </c>
      <c r="J44" t="s">
        <v>223</v>
      </c>
      <c r="K44" t="s">
        <v>459</v>
      </c>
      <c r="L44" t="s">
        <v>462</v>
      </c>
      <c r="Q44" s="54"/>
    </row>
    <row r="45" spans="1:17" ht="14.25" customHeight="1" x14ac:dyDescent="0.2">
      <c r="A45">
        <v>45</v>
      </c>
      <c r="B45" t="s">
        <v>463</v>
      </c>
      <c r="C45" t="s">
        <v>464</v>
      </c>
      <c r="D45">
        <v>2025</v>
      </c>
      <c r="E45" t="s">
        <v>241</v>
      </c>
      <c r="F45" t="s">
        <v>466</v>
      </c>
      <c r="G45" t="s">
        <v>467</v>
      </c>
      <c r="H45" t="s">
        <v>246</v>
      </c>
      <c r="I45" t="s">
        <v>15</v>
      </c>
      <c r="J45" t="s">
        <v>223</v>
      </c>
      <c r="K45" t="s">
        <v>465</v>
      </c>
      <c r="L45" t="s">
        <v>468</v>
      </c>
      <c r="Q45" s="54"/>
    </row>
    <row r="46" spans="1:17" ht="14.25" customHeight="1" x14ac:dyDescent="0.2">
      <c r="A46">
        <v>46</v>
      </c>
      <c r="B46" t="s">
        <v>469</v>
      </c>
      <c r="C46" t="s">
        <v>470</v>
      </c>
      <c r="D46">
        <v>2022</v>
      </c>
      <c r="E46" t="s">
        <v>233</v>
      </c>
      <c r="F46" t="s">
        <v>472</v>
      </c>
      <c r="G46" t="s">
        <v>473</v>
      </c>
      <c r="H46" t="s">
        <v>238</v>
      </c>
      <c r="I46" t="s">
        <v>15</v>
      </c>
      <c r="J46" t="s">
        <v>223</v>
      </c>
      <c r="K46" t="s">
        <v>471</v>
      </c>
      <c r="L46" t="s">
        <v>611</v>
      </c>
      <c r="Q46" s="54"/>
    </row>
    <row r="47" spans="1:17" ht="14.25" customHeight="1" x14ac:dyDescent="0.2">
      <c r="A47">
        <v>47</v>
      </c>
      <c r="B47" t="s">
        <v>474</v>
      </c>
      <c r="C47" t="s">
        <v>475</v>
      </c>
      <c r="D47">
        <v>2024</v>
      </c>
      <c r="E47" t="s">
        <v>233</v>
      </c>
      <c r="F47" t="s">
        <v>477</v>
      </c>
      <c r="G47" t="s">
        <v>478</v>
      </c>
      <c r="H47" t="s">
        <v>238</v>
      </c>
      <c r="I47" t="s">
        <v>15</v>
      </c>
      <c r="J47" t="s">
        <v>223</v>
      </c>
      <c r="K47" t="s">
        <v>476</v>
      </c>
      <c r="L47" t="s">
        <v>479</v>
      </c>
      <c r="Q47" s="54"/>
    </row>
    <row r="48" spans="1:17" ht="14.25" customHeight="1" x14ac:dyDescent="0.2">
      <c r="A48">
        <v>48</v>
      </c>
      <c r="B48" t="s">
        <v>480</v>
      </c>
      <c r="C48" t="s">
        <v>481</v>
      </c>
      <c r="D48">
        <v>2026</v>
      </c>
      <c r="E48" t="s">
        <v>241</v>
      </c>
      <c r="F48" t="s">
        <v>483</v>
      </c>
      <c r="G48" t="s">
        <v>484</v>
      </c>
      <c r="H48" t="s">
        <v>246</v>
      </c>
      <c r="I48" t="s">
        <v>15</v>
      </c>
      <c r="J48" t="s">
        <v>223</v>
      </c>
      <c r="K48" t="s">
        <v>482</v>
      </c>
      <c r="L48" t="s">
        <v>485</v>
      </c>
      <c r="Q48" s="54"/>
    </row>
    <row r="49" spans="1:17" ht="14.25" customHeight="1" x14ac:dyDescent="0.2">
      <c r="A49">
        <v>49</v>
      </c>
      <c r="B49" t="s">
        <v>486</v>
      </c>
      <c r="C49" t="s">
        <v>487</v>
      </c>
      <c r="D49">
        <v>2025</v>
      </c>
      <c r="E49" t="s">
        <v>241</v>
      </c>
      <c r="F49" t="s">
        <v>489</v>
      </c>
      <c r="G49" t="s">
        <v>490</v>
      </c>
      <c r="H49" t="s">
        <v>246</v>
      </c>
      <c r="I49" t="s">
        <v>15</v>
      </c>
      <c r="J49" t="s">
        <v>223</v>
      </c>
      <c r="K49" t="s">
        <v>488</v>
      </c>
      <c r="L49" t="s">
        <v>491</v>
      </c>
      <c r="Q49" s="54"/>
    </row>
    <row r="50" spans="1:17" ht="14.25" customHeight="1" x14ac:dyDescent="0.2">
      <c r="A50">
        <v>50</v>
      </c>
      <c r="B50" t="s">
        <v>492</v>
      </c>
      <c r="C50" t="s">
        <v>493</v>
      </c>
      <c r="D50">
        <v>2023</v>
      </c>
      <c r="E50" t="s">
        <v>260</v>
      </c>
      <c r="F50" t="s">
        <v>495</v>
      </c>
      <c r="G50" t="s">
        <v>496</v>
      </c>
      <c r="H50" t="s">
        <v>246</v>
      </c>
      <c r="I50" t="s">
        <v>15</v>
      </c>
      <c r="J50" t="s">
        <v>223</v>
      </c>
      <c r="K50" t="s">
        <v>494</v>
      </c>
      <c r="L50" t="s">
        <v>497</v>
      </c>
      <c r="Q50" s="54"/>
    </row>
    <row r="51" spans="1:17" ht="14.25" customHeight="1" x14ac:dyDescent="0.2">
      <c r="A51">
        <v>51</v>
      </c>
      <c r="B51" t="s">
        <v>498</v>
      </c>
      <c r="C51" t="s">
        <v>499</v>
      </c>
      <c r="D51">
        <v>2025</v>
      </c>
      <c r="E51" t="s">
        <v>219</v>
      </c>
      <c r="F51" t="s">
        <v>612</v>
      </c>
      <c r="G51" t="s">
        <v>501</v>
      </c>
      <c r="H51" t="s">
        <v>222</v>
      </c>
      <c r="I51" t="s">
        <v>15</v>
      </c>
      <c r="J51" t="s">
        <v>223</v>
      </c>
      <c r="K51" t="s">
        <v>500</v>
      </c>
      <c r="L51" t="s">
        <v>502</v>
      </c>
      <c r="Q51" s="54"/>
    </row>
    <row r="52" spans="1:17" ht="14.25" customHeight="1" x14ac:dyDescent="0.2">
      <c r="A52">
        <v>52</v>
      </c>
      <c r="B52" t="s">
        <v>503</v>
      </c>
      <c r="C52" t="s">
        <v>504</v>
      </c>
      <c r="D52">
        <v>2025</v>
      </c>
      <c r="E52" t="s">
        <v>260</v>
      </c>
      <c r="F52" t="s">
        <v>506</v>
      </c>
      <c r="G52" t="s">
        <v>507</v>
      </c>
      <c r="H52" t="s">
        <v>246</v>
      </c>
      <c r="I52" t="s">
        <v>15</v>
      </c>
      <c r="J52" t="s">
        <v>223</v>
      </c>
      <c r="K52" t="s">
        <v>505</v>
      </c>
      <c r="L52" t="s">
        <v>508</v>
      </c>
      <c r="Q52" s="54"/>
    </row>
    <row r="53" spans="1:17" ht="14.25" customHeight="1" x14ac:dyDescent="0.2">
      <c r="A53">
        <v>53</v>
      </c>
      <c r="B53" t="s">
        <v>509</v>
      </c>
      <c r="C53" t="s">
        <v>510</v>
      </c>
      <c r="D53">
        <v>2023</v>
      </c>
      <c r="E53" t="s">
        <v>226</v>
      </c>
      <c r="F53" t="s">
        <v>512</v>
      </c>
      <c r="G53">
        <v>0</v>
      </c>
      <c r="H53" t="s">
        <v>230</v>
      </c>
      <c r="I53" t="s">
        <v>15</v>
      </c>
      <c r="J53" t="s">
        <v>223</v>
      </c>
      <c r="K53" t="s">
        <v>511</v>
      </c>
      <c r="L53" t="s">
        <v>613</v>
      </c>
      <c r="Q53" s="54"/>
    </row>
    <row r="54" spans="1:17" ht="14.25" customHeight="1" x14ac:dyDescent="0.2">
      <c r="A54">
        <v>54</v>
      </c>
      <c r="B54" t="s">
        <v>513</v>
      </c>
      <c r="C54" t="s">
        <v>514</v>
      </c>
      <c r="D54">
        <v>2026</v>
      </c>
      <c r="E54" t="s">
        <v>241</v>
      </c>
      <c r="F54" t="s">
        <v>516</v>
      </c>
      <c r="G54" t="s">
        <v>517</v>
      </c>
      <c r="H54" t="s">
        <v>246</v>
      </c>
      <c r="I54" t="s">
        <v>15</v>
      </c>
      <c r="J54" t="s">
        <v>223</v>
      </c>
      <c r="K54" t="s">
        <v>515</v>
      </c>
      <c r="L54" t="s">
        <v>518</v>
      </c>
      <c r="Q54" s="54"/>
    </row>
    <row r="55" spans="1:17" ht="14.25" customHeight="1" x14ac:dyDescent="0.2">
      <c r="A55">
        <v>55</v>
      </c>
      <c r="B55" t="s">
        <v>519</v>
      </c>
      <c r="C55" t="s">
        <v>520</v>
      </c>
      <c r="D55">
        <v>2023</v>
      </c>
      <c r="E55" t="s">
        <v>226</v>
      </c>
      <c r="F55" t="s">
        <v>522</v>
      </c>
      <c r="G55">
        <v>0</v>
      </c>
      <c r="H55" t="s">
        <v>230</v>
      </c>
      <c r="I55" t="s">
        <v>15</v>
      </c>
      <c r="J55" t="s">
        <v>223</v>
      </c>
      <c r="K55" t="s">
        <v>521</v>
      </c>
      <c r="L55" t="s">
        <v>614</v>
      </c>
      <c r="Q55" s="54"/>
    </row>
    <row r="56" spans="1:17" ht="14.25" customHeight="1" x14ac:dyDescent="0.2">
      <c r="A56">
        <v>56</v>
      </c>
      <c r="B56" t="s">
        <v>523</v>
      </c>
      <c r="C56" t="s">
        <v>524</v>
      </c>
      <c r="D56">
        <v>2023</v>
      </c>
      <c r="E56" t="s">
        <v>226</v>
      </c>
      <c r="F56" t="s">
        <v>526</v>
      </c>
      <c r="G56">
        <v>0</v>
      </c>
      <c r="H56" t="s">
        <v>230</v>
      </c>
      <c r="I56" t="s">
        <v>15</v>
      </c>
      <c r="J56" t="s">
        <v>223</v>
      </c>
      <c r="K56" t="s">
        <v>525</v>
      </c>
      <c r="L56" t="s">
        <v>527</v>
      </c>
      <c r="Q56" s="54"/>
    </row>
    <row r="57" spans="1:17" ht="14.25" customHeight="1" x14ac:dyDescent="0.2">
      <c r="A57">
        <v>57</v>
      </c>
      <c r="B57" t="s">
        <v>528</v>
      </c>
      <c r="C57" t="s">
        <v>529</v>
      </c>
      <c r="D57">
        <v>2021</v>
      </c>
      <c r="E57" t="s">
        <v>241</v>
      </c>
      <c r="F57" t="s">
        <v>531</v>
      </c>
      <c r="G57" t="s">
        <v>532</v>
      </c>
      <c r="H57" t="s">
        <v>246</v>
      </c>
      <c r="I57" t="s">
        <v>15</v>
      </c>
      <c r="J57" t="s">
        <v>223</v>
      </c>
      <c r="K57" t="s">
        <v>530</v>
      </c>
      <c r="L57" t="s">
        <v>533</v>
      </c>
      <c r="Q57" s="54"/>
    </row>
    <row r="58" spans="1:17" ht="14.25" customHeight="1" x14ac:dyDescent="0.2">
      <c r="A58">
        <v>58</v>
      </c>
      <c r="B58" t="s">
        <v>534</v>
      </c>
      <c r="C58" t="s">
        <v>535</v>
      </c>
      <c r="D58">
        <v>2025</v>
      </c>
      <c r="E58" t="s">
        <v>260</v>
      </c>
      <c r="F58" t="s">
        <v>537</v>
      </c>
      <c r="G58" t="s">
        <v>538</v>
      </c>
      <c r="H58" t="s">
        <v>246</v>
      </c>
      <c r="I58" t="s">
        <v>15</v>
      </c>
      <c r="J58" t="s">
        <v>223</v>
      </c>
      <c r="K58" t="s">
        <v>536</v>
      </c>
      <c r="L58" t="s">
        <v>539</v>
      </c>
      <c r="Q58" s="54"/>
    </row>
    <row r="59" spans="1:17" ht="14.25" customHeight="1" x14ac:dyDescent="0.2">
      <c r="A59">
        <v>59</v>
      </c>
      <c r="B59" t="s">
        <v>540</v>
      </c>
      <c r="C59" t="s">
        <v>541</v>
      </c>
      <c r="D59">
        <v>2025</v>
      </c>
      <c r="E59" t="s">
        <v>219</v>
      </c>
      <c r="F59" t="s">
        <v>543</v>
      </c>
      <c r="G59" t="s">
        <v>544</v>
      </c>
      <c r="H59" t="s">
        <v>222</v>
      </c>
      <c r="I59" t="s">
        <v>15</v>
      </c>
      <c r="J59" t="s">
        <v>223</v>
      </c>
      <c r="K59" t="s">
        <v>542</v>
      </c>
      <c r="L59" t="s">
        <v>545</v>
      </c>
      <c r="Q59" s="54"/>
    </row>
    <row r="60" spans="1:17" ht="14.25" customHeight="1" x14ac:dyDescent="0.2">
      <c r="A60">
        <v>60</v>
      </c>
      <c r="B60" t="s">
        <v>546</v>
      </c>
      <c r="C60" t="s">
        <v>547</v>
      </c>
      <c r="D60">
        <v>2024</v>
      </c>
      <c r="E60" t="s">
        <v>219</v>
      </c>
      <c r="F60" t="s">
        <v>549</v>
      </c>
      <c r="G60" t="s">
        <v>550</v>
      </c>
      <c r="H60" t="s">
        <v>222</v>
      </c>
      <c r="I60" t="s">
        <v>15</v>
      </c>
      <c r="J60" t="s">
        <v>223</v>
      </c>
      <c r="K60" t="s">
        <v>548</v>
      </c>
      <c r="L60" t="s">
        <v>551</v>
      </c>
      <c r="Q60" s="54"/>
    </row>
    <row r="61" spans="1:17" ht="14.25" customHeight="1" x14ac:dyDescent="0.2">
      <c r="A61">
        <v>61</v>
      </c>
      <c r="B61" t="s">
        <v>552</v>
      </c>
      <c r="C61" t="s">
        <v>553</v>
      </c>
      <c r="D61">
        <v>2023</v>
      </c>
      <c r="E61" t="s">
        <v>241</v>
      </c>
      <c r="F61" t="s">
        <v>555</v>
      </c>
      <c r="G61" t="s">
        <v>556</v>
      </c>
      <c r="H61" t="s">
        <v>246</v>
      </c>
      <c r="I61" t="s">
        <v>15</v>
      </c>
      <c r="J61" t="s">
        <v>223</v>
      </c>
      <c r="K61" t="s">
        <v>554</v>
      </c>
      <c r="L61" t="s">
        <v>557</v>
      </c>
      <c r="Q61" s="54"/>
    </row>
    <row r="62" spans="1:17" ht="14.25" customHeight="1" x14ac:dyDescent="0.2">
      <c r="A62">
        <v>62</v>
      </c>
      <c r="B62" t="s">
        <v>558</v>
      </c>
      <c r="C62" t="s">
        <v>559</v>
      </c>
      <c r="D62">
        <v>2025</v>
      </c>
      <c r="E62" t="s">
        <v>233</v>
      </c>
      <c r="F62" t="s">
        <v>561</v>
      </c>
      <c r="G62" t="s">
        <v>562</v>
      </c>
      <c r="H62" t="s">
        <v>238</v>
      </c>
      <c r="I62" t="s">
        <v>15</v>
      </c>
      <c r="J62" t="s">
        <v>223</v>
      </c>
      <c r="K62" t="s">
        <v>560</v>
      </c>
      <c r="L62" t="s">
        <v>563</v>
      </c>
      <c r="Q62" s="54"/>
    </row>
    <row r="63" spans="1:17" ht="14.25" customHeight="1" x14ac:dyDescent="0.2">
      <c r="A63">
        <v>63</v>
      </c>
      <c r="B63" t="s">
        <v>564</v>
      </c>
      <c r="C63" t="s">
        <v>565</v>
      </c>
      <c r="D63">
        <v>2023</v>
      </c>
      <c r="E63" t="s">
        <v>260</v>
      </c>
      <c r="F63" t="s">
        <v>567</v>
      </c>
      <c r="G63" t="s">
        <v>568</v>
      </c>
      <c r="H63" t="s">
        <v>246</v>
      </c>
      <c r="I63" t="s">
        <v>15</v>
      </c>
      <c r="J63" t="s">
        <v>223</v>
      </c>
      <c r="K63" t="s">
        <v>566</v>
      </c>
      <c r="L63" t="s">
        <v>615</v>
      </c>
      <c r="Q63" s="54"/>
    </row>
    <row r="64" spans="1:17" ht="14.25" customHeight="1" x14ac:dyDescent="0.2">
      <c r="A64">
        <v>64</v>
      </c>
      <c r="B64" t="s">
        <v>569</v>
      </c>
      <c r="C64" t="s">
        <v>570</v>
      </c>
      <c r="D64">
        <v>2026</v>
      </c>
      <c r="E64" t="s">
        <v>233</v>
      </c>
      <c r="F64" t="s">
        <v>572</v>
      </c>
      <c r="G64" t="s">
        <v>573</v>
      </c>
      <c r="H64" t="s">
        <v>238</v>
      </c>
      <c r="I64" t="s">
        <v>15</v>
      </c>
      <c r="J64" t="s">
        <v>223</v>
      </c>
      <c r="K64" t="s">
        <v>571</v>
      </c>
      <c r="L64" t="s">
        <v>574</v>
      </c>
      <c r="Q64" s="54"/>
    </row>
    <row r="65" spans="1:17" ht="14.25" customHeight="1" x14ac:dyDescent="0.2">
      <c r="A65">
        <v>65</v>
      </c>
      <c r="B65" t="s">
        <v>575</v>
      </c>
      <c r="C65" t="s">
        <v>576</v>
      </c>
      <c r="D65">
        <v>2025</v>
      </c>
      <c r="E65" t="s">
        <v>233</v>
      </c>
      <c r="F65" t="s">
        <v>578</v>
      </c>
      <c r="G65" t="s">
        <v>579</v>
      </c>
      <c r="H65" t="s">
        <v>238</v>
      </c>
      <c r="I65" t="s">
        <v>15</v>
      </c>
      <c r="J65" t="s">
        <v>223</v>
      </c>
      <c r="K65" t="s">
        <v>577</v>
      </c>
      <c r="L65" t="s">
        <v>580</v>
      </c>
      <c r="Q65" s="54"/>
    </row>
    <row r="66" spans="1:17" ht="14.25" customHeight="1" x14ac:dyDescent="0.2">
      <c r="A66">
        <v>66</v>
      </c>
      <c r="B66" t="s">
        <v>581</v>
      </c>
      <c r="C66" t="s">
        <v>582</v>
      </c>
      <c r="D66">
        <v>2025</v>
      </c>
      <c r="E66" t="s">
        <v>260</v>
      </c>
      <c r="F66" t="s">
        <v>584</v>
      </c>
      <c r="G66" t="s">
        <v>585</v>
      </c>
      <c r="H66" t="s">
        <v>246</v>
      </c>
      <c r="I66" t="s">
        <v>15</v>
      </c>
      <c r="J66" t="s">
        <v>223</v>
      </c>
      <c r="K66" t="s">
        <v>583</v>
      </c>
      <c r="L66" t="s">
        <v>586</v>
      </c>
      <c r="Q66" s="54"/>
    </row>
    <row r="67" spans="1:17" ht="14.25" customHeight="1" x14ac:dyDescent="0.2">
      <c r="A67">
        <v>67</v>
      </c>
      <c r="B67" t="s">
        <v>587</v>
      </c>
      <c r="C67" t="s">
        <v>588</v>
      </c>
      <c r="D67">
        <v>2025</v>
      </c>
      <c r="E67" t="s">
        <v>241</v>
      </c>
      <c r="F67" t="s">
        <v>590</v>
      </c>
      <c r="G67" t="s">
        <v>591</v>
      </c>
      <c r="H67" t="s">
        <v>246</v>
      </c>
      <c r="I67" t="s">
        <v>15</v>
      </c>
      <c r="J67" t="s">
        <v>223</v>
      </c>
      <c r="K67" t="s">
        <v>589</v>
      </c>
      <c r="L67" t="s">
        <v>592</v>
      </c>
      <c r="Q67" s="54"/>
    </row>
    <row r="68" spans="1:17" ht="14.25" customHeight="1" x14ac:dyDescent="0.2">
      <c r="A68">
        <v>68</v>
      </c>
      <c r="B68" t="s">
        <v>593</v>
      </c>
      <c r="C68" t="s">
        <v>594</v>
      </c>
      <c r="D68">
        <v>2026</v>
      </c>
      <c r="E68" t="s">
        <v>219</v>
      </c>
      <c r="F68" t="s">
        <v>596</v>
      </c>
      <c r="G68" t="s">
        <v>597</v>
      </c>
      <c r="H68" t="s">
        <v>222</v>
      </c>
      <c r="I68" t="s">
        <v>15</v>
      </c>
      <c r="J68" t="s">
        <v>223</v>
      </c>
      <c r="K68" t="s">
        <v>595</v>
      </c>
      <c r="L68" t="s">
        <v>598</v>
      </c>
      <c r="Q68" s="54"/>
    </row>
    <row r="69" spans="1:17" ht="14.25" customHeight="1" x14ac:dyDescent="0.2">
      <c r="A69">
        <v>69</v>
      </c>
      <c r="B69" t="s">
        <v>599</v>
      </c>
      <c r="C69" t="s">
        <v>600</v>
      </c>
      <c r="D69">
        <v>2025</v>
      </c>
      <c r="E69" t="s">
        <v>226</v>
      </c>
      <c r="F69" t="s">
        <v>602</v>
      </c>
      <c r="G69">
        <v>0</v>
      </c>
      <c r="H69" t="s">
        <v>230</v>
      </c>
      <c r="I69" t="s">
        <v>15</v>
      </c>
      <c r="J69" t="s">
        <v>223</v>
      </c>
      <c r="K69" t="s">
        <v>601</v>
      </c>
      <c r="L69" t="s">
        <v>616</v>
      </c>
      <c r="Q69" s="54"/>
    </row>
    <row r="70" spans="1:17" ht="14.25" customHeight="1" x14ac:dyDescent="0.2">
      <c r="Q70" s="54"/>
    </row>
    <row r="71" spans="1:17" ht="14.25" customHeight="1" x14ac:dyDescent="0.2">
      <c r="Q71" s="54"/>
    </row>
    <row r="72" spans="1:17" ht="14.25" customHeight="1" x14ac:dyDescent="0.2">
      <c r="Q72" s="54"/>
    </row>
    <row r="73" spans="1:17" ht="14.25" customHeight="1" x14ac:dyDescent="0.2">
      <c r="Q73" s="54"/>
    </row>
    <row r="74" spans="1:17" ht="14.25" customHeight="1" x14ac:dyDescent="0.2">
      <c r="Q74" s="54"/>
    </row>
    <row r="75" spans="1:17" ht="14.25" customHeight="1" x14ac:dyDescent="0.2">
      <c r="Q75" s="54"/>
    </row>
    <row r="76" spans="1:17" ht="14.25" customHeight="1" x14ac:dyDescent="0.2">
      <c r="Q76" s="54"/>
    </row>
    <row r="77" spans="1:17" ht="14.25" customHeight="1" x14ac:dyDescent="0.2">
      <c r="Q77" s="54"/>
    </row>
    <row r="78" spans="1:17" ht="14.25" customHeight="1" x14ac:dyDescent="0.2">
      <c r="Q78" s="54"/>
    </row>
    <row r="79" spans="1:17" ht="14.25" customHeight="1" x14ac:dyDescent="0.2">
      <c r="Q79" s="54"/>
    </row>
    <row r="80" spans="1:17" ht="14.25" customHeight="1" x14ac:dyDescent="0.2">
      <c r="Q80" s="54"/>
    </row>
    <row r="81" spans="17:17" ht="14.25" customHeight="1" x14ac:dyDescent="0.2">
      <c r="Q81" s="54"/>
    </row>
    <row r="82" spans="17:17" ht="14.25" customHeight="1" x14ac:dyDescent="0.2">
      <c r="Q82" s="54"/>
    </row>
    <row r="83" spans="17:17" ht="14.25" customHeight="1" x14ac:dyDescent="0.2">
      <c r="Q83" s="54"/>
    </row>
    <row r="84" spans="17:17" ht="14.25" customHeight="1" x14ac:dyDescent="0.2">
      <c r="Q84" s="54"/>
    </row>
    <row r="85" spans="17:17" ht="14.25" customHeight="1" x14ac:dyDescent="0.2">
      <c r="Q85" s="54"/>
    </row>
    <row r="86" spans="17:17" ht="14.25" customHeight="1" x14ac:dyDescent="0.2">
      <c r="Q86" s="54"/>
    </row>
    <row r="87" spans="17:17" ht="14.25" customHeight="1" x14ac:dyDescent="0.2">
      <c r="Q87" s="54"/>
    </row>
    <row r="88" spans="17:17" ht="14.25" customHeight="1" x14ac:dyDescent="0.2">
      <c r="Q88" s="54"/>
    </row>
    <row r="89" spans="17:17" ht="14.25" customHeight="1" x14ac:dyDescent="0.2">
      <c r="Q89" s="54"/>
    </row>
    <row r="90" spans="17:17" ht="14.25" customHeight="1" x14ac:dyDescent="0.2">
      <c r="Q90" s="54"/>
    </row>
    <row r="91" spans="17:17" ht="14.25" customHeight="1" x14ac:dyDescent="0.2">
      <c r="Q91" s="54"/>
    </row>
    <row r="92" spans="17:17" ht="14.25" customHeight="1" x14ac:dyDescent="0.2">
      <c r="Q92" s="54"/>
    </row>
    <row r="93" spans="17:17" ht="14.25" customHeight="1" x14ac:dyDescent="0.2">
      <c r="Q93" s="54"/>
    </row>
    <row r="94" spans="17:17" ht="14.25" customHeight="1" x14ac:dyDescent="0.2">
      <c r="Q94" s="54"/>
    </row>
    <row r="95" spans="17:17" ht="14.25" customHeight="1" x14ac:dyDescent="0.2">
      <c r="Q95" s="54"/>
    </row>
    <row r="96" spans="17:17" ht="14.25" customHeight="1" x14ac:dyDescent="0.2">
      <c r="Q96" s="54"/>
    </row>
    <row r="97" spans="17:17" ht="14.25" customHeight="1" x14ac:dyDescent="0.2">
      <c r="Q97" s="54"/>
    </row>
    <row r="98" spans="17:17" ht="14.25" customHeight="1" x14ac:dyDescent="0.2">
      <c r="Q98" s="54"/>
    </row>
    <row r="99" spans="17:17" ht="14.25" customHeight="1" x14ac:dyDescent="0.2">
      <c r="Q99" s="54"/>
    </row>
    <row r="100" spans="17:17" ht="14.25" customHeight="1" x14ac:dyDescent="0.2">
      <c r="Q100" s="54"/>
    </row>
    <row r="101" spans="17:17" ht="14.25" customHeight="1" x14ac:dyDescent="0.2">
      <c r="Q101" s="54"/>
    </row>
    <row r="102" spans="17:17" ht="14.25" customHeight="1" x14ac:dyDescent="0.2">
      <c r="Q102" s="54"/>
    </row>
    <row r="103" spans="17:17" ht="14.25" customHeight="1" x14ac:dyDescent="0.2">
      <c r="Q103" s="54"/>
    </row>
    <row r="104" spans="17:17" ht="14.25" customHeight="1" x14ac:dyDescent="0.2">
      <c r="Q104" s="54"/>
    </row>
    <row r="105" spans="17:17" ht="14.25" customHeight="1" x14ac:dyDescent="0.2">
      <c r="Q105" s="54"/>
    </row>
    <row r="106" spans="17:17" ht="14.25" customHeight="1" x14ac:dyDescent="0.2">
      <c r="Q106" s="54"/>
    </row>
    <row r="107" spans="17:17" ht="14.25" customHeight="1" x14ac:dyDescent="0.2">
      <c r="Q107" s="54"/>
    </row>
    <row r="108" spans="17:17" ht="14.25" customHeight="1" x14ac:dyDescent="0.2">
      <c r="Q108" s="54"/>
    </row>
    <row r="109" spans="17:17" ht="14.25" customHeight="1" x14ac:dyDescent="0.2">
      <c r="Q109" s="54"/>
    </row>
    <row r="110" spans="17:17" ht="14.25" customHeight="1" x14ac:dyDescent="0.2">
      <c r="Q110" s="54"/>
    </row>
    <row r="111" spans="17:17" ht="14.25" customHeight="1" x14ac:dyDescent="0.2">
      <c r="Q111" s="54"/>
    </row>
    <row r="112" spans="17:17" ht="14.25" customHeight="1" x14ac:dyDescent="0.2">
      <c r="Q112" s="54"/>
    </row>
    <row r="113" spans="17:17" ht="14.25" customHeight="1" x14ac:dyDescent="0.2">
      <c r="Q113" s="54"/>
    </row>
    <row r="114" spans="17:17" ht="14.25" customHeight="1" x14ac:dyDescent="0.2">
      <c r="Q114" s="54"/>
    </row>
    <row r="115" spans="17:17" ht="14.25" customHeight="1" x14ac:dyDescent="0.2">
      <c r="Q115" s="54"/>
    </row>
    <row r="116" spans="17:17" ht="14.25" customHeight="1" x14ac:dyDescent="0.2">
      <c r="Q116" s="54"/>
    </row>
    <row r="117" spans="17:17" ht="14.25" customHeight="1" x14ac:dyDescent="0.2">
      <c r="Q117" s="54"/>
    </row>
    <row r="118" spans="17:17" ht="14.25" customHeight="1" x14ac:dyDescent="0.2">
      <c r="Q118" s="54"/>
    </row>
    <row r="119" spans="17:17" ht="14.25" customHeight="1" x14ac:dyDescent="0.2">
      <c r="Q119" s="54"/>
    </row>
    <row r="120" spans="17:17" ht="14.25" customHeight="1" x14ac:dyDescent="0.2">
      <c r="Q120" s="54"/>
    </row>
    <row r="121" spans="17:17" ht="14.25" customHeight="1" x14ac:dyDescent="0.2">
      <c r="Q121" s="54"/>
    </row>
    <row r="122" spans="17:17" ht="14.25" customHeight="1" x14ac:dyDescent="0.2">
      <c r="Q122" s="54"/>
    </row>
    <row r="123" spans="17:17" ht="14.25" customHeight="1" x14ac:dyDescent="0.2">
      <c r="Q123" s="54"/>
    </row>
    <row r="124" spans="17:17" ht="14.25" customHeight="1" x14ac:dyDescent="0.2">
      <c r="Q124" s="54"/>
    </row>
    <row r="125" spans="17:17" ht="14.25" customHeight="1" x14ac:dyDescent="0.2">
      <c r="Q125" s="54"/>
    </row>
    <row r="126" spans="17:17" ht="14.25" customHeight="1" x14ac:dyDescent="0.2">
      <c r="Q126" s="54"/>
    </row>
    <row r="127" spans="17:17" ht="14.25" customHeight="1" x14ac:dyDescent="0.2">
      <c r="Q127" s="54"/>
    </row>
    <row r="128" spans="17:17" ht="14.25" customHeight="1" x14ac:dyDescent="0.2">
      <c r="Q128" s="54"/>
    </row>
    <row r="129" spans="17:17" ht="14.25" customHeight="1" x14ac:dyDescent="0.2">
      <c r="Q129" s="54"/>
    </row>
    <row r="130" spans="17:17" ht="14.25" customHeight="1" x14ac:dyDescent="0.2">
      <c r="Q130" s="54"/>
    </row>
    <row r="131" spans="17:17" ht="14.25" customHeight="1" x14ac:dyDescent="0.2">
      <c r="Q131" s="54"/>
    </row>
    <row r="132" spans="17:17" ht="14.25" customHeight="1" x14ac:dyDescent="0.2">
      <c r="Q132" s="54"/>
    </row>
    <row r="133" spans="17:17" ht="14.25" customHeight="1" x14ac:dyDescent="0.2">
      <c r="Q133" s="54"/>
    </row>
    <row r="134" spans="17:17" ht="14.25" customHeight="1" x14ac:dyDescent="0.2">
      <c r="Q134" s="54"/>
    </row>
    <row r="135" spans="17:17" ht="14.25" customHeight="1" x14ac:dyDescent="0.2">
      <c r="Q135" s="54"/>
    </row>
    <row r="136" spans="17:17" ht="14.25" customHeight="1" x14ac:dyDescent="0.2">
      <c r="Q136" s="54"/>
    </row>
    <row r="137" spans="17:17" ht="14.25" customHeight="1" x14ac:dyDescent="0.2">
      <c r="Q137" s="54"/>
    </row>
    <row r="138" spans="17:17" ht="14.25" customHeight="1" x14ac:dyDescent="0.2">
      <c r="Q138" s="54"/>
    </row>
    <row r="139" spans="17:17" ht="14.25" customHeight="1" x14ac:dyDescent="0.2">
      <c r="Q139" s="54"/>
    </row>
    <row r="140" spans="17:17" ht="14.25" customHeight="1" x14ac:dyDescent="0.2">
      <c r="Q140" s="54"/>
    </row>
    <row r="141" spans="17:17" ht="14.25" customHeight="1" x14ac:dyDescent="0.2">
      <c r="Q141" s="54"/>
    </row>
    <row r="142" spans="17:17" ht="14.25" customHeight="1" x14ac:dyDescent="0.2">
      <c r="Q142" s="54"/>
    </row>
    <row r="143" spans="17:17" ht="14.25" customHeight="1" x14ac:dyDescent="0.2">
      <c r="Q143" s="54"/>
    </row>
    <row r="144" spans="17:17" ht="14.25" customHeight="1" x14ac:dyDescent="0.2">
      <c r="Q144" s="54"/>
    </row>
    <row r="145" spans="17:17" ht="14.25" customHeight="1" x14ac:dyDescent="0.2">
      <c r="Q145" s="54"/>
    </row>
    <row r="146" spans="17:17" ht="14.25" customHeight="1" x14ac:dyDescent="0.2">
      <c r="Q146" s="54"/>
    </row>
    <row r="147" spans="17:17" ht="14.25" customHeight="1" x14ac:dyDescent="0.2">
      <c r="Q147" s="54"/>
    </row>
    <row r="148" spans="17:17" ht="14.25" customHeight="1" x14ac:dyDescent="0.2">
      <c r="Q148" s="54"/>
    </row>
    <row r="149" spans="17:17" ht="14.25" customHeight="1" x14ac:dyDescent="0.2">
      <c r="Q149" s="54"/>
    </row>
    <row r="150" spans="17:17" ht="14.25" customHeight="1" x14ac:dyDescent="0.2">
      <c r="Q150" s="54"/>
    </row>
    <row r="151" spans="17:17" ht="14.25" customHeight="1" x14ac:dyDescent="0.2">
      <c r="Q151" s="54"/>
    </row>
    <row r="152" spans="17:17" ht="14.25" customHeight="1" x14ac:dyDescent="0.2">
      <c r="Q152" s="54"/>
    </row>
    <row r="153" spans="17:17" ht="14.25" customHeight="1" x14ac:dyDescent="0.2">
      <c r="Q153" s="54"/>
    </row>
    <row r="154" spans="17:17" ht="14.25" customHeight="1" x14ac:dyDescent="0.2">
      <c r="Q154" s="54"/>
    </row>
    <row r="155" spans="17:17" ht="14.25" customHeight="1" x14ac:dyDescent="0.2">
      <c r="Q155" s="54"/>
    </row>
    <row r="156" spans="17:17" ht="14.25" customHeight="1" x14ac:dyDescent="0.2">
      <c r="Q156" s="54"/>
    </row>
    <row r="157" spans="17:17" ht="14.25" customHeight="1" x14ac:dyDescent="0.2">
      <c r="Q157" s="54"/>
    </row>
    <row r="158" spans="17:17" ht="14.25" customHeight="1" x14ac:dyDescent="0.2">
      <c r="Q158" s="54"/>
    </row>
    <row r="159" spans="17:17" ht="14.25" customHeight="1" x14ac:dyDescent="0.2">
      <c r="Q159" s="54"/>
    </row>
    <row r="160" spans="17:17" ht="14.25" customHeight="1" x14ac:dyDescent="0.2">
      <c r="Q160" s="54"/>
    </row>
    <row r="161" spans="17:17" ht="14.25" customHeight="1" x14ac:dyDescent="0.2">
      <c r="Q161" s="54"/>
    </row>
    <row r="162" spans="17:17" ht="14.25" customHeight="1" x14ac:dyDescent="0.2">
      <c r="Q162" s="54"/>
    </row>
    <row r="163" spans="17:17" ht="14.25" customHeight="1" x14ac:dyDescent="0.2">
      <c r="Q163" s="54"/>
    </row>
    <row r="164" spans="17:17" ht="14.25" customHeight="1" x14ac:dyDescent="0.2">
      <c r="Q164" s="54"/>
    </row>
    <row r="165" spans="17:17" ht="14.25" customHeight="1" x14ac:dyDescent="0.2">
      <c r="Q165" s="54"/>
    </row>
    <row r="166" spans="17:17" ht="14.25" customHeight="1" x14ac:dyDescent="0.2">
      <c r="Q166" s="54"/>
    </row>
    <row r="167" spans="17:17" ht="14.25" customHeight="1" x14ac:dyDescent="0.2">
      <c r="Q167" s="54"/>
    </row>
    <row r="168" spans="17:17" ht="14.25" customHeight="1" x14ac:dyDescent="0.2">
      <c r="Q168" s="54"/>
    </row>
    <row r="169" spans="17:17" ht="14.25" customHeight="1" x14ac:dyDescent="0.2">
      <c r="Q169" s="54"/>
    </row>
    <row r="170" spans="17:17" ht="14.25" customHeight="1" x14ac:dyDescent="0.2">
      <c r="Q170" s="54"/>
    </row>
    <row r="171" spans="17:17" ht="14.25" customHeight="1" x14ac:dyDescent="0.2">
      <c r="Q171" s="54"/>
    </row>
    <row r="172" spans="17:17" ht="14.25" customHeight="1" x14ac:dyDescent="0.2">
      <c r="Q172" s="54"/>
    </row>
    <row r="173" spans="17:17" ht="14.25" customHeight="1" x14ac:dyDescent="0.2">
      <c r="Q173" s="54"/>
    </row>
    <row r="174" spans="17:17" ht="14.25" customHeight="1" x14ac:dyDescent="0.2">
      <c r="Q174" s="54"/>
    </row>
    <row r="175" spans="17:17" ht="14.25" customHeight="1" x14ac:dyDescent="0.2">
      <c r="Q175" s="54"/>
    </row>
    <row r="176" spans="17:17" ht="15.75" customHeight="1" x14ac:dyDescent="0.2">
      <c r="Q176" s="54"/>
    </row>
    <row r="177" spans="17:17" ht="15.75" customHeight="1" x14ac:dyDescent="0.2">
      <c r="Q177" s="54"/>
    </row>
    <row r="178" spans="17:17" ht="15.75" customHeight="1" x14ac:dyDescent="0.2">
      <c r="Q178" s="54"/>
    </row>
    <row r="179" spans="17:17" ht="15.75" customHeight="1" x14ac:dyDescent="0.2">
      <c r="Q179" s="54"/>
    </row>
    <row r="180" spans="17:17" ht="15.75" customHeight="1" x14ac:dyDescent="0.2">
      <c r="Q180" s="54"/>
    </row>
    <row r="181" spans="17:17" ht="15.75" customHeight="1" x14ac:dyDescent="0.2">
      <c r="Q181" s="54"/>
    </row>
    <row r="182" spans="17:17" ht="15.75" customHeight="1" x14ac:dyDescent="0.2">
      <c r="Q182" s="54"/>
    </row>
    <row r="183" spans="17:17" ht="15.75" customHeight="1" x14ac:dyDescent="0.2">
      <c r="Q183" s="54"/>
    </row>
    <row r="184" spans="17:17" ht="15.75" customHeight="1" x14ac:dyDescent="0.2">
      <c r="Q184" s="54"/>
    </row>
    <row r="185" spans="17:17" ht="15.75" customHeight="1" x14ac:dyDescent="0.2">
      <c r="Q185" s="54"/>
    </row>
    <row r="186" spans="17:17" ht="15.75" customHeight="1" x14ac:dyDescent="0.2">
      <c r="Q186" s="54"/>
    </row>
    <row r="187" spans="17:17" ht="15.75" customHeight="1" x14ac:dyDescent="0.2">
      <c r="Q187" s="54"/>
    </row>
    <row r="188" spans="17:17" ht="15.75" customHeight="1" x14ac:dyDescent="0.2">
      <c r="Q188" s="54"/>
    </row>
    <row r="189" spans="17:17" ht="15.75" customHeight="1" x14ac:dyDescent="0.2">
      <c r="Q189" s="54"/>
    </row>
    <row r="190" spans="17:17" ht="15.75" customHeight="1" x14ac:dyDescent="0.2">
      <c r="Q190" s="54"/>
    </row>
    <row r="191" spans="17:17" ht="15.75" customHeight="1" x14ac:dyDescent="0.2">
      <c r="Q191" s="54"/>
    </row>
    <row r="192" spans="17:17" ht="15.75" customHeight="1" x14ac:dyDescent="0.2">
      <c r="Q192" s="54"/>
    </row>
    <row r="193" spans="17:17" ht="15.75" customHeight="1" x14ac:dyDescent="0.2">
      <c r="Q193" s="54"/>
    </row>
    <row r="194" spans="17:17" ht="15.75" customHeight="1" x14ac:dyDescent="0.2">
      <c r="Q194" s="54"/>
    </row>
    <row r="195" spans="17:17" ht="15.75" customHeight="1" x14ac:dyDescent="0.2">
      <c r="Q195" s="54"/>
    </row>
    <row r="196" spans="17:17" ht="15.75" customHeight="1" x14ac:dyDescent="0.2">
      <c r="Q196" s="54"/>
    </row>
    <row r="197" spans="17:17" ht="15.75" customHeight="1" x14ac:dyDescent="0.2">
      <c r="Q197" s="54"/>
    </row>
    <row r="198" spans="17:17" ht="15.75" customHeight="1" x14ac:dyDescent="0.2">
      <c r="Q198" s="54"/>
    </row>
    <row r="199" spans="17:17" ht="15.75" customHeight="1" x14ac:dyDescent="0.2">
      <c r="Q199" s="54"/>
    </row>
    <row r="200" spans="17:17" ht="15.75" customHeight="1" x14ac:dyDescent="0.2">
      <c r="Q200" s="54"/>
    </row>
    <row r="201" spans="17:17" ht="15.75" customHeight="1" x14ac:dyDescent="0.2">
      <c r="Q201" s="54"/>
    </row>
    <row r="202" spans="17:17" ht="15.75" customHeight="1" x14ac:dyDescent="0.2">
      <c r="Q202" s="54"/>
    </row>
    <row r="203" spans="17:17" ht="15.75" customHeight="1" x14ac:dyDescent="0.2">
      <c r="Q203" s="54"/>
    </row>
    <row r="204" spans="17:17" ht="15.75" customHeight="1" x14ac:dyDescent="0.2">
      <c r="Q204" s="54"/>
    </row>
    <row r="205" spans="17:17" ht="15.75" customHeight="1" x14ac:dyDescent="0.2">
      <c r="Q205" s="54"/>
    </row>
    <row r="206" spans="17:17" ht="15.75" customHeight="1" x14ac:dyDescent="0.2">
      <c r="Q206" s="54"/>
    </row>
    <row r="207" spans="17:17" ht="15.75" customHeight="1" x14ac:dyDescent="0.2">
      <c r="Q207" s="54"/>
    </row>
    <row r="208" spans="17:17" ht="15.75" customHeight="1" x14ac:dyDescent="0.2">
      <c r="Q208" s="54"/>
    </row>
    <row r="209" spans="17:17" ht="15.75" customHeight="1" x14ac:dyDescent="0.2">
      <c r="Q209" s="54"/>
    </row>
    <row r="210" spans="17:17" ht="15.75" customHeight="1" x14ac:dyDescent="0.2">
      <c r="Q210" s="54"/>
    </row>
    <row r="211" spans="17:17" ht="15.75" customHeight="1" x14ac:dyDescent="0.2">
      <c r="Q211" s="54"/>
    </row>
    <row r="212" spans="17:17" ht="15.75" customHeight="1" x14ac:dyDescent="0.2">
      <c r="Q212" s="54"/>
    </row>
    <row r="213" spans="17:17" ht="15.75" customHeight="1" x14ac:dyDescent="0.2">
      <c r="Q213" s="54"/>
    </row>
    <row r="214" spans="17:17" ht="15.75" customHeight="1" x14ac:dyDescent="0.2">
      <c r="Q214" s="54"/>
    </row>
    <row r="215" spans="17:17" ht="15.75" customHeight="1" x14ac:dyDescent="0.2">
      <c r="Q215" s="54"/>
    </row>
    <row r="216" spans="17:17" ht="15.75" customHeight="1" x14ac:dyDescent="0.2">
      <c r="Q216" s="54"/>
    </row>
    <row r="217" spans="17:17" ht="15.75" customHeight="1" x14ac:dyDescent="0.2">
      <c r="Q217" s="54"/>
    </row>
    <row r="218" spans="17:17" ht="15.75" customHeight="1" x14ac:dyDescent="0.2">
      <c r="Q218" s="54"/>
    </row>
    <row r="219" spans="17:17" ht="15.75" customHeight="1" x14ac:dyDescent="0.2">
      <c r="Q219" s="54"/>
    </row>
    <row r="220" spans="17:17" ht="15.75" customHeight="1" x14ac:dyDescent="0.2">
      <c r="Q220" s="54"/>
    </row>
    <row r="221" spans="17:17" ht="15.75" customHeight="1" x14ac:dyDescent="0.2">
      <c r="Q221" s="54"/>
    </row>
    <row r="222" spans="17:17" ht="15.75" customHeight="1" x14ac:dyDescent="0.2">
      <c r="Q222" s="54"/>
    </row>
    <row r="223" spans="17:17" ht="15.75" customHeight="1" x14ac:dyDescent="0.2">
      <c r="Q223" s="54"/>
    </row>
    <row r="224" spans="17:17" ht="15.75" customHeight="1" x14ac:dyDescent="0.2">
      <c r="Q224" s="54"/>
    </row>
    <row r="225" spans="17:17" ht="15.75" customHeight="1" x14ac:dyDescent="0.2">
      <c r="Q225" s="54"/>
    </row>
    <row r="226" spans="17:17" ht="15.75" customHeight="1" x14ac:dyDescent="0.2">
      <c r="Q226" s="54"/>
    </row>
    <row r="227" spans="17:17" ht="15.75" customHeight="1" x14ac:dyDescent="0.2">
      <c r="Q227" s="54"/>
    </row>
    <row r="228" spans="17:17" ht="15.75" customHeight="1" x14ac:dyDescent="0.2">
      <c r="Q228" s="54"/>
    </row>
    <row r="229" spans="17:17" ht="15.75" customHeight="1" x14ac:dyDescent="0.2">
      <c r="Q229" s="54"/>
    </row>
    <row r="230" spans="17:17" ht="15.75" customHeight="1" x14ac:dyDescent="0.2">
      <c r="Q230" s="54"/>
    </row>
    <row r="231" spans="17:17" ht="15.75" customHeight="1" x14ac:dyDescent="0.2">
      <c r="Q231" s="54"/>
    </row>
    <row r="232" spans="17:17" ht="15.75" customHeight="1" x14ac:dyDescent="0.2">
      <c r="Q232" s="54"/>
    </row>
    <row r="233" spans="17:17" ht="15.75" customHeight="1" x14ac:dyDescent="0.2">
      <c r="Q233" s="54"/>
    </row>
    <row r="234" spans="17:17" ht="15.75" customHeight="1" x14ac:dyDescent="0.2">
      <c r="Q234" s="54"/>
    </row>
    <row r="235" spans="17:17" ht="15.75" customHeight="1" x14ac:dyDescent="0.2">
      <c r="Q235" s="54"/>
    </row>
    <row r="236" spans="17:17" ht="15.75" customHeight="1" x14ac:dyDescent="0.2">
      <c r="Q236" s="54"/>
    </row>
    <row r="237" spans="17:17" ht="15.75" customHeight="1" x14ac:dyDescent="0.2">
      <c r="Q237" s="54"/>
    </row>
    <row r="238" spans="17:17" ht="15.75" customHeight="1" x14ac:dyDescent="0.2">
      <c r="Q238" s="54"/>
    </row>
    <row r="239" spans="17:17" ht="15.75" customHeight="1" x14ac:dyDescent="0.2">
      <c r="Q239" s="54"/>
    </row>
    <row r="240" spans="17:17" ht="15.75" customHeight="1" x14ac:dyDescent="0.2">
      <c r="Q240" s="54"/>
    </row>
    <row r="241" spans="17:17" ht="15.75" customHeight="1" x14ac:dyDescent="0.2">
      <c r="Q241" s="54"/>
    </row>
    <row r="242" spans="17:17" ht="15.75" customHeight="1" x14ac:dyDescent="0.2">
      <c r="Q242" s="54"/>
    </row>
    <row r="243" spans="17:17" ht="15.75" customHeight="1" x14ac:dyDescent="0.2">
      <c r="Q243" s="54"/>
    </row>
    <row r="244" spans="17:17" ht="15.75" customHeight="1" x14ac:dyDescent="0.2">
      <c r="Q244" s="54"/>
    </row>
    <row r="245" spans="17:17" ht="15.75" customHeight="1" x14ac:dyDescent="0.2">
      <c r="Q245" s="54"/>
    </row>
    <row r="246" spans="17:17" ht="15.75" customHeight="1" x14ac:dyDescent="0.2">
      <c r="Q246" s="54"/>
    </row>
    <row r="247" spans="17:17" ht="15.75" customHeight="1" x14ac:dyDescent="0.2">
      <c r="Q247" s="54"/>
    </row>
    <row r="248" spans="17:17" ht="15.75" customHeight="1" x14ac:dyDescent="0.2">
      <c r="Q248" s="54"/>
    </row>
    <row r="249" spans="17:17" ht="15.75" customHeight="1" x14ac:dyDescent="0.2">
      <c r="Q249" s="54"/>
    </row>
    <row r="250" spans="17:17" ht="15.75" customHeight="1" x14ac:dyDescent="0.2">
      <c r="Q250" s="54"/>
    </row>
    <row r="251" spans="17:17" ht="15.75" customHeight="1" x14ac:dyDescent="0.2">
      <c r="Q251" s="54"/>
    </row>
    <row r="252" spans="17:17" ht="15.75" customHeight="1" x14ac:dyDescent="0.2">
      <c r="Q252" s="54"/>
    </row>
    <row r="253" spans="17:17" ht="15.75" customHeight="1" x14ac:dyDescent="0.2">
      <c r="Q253" s="54"/>
    </row>
    <row r="254" spans="17:17" ht="15.75" customHeight="1" x14ac:dyDescent="0.2">
      <c r="Q254" s="54"/>
    </row>
    <row r="255" spans="17:17" ht="15.75" customHeight="1" x14ac:dyDescent="0.2">
      <c r="Q255" s="54"/>
    </row>
    <row r="256" spans="17:17" ht="15.75" customHeight="1" x14ac:dyDescent="0.2">
      <c r="Q256" s="54"/>
    </row>
    <row r="257" spans="17:17" ht="15.75" customHeight="1" x14ac:dyDescent="0.2">
      <c r="Q257" s="54"/>
    </row>
    <row r="258" spans="17:17" ht="15.75" customHeight="1" x14ac:dyDescent="0.2">
      <c r="Q258" s="54"/>
    </row>
    <row r="259" spans="17:17" ht="15.75" customHeight="1" x14ac:dyDescent="0.2">
      <c r="Q259" s="54"/>
    </row>
    <row r="260" spans="17:17" ht="15.75" customHeight="1" x14ac:dyDescent="0.2">
      <c r="Q260" s="54"/>
    </row>
    <row r="261" spans="17:17" ht="15.75" customHeight="1" x14ac:dyDescent="0.2">
      <c r="Q261" s="54"/>
    </row>
    <row r="262" spans="17:17" ht="15.75" customHeight="1" x14ac:dyDescent="0.2">
      <c r="Q262" s="54"/>
    </row>
    <row r="263" spans="17:17" ht="15.75" customHeight="1" x14ac:dyDescent="0.2">
      <c r="Q263" s="54"/>
    </row>
    <row r="264" spans="17:17" ht="15.75" customHeight="1" x14ac:dyDescent="0.2">
      <c r="Q264" s="54"/>
    </row>
    <row r="265" spans="17:17" ht="15.75" customHeight="1" x14ac:dyDescent="0.2">
      <c r="Q265" s="54"/>
    </row>
    <row r="266" spans="17:17" ht="15.75" customHeight="1" x14ac:dyDescent="0.2">
      <c r="Q266" s="54"/>
    </row>
    <row r="267" spans="17:17" ht="15.75" customHeight="1" x14ac:dyDescent="0.2">
      <c r="Q267" s="54"/>
    </row>
    <row r="268" spans="17:17" ht="15.75" customHeight="1" x14ac:dyDescent="0.2">
      <c r="Q268" s="54"/>
    </row>
    <row r="269" spans="17:17" ht="15.75" customHeight="1" x14ac:dyDescent="0.2">
      <c r="Q269" s="54"/>
    </row>
    <row r="270" spans="17:17" ht="15.75" customHeight="1" x14ac:dyDescent="0.2">
      <c r="Q270" s="54"/>
    </row>
    <row r="271" spans="17:17" ht="15.75" customHeight="1" x14ac:dyDescent="0.2">
      <c r="Q271" s="54"/>
    </row>
    <row r="272" spans="17:17" ht="15.75" customHeight="1" x14ac:dyDescent="0.2">
      <c r="Q272" s="54"/>
    </row>
    <row r="273" spans="17:17" ht="15.75" customHeight="1" x14ac:dyDescent="0.2">
      <c r="Q273" s="54"/>
    </row>
    <row r="274" spans="17:17" ht="15.75" customHeight="1" x14ac:dyDescent="0.2">
      <c r="Q274" s="54"/>
    </row>
    <row r="275" spans="17:17" ht="15.75" customHeight="1" x14ac:dyDescent="0.2">
      <c r="Q275" s="54"/>
    </row>
    <row r="276" spans="17:17" ht="15.75" customHeight="1" x14ac:dyDescent="0.2">
      <c r="Q276" s="54"/>
    </row>
    <row r="277" spans="17:17" ht="15.75" customHeight="1" x14ac:dyDescent="0.2">
      <c r="Q277" s="54"/>
    </row>
    <row r="278" spans="17:17" ht="15.75" customHeight="1" x14ac:dyDescent="0.2">
      <c r="Q278" s="54"/>
    </row>
    <row r="279" spans="17:17" ht="15.75" customHeight="1" x14ac:dyDescent="0.2">
      <c r="Q279" s="54"/>
    </row>
    <row r="280" spans="17:17" ht="15.75" customHeight="1" x14ac:dyDescent="0.2">
      <c r="Q280" s="54"/>
    </row>
    <row r="281" spans="17:17" ht="15.75" customHeight="1" x14ac:dyDescent="0.2">
      <c r="Q281" s="54"/>
    </row>
    <row r="282" spans="17:17" ht="15.75" customHeight="1" x14ac:dyDescent="0.2">
      <c r="Q282" s="54"/>
    </row>
    <row r="283" spans="17:17" ht="15.75" customHeight="1" x14ac:dyDescent="0.2">
      <c r="Q283" s="54"/>
    </row>
    <row r="284" spans="17:17" ht="15.75" customHeight="1" x14ac:dyDescent="0.2">
      <c r="Q284" s="54"/>
    </row>
    <row r="285" spans="17:17" ht="15.75" customHeight="1" x14ac:dyDescent="0.2">
      <c r="Q285" s="54"/>
    </row>
    <row r="286" spans="17:17" ht="15.75" customHeight="1" x14ac:dyDescent="0.2">
      <c r="Q286" s="54"/>
    </row>
    <row r="287" spans="17:17" ht="15.75" customHeight="1" x14ac:dyDescent="0.2">
      <c r="Q287" s="54"/>
    </row>
    <row r="288" spans="17:17" ht="15.75" customHeight="1" x14ac:dyDescent="0.2">
      <c r="Q288" s="54"/>
    </row>
    <row r="289" spans="17:17" ht="15.75" customHeight="1" x14ac:dyDescent="0.2">
      <c r="Q289" s="54"/>
    </row>
    <row r="290" spans="17:17" ht="15.75" customHeight="1" x14ac:dyDescent="0.2">
      <c r="Q290" s="54"/>
    </row>
    <row r="291" spans="17:17" ht="15.75" customHeight="1" x14ac:dyDescent="0.2">
      <c r="Q291" s="54"/>
    </row>
    <row r="292" spans="17:17" ht="15.75" customHeight="1" x14ac:dyDescent="0.2">
      <c r="Q292" s="54"/>
    </row>
    <row r="293" spans="17:17" ht="15.75" customHeight="1" x14ac:dyDescent="0.2">
      <c r="Q293" s="54"/>
    </row>
    <row r="294" spans="17:17" ht="15.75" customHeight="1" x14ac:dyDescent="0.2">
      <c r="Q294" s="54"/>
    </row>
    <row r="295" spans="17:17" ht="15.75" customHeight="1" x14ac:dyDescent="0.2">
      <c r="Q295" s="54"/>
    </row>
    <row r="296" spans="17:17" ht="15.75" customHeight="1" x14ac:dyDescent="0.2">
      <c r="Q296" s="54"/>
    </row>
    <row r="297" spans="17:17" ht="15.75" customHeight="1" x14ac:dyDescent="0.2">
      <c r="Q297" s="54"/>
    </row>
    <row r="298" spans="17:17" ht="15.75" customHeight="1" x14ac:dyDescent="0.2">
      <c r="Q298" s="54"/>
    </row>
    <row r="299" spans="17:17" ht="15.75" customHeight="1" x14ac:dyDescent="0.2">
      <c r="Q299" s="54"/>
    </row>
    <row r="300" spans="17:17" ht="15.75" customHeight="1" x14ac:dyDescent="0.2">
      <c r="Q300" s="54"/>
    </row>
    <row r="301" spans="17:17" ht="15.75" customHeight="1" x14ac:dyDescent="0.2">
      <c r="Q301" s="54"/>
    </row>
    <row r="302" spans="17:17" ht="15.75" customHeight="1" x14ac:dyDescent="0.2">
      <c r="Q302" s="54"/>
    </row>
    <row r="303" spans="17:17" ht="15.75" customHeight="1" x14ac:dyDescent="0.2">
      <c r="Q303" s="54"/>
    </row>
    <row r="304" spans="17:17" ht="15.75" customHeight="1" x14ac:dyDescent="0.2">
      <c r="Q304" s="54"/>
    </row>
    <row r="305" spans="17:17" ht="15.75" customHeight="1" x14ac:dyDescent="0.2">
      <c r="Q305" s="54"/>
    </row>
    <row r="306" spans="17:17" ht="15.75" customHeight="1" x14ac:dyDescent="0.2">
      <c r="Q306" s="54"/>
    </row>
    <row r="307" spans="17:17" ht="15.75" customHeight="1" x14ac:dyDescent="0.2">
      <c r="Q307" s="54"/>
    </row>
    <row r="308" spans="17:17" ht="15.75" customHeight="1" x14ac:dyDescent="0.2">
      <c r="Q308" s="54"/>
    </row>
    <row r="309" spans="17:17" ht="15.75" customHeight="1" x14ac:dyDescent="0.2">
      <c r="Q309" s="54"/>
    </row>
    <row r="310" spans="17:17" ht="15.75" customHeight="1" x14ac:dyDescent="0.2">
      <c r="Q310" s="54"/>
    </row>
    <row r="311" spans="17:17" ht="15.75" customHeight="1" x14ac:dyDescent="0.2">
      <c r="Q311" s="54"/>
    </row>
    <row r="312" spans="17:17" ht="15.75" customHeight="1" x14ac:dyDescent="0.2">
      <c r="Q312" s="54"/>
    </row>
    <row r="313" spans="17:17" ht="15.75" customHeight="1" x14ac:dyDescent="0.2">
      <c r="Q313" s="54"/>
    </row>
    <row r="314" spans="17:17" ht="15.75" customHeight="1" x14ac:dyDescent="0.2">
      <c r="Q314" s="54"/>
    </row>
    <row r="315" spans="17:17" ht="15.75" customHeight="1" x14ac:dyDescent="0.2">
      <c r="Q315" s="54"/>
    </row>
    <row r="316" spans="17:17" ht="15.75" customHeight="1" x14ac:dyDescent="0.2">
      <c r="Q316" s="54"/>
    </row>
    <row r="317" spans="17:17" ht="15.75" customHeight="1" x14ac:dyDescent="0.2">
      <c r="Q317" s="54"/>
    </row>
    <row r="318" spans="17:17" ht="15.75" customHeight="1" x14ac:dyDescent="0.2">
      <c r="Q318" s="54"/>
    </row>
    <row r="319" spans="17:17" ht="15.75" customHeight="1" x14ac:dyDescent="0.2">
      <c r="Q319" s="54"/>
    </row>
    <row r="320" spans="17:17" ht="15.75" customHeight="1" x14ac:dyDescent="0.2">
      <c r="Q320" s="54"/>
    </row>
    <row r="321" spans="17:17" ht="15.75" customHeight="1" x14ac:dyDescent="0.2">
      <c r="Q321" s="54"/>
    </row>
    <row r="322" spans="17:17" ht="15.75" customHeight="1" x14ac:dyDescent="0.2">
      <c r="Q322" s="54"/>
    </row>
    <row r="323" spans="17:17" ht="15.75" customHeight="1" x14ac:dyDescent="0.2">
      <c r="Q323" s="54"/>
    </row>
    <row r="324" spans="17:17" ht="15.75" customHeight="1" x14ac:dyDescent="0.2">
      <c r="Q324" s="54"/>
    </row>
    <row r="325" spans="17:17" ht="15.75" customHeight="1" x14ac:dyDescent="0.2">
      <c r="Q325" s="54"/>
    </row>
    <row r="326" spans="17:17" ht="15.75" customHeight="1" x14ac:dyDescent="0.2">
      <c r="Q326" s="54"/>
    </row>
    <row r="327" spans="17:17" ht="15.75" customHeight="1" x14ac:dyDescent="0.2">
      <c r="Q327" s="54"/>
    </row>
    <row r="328" spans="17:17" ht="15.75" customHeight="1" x14ac:dyDescent="0.2">
      <c r="Q328" s="54"/>
    </row>
    <row r="329" spans="17:17" ht="15.75" customHeight="1" x14ac:dyDescent="0.2">
      <c r="Q329" s="54"/>
    </row>
    <row r="330" spans="17:17" ht="15.75" customHeight="1" x14ac:dyDescent="0.2">
      <c r="Q330" s="54"/>
    </row>
    <row r="331" spans="17:17" ht="15.75" customHeight="1" x14ac:dyDescent="0.2">
      <c r="Q331" s="54"/>
    </row>
    <row r="332" spans="17:17" ht="15.75" customHeight="1" x14ac:dyDescent="0.2">
      <c r="Q332" s="54"/>
    </row>
    <row r="333" spans="17:17" ht="15.75" customHeight="1" x14ac:dyDescent="0.2">
      <c r="Q333" s="54"/>
    </row>
    <row r="334" spans="17:17" ht="15.75" customHeight="1" x14ac:dyDescent="0.2">
      <c r="Q334" s="54"/>
    </row>
    <row r="335" spans="17:17" ht="15.75" customHeight="1" x14ac:dyDescent="0.2">
      <c r="Q335" s="54"/>
    </row>
    <row r="336" spans="17:17" ht="15.75" customHeight="1" x14ac:dyDescent="0.2">
      <c r="Q336" s="54"/>
    </row>
    <row r="337" spans="17:17" ht="15.75" customHeight="1" x14ac:dyDescent="0.2">
      <c r="Q337" s="54"/>
    </row>
    <row r="338" spans="17:17" ht="15.75" customHeight="1" x14ac:dyDescent="0.2">
      <c r="Q338" s="54"/>
    </row>
    <row r="339" spans="17:17" ht="15.75" customHeight="1" x14ac:dyDescent="0.2">
      <c r="Q339" s="54"/>
    </row>
    <row r="340" spans="17:17" ht="15.75" customHeight="1" x14ac:dyDescent="0.2">
      <c r="Q340" s="54"/>
    </row>
    <row r="341" spans="17:17" ht="15.75" customHeight="1" x14ac:dyDescent="0.2">
      <c r="Q341" s="54"/>
    </row>
    <row r="342" spans="17:17" ht="15.75" customHeight="1" x14ac:dyDescent="0.2">
      <c r="Q342" s="54"/>
    </row>
    <row r="343" spans="17:17" ht="15.75" customHeight="1" x14ac:dyDescent="0.2">
      <c r="Q343" s="54"/>
    </row>
    <row r="344" spans="17:17" ht="15.75" customHeight="1" x14ac:dyDescent="0.2">
      <c r="Q344" s="54"/>
    </row>
    <row r="345" spans="17:17" ht="15.75" customHeight="1" x14ac:dyDescent="0.2">
      <c r="Q345" s="54"/>
    </row>
    <row r="346" spans="17:17" ht="15.75" customHeight="1" x14ac:dyDescent="0.2">
      <c r="Q346" s="54"/>
    </row>
    <row r="347" spans="17:17" ht="15.75" customHeight="1" x14ac:dyDescent="0.2">
      <c r="Q347" s="54"/>
    </row>
    <row r="348" spans="17:17" ht="15.75" customHeight="1" x14ac:dyDescent="0.2">
      <c r="Q348" s="54"/>
    </row>
    <row r="349" spans="17:17" ht="15.75" customHeight="1" x14ac:dyDescent="0.2">
      <c r="Q349" s="54"/>
    </row>
    <row r="350" spans="17:17" ht="15.75" customHeight="1" x14ac:dyDescent="0.2">
      <c r="Q350" s="54"/>
    </row>
    <row r="351" spans="17:17" ht="15.75" customHeight="1" x14ac:dyDescent="0.2">
      <c r="Q351" s="54"/>
    </row>
    <row r="352" spans="17:17" ht="15.75" customHeight="1" x14ac:dyDescent="0.2">
      <c r="Q352" s="54"/>
    </row>
    <row r="353" spans="17:17" ht="15.75" customHeight="1" x14ac:dyDescent="0.2">
      <c r="Q353" s="54"/>
    </row>
    <row r="354" spans="17:17" ht="15.75" customHeight="1" x14ac:dyDescent="0.2">
      <c r="Q354" s="54"/>
    </row>
    <row r="355" spans="17:17" ht="15.75" customHeight="1" x14ac:dyDescent="0.2">
      <c r="Q355" s="54"/>
    </row>
    <row r="356" spans="17:17" ht="15.75" customHeight="1" x14ac:dyDescent="0.2">
      <c r="Q356" s="54"/>
    </row>
    <row r="357" spans="17:17" ht="15.75" customHeight="1" x14ac:dyDescent="0.2">
      <c r="Q357" s="54"/>
    </row>
    <row r="358" spans="17:17" ht="15.75" customHeight="1" x14ac:dyDescent="0.2">
      <c r="Q358" s="54"/>
    </row>
    <row r="359" spans="17:17" ht="15.75" customHeight="1" x14ac:dyDescent="0.2">
      <c r="Q359" s="54"/>
    </row>
    <row r="360" spans="17:17" ht="15.75" customHeight="1" x14ac:dyDescent="0.2">
      <c r="Q360" s="54"/>
    </row>
    <row r="361" spans="17:17" ht="15.75" customHeight="1" x14ac:dyDescent="0.2">
      <c r="Q361" s="54"/>
    </row>
    <row r="362" spans="17:17" ht="15.75" customHeight="1" x14ac:dyDescent="0.2">
      <c r="Q362" s="54"/>
    </row>
    <row r="363" spans="17:17" ht="15.75" customHeight="1" x14ac:dyDescent="0.2">
      <c r="Q363" s="54"/>
    </row>
    <row r="364" spans="17:17" ht="15.75" customHeight="1" x14ac:dyDescent="0.2">
      <c r="Q364" s="54"/>
    </row>
    <row r="365" spans="17:17" ht="15.75" customHeight="1" x14ac:dyDescent="0.2">
      <c r="Q365" s="54"/>
    </row>
    <row r="366" spans="17:17" ht="15.75" customHeight="1" x14ac:dyDescent="0.2">
      <c r="Q366" s="54"/>
    </row>
    <row r="367" spans="17:17" ht="15.75" customHeight="1" x14ac:dyDescent="0.2">
      <c r="Q367" s="54"/>
    </row>
    <row r="368" spans="17:17" ht="15.75" customHeight="1" x14ac:dyDescent="0.2">
      <c r="Q368" s="54"/>
    </row>
    <row r="369" spans="17:17" ht="15.75" customHeight="1" x14ac:dyDescent="0.2">
      <c r="Q369" s="54"/>
    </row>
    <row r="370" spans="17:17" ht="15.75" customHeight="1" x14ac:dyDescent="0.2">
      <c r="Q370" s="54"/>
    </row>
    <row r="371" spans="17:17" ht="15.75" customHeight="1" x14ac:dyDescent="0.2">
      <c r="Q371" s="54"/>
    </row>
    <row r="372" spans="17:17" ht="15.75" customHeight="1" x14ac:dyDescent="0.2">
      <c r="Q372" s="54"/>
    </row>
    <row r="373" spans="17:17" ht="15.75" customHeight="1" x14ac:dyDescent="0.2">
      <c r="Q373" s="54"/>
    </row>
    <row r="374" spans="17:17" ht="15.75" customHeight="1" x14ac:dyDescent="0.2">
      <c r="Q374" s="54"/>
    </row>
    <row r="375" spans="17:17" ht="15.75" customHeight="1" x14ac:dyDescent="0.2">
      <c r="Q375" s="54"/>
    </row>
    <row r="376" spans="17:17" ht="15.75" customHeight="1" x14ac:dyDescent="0.2">
      <c r="Q376" s="54"/>
    </row>
    <row r="377" spans="17:17" ht="15.75" customHeight="1" x14ac:dyDescent="0.2">
      <c r="Q377" s="54"/>
    </row>
    <row r="378" spans="17:17" ht="15.75" customHeight="1" x14ac:dyDescent="0.2">
      <c r="Q378" s="54"/>
    </row>
    <row r="379" spans="17:17" ht="15.75" customHeight="1" x14ac:dyDescent="0.2">
      <c r="Q379" s="54"/>
    </row>
    <row r="380" spans="17:17" ht="15.75" customHeight="1" x14ac:dyDescent="0.2">
      <c r="Q380" s="54"/>
    </row>
    <row r="381" spans="17:17" ht="15.75" customHeight="1" x14ac:dyDescent="0.2">
      <c r="Q381" s="54"/>
    </row>
    <row r="382" spans="17:17" ht="15.75" customHeight="1" x14ac:dyDescent="0.2">
      <c r="Q382" s="54"/>
    </row>
    <row r="383" spans="17:17" ht="15.75" customHeight="1" x14ac:dyDescent="0.2">
      <c r="Q383" s="54"/>
    </row>
    <row r="384" spans="17:17" ht="15.75" customHeight="1" x14ac:dyDescent="0.2">
      <c r="Q384" s="54"/>
    </row>
    <row r="385" spans="17:17" ht="15.75" customHeight="1" x14ac:dyDescent="0.2">
      <c r="Q385" s="54"/>
    </row>
    <row r="386" spans="17:17" ht="15.75" customHeight="1" x14ac:dyDescent="0.2">
      <c r="Q386" s="54"/>
    </row>
    <row r="387" spans="17:17" ht="15.75" customHeight="1" x14ac:dyDescent="0.2">
      <c r="Q387" s="54"/>
    </row>
    <row r="388" spans="17:17" ht="15.75" customHeight="1" x14ac:dyDescent="0.2">
      <c r="Q388" s="54"/>
    </row>
    <row r="389" spans="17:17" ht="15.75" customHeight="1" x14ac:dyDescent="0.2">
      <c r="Q389" s="54"/>
    </row>
    <row r="390" spans="17:17" ht="15.75" customHeight="1" x14ac:dyDescent="0.2">
      <c r="Q390" s="54"/>
    </row>
    <row r="391" spans="17:17" ht="15.75" customHeight="1" x14ac:dyDescent="0.2">
      <c r="Q391" s="54"/>
    </row>
    <row r="392" spans="17:17" ht="15.75" customHeight="1" x14ac:dyDescent="0.2">
      <c r="Q392" s="54"/>
    </row>
    <row r="393" spans="17:17" ht="15.75" customHeight="1" x14ac:dyDescent="0.2">
      <c r="Q393" s="54"/>
    </row>
    <row r="394" spans="17:17" ht="15.75" customHeight="1" x14ac:dyDescent="0.2">
      <c r="Q394" s="54"/>
    </row>
    <row r="395" spans="17:17" ht="15.75" customHeight="1" x14ac:dyDescent="0.2">
      <c r="Q395" s="54"/>
    </row>
    <row r="396" spans="17:17" ht="15.75" customHeight="1" x14ac:dyDescent="0.2">
      <c r="Q396" s="54"/>
    </row>
    <row r="397" spans="17:17" ht="15.75" customHeight="1" x14ac:dyDescent="0.2">
      <c r="Q397" s="54"/>
    </row>
    <row r="398" spans="17:17" ht="15.75" customHeight="1" x14ac:dyDescent="0.2">
      <c r="Q398" s="54"/>
    </row>
    <row r="399" spans="17:17" ht="15.75" customHeight="1" x14ac:dyDescent="0.2">
      <c r="Q399" s="54"/>
    </row>
    <row r="400" spans="17:17" ht="15.75" customHeight="1" x14ac:dyDescent="0.2">
      <c r="Q400" s="54"/>
    </row>
    <row r="401" spans="17:17" ht="15.75" customHeight="1" x14ac:dyDescent="0.2">
      <c r="Q401" s="54"/>
    </row>
    <row r="402" spans="17:17" ht="15.75" customHeight="1" x14ac:dyDescent="0.2">
      <c r="Q402" s="54"/>
    </row>
    <row r="403" spans="17:17" ht="15.75" customHeight="1" x14ac:dyDescent="0.2">
      <c r="Q403" s="54"/>
    </row>
    <row r="404" spans="17:17" ht="15.75" customHeight="1" x14ac:dyDescent="0.2">
      <c r="Q404" s="54"/>
    </row>
    <row r="405" spans="17:17" ht="15.75" customHeight="1" x14ac:dyDescent="0.2">
      <c r="Q405" s="54"/>
    </row>
    <row r="406" spans="17:17" ht="15.75" customHeight="1" x14ac:dyDescent="0.2">
      <c r="Q406" s="54"/>
    </row>
    <row r="407" spans="17:17" ht="15.75" customHeight="1" x14ac:dyDescent="0.2">
      <c r="Q407" s="54"/>
    </row>
    <row r="408" spans="17:17" ht="15.75" customHeight="1" x14ac:dyDescent="0.2">
      <c r="Q408" s="54"/>
    </row>
    <row r="409" spans="17:17" ht="15.75" customHeight="1" x14ac:dyDescent="0.2">
      <c r="Q409" s="54"/>
    </row>
    <row r="410" spans="17:17" ht="15.75" customHeight="1" x14ac:dyDescent="0.2">
      <c r="Q410" s="54"/>
    </row>
    <row r="411" spans="17:17" ht="15.75" customHeight="1" x14ac:dyDescent="0.2">
      <c r="Q411" s="54"/>
    </row>
    <row r="412" spans="17:17" ht="15.75" customHeight="1" x14ac:dyDescent="0.2">
      <c r="Q412" s="54"/>
    </row>
    <row r="413" spans="17:17" ht="15.75" customHeight="1" x14ac:dyDescent="0.2">
      <c r="Q413" s="54"/>
    </row>
    <row r="414" spans="17:17" ht="15.75" customHeight="1" x14ac:dyDescent="0.2">
      <c r="Q414" s="54"/>
    </row>
    <row r="415" spans="17:17" ht="15.75" customHeight="1" x14ac:dyDescent="0.2">
      <c r="Q415" s="54"/>
    </row>
    <row r="416" spans="17:17" ht="15.75" customHeight="1" x14ac:dyDescent="0.2">
      <c r="Q416" s="54"/>
    </row>
    <row r="417" spans="17:17" ht="15.75" customHeight="1" x14ac:dyDescent="0.2">
      <c r="Q417" s="54"/>
    </row>
    <row r="418" spans="17:17" ht="15.75" customHeight="1" x14ac:dyDescent="0.2">
      <c r="Q418" s="54"/>
    </row>
    <row r="419" spans="17:17" ht="15.75" customHeight="1" x14ac:dyDescent="0.2">
      <c r="Q419" s="54"/>
    </row>
    <row r="420" spans="17:17" ht="15.75" customHeight="1" x14ac:dyDescent="0.2">
      <c r="Q420" s="54"/>
    </row>
    <row r="421" spans="17:17" ht="15.75" customHeight="1" x14ac:dyDescent="0.2">
      <c r="Q421" s="54"/>
    </row>
    <row r="422" spans="17:17" ht="15.75" customHeight="1" x14ac:dyDescent="0.2">
      <c r="Q422" s="54"/>
    </row>
    <row r="423" spans="17:17" ht="15.75" customHeight="1" x14ac:dyDescent="0.2">
      <c r="Q423" s="54"/>
    </row>
    <row r="424" spans="17:17" ht="15.75" customHeight="1" x14ac:dyDescent="0.2">
      <c r="Q424" s="54"/>
    </row>
    <row r="425" spans="17:17" ht="15.75" customHeight="1" x14ac:dyDescent="0.2">
      <c r="Q425" s="54"/>
    </row>
    <row r="426" spans="17:17" ht="15.75" customHeight="1" x14ac:dyDescent="0.2">
      <c r="Q426" s="54"/>
    </row>
    <row r="427" spans="17:17" ht="15.75" customHeight="1" x14ac:dyDescent="0.2">
      <c r="Q427" s="54"/>
    </row>
    <row r="428" spans="17:17" ht="15.75" customHeight="1" x14ac:dyDescent="0.2">
      <c r="Q428" s="54"/>
    </row>
    <row r="429" spans="17:17" ht="15.75" customHeight="1" x14ac:dyDescent="0.2">
      <c r="Q429" s="54"/>
    </row>
    <row r="430" spans="17:17" ht="15.75" customHeight="1" x14ac:dyDescent="0.2">
      <c r="Q430" s="54"/>
    </row>
    <row r="431" spans="17:17" ht="15.75" customHeight="1" x14ac:dyDescent="0.2">
      <c r="Q431" s="54"/>
    </row>
    <row r="432" spans="17:17" ht="15.75" customHeight="1" x14ac:dyDescent="0.2">
      <c r="Q432" s="54"/>
    </row>
    <row r="433" spans="17:17" ht="15.75" customHeight="1" x14ac:dyDescent="0.2">
      <c r="Q433" s="54"/>
    </row>
    <row r="434" spans="17:17" ht="15.75" customHeight="1" x14ac:dyDescent="0.2">
      <c r="Q434" s="54"/>
    </row>
    <row r="435" spans="17:17" ht="15.75" customHeight="1" x14ac:dyDescent="0.2">
      <c r="Q435" s="54"/>
    </row>
    <row r="436" spans="17:17" ht="15.75" customHeight="1" x14ac:dyDescent="0.2">
      <c r="Q436" s="54"/>
    </row>
    <row r="437" spans="17:17" ht="15.75" customHeight="1" x14ac:dyDescent="0.2">
      <c r="Q437" s="54"/>
    </row>
    <row r="438" spans="17:17" ht="15.75" customHeight="1" x14ac:dyDescent="0.2">
      <c r="Q438" s="54"/>
    </row>
    <row r="439" spans="17:17" ht="15.75" customHeight="1" x14ac:dyDescent="0.2">
      <c r="Q439" s="54"/>
    </row>
    <row r="440" spans="17:17" ht="15.75" customHeight="1" x14ac:dyDescent="0.2">
      <c r="Q440" s="54"/>
    </row>
    <row r="441" spans="17:17" ht="15.75" customHeight="1" x14ac:dyDescent="0.2">
      <c r="Q441" s="54"/>
    </row>
    <row r="442" spans="17:17" ht="15.75" customHeight="1" x14ac:dyDescent="0.2">
      <c r="Q442" s="54"/>
    </row>
    <row r="443" spans="17:17" ht="15.75" customHeight="1" x14ac:dyDescent="0.2">
      <c r="Q443" s="54"/>
    </row>
    <row r="444" spans="17:17" ht="15.75" customHeight="1" x14ac:dyDescent="0.2">
      <c r="Q444" s="54"/>
    </row>
    <row r="445" spans="17:17" ht="15.75" customHeight="1" x14ac:dyDescent="0.2">
      <c r="Q445" s="54"/>
    </row>
    <row r="446" spans="17:17" ht="15.75" customHeight="1" x14ac:dyDescent="0.2">
      <c r="Q446" s="54"/>
    </row>
    <row r="447" spans="17:17" ht="15.75" customHeight="1" x14ac:dyDescent="0.2">
      <c r="Q447" s="54"/>
    </row>
    <row r="448" spans="17:17" ht="15.75" customHeight="1" x14ac:dyDescent="0.2">
      <c r="Q448" s="54"/>
    </row>
    <row r="449" spans="17:17" ht="15.75" customHeight="1" x14ac:dyDescent="0.2">
      <c r="Q449" s="54"/>
    </row>
    <row r="450" spans="17:17" ht="15.75" customHeight="1" x14ac:dyDescent="0.2">
      <c r="Q450" s="54"/>
    </row>
    <row r="451" spans="17:17" ht="15.75" customHeight="1" x14ac:dyDescent="0.2">
      <c r="Q451" s="54"/>
    </row>
    <row r="452" spans="17:17" ht="15.75" customHeight="1" x14ac:dyDescent="0.2">
      <c r="Q452" s="54"/>
    </row>
    <row r="453" spans="17:17" ht="15.75" customHeight="1" x14ac:dyDescent="0.2">
      <c r="Q453" s="54"/>
    </row>
    <row r="454" spans="17:17" ht="15.75" customHeight="1" x14ac:dyDescent="0.2">
      <c r="Q454" s="54"/>
    </row>
    <row r="455" spans="17:17" ht="15.75" customHeight="1" x14ac:dyDescent="0.2">
      <c r="Q455" s="54"/>
    </row>
    <row r="456" spans="17:17" ht="15.75" customHeight="1" x14ac:dyDescent="0.2">
      <c r="Q456" s="54"/>
    </row>
    <row r="457" spans="17:17" ht="15.75" customHeight="1" x14ac:dyDescent="0.2">
      <c r="Q457" s="54"/>
    </row>
    <row r="458" spans="17:17" ht="15.75" customHeight="1" x14ac:dyDescent="0.2">
      <c r="Q458" s="54"/>
    </row>
    <row r="459" spans="17:17" ht="15.75" customHeight="1" x14ac:dyDescent="0.2">
      <c r="Q459" s="54"/>
    </row>
    <row r="460" spans="17:17" ht="15.75" customHeight="1" x14ac:dyDescent="0.2">
      <c r="Q460" s="54"/>
    </row>
    <row r="461" spans="17:17" ht="15.75" customHeight="1" x14ac:dyDescent="0.2">
      <c r="Q461" s="54"/>
    </row>
    <row r="462" spans="17:17" ht="15.75" customHeight="1" x14ac:dyDescent="0.2">
      <c r="Q462" s="54"/>
    </row>
    <row r="463" spans="17:17" ht="15.75" customHeight="1" x14ac:dyDescent="0.2">
      <c r="Q463" s="54"/>
    </row>
    <row r="464" spans="17:17" ht="15.75" customHeight="1" x14ac:dyDescent="0.2">
      <c r="Q464" s="54"/>
    </row>
    <row r="465" spans="17:17" ht="15.75" customHeight="1" x14ac:dyDescent="0.2">
      <c r="Q465" s="54"/>
    </row>
    <row r="466" spans="17:17" ht="15.75" customHeight="1" x14ac:dyDescent="0.2">
      <c r="Q466" s="54"/>
    </row>
    <row r="467" spans="17:17" ht="15.75" customHeight="1" x14ac:dyDescent="0.2">
      <c r="Q467" s="54"/>
    </row>
    <row r="468" spans="17:17" ht="15.75" customHeight="1" x14ac:dyDescent="0.2">
      <c r="Q468" s="54"/>
    </row>
    <row r="469" spans="17:17" ht="15.75" customHeight="1" x14ac:dyDescent="0.2">
      <c r="Q469" s="54"/>
    </row>
    <row r="470" spans="17:17" ht="15.75" customHeight="1" x14ac:dyDescent="0.2">
      <c r="Q470" s="54"/>
    </row>
    <row r="471" spans="17:17" ht="15.75" customHeight="1" x14ac:dyDescent="0.2">
      <c r="Q471" s="54"/>
    </row>
    <row r="472" spans="17:17" ht="15.75" customHeight="1" x14ac:dyDescent="0.2">
      <c r="Q472" s="54"/>
    </row>
    <row r="473" spans="17:17" ht="15.75" customHeight="1" x14ac:dyDescent="0.2">
      <c r="Q473" s="54"/>
    </row>
    <row r="474" spans="17:17" ht="15.75" customHeight="1" x14ac:dyDescent="0.2">
      <c r="Q474" s="54"/>
    </row>
    <row r="475" spans="17:17" ht="15.75" customHeight="1" x14ac:dyDescent="0.2">
      <c r="Q475" s="54"/>
    </row>
    <row r="476" spans="17:17" ht="15.75" customHeight="1" x14ac:dyDescent="0.2">
      <c r="Q476" s="54"/>
    </row>
    <row r="477" spans="17:17" ht="15.75" customHeight="1" x14ac:dyDescent="0.2">
      <c r="Q477" s="54"/>
    </row>
    <row r="478" spans="17:17" ht="15.75" customHeight="1" x14ac:dyDescent="0.2">
      <c r="Q478" s="54"/>
    </row>
    <row r="479" spans="17:17" ht="15.75" customHeight="1" x14ac:dyDescent="0.2">
      <c r="Q479" s="54"/>
    </row>
    <row r="480" spans="17:17" ht="15.75" customHeight="1" x14ac:dyDescent="0.2">
      <c r="Q480" s="54"/>
    </row>
    <row r="481" spans="17:17" ht="15.75" customHeight="1" x14ac:dyDescent="0.2">
      <c r="Q481" s="54"/>
    </row>
    <row r="482" spans="17:17" ht="15.75" customHeight="1" x14ac:dyDescent="0.2">
      <c r="Q482" s="54"/>
    </row>
    <row r="483" spans="17:17" ht="15.75" customHeight="1" x14ac:dyDescent="0.2">
      <c r="Q483" s="54"/>
    </row>
    <row r="484" spans="17:17" ht="15.75" customHeight="1" x14ac:dyDescent="0.2">
      <c r="Q484" s="54"/>
    </row>
    <row r="485" spans="17:17" ht="15.75" customHeight="1" x14ac:dyDescent="0.2">
      <c r="Q485" s="54"/>
    </row>
    <row r="486" spans="17:17" ht="15.75" customHeight="1" x14ac:dyDescent="0.2">
      <c r="Q486" s="54"/>
    </row>
    <row r="487" spans="17:17" ht="15.75" customHeight="1" x14ac:dyDescent="0.2">
      <c r="Q487" s="54"/>
    </row>
    <row r="488" spans="17:17" ht="15.75" customHeight="1" x14ac:dyDescent="0.2">
      <c r="Q488" s="54"/>
    </row>
    <row r="489" spans="17:17" ht="15.75" customHeight="1" x14ac:dyDescent="0.2">
      <c r="Q489" s="54"/>
    </row>
    <row r="490" spans="17:17" ht="15.75" customHeight="1" x14ac:dyDescent="0.2">
      <c r="Q490" s="54"/>
    </row>
    <row r="491" spans="17:17" ht="15.75" customHeight="1" x14ac:dyDescent="0.2">
      <c r="Q491" s="54"/>
    </row>
    <row r="492" spans="17:17" ht="15.75" customHeight="1" x14ac:dyDescent="0.2">
      <c r="Q492" s="54"/>
    </row>
    <row r="493" spans="17:17" ht="15.75" customHeight="1" x14ac:dyDescent="0.2">
      <c r="Q493" s="54"/>
    </row>
    <row r="494" spans="17:17" ht="15.75" customHeight="1" x14ac:dyDescent="0.2">
      <c r="Q494" s="54"/>
    </row>
    <row r="495" spans="17:17" ht="15.75" customHeight="1" x14ac:dyDescent="0.2">
      <c r="Q495" s="54"/>
    </row>
    <row r="496" spans="17:17" ht="15.75" customHeight="1" x14ac:dyDescent="0.2">
      <c r="Q496" s="54"/>
    </row>
    <row r="497" spans="17:17" ht="15.75" customHeight="1" x14ac:dyDescent="0.2">
      <c r="Q497" s="54"/>
    </row>
    <row r="498" spans="17:17" ht="15.75" customHeight="1" x14ac:dyDescent="0.2">
      <c r="Q498" s="54"/>
    </row>
    <row r="499" spans="17:17" ht="15.75" customHeight="1" x14ac:dyDescent="0.2">
      <c r="Q499" s="54"/>
    </row>
    <row r="500" spans="17:17" ht="15.75" customHeight="1" x14ac:dyDescent="0.2">
      <c r="Q500" s="54"/>
    </row>
    <row r="501" spans="17:17" ht="15.75" customHeight="1" x14ac:dyDescent="0.2">
      <c r="Q501" s="54"/>
    </row>
    <row r="502" spans="17:17" ht="15.75" customHeight="1" x14ac:dyDescent="0.2">
      <c r="Q502" s="54"/>
    </row>
    <row r="503" spans="17:17" ht="15.75" customHeight="1" x14ac:dyDescent="0.2">
      <c r="Q503" s="54"/>
    </row>
    <row r="504" spans="17:17" ht="15.75" customHeight="1" x14ac:dyDescent="0.2">
      <c r="Q504" s="54"/>
    </row>
    <row r="505" spans="17:17" ht="15.75" customHeight="1" x14ac:dyDescent="0.2">
      <c r="Q505" s="54"/>
    </row>
    <row r="506" spans="17:17" ht="15.75" customHeight="1" x14ac:dyDescent="0.2">
      <c r="Q506" s="54"/>
    </row>
    <row r="507" spans="17:17" ht="15.75" customHeight="1" x14ac:dyDescent="0.2">
      <c r="Q507" s="54"/>
    </row>
    <row r="508" spans="17:17" ht="15.75" customHeight="1" x14ac:dyDescent="0.2">
      <c r="Q508" s="54"/>
    </row>
    <row r="509" spans="17:17" ht="15.75" customHeight="1" x14ac:dyDescent="0.2">
      <c r="Q509" s="54"/>
    </row>
    <row r="510" spans="17:17" ht="15.75" customHeight="1" x14ac:dyDescent="0.2">
      <c r="Q510" s="54"/>
    </row>
    <row r="511" spans="17:17" ht="15.75" customHeight="1" x14ac:dyDescent="0.2">
      <c r="Q511" s="54"/>
    </row>
    <row r="512" spans="17:17" ht="15.75" customHeight="1" x14ac:dyDescent="0.2">
      <c r="Q512" s="54"/>
    </row>
    <row r="513" spans="17:17" ht="15.75" customHeight="1" x14ac:dyDescent="0.2">
      <c r="Q513" s="54"/>
    </row>
    <row r="514" spans="17:17" ht="15.75" customHeight="1" x14ac:dyDescent="0.2">
      <c r="Q514" s="54"/>
    </row>
    <row r="515" spans="17:17" ht="15.75" customHeight="1" x14ac:dyDescent="0.2">
      <c r="Q515" s="54"/>
    </row>
    <row r="516" spans="17:17" ht="15.75" customHeight="1" x14ac:dyDescent="0.2">
      <c r="Q516" s="54"/>
    </row>
    <row r="517" spans="17:17" ht="15.75" customHeight="1" x14ac:dyDescent="0.2">
      <c r="Q517" s="54"/>
    </row>
    <row r="518" spans="17:17" ht="15.75" customHeight="1" x14ac:dyDescent="0.2">
      <c r="Q518" s="54"/>
    </row>
    <row r="519" spans="17:17" ht="15.75" customHeight="1" x14ac:dyDescent="0.2">
      <c r="Q519" s="54"/>
    </row>
    <row r="520" spans="17:17" ht="15.75" customHeight="1" x14ac:dyDescent="0.2">
      <c r="Q520" s="54"/>
    </row>
    <row r="521" spans="17:17" ht="15.75" customHeight="1" x14ac:dyDescent="0.2">
      <c r="Q521" s="54"/>
    </row>
    <row r="522" spans="17:17" ht="15.75" customHeight="1" x14ac:dyDescent="0.2">
      <c r="Q522" s="54"/>
    </row>
    <row r="523" spans="17:17" ht="15.75" customHeight="1" x14ac:dyDescent="0.2">
      <c r="Q523" s="54"/>
    </row>
    <row r="524" spans="17:17" ht="15.75" customHeight="1" x14ac:dyDescent="0.2">
      <c r="Q524" s="54"/>
    </row>
    <row r="525" spans="17:17" ht="15.75" customHeight="1" x14ac:dyDescent="0.2">
      <c r="Q525" s="54"/>
    </row>
    <row r="526" spans="17:17" ht="15.75" customHeight="1" x14ac:dyDescent="0.2">
      <c r="Q526" s="54"/>
    </row>
    <row r="527" spans="17:17" ht="15.75" customHeight="1" x14ac:dyDescent="0.2">
      <c r="Q527" s="54"/>
    </row>
    <row r="528" spans="17:17" ht="15.75" customHeight="1" x14ac:dyDescent="0.2">
      <c r="Q528" s="54"/>
    </row>
    <row r="529" spans="17:17" ht="15.75" customHeight="1" x14ac:dyDescent="0.2">
      <c r="Q529" s="54"/>
    </row>
    <row r="530" spans="17:17" ht="15.75" customHeight="1" x14ac:dyDescent="0.2">
      <c r="Q530" s="54"/>
    </row>
    <row r="531" spans="17:17" ht="15.75" customHeight="1" x14ac:dyDescent="0.2">
      <c r="Q531" s="54"/>
    </row>
    <row r="532" spans="17:17" ht="15.75" customHeight="1" x14ac:dyDescent="0.2">
      <c r="Q532" s="54"/>
    </row>
    <row r="533" spans="17:17" ht="15.75" customHeight="1" x14ac:dyDescent="0.2">
      <c r="Q533" s="54"/>
    </row>
    <row r="534" spans="17:17" ht="15.75" customHeight="1" x14ac:dyDescent="0.2">
      <c r="Q534" s="54"/>
    </row>
    <row r="535" spans="17:17" ht="15.75" customHeight="1" x14ac:dyDescent="0.2">
      <c r="Q535" s="54"/>
    </row>
    <row r="536" spans="17:17" ht="15.75" customHeight="1" x14ac:dyDescent="0.2">
      <c r="Q536" s="54"/>
    </row>
    <row r="537" spans="17:17" ht="15.75" customHeight="1" x14ac:dyDescent="0.2">
      <c r="Q537" s="54"/>
    </row>
    <row r="538" spans="17:17" ht="15.75" customHeight="1" x14ac:dyDescent="0.2">
      <c r="Q538" s="54"/>
    </row>
    <row r="539" spans="17:17" ht="15.75" customHeight="1" x14ac:dyDescent="0.2">
      <c r="Q539" s="54"/>
    </row>
    <row r="540" spans="17:17" ht="15.75" customHeight="1" x14ac:dyDescent="0.2">
      <c r="Q540" s="54"/>
    </row>
    <row r="541" spans="17:17" ht="15.75" customHeight="1" x14ac:dyDescent="0.2">
      <c r="Q541" s="54"/>
    </row>
    <row r="542" spans="17:17" ht="15.75" customHeight="1" x14ac:dyDescent="0.2">
      <c r="Q542" s="54"/>
    </row>
    <row r="543" spans="17:17" ht="15.75" customHeight="1" x14ac:dyDescent="0.2">
      <c r="Q543" s="54"/>
    </row>
    <row r="544" spans="17:17" ht="15.75" customHeight="1" x14ac:dyDescent="0.2">
      <c r="Q544" s="54"/>
    </row>
    <row r="545" spans="17:17" ht="15.75" customHeight="1" x14ac:dyDescent="0.2">
      <c r="Q545" s="54"/>
    </row>
    <row r="546" spans="17:17" ht="15.75" customHeight="1" x14ac:dyDescent="0.2">
      <c r="Q546" s="54"/>
    </row>
    <row r="547" spans="17:17" ht="15.75" customHeight="1" x14ac:dyDescent="0.2">
      <c r="Q547" s="54"/>
    </row>
    <row r="548" spans="17:17" ht="15.75" customHeight="1" x14ac:dyDescent="0.2">
      <c r="Q548" s="54"/>
    </row>
    <row r="549" spans="17:17" ht="15.75" customHeight="1" x14ac:dyDescent="0.2">
      <c r="Q549" s="54"/>
    </row>
    <row r="550" spans="17:17" ht="15.75" customHeight="1" x14ac:dyDescent="0.2">
      <c r="Q550" s="54"/>
    </row>
    <row r="551" spans="17:17" ht="15.75" customHeight="1" x14ac:dyDescent="0.2">
      <c r="Q551" s="54"/>
    </row>
    <row r="552" spans="17:17" ht="15.75" customHeight="1" x14ac:dyDescent="0.2">
      <c r="Q552" s="54"/>
    </row>
    <row r="553" spans="17:17" ht="15.75" customHeight="1" x14ac:dyDescent="0.2">
      <c r="Q553" s="54"/>
    </row>
    <row r="554" spans="17:17" ht="15.75" customHeight="1" x14ac:dyDescent="0.2">
      <c r="Q554" s="54"/>
    </row>
    <row r="555" spans="17:17" ht="15.75" customHeight="1" x14ac:dyDescent="0.2">
      <c r="Q555" s="54"/>
    </row>
    <row r="556" spans="17:17" ht="15.75" customHeight="1" x14ac:dyDescent="0.2">
      <c r="Q556" s="54"/>
    </row>
    <row r="557" spans="17:17" ht="15.75" customHeight="1" x14ac:dyDescent="0.2">
      <c r="Q557" s="54"/>
    </row>
    <row r="558" spans="17:17" ht="15.75" customHeight="1" x14ac:dyDescent="0.2">
      <c r="Q558" s="54"/>
    </row>
    <row r="559" spans="17:17" ht="15.75" customHeight="1" x14ac:dyDescent="0.2">
      <c r="Q559" s="54"/>
    </row>
    <row r="560" spans="17:17" ht="15.75" customHeight="1" x14ac:dyDescent="0.2">
      <c r="Q560" s="54"/>
    </row>
    <row r="561" spans="17:17" ht="15.75" customHeight="1" x14ac:dyDescent="0.2">
      <c r="Q561" s="54"/>
    </row>
    <row r="562" spans="17:17" ht="15.75" customHeight="1" x14ac:dyDescent="0.2">
      <c r="Q562" s="54"/>
    </row>
    <row r="563" spans="17:17" ht="15.75" customHeight="1" x14ac:dyDescent="0.2">
      <c r="Q563" s="54"/>
    </row>
    <row r="564" spans="17:17" ht="15.75" customHeight="1" x14ac:dyDescent="0.2">
      <c r="Q564" s="54"/>
    </row>
    <row r="565" spans="17:17" ht="15.75" customHeight="1" x14ac:dyDescent="0.2">
      <c r="Q565" s="54"/>
    </row>
    <row r="566" spans="17:17" ht="15.75" customHeight="1" x14ac:dyDescent="0.2">
      <c r="Q566" s="54"/>
    </row>
    <row r="567" spans="17:17" ht="15.75" customHeight="1" x14ac:dyDescent="0.2">
      <c r="Q567" s="54"/>
    </row>
    <row r="568" spans="17:17" ht="15.75" customHeight="1" x14ac:dyDescent="0.2">
      <c r="Q568" s="54"/>
    </row>
    <row r="569" spans="17:17" ht="15.75" customHeight="1" x14ac:dyDescent="0.2">
      <c r="Q569" s="54"/>
    </row>
    <row r="570" spans="17:17" ht="15.75" customHeight="1" x14ac:dyDescent="0.2">
      <c r="Q570" s="54"/>
    </row>
    <row r="571" spans="17:17" ht="15.75" customHeight="1" x14ac:dyDescent="0.2">
      <c r="Q571" s="54"/>
    </row>
    <row r="572" spans="17:17" ht="15.75" customHeight="1" x14ac:dyDescent="0.2">
      <c r="Q572" s="54"/>
    </row>
    <row r="573" spans="17:17" ht="15.75" customHeight="1" x14ac:dyDescent="0.2">
      <c r="Q573" s="54"/>
    </row>
    <row r="574" spans="17:17" ht="15.75" customHeight="1" x14ac:dyDescent="0.2">
      <c r="Q574" s="54"/>
    </row>
    <row r="575" spans="17:17" ht="15.75" customHeight="1" x14ac:dyDescent="0.2">
      <c r="Q575" s="54"/>
    </row>
    <row r="576" spans="17:17" ht="15.75" customHeight="1" x14ac:dyDescent="0.2">
      <c r="Q576" s="54"/>
    </row>
    <row r="577" spans="17:17" ht="15.75" customHeight="1" x14ac:dyDescent="0.2">
      <c r="Q577" s="54"/>
    </row>
    <row r="578" spans="17:17" ht="15.75" customHeight="1" x14ac:dyDescent="0.2">
      <c r="Q578" s="54"/>
    </row>
    <row r="579" spans="17:17" ht="15.75" customHeight="1" x14ac:dyDescent="0.2">
      <c r="Q579" s="54"/>
    </row>
    <row r="580" spans="17:17" ht="15.75" customHeight="1" x14ac:dyDescent="0.2">
      <c r="Q580" s="54"/>
    </row>
    <row r="581" spans="17:17" ht="15.75" customHeight="1" x14ac:dyDescent="0.2">
      <c r="Q581" s="54"/>
    </row>
    <row r="582" spans="17:17" ht="15.75" customHeight="1" x14ac:dyDescent="0.2">
      <c r="Q582" s="54"/>
    </row>
    <row r="583" spans="17:17" ht="15.75" customHeight="1" x14ac:dyDescent="0.2">
      <c r="Q583" s="54"/>
    </row>
    <row r="584" spans="17:17" ht="15.75" customHeight="1" x14ac:dyDescent="0.2">
      <c r="Q584" s="54"/>
    </row>
    <row r="585" spans="17:17" ht="15.75" customHeight="1" x14ac:dyDescent="0.2">
      <c r="Q585" s="54"/>
    </row>
    <row r="586" spans="17:17" ht="15.75" customHeight="1" x14ac:dyDescent="0.2">
      <c r="Q586" s="54"/>
    </row>
    <row r="587" spans="17:17" ht="15.75" customHeight="1" x14ac:dyDescent="0.2">
      <c r="Q587" s="54"/>
    </row>
    <row r="588" spans="17:17" ht="15.75" customHeight="1" x14ac:dyDescent="0.2">
      <c r="Q588" s="54"/>
    </row>
    <row r="589" spans="17:17" ht="15.75" customHeight="1" x14ac:dyDescent="0.2">
      <c r="Q589" s="54"/>
    </row>
    <row r="590" spans="17:17" ht="15.75" customHeight="1" x14ac:dyDescent="0.2">
      <c r="Q590" s="54"/>
    </row>
    <row r="591" spans="17:17" ht="15.75" customHeight="1" x14ac:dyDescent="0.2">
      <c r="Q591" s="54"/>
    </row>
    <row r="592" spans="17:17" ht="15.75" customHeight="1" x14ac:dyDescent="0.2">
      <c r="Q592" s="54"/>
    </row>
    <row r="593" spans="17:17" ht="15.75" customHeight="1" x14ac:dyDescent="0.2">
      <c r="Q593" s="54"/>
    </row>
    <row r="594" spans="17:17" ht="15.75" customHeight="1" x14ac:dyDescent="0.2">
      <c r="Q594" s="54"/>
    </row>
    <row r="595" spans="17:17" ht="15.75" customHeight="1" x14ac:dyDescent="0.2">
      <c r="Q595" s="54"/>
    </row>
    <row r="596" spans="17:17" ht="15.75" customHeight="1" x14ac:dyDescent="0.2">
      <c r="Q596" s="54"/>
    </row>
    <row r="597" spans="17:17" ht="15.75" customHeight="1" x14ac:dyDescent="0.2">
      <c r="Q597" s="54"/>
    </row>
    <row r="598" spans="17:17" ht="15.75" customHeight="1" x14ac:dyDescent="0.2">
      <c r="Q598" s="54"/>
    </row>
    <row r="599" spans="17:17" ht="15.75" customHeight="1" x14ac:dyDescent="0.2">
      <c r="Q599" s="54"/>
    </row>
    <row r="600" spans="17:17" ht="15.75" customHeight="1" x14ac:dyDescent="0.2">
      <c r="Q600" s="54"/>
    </row>
    <row r="601" spans="17:17" ht="15.75" customHeight="1" x14ac:dyDescent="0.2">
      <c r="Q601" s="54"/>
    </row>
    <row r="602" spans="17:17" ht="15.75" customHeight="1" x14ac:dyDescent="0.2">
      <c r="Q602" s="54"/>
    </row>
    <row r="603" spans="17:17" ht="15.75" customHeight="1" x14ac:dyDescent="0.2">
      <c r="Q603" s="54"/>
    </row>
    <row r="604" spans="17:17" ht="15.75" customHeight="1" x14ac:dyDescent="0.2">
      <c r="Q604" s="54"/>
    </row>
    <row r="605" spans="17:17" ht="15.75" customHeight="1" x14ac:dyDescent="0.2">
      <c r="Q605" s="54"/>
    </row>
    <row r="606" spans="17:17" ht="15.75" customHeight="1" x14ac:dyDescent="0.2">
      <c r="Q606" s="54"/>
    </row>
    <row r="607" spans="17:17" ht="15.75" customHeight="1" x14ac:dyDescent="0.2">
      <c r="Q607" s="54"/>
    </row>
    <row r="608" spans="17:17" ht="15.75" customHeight="1" x14ac:dyDescent="0.2">
      <c r="Q608" s="54"/>
    </row>
    <row r="609" spans="17:17" ht="15.75" customHeight="1" x14ac:dyDescent="0.2">
      <c r="Q609" s="54"/>
    </row>
    <row r="610" spans="17:17" ht="15.75" customHeight="1" x14ac:dyDescent="0.2">
      <c r="Q610" s="54"/>
    </row>
    <row r="611" spans="17:17" ht="15.75" customHeight="1" x14ac:dyDescent="0.2">
      <c r="Q611" s="54"/>
    </row>
    <row r="612" spans="17:17" ht="15.75" customHeight="1" x14ac:dyDescent="0.2">
      <c r="Q612" s="54"/>
    </row>
    <row r="613" spans="17:17" ht="15.75" customHeight="1" x14ac:dyDescent="0.2">
      <c r="Q613" s="54"/>
    </row>
    <row r="614" spans="17:17" ht="15.75" customHeight="1" x14ac:dyDescent="0.2">
      <c r="Q614" s="54"/>
    </row>
    <row r="615" spans="17:17" ht="15.75" customHeight="1" x14ac:dyDescent="0.2">
      <c r="Q615" s="54"/>
    </row>
    <row r="616" spans="17:17" ht="15.75" customHeight="1" x14ac:dyDescent="0.2">
      <c r="Q616" s="54"/>
    </row>
    <row r="617" spans="17:17" ht="15.75" customHeight="1" x14ac:dyDescent="0.2">
      <c r="Q617" s="54"/>
    </row>
    <row r="618" spans="17:17" ht="15.75" customHeight="1" x14ac:dyDescent="0.2">
      <c r="Q618" s="54"/>
    </row>
    <row r="619" spans="17:17" ht="15.75" customHeight="1" x14ac:dyDescent="0.2">
      <c r="Q619" s="54"/>
    </row>
    <row r="620" spans="17:17" ht="15.75" customHeight="1" x14ac:dyDescent="0.2">
      <c r="Q620" s="54"/>
    </row>
    <row r="621" spans="17:17" ht="15.75" customHeight="1" x14ac:dyDescent="0.2">
      <c r="Q621" s="54"/>
    </row>
    <row r="622" spans="17:17" ht="15.75" customHeight="1" x14ac:dyDescent="0.2">
      <c r="Q622" s="54"/>
    </row>
    <row r="623" spans="17:17" ht="15.75" customHeight="1" x14ac:dyDescent="0.2">
      <c r="Q623" s="54"/>
    </row>
    <row r="624" spans="17:17" ht="15.75" customHeight="1" x14ac:dyDescent="0.2">
      <c r="Q624" s="54"/>
    </row>
    <row r="625" spans="17:17" ht="15.75" customHeight="1" x14ac:dyDescent="0.2">
      <c r="Q625" s="54"/>
    </row>
    <row r="626" spans="17:17" ht="15.75" customHeight="1" x14ac:dyDescent="0.2">
      <c r="Q626" s="54"/>
    </row>
    <row r="627" spans="17:17" ht="15.75" customHeight="1" x14ac:dyDescent="0.2">
      <c r="Q627" s="54"/>
    </row>
    <row r="628" spans="17:17" ht="15.75" customHeight="1" x14ac:dyDescent="0.2">
      <c r="Q628" s="54"/>
    </row>
    <row r="629" spans="17:17" ht="15.75" customHeight="1" x14ac:dyDescent="0.2">
      <c r="Q629" s="54"/>
    </row>
    <row r="630" spans="17:17" ht="15.75" customHeight="1" x14ac:dyDescent="0.2">
      <c r="Q630" s="54"/>
    </row>
    <row r="631" spans="17:17" ht="15.75" customHeight="1" x14ac:dyDescent="0.2">
      <c r="Q631" s="54"/>
    </row>
    <row r="632" spans="17:17" ht="15.75" customHeight="1" x14ac:dyDescent="0.2">
      <c r="Q632" s="54"/>
    </row>
    <row r="633" spans="17:17" ht="15.75" customHeight="1" x14ac:dyDescent="0.2">
      <c r="Q633" s="54"/>
    </row>
    <row r="634" spans="17:17" ht="15.75" customHeight="1" x14ac:dyDescent="0.2">
      <c r="Q634" s="54"/>
    </row>
    <row r="635" spans="17:17" ht="15.75" customHeight="1" x14ac:dyDescent="0.2">
      <c r="Q635" s="54"/>
    </row>
    <row r="636" spans="17:17" ht="15.75" customHeight="1" x14ac:dyDescent="0.2">
      <c r="Q636" s="54"/>
    </row>
    <row r="637" spans="17:17" ht="15.75" customHeight="1" x14ac:dyDescent="0.2">
      <c r="Q637" s="54"/>
    </row>
    <row r="638" spans="17:17" ht="15.75" customHeight="1" x14ac:dyDescent="0.2">
      <c r="Q638" s="54"/>
    </row>
    <row r="639" spans="17:17" ht="15.75" customHeight="1" x14ac:dyDescent="0.2">
      <c r="Q639" s="54"/>
    </row>
    <row r="640" spans="17:17" ht="15.75" customHeight="1" x14ac:dyDescent="0.2">
      <c r="Q640" s="54"/>
    </row>
    <row r="641" spans="17:17" ht="15.75" customHeight="1" x14ac:dyDescent="0.2">
      <c r="Q641" s="54"/>
    </row>
    <row r="642" spans="17:17" ht="15.75" customHeight="1" x14ac:dyDescent="0.2">
      <c r="Q642" s="54"/>
    </row>
    <row r="643" spans="17:17" ht="15.75" customHeight="1" x14ac:dyDescent="0.2">
      <c r="Q643" s="54"/>
    </row>
    <row r="644" spans="17:17" ht="15.75" customHeight="1" x14ac:dyDescent="0.2">
      <c r="Q644" s="54"/>
    </row>
    <row r="645" spans="17:17" ht="15.75" customHeight="1" x14ac:dyDescent="0.2">
      <c r="Q645" s="54"/>
    </row>
    <row r="646" spans="17:17" ht="15.75" customHeight="1" x14ac:dyDescent="0.2">
      <c r="Q646" s="54"/>
    </row>
    <row r="647" spans="17:17" ht="15.75" customHeight="1" x14ac:dyDescent="0.2">
      <c r="Q647" s="54"/>
    </row>
    <row r="648" spans="17:17" ht="15.75" customHeight="1" x14ac:dyDescent="0.2">
      <c r="Q648" s="54"/>
    </row>
    <row r="649" spans="17:17" ht="15.75" customHeight="1" x14ac:dyDescent="0.2">
      <c r="Q649" s="54"/>
    </row>
    <row r="650" spans="17:17" ht="15.75" customHeight="1" x14ac:dyDescent="0.2">
      <c r="Q650" s="54"/>
    </row>
    <row r="651" spans="17:17" ht="15.75" customHeight="1" x14ac:dyDescent="0.2">
      <c r="Q651" s="54"/>
    </row>
    <row r="652" spans="17:17" ht="15.75" customHeight="1" x14ac:dyDescent="0.2">
      <c r="Q652" s="54"/>
    </row>
    <row r="653" spans="17:17" ht="15.75" customHeight="1" x14ac:dyDescent="0.2">
      <c r="Q653" s="54"/>
    </row>
    <row r="654" spans="17:17" ht="15.75" customHeight="1" x14ac:dyDescent="0.2">
      <c r="Q654" s="54"/>
    </row>
    <row r="655" spans="17:17" ht="15.75" customHeight="1" x14ac:dyDescent="0.2">
      <c r="Q655" s="54"/>
    </row>
    <row r="656" spans="17:17" ht="15.75" customHeight="1" x14ac:dyDescent="0.2">
      <c r="Q656" s="54"/>
    </row>
    <row r="657" spans="17:17" ht="15.75" customHeight="1" x14ac:dyDescent="0.2">
      <c r="Q657" s="54"/>
    </row>
    <row r="658" spans="17:17" ht="15.75" customHeight="1" x14ac:dyDescent="0.2">
      <c r="Q658" s="54"/>
    </row>
    <row r="659" spans="17:17" ht="15.75" customHeight="1" x14ac:dyDescent="0.2">
      <c r="Q659" s="54"/>
    </row>
    <row r="660" spans="17:17" ht="15.75" customHeight="1" x14ac:dyDescent="0.2">
      <c r="Q660" s="54"/>
    </row>
    <row r="661" spans="17:17" ht="15" customHeight="1" x14ac:dyDescent="0.2">
      <c r="Q661" s="54"/>
    </row>
    <row r="662" spans="17:17" ht="15" customHeight="1" x14ac:dyDescent="0.2">
      <c r="Q662" s="54"/>
    </row>
    <row r="663" spans="17:17" ht="15" customHeight="1" x14ac:dyDescent="0.2">
      <c r="Q663" s="54"/>
    </row>
    <row r="664" spans="17:17" ht="15" customHeight="1" x14ac:dyDescent="0.2">
      <c r="Q664" s="54"/>
    </row>
    <row r="665" spans="17:17" ht="15" customHeight="1" x14ac:dyDescent="0.2">
      <c r="Q665" s="54"/>
    </row>
    <row r="666" spans="17:17" ht="15" customHeight="1" x14ac:dyDescent="0.2">
      <c r="Q666" s="54"/>
    </row>
    <row r="667" spans="17:17" ht="15" customHeight="1" x14ac:dyDescent="0.2">
      <c r="Q667" s="54"/>
    </row>
    <row r="668" spans="17:17" ht="15" customHeight="1" x14ac:dyDescent="0.2">
      <c r="Q668" s="54"/>
    </row>
    <row r="669" spans="17:17" ht="15" customHeight="1" x14ac:dyDescent="0.2">
      <c r="Q669" s="54"/>
    </row>
    <row r="670" spans="17:17" ht="15" customHeight="1" x14ac:dyDescent="0.2">
      <c r="Q670" s="54"/>
    </row>
    <row r="671" spans="17:17" ht="15" customHeight="1" x14ac:dyDescent="0.2">
      <c r="Q671" s="54"/>
    </row>
    <row r="672" spans="17:17" ht="15" customHeight="1" x14ac:dyDescent="0.2">
      <c r="Q672" s="54"/>
    </row>
    <row r="673" spans="17:17" ht="15" customHeight="1" x14ac:dyDescent="0.2">
      <c r="Q673" s="54"/>
    </row>
    <row r="674" spans="17:17" ht="15" customHeight="1" x14ac:dyDescent="0.2">
      <c r="Q674" s="54"/>
    </row>
    <row r="675" spans="17:17" ht="15" customHeight="1" x14ac:dyDescent="0.2">
      <c r="Q675" s="54"/>
    </row>
    <row r="676" spans="17:17" ht="15" customHeight="1" x14ac:dyDescent="0.2">
      <c r="Q676" s="54"/>
    </row>
    <row r="677" spans="17:17" ht="15" customHeight="1" x14ac:dyDescent="0.2">
      <c r="Q677" s="54"/>
    </row>
    <row r="678" spans="17:17" ht="15" customHeight="1" x14ac:dyDescent="0.2">
      <c r="Q678" s="54"/>
    </row>
    <row r="679" spans="17:17" ht="15" customHeight="1" x14ac:dyDescent="0.2">
      <c r="Q679" s="54"/>
    </row>
    <row r="680" spans="17:17" ht="15" customHeight="1" x14ac:dyDescent="0.2">
      <c r="Q680" s="54"/>
    </row>
    <row r="681" spans="17:17" ht="15" customHeight="1" x14ac:dyDescent="0.2">
      <c r="Q681" s="54"/>
    </row>
    <row r="682" spans="17:17" ht="15" customHeight="1" x14ac:dyDescent="0.2">
      <c r="Q682" s="54"/>
    </row>
    <row r="683" spans="17:17" ht="15" customHeight="1" x14ac:dyDescent="0.2">
      <c r="Q683" s="54"/>
    </row>
    <row r="684" spans="17:17" ht="15" customHeight="1" x14ac:dyDescent="0.2">
      <c r="Q684" s="54"/>
    </row>
    <row r="685" spans="17:17" ht="15" customHeight="1" x14ac:dyDescent="0.2">
      <c r="Q685" s="54"/>
    </row>
    <row r="686" spans="17:17" ht="15" customHeight="1" x14ac:dyDescent="0.2">
      <c r="Q686" s="54"/>
    </row>
    <row r="687" spans="17:17" ht="15" customHeight="1" x14ac:dyDescent="0.2">
      <c r="Q687" s="54"/>
    </row>
    <row r="688" spans="17:17" ht="15" customHeight="1" x14ac:dyDescent="0.2">
      <c r="Q688" s="54"/>
    </row>
    <row r="689" spans="17:17" ht="15" customHeight="1" x14ac:dyDescent="0.2">
      <c r="Q689" s="54"/>
    </row>
    <row r="690" spans="17:17" ht="15" customHeight="1" x14ac:dyDescent="0.2">
      <c r="Q690" s="54"/>
    </row>
    <row r="691" spans="17:17" ht="15" customHeight="1" x14ac:dyDescent="0.2">
      <c r="Q691" s="54"/>
    </row>
    <row r="692" spans="17:17" ht="15" customHeight="1" x14ac:dyDescent="0.2">
      <c r="Q692" s="54"/>
    </row>
    <row r="693" spans="17:17" ht="15" customHeight="1" x14ac:dyDescent="0.2">
      <c r="Q693" s="54"/>
    </row>
    <row r="694" spans="17:17" ht="15" customHeight="1" x14ac:dyDescent="0.2">
      <c r="Q694" s="54"/>
    </row>
    <row r="695" spans="17:17" ht="15" customHeight="1" x14ac:dyDescent="0.2">
      <c r="Q695" s="54"/>
    </row>
    <row r="696" spans="17:17" ht="15" customHeight="1" x14ac:dyDescent="0.2">
      <c r="Q696" s="54"/>
    </row>
    <row r="697" spans="17:17" ht="15" customHeight="1" x14ac:dyDescent="0.2">
      <c r="Q697" s="54"/>
    </row>
    <row r="698" spans="17:17" ht="15" customHeight="1" x14ac:dyDescent="0.2">
      <c r="Q698" s="54"/>
    </row>
    <row r="699" spans="17:17" ht="15" customHeight="1" x14ac:dyDescent="0.2">
      <c r="Q699" s="54"/>
    </row>
    <row r="700" spans="17:17" ht="15" customHeight="1" x14ac:dyDescent="0.2">
      <c r="Q700" s="54"/>
    </row>
    <row r="701" spans="17:17" ht="15" customHeight="1" x14ac:dyDescent="0.2">
      <c r="Q701" s="54"/>
    </row>
    <row r="702" spans="17:17" ht="15" customHeight="1" x14ac:dyDescent="0.2">
      <c r="Q702" s="54"/>
    </row>
    <row r="703" spans="17:17" ht="15" customHeight="1" x14ac:dyDescent="0.2">
      <c r="Q703" s="54"/>
    </row>
    <row r="704" spans="17:17" ht="15" customHeight="1" x14ac:dyDescent="0.2">
      <c r="Q704" s="54"/>
    </row>
    <row r="705" spans="17:17" ht="15" customHeight="1" x14ac:dyDescent="0.2">
      <c r="Q705" s="54"/>
    </row>
    <row r="706" spans="17:17" ht="15" customHeight="1" x14ac:dyDescent="0.2">
      <c r="Q706" s="54"/>
    </row>
    <row r="707" spans="17:17" ht="15" customHeight="1" x14ac:dyDescent="0.2">
      <c r="Q707" s="54"/>
    </row>
    <row r="708" spans="17:17" ht="15" customHeight="1" x14ac:dyDescent="0.2">
      <c r="Q708" s="54"/>
    </row>
    <row r="709" spans="17:17" ht="15" customHeight="1" x14ac:dyDescent="0.2">
      <c r="Q709" s="54"/>
    </row>
    <row r="710" spans="17:17" ht="15" customHeight="1" x14ac:dyDescent="0.2">
      <c r="Q710" s="54"/>
    </row>
    <row r="711" spans="17:17" ht="15" customHeight="1" x14ac:dyDescent="0.2">
      <c r="Q711" s="54"/>
    </row>
    <row r="712" spans="17:17" ht="15" customHeight="1" x14ac:dyDescent="0.2">
      <c r="Q712" s="54"/>
    </row>
    <row r="713" spans="17:17" ht="15" customHeight="1" x14ac:dyDescent="0.2">
      <c r="Q713" s="54"/>
    </row>
    <row r="714" spans="17:17" ht="15" customHeight="1" x14ac:dyDescent="0.2">
      <c r="Q714" s="54"/>
    </row>
    <row r="715" spans="17:17" ht="15" customHeight="1" x14ac:dyDescent="0.2">
      <c r="Q715" s="54"/>
    </row>
    <row r="716" spans="17:17" ht="15" customHeight="1" x14ac:dyDescent="0.2">
      <c r="Q716" s="54"/>
    </row>
    <row r="717" spans="17:17" ht="15" customHeight="1" x14ac:dyDescent="0.2">
      <c r="Q717" s="54"/>
    </row>
    <row r="718" spans="17:17" ht="15" customHeight="1" x14ac:dyDescent="0.2">
      <c r="Q718" s="54"/>
    </row>
    <row r="719" spans="17:17" ht="15" customHeight="1" x14ac:dyDescent="0.2">
      <c r="Q719" s="54"/>
    </row>
    <row r="720" spans="17:17" ht="15" customHeight="1" x14ac:dyDescent="0.2">
      <c r="Q720" s="54"/>
    </row>
    <row r="721" spans="17:17" ht="15" customHeight="1" x14ac:dyDescent="0.2">
      <c r="Q721" s="54"/>
    </row>
    <row r="722" spans="17:17" ht="15" customHeight="1" x14ac:dyDescent="0.2">
      <c r="Q722" s="54"/>
    </row>
    <row r="723" spans="17:17" ht="15" customHeight="1" x14ac:dyDescent="0.2">
      <c r="Q723" s="54"/>
    </row>
    <row r="724" spans="17:17" ht="15" customHeight="1" x14ac:dyDescent="0.2">
      <c r="Q724" s="54"/>
    </row>
    <row r="725" spans="17:17" ht="15" customHeight="1" x14ac:dyDescent="0.2">
      <c r="Q725" s="54"/>
    </row>
    <row r="726" spans="17:17" ht="15" customHeight="1" x14ac:dyDescent="0.2">
      <c r="Q726" s="54"/>
    </row>
    <row r="727" spans="17:17" ht="15" customHeight="1" x14ac:dyDescent="0.2">
      <c r="Q727" s="54"/>
    </row>
    <row r="728" spans="17:17" ht="15" customHeight="1" x14ac:dyDescent="0.2">
      <c r="Q728" s="54"/>
    </row>
    <row r="729" spans="17:17" ht="15" customHeight="1" x14ac:dyDescent="0.2">
      <c r="Q729" s="54"/>
    </row>
    <row r="730" spans="17:17" ht="15" customHeight="1" x14ac:dyDescent="0.2">
      <c r="Q730" s="54"/>
    </row>
    <row r="731" spans="17:17" ht="15" customHeight="1" x14ac:dyDescent="0.2">
      <c r="Q731" s="54"/>
    </row>
    <row r="732" spans="17:17" ht="15" customHeight="1" x14ac:dyDescent="0.2">
      <c r="Q732" s="54"/>
    </row>
    <row r="733" spans="17:17" ht="15" customHeight="1" x14ac:dyDescent="0.2">
      <c r="Q733" s="54"/>
    </row>
    <row r="734" spans="17:17" ht="15" customHeight="1" x14ac:dyDescent="0.2">
      <c r="Q734" s="54"/>
    </row>
    <row r="735" spans="17:17" ht="15" customHeight="1" x14ac:dyDescent="0.2">
      <c r="Q735" s="54"/>
    </row>
    <row r="736" spans="17:17" ht="15" customHeight="1" x14ac:dyDescent="0.2">
      <c r="Q736" s="54"/>
    </row>
    <row r="737" spans="17:17" ht="15" customHeight="1" x14ac:dyDescent="0.2">
      <c r="Q737" s="54"/>
    </row>
    <row r="738" spans="17:17" ht="15" customHeight="1" x14ac:dyDescent="0.2">
      <c r="Q738" s="54"/>
    </row>
    <row r="739" spans="17:17" ht="15" customHeight="1" x14ac:dyDescent="0.2">
      <c r="Q739" s="54"/>
    </row>
    <row r="740" spans="17:17" ht="15" customHeight="1" x14ac:dyDescent="0.2">
      <c r="Q740" s="54"/>
    </row>
    <row r="741" spans="17:17" ht="15" customHeight="1" x14ac:dyDescent="0.2">
      <c r="Q741" s="54"/>
    </row>
    <row r="742" spans="17:17" ht="15" customHeight="1" x14ac:dyDescent="0.2">
      <c r="Q742" s="54"/>
    </row>
    <row r="743" spans="17:17" ht="15" customHeight="1" x14ac:dyDescent="0.2">
      <c r="Q743" s="54"/>
    </row>
    <row r="744" spans="17:17" ht="15" customHeight="1" x14ac:dyDescent="0.2">
      <c r="Q744" s="54"/>
    </row>
    <row r="745" spans="17:17" ht="15" customHeight="1" x14ac:dyDescent="0.2">
      <c r="Q745" s="54"/>
    </row>
    <row r="746" spans="17:17" ht="15" customHeight="1" x14ac:dyDescent="0.2">
      <c r="Q746" s="54"/>
    </row>
    <row r="747" spans="17:17" ht="15" customHeight="1" x14ac:dyDescent="0.2">
      <c r="Q747" s="54"/>
    </row>
    <row r="748" spans="17:17" ht="15" customHeight="1" x14ac:dyDescent="0.2">
      <c r="Q748" s="54"/>
    </row>
    <row r="749" spans="17:17" ht="15" customHeight="1" x14ac:dyDescent="0.2">
      <c r="Q749" s="54"/>
    </row>
    <row r="750" spans="17:17" ht="15" customHeight="1" x14ac:dyDescent="0.2">
      <c r="Q750" s="54"/>
    </row>
    <row r="751" spans="17:17" ht="15" customHeight="1" x14ac:dyDescent="0.2">
      <c r="Q751" s="54"/>
    </row>
    <row r="752" spans="17:17" ht="15" customHeight="1" x14ac:dyDescent="0.2">
      <c r="Q752" s="54"/>
    </row>
    <row r="753" spans="17:17" ht="15" customHeight="1" x14ac:dyDescent="0.2">
      <c r="Q753" s="54"/>
    </row>
    <row r="754" spans="17:17" ht="15" customHeight="1" x14ac:dyDescent="0.2">
      <c r="Q754" s="54"/>
    </row>
    <row r="755" spans="17:17" ht="15" customHeight="1" x14ac:dyDescent="0.2">
      <c r="Q755" s="54"/>
    </row>
    <row r="756" spans="17:17" ht="15" customHeight="1" x14ac:dyDescent="0.2">
      <c r="Q756" s="54"/>
    </row>
    <row r="757" spans="17:17" ht="15" customHeight="1" x14ac:dyDescent="0.2">
      <c r="Q757" s="54"/>
    </row>
    <row r="758" spans="17:17" ht="15" customHeight="1" x14ac:dyDescent="0.2">
      <c r="Q758" s="54"/>
    </row>
    <row r="759" spans="17:17" ht="15" customHeight="1" x14ac:dyDescent="0.2">
      <c r="Q759" s="54"/>
    </row>
    <row r="760" spans="17:17" ht="15" customHeight="1" x14ac:dyDescent="0.2">
      <c r="Q760" s="54"/>
    </row>
    <row r="761" spans="17:17" ht="15" customHeight="1" x14ac:dyDescent="0.2">
      <c r="Q761" s="54"/>
    </row>
    <row r="762" spans="17:17" ht="15" customHeight="1" x14ac:dyDescent="0.2">
      <c r="Q762" s="54"/>
    </row>
    <row r="763" spans="17:17" ht="15" customHeight="1" x14ac:dyDescent="0.2">
      <c r="Q763" s="54"/>
    </row>
    <row r="764" spans="17:17" ht="15" customHeight="1" x14ac:dyDescent="0.2">
      <c r="Q764" s="54"/>
    </row>
    <row r="765" spans="17:17" ht="15" customHeight="1" x14ac:dyDescent="0.2">
      <c r="Q765" s="54"/>
    </row>
    <row r="766" spans="17:17" ht="15" customHeight="1" x14ac:dyDescent="0.2">
      <c r="Q766" s="54"/>
    </row>
    <row r="767" spans="17:17" ht="15" customHeight="1" x14ac:dyDescent="0.2">
      <c r="Q767" s="54"/>
    </row>
    <row r="768" spans="17:17" ht="15" customHeight="1" x14ac:dyDescent="0.2">
      <c r="Q768" s="54"/>
    </row>
    <row r="769" spans="17:17" ht="15" customHeight="1" x14ac:dyDescent="0.2">
      <c r="Q769" s="54"/>
    </row>
    <row r="770" spans="17:17" ht="15" customHeight="1" x14ac:dyDescent="0.2">
      <c r="Q770" s="54"/>
    </row>
    <row r="771" spans="17:17" ht="15" customHeight="1" x14ac:dyDescent="0.2">
      <c r="Q771" s="54"/>
    </row>
    <row r="772" spans="17:17" ht="15" customHeight="1" x14ac:dyDescent="0.2">
      <c r="Q772" s="54"/>
    </row>
    <row r="773" spans="17:17" ht="15" customHeight="1" x14ac:dyDescent="0.2">
      <c r="Q773" s="54"/>
    </row>
    <row r="774" spans="17:17" ht="15" customHeight="1" x14ac:dyDescent="0.2">
      <c r="Q774" s="54"/>
    </row>
    <row r="775" spans="17:17" ht="15" customHeight="1" x14ac:dyDescent="0.2">
      <c r="Q775" s="54"/>
    </row>
    <row r="776" spans="17:17" ht="15" customHeight="1" x14ac:dyDescent="0.2">
      <c r="Q776" s="54"/>
    </row>
    <row r="777" spans="17:17" ht="15" customHeight="1" x14ac:dyDescent="0.2">
      <c r="Q777" s="54"/>
    </row>
    <row r="778" spans="17:17" ht="15" customHeight="1" x14ac:dyDescent="0.2">
      <c r="Q778" s="54"/>
    </row>
    <row r="779" spans="17:17" ht="15" customHeight="1" x14ac:dyDescent="0.2">
      <c r="Q779" s="54"/>
    </row>
    <row r="780" spans="17:17" ht="15" customHeight="1" x14ac:dyDescent="0.2">
      <c r="Q780" s="54"/>
    </row>
    <row r="781" spans="17:17" ht="15" customHeight="1" x14ac:dyDescent="0.2">
      <c r="Q781" s="54"/>
    </row>
    <row r="782" spans="17:17" ht="15" customHeight="1" x14ac:dyDescent="0.2">
      <c r="Q782" s="54"/>
    </row>
    <row r="783" spans="17:17" ht="15" customHeight="1" x14ac:dyDescent="0.2">
      <c r="Q783" s="54"/>
    </row>
    <row r="784" spans="17:17" ht="15" customHeight="1" x14ac:dyDescent="0.2">
      <c r="Q784" s="54"/>
    </row>
    <row r="785" spans="17:17" ht="15" customHeight="1" x14ac:dyDescent="0.2">
      <c r="Q785" s="54"/>
    </row>
    <row r="786" spans="17:17" ht="15" customHeight="1" x14ac:dyDescent="0.2">
      <c r="Q786" s="54"/>
    </row>
    <row r="787" spans="17:17" ht="15" customHeight="1" x14ac:dyDescent="0.2">
      <c r="Q787" s="54"/>
    </row>
    <row r="788" spans="17:17" ht="15" customHeight="1" x14ac:dyDescent="0.2">
      <c r="Q788" s="54"/>
    </row>
    <row r="789" spans="17:17" ht="15" customHeight="1" x14ac:dyDescent="0.2">
      <c r="Q789" s="54"/>
    </row>
    <row r="790" spans="17:17" ht="15" customHeight="1" x14ac:dyDescent="0.2">
      <c r="Q790" s="54"/>
    </row>
    <row r="791" spans="17:17" ht="15" customHeight="1" x14ac:dyDescent="0.2">
      <c r="Q791" s="54"/>
    </row>
    <row r="792" spans="17:17" ht="15" customHeight="1" x14ac:dyDescent="0.2">
      <c r="Q792" s="54"/>
    </row>
    <row r="793" spans="17:17" ht="15" customHeight="1" x14ac:dyDescent="0.2">
      <c r="Q793" s="54"/>
    </row>
    <row r="794" spans="17:17" ht="15" customHeight="1" x14ac:dyDescent="0.2">
      <c r="Q794" s="54"/>
    </row>
    <row r="795" spans="17:17" ht="15" customHeight="1" x14ac:dyDescent="0.2">
      <c r="Q795" s="54"/>
    </row>
    <row r="796" spans="17:17" ht="15" customHeight="1" x14ac:dyDescent="0.2">
      <c r="Q796" s="54"/>
    </row>
    <row r="797" spans="17:17" ht="15" customHeight="1" x14ac:dyDescent="0.2">
      <c r="Q797" s="54"/>
    </row>
    <row r="798" spans="17:17" ht="15" customHeight="1" x14ac:dyDescent="0.2">
      <c r="Q798" s="54"/>
    </row>
    <row r="799" spans="17:17" ht="15" customHeight="1" x14ac:dyDescent="0.2">
      <c r="Q799" s="54"/>
    </row>
    <row r="800" spans="17:17" ht="15" customHeight="1" x14ac:dyDescent="0.2">
      <c r="Q800" s="54"/>
    </row>
    <row r="801" spans="17:17" ht="15" customHeight="1" x14ac:dyDescent="0.2">
      <c r="Q801" s="54"/>
    </row>
    <row r="802" spans="17:17" ht="15" customHeight="1" x14ac:dyDescent="0.2">
      <c r="Q802" s="54"/>
    </row>
    <row r="803" spans="17:17" ht="15" customHeight="1" x14ac:dyDescent="0.2">
      <c r="Q803" s="54"/>
    </row>
    <row r="804" spans="17:17" ht="15" customHeight="1" x14ac:dyDescent="0.2">
      <c r="Q804" s="54"/>
    </row>
    <row r="805" spans="17:17" ht="15" customHeight="1" x14ac:dyDescent="0.2">
      <c r="Q805" s="54"/>
    </row>
    <row r="806" spans="17:17" ht="15" customHeight="1" x14ac:dyDescent="0.2">
      <c r="Q806" s="54"/>
    </row>
    <row r="807" spans="17:17" ht="15" customHeight="1" x14ac:dyDescent="0.2">
      <c r="Q807" s="54"/>
    </row>
    <row r="808" spans="17:17" ht="15" customHeight="1" x14ac:dyDescent="0.2">
      <c r="Q808" s="54"/>
    </row>
    <row r="809" spans="17:17" ht="15" customHeight="1" x14ac:dyDescent="0.2">
      <c r="Q809" s="54"/>
    </row>
    <row r="810" spans="17:17" ht="15" customHeight="1" x14ac:dyDescent="0.2">
      <c r="Q810" s="54"/>
    </row>
    <row r="811" spans="17:17" ht="15" customHeight="1" x14ac:dyDescent="0.2">
      <c r="Q811" s="54"/>
    </row>
    <row r="812" spans="17:17" ht="15" customHeight="1" x14ac:dyDescent="0.2">
      <c r="Q812" s="54"/>
    </row>
    <row r="813" spans="17:17" ht="15" customHeight="1" x14ac:dyDescent="0.2">
      <c r="Q813" s="54"/>
    </row>
    <row r="814" spans="17:17" ht="15" customHeight="1" x14ac:dyDescent="0.2">
      <c r="Q814" s="54"/>
    </row>
    <row r="815" spans="17:17" ht="15" customHeight="1" x14ac:dyDescent="0.2">
      <c r="Q815" s="54"/>
    </row>
    <row r="816" spans="17:17" ht="15" customHeight="1" x14ac:dyDescent="0.2">
      <c r="Q816" s="54"/>
    </row>
    <row r="817" spans="17:17" ht="15" customHeight="1" x14ac:dyDescent="0.2">
      <c r="Q817" s="54"/>
    </row>
    <row r="818" spans="17:17" ht="15" customHeight="1" x14ac:dyDescent="0.2">
      <c r="Q818" s="54"/>
    </row>
    <row r="819" spans="17:17" ht="15" customHeight="1" x14ac:dyDescent="0.2">
      <c r="Q819" s="54"/>
    </row>
    <row r="820" spans="17:17" ht="15" customHeight="1" x14ac:dyDescent="0.2">
      <c r="Q820" s="54"/>
    </row>
    <row r="821" spans="17:17" ht="15" customHeight="1" x14ac:dyDescent="0.2">
      <c r="Q821" s="54"/>
    </row>
    <row r="822" spans="17:17" ht="15" customHeight="1" x14ac:dyDescent="0.2">
      <c r="Q822" s="54"/>
    </row>
    <row r="823" spans="17:17" ht="15" customHeight="1" x14ac:dyDescent="0.2">
      <c r="Q823" s="54"/>
    </row>
    <row r="824" spans="17:17" ht="15" customHeight="1" x14ac:dyDescent="0.2">
      <c r="Q824" s="54"/>
    </row>
    <row r="825" spans="17:17" ht="15" customHeight="1" x14ac:dyDescent="0.2">
      <c r="Q825" s="54"/>
    </row>
    <row r="826" spans="17:17" ht="15" customHeight="1" x14ac:dyDescent="0.2">
      <c r="Q826" s="54"/>
    </row>
    <row r="827" spans="17:17" ht="15" customHeight="1" x14ac:dyDescent="0.2">
      <c r="Q827" s="54"/>
    </row>
    <row r="828" spans="17:17" ht="15" customHeight="1" x14ac:dyDescent="0.2">
      <c r="Q828" s="54"/>
    </row>
    <row r="829" spans="17:17" ht="15" customHeight="1" x14ac:dyDescent="0.2">
      <c r="Q829" s="54"/>
    </row>
    <row r="830" spans="17:17" ht="15" customHeight="1" x14ac:dyDescent="0.2">
      <c r="Q830" s="54"/>
    </row>
    <row r="831" spans="17:17" ht="15" customHeight="1" x14ac:dyDescent="0.2">
      <c r="Q831" s="54"/>
    </row>
    <row r="832" spans="17:17" ht="15" customHeight="1" x14ac:dyDescent="0.2">
      <c r="Q832" s="54"/>
    </row>
    <row r="833" spans="17:17" ht="15" customHeight="1" x14ac:dyDescent="0.2">
      <c r="Q833" s="54"/>
    </row>
    <row r="834" spans="17:17" ht="15" customHeight="1" x14ac:dyDescent="0.2">
      <c r="Q834" s="54"/>
    </row>
    <row r="835" spans="17:17" ht="15" customHeight="1" x14ac:dyDescent="0.2">
      <c r="Q835" s="54"/>
    </row>
    <row r="836" spans="17:17" ht="15" customHeight="1" x14ac:dyDescent="0.2">
      <c r="Q836" s="54"/>
    </row>
    <row r="837" spans="17:17" ht="15" customHeight="1" x14ac:dyDescent="0.2">
      <c r="Q837" s="54"/>
    </row>
    <row r="838" spans="17:17" ht="15" customHeight="1" x14ac:dyDescent="0.2">
      <c r="Q838" s="54"/>
    </row>
    <row r="839" spans="17:17" ht="15" customHeight="1" x14ac:dyDescent="0.2">
      <c r="Q839" s="54"/>
    </row>
    <row r="840" spans="17:17" ht="15" customHeight="1" x14ac:dyDescent="0.2">
      <c r="Q840" s="54"/>
    </row>
    <row r="841" spans="17:17" ht="15" customHeight="1" x14ac:dyDescent="0.2">
      <c r="Q841" s="54"/>
    </row>
    <row r="842" spans="17:17" ht="15" customHeight="1" x14ac:dyDescent="0.2">
      <c r="Q842" s="54"/>
    </row>
    <row r="843" spans="17:17" ht="15" customHeight="1" x14ac:dyDescent="0.2">
      <c r="Q843" s="54"/>
    </row>
    <row r="844" spans="17:17" ht="15" customHeight="1" x14ac:dyDescent="0.2">
      <c r="Q844" s="54"/>
    </row>
    <row r="845" spans="17:17" ht="15" customHeight="1" x14ac:dyDescent="0.2">
      <c r="Q845" s="54"/>
    </row>
    <row r="846" spans="17:17" ht="15" customHeight="1" x14ac:dyDescent="0.2">
      <c r="Q846" s="54"/>
    </row>
    <row r="847" spans="17:17" ht="15" customHeight="1" x14ac:dyDescent="0.2">
      <c r="Q847" s="54"/>
    </row>
    <row r="848" spans="17:17" ht="15" customHeight="1" x14ac:dyDescent="0.2">
      <c r="Q848" s="54"/>
    </row>
    <row r="849" spans="17:17" ht="15" customHeight="1" x14ac:dyDescent="0.2">
      <c r="Q849" s="54"/>
    </row>
    <row r="850" spans="17:17" ht="15" customHeight="1" x14ac:dyDescent="0.2">
      <c r="Q850" s="54"/>
    </row>
    <row r="851" spans="17:17" ht="15" customHeight="1" x14ac:dyDescent="0.2">
      <c r="Q851" s="54"/>
    </row>
    <row r="852" spans="17:17" ht="15" customHeight="1" x14ac:dyDescent="0.2">
      <c r="Q852" s="54"/>
    </row>
    <row r="853" spans="17:17" ht="15" customHeight="1" x14ac:dyDescent="0.2">
      <c r="Q853" s="54"/>
    </row>
    <row r="854" spans="17:17" ht="15" customHeight="1" x14ac:dyDescent="0.2">
      <c r="Q854" s="54"/>
    </row>
    <row r="855" spans="17:17" ht="15" customHeight="1" x14ac:dyDescent="0.2">
      <c r="Q855" s="54"/>
    </row>
    <row r="856" spans="17:17" ht="15" customHeight="1" x14ac:dyDescent="0.2">
      <c r="Q856" s="54"/>
    </row>
    <row r="857" spans="17:17" ht="15" customHeight="1" x14ac:dyDescent="0.2">
      <c r="Q857" s="54"/>
    </row>
    <row r="858" spans="17:17" ht="15" customHeight="1" x14ac:dyDescent="0.2">
      <c r="Q858" s="54"/>
    </row>
    <row r="859" spans="17:17" ht="15" customHeight="1" x14ac:dyDescent="0.2">
      <c r="Q859" s="54"/>
    </row>
    <row r="860" spans="17:17" ht="15" customHeight="1" x14ac:dyDescent="0.2">
      <c r="Q860" s="54"/>
    </row>
    <row r="861" spans="17:17" ht="15" customHeight="1" x14ac:dyDescent="0.2">
      <c r="Q861" s="54"/>
    </row>
    <row r="862" spans="17:17" ht="15" customHeight="1" x14ac:dyDescent="0.2">
      <c r="Q862" s="54"/>
    </row>
    <row r="863" spans="17:17" ht="15" customHeight="1" x14ac:dyDescent="0.2">
      <c r="Q863" s="54"/>
    </row>
    <row r="864" spans="17:17" ht="15" customHeight="1" x14ac:dyDescent="0.2">
      <c r="Q864" s="54"/>
    </row>
    <row r="865" spans="17:17" ht="15" customHeight="1" x14ac:dyDescent="0.2">
      <c r="Q865" s="54"/>
    </row>
    <row r="866" spans="17:17" ht="15" customHeight="1" x14ac:dyDescent="0.2">
      <c r="Q866" s="54"/>
    </row>
    <row r="867" spans="17:17" ht="15" customHeight="1" x14ac:dyDescent="0.2">
      <c r="Q867" s="54"/>
    </row>
    <row r="868" spans="17:17" ht="15" customHeight="1" x14ac:dyDescent="0.2">
      <c r="Q868" s="54"/>
    </row>
    <row r="869" spans="17:17" ht="15" customHeight="1" x14ac:dyDescent="0.2">
      <c r="Q869" s="54"/>
    </row>
    <row r="870" spans="17:17" ht="15" customHeight="1" x14ac:dyDescent="0.2">
      <c r="Q870" s="54"/>
    </row>
    <row r="871" spans="17:17" ht="15" customHeight="1" x14ac:dyDescent="0.2">
      <c r="Q871" s="54"/>
    </row>
    <row r="872" spans="17:17" ht="15" customHeight="1" x14ac:dyDescent="0.2">
      <c r="Q872" s="54"/>
    </row>
    <row r="873" spans="17:17" ht="15" customHeight="1" x14ac:dyDescent="0.2">
      <c r="Q873" s="54"/>
    </row>
    <row r="874" spans="17:17" ht="15" customHeight="1" x14ac:dyDescent="0.2">
      <c r="Q874" s="54"/>
    </row>
    <row r="875" spans="17:17" ht="15" customHeight="1" x14ac:dyDescent="0.2">
      <c r="Q875" s="54"/>
    </row>
    <row r="876" spans="17:17" ht="15" customHeight="1" x14ac:dyDescent="0.2">
      <c r="Q876" s="54"/>
    </row>
    <row r="877" spans="17:17" ht="15" customHeight="1" x14ac:dyDescent="0.2">
      <c r="Q877" s="54"/>
    </row>
    <row r="878" spans="17:17" ht="15" customHeight="1" x14ac:dyDescent="0.2">
      <c r="Q878" s="54"/>
    </row>
    <row r="879" spans="17:17" ht="15" customHeight="1" x14ac:dyDescent="0.2">
      <c r="Q879" s="54"/>
    </row>
    <row r="880" spans="17:17" ht="15" customHeight="1" x14ac:dyDescent="0.2">
      <c r="Q880" s="54"/>
    </row>
    <row r="881" spans="17:17" ht="15" customHeight="1" x14ac:dyDescent="0.2">
      <c r="Q881" s="54"/>
    </row>
    <row r="882" spans="17:17" ht="15" customHeight="1" x14ac:dyDescent="0.2">
      <c r="Q882" s="54"/>
    </row>
    <row r="883" spans="17:17" ht="15" customHeight="1" x14ac:dyDescent="0.2">
      <c r="Q883" s="54"/>
    </row>
    <row r="884" spans="17:17" ht="15" customHeight="1" x14ac:dyDescent="0.2">
      <c r="Q884" s="54"/>
    </row>
    <row r="885" spans="17:17" ht="15" customHeight="1" x14ac:dyDescent="0.2">
      <c r="Q885" s="54"/>
    </row>
    <row r="886" spans="17:17" ht="15" customHeight="1" x14ac:dyDescent="0.2">
      <c r="Q886" s="54"/>
    </row>
    <row r="887" spans="17:17" ht="15" customHeight="1" x14ac:dyDescent="0.2">
      <c r="Q887" s="54"/>
    </row>
    <row r="888" spans="17:17" ht="15" customHeight="1" x14ac:dyDescent="0.2">
      <c r="Q888" s="54"/>
    </row>
    <row r="889" spans="17:17" ht="15" customHeight="1" x14ac:dyDescent="0.2">
      <c r="Q889" s="54"/>
    </row>
    <row r="890" spans="17:17" ht="15" customHeight="1" x14ac:dyDescent="0.2">
      <c r="Q890" s="54"/>
    </row>
    <row r="891" spans="17:17" ht="15" customHeight="1" x14ac:dyDescent="0.2">
      <c r="Q891" s="54"/>
    </row>
    <row r="892" spans="17:17" ht="15" customHeight="1" x14ac:dyDescent="0.2">
      <c r="Q892" s="54"/>
    </row>
    <row r="893" spans="17:17" ht="15" customHeight="1" x14ac:dyDescent="0.2">
      <c r="Q893" s="54"/>
    </row>
    <row r="894" spans="17:17" ht="15" customHeight="1" x14ac:dyDescent="0.2">
      <c r="Q894" s="54"/>
    </row>
    <row r="895" spans="17:17" ht="15" customHeight="1" x14ac:dyDescent="0.2">
      <c r="Q895" s="54"/>
    </row>
    <row r="896" spans="17:17" ht="15" customHeight="1" x14ac:dyDescent="0.2">
      <c r="Q896" s="54"/>
    </row>
    <row r="897" spans="17:17" ht="15" customHeight="1" x14ac:dyDescent="0.2">
      <c r="Q897" s="54"/>
    </row>
    <row r="898" spans="17:17" ht="15" customHeight="1" x14ac:dyDescent="0.2">
      <c r="Q898" s="54"/>
    </row>
    <row r="899" spans="17:17" ht="15" customHeight="1" x14ac:dyDescent="0.2">
      <c r="Q899" s="54"/>
    </row>
    <row r="900" spans="17:17" ht="15" customHeight="1" x14ac:dyDescent="0.2">
      <c r="Q900" s="54"/>
    </row>
    <row r="901" spans="17:17" ht="15" customHeight="1" x14ac:dyDescent="0.2">
      <c r="Q901" s="54"/>
    </row>
    <row r="902" spans="17:17" ht="15" customHeight="1" x14ac:dyDescent="0.2">
      <c r="Q902" s="54"/>
    </row>
    <row r="903" spans="17:17" ht="15" customHeight="1" x14ac:dyDescent="0.2">
      <c r="Q903" s="54"/>
    </row>
    <row r="904" spans="17:17" ht="15" customHeight="1" x14ac:dyDescent="0.2">
      <c r="Q904" s="54"/>
    </row>
    <row r="905" spans="17:17" ht="15" customHeight="1" x14ac:dyDescent="0.2">
      <c r="Q905" s="54"/>
    </row>
    <row r="906" spans="17:17" ht="15" customHeight="1" x14ac:dyDescent="0.2">
      <c r="Q906" s="54"/>
    </row>
    <row r="907" spans="17:17" ht="15" customHeight="1" x14ac:dyDescent="0.2">
      <c r="Q907" s="54"/>
    </row>
    <row r="908" spans="17:17" ht="15" customHeight="1" x14ac:dyDescent="0.2">
      <c r="Q908" s="54"/>
    </row>
    <row r="909" spans="17:17" ht="15" customHeight="1" x14ac:dyDescent="0.2">
      <c r="Q909" s="54"/>
    </row>
    <row r="910" spans="17:17" ht="15" customHeight="1" x14ac:dyDescent="0.2">
      <c r="Q910" s="54"/>
    </row>
    <row r="911" spans="17:17" ht="15" customHeight="1" x14ac:dyDescent="0.2">
      <c r="Q911" s="54"/>
    </row>
    <row r="912" spans="17:17" ht="15" customHeight="1" x14ac:dyDescent="0.2">
      <c r="Q912" s="54"/>
    </row>
    <row r="913" spans="17:17" ht="15" customHeight="1" x14ac:dyDescent="0.2">
      <c r="Q913" s="54"/>
    </row>
    <row r="914" spans="17:17" ht="15" customHeight="1" x14ac:dyDescent="0.2">
      <c r="Q914" s="54"/>
    </row>
    <row r="915" spans="17:17" ht="15" customHeight="1" x14ac:dyDescent="0.2">
      <c r="Q915" s="54"/>
    </row>
    <row r="916" spans="17:17" ht="15" customHeight="1" x14ac:dyDescent="0.2">
      <c r="Q916" s="54"/>
    </row>
    <row r="917" spans="17:17" ht="15" customHeight="1" x14ac:dyDescent="0.2">
      <c r="Q917" s="54"/>
    </row>
    <row r="918" spans="17:17" ht="15" customHeight="1" x14ac:dyDescent="0.2">
      <c r="Q918" s="54"/>
    </row>
    <row r="919" spans="17:17" ht="15" customHeight="1" x14ac:dyDescent="0.2">
      <c r="Q919" s="54"/>
    </row>
    <row r="920" spans="17:17" ht="15" customHeight="1" x14ac:dyDescent="0.2">
      <c r="Q920" s="54"/>
    </row>
    <row r="921" spans="17:17" ht="15" customHeight="1" x14ac:dyDescent="0.2">
      <c r="Q921" s="54"/>
    </row>
    <row r="922" spans="17:17" ht="15" customHeight="1" x14ac:dyDescent="0.2">
      <c r="Q922" s="54"/>
    </row>
    <row r="923" spans="17:17" ht="15" customHeight="1" x14ac:dyDescent="0.2">
      <c r="Q923" s="54"/>
    </row>
    <row r="924" spans="17:17" ht="15" customHeight="1" x14ac:dyDescent="0.2">
      <c r="Q924" s="54"/>
    </row>
    <row r="925" spans="17:17" ht="15" customHeight="1" x14ac:dyDescent="0.2">
      <c r="Q925" s="54"/>
    </row>
    <row r="926" spans="17:17" ht="15" customHeight="1" x14ac:dyDescent="0.2">
      <c r="Q926" s="54"/>
    </row>
    <row r="927" spans="17:17" ht="15" customHeight="1" x14ac:dyDescent="0.2">
      <c r="Q927" s="54"/>
    </row>
    <row r="928" spans="17:17" ht="15" customHeight="1" x14ac:dyDescent="0.2">
      <c r="Q928" s="54"/>
    </row>
    <row r="929" spans="17:17" ht="15" customHeight="1" x14ac:dyDescent="0.2">
      <c r="Q929" s="54"/>
    </row>
    <row r="930" spans="17:17" ht="15" customHeight="1" x14ac:dyDescent="0.2">
      <c r="Q930" s="54"/>
    </row>
    <row r="931" spans="17:17" ht="15" customHeight="1" x14ac:dyDescent="0.2">
      <c r="Q931" s="54"/>
    </row>
    <row r="932" spans="17:17" ht="15" customHeight="1" x14ac:dyDescent="0.2">
      <c r="Q932" s="54"/>
    </row>
    <row r="933" spans="17:17" ht="15" customHeight="1" x14ac:dyDescent="0.2">
      <c r="Q933" s="54"/>
    </row>
    <row r="934" spans="17:17" ht="15" customHeight="1" x14ac:dyDescent="0.2">
      <c r="Q934" s="54"/>
    </row>
    <row r="935" spans="17:17" ht="15" customHeight="1" x14ac:dyDescent="0.2">
      <c r="Q935" s="54"/>
    </row>
    <row r="936" spans="17:17" ht="15" customHeight="1" x14ac:dyDescent="0.2">
      <c r="Q936" s="54"/>
    </row>
    <row r="937" spans="17:17" ht="15" customHeight="1" x14ac:dyDescent="0.2">
      <c r="Q937" s="54"/>
    </row>
    <row r="938" spans="17:17" ht="15" customHeight="1" x14ac:dyDescent="0.2">
      <c r="Q938" s="54"/>
    </row>
    <row r="939" spans="17:17" ht="15" customHeight="1" x14ac:dyDescent="0.2">
      <c r="Q939" s="54"/>
    </row>
    <row r="940" spans="17:17" ht="15" customHeight="1" x14ac:dyDescent="0.2">
      <c r="Q940" s="54"/>
    </row>
    <row r="941" spans="17:17" ht="15" customHeight="1" x14ac:dyDescent="0.2">
      <c r="Q941" s="54"/>
    </row>
    <row r="942" spans="17:17" ht="15" customHeight="1" x14ac:dyDescent="0.2">
      <c r="Q942" s="54"/>
    </row>
    <row r="943" spans="17:17" ht="15" customHeight="1" x14ac:dyDescent="0.2">
      <c r="Q943" s="54"/>
    </row>
    <row r="944" spans="17:17" ht="15" customHeight="1" x14ac:dyDescent="0.2">
      <c r="Q944" s="54"/>
    </row>
    <row r="945" spans="17:17" ht="15" customHeight="1" x14ac:dyDescent="0.2">
      <c r="Q945" s="54"/>
    </row>
    <row r="946" spans="17:17" ht="15" customHeight="1" x14ac:dyDescent="0.2">
      <c r="Q946" s="54"/>
    </row>
    <row r="947" spans="17:17" ht="15" customHeight="1" x14ac:dyDescent="0.2">
      <c r="Q947" s="54"/>
    </row>
    <row r="948" spans="17:17" ht="15" customHeight="1" x14ac:dyDescent="0.2">
      <c r="Q948" s="54"/>
    </row>
    <row r="949" spans="17:17" ht="15" customHeight="1" x14ac:dyDescent="0.2">
      <c r="Q949" s="54"/>
    </row>
    <row r="950" spans="17:17" ht="15" customHeight="1" x14ac:dyDescent="0.2">
      <c r="Q950" s="54"/>
    </row>
    <row r="951" spans="17:17" ht="15" customHeight="1" x14ac:dyDescent="0.2">
      <c r="Q951" s="54"/>
    </row>
    <row r="952" spans="17:17" ht="15" customHeight="1" x14ac:dyDescent="0.2">
      <c r="Q952" s="54"/>
    </row>
    <row r="953" spans="17:17" ht="15" customHeight="1" x14ac:dyDescent="0.2">
      <c r="Q953" s="54"/>
    </row>
    <row r="954" spans="17:17" ht="15" customHeight="1" x14ac:dyDescent="0.2">
      <c r="Q954" s="54"/>
    </row>
    <row r="955" spans="17:17" ht="15" customHeight="1" x14ac:dyDescent="0.2">
      <c r="Q955" s="54"/>
    </row>
    <row r="956" spans="17:17" ht="15" customHeight="1" x14ac:dyDescent="0.2">
      <c r="Q956" s="54"/>
    </row>
    <row r="957" spans="17:17" ht="15" customHeight="1" x14ac:dyDescent="0.2">
      <c r="Q957" s="54"/>
    </row>
    <row r="958" spans="17:17" ht="15" customHeight="1" x14ac:dyDescent="0.2">
      <c r="Q958" s="54"/>
    </row>
    <row r="959" spans="17:17" ht="15" customHeight="1" x14ac:dyDescent="0.2">
      <c r="Q959" s="54"/>
    </row>
    <row r="960" spans="17:17" ht="15" customHeight="1" x14ac:dyDescent="0.2">
      <c r="Q960" s="54"/>
    </row>
    <row r="961" spans="17:17" ht="15" customHeight="1" x14ac:dyDescent="0.2">
      <c r="Q961" s="54"/>
    </row>
    <row r="962" spans="17:17" ht="15" customHeight="1" x14ac:dyDescent="0.2">
      <c r="Q962" s="54"/>
    </row>
    <row r="963" spans="17:17" ht="15" customHeight="1" x14ac:dyDescent="0.2">
      <c r="Q963" s="54"/>
    </row>
    <row r="964" spans="17:17" ht="15" customHeight="1" x14ac:dyDescent="0.2">
      <c r="Q964" s="54"/>
    </row>
    <row r="965" spans="17:17" ht="15" customHeight="1" x14ac:dyDescent="0.2">
      <c r="Q965" s="54"/>
    </row>
    <row r="966" spans="17:17" ht="15" customHeight="1" x14ac:dyDescent="0.2">
      <c r="Q966" s="54"/>
    </row>
    <row r="967" spans="17:17" ht="15" customHeight="1" x14ac:dyDescent="0.2">
      <c r="Q967" s="54"/>
    </row>
    <row r="968" spans="17:17" ht="15" customHeight="1" x14ac:dyDescent="0.2">
      <c r="Q968" s="54"/>
    </row>
    <row r="969" spans="17:17" ht="15" customHeight="1" x14ac:dyDescent="0.2">
      <c r="Q969" s="54"/>
    </row>
    <row r="970" spans="17:17" ht="15" customHeight="1" x14ac:dyDescent="0.2">
      <c r="Q970" s="54"/>
    </row>
    <row r="971" spans="17:17" ht="15" customHeight="1" x14ac:dyDescent="0.2">
      <c r="Q971" s="54"/>
    </row>
    <row r="972" spans="17:17" ht="15" customHeight="1" x14ac:dyDescent="0.2">
      <c r="Q972" s="54"/>
    </row>
    <row r="973" spans="17:17" ht="15" customHeight="1" x14ac:dyDescent="0.2">
      <c r="Q973" s="54"/>
    </row>
    <row r="974" spans="17:17" ht="15" customHeight="1" x14ac:dyDescent="0.2">
      <c r="Q974" s="54"/>
    </row>
    <row r="975" spans="17:17" ht="15" customHeight="1" x14ac:dyDescent="0.2">
      <c r="Q975" s="54"/>
    </row>
    <row r="976" spans="17:17" ht="15" customHeight="1" x14ac:dyDescent="0.2">
      <c r="Q976" s="54"/>
    </row>
    <row r="977" spans="17:17" ht="15" customHeight="1" x14ac:dyDescent="0.2">
      <c r="Q977" s="54"/>
    </row>
    <row r="978" spans="17:17" ht="15" customHeight="1" x14ac:dyDescent="0.2">
      <c r="Q978" s="54"/>
    </row>
    <row r="979" spans="17:17" ht="15" customHeight="1" x14ac:dyDescent="0.2">
      <c r="Q979" s="54"/>
    </row>
    <row r="980" spans="17:17" ht="15" customHeight="1" x14ac:dyDescent="0.2">
      <c r="Q980" s="54"/>
    </row>
    <row r="981" spans="17:17" ht="15" customHeight="1" x14ac:dyDescent="0.2">
      <c r="Q981" s="54"/>
    </row>
    <row r="982" spans="17:17" ht="15" customHeight="1" x14ac:dyDescent="0.2">
      <c r="Q982" s="54"/>
    </row>
    <row r="983" spans="17:17" ht="15" customHeight="1" x14ac:dyDescent="0.2">
      <c r="Q983" s="54"/>
    </row>
    <row r="984" spans="17:17" ht="15" customHeight="1" x14ac:dyDescent="0.2">
      <c r="Q984" s="54"/>
    </row>
    <row r="985" spans="17:17" ht="15" customHeight="1" x14ac:dyDescent="0.2">
      <c r="Q985" s="54"/>
    </row>
    <row r="986" spans="17:17" ht="15" customHeight="1" x14ac:dyDescent="0.2">
      <c r="Q986" s="54"/>
    </row>
    <row r="987" spans="17:17" ht="15" customHeight="1" x14ac:dyDescent="0.2">
      <c r="Q987" s="54"/>
    </row>
    <row r="988" spans="17:17" ht="15" customHeight="1" x14ac:dyDescent="0.2">
      <c r="Q988" s="54"/>
    </row>
    <row r="989" spans="17:17" ht="15" customHeight="1" x14ac:dyDescent="0.2">
      <c r="Q989" s="54"/>
    </row>
    <row r="990" spans="17:17" ht="15" customHeight="1" x14ac:dyDescent="0.2">
      <c r="Q990" s="54"/>
    </row>
    <row r="991" spans="17:17" ht="15" customHeight="1" x14ac:dyDescent="0.2">
      <c r="Q991" s="54"/>
    </row>
    <row r="992" spans="17:17" ht="15" customHeight="1" x14ac:dyDescent="0.2">
      <c r="Q992" s="54"/>
    </row>
    <row r="993" spans="17:17" ht="15" customHeight="1" x14ac:dyDescent="0.2">
      <c r="Q993" s="54"/>
    </row>
    <row r="994" spans="17:17" ht="15" customHeight="1" x14ac:dyDescent="0.2">
      <c r="Q994" s="54"/>
    </row>
    <row r="995" spans="17:17" ht="15" customHeight="1" x14ac:dyDescent="0.2">
      <c r="Q995" s="54"/>
    </row>
    <row r="996" spans="17:17" ht="15" customHeight="1" x14ac:dyDescent="0.2">
      <c r="Q996" s="54"/>
    </row>
    <row r="997" spans="17:17" ht="15" customHeight="1" x14ac:dyDescent="0.2">
      <c r="Q997" s="54"/>
    </row>
    <row r="998" spans="17:17" ht="15" customHeight="1" x14ac:dyDescent="0.2">
      <c r="Q998" s="54"/>
    </row>
    <row r="999" spans="17:17" ht="15" customHeight="1" x14ac:dyDescent="0.2">
      <c r="Q999" s="54"/>
    </row>
    <row r="1000" spans="17:17" ht="15" customHeight="1" x14ac:dyDescent="0.2">
      <c r="Q1000" s="54"/>
    </row>
    <row r="1001" spans="17:17" ht="15" customHeight="1" x14ac:dyDescent="0.2">
      <c r="Q1001" s="54"/>
    </row>
    <row r="1002" spans="17:17" ht="15" customHeight="1" x14ac:dyDescent="0.2">
      <c r="Q1002" s="54"/>
    </row>
    <row r="1003" spans="17:17" ht="15" customHeight="1" x14ac:dyDescent="0.2">
      <c r="Q1003" s="54"/>
    </row>
    <row r="1004" spans="17:17" ht="15" customHeight="1" x14ac:dyDescent="0.2">
      <c r="Q1004" s="54"/>
    </row>
    <row r="1005" spans="17:17" ht="15" customHeight="1" x14ac:dyDescent="0.2">
      <c r="Q1005" s="54"/>
    </row>
    <row r="1006" spans="17:17" ht="15" customHeight="1" x14ac:dyDescent="0.2">
      <c r="Q1006" s="54"/>
    </row>
    <row r="1007" spans="17:17" ht="15" customHeight="1" x14ac:dyDescent="0.2">
      <c r="Q1007" s="54"/>
    </row>
    <row r="1008" spans="17:17" ht="15" customHeight="1" x14ac:dyDescent="0.2">
      <c r="Q1008" s="54"/>
    </row>
    <row r="1009" spans="17:17" ht="15" customHeight="1" x14ac:dyDescent="0.2">
      <c r="Q1009" s="54"/>
    </row>
    <row r="1010" spans="17:17" ht="15" customHeight="1" x14ac:dyDescent="0.2">
      <c r="Q1010" s="54"/>
    </row>
    <row r="1011" spans="17:17" ht="15" customHeight="1" x14ac:dyDescent="0.2">
      <c r="Q1011" s="54"/>
    </row>
    <row r="1012" spans="17:17" ht="15" customHeight="1" x14ac:dyDescent="0.2">
      <c r="Q1012" s="54"/>
    </row>
    <row r="1013" spans="17:17" ht="15" customHeight="1" x14ac:dyDescent="0.2">
      <c r="Q1013" s="54"/>
    </row>
    <row r="1014" spans="17:17" ht="15" customHeight="1" x14ac:dyDescent="0.2">
      <c r="Q1014" s="54"/>
    </row>
    <row r="1015" spans="17:17" ht="15" customHeight="1" x14ac:dyDescent="0.2">
      <c r="Q1015" s="54"/>
    </row>
    <row r="1016" spans="17:17" ht="15" customHeight="1" x14ac:dyDescent="0.2">
      <c r="Q1016" s="54"/>
    </row>
    <row r="1017" spans="17:17" ht="15" customHeight="1" x14ac:dyDescent="0.2">
      <c r="Q1017" s="54"/>
    </row>
    <row r="1018" spans="17:17" ht="15" customHeight="1" x14ac:dyDescent="0.2">
      <c r="Q1018" s="54"/>
    </row>
    <row r="1019" spans="17:17" ht="15" customHeight="1" x14ac:dyDescent="0.2">
      <c r="Q1019" s="54"/>
    </row>
    <row r="1020" spans="17:17" ht="15" customHeight="1" x14ac:dyDescent="0.2">
      <c r="Q1020" s="54"/>
    </row>
    <row r="1021" spans="17:17" ht="15" customHeight="1" x14ac:dyDescent="0.2">
      <c r="Q1021" s="54"/>
    </row>
    <row r="1022" spans="17:17" ht="15" customHeight="1" x14ac:dyDescent="0.2">
      <c r="Q1022" s="54"/>
    </row>
    <row r="1023" spans="17:17" ht="15" customHeight="1" x14ac:dyDescent="0.2">
      <c r="Q1023" s="54"/>
    </row>
    <row r="1024" spans="17:17" ht="15" customHeight="1" x14ac:dyDescent="0.2">
      <c r="Q1024" s="54"/>
    </row>
    <row r="1025" spans="17:17" ht="15" customHeight="1" x14ac:dyDescent="0.2">
      <c r="Q1025" s="54"/>
    </row>
    <row r="1026" spans="17:17" ht="15" customHeight="1" x14ac:dyDescent="0.2">
      <c r="Q1026" s="54"/>
    </row>
    <row r="1027" spans="17:17" ht="15" customHeight="1" x14ac:dyDescent="0.2">
      <c r="Q1027" s="54"/>
    </row>
    <row r="1028" spans="17:17" ht="15" customHeight="1" x14ac:dyDescent="0.2">
      <c r="Q1028" s="54"/>
    </row>
    <row r="1029" spans="17:17" ht="15" customHeight="1" x14ac:dyDescent="0.2">
      <c r="Q1029" s="54"/>
    </row>
    <row r="1030" spans="17:17" ht="15" customHeight="1" x14ac:dyDescent="0.2">
      <c r="Q1030" s="54"/>
    </row>
    <row r="1031" spans="17:17" ht="15" customHeight="1" x14ac:dyDescent="0.2">
      <c r="Q1031" s="54"/>
    </row>
    <row r="1032" spans="17:17" ht="15" customHeight="1" x14ac:dyDescent="0.2">
      <c r="Q1032" s="54"/>
    </row>
    <row r="1033" spans="17:17" ht="15" customHeight="1" x14ac:dyDescent="0.2">
      <c r="Q1033" s="54"/>
    </row>
    <row r="1034" spans="17:17" ht="15" customHeight="1" x14ac:dyDescent="0.2">
      <c r="Q1034" s="54"/>
    </row>
    <row r="1035" spans="17:17" ht="15" customHeight="1" x14ac:dyDescent="0.2">
      <c r="Q1035" s="54"/>
    </row>
    <row r="1036" spans="17:17" ht="15" customHeight="1" x14ac:dyDescent="0.2">
      <c r="Q1036" s="54"/>
    </row>
    <row r="1037" spans="17:17" ht="15" customHeight="1" x14ac:dyDescent="0.2">
      <c r="Q1037" s="54"/>
    </row>
    <row r="1038" spans="17:17" ht="15" customHeight="1" x14ac:dyDescent="0.2">
      <c r="Q1038" s="54"/>
    </row>
    <row r="1039" spans="17:17" ht="15" customHeight="1" x14ac:dyDescent="0.2">
      <c r="Q1039" s="54"/>
    </row>
    <row r="1040" spans="17:17" ht="15" customHeight="1" x14ac:dyDescent="0.2">
      <c r="Q1040" s="54"/>
    </row>
    <row r="1041" spans="17:17" ht="15" customHeight="1" x14ac:dyDescent="0.2">
      <c r="Q1041" s="54"/>
    </row>
    <row r="1042" spans="17:17" ht="15" customHeight="1" x14ac:dyDescent="0.2">
      <c r="Q1042" s="54"/>
    </row>
    <row r="1043" spans="17:17" ht="15" customHeight="1" x14ac:dyDescent="0.2">
      <c r="Q1043" s="54"/>
    </row>
    <row r="1044" spans="17:17" ht="15" customHeight="1" x14ac:dyDescent="0.2">
      <c r="Q1044" s="54"/>
    </row>
    <row r="1045" spans="17:17" ht="15" customHeight="1" x14ac:dyDescent="0.2">
      <c r="Q1045" s="54"/>
    </row>
    <row r="1046" spans="17:17" ht="15" customHeight="1" x14ac:dyDescent="0.2">
      <c r="Q1046" s="54"/>
    </row>
    <row r="1047" spans="17:17" ht="15" customHeight="1" x14ac:dyDescent="0.2">
      <c r="Q1047" s="54"/>
    </row>
    <row r="1048" spans="17:17" ht="15" customHeight="1" x14ac:dyDescent="0.2">
      <c r="Q1048" s="54"/>
    </row>
    <row r="1049" spans="17:17" ht="15" customHeight="1" x14ac:dyDescent="0.2">
      <c r="Q1049" s="54"/>
    </row>
    <row r="1050" spans="17:17" ht="15" customHeight="1" x14ac:dyDescent="0.2">
      <c r="Q1050" s="54"/>
    </row>
    <row r="1051" spans="17:17" ht="15" customHeight="1" x14ac:dyDescent="0.2">
      <c r="Q1051" s="54"/>
    </row>
    <row r="1052" spans="17:17" ht="15" customHeight="1" x14ac:dyDescent="0.2">
      <c r="Q1052" s="54"/>
    </row>
    <row r="1053" spans="17:17" ht="15" customHeight="1" x14ac:dyDescent="0.2">
      <c r="Q1053" s="54"/>
    </row>
    <row r="1054" spans="17:17" ht="15" customHeight="1" x14ac:dyDescent="0.2">
      <c r="Q1054" s="54"/>
    </row>
    <row r="1055" spans="17:17" ht="15" customHeight="1" x14ac:dyDescent="0.2">
      <c r="Q1055" s="54"/>
    </row>
    <row r="1056" spans="17:17" ht="15" customHeight="1" x14ac:dyDescent="0.2">
      <c r="Q1056" s="54"/>
    </row>
    <row r="1057" spans="17:17" ht="15" customHeight="1" x14ac:dyDescent="0.2">
      <c r="Q1057" s="54"/>
    </row>
    <row r="1058" spans="17:17" ht="15" customHeight="1" x14ac:dyDescent="0.2">
      <c r="Q1058" s="54"/>
    </row>
    <row r="1059" spans="17:17" ht="15" customHeight="1" x14ac:dyDescent="0.2">
      <c r="Q1059" s="54"/>
    </row>
    <row r="1060" spans="17:17" ht="15" customHeight="1" x14ac:dyDescent="0.2">
      <c r="Q1060" s="54"/>
    </row>
    <row r="1061" spans="17:17" ht="15" customHeight="1" x14ac:dyDescent="0.2">
      <c r="Q1061" s="54"/>
    </row>
    <row r="1062" spans="17:17" ht="15" customHeight="1" x14ac:dyDescent="0.2">
      <c r="Q1062" s="54"/>
    </row>
    <row r="1063" spans="17:17" ht="15" customHeight="1" x14ac:dyDescent="0.2">
      <c r="Q1063" s="54"/>
    </row>
    <row r="1064" spans="17:17" ht="15" customHeight="1" x14ac:dyDescent="0.2">
      <c r="Q1064" s="54"/>
    </row>
    <row r="1065" spans="17:17" ht="15" customHeight="1" x14ac:dyDescent="0.2">
      <c r="Q1065" s="54"/>
    </row>
    <row r="1066" spans="17:17" ht="15" customHeight="1" x14ac:dyDescent="0.2">
      <c r="Q1066" s="54"/>
    </row>
    <row r="1067" spans="17:17" ht="15" customHeight="1" x14ac:dyDescent="0.2">
      <c r="Q1067" s="54"/>
    </row>
    <row r="1068" spans="17:17" ht="15" customHeight="1" x14ac:dyDescent="0.2">
      <c r="Q1068" s="54"/>
    </row>
    <row r="1069" spans="17:17" ht="15" customHeight="1" x14ac:dyDescent="0.2">
      <c r="Q1069" s="54"/>
    </row>
    <row r="1070" spans="17:17" ht="15" customHeight="1" x14ac:dyDescent="0.2">
      <c r="Q1070" s="54"/>
    </row>
    <row r="1071" spans="17:17" ht="15" customHeight="1" x14ac:dyDescent="0.2">
      <c r="Q1071" s="54"/>
    </row>
    <row r="1072" spans="17:17" ht="15" customHeight="1" x14ac:dyDescent="0.2">
      <c r="Q1072" s="54"/>
    </row>
    <row r="1073" spans="17:17" ht="15" customHeight="1" x14ac:dyDescent="0.2">
      <c r="Q1073" s="54"/>
    </row>
    <row r="1074" spans="17:17" ht="15" customHeight="1" x14ac:dyDescent="0.2">
      <c r="Q1074" s="54"/>
    </row>
    <row r="1075" spans="17:17" ht="15" customHeight="1" x14ac:dyDescent="0.2">
      <c r="Q1075" s="54"/>
    </row>
    <row r="1076" spans="17:17" ht="15" customHeight="1" x14ac:dyDescent="0.2">
      <c r="Q1076" s="54"/>
    </row>
    <row r="1077" spans="17:17" ht="15" customHeight="1" x14ac:dyDescent="0.2">
      <c r="Q1077" s="54"/>
    </row>
    <row r="1078" spans="17:17" ht="15" customHeight="1" x14ac:dyDescent="0.2">
      <c r="Q1078" s="54"/>
    </row>
    <row r="1079" spans="17:17" ht="15" customHeight="1" x14ac:dyDescent="0.2">
      <c r="Q1079" s="54"/>
    </row>
    <row r="1080" spans="17:17" ht="15" customHeight="1" x14ac:dyDescent="0.2">
      <c r="Q1080" s="54"/>
    </row>
    <row r="1081" spans="17:17" ht="15" customHeight="1" x14ac:dyDescent="0.2">
      <c r="Q1081" s="54"/>
    </row>
    <row r="1082" spans="17:17" ht="15" customHeight="1" x14ac:dyDescent="0.2">
      <c r="Q1082" s="54"/>
    </row>
    <row r="1083" spans="17:17" ht="15" customHeight="1" x14ac:dyDescent="0.2">
      <c r="Q1083" s="54"/>
    </row>
    <row r="1084" spans="17:17" ht="15" customHeight="1" x14ac:dyDescent="0.2">
      <c r="Q1084" s="54"/>
    </row>
    <row r="1085" spans="17:17" ht="15" customHeight="1" x14ac:dyDescent="0.2">
      <c r="Q1085" s="54"/>
    </row>
    <row r="1086" spans="17:17" ht="15" customHeight="1" x14ac:dyDescent="0.2">
      <c r="Q1086" s="54"/>
    </row>
    <row r="1087" spans="17:17" ht="15" customHeight="1" x14ac:dyDescent="0.2">
      <c r="Q1087" s="54"/>
    </row>
    <row r="1088" spans="17:17" ht="15" customHeight="1" x14ac:dyDescent="0.2">
      <c r="Q1088" s="54"/>
    </row>
    <row r="1089" spans="17:17" ht="15" customHeight="1" x14ac:dyDescent="0.2">
      <c r="Q1089" s="54"/>
    </row>
    <row r="1090" spans="17:17" ht="15" customHeight="1" x14ac:dyDescent="0.2">
      <c r="Q1090" s="54"/>
    </row>
    <row r="1091" spans="17:17" ht="15" customHeight="1" x14ac:dyDescent="0.2">
      <c r="Q1091" s="54"/>
    </row>
    <row r="1092" spans="17:17" ht="15" customHeight="1" x14ac:dyDescent="0.2">
      <c r="Q1092" s="54"/>
    </row>
    <row r="1093" spans="17:17" ht="15" customHeight="1" x14ac:dyDescent="0.2">
      <c r="Q1093" s="54"/>
    </row>
    <row r="1094" spans="17:17" ht="15" customHeight="1" x14ac:dyDescent="0.2">
      <c r="Q1094" s="54"/>
    </row>
    <row r="1095" spans="17:17" ht="15" customHeight="1" x14ac:dyDescent="0.2">
      <c r="Q1095" s="54"/>
    </row>
    <row r="1096" spans="17:17" ht="15" customHeight="1" x14ac:dyDescent="0.2">
      <c r="Q1096" s="54"/>
    </row>
    <row r="1097" spans="17:17" ht="15" customHeight="1" x14ac:dyDescent="0.2">
      <c r="Q1097" s="54"/>
    </row>
    <row r="1098" spans="17:17" ht="15" customHeight="1" x14ac:dyDescent="0.2">
      <c r="Q1098" s="54"/>
    </row>
    <row r="1099" spans="17:17" ht="15" customHeight="1" x14ac:dyDescent="0.2">
      <c r="Q1099" s="54"/>
    </row>
    <row r="1100" spans="17:17" ht="15" customHeight="1" x14ac:dyDescent="0.2">
      <c r="Q1100" s="54"/>
    </row>
    <row r="1101" spans="17:17" ht="15" customHeight="1" x14ac:dyDescent="0.2">
      <c r="Q1101" s="54"/>
    </row>
    <row r="1102" spans="17:17" ht="15" customHeight="1" x14ac:dyDescent="0.2">
      <c r="Q1102" s="54"/>
    </row>
    <row r="1103" spans="17:17" ht="15" customHeight="1" x14ac:dyDescent="0.2">
      <c r="Q1103" s="54"/>
    </row>
    <row r="1104" spans="17:17" ht="15" customHeight="1" x14ac:dyDescent="0.2">
      <c r="Q1104" s="54"/>
    </row>
    <row r="1105" spans="17:17" ht="15" customHeight="1" x14ac:dyDescent="0.2">
      <c r="Q1105" s="54"/>
    </row>
    <row r="1106" spans="17:17" ht="15" customHeight="1" x14ac:dyDescent="0.2">
      <c r="Q1106" s="54"/>
    </row>
    <row r="1107" spans="17:17" ht="15" customHeight="1" x14ac:dyDescent="0.2">
      <c r="Q1107" s="54"/>
    </row>
  </sheetData>
  <sortState xmlns:xlrd2="http://schemas.microsoft.com/office/spreadsheetml/2017/richdata2" ref="A1:R424">
    <sortCondition ref="O1:O424"/>
    <sortCondition ref="P1:P424"/>
    <sortCondition ref="R1:R424"/>
  </sortState>
  <conditionalFormatting sqref="J998:J1048576">
    <cfRule type="duplicateValues" dxfId="0" priority="1"/>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00"/>
  <sheetViews>
    <sheetView topLeftCell="A46" workbookViewId="0">
      <selection activeCell="O90" sqref="O90"/>
    </sheetView>
  </sheetViews>
  <sheetFormatPr baseColWidth="10" defaultColWidth="14.5" defaultRowHeight="15" customHeight="1" x14ac:dyDescent="0.2"/>
  <cols>
    <col min="1" max="1" width="10.6640625" customWidth="1"/>
    <col min="2" max="2" width="12.83203125" customWidth="1"/>
    <col min="3" max="6" width="10.6640625" customWidth="1"/>
    <col min="7" max="7" width="19.5" customWidth="1"/>
    <col min="8" max="8" width="10.6640625" customWidth="1"/>
    <col min="9" max="9" width="13.6640625" customWidth="1"/>
    <col min="10" max="10" width="10.6640625" customWidth="1"/>
    <col min="11" max="11" width="17.1640625" customWidth="1"/>
    <col min="12" max="12" width="14.33203125" customWidth="1"/>
    <col min="13" max="14" width="10.6640625" customWidth="1"/>
    <col min="15" max="15" width="21.1640625" customWidth="1"/>
    <col min="16" max="16" width="24.83203125" customWidth="1"/>
    <col min="17" max="17" width="21.1640625" customWidth="1"/>
    <col min="18" max="18" width="24.83203125" customWidth="1"/>
    <col min="19" max="19" width="24.5" customWidth="1"/>
    <col min="20" max="20" width="50.5" customWidth="1"/>
    <col min="21" max="23" width="10.6640625" customWidth="1"/>
  </cols>
  <sheetData>
    <row r="1" spans="1:46" ht="42" customHeight="1" x14ac:dyDescent="0.2">
      <c r="A1" s="1" t="s">
        <v>0</v>
      </c>
      <c r="B1" s="1" t="s">
        <v>1</v>
      </c>
      <c r="C1" s="1" t="s">
        <v>2</v>
      </c>
      <c r="D1" s="1" t="s">
        <v>3</v>
      </c>
      <c r="E1" s="1" t="s">
        <v>4</v>
      </c>
      <c r="F1" s="1" t="s">
        <v>5</v>
      </c>
      <c r="G1" s="1" t="s">
        <v>6</v>
      </c>
      <c r="H1" s="1" t="s">
        <v>7</v>
      </c>
      <c r="I1" s="1" t="s">
        <v>8</v>
      </c>
      <c r="J1" s="1" t="s">
        <v>10</v>
      </c>
      <c r="K1" s="1" t="s">
        <v>11</v>
      </c>
      <c r="L1" s="1" t="s">
        <v>12</v>
      </c>
      <c r="M1" s="1" t="s">
        <v>13</v>
      </c>
      <c r="N1" s="1" t="s">
        <v>14</v>
      </c>
      <c r="O1" s="22" t="s">
        <v>48</v>
      </c>
      <c r="P1" s="6" t="s">
        <v>47</v>
      </c>
      <c r="Q1" s="22" t="s">
        <v>49</v>
      </c>
      <c r="R1" s="6" t="s">
        <v>47</v>
      </c>
      <c r="S1" s="120" t="s">
        <v>50</v>
      </c>
      <c r="T1" s="7" t="s">
        <v>30</v>
      </c>
      <c r="U1" s="2"/>
      <c r="V1" s="2"/>
      <c r="W1" s="2"/>
      <c r="X1" s="3"/>
      <c r="Y1" s="3"/>
      <c r="Z1" s="3"/>
      <c r="AA1" s="3"/>
      <c r="AB1" s="3"/>
      <c r="AC1" s="3"/>
      <c r="AD1" s="3"/>
      <c r="AE1" s="3"/>
      <c r="AF1" s="3"/>
      <c r="AG1" s="3"/>
      <c r="AH1" s="3"/>
      <c r="AI1" s="3"/>
      <c r="AJ1" s="3"/>
      <c r="AK1" s="3"/>
      <c r="AL1" s="3"/>
      <c r="AM1" s="3"/>
      <c r="AN1" s="3"/>
      <c r="AO1" s="3"/>
      <c r="AP1" s="3"/>
      <c r="AQ1" s="3"/>
      <c r="AR1" s="3"/>
      <c r="AS1" s="3"/>
      <c r="AT1" s="3"/>
    </row>
    <row r="2" spans="1:46" ht="14.25" customHeight="1" x14ac:dyDescent="0.2">
      <c r="A2" s="118">
        <v>0</v>
      </c>
      <c r="B2" s="118" t="s">
        <v>53</v>
      </c>
      <c r="C2" s="118" t="s">
        <v>54</v>
      </c>
      <c r="D2" s="118" t="s">
        <v>55</v>
      </c>
      <c r="E2" s="118" t="s">
        <v>56</v>
      </c>
      <c r="F2" s="118" t="s">
        <v>64</v>
      </c>
      <c r="G2" s="118" t="s">
        <v>57</v>
      </c>
      <c r="H2" s="118" t="s">
        <v>58</v>
      </c>
      <c r="I2" s="118" t="s">
        <v>59</v>
      </c>
      <c r="J2" s="118" t="s">
        <v>60</v>
      </c>
      <c r="K2" s="118" t="s">
        <v>61</v>
      </c>
      <c r="L2" s="118" t="s">
        <v>62</v>
      </c>
      <c r="M2" s="118" t="s">
        <v>12</v>
      </c>
      <c r="N2" s="118">
        <v>0</v>
      </c>
      <c r="O2" s="42" t="s">
        <v>16</v>
      </c>
      <c r="P2" s="42" t="s">
        <v>44</v>
      </c>
      <c r="Q2" s="42" t="s">
        <v>109</v>
      </c>
      <c r="R2" s="42" t="s">
        <v>44</v>
      </c>
      <c r="S2" s="121" t="s">
        <v>44</v>
      </c>
      <c r="T2" s="119"/>
      <c r="U2" s="3"/>
      <c r="V2" s="3"/>
      <c r="W2" s="3"/>
      <c r="X2" s="3"/>
      <c r="Y2" s="3"/>
      <c r="Z2" s="3"/>
      <c r="AA2" s="3"/>
      <c r="AB2" s="3"/>
      <c r="AC2" s="3"/>
      <c r="AD2" s="3"/>
      <c r="AE2" s="3"/>
      <c r="AF2" s="3"/>
      <c r="AG2" s="3"/>
      <c r="AH2" s="3"/>
      <c r="AI2" s="3"/>
      <c r="AJ2" s="3"/>
      <c r="AK2" s="3"/>
      <c r="AL2" s="3"/>
      <c r="AM2" s="3"/>
      <c r="AN2" s="3"/>
      <c r="AO2" s="3"/>
      <c r="AP2" s="3"/>
      <c r="AQ2" s="3"/>
      <c r="AR2" s="3"/>
      <c r="AS2" s="3"/>
      <c r="AT2" s="3"/>
    </row>
    <row r="3" spans="1:46" ht="14.25" customHeight="1" x14ac:dyDescent="0.2">
      <c r="A3" s="118">
        <v>0</v>
      </c>
      <c r="B3" s="118" t="s">
        <v>0</v>
      </c>
      <c r="C3" s="118" t="s">
        <v>1</v>
      </c>
      <c r="D3" s="118" t="s">
        <v>2</v>
      </c>
      <c r="E3" s="118" t="s">
        <v>68</v>
      </c>
      <c r="F3" s="118" t="s">
        <v>4</v>
      </c>
      <c r="G3" s="118" t="s">
        <v>67</v>
      </c>
      <c r="H3" s="118" t="s">
        <v>65</v>
      </c>
      <c r="I3" s="118" t="s">
        <v>66</v>
      </c>
      <c r="J3" s="118" t="s">
        <v>8</v>
      </c>
      <c r="K3" s="118" t="s">
        <v>10</v>
      </c>
      <c r="L3" s="118" t="s">
        <v>71</v>
      </c>
      <c r="M3" s="118">
        <v>0</v>
      </c>
      <c r="N3" s="118">
        <v>0</v>
      </c>
      <c r="O3" s="42" t="s">
        <v>16</v>
      </c>
      <c r="P3" s="42" t="s">
        <v>46</v>
      </c>
      <c r="Q3" s="42" t="s">
        <v>109</v>
      </c>
      <c r="R3" s="42" t="s">
        <v>46</v>
      </c>
      <c r="S3" s="121" t="s">
        <v>44</v>
      </c>
      <c r="T3" s="119"/>
      <c r="U3" s="3"/>
      <c r="V3" s="3"/>
      <c r="W3" s="3"/>
      <c r="X3" s="3"/>
      <c r="Y3" s="3"/>
      <c r="Z3" s="3"/>
      <c r="AA3" s="3"/>
      <c r="AB3" s="3"/>
      <c r="AC3" s="3"/>
      <c r="AD3" s="3"/>
      <c r="AE3" s="3"/>
      <c r="AF3" s="3"/>
      <c r="AG3" s="3"/>
      <c r="AH3" s="3"/>
      <c r="AI3" s="3"/>
      <c r="AJ3" s="3"/>
      <c r="AK3" s="3"/>
      <c r="AL3" s="3"/>
      <c r="AM3" s="3"/>
      <c r="AN3" s="3"/>
      <c r="AO3" s="3"/>
      <c r="AP3" s="3"/>
      <c r="AQ3" s="3"/>
      <c r="AR3" s="3"/>
      <c r="AS3" s="3"/>
      <c r="AT3" s="3"/>
    </row>
    <row r="4" spans="1:46" ht="14.25" customHeight="1" x14ac:dyDescent="0.2">
      <c r="A4" s="118">
        <v>0</v>
      </c>
      <c r="B4" s="118" t="s">
        <v>0</v>
      </c>
      <c r="C4" s="118" t="s">
        <v>1</v>
      </c>
      <c r="D4" s="118" t="s">
        <v>2</v>
      </c>
      <c r="E4" s="118" t="s">
        <v>3</v>
      </c>
      <c r="F4" s="118" t="s">
        <v>4</v>
      </c>
      <c r="G4" s="118" t="s">
        <v>5</v>
      </c>
      <c r="H4" s="118" t="s">
        <v>6</v>
      </c>
      <c r="I4" s="118" t="s">
        <v>7</v>
      </c>
      <c r="J4" s="118" t="s">
        <v>8</v>
      </c>
      <c r="K4" s="118" t="s">
        <v>10</v>
      </c>
      <c r="L4" s="118" t="s">
        <v>11</v>
      </c>
      <c r="M4" s="118">
        <v>0</v>
      </c>
      <c r="N4" s="118">
        <v>0</v>
      </c>
      <c r="O4" s="42" t="s">
        <v>16</v>
      </c>
      <c r="P4" s="42" t="s">
        <v>46</v>
      </c>
      <c r="Q4" s="42" t="s">
        <v>109</v>
      </c>
      <c r="R4" s="42" t="s">
        <v>46</v>
      </c>
      <c r="S4" s="121" t="s">
        <v>44</v>
      </c>
      <c r="T4" s="119"/>
      <c r="U4" s="3"/>
      <c r="V4" s="3"/>
      <c r="W4" s="3"/>
      <c r="X4" s="3"/>
      <c r="Y4" s="3"/>
      <c r="Z4" s="3"/>
      <c r="AA4" s="3"/>
      <c r="AB4" s="3"/>
      <c r="AC4" s="3"/>
      <c r="AD4" s="3"/>
      <c r="AE4" s="3"/>
      <c r="AF4" s="3"/>
      <c r="AG4" s="3"/>
      <c r="AH4" s="3"/>
      <c r="AI4" s="3"/>
      <c r="AJ4" s="3"/>
      <c r="AK4" s="3"/>
      <c r="AL4" s="3"/>
      <c r="AM4" s="3"/>
      <c r="AN4" s="3"/>
      <c r="AO4" s="3"/>
      <c r="AP4" s="3"/>
      <c r="AQ4" s="3"/>
      <c r="AR4" s="3"/>
      <c r="AS4" s="3"/>
      <c r="AT4" s="3"/>
    </row>
    <row r="5" spans="1:46" ht="14.25" customHeight="1" x14ac:dyDescent="0.2">
      <c r="A5" s="118">
        <v>2</v>
      </c>
      <c r="B5" s="118" t="s">
        <v>217</v>
      </c>
      <c r="C5" s="118" t="s">
        <v>218</v>
      </c>
      <c r="D5" s="118">
        <v>2025</v>
      </c>
      <c r="E5" s="118" t="s">
        <v>219</v>
      </c>
      <c r="F5" s="118" t="s">
        <v>603</v>
      </c>
      <c r="G5" s="118" t="s">
        <v>221</v>
      </c>
      <c r="H5" s="118" t="s">
        <v>222</v>
      </c>
      <c r="I5" s="118" t="s">
        <v>15</v>
      </c>
      <c r="J5" s="118" t="s">
        <v>223</v>
      </c>
      <c r="K5" s="118" t="s">
        <v>220</v>
      </c>
      <c r="L5" s="118" t="s">
        <v>604</v>
      </c>
      <c r="M5" s="118">
        <v>0</v>
      </c>
      <c r="N5" s="118">
        <v>0</v>
      </c>
      <c r="O5" s="42" t="s">
        <v>16</v>
      </c>
      <c r="P5" s="42" t="s">
        <v>44</v>
      </c>
      <c r="Q5" s="42" t="s">
        <v>109</v>
      </c>
      <c r="R5" s="42" t="s">
        <v>44</v>
      </c>
      <c r="S5" s="121" t="s">
        <v>44</v>
      </c>
      <c r="T5" s="119"/>
      <c r="U5" s="3"/>
      <c r="V5" s="3"/>
      <c r="W5" s="3"/>
      <c r="X5" s="3"/>
      <c r="Y5" s="3"/>
      <c r="Z5" s="3"/>
      <c r="AA5" s="3"/>
      <c r="AB5" s="3"/>
      <c r="AC5" s="3"/>
      <c r="AD5" s="3"/>
      <c r="AE5" s="3"/>
      <c r="AF5" s="3"/>
      <c r="AG5" s="3"/>
      <c r="AH5" s="3"/>
      <c r="AI5" s="3"/>
      <c r="AJ5" s="3"/>
      <c r="AK5" s="3"/>
      <c r="AL5" s="3"/>
      <c r="AM5" s="3"/>
      <c r="AN5" s="3"/>
      <c r="AO5" s="3"/>
      <c r="AP5" s="3"/>
      <c r="AQ5" s="3"/>
      <c r="AR5" s="3"/>
      <c r="AS5" s="3"/>
      <c r="AT5" s="3"/>
    </row>
    <row r="6" spans="1:46" ht="14.25" customHeight="1" x14ac:dyDescent="0.2">
      <c r="A6" s="118">
        <v>3</v>
      </c>
      <c r="B6" s="118" t="s">
        <v>224</v>
      </c>
      <c r="C6" s="118" t="s">
        <v>225</v>
      </c>
      <c r="D6" s="118">
        <v>2026</v>
      </c>
      <c r="E6" s="118" t="s">
        <v>226</v>
      </c>
      <c r="F6" s="118" t="s">
        <v>228</v>
      </c>
      <c r="G6" s="118">
        <v>0</v>
      </c>
      <c r="H6" s="118" t="s">
        <v>230</v>
      </c>
      <c r="I6" s="118" t="s">
        <v>15</v>
      </c>
      <c r="J6" s="118" t="s">
        <v>223</v>
      </c>
      <c r="K6" s="118" t="s">
        <v>227</v>
      </c>
      <c r="L6" s="118" t="s">
        <v>229</v>
      </c>
      <c r="M6" s="118">
        <v>0</v>
      </c>
      <c r="N6" s="118">
        <v>0</v>
      </c>
      <c r="O6" s="42" t="s">
        <v>16</v>
      </c>
      <c r="P6" s="42" t="s">
        <v>46</v>
      </c>
      <c r="Q6" s="42" t="s">
        <v>109</v>
      </c>
      <c r="R6" s="42" t="s">
        <v>46</v>
      </c>
      <c r="S6" s="121" t="s">
        <v>44</v>
      </c>
      <c r="T6" s="119"/>
      <c r="U6" s="3"/>
      <c r="V6" s="3"/>
      <c r="W6" s="3"/>
      <c r="X6" s="3"/>
      <c r="Y6" s="3"/>
      <c r="Z6" s="3"/>
      <c r="AA6" s="3"/>
      <c r="AB6" s="3"/>
      <c r="AC6" s="3"/>
      <c r="AD6" s="3"/>
      <c r="AE6" s="3"/>
      <c r="AF6" s="3"/>
      <c r="AG6" s="3"/>
      <c r="AH6" s="3"/>
      <c r="AI6" s="3"/>
      <c r="AJ6" s="3"/>
      <c r="AK6" s="3"/>
      <c r="AL6" s="3"/>
      <c r="AM6" s="3"/>
      <c r="AN6" s="3"/>
      <c r="AO6" s="3"/>
      <c r="AP6" s="3"/>
      <c r="AQ6" s="3"/>
      <c r="AR6" s="3"/>
      <c r="AS6" s="3"/>
      <c r="AT6" s="3"/>
    </row>
    <row r="7" spans="1:46" ht="14.25" customHeight="1" x14ac:dyDescent="0.2">
      <c r="A7" s="118">
        <v>4</v>
      </c>
      <c r="B7" s="118" t="s">
        <v>231</v>
      </c>
      <c r="C7" s="118" t="s">
        <v>232</v>
      </c>
      <c r="D7" s="118">
        <v>2023</v>
      </c>
      <c r="E7" s="118" t="s">
        <v>233</v>
      </c>
      <c r="F7" s="118" t="s">
        <v>235</v>
      </c>
      <c r="G7" s="118" t="s">
        <v>236</v>
      </c>
      <c r="H7" s="118" t="s">
        <v>238</v>
      </c>
      <c r="I7" s="118" t="s">
        <v>15</v>
      </c>
      <c r="J7" s="118" t="s">
        <v>223</v>
      </c>
      <c r="K7" s="118" t="s">
        <v>234</v>
      </c>
      <c r="L7" s="118" t="s">
        <v>237</v>
      </c>
      <c r="M7" s="118">
        <v>0</v>
      </c>
      <c r="N7" s="118">
        <v>0</v>
      </c>
      <c r="O7" s="42" t="s">
        <v>16</v>
      </c>
      <c r="P7" s="42" t="s">
        <v>46</v>
      </c>
      <c r="Q7" s="42" t="s">
        <v>109</v>
      </c>
      <c r="R7" s="42" t="s">
        <v>44</v>
      </c>
      <c r="S7" s="121" t="s">
        <v>44</v>
      </c>
      <c r="T7" s="119"/>
      <c r="U7" s="3"/>
      <c r="V7" s="3"/>
      <c r="W7" s="3"/>
      <c r="X7" s="3"/>
      <c r="Y7" s="3"/>
      <c r="Z7" s="3"/>
      <c r="AA7" s="3"/>
      <c r="AB7" s="3"/>
      <c r="AC7" s="3"/>
      <c r="AD7" s="3"/>
      <c r="AE7" s="3"/>
      <c r="AF7" s="3"/>
      <c r="AG7" s="3"/>
      <c r="AH7" s="3"/>
      <c r="AI7" s="3"/>
      <c r="AJ7" s="3"/>
      <c r="AK7" s="3"/>
      <c r="AL7" s="3"/>
      <c r="AM7" s="3"/>
      <c r="AN7" s="3"/>
      <c r="AO7" s="3"/>
      <c r="AP7" s="3"/>
      <c r="AQ7" s="3"/>
      <c r="AR7" s="3"/>
      <c r="AS7" s="3"/>
      <c r="AT7" s="3"/>
    </row>
    <row r="8" spans="1:46" ht="14.25" customHeight="1" x14ac:dyDescent="0.2">
      <c r="A8" s="118">
        <v>5</v>
      </c>
      <c r="B8" s="118" t="s">
        <v>239</v>
      </c>
      <c r="C8" s="118" t="s">
        <v>240</v>
      </c>
      <c r="D8" s="118">
        <v>2025</v>
      </c>
      <c r="E8" s="118" t="s">
        <v>241</v>
      </c>
      <c r="F8" s="118" t="s">
        <v>243</v>
      </c>
      <c r="G8" s="118" t="s">
        <v>244</v>
      </c>
      <c r="H8" s="118" t="s">
        <v>246</v>
      </c>
      <c r="I8" s="118" t="s">
        <v>15</v>
      </c>
      <c r="J8" s="118" t="s">
        <v>223</v>
      </c>
      <c r="K8" s="118" t="s">
        <v>242</v>
      </c>
      <c r="L8" s="118" t="s">
        <v>245</v>
      </c>
      <c r="M8" s="118">
        <v>0</v>
      </c>
      <c r="N8" s="118">
        <v>0</v>
      </c>
      <c r="O8" s="42" t="s">
        <v>16</v>
      </c>
      <c r="P8" s="42" t="s">
        <v>44</v>
      </c>
      <c r="Q8" s="42" t="s">
        <v>109</v>
      </c>
      <c r="R8" s="42" t="s">
        <v>44</v>
      </c>
      <c r="S8" s="121" t="s">
        <v>44</v>
      </c>
      <c r="T8" s="119"/>
      <c r="U8" s="3"/>
      <c r="V8" s="3"/>
      <c r="W8" s="3"/>
      <c r="X8" s="3"/>
      <c r="Y8" s="3"/>
      <c r="Z8" s="3"/>
      <c r="AA8" s="3"/>
      <c r="AB8" s="3"/>
      <c r="AC8" s="3"/>
      <c r="AD8" s="3"/>
      <c r="AE8" s="3"/>
      <c r="AF8" s="3"/>
      <c r="AG8" s="3"/>
      <c r="AH8" s="3"/>
      <c r="AI8" s="3"/>
      <c r="AJ8" s="3"/>
      <c r="AK8" s="3"/>
      <c r="AL8" s="3"/>
      <c r="AM8" s="3"/>
      <c r="AN8" s="3"/>
      <c r="AO8" s="3"/>
      <c r="AP8" s="3"/>
      <c r="AQ8" s="3"/>
      <c r="AR8" s="3"/>
      <c r="AS8" s="3"/>
      <c r="AT8" s="3"/>
    </row>
    <row r="9" spans="1:46" ht="14.25" customHeight="1" x14ac:dyDescent="0.2">
      <c r="A9" s="118">
        <v>6</v>
      </c>
      <c r="B9" s="118" t="s">
        <v>247</v>
      </c>
      <c r="C9" s="118" t="s">
        <v>248</v>
      </c>
      <c r="D9" s="118">
        <v>2026</v>
      </c>
      <c r="E9" s="118" t="s">
        <v>233</v>
      </c>
      <c r="F9" s="118" t="s">
        <v>250</v>
      </c>
      <c r="G9" s="118" t="s">
        <v>251</v>
      </c>
      <c r="H9" s="118" t="s">
        <v>238</v>
      </c>
      <c r="I9" s="118" t="s">
        <v>15</v>
      </c>
      <c r="J9" s="118" t="s">
        <v>223</v>
      </c>
      <c r="K9" s="118" t="s">
        <v>249</v>
      </c>
      <c r="L9" s="118" t="s">
        <v>252</v>
      </c>
      <c r="M9" s="118">
        <v>0</v>
      </c>
      <c r="N9" s="118">
        <v>0</v>
      </c>
      <c r="O9" s="42" t="s">
        <v>16</v>
      </c>
      <c r="P9" s="42" t="s">
        <v>46</v>
      </c>
      <c r="Q9" s="42" t="s">
        <v>109</v>
      </c>
      <c r="R9" s="42" t="s">
        <v>46</v>
      </c>
      <c r="S9" s="121" t="s">
        <v>44</v>
      </c>
      <c r="T9" s="119"/>
      <c r="U9" s="3"/>
      <c r="V9" s="3"/>
      <c r="W9" s="3"/>
      <c r="X9" s="3"/>
      <c r="Y9" s="3"/>
      <c r="Z9" s="3"/>
      <c r="AA9" s="3"/>
      <c r="AB9" s="3"/>
      <c r="AC9" s="3"/>
      <c r="AD9" s="3"/>
      <c r="AE9" s="3"/>
      <c r="AF9" s="3"/>
      <c r="AG9" s="3"/>
      <c r="AH9" s="3"/>
      <c r="AI9" s="3"/>
      <c r="AJ9" s="3"/>
      <c r="AK9" s="3"/>
      <c r="AL9" s="3"/>
      <c r="AM9" s="3"/>
      <c r="AN9" s="3"/>
      <c r="AO9" s="3"/>
      <c r="AP9" s="3"/>
      <c r="AQ9" s="3"/>
      <c r="AR9" s="3"/>
      <c r="AS9" s="3"/>
      <c r="AT9" s="3"/>
    </row>
    <row r="10" spans="1:46" ht="14.25" customHeight="1" x14ac:dyDescent="0.2">
      <c r="A10" s="118">
        <v>7</v>
      </c>
      <c r="B10" s="118" t="s">
        <v>253</v>
      </c>
      <c r="C10" s="118" t="s">
        <v>254</v>
      </c>
      <c r="D10" s="118">
        <v>2024</v>
      </c>
      <c r="E10" s="118" t="s">
        <v>226</v>
      </c>
      <c r="F10" s="118" t="s">
        <v>256</v>
      </c>
      <c r="G10" s="118">
        <v>0</v>
      </c>
      <c r="H10" s="118" t="s">
        <v>230</v>
      </c>
      <c r="I10" s="118" t="s">
        <v>15</v>
      </c>
      <c r="J10" s="118" t="s">
        <v>223</v>
      </c>
      <c r="K10" s="118" t="s">
        <v>255</v>
      </c>
      <c r="L10" s="118" t="s">
        <v>257</v>
      </c>
      <c r="M10" s="118">
        <v>0</v>
      </c>
      <c r="N10" s="118">
        <v>0</v>
      </c>
      <c r="O10" s="42" t="s">
        <v>16</v>
      </c>
      <c r="P10" s="42" t="s">
        <v>44</v>
      </c>
      <c r="Q10" s="42" t="s">
        <v>109</v>
      </c>
      <c r="R10" s="42" t="s">
        <v>44</v>
      </c>
      <c r="S10" s="121" t="s">
        <v>44</v>
      </c>
      <c r="T10" s="119"/>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pans="1:46" ht="14.25" customHeight="1" x14ac:dyDescent="0.2">
      <c r="A11" s="118">
        <v>8</v>
      </c>
      <c r="B11" s="118" t="s">
        <v>258</v>
      </c>
      <c r="C11" s="118" t="s">
        <v>259</v>
      </c>
      <c r="D11" s="118">
        <v>2025</v>
      </c>
      <c r="E11" s="118" t="s">
        <v>260</v>
      </c>
      <c r="F11" s="118" t="s">
        <v>262</v>
      </c>
      <c r="G11" s="118" t="s">
        <v>263</v>
      </c>
      <c r="H11" s="118" t="s">
        <v>246</v>
      </c>
      <c r="I11" s="118" t="s">
        <v>15</v>
      </c>
      <c r="J11" s="118" t="s">
        <v>223</v>
      </c>
      <c r="K11" s="118" t="s">
        <v>261</v>
      </c>
      <c r="L11" s="118" t="s">
        <v>605</v>
      </c>
      <c r="M11" s="118">
        <v>0</v>
      </c>
      <c r="N11" s="118">
        <v>0</v>
      </c>
      <c r="O11" s="42" t="s">
        <v>16</v>
      </c>
      <c r="P11" s="42" t="s">
        <v>46</v>
      </c>
      <c r="Q11" s="42" t="s">
        <v>109</v>
      </c>
      <c r="R11" s="42" t="s">
        <v>44</v>
      </c>
      <c r="S11" s="121" t="s">
        <v>44</v>
      </c>
      <c r="T11" s="119"/>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spans="1:46" ht="14.25" customHeight="1" x14ac:dyDescent="0.2">
      <c r="A12" s="118">
        <v>9</v>
      </c>
      <c r="B12" s="118" t="s">
        <v>264</v>
      </c>
      <c r="C12" s="118" t="s">
        <v>265</v>
      </c>
      <c r="D12" s="118">
        <v>2025</v>
      </c>
      <c r="E12" s="118" t="s">
        <v>260</v>
      </c>
      <c r="F12" s="118" t="s">
        <v>267</v>
      </c>
      <c r="G12" s="118" t="s">
        <v>268</v>
      </c>
      <c r="H12" s="118" t="s">
        <v>246</v>
      </c>
      <c r="I12" s="118" t="s">
        <v>15</v>
      </c>
      <c r="J12" s="118" t="s">
        <v>223</v>
      </c>
      <c r="K12" s="118" t="s">
        <v>266</v>
      </c>
      <c r="L12" s="118" t="s">
        <v>606</v>
      </c>
      <c r="M12" s="118">
        <v>0</v>
      </c>
      <c r="N12" s="118">
        <v>0</v>
      </c>
      <c r="O12" s="42" t="s">
        <v>16</v>
      </c>
      <c r="P12" s="42" t="s">
        <v>44</v>
      </c>
      <c r="Q12" s="42" t="s">
        <v>109</v>
      </c>
      <c r="R12" s="42" t="s">
        <v>44</v>
      </c>
      <c r="S12" s="121" t="s">
        <v>44</v>
      </c>
      <c r="T12" s="119"/>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spans="1:46" ht="14.25" customHeight="1" x14ac:dyDescent="0.2">
      <c r="A13" s="118">
        <v>10</v>
      </c>
      <c r="B13" s="118" t="s">
        <v>269</v>
      </c>
      <c r="C13" s="118" t="s">
        <v>270</v>
      </c>
      <c r="D13" s="118">
        <v>2025</v>
      </c>
      <c r="E13" s="118" t="s">
        <v>233</v>
      </c>
      <c r="F13" s="118" t="s">
        <v>272</v>
      </c>
      <c r="G13" s="118" t="s">
        <v>273</v>
      </c>
      <c r="H13" s="118" t="s">
        <v>238</v>
      </c>
      <c r="I13" s="118" t="s">
        <v>15</v>
      </c>
      <c r="J13" s="118" t="s">
        <v>223</v>
      </c>
      <c r="K13" s="118" t="s">
        <v>271</v>
      </c>
      <c r="L13" s="118" t="s">
        <v>274</v>
      </c>
      <c r="M13" s="118">
        <v>0</v>
      </c>
      <c r="N13" s="118">
        <v>0</v>
      </c>
      <c r="O13" s="42" t="s">
        <v>16</v>
      </c>
      <c r="P13" s="42" t="s">
        <v>46</v>
      </c>
      <c r="Q13" s="42" t="s">
        <v>109</v>
      </c>
      <c r="R13" s="42" t="s">
        <v>44</v>
      </c>
      <c r="S13" s="121" t="s">
        <v>44</v>
      </c>
      <c r="T13" s="119"/>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spans="1:46" ht="14.25" customHeight="1" x14ac:dyDescent="0.2">
      <c r="A14" s="118">
        <v>11</v>
      </c>
      <c r="B14" s="118" t="s">
        <v>275</v>
      </c>
      <c r="C14" s="118" t="s">
        <v>276</v>
      </c>
      <c r="D14" s="118">
        <v>2025</v>
      </c>
      <c r="E14" s="118" t="s">
        <v>219</v>
      </c>
      <c r="F14" s="118" t="s">
        <v>278</v>
      </c>
      <c r="G14" s="118" t="s">
        <v>279</v>
      </c>
      <c r="H14" s="118" t="s">
        <v>222</v>
      </c>
      <c r="I14" s="118" t="s">
        <v>15</v>
      </c>
      <c r="J14" s="118" t="s">
        <v>223</v>
      </c>
      <c r="K14" s="118" t="s">
        <v>277</v>
      </c>
      <c r="L14" s="118" t="s">
        <v>280</v>
      </c>
      <c r="M14" s="118">
        <v>0</v>
      </c>
      <c r="N14" s="118">
        <v>0</v>
      </c>
      <c r="O14" s="42" t="s">
        <v>16</v>
      </c>
      <c r="P14" s="42" t="s">
        <v>46</v>
      </c>
      <c r="Q14" s="42" t="s">
        <v>109</v>
      </c>
      <c r="R14" s="42" t="s">
        <v>46</v>
      </c>
      <c r="S14" s="121" t="s">
        <v>44</v>
      </c>
      <c r="T14" s="119"/>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spans="1:46" ht="14.25" customHeight="1" x14ac:dyDescent="0.2">
      <c r="A15" s="118">
        <v>12</v>
      </c>
      <c r="B15" s="118" t="s">
        <v>281</v>
      </c>
      <c r="C15" s="118" t="s">
        <v>282</v>
      </c>
      <c r="D15" s="118">
        <v>2023</v>
      </c>
      <c r="E15" s="118" t="s">
        <v>219</v>
      </c>
      <c r="F15" s="118" t="s">
        <v>284</v>
      </c>
      <c r="G15" s="118" t="s">
        <v>285</v>
      </c>
      <c r="H15" s="118" t="s">
        <v>222</v>
      </c>
      <c r="I15" s="118" t="s">
        <v>15</v>
      </c>
      <c r="J15" s="118" t="s">
        <v>223</v>
      </c>
      <c r="K15" s="118" t="s">
        <v>283</v>
      </c>
      <c r="L15" s="118" t="s">
        <v>286</v>
      </c>
      <c r="M15" s="118">
        <v>0</v>
      </c>
      <c r="N15" s="118">
        <v>0</v>
      </c>
      <c r="O15" s="42" t="s">
        <v>16</v>
      </c>
      <c r="P15" s="42" t="s">
        <v>44</v>
      </c>
      <c r="Q15" s="42" t="s">
        <v>109</v>
      </c>
      <c r="R15" s="42" t="s">
        <v>44</v>
      </c>
      <c r="S15" s="121" t="s">
        <v>44</v>
      </c>
      <c r="T15" s="119"/>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spans="1:46" ht="14.25" customHeight="1" x14ac:dyDescent="0.2">
      <c r="A16" s="118">
        <v>13</v>
      </c>
      <c r="B16" s="118" t="s">
        <v>287</v>
      </c>
      <c r="C16" s="118" t="s">
        <v>288</v>
      </c>
      <c r="D16" s="118">
        <v>2023</v>
      </c>
      <c r="E16" s="118" t="s">
        <v>219</v>
      </c>
      <c r="F16" s="118" t="s">
        <v>290</v>
      </c>
      <c r="G16" s="118" t="s">
        <v>291</v>
      </c>
      <c r="H16" s="118" t="s">
        <v>222</v>
      </c>
      <c r="I16" s="118" t="s">
        <v>15</v>
      </c>
      <c r="J16" s="118" t="s">
        <v>223</v>
      </c>
      <c r="K16" s="118" t="s">
        <v>289</v>
      </c>
      <c r="L16" s="118" t="s">
        <v>292</v>
      </c>
      <c r="M16" s="118">
        <v>0</v>
      </c>
      <c r="N16" s="118">
        <v>0</v>
      </c>
      <c r="O16" s="42" t="s">
        <v>16</v>
      </c>
      <c r="P16" s="42" t="s">
        <v>44</v>
      </c>
      <c r="Q16" s="42" t="s">
        <v>109</v>
      </c>
      <c r="R16" s="42" t="s">
        <v>44</v>
      </c>
      <c r="S16" s="121" t="s">
        <v>44</v>
      </c>
      <c r="T16" s="119"/>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spans="1:46" ht="14.25" customHeight="1" x14ac:dyDescent="0.2">
      <c r="A17" s="118">
        <v>14</v>
      </c>
      <c r="B17" s="118" t="s">
        <v>293</v>
      </c>
      <c r="C17" s="118" t="s">
        <v>294</v>
      </c>
      <c r="D17" s="118">
        <v>2021</v>
      </c>
      <c r="E17" s="118" t="s">
        <v>260</v>
      </c>
      <c r="F17" s="118" t="s">
        <v>296</v>
      </c>
      <c r="G17" s="118" t="s">
        <v>297</v>
      </c>
      <c r="H17" s="118" t="s">
        <v>246</v>
      </c>
      <c r="I17" s="118" t="s">
        <v>15</v>
      </c>
      <c r="J17" s="118" t="s">
        <v>223</v>
      </c>
      <c r="K17" s="118" t="s">
        <v>295</v>
      </c>
      <c r="L17" s="118" t="s">
        <v>607</v>
      </c>
      <c r="M17" s="118">
        <v>0</v>
      </c>
      <c r="N17" s="118">
        <v>0</v>
      </c>
      <c r="O17" s="42" t="s">
        <v>16</v>
      </c>
      <c r="P17" s="42" t="s">
        <v>46</v>
      </c>
      <c r="Q17" s="42" t="s">
        <v>109</v>
      </c>
      <c r="R17" s="42" t="s">
        <v>44</v>
      </c>
      <c r="S17" s="121" t="s">
        <v>44</v>
      </c>
      <c r="T17" s="119"/>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spans="1:46" ht="14.25" customHeight="1" x14ac:dyDescent="0.2">
      <c r="A18" s="118">
        <v>15</v>
      </c>
      <c r="B18" s="118" t="s">
        <v>298</v>
      </c>
      <c r="C18" s="118" t="s">
        <v>299</v>
      </c>
      <c r="D18" s="118">
        <v>2022</v>
      </c>
      <c r="E18" s="118" t="s">
        <v>226</v>
      </c>
      <c r="F18" s="118" t="s">
        <v>301</v>
      </c>
      <c r="G18" s="118">
        <v>0</v>
      </c>
      <c r="H18" s="118" t="s">
        <v>230</v>
      </c>
      <c r="I18" s="118" t="s">
        <v>15</v>
      </c>
      <c r="J18" s="118" t="s">
        <v>223</v>
      </c>
      <c r="K18" s="118" t="s">
        <v>300</v>
      </c>
      <c r="L18" s="118">
        <v>0</v>
      </c>
      <c r="M18" s="118">
        <v>0</v>
      </c>
      <c r="N18" s="118">
        <v>0</v>
      </c>
      <c r="O18" s="42" t="s">
        <v>16</v>
      </c>
      <c r="P18" s="42" t="s">
        <v>46</v>
      </c>
      <c r="Q18" s="42" t="s">
        <v>109</v>
      </c>
      <c r="R18" s="42" t="s">
        <v>46</v>
      </c>
      <c r="S18" s="121" t="s">
        <v>44</v>
      </c>
      <c r="T18" s="119"/>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row>
    <row r="19" spans="1:46" ht="14.25" customHeight="1" x14ac:dyDescent="0.2">
      <c r="A19" s="118">
        <v>16</v>
      </c>
      <c r="B19" s="118" t="s">
        <v>302</v>
      </c>
      <c r="C19" s="118" t="s">
        <v>303</v>
      </c>
      <c r="D19" s="118">
        <v>2025</v>
      </c>
      <c r="E19" s="118" t="s">
        <v>241</v>
      </c>
      <c r="F19" s="118" t="s">
        <v>305</v>
      </c>
      <c r="G19" s="118" t="s">
        <v>306</v>
      </c>
      <c r="H19" s="118" t="s">
        <v>246</v>
      </c>
      <c r="I19" s="118" t="s">
        <v>15</v>
      </c>
      <c r="J19" s="118" t="s">
        <v>223</v>
      </c>
      <c r="K19" s="118" t="s">
        <v>304</v>
      </c>
      <c r="L19" s="118" t="s">
        <v>307</v>
      </c>
      <c r="M19" s="118">
        <v>0</v>
      </c>
      <c r="N19" s="118">
        <v>0</v>
      </c>
      <c r="O19" s="42" t="s">
        <v>16</v>
      </c>
      <c r="P19" s="42" t="s">
        <v>44</v>
      </c>
      <c r="Q19" s="42" t="s">
        <v>109</v>
      </c>
      <c r="R19" s="42" t="s">
        <v>44</v>
      </c>
      <c r="S19" s="121" t="s">
        <v>44</v>
      </c>
      <c r="T19" s="119"/>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spans="1:46" ht="14.25" customHeight="1" x14ac:dyDescent="0.2">
      <c r="A20" s="118">
        <v>17</v>
      </c>
      <c r="B20" s="118" t="s">
        <v>308</v>
      </c>
      <c r="C20" s="118" t="s">
        <v>309</v>
      </c>
      <c r="D20" s="118">
        <v>2025</v>
      </c>
      <c r="E20" s="118" t="s">
        <v>241</v>
      </c>
      <c r="F20" s="118" t="s">
        <v>311</v>
      </c>
      <c r="G20" s="118" t="s">
        <v>312</v>
      </c>
      <c r="H20" s="118" t="s">
        <v>246</v>
      </c>
      <c r="I20" s="118" t="s">
        <v>15</v>
      </c>
      <c r="J20" s="118" t="s">
        <v>223</v>
      </c>
      <c r="K20" s="118" t="s">
        <v>310</v>
      </c>
      <c r="L20" s="118" t="s">
        <v>313</v>
      </c>
      <c r="M20" s="118">
        <v>0</v>
      </c>
      <c r="N20" s="118">
        <v>0</v>
      </c>
      <c r="O20" s="42" t="s">
        <v>16</v>
      </c>
      <c r="P20" s="42" t="s">
        <v>46</v>
      </c>
      <c r="Q20" s="42" t="s">
        <v>109</v>
      </c>
      <c r="R20" s="42" t="s">
        <v>44</v>
      </c>
      <c r="S20" s="121" t="s">
        <v>44</v>
      </c>
      <c r="T20" s="119"/>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spans="1:46" ht="14.25" customHeight="1" x14ac:dyDescent="0.2">
      <c r="A21" s="118">
        <v>18</v>
      </c>
      <c r="B21" s="118" t="s">
        <v>314</v>
      </c>
      <c r="C21" s="118" t="s">
        <v>315</v>
      </c>
      <c r="D21" s="118">
        <v>2025</v>
      </c>
      <c r="E21" s="118" t="s">
        <v>260</v>
      </c>
      <c r="F21" s="118" t="s">
        <v>317</v>
      </c>
      <c r="G21" s="118" t="s">
        <v>318</v>
      </c>
      <c r="H21" s="118" t="s">
        <v>246</v>
      </c>
      <c r="I21" s="118" t="s">
        <v>15</v>
      </c>
      <c r="J21" s="118" t="s">
        <v>223</v>
      </c>
      <c r="K21" s="118" t="s">
        <v>316</v>
      </c>
      <c r="L21" s="118" t="s">
        <v>319</v>
      </c>
      <c r="M21" s="118">
        <v>0</v>
      </c>
      <c r="N21" s="118">
        <v>0</v>
      </c>
      <c r="O21" s="42" t="s">
        <v>16</v>
      </c>
      <c r="P21" s="42" t="s">
        <v>46</v>
      </c>
      <c r="Q21" s="42" t="s">
        <v>109</v>
      </c>
      <c r="R21" s="42" t="s">
        <v>46</v>
      </c>
      <c r="S21" s="121" t="s">
        <v>44</v>
      </c>
      <c r="T21" s="119"/>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spans="1:46" ht="14.25" customHeight="1" x14ac:dyDescent="0.2">
      <c r="A22" s="118">
        <v>19</v>
      </c>
      <c r="B22" s="118" t="s">
        <v>320</v>
      </c>
      <c r="C22" s="118" t="s">
        <v>321</v>
      </c>
      <c r="D22" s="118">
        <v>2023</v>
      </c>
      <c r="E22" s="118" t="s">
        <v>219</v>
      </c>
      <c r="F22" s="118" t="s">
        <v>323</v>
      </c>
      <c r="G22" s="118" t="s">
        <v>324</v>
      </c>
      <c r="H22" s="118" t="s">
        <v>222</v>
      </c>
      <c r="I22" s="118" t="s">
        <v>15</v>
      </c>
      <c r="J22" s="118" t="s">
        <v>223</v>
      </c>
      <c r="K22" s="118" t="s">
        <v>322</v>
      </c>
      <c r="L22" s="118" t="s">
        <v>325</v>
      </c>
      <c r="M22" s="118">
        <v>0</v>
      </c>
      <c r="N22" s="118">
        <v>0</v>
      </c>
      <c r="O22" s="42" t="s">
        <v>16</v>
      </c>
      <c r="P22" s="42" t="s">
        <v>44</v>
      </c>
      <c r="Q22" s="42" t="s">
        <v>109</v>
      </c>
      <c r="R22" s="42" t="s">
        <v>44</v>
      </c>
      <c r="S22" s="121" t="s">
        <v>44</v>
      </c>
      <c r="T22" s="119"/>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6" ht="14.25" customHeight="1" x14ac:dyDescent="0.2">
      <c r="A23" s="118">
        <v>20</v>
      </c>
      <c r="B23" s="118" t="s">
        <v>326</v>
      </c>
      <c r="C23" s="118" t="s">
        <v>327</v>
      </c>
      <c r="D23" s="118">
        <v>2025</v>
      </c>
      <c r="E23" s="118" t="s">
        <v>233</v>
      </c>
      <c r="F23" s="118" t="s">
        <v>329</v>
      </c>
      <c r="G23" s="118" t="s">
        <v>330</v>
      </c>
      <c r="H23" s="118" t="s">
        <v>238</v>
      </c>
      <c r="I23" s="118" t="s">
        <v>15</v>
      </c>
      <c r="J23" s="118" t="s">
        <v>223</v>
      </c>
      <c r="K23" s="118" t="s">
        <v>328</v>
      </c>
      <c r="L23" s="118" t="s">
        <v>331</v>
      </c>
      <c r="M23" s="118">
        <v>0</v>
      </c>
      <c r="N23" s="118">
        <v>0</v>
      </c>
      <c r="O23" s="42" t="s">
        <v>16</v>
      </c>
      <c r="P23" s="42" t="s">
        <v>46</v>
      </c>
      <c r="Q23" s="42" t="s">
        <v>109</v>
      </c>
      <c r="R23" s="42" t="s">
        <v>46</v>
      </c>
      <c r="S23" s="121" t="s">
        <v>44</v>
      </c>
      <c r="T23" s="119"/>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pans="1:46" ht="14.25" customHeight="1" x14ac:dyDescent="0.2">
      <c r="A24" s="118">
        <v>21</v>
      </c>
      <c r="B24" s="118" t="s">
        <v>332</v>
      </c>
      <c r="C24" s="118" t="s">
        <v>333</v>
      </c>
      <c r="D24" s="118">
        <v>2022</v>
      </c>
      <c r="E24" s="118" t="s">
        <v>226</v>
      </c>
      <c r="F24" s="118" t="s">
        <v>335</v>
      </c>
      <c r="G24" s="118">
        <v>0</v>
      </c>
      <c r="H24" s="118" t="s">
        <v>230</v>
      </c>
      <c r="I24" s="118" t="s">
        <v>15</v>
      </c>
      <c r="J24" s="118" t="s">
        <v>223</v>
      </c>
      <c r="K24" s="118" t="s">
        <v>334</v>
      </c>
      <c r="L24" s="118" t="s">
        <v>336</v>
      </c>
      <c r="M24" s="118">
        <v>0</v>
      </c>
      <c r="N24" s="118">
        <v>0</v>
      </c>
      <c r="O24" s="42" t="s">
        <v>16</v>
      </c>
      <c r="P24" s="42" t="s">
        <v>44</v>
      </c>
      <c r="Q24" s="42" t="s">
        <v>109</v>
      </c>
      <c r="R24" s="42" t="s">
        <v>44</v>
      </c>
      <c r="S24" s="121" t="s">
        <v>44</v>
      </c>
      <c r="T24" s="119"/>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spans="1:46" ht="14.25" customHeight="1" x14ac:dyDescent="0.2">
      <c r="A25" s="118">
        <v>22</v>
      </c>
      <c r="B25" s="118" t="s">
        <v>337</v>
      </c>
      <c r="C25" s="118" t="s">
        <v>338</v>
      </c>
      <c r="D25" s="118">
        <v>2021</v>
      </c>
      <c r="E25" s="118" t="s">
        <v>226</v>
      </c>
      <c r="F25" s="118" t="s">
        <v>340</v>
      </c>
      <c r="G25" s="118">
        <v>0</v>
      </c>
      <c r="H25" s="118" t="s">
        <v>230</v>
      </c>
      <c r="I25" s="118" t="s">
        <v>15</v>
      </c>
      <c r="J25" s="118" t="s">
        <v>223</v>
      </c>
      <c r="K25" s="118" t="s">
        <v>339</v>
      </c>
      <c r="L25" s="118" t="s">
        <v>341</v>
      </c>
      <c r="M25" s="118">
        <v>0</v>
      </c>
      <c r="N25" s="118">
        <v>0</v>
      </c>
      <c r="O25" s="42" t="s">
        <v>16</v>
      </c>
      <c r="P25" s="42" t="s">
        <v>46</v>
      </c>
      <c r="Q25" s="42" t="s">
        <v>109</v>
      </c>
      <c r="R25" s="42" t="s">
        <v>46</v>
      </c>
      <c r="S25" s="121" t="s">
        <v>44</v>
      </c>
      <c r="T25" s="119"/>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spans="1:46" ht="14.25" customHeight="1" x14ac:dyDescent="0.2">
      <c r="A26" s="118">
        <v>23</v>
      </c>
      <c r="B26" s="118" t="s">
        <v>342</v>
      </c>
      <c r="C26" s="118" t="s">
        <v>343</v>
      </c>
      <c r="D26" s="118">
        <v>2024</v>
      </c>
      <c r="E26" s="118" t="s">
        <v>219</v>
      </c>
      <c r="F26" s="118" t="s">
        <v>345</v>
      </c>
      <c r="G26" s="118" t="s">
        <v>346</v>
      </c>
      <c r="H26" s="118" t="s">
        <v>222</v>
      </c>
      <c r="I26" s="118" t="s">
        <v>15</v>
      </c>
      <c r="J26" s="118" t="s">
        <v>223</v>
      </c>
      <c r="K26" s="118" t="s">
        <v>344</v>
      </c>
      <c r="L26" s="118" t="s">
        <v>347</v>
      </c>
      <c r="M26" s="118">
        <v>0</v>
      </c>
      <c r="N26" s="118">
        <v>0</v>
      </c>
      <c r="O26" s="42" t="s">
        <v>16</v>
      </c>
      <c r="P26" s="42" t="s">
        <v>44</v>
      </c>
      <c r="Q26" s="42" t="s">
        <v>109</v>
      </c>
      <c r="R26" s="42" t="s">
        <v>44</v>
      </c>
      <c r="S26" s="121" t="s">
        <v>44</v>
      </c>
      <c r="T26" s="119"/>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spans="1:46" ht="14.25" customHeight="1" x14ac:dyDescent="0.2">
      <c r="A27" s="118">
        <v>24</v>
      </c>
      <c r="B27" s="118" t="s">
        <v>348</v>
      </c>
      <c r="C27" s="118" t="s">
        <v>349</v>
      </c>
      <c r="D27" s="118">
        <v>2022</v>
      </c>
      <c r="E27" s="118" t="s">
        <v>219</v>
      </c>
      <c r="F27" s="118" t="s">
        <v>351</v>
      </c>
      <c r="G27" s="118" t="s">
        <v>352</v>
      </c>
      <c r="H27" s="118" t="s">
        <v>222</v>
      </c>
      <c r="I27" s="118" t="s">
        <v>15</v>
      </c>
      <c r="J27" s="118" t="s">
        <v>223</v>
      </c>
      <c r="K27" s="118" t="s">
        <v>350</v>
      </c>
      <c r="L27" s="118" t="s">
        <v>353</v>
      </c>
      <c r="M27" s="118">
        <v>0</v>
      </c>
      <c r="N27" s="118">
        <v>0</v>
      </c>
      <c r="O27" s="42" t="s">
        <v>16</v>
      </c>
      <c r="P27" s="42" t="s">
        <v>46</v>
      </c>
      <c r="Q27" s="42" t="s">
        <v>109</v>
      </c>
      <c r="R27" s="42" t="s">
        <v>44</v>
      </c>
      <c r="S27" s="121" t="s">
        <v>44</v>
      </c>
      <c r="T27" s="119"/>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spans="1:46" ht="14.25" customHeight="1" x14ac:dyDescent="0.2">
      <c r="A28" s="118">
        <v>25</v>
      </c>
      <c r="B28" s="118" t="s">
        <v>354</v>
      </c>
      <c r="C28" s="118" t="s">
        <v>355</v>
      </c>
      <c r="D28" s="118">
        <v>2023</v>
      </c>
      <c r="E28" s="118" t="s">
        <v>226</v>
      </c>
      <c r="F28" s="118" t="s">
        <v>608</v>
      </c>
      <c r="G28" s="118">
        <v>0</v>
      </c>
      <c r="H28" s="118" t="s">
        <v>230</v>
      </c>
      <c r="I28" s="118" t="s">
        <v>15</v>
      </c>
      <c r="J28" s="118" t="s">
        <v>223</v>
      </c>
      <c r="K28" s="118" t="s">
        <v>356</v>
      </c>
      <c r="L28" s="118" t="s">
        <v>357</v>
      </c>
      <c r="M28" s="118">
        <v>0</v>
      </c>
      <c r="N28" s="118">
        <v>0</v>
      </c>
      <c r="O28" s="42" t="s">
        <v>16</v>
      </c>
      <c r="P28" s="42" t="s">
        <v>46</v>
      </c>
      <c r="Q28" s="42" t="s">
        <v>109</v>
      </c>
      <c r="R28" s="42" t="s">
        <v>46</v>
      </c>
      <c r="S28" s="121" t="s">
        <v>44</v>
      </c>
      <c r="T28" s="119"/>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spans="1:46" ht="14.25" customHeight="1" x14ac:dyDescent="0.2">
      <c r="A29" s="118">
        <v>26</v>
      </c>
      <c r="B29" s="118" t="s">
        <v>358</v>
      </c>
      <c r="C29" s="118" t="s">
        <v>359</v>
      </c>
      <c r="D29" s="118">
        <v>2025</v>
      </c>
      <c r="E29" s="118" t="s">
        <v>226</v>
      </c>
      <c r="F29" s="118" t="s">
        <v>361</v>
      </c>
      <c r="G29" s="118">
        <v>0</v>
      </c>
      <c r="H29" s="118" t="s">
        <v>230</v>
      </c>
      <c r="I29" s="118" t="s">
        <v>15</v>
      </c>
      <c r="J29" s="118" t="s">
        <v>223</v>
      </c>
      <c r="K29" s="118" t="s">
        <v>360</v>
      </c>
      <c r="L29" s="118" t="s">
        <v>362</v>
      </c>
      <c r="M29" s="118">
        <v>0</v>
      </c>
      <c r="N29" s="118">
        <v>0</v>
      </c>
      <c r="O29" s="42" t="s">
        <v>16</v>
      </c>
      <c r="P29" s="42" t="s">
        <v>44</v>
      </c>
      <c r="Q29" s="42" t="s">
        <v>109</v>
      </c>
      <c r="R29" s="42" t="s">
        <v>44</v>
      </c>
      <c r="S29" s="121" t="s">
        <v>44</v>
      </c>
      <c r="T29" s="119"/>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46" ht="14.25" customHeight="1" x14ac:dyDescent="0.2">
      <c r="A30" s="118">
        <v>27</v>
      </c>
      <c r="B30" s="118" t="s">
        <v>363</v>
      </c>
      <c r="C30" s="118" t="s">
        <v>364</v>
      </c>
      <c r="D30" s="118">
        <v>2025</v>
      </c>
      <c r="E30" s="118" t="s">
        <v>226</v>
      </c>
      <c r="F30" s="118" t="s">
        <v>366</v>
      </c>
      <c r="G30" s="118">
        <v>0</v>
      </c>
      <c r="H30" s="118" t="s">
        <v>230</v>
      </c>
      <c r="I30" s="118" t="s">
        <v>15</v>
      </c>
      <c r="J30" s="118" t="s">
        <v>223</v>
      </c>
      <c r="K30" s="118" t="s">
        <v>365</v>
      </c>
      <c r="L30" s="118" t="s">
        <v>367</v>
      </c>
      <c r="M30" s="118">
        <v>0</v>
      </c>
      <c r="N30" s="118">
        <v>0</v>
      </c>
      <c r="O30" s="42" t="s">
        <v>16</v>
      </c>
      <c r="P30" s="42" t="s">
        <v>44</v>
      </c>
      <c r="Q30" s="42" t="s">
        <v>109</v>
      </c>
      <c r="R30" s="42" t="s">
        <v>44</v>
      </c>
      <c r="S30" s="121" t="s">
        <v>44</v>
      </c>
      <c r="T30" s="119"/>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ht="14.25" customHeight="1" x14ac:dyDescent="0.2">
      <c r="A31" s="118">
        <v>28</v>
      </c>
      <c r="B31" s="118" t="s">
        <v>368</v>
      </c>
      <c r="C31" s="118" t="s">
        <v>369</v>
      </c>
      <c r="D31" s="118">
        <v>2023</v>
      </c>
      <c r="E31" s="118" t="s">
        <v>226</v>
      </c>
      <c r="F31" s="118" t="s">
        <v>371</v>
      </c>
      <c r="G31" s="118">
        <v>0</v>
      </c>
      <c r="H31" s="118" t="s">
        <v>230</v>
      </c>
      <c r="I31" s="118" t="s">
        <v>15</v>
      </c>
      <c r="J31" s="118" t="s">
        <v>223</v>
      </c>
      <c r="K31" s="118" t="s">
        <v>370</v>
      </c>
      <c r="L31" s="118" t="s">
        <v>372</v>
      </c>
      <c r="M31" s="118">
        <v>0</v>
      </c>
      <c r="N31" s="118">
        <v>0</v>
      </c>
      <c r="O31" s="42" t="s">
        <v>16</v>
      </c>
      <c r="P31" s="42" t="s">
        <v>46</v>
      </c>
      <c r="Q31" s="42" t="s">
        <v>109</v>
      </c>
      <c r="R31" s="42" t="s">
        <v>44</v>
      </c>
      <c r="S31" s="121" t="s">
        <v>44</v>
      </c>
      <c r="T31" s="119"/>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spans="1:46" ht="14.25" customHeight="1" x14ac:dyDescent="0.2">
      <c r="A32" s="118">
        <v>29</v>
      </c>
      <c r="B32" s="118" t="s">
        <v>373</v>
      </c>
      <c r="C32" s="118" t="s">
        <v>374</v>
      </c>
      <c r="D32" s="118">
        <v>2024</v>
      </c>
      <c r="E32" s="118" t="s">
        <v>260</v>
      </c>
      <c r="F32" s="118" t="s">
        <v>376</v>
      </c>
      <c r="G32" s="118" t="s">
        <v>377</v>
      </c>
      <c r="H32" s="118" t="s">
        <v>246</v>
      </c>
      <c r="I32" s="118" t="s">
        <v>15</v>
      </c>
      <c r="J32" s="118" t="s">
        <v>223</v>
      </c>
      <c r="K32" s="118" t="s">
        <v>375</v>
      </c>
      <c r="L32" s="118">
        <v>0</v>
      </c>
      <c r="M32" s="118">
        <v>0</v>
      </c>
      <c r="N32" s="118">
        <v>0</v>
      </c>
      <c r="O32" s="42" t="s">
        <v>16</v>
      </c>
      <c r="P32" s="42" t="s">
        <v>46</v>
      </c>
      <c r="Q32" s="42" t="s">
        <v>109</v>
      </c>
      <c r="R32" s="42" t="s">
        <v>46</v>
      </c>
      <c r="S32" s="121" t="s">
        <v>44</v>
      </c>
      <c r="T32" s="119"/>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pans="1:46" ht="14.25" customHeight="1" x14ac:dyDescent="0.2">
      <c r="A33" s="118">
        <v>30</v>
      </c>
      <c r="B33" s="118" t="s">
        <v>378</v>
      </c>
      <c r="C33" s="118" t="s">
        <v>379</v>
      </c>
      <c r="D33" s="118">
        <v>2025</v>
      </c>
      <c r="E33" s="118" t="s">
        <v>226</v>
      </c>
      <c r="F33" s="118" t="s">
        <v>381</v>
      </c>
      <c r="G33" s="118">
        <v>0</v>
      </c>
      <c r="H33" s="118" t="s">
        <v>230</v>
      </c>
      <c r="I33" s="118" t="s">
        <v>15</v>
      </c>
      <c r="J33" s="118" t="s">
        <v>223</v>
      </c>
      <c r="K33" s="118" t="s">
        <v>380</v>
      </c>
      <c r="L33" s="118" t="s">
        <v>382</v>
      </c>
      <c r="M33" s="118">
        <v>0</v>
      </c>
      <c r="N33" s="118">
        <v>0</v>
      </c>
      <c r="O33" s="42" t="s">
        <v>16</v>
      </c>
      <c r="P33" s="42" t="s">
        <v>44</v>
      </c>
      <c r="Q33" s="42" t="s">
        <v>109</v>
      </c>
      <c r="R33" s="42" t="s">
        <v>44</v>
      </c>
      <c r="S33" s="121" t="s">
        <v>44</v>
      </c>
      <c r="T33" s="119"/>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spans="1:46" ht="14.25" customHeight="1" x14ac:dyDescent="0.2">
      <c r="A34" s="118">
        <v>31</v>
      </c>
      <c r="B34" s="118" t="s">
        <v>383</v>
      </c>
      <c r="C34" s="118" t="s">
        <v>384</v>
      </c>
      <c r="D34" s="118">
        <v>2022</v>
      </c>
      <c r="E34" s="118" t="s">
        <v>260</v>
      </c>
      <c r="F34" s="118" t="s">
        <v>386</v>
      </c>
      <c r="G34" s="118" t="s">
        <v>387</v>
      </c>
      <c r="H34" s="118" t="s">
        <v>246</v>
      </c>
      <c r="I34" s="118" t="s">
        <v>15</v>
      </c>
      <c r="J34" s="118" t="s">
        <v>223</v>
      </c>
      <c r="K34" s="118" t="s">
        <v>385</v>
      </c>
      <c r="L34" s="118" t="s">
        <v>388</v>
      </c>
      <c r="M34" s="118">
        <v>0</v>
      </c>
      <c r="N34" s="118">
        <v>0</v>
      </c>
      <c r="O34" s="42" t="s">
        <v>16</v>
      </c>
      <c r="P34" s="42" t="s">
        <v>46</v>
      </c>
      <c r="Q34" s="42" t="s">
        <v>109</v>
      </c>
      <c r="R34" s="42" t="s">
        <v>45</v>
      </c>
      <c r="S34" s="121" t="s">
        <v>44</v>
      </c>
      <c r="T34" s="119"/>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spans="1:46" ht="14.25" customHeight="1" x14ac:dyDescent="0.2">
      <c r="A35" s="118">
        <v>32</v>
      </c>
      <c r="B35" s="118" t="s">
        <v>389</v>
      </c>
      <c r="C35" s="118" t="s">
        <v>390</v>
      </c>
      <c r="D35" s="118">
        <v>2022</v>
      </c>
      <c r="E35" s="118" t="s">
        <v>260</v>
      </c>
      <c r="F35" s="118" t="s">
        <v>392</v>
      </c>
      <c r="G35" s="118">
        <v>0</v>
      </c>
      <c r="H35" s="118" t="s">
        <v>246</v>
      </c>
      <c r="I35" s="118" t="s">
        <v>15</v>
      </c>
      <c r="J35" s="118" t="s">
        <v>223</v>
      </c>
      <c r="K35" s="118" t="s">
        <v>391</v>
      </c>
      <c r="L35" s="118" t="s">
        <v>393</v>
      </c>
      <c r="M35" s="118">
        <v>0</v>
      </c>
      <c r="N35" s="118">
        <v>0</v>
      </c>
      <c r="O35" s="42" t="s">
        <v>16</v>
      </c>
      <c r="P35" s="42" t="s">
        <v>46</v>
      </c>
      <c r="Q35" s="42" t="s">
        <v>109</v>
      </c>
      <c r="R35" s="42" t="s">
        <v>46</v>
      </c>
      <c r="S35" s="121" t="s">
        <v>44</v>
      </c>
      <c r="T35" s="119"/>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spans="1:46" ht="14.25" customHeight="1" x14ac:dyDescent="0.2">
      <c r="A36" s="118">
        <v>33</v>
      </c>
      <c r="B36" s="118" t="s">
        <v>394</v>
      </c>
      <c r="C36" s="118" t="s">
        <v>395</v>
      </c>
      <c r="D36" s="118">
        <v>2024</v>
      </c>
      <c r="E36" s="118" t="s">
        <v>226</v>
      </c>
      <c r="F36" s="118" t="s">
        <v>397</v>
      </c>
      <c r="G36" s="118">
        <v>0</v>
      </c>
      <c r="H36" s="118" t="s">
        <v>230</v>
      </c>
      <c r="I36" s="118" t="s">
        <v>15</v>
      </c>
      <c r="J36" s="118" t="s">
        <v>223</v>
      </c>
      <c r="K36" s="118" t="s">
        <v>396</v>
      </c>
      <c r="L36" s="118" t="s">
        <v>398</v>
      </c>
      <c r="M36" s="118">
        <v>0</v>
      </c>
      <c r="N36" s="118">
        <v>0</v>
      </c>
      <c r="O36" s="42" t="s">
        <v>16</v>
      </c>
      <c r="P36" s="42" t="s">
        <v>44</v>
      </c>
      <c r="Q36" s="42" t="s">
        <v>109</v>
      </c>
      <c r="R36" s="42" t="s">
        <v>44</v>
      </c>
      <c r="S36" s="121" t="s">
        <v>44</v>
      </c>
      <c r="T36" s="119"/>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spans="1:46" ht="14.25" customHeight="1" x14ac:dyDescent="0.2">
      <c r="A37" s="118">
        <v>34</v>
      </c>
      <c r="B37" s="118" t="s">
        <v>399</v>
      </c>
      <c r="C37" s="118" t="s">
        <v>400</v>
      </c>
      <c r="D37" s="118">
        <v>2022</v>
      </c>
      <c r="E37" s="118" t="s">
        <v>260</v>
      </c>
      <c r="F37" s="118" t="s">
        <v>402</v>
      </c>
      <c r="G37" s="118" t="s">
        <v>403</v>
      </c>
      <c r="H37" s="118" t="s">
        <v>246</v>
      </c>
      <c r="I37" s="118" t="s">
        <v>15</v>
      </c>
      <c r="J37" s="118" t="s">
        <v>223</v>
      </c>
      <c r="K37" s="118" t="s">
        <v>401</v>
      </c>
      <c r="L37" s="118" t="s">
        <v>609</v>
      </c>
      <c r="M37" s="118">
        <v>0</v>
      </c>
      <c r="N37" s="118">
        <v>0</v>
      </c>
      <c r="O37" s="42" t="s">
        <v>16</v>
      </c>
      <c r="P37" s="42" t="s">
        <v>46</v>
      </c>
      <c r="Q37" s="42" t="s">
        <v>109</v>
      </c>
      <c r="R37" s="42" t="s">
        <v>46</v>
      </c>
      <c r="S37" s="121" t="s">
        <v>44</v>
      </c>
      <c r="T37" s="119"/>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spans="1:46" ht="14.25" customHeight="1" x14ac:dyDescent="0.2">
      <c r="A38" s="118">
        <v>35</v>
      </c>
      <c r="B38" s="118" t="s">
        <v>404</v>
      </c>
      <c r="C38" s="118" t="s">
        <v>405</v>
      </c>
      <c r="D38" s="118">
        <v>2022</v>
      </c>
      <c r="E38" s="118" t="s">
        <v>260</v>
      </c>
      <c r="F38" s="118" t="s">
        <v>407</v>
      </c>
      <c r="G38" s="118" t="s">
        <v>408</v>
      </c>
      <c r="H38" s="118" t="s">
        <v>246</v>
      </c>
      <c r="I38" s="118" t="s">
        <v>15</v>
      </c>
      <c r="J38" s="118" t="s">
        <v>223</v>
      </c>
      <c r="K38" s="118" t="s">
        <v>406</v>
      </c>
      <c r="L38" s="118" t="s">
        <v>610</v>
      </c>
      <c r="M38" s="118">
        <v>0</v>
      </c>
      <c r="N38" s="118">
        <v>0</v>
      </c>
      <c r="O38" s="42" t="s">
        <v>16</v>
      </c>
      <c r="P38" s="42" t="s">
        <v>44</v>
      </c>
      <c r="Q38" s="42" t="s">
        <v>109</v>
      </c>
      <c r="R38" s="42" t="s">
        <v>44</v>
      </c>
      <c r="S38" s="121" t="s">
        <v>44</v>
      </c>
      <c r="T38" s="119"/>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spans="1:46" ht="14.25" customHeight="1" x14ac:dyDescent="0.2">
      <c r="A39" s="118">
        <v>36</v>
      </c>
      <c r="B39" s="118" t="s">
        <v>409</v>
      </c>
      <c r="C39" s="118" t="s">
        <v>410</v>
      </c>
      <c r="D39" s="118">
        <v>2025</v>
      </c>
      <c r="E39" s="118" t="s">
        <v>233</v>
      </c>
      <c r="F39" s="118" t="s">
        <v>412</v>
      </c>
      <c r="G39" s="118" t="s">
        <v>413</v>
      </c>
      <c r="H39" s="118" t="s">
        <v>238</v>
      </c>
      <c r="I39" s="118" t="s">
        <v>15</v>
      </c>
      <c r="J39" s="118" t="s">
        <v>223</v>
      </c>
      <c r="K39" s="118" t="s">
        <v>411</v>
      </c>
      <c r="L39" s="118" t="s">
        <v>414</v>
      </c>
      <c r="M39" s="118">
        <v>0</v>
      </c>
      <c r="N39" s="118">
        <v>0</v>
      </c>
      <c r="O39" s="42" t="s">
        <v>16</v>
      </c>
      <c r="P39" s="42" t="s">
        <v>46</v>
      </c>
      <c r="Q39" s="42" t="s">
        <v>109</v>
      </c>
      <c r="R39" s="42" t="s">
        <v>46</v>
      </c>
      <c r="S39" s="121" t="s">
        <v>44</v>
      </c>
      <c r="T39" s="119"/>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spans="1:46" ht="14.25" customHeight="1" x14ac:dyDescent="0.2">
      <c r="A40" s="118">
        <v>37</v>
      </c>
      <c r="B40" s="118" t="s">
        <v>415</v>
      </c>
      <c r="C40" s="118" t="s">
        <v>416</v>
      </c>
      <c r="D40" s="118">
        <v>2026</v>
      </c>
      <c r="E40" s="118" t="s">
        <v>233</v>
      </c>
      <c r="F40" s="118" t="s">
        <v>418</v>
      </c>
      <c r="G40" s="118" t="s">
        <v>419</v>
      </c>
      <c r="H40" s="118" t="s">
        <v>238</v>
      </c>
      <c r="I40" s="118" t="s">
        <v>15</v>
      </c>
      <c r="J40" s="118" t="s">
        <v>223</v>
      </c>
      <c r="K40" s="118" t="s">
        <v>417</v>
      </c>
      <c r="L40" s="118" t="s">
        <v>420</v>
      </c>
      <c r="M40" s="118">
        <v>0</v>
      </c>
      <c r="N40" s="118">
        <v>0</v>
      </c>
      <c r="O40" s="42" t="s">
        <v>16</v>
      </c>
      <c r="P40" s="42" t="s">
        <v>44</v>
      </c>
      <c r="Q40" s="42" t="s">
        <v>109</v>
      </c>
      <c r="R40" s="42" t="s">
        <v>44</v>
      </c>
      <c r="S40" s="121" t="s">
        <v>44</v>
      </c>
      <c r="T40" s="119"/>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pans="1:46" ht="14.25" customHeight="1" x14ac:dyDescent="0.2">
      <c r="A41" s="118">
        <v>38</v>
      </c>
      <c r="B41" s="118" t="s">
        <v>421</v>
      </c>
      <c r="C41" s="118" t="s">
        <v>422</v>
      </c>
      <c r="D41" s="118">
        <v>2024</v>
      </c>
      <c r="E41" s="118" t="s">
        <v>219</v>
      </c>
      <c r="F41" s="118" t="s">
        <v>424</v>
      </c>
      <c r="G41" s="118" t="s">
        <v>425</v>
      </c>
      <c r="H41" s="118" t="s">
        <v>222</v>
      </c>
      <c r="I41" s="118" t="s">
        <v>15</v>
      </c>
      <c r="J41" s="118" t="s">
        <v>223</v>
      </c>
      <c r="K41" s="118" t="s">
        <v>423</v>
      </c>
      <c r="L41" s="118" t="s">
        <v>426</v>
      </c>
      <c r="M41" s="118">
        <v>0</v>
      </c>
      <c r="N41" s="118">
        <v>0</v>
      </c>
      <c r="O41" s="42" t="s">
        <v>16</v>
      </c>
      <c r="P41" s="42" t="s">
        <v>46</v>
      </c>
      <c r="Q41" s="42" t="s">
        <v>109</v>
      </c>
      <c r="R41" s="42" t="s">
        <v>46</v>
      </c>
      <c r="S41" s="121" t="s">
        <v>44</v>
      </c>
      <c r="T41" s="119"/>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spans="1:46" ht="14.25" customHeight="1" x14ac:dyDescent="0.2">
      <c r="A42" s="118">
        <v>39</v>
      </c>
      <c r="B42" s="118" t="s">
        <v>427</v>
      </c>
      <c r="C42" s="118" t="s">
        <v>428</v>
      </c>
      <c r="D42" s="118">
        <v>2022</v>
      </c>
      <c r="E42" s="118" t="s">
        <v>260</v>
      </c>
      <c r="F42" s="118" t="s">
        <v>430</v>
      </c>
      <c r="G42" s="118" t="s">
        <v>431</v>
      </c>
      <c r="H42" s="118" t="s">
        <v>246</v>
      </c>
      <c r="I42" s="118" t="s">
        <v>15</v>
      </c>
      <c r="J42" s="118" t="s">
        <v>223</v>
      </c>
      <c r="K42" s="118" t="s">
        <v>429</v>
      </c>
      <c r="L42" s="118" t="s">
        <v>432</v>
      </c>
      <c r="M42" s="118">
        <v>0</v>
      </c>
      <c r="N42" s="118">
        <v>0</v>
      </c>
      <c r="O42" s="42" t="s">
        <v>16</v>
      </c>
      <c r="P42" s="42" t="s">
        <v>46</v>
      </c>
      <c r="Q42" s="42" t="s">
        <v>109</v>
      </c>
      <c r="R42" s="42" t="s">
        <v>46</v>
      </c>
      <c r="S42" s="121" t="s">
        <v>44</v>
      </c>
      <c r="T42" s="119"/>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spans="1:46" ht="14.25" customHeight="1" x14ac:dyDescent="0.2">
      <c r="A43" s="118">
        <v>40</v>
      </c>
      <c r="B43" s="118" t="s">
        <v>433</v>
      </c>
      <c r="C43" s="118" t="s">
        <v>434</v>
      </c>
      <c r="D43" s="118">
        <v>2022</v>
      </c>
      <c r="E43" s="118" t="s">
        <v>219</v>
      </c>
      <c r="F43" s="118" t="s">
        <v>436</v>
      </c>
      <c r="G43" s="118" t="s">
        <v>437</v>
      </c>
      <c r="H43" s="118" t="s">
        <v>222</v>
      </c>
      <c r="I43" s="118" t="s">
        <v>15</v>
      </c>
      <c r="J43" s="118" t="s">
        <v>223</v>
      </c>
      <c r="K43" s="118" t="s">
        <v>435</v>
      </c>
      <c r="L43" s="118" t="s">
        <v>438</v>
      </c>
      <c r="M43" s="118">
        <v>0</v>
      </c>
      <c r="N43" s="118">
        <v>0</v>
      </c>
      <c r="O43" s="42" t="s">
        <v>16</v>
      </c>
      <c r="P43" s="42" t="s">
        <v>44</v>
      </c>
      <c r="Q43" s="42" t="s">
        <v>109</v>
      </c>
      <c r="R43" s="42" t="s">
        <v>44</v>
      </c>
      <c r="S43" s="121" t="s">
        <v>44</v>
      </c>
      <c r="T43" s="119"/>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spans="1:46" ht="14.25" customHeight="1" x14ac:dyDescent="0.2">
      <c r="A44" s="118">
        <v>41</v>
      </c>
      <c r="B44" s="118" t="s">
        <v>439</v>
      </c>
      <c r="C44" s="118" t="s">
        <v>440</v>
      </c>
      <c r="D44" s="118">
        <v>2026</v>
      </c>
      <c r="E44" s="118" t="s">
        <v>219</v>
      </c>
      <c r="F44" s="118" t="s">
        <v>442</v>
      </c>
      <c r="G44" s="118" t="s">
        <v>443</v>
      </c>
      <c r="H44" s="118" t="s">
        <v>222</v>
      </c>
      <c r="I44" s="118" t="s">
        <v>15</v>
      </c>
      <c r="J44" s="118" t="s">
        <v>223</v>
      </c>
      <c r="K44" s="118" t="s">
        <v>441</v>
      </c>
      <c r="L44" s="118" t="s">
        <v>444</v>
      </c>
      <c r="M44" s="118">
        <v>0</v>
      </c>
      <c r="N44" s="118">
        <v>0</v>
      </c>
      <c r="O44" s="42" t="s">
        <v>16</v>
      </c>
      <c r="P44" s="42" t="s">
        <v>44</v>
      </c>
      <c r="Q44" s="42" t="s">
        <v>109</v>
      </c>
      <c r="R44" s="42" t="s">
        <v>44</v>
      </c>
      <c r="S44" s="121" t="s">
        <v>44</v>
      </c>
      <c r="T44" s="119"/>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spans="1:46" ht="14.25" customHeight="1" x14ac:dyDescent="0.2">
      <c r="A45" s="118">
        <v>42</v>
      </c>
      <c r="B45" s="118" t="s">
        <v>445</v>
      </c>
      <c r="C45" s="118" t="s">
        <v>446</v>
      </c>
      <c r="D45" s="118">
        <v>2023</v>
      </c>
      <c r="E45" s="118" t="s">
        <v>219</v>
      </c>
      <c r="F45" s="118" t="s">
        <v>448</v>
      </c>
      <c r="G45" s="118" t="s">
        <v>449</v>
      </c>
      <c r="H45" s="118" t="s">
        <v>222</v>
      </c>
      <c r="I45" s="118" t="s">
        <v>15</v>
      </c>
      <c r="J45" s="118" t="s">
        <v>223</v>
      </c>
      <c r="K45" s="118" t="s">
        <v>447</v>
      </c>
      <c r="L45" s="118" t="s">
        <v>450</v>
      </c>
      <c r="M45" s="118">
        <v>0</v>
      </c>
      <c r="N45" s="118">
        <v>0</v>
      </c>
      <c r="O45" s="42" t="s">
        <v>16</v>
      </c>
      <c r="P45" s="42" t="s">
        <v>46</v>
      </c>
      <c r="Q45" s="42" t="s">
        <v>109</v>
      </c>
      <c r="R45" s="42" t="s">
        <v>46</v>
      </c>
      <c r="S45" s="121" t="s">
        <v>44</v>
      </c>
      <c r="T45" s="119"/>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spans="1:46" ht="14.25" customHeight="1" x14ac:dyDescent="0.2">
      <c r="A46" s="118">
        <v>43</v>
      </c>
      <c r="B46" s="118" t="s">
        <v>451</v>
      </c>
      <c r="C46" s="118" t="s">
        <v>452</v>
      </c>
      <c r="D46" s="118">
        <v>2026</v>
      </c>
      <c r="E46" s="118" t="s">
        <v>241</v>
      </c>
      <c r="F46" s="118" t="s">
        <v>454</v>
      </c>
      <c r="G46" s="118" t="s">
        <v>455</v>
      </c>
      <c r="H46" s="118" t="s">
        <v>246</v>
      </c>
      <c r="I46" s="118" t="s">
        <v>15</v>
      </c>
      <c r="J46" s="118" t="s">
        <v>223</v>
      </c>
      <c r="K46" s="118" t="s">
        <v>453</v>
      </c>
      <c r="L46" s="118" t="s">
        <v>456</v>
      </c>
      <c r="M46" s="118">
        <v>0</v>
      </c>
      <c r="N46" s="118">
        <v>0</v>
      </c>
      <c r="O46" s="42" t="s">
        <v>16</v>
      </c>
      <c r="P46" s="42" t="s">
        <v>46</v>
      </c>
      <c r="Q46" s="42" t="s">
        <v>109</v>
      </c>
      <c r="R46" s="42" t="s">
        <v>46</v>
      </c>
      <c r="S46" s="121" t="s">
        <v>44</v>
      </c>
      <c r="T46" s="119"/>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spans="1:46" ht="14.25" customHeight="1" x14ac:dyDescent="0.2">
      <c r="A47" s="118">
        <v>44</v>
      </c>
      <c r="B47" s="118" t="s">
        <v>457</v>
      </c>
      <c r="C47" s="118" t="s">
        <v>458</v>
      </c>
      <c r="D47" s="118">
        <v>2021</v>
      </c>
      <c r="E47" s="118" t="s">
        <v>233</v>
      </c>
      <c r="F47" s="118" t="s">
        <v>460</v>
      </c>
      <c r="G47" s="118" t="s">
        <v>461</v>
      </c>
      <c r="H47" s="118" t="s">
        <v>238</v>
      </c>
      <c r="I47" s="118" t="s">
        <v>15</v>
      </c>
      <c r="J47" s="118" t="s">
        <v>223</v>
      </c>
      <c r="K47" s="118" t="s">
        <v>459</v>
      </c>
      <c r="L47" s="118" t="s">
        <v>462</v>
      </c>
      <c r="M47" s="118">
        <v>0</v>
      </c>
      <c r="N47" s="118">
        <v>0</v>
      </c>
      <c r="O47" s="42" t="s">
        <v>16</v>
      </c>
      <c r="P47" s="42" t="s">
        <v>44</v>
      </c>
      <c r="Q47" s="42" t="s">
        <v>109</v>
      </c>
      <c r="R47" s="42" t="s">
        <v>44</v>
      </c>
      <c r="S47" s="121" t="s">
        <v>44</v>
      </c>
      <c r="T47" s="119"/>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spans="1:46" ht="14.25" customHeight="1" x14ac:dyDescent="0.2">
      <c r="A48" s="118">
        <v>45</v>
      </c>
      <c r="B48" s="118" t="s">
        <v>463</v>
      </c>
      <c r="C48" s="118" t="s">
        <v>464</v>
      </c>
      <c r="D48" s="118">
        <v>2025</v>
      </c>
      <c r="E48" s="118" t="s">
        <v>241</v>
      </c>
      <c r="F48" s="118" t="s">
        <v>466</v>
      </c>
      <c r="G48" s="118" t="s">
        <v>467</v>
      </c>
      <c r="H48" s="118" t="s">
        <v>246</v>
      </c>
      <c r="I48" s="118" t="s">
        <v>15</v>
      </c>
      <c r="J48" s="118" t="s">
        <v>223</v>
      </c>
      <c r="K48" s="118" t="s">
        <v>465</v>
      </c>
      <c r="L48" s="118" t="s">
        <v>468</v>
      </c>
      <c r="M48" s="118">
        <v>0</v>
      </c>
      <c r="N48" s="118">
        <v>0</v>
      </c>
      <c r="O48" s="42" t="s">
        <v>16</v>
      </c>
      <c r="P48" s="42" t="s">
        <v>46</v>
      </c>
      <c r="Q48" s="42" t="s">
        <v>109</v>
      </c>
      <c r="R48" s="42" t="s">
        <v>46</v>
      </c>
      <c r="S48" s="121" t="s">
        <v>44</v>
      </c>
      <c r="T48" s="119"/>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spans="1:46" ht="14.25" customHeight="1" x14ac:dyDescent="0.2">
      <c r="A49" s="118">
        <v>46</v>
      </c>
      <c r="B49" s="118" t="s">
        <v>469</v>
      </c>
      <c r="C49" s="118" t="s">
        <v>470</v>
      </c>
      <c r="D49" s="118">
        <v>2022</v>
      </c>
      <c r="E49" s="118" t="s">
        <v>233</v>
      </c>
      <c r="F49" s="118" t="s">
        <v>472</v>
      </c>
      <c r="G49" s="118" t="s">
        <v>473</v>
      </c>
      <c r="H49" s="118" t="s">
        <v>238</v>
      </c>
      <c r="I49" s="118" t="s">
        <v>15</v>
      </c>
      <c r="J49" s="118" t="s">
        <v>223</v>
      </c>
      <c r="K49" s="118" t="s">
        <v>471</v>
      </c>
      <c r="L49" s="118" t="s">
        <v>611</v>
      </c>
      <c r="M49" s="118">
        <v>0</v>
      </c>
      <c r="N49" s="118">
        <v>0</v>
      </c>
      <c r="O49" s="42" t="s">
        <v>16</v>
      </c>
      <c r="P49" s="42" t="s">
        <v>46</v>
      </c>
      <c r="Q49" s="42" t="s">
        <v>109</v>
      </c>
      <c r="R49" s="42" t="s">
        <v>46</v>
      </c>
      <c r="S49" s="121" t="s">
        <v>44</v>
      </c>
      <c r="T49" s="119"/>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spans="1:46" ht="14.25" customHeight="1" x14ac:dyDescent="0.2">
      <c r="A50" s="118">
        <v>47</v>
      </c>
      <c r="B50" s="118" t="s">
        <v>474</v>
      </c>
      <c r="C50" s="118" t="s">
        <v>475</v>
      </c>
      <c r="D50" s="118">
        <v>2024</v>
      </c>
      <c r="E50" s="118" t="s">
        <v>233</v>
      </c>
      <c r="F50" s="118" t="s">
        <v>477</v>
      </c>
      <c r="G50" s="118" t="s">
        <v>478</v>
      </c>
      <c r="H50" s="118" t="s">
        <v>238</v>
      </c>
      <c r="I50" s="118" t="s">
        <v>15</v>
      </c>
      <c r="J50" s="118" t="s">
        <v>223</v>
      </c>
      <c r="K50" s="118" t="s">
        <v>476</v>
      </c>
      <c r="L50" s="118" t="s">
        <v>479</v>
      </c>
      <c r="M50" s="118">
        <v>0</v>
      </c>
      <c r="N50" s="118">
        <v>0</v>
      </c>
      <c r="O50" s="42" t="s">
        <v>16</v>
      </c>
      <c r="P50" s="42" t="s">
        <v>44</v>
      </c>
      <c r="Q50" s="42" t="s">
        <v>109</v>
      </c>
      <c r="R50" s="42" t="s">
        <v>44</v>
      </c>
      <c r="S50" s="121" t="s">
        <v>44</v>
      </c>
      <c r="T50" s="119"/>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spans="1:46" ht="14.25" customHeight="1" x14ac:dyDescent="0.2">
      <c r="A51" s="118">
        <v>48</v>
      </c>
      <c r="B51" s="118" t="s">
        <v>480</v>
      </c>
      <c r="C51" s="118" t="s">
        <v>481</v>
      </c>
      <c r="D51" s="118">
        <v>2026</v>
      </c>
      <c r="E51" s="118" t="s">
        <v>241</v>
      </c>
      <c r="F51" s="118" t="s">
        <v>483</v>
      </c>
      <c r="G51" s="118" t="s">
        <v>484</v>
      </c>
      <c r="H51" s="118" t="s">
        <v>246</v>
      </c>
      <c r="I51" s="118" t="s">
        <v>15</v>
      </c>
      <c r="J51" s="118" t="s">
        <v>223</v>
      </c>
      <c r="K51" s="118" t="s">
        <v>482</v>
      </c>
      <c r="L51" s="118" t="s">
        <v>485</v>
      </c>
      <c r="M51" s="118">
        <v>0</v>
      </c>
      <c r="N51" s="118">
        <v>0</v>
      </c>
      <c r="O51" s="42" t="s">
        <v>16</v>
      </c>
      <c r="P51" s="42" t="s">
        <v>46</v>
      </c>
      <c r="Q51" s="42" t="s">
        <v>109</v>
      </c>
      <c r="R51" s="42" t="s">
        <v>46</v>
      </c>
      <c r="S51" s="121" t="s">
        <v>44</v>
      </c>
      <c r="T51" s="119"/>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spans="1:46" ht="14.25" customHeight="1" x14ac:dyDescent="0.2">
      <c r="A52" s="118">
        <v>49</v>
      </c>
      <c r="B52" s="118" t="s">
        <v>486</v>
      </c>
      <c r="C52" s="118" t="s">
        <v>487</v>
      </c>
      <c r="D52" s="118">
        <v>2025</v>
      </c>
      <c r="E52" s="118" t="s">
        <v>241</v>
      </c>
      <c r="F52" s="118" t="s">
        <v>489</v>
      </c>
      <c r="G52" s="118" t="s">
        <v>490</v>
      </c>
      <c r="H52" s="118" t="s">
        <v>246</v>
      </c>
      <c r="I52" s="118" t="s">
        <v>15</v>
      </c>
      <c r="J52" s="118" t="s">
        <v>223</v>
      </c>
      <c r="K52" s="118" t="s">
        <v>488</v>
      </c>
      <c r="L52" s="118" t="s">
        <v>491</v>
      </c>
      <c r="M52" s="118">
        <v>0</v>
      </c>
      <c r="N52" s="118">
        <v>0</v>
      </c>
      <c r="O52" s="42" t="s">
        <v>16</v>
      </c>
      <c r="P52" s="42" t="s">
        <v>44</v>
      </c>
      <c r="Q52" s="42" t="s">
        <v>109</v>
      </c>
      <c r="R52" s="42" t="s">
        <v>44</v>
      </c>
      <c r="S52" s="121" t="s">
        <v>44</v>
      </c>
      <c r="T52" s="119"/>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spans="1:46" ht="14.25" customHeight="1" x14ac:dyDescent="0.2">
      <c r="A53" s="118">
        <v>50</v>
      </c>
      <c r="B53" s="118" t="s">
        <v>492</v>
      </c>
      <c r="C53" s="118" t="s">
        <v>493</v>
      </c>
      <c r="D53" s="118">
        <v>2023</v>
      </c>
      <c r="E53" s="118" t="s">
        <v>260</v>
      </c>
      <c r="F53" s="118" t="s">
        <v>495</v>
      </c>
      <c r="G53" s="118" t="s">
        <v>496</v>
      </c>
      <c r="H53" s="118" t="s">
        <v>246</v>
      </c>
      <c r="I53" s="118" t="s">
        <v>15</v>
      </c>
      <c r="J53" s="118" t="s">
        <v>223</v>
      </c>
      <c r="K53" s="118" t="s">
        <v>494</v>
      </c>
      <c r="L53" s="118" t="s">
        <v>497</v>
      </c>
      <c r="M53" s="118">
        <v>0</v>
      </c>
      <c r="N53" s="118">
        <v>0</v>
      </c>
      <c r="O53" s="42" t="s">
        <v>16</v>
      </c>
      <c r="P53" s="42" t="s">
        <v>46</v>
      </c>
      <c r="Q53" s="42" t="s">
        <v>109</v>
      </c>
      <c r="R53" s="42" t="s">
        <v>46</v>
      </c>
      <c r="S53" s="121" t="s">
        <v>44</v>
      </c>
      <c r="T53" s="119"/>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spans="1:46" ht="14.25" customHeight="1" x14ac:dyDescent="0.2">
      <c r="A54" s="118">
        <v>51</v>
      </c>
      <c r="B54" s="118" t="s">
        <v>498</v>
      </c>
      <c r="C54" s="118" t="s">
        <v>499</v>
      </c>
      <c r="D54" s="118">
        <v>2025</v>
      </c>
      <c r="E54" s="118" t="s">
        <v>219</v>
      </c>
      <c r="F54" s="118" t="s">
        <v>612</v>
      </c>
      <c r="G54" s="118" t="s">
        <v>501</v>
      </c>
      <c r="H54" s="118" t="s">
        <v>222</v>
      </c>
      <c r="I54" s="118" t="s">
        <v>15</v>
      </c>
      <c r="J54" s="118" t="s">
        <v>223</v>
      </c>
      <c r="K54" s="118" t="s">
        <v>500</v>
      </c>
      <c r="L54" s="118" t="s">
        <v>502</v>
      </c>
      <c r="M54" s="118">
        <v>0</v>
      </c>
      <c r="N54" s="118">
        <v>0</v>
      </c>
      <c r="O54" s="42" t="s">
        <v>16</v>
      </c>
      <c r="P54" s="42" t="s">
        <v>44</v>
      </c>
      <c r="Q54" s="42" t="s">
        <v>109</v>
      </c>
      <c r="R54" s="42" t="s">
        <v>44</v>
      </c>
      <c r="S54" s="121" t="s">
        <v>44</v>
      </c>
      <c r="T54" s="119"/>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spans="1:46" ht="14.25" customHeight="1" x14ac:dyDescent="0.2">
      <c r="A55" s="118">
        <v>52</v>
      </c>
      <c r="B55" s="118" t="s">
        <v>503</v>
      </c>
      <c r="C55" s="118" t="s">
        <v>504</v>
      </c>
      <c r="D55" s="118">
        <v>2025</v>
      </c>
      <c r="E55" s="118" t="s">
        <v>260</v>
      </c>
      <c r="F55" s="118" t="s">
        <v>506</v>
      </c>
      <c r="G55" s="118" t="s">
        <v>507</v>
      </c>
      <c r="H55" s="118" t="s">
        <v>246</v>
      </c>
      <c r="I55" s="118" t="s">
        <v>15</v>
      </c>
      <c r="J55" s="118" t="s">
        <v>223</v>
      </c>
      <c r="K55" s="118" t="s">
        <v>505</v>
      </c>
      <c r="L55" s="118" t="s">
        <v>508</v>
      </c>
      <c r="M55" s="118">
        <v>0</v>
      </c>
      <c r="N55" s="118">
        <v>0</v>
      </c>
      <c r="O55" s="42" t="s">
        <v>16</v>
      </c>
      <c r="P55" s="42" t="s">
        <v>46</v>
      </c>
      <c r="Q55" s="42" t="s">
        <v>109</v>
      </c>
      <c r="R55" s="42" t="s">
        <v>46</v>
      </c>
      <c r="S55" s="121" t="s">
        <v>44</v>
      </c>
      <c r="T55" s="119"/>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spans="1:46" ht="14.25" customHeight="1" x14ac:dyDescent="0.2">
      <c r="A56" s="118">
        <v>53</v>
      </c>
      <c r="B56" s="118" t="s">
        <v>509</v>
      </c>
      <c r="C56" s="118" t="s">
        <v>510</v>
      </c>
      <c r="D56" s="118">
        <v>2023</v>
      </c>
      <c r="E56" s="118" t="s">
        <v>226</v>
      </c>
      <c r="F56" s="118" t="s">
        <v>512</v>
      </c>
      <c r="G56" s="118">
        <v>0</v>
      </c>
      <c r="H56" s="118" t="s">
        <v>230</v>
      </c>
      <c r="I56" s="118" t="s">
        <v>15</v>
      </c>
      <c r="J56" s="118" t="s">
        <v>223</v>
      </c>
      <c r="K56" s="118" t="s">
        <v>511</v>
      </c>
      <c r="L56" s="118" t="s">
        <v>613</v>
      </c>
      <c r="M56" s="118">
        <v>0</v>
      </c>
      <c r="N56" s="118">
        <v>0</v>
      </c>
      <c r="O56" s="42" t="s">
        <v>16</v>
      </c>
      <c r="P56" s="42" t="s">
        <v>46</v>
      </c>
      <c r="Q56" s="42" t="s">
        <v>109</v>
      </c>
      <c r="R56" s="42" t="s">
        <v>46</v>
      </c>
      <c r="S56" s="121" t="s">
        <v>44</v>
      </c>
      <c r="T56" s="119"/>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spans="1:46" ht="14.25" customHeight="1" x14ac:dyDescent="0.2">
      <c r="A57" s="118">
        <v>54</v>
      </c>
      <c r="B57" s="118" t="s">
        <v>513</v>
      </c>
      <c r="C57" s="118" t="s">
        <v>514</v>
      </c>
      <c r="D57" s="118">
        <v>2026</v>
      </c>
      <c r="E57" s="118" t="s">
        <v>241</v>
      </c>
      <c r="F57" s="118" t="s">
        <v>516</v>
      </c>
      <c r="G57" s="118" t="s">
        <v>517</v>
      </c>
      <c r="H57" s="118" t="s">
        <v>246</v>
      </c>
      <c r="I57" s="118" t="s">
        <v>15</v>
      </c>
      <c r="J57" s="118" t="s">
        <v>223</v>
      </c>
      <c r="K57" s="118" t="s">
        <v>515</v>
      </c>
      <c r="L57" s="118" t="s">
        <v>518</v>
      </c>
      <c r="M57" s="118">
        <v>0</v>
      </c>
      <c r="N57" s="118">
        <v>0</v>
      </c>
      <c r="O57" s="42" t="s">
        <v>16</v>
      </c>
      <c r="P57" s="42" t="s">
        <v>44</v>
      </c>
      <c r="Q57" s="42" t="s">
        <v>109</v>
      </c>
      <c r="R57" s="42" t="s">
        <v>44</v>
      </c>
      <c r="S57" s="121" t="s">
        <v>44</v>
      </c>
      <c r="T57" s="119"/>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spans="1:46" ht="14.25" customHeight="1" x14ac:dyDescent="0.2">
      <c r="A58" s="118">
        <v>55</v>
      </c>
      <c r="B58" s="118" t="s">
        <v>519</v>
      </c>
      <c r="C58" s="118" t="s">
        <v>520</v>
      </c>
      <c r="D58" s="118">
        <v>2023</v>
      </c>
      <c r="E58" s="118" t="s">
        <v>226</v>
      </c>
      <c r="F58" s="118" t="s">
        <v>522</v>
      </c>
      <c r="G58" s="118">
        <v>0</v>
      </c>
      <c r="H58" s="118" t="s">
        <v>230</v>
      </c>
      <c r="I58" s="118" t="s">
        <v>15</v>
      </c>
      <c r="J58" s="118" t="s">
        <v>223</v>
      </c>
      <c r="K58" s="118" t="s">
        <v>521</v>
      </c>
      <c r="L58" s="118" t="s">
        <v>614</v>
      </c>
      <c r="M58" s="118">
        <v>0</v>
      </c>
      <c r="N58" s="118">
        <v>0</v>
      </c>
      <c r="O58" s="42" t="s">
        <v>16</v>
      </c>
      <c r="P58" s="42" t="s">
        <v>44</v>
      </c>
      <c r="Q58" s="42" t="s">
        <v>109</v>
      </c>
      <c r="R58" s="42" t="s">
        <v>44</v>
      </c>
      <c r="S58" s="121" t="s">
        <v>44</v>
      </c>
      <c r="T58" s="119"/>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spans="1:46" ht="14.25" customHeight="1" x14ac:dyDescent="0.2">
      <c r="A59" s="118">
        <v>56</v>
      </c>
      <c r="B59" s="118" t="s">
        <v>523</v>
      </c>
      <c r="C59" s="118" t="s">
        <v>524</v>
      </c>
      <c r="D59" s="118">
        <v>2023</v>
      </c>
      <c r="E59" s="118" t="s">
        <v>226</v>
      </c>
      <c r="F59" s="118" t="s">
        <v>526</v>
      </c>
      <c r="G59" s="118">
        <v>0</v>
      </c>
      <c r="H59" s="118" t="s">
        <v>230</v>
      </c>
      <c r="I59" s="118" t="s">
        <v>15</v>
      </c>
      <c r="J59" s="118" t="s">
        <v>223</v>
      </c>
      <c r="K59" s="118" t="s">
        <v>525</v>
      </c>
      <c r="L59" s="118" t="s">
        <v>527</v>
      </c>
      <c r="M59" s="118">
        <v>0</v>
      </c>
      <c r="N59" s="118">
        <v>0</v>
      </c>
      <c r="O59" s="42" t="s">
        <v>16</v>
      </c>
      <c r="P59" s="42" t="s">
        <v>46</v>
      </c>
      <c r="Q59" s="42" t="s">
        <v>109</v>
      </c>
      <c r="R59" s="42" t="s">
        <v>46</v>
      </c>
      <c r="S59" s="121" t="s">
        <v>44</v>
      </c>
      <c r="T59" s="119"/>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spans="1:46" ht="14.25" customHeight="1" x14ac:dyDescent="0.2">
      <c r="A60" s="118">
        <v>57</v>
      </c>
      <c r="B60" s="118" t="s">
        <v>528</v>
      </c>
      <c r="C60" s="118" t="s">
        <v>529</v>
      </c>
      <c r="D60" s="118">
        <v>2021</v>
      </c>
      <c r="E60" s="118" t="s">
        <v>241</v>
      </c>
      <c r="F60" s="118" t="s">
        <v>531</v>
      </c>
      <c r="G60" s="118" t="s">
        <v>532</v>
      </c>
      <c r="H60" s="118" t="s">
        <v>246</v>
      </c>
      <c r="I60" s="118" t="s">
        <v>15</v>
      </c>
      <c r="J60" s="118" t="s">
        <v>223</v>
      </c>
      <c r="K60" s="118" t="s">
        <v>530</v>
      </c>
      <c r="L60" s="118" t="s">
        <v>533</v>
      </c>
      <c r="M60" s="118">
        <v>0</v>
      </c>
      <c r="N60" s="118">
        <v>0</v>
      </c>
      <c r="O60" s="42" t="s">
        <v>16</v>
      </c>
      <c r="P60" s="42" t="s">
        <v>46</v>
      </c>
      <c r="Q60" s="42" t="s">
        <v>109</v>
      </c>
      <c r="R60" s="42" t="s">
        <v>46</v>
      </c>
      <c r="S60" s="121" t="s">
        <v>44</v>
      </c>
      <c r="T60" s="119"/>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spans="1:46" ht="14.25" customHeight="1" x14ac:dyDescent="0.2">
      <c r="A61" s="118">
        <v>58</v>
      </c>
      <c r="B61" s="118" t="s">
        <v>534</v>
      </c>
      <c r="C61" s="118" t="s">
        <v>535</v>
      </c>
      <c r="D61" s="118">
        <v>2025</v>
      </c>
      <c r="E61" s="118" t="s">
        <v>260</v>
      </c>
      <c r="F61" s="118" t="s">
        <v>537</v>
      </c>
      <c r="G61" s="118" t="s">
        <v>538</v>
      </c>
      <c r="H61" s="118" t="s">
        <v>246</v>
      </c>
      <c r="I61" s="118" t="s">
        <v>15</v>
      </c>
      <c r="J61" s="118" t="s">
        <v>223</v>
      </c>
      <c r="K61" s="118" t="s">
        <v>536</v>
      </c>
      <c r="L61" s="118" t="s">
        <v>539</v>
      </c>
      <c r="M61" s="118">
        <v>0</v>
      </c>
      <c r="N61" s="118">
        <v>0</v>
      </c>
      <c r="O61" s="42" t="s">
        <v>16</v>
      </c>
      <c r="P61" s="42" t="s">
        <v>44</v>
      </c>
      <c r="Q61" s="42" t="s">
        <v>109</v>
      </c>
      <c r="R61" s="42" t="s">
        <v>44</v>
      </c>
      <c r="S61" s="121" t="s">
        <v>44</v>
      </c>
      <c r="T61" s="119"/>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spans="1:46" ht="14.25" customHeight="1" x14ac:dyDescent="0.2">
      <c r="A62" s="118">
        <v>59</v>
      </c>
      <c r="B62" s="118" t="s">
        <v>540</v>
      </c>
      <c r="C62" s="118" t="s">
        <v>541</v>
      </c>
      <c r="D62" s="118">
        <v>2025</v>
      </c>
      <c r="E62" s="118" t="s">
        <v>219</v>
      </c>
      <c r="F62" s="118" t="s">
        <v>543</v>
      </c>
      <c r="G62" s="118" t="s">
        <v>544</v>
      </c>
      <c r="H62" s="118" t="s">
        <v>222</v>
      </c>
      <c r="I62" s="118" t="s">
        <v>15</v>
      </c>
      <c r="J62" s="118" t="s">
        <v>223</v>
      </c>
      <c r="K62" s="118" t="s">
        <v>542</v>
      </c>
      <c r="L62" s="118" t="s">
        <v>545</v>
      </c>
      <c r="M62" s="118">
        <v>0</v>
      </c>
      <c r="N62" s="118">
        <v>0</v>
      </c>
      <c r="O62" s="42" t="s">
        <v>16</v>
      </c>
      <c r="P62" s="42" t="s">
        <v>46</v>
      </c>
      <c r="Q62" s="42" t="s">
        <v>109</v>
      </c>
      <c r="R62" s="42" t="s">
        <v>46</v>
      </c>
      <c r="S62" s="121" t="s">
        <v>44</v>
      </c>
      <c r="T62" s="119"/>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spans="1:46" ht="14.25" customHeight="1" x14ac:dyDescent="0.2">
      <c r="A63" s="118">
        <v>60</v>
      </c>
      <c r="B63" s="118" t="s">
        <v>546</v>
      </c>
      <c r="C63" s="118" t="s">
        <v>547</v>
      </c>
      <c r="D63" s="118">
        <v>2024</v>
      </c>
      <c r="E63" s="118" t="s">
        <v>219</v>
      </c>
      <c r="F63" s="118" t="s">
        <v>549</v>
      </c>
      <c r="G63" s="118" t="s">
        <v>550</v>
      </c>
      <c r="H63" s="118" t="s">
        <v>222</v>
      </c>
      <c r="I63" s="118" t="s">
        <v>15</v>
      </c>
      <c r="J63" s="118" t="s">
        <v>223</v>
      </c>
      <c r="K63" s="118" t="s">
        <v>548</v>
      </c>
      <c r="L63" s="118" t="s">
        <v>551</v>
      </c>
      <c r="M63" s="118">
        <v>0</v>
      </c>
      <c r="N63" s="118">
        <v>0</v>
      </c>
      <c r="O63" s="42" t="s">
        <v>16</v>
      </c>
      <c r="P63" s="42" t="s">
        <v>46</v>
      </c>
      <c r="Q63" s="42" t="s">
        <v>109</v>
      </c>
      <c r="R63" s="42" t="s">
        <v>46</v>
      </c>
      <c r="S63" s="121" t="s">
        <v>44</v>
      </c>
      <c r="T63" s="119"/>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spans="1:46" ht="14.25" customHeight="1" x14ac:dyDescent="0.2">
      <c r="A64" s="118">
        <v>61</v>
      </c>
      <c r="B64" s="118" t="s">
        <v>552</v>
      </c>
      <c r="C64" s="118" t="s">
        <v>553</v>
      </c>
      <c r="D64" s="118">
        <v>2023</v>
      </c>
      <c r="E64" s="118" t="s">
        <v>241</v>
      </c>
      <c r="F64" s="118" t="s">
        <v>555</v>
      </c>
      <c r="G64" s="118" t="s">
        <v>556</v>
      </c>
      <c r="H64" s="118" t="s">
        <v>246</v>
      </c>
      <c r="I64" s="118" t="s">
        <v>15</v>
      </c>
      <c r="J64" s="118" t="s">
        <v>223</v>
      </c>
      <c r="K64" s="118" t="s">
        <v>554</v>
      </c>
      <c r="L64" s="118" t="s">
        <v>557</v>
      </c>
      <c r="M64" s="118">
        <v>0</v>
      </c>
      <c r="N64" s="118">
        <v>0</v>
      </c>
      <c r="O64" s="42" t="s">
        <v>16</v>
      </c>
      <c r="P64" s="42" t="s">
        <v>44</v>
      </c>
      <c r="Q64" s="42" t="s">
        <v>109</v>
      </c>
      <c r="R64" s="42" t="s">
        <v>44</v>
      </c>
      <c r="S64" s="121" t="s">
        <v>44</v>
      </c>
      <c r="T64" s="119"/>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spans="1:46" ht="14.25" customHeight="1" x14ac:dyDescent="0.2">
      <c r="A65" s="118">
        <v>62</v>
      </c>
      <c r="B65" s="118" t="s">
        <v>558</v>
      </c>
      <c r="C65" s="118" t="s">
        <v>559</v>
      </c>
      <c r="D65" s="118">
        <v>2025</v>
      </c>
      <c r="E65" s="118" t="s">
        <v>233</v>
      </c>
      <c r="F65" s="118" t="s">
        <v>561</v>
      </c>
      <c r="G65" s="118" t="s">
        <v>562</v>
      </c>
      <c r="H65" s="118" t="s">
        <v>238</v>
      </c>
      <c r="I65" s="118" t="s">
        <v>15</v>
      </c>
      <c r="J65" s="118" t="s">
        <v>223</v>
      </c>
      <c r="K65" s="118" t="s">
        <v>560</v>
      </c>
      <c r="L65" s="118" t="s">
        <v>563</v>
      </c>
      <c r="M65" s="118">
        <v>0</v>
      </c>
      <c r="N65" s="118">
        <v>0</v>
      </c>
      <c r="O65" s="42" t="s">
        <v>16</v>
      </c>
      <c r="P65" s="42" t="s">
        <v>46</v>
      </c>
      <c r="Q65" s="42" t="s">
        <v>109</v>
      </c>
      <c r="R65" s="42" t="s">
        <v>46</v>
      </c>
      <c r="S65" s="121" t="s">
        <v>44</v>
      </c>
      <c r="T65" s="119"/>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spans="1:46" ht="14.25" customHeight="1" x14ac:dyDescent="0.2">
      <c r="A66" s="118">
        <v>63</v>
      </c>
      <c r="B66" s="118" t="s">
        <v>564</v>
      </c>
      <c r="C66" s="118" t="s">
        <v>565</v>
      </c>
      <c r="D66" s="118">
        <v>2023</v>
      </c>
      <c r="E66" s="118" t="s">
        <v>260</v>
      </c>
      <c r="F66" s="118" t="s">
        <v>567</v>
      </c>
      <c r="G66" s="118" t="s">
        <v>568</v>
      </c>
      <c r="H66" s="118" t="s">
        <v>246</v>
      </c>
      <c r="I66" s="118" t="s">
        <v>15</v>
      </c>
      <c r="J66" s="118" t="s">
        <v>223</v>
      </c>
      <c r="K66" s="118" t="s">
        <v>566</v>
      </c>
      <c r="L66" s="118" t="s">
        <v>615</v>
      </c>
      <c r="M66" s="118">
        <v>0</v>
      </c>
      <c r="N66" s="118">
        <v>0</v>
      </c>
      <c r="O66" s="42" t="s">
        <v>16</v>
      </c>
      <c r="P66" s="42" t="s">
        <v>44</v>
      </c>
      <c r="Q66" s="42" t="s">
        <v>109</v>
      </c>
      <c r="R66" s="42" t="s">
        <v>44</v>
      </c>
      <c r="S66" s="121" t="s">
        <v>44</v>
      </c>
      <c r="T66" s="119"/>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spans="1:46" ht="14.25" customHeight="1" x14ac:dyDescent="0.2">
      <c r="A67" s="118">
        <v>64</v>
      </c>
      <c r="B67" s="118" t="s">
        <v>569</v>
      </c>
      <c r="C67" s="118" t="s">
        <v>570</v>
      </c>
      <c r="D67" s="118">
        <v>2026</v>
      </c>
      <c r="E67" s="118" t="s">
        <v>233</v>
      </c>
      <c r="F67" s="118" t="s">
        <v>572</v>
      </c>
      <c r="G67" s="118" t="s">
        <v>573</v>
      </c>
      <c r="H67" s="118" t="s">
        <v>238</v>
      </c>
      <c r="I67" s="118" t="s">
        <v>15</v>
      </c>
      <c r="J67" s="118" t="s">
        <v>223</v>
      </c>
      <c r="K67" s="118" t="s">
        <v>571</v>
      </c>
      <c r="L67" s="118" t="s">
        <v>574</v>
      </c>
      <c r="M67" s="118">
        <v>0</v>
      </c>
      <c r="N67" s="118">
        <v>0</v>
      </c>
      <c r="O67" s="42" t="s">
        <v>16</v>
      </c>
      <c r="P67" s="42" t="s">
        <v>46</v>
      </c>
      <c r="Q67" s="42" t="s">
        <v>109</v>
      </c>
      <c r="R67" s="42" t="s">
        <v>46</v>
      </c>
      <c r="S67" s="121" t="s">
        <v>44</v>
      </c>
      <c r="T67" s="119"/>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spans="1:46" ht="14.25" customHeight="1" x14ac:dyDescent="0.2">
      <c r="A68" s="118">
        <v>65</v>
      </c>
      <c r="B68" s="118" t="s">
        <v>575</v>
      </c>
      <c r="C68" s="118" t="s">
        <v>576</v>
      </c>
      <c r="D68" s="118">
        <v>2025</v>
      </c>
      <c r="E68" s="118" t="s">
        <v>233</v>
      </c>
      <c r="F68" s="118" t="s">
        <v>578</v>
      </c>
      <c r="G68" s="118" t="s">
        <v>579</v>
      </c>
      <c r="H68" s="118" t="s">
        <v>238</v>
      </c>
      <c r="I68" s="118" t="s">
        <v>15</v>
      </c>
      <c r="J68" s="118" t="s">
        <v>223</v>
      </c>
      <c r="K68" s="118" t="s">
        <v>577</v>
      </c>
      <c r="L68" s="118" t="s">
        <v>580</v>
      </c>
      <c r="M68" s="118">
        <v>0</v>
      </c>
      <c r="N68" s="118">
        <v>0</v>
      </c>
      <c r="O68" s="42" t="s">
        <v>16</v>
      </c>
      <c r="P68" s="42" t="s">
        <v>44</v>
      </c>
      <c r="Q68" s="42" t="s">
        <v>109</v>
      </c>
      <c r="R68" s="42" t="s">
        <v>44</v>
      </c>
      <c r="S68" s="121" t="s">
        <v>44</v>
      </c>
      <c r="T68" s="119"/>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spans="1:46" ht="14.25" customHeight="1" x14ac:dyDescent="0.2">
      <c r="A69" s="118">
        <v>66</v>
      </c>
      <c r="B69" s="118" t="s">
        <v>581</v>
      </c>
      <c r="C69" s="118" t="s">
        <v>582</v>
      </c>
      <c r="D69" s="118">
        <v>2025</v>
      </c>
      <c r="E69" s="118" t="s">
        <v>260</v>
      </c>
      <c r="F69" s="118" t="s">
        <v>584</v>
      </c>
      <c r="G69" s="118" t="s">
        <v>585</v>
      </c>
      <c r="H69" s="118" t="s">
        <v>246</v>
      </c>
      <c r="I69" s="118" t="s">
        <v>15</v>
      </c>
      <c r="J69" s="118" t="s">
        <v>223</v>
      </c>
      <c r="K69" s="118" t="s">
        <v>583</v>
      </c>
      <c r="L69" s="118" t="s">
        <v>586</v>
      </c>
      <c r="M69" s="118">
        <v>0</v>
      </c>
      <c r="N69" s="118">
        <v>0</v>
      </c>
      <c r="O69" s="42" t="s">
        <v>16</v>
      </c>
      <c r="P69" s="42" t="s">
        <v>46</v>
      </c>
      <c r="Q69" s="42" t="s">
        <v>109</v>
      </c>
      <c r="R69" s="42" t="s">
        <v>46</v>
      </c>
      <c r="S69" s="121" t="s">
        <v>44</v>
      </c>
      <c r="T69" s="119"/>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spans="1:46" ht="14.25" customHeight="1" x14ac:dyDescent="0.2">
      <c r="A70" s="118">
        <v>67</v>
      </c>
      <c r="B70" s="118" t="s">
        <v>587</v>
      </c>
      <c r="C70" s="118" t="s">
        <v>588</v>
      </c>
      <c r="D70" s="118">
        <v>2025</v>
      </c>
      <c r="E70" s="118" t="s">
        <v>241</v>
      </c>
      <c r="F70" s="118" t="s">
        <v>590</v>
      </c>
      <c r="G70" s="118" t="s">
        <v>591</v>
      </c>
      <c r="H70" s="118" t="s">
        <v>246</v>
      </c>
      <c r="I70" s="118" t="s">
        <v>15</v>
      </c>
      <c r="J70" s="118" t="s">
        <v>223</v>
      </c>
      <c r="K70" s="118" t="s">
        <v>589</v>
      </c>
      <c r="L70" s="118" t="s">
        <v>592</v>
      </c>
      <c r="M70" s="118">
        <v>0</v>
      </c>
      <c r="N70" s="118">
        <v>0</v>
      </c>
      <c r="O70" s="42" t="s">
        <v>16</v>
      </c>
      <c r="P70" s="42" t="s">
        <v>46</v>
      </c>
      <c r="Q70" s="42" t="s">
        <v>109</v>
      </c>
      <c r="R70" s="42" t="s">
        <v>46</v>
      </c>
      <c r="S70" s="121" t="s">
        <v>44</v>
      </c>
      <c r="T70" s="119"/>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spans="1:46" ht="14.25" customHeight="1" x14ac:dyDescent="0.2">
      <c r="A71" s="118">
        <v>68</v>
      </c>
      <c r="B71" s="118" t="s">
        <v>593</v>
      </c>
      <c r="C71" s="118" t="s">
        <v>594</v>
      </c>
      <c r="D71" s="118">
        <v>2026</v>
      </c>
      <c r="E71" s="118" t="s">
        <v>219</v>
      </c>
      <c r="F71" s="118" t="s">
        <v>596</v>
      </c>
      <c r="G71" s="118" t="s">
        <v>597</v>
      </c>
      <c r="H71" s="118" t="s">
        <v>222</v>
      </c>
      <c r="I71" s="118" t="s">
        <v>15</v>
      </c>
      <c r="J71" s="118" t="s">
        <v>223</v>
      </c>
      <c r="K71" s="118" t="s">
        <v>595</v>
      </c>
      <c r="L71" s="118" t="s">
        <v>598</v>
      </c>
      <c r="M71" s="118">
        <v>0</v>
      </c>
      <c r="N71" s="118">
        <v>0</v>
      </c>
      <c r="O71" s="42" t="s">
        <v>16</v>
      </c>
      <c r="P71" s="42" t="s">
        <v>44</v>
      </c>
      <c r="Q71" s="42" t="s">
        <v>109</v>
      </c>
      <c r="R71" s="42" t="s">
        <v>44</v>
      </c>
      <c r="S71" s="121" t="s">
        <v>44</v>
      </c>
      <c r="T71" s="119"/>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spans="1:46" ht="14.25" customHeight="1" x14ac:dyDescent="0.2">
      <c r="A72" s="118">
        <v>69</v>
      </c>
      <c r="B72" s="118" t="s">
        <v>599</v>
      </c>
      <c r="C72" s="118" t="s">
        <v>600</v>
      </c>
      <c r="D72" s="118">
        <v>2025</v>
      </c>
      <c r="E72" s="118" t="s">
        <v>226</v>
      </c>
      <c r="F72" s="118" t="s">
        <v>602</v>
      </c>
      <c r="G72" s="118">
        <v>0</v>
      </c>
      <c r="H72" s="118" t="s">
        <v>230</v>
      </c>
      <c r="I72" s="118" t="s">
        <v>15</v>
      </c>
      <c r="J72" s="118" t="s">
        <v>223</v>
      </c>
      <c r="K72" s="118" t="s">
        <v>601</v>
      </c>
      <c r="L72" s="118" t="s">
        <v>616</v>
      </c>
      <c r="M72" s="118">
        <v>0</v>
      </c>
      <c r="N72" s="118">
        <v>0</v>
      </c>
      <c r="O72" s="42" t="s">
        <v>16</v>
      </c>
      <c r="P72" s="42" t="s">
        <v>44</v>
      </c>
      <c r="Q72" s="42" t="s">
        <v>109</v>
      </c>
      <c r="R72" s="42" t="s">
        <v>44</v>
      </c>
      <c r="S72" s="121" t="s">
        <v>44</v>
      </c>
      <c r="T72" s="119"/>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spans="1:46" ht="14.25" customHeight="1" x14ac:dyDescent="0.2">
      <c r="A73" s="118"/>
      <c r="B73" s="118"/>
      <c r="C73" s="118"/>
      <c r="D73" s="118"/>
      <c r="E73" s="118"/>
      <c r="F73" s="118"/>
      <c r="G73" s="118"/>
      <c r="H73" s="118"/>
      <c r="I73" s="118"/>
      <c r="J73" s="118"/>
      <c r="K73" s="118"/>
      <c r="L73" s="118"/>
      <c r="M73" s="118"/>
      <c r="N73" s="118"/>
      <c r="O73" s="42"/>
      <c r="P73" s="42"/>
      <c r="Q73" s="42"/>
      <c r="R73" s="42"/>
      <c r="S73" s="121"/>
      <c r="T73" s="119"/>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spans="1:46" ht="14.25" customHeight="1" x14ac:dyDescent="0.2">
      <c r="A74" s="118"/>
      <c r="B74" s="118"/>
      <c r="C74" s="118"/>
      <c r="D74" s="118"/>
      <c r="E74" s="118"/>
      <c r="F74" s="118"/>
      <c r="G74" s="118"/>
      <c r="H74" s="118"/>
      <c r="I74" s="118"/>
      <c r="J74" s="118"/>
      <c r="K74" s="118"/>
      <c r="L74" s="118"/>
      <c r="M74" s="118"/>
      <c r="N74" s="118"/>
      <c r="O74" s="42"/>
      <c r="P74" s="42"/>
      <c r="Q74" s="42"/>
      <c r="R74" s="42"/>
      <c r="S74" s="121"/>
      <c r="T74" s="119"/>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spans="1:46" ht="14.25" customHeight="1" x14ac:dyDescent="0.2">
      <c r="A75" s="118"/>
      <c r="B75" s="118"/>
      <c r="C75" s="118"/>
      <c r="D75" s="118"/>
      <c r="E75" s="118"/>
      <c r="F75" s="118"/>
      <c r="G75" s="118"/>
      <c r="H75" s="118"/>
      <c r="I75" s="118"/>
      <c r="J75" s="118"/>
      <c r="K75" s="118"/>
      <c r="L75" s="118"/>
      <c r="M75" s="118"/>
      <c r="N75" s="118"/>
      <c r="O75" s="42"/>
      <c r="P75" s="42"/>
      <c r="Q75" s="42"/>
      <c r="R75" s="42"/>
      <c r="S75" s="121"/>
      <c r="T75" s="119"/>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spans="1:46" ht="14.25" customHeight="1" x14ac:dyDescent="0.2">
      <c r="A76" s="118"/>
      <c r="B76" s="118"/>
      <c r="C76" s="118"/>
      <c r="D76" s="118"/>
      <c r="E76" s="118"/>
      <c r="F76" s="118"/>
      <c r="G76" s="118"/>
      <c r="H76" s="118"/>
      <c r="I76" s="118"/>
      <c r="J76" s="118"/>
      <c r="K76" s="118"/>
      <c r="L76" s="118"/>
      <c r="M76" s="118"/>
      <c r="N76" s="118"/>
      <c r="O76" s="42"/>
      <c r="P76" s="42"/>
      <c r="Q76" s="42"/>
      <c r="R76" s="42"/>
      <c r="S76" s="121"/>
      <c r="T76" s="119"/>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spans="1:46" ht="14.25" customHeight="1" x14ac:dyDescent="0.2">
      <c r="A77" s="118"/>
      <c r="B77" s="118"/>
      <c r="C77" s="118"/>
      <c r="D77" s="118"/>
      <c r="E77" s="118"/>
      <c r="F77" s="118"/>
      <c r="G77" s="118"/>
      <c r="H77" s="118"/>
      <c r="I77" s="118"/>
      <c r="J77" s="118"/>
      <c r="K77" s="118"/>
      <c r="L77" s="118"/>
      <c r="M77" s="118"/>
      <c r="N77" s="118"/>
      <c r="O77" s="42"/>
      <c r="P77" s="42"/>
      <c r="Q77" s="42"/>
      <c r="R77" s="42"/>
      <c r="S77" s="121"/>
      <c r="T77" s="119"/>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spans="1:46" ht="14.25" customHeight="1" x14ac:dyDescent="0.2">
      <c r="A78" s="118"/>
      <c r="B78" s="118"/>
      <c r="C78" s="118"/>
      <c r="D78" s="118"/>
      <c r="E78" s="118"/>
      <c r="F78" s="118"/>
      <c r="G78" s="118"/>
      <c r="H78" s="118"/>
      <c r="I78" s="118"/>
      <c r="J78" s="118"/>
      <c r="K78" s="118"/>
      <c r="L78" s="118"/>
      <c r="M78" s="118"/>
      <c r="N78" s="118"/>
      <c r="O78" s="42"/>
      <c r="P78" s="42"/>
      <c r="Q78" s="42"/>
      <c r="R78" s="42"/>
      <c r="S78" s="121"/>
      <c r="T78" s="119"/>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spans="1:46" ht="14.25" customHeight="1" x14ac:dyDescent="0.2">
      <c r="A79" s="118"/>
      <c r="B79" s="118"/>
      <c r="C79" s="118"/>
      <c r="D79" s="118"/>
      <c r="E79" s="118"/>
      <c r="F79" s="118"/>
      <c r="G79" s="118"/>
      <c r="H79" s="118"/>
      <c r="I79" s="118"/>
      <c r="J79" s="118"/>
      <c r="K79" s="118"/>
      <c r="L79" s="118"/>
      <c r="M79" s="118"/>
      <c r="N79" s="118"/>
      <c r="O79" s="42"/>
      <c r="P79" s="42"/>
      <c r="Q79" s="42"/>
      <c r="R79" s="42"/>
      <c r="S79" s="121"/>
      <c r="T79" s="119"/>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spans="1:46" ht="14.25" customHeight="1" x14ac:dyDescent="0.2">
      <c r="A80" s="118"/>
      <c r="B80" s="118"/>
      <c r="C80" s="118"/>
      <c r="D80" s="118"/>
      <c r="E80" s="118"/>
      <c r="F80" s="118"/>
      <c r="G80" s="118"/>
      <c r="H80" s="118"/>
      <c r="I80" s="118"/>
      <c r="J80" s="118"/>
      <c r="K80" s="118"/>
      <c r="L80" s="118"/>
      <c r="M80" s="118"/>
      <c r="N80" s="118"/>
      <c r="O80" s="42"/>
      <c r="P80" s="42"/>
      <c r="Q80" s="42"/>
      <c r="R80" s="42"/>
      <c r="S80" s="121"/>
      <c r="T80" s="119"/>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spans="1:46" ht="14.25" customHeight="1" x14ac:dyDescent="0.2">
      <c r="A81" s="118"/>
      <c r="B81" s="118"/>
      <c r="C81" s="118"/>
      <c r="D81" s="118"/>
      <c r="E81" s="118"/>
      <c r="F81" s="118"/>
      <c r="G81" s="118"/>
      <c r="H81" s="118"/>
      <c r="I81" s="118"/>
      <c r="J81" s="118"/>
      <c r="K81" s="118"/>
      <c r="L81" s="118"/>
      <c r="M81" s="118"/>
      <c r="N81" s="118"/>
      <c r="O81" s="42"/>
      <c r="P81" s="42"/>
      <c r="Q81" s="42"/>
      <c r="R81" s="42"/>
      <c r="S81" s="121"/>
      <c r="T81" s="119"/>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spans="1:46" ht="14.25" customHeight="1" x14ac:dyDescent="0.2">
      <c r="A82" s="118"/>
      <c r="B82" s="118"/>
      <c r="C82" s="118"/>
      <c r="D82" s="118"/>
      <c r="E82" s="118"/>
      <c r="F82" s="118"/>
      <c r="G82" s="118"/>
      <c r="H82" s="118"/>
      <c r="I82" s="118"/>
      <c r="J82" s="118"/>
      <c r="K82" s="118"/>
      <c r="L82" s="118"/>
      <c r="M82" s="118"/>
      <c r="N82" s="118"/>
      <c r="O82" s="42"/>
      <c r="P82" s="42"/>
      <c r="Q82" s="42"/>
      <c r="R82" s="42"/>
      <c r="S82" s="121"/>
      <c r="T82" s="119"/>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spans="1:46" ht="14.25" customHeight="1" x14ac:dyDescent="0.2">
      <c r="A83" s="118"/>
      <c r="B83" s="118"/>
      <c r="C83" s="118"/>
      <c r="D83" s="118"/>
      <c r="E83" s="118"/>
      <c r="F83" s="118"/>
      <c r="G83" s="118"/>
      <c r="H83" s="118"/>
      <c r="I83" s="118"/>
      <c r="J83" s="118"/>
      <c r="K83" s="118"/>
      <c r="L83" s="118"/>
      <c r="M83" s="118"/>
      <c r="N83" s="118"/>
      <c r="O83" s="42"/>
      <c r="P83" s="42"/>
      <c r="Q83" s="42"/>
      <c r="R83" s="42"/>
      <c r="S83" s="121"/>
      <c r="T83" s="119"/>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spans="1:46" ht="14.25" customHeight="1" x14ac:dyDescent="0.2">
      <c r="A84" s="118"/>
      <c r="B84" s="118"/>
      <c r="C84" s="118"/>
      <c r="D84" s="118"/>
      <c r="E84" s="118"/>
      <c r="F84" s="118"/>
      <c r="G84" s="118"/>
      <c r="H84" s="118"/>
      <c r="I84" s="118"/>
      <c r="J84" s="118"/>
      <c r="K84" s="118"/>
      <c r="L84" s="118"/>
      <c r="M84" s="118"/>
      <c r="N84" s="118"/>
      <c r="O84" s="42"/>
      <c r="P84" s="42"/>
      <c r="Q84" s="42"/>
      <c r="R84" s="42"/>
      <c r="S84" s="121"/>
      <c r="T84" s="119"/>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pans="1:46" ht="14.25" customHeight="1" x14ac:dyDescent="0.2">
      <c r="A85" s="118"/>
      <c r="B85" s="118"/>
      <c r="C85" s="118"/>
      <c r="D85" s="118"/>
      <c r="E85" s="118"/>
      <c r="F85" s="118"/>
      <c r="G85" s="118"/>
      <c r="H85" s="118"/>
      <c r="I85" s="118"/>
      <c r="J85" s="118"/>
      <c r="K85" s="118"/>
      <c r="L85" s="118"/>
      <c r="M85" s="118"/>
      <c r="N85" s="118"/>
      <c r="O85" s="42"/>
      <c r="P85" s="42"/>
      <c r="Q85" s="42"/>
      <c r="R85" s="42"/>
      <c r="S85" s="121"/>
      <c r="T85" s="119"/>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spans="1:46" ht="14.25" customHeight="1" x14ac:dyDescent="0.2">
      <c r="A86" s="118"/>
      <c r="B86" s="118"/>
      <c r="C86" s="118"/>
      <c r="D86" s="118"/>
      <c r="E86" s="118"/>
      <c r="F86" s="118"/>
      <c r="G86" s="118"/>
      <c r="H86" s="118"/>
      <c r="I86" s="118"/>
      <c r="J86" s="118"/>
      <c r="K86" s="118"/>
      <c r="L86" s="118"/>
      <c r="M86" s="118"/>
      <c r="N86" s="118"/>
      <c r="O86" s="42"/>
      <c r="P86" s="42"/>
      <c r="Q86" s="42"/>
      <c r="R86" s="42"/>
      <c r="S86" s="121"/>
      <c r="T86" s="119"/>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spans="1:46" ht="14.25" customHeight="1" x14ac:dyDescent="0.2">
      <c r="A87" s="118"/>
      <c r="B87" s="118"/>
      <c r="C87" s="118"/>
      <c r="D87" s="118"/>
      <c r="E87" s="118"/>
      <c r="F87" s="118"/>
      <c r="G87" s="118"/>
      <c r="H87" s="118"/>
      <c r="I87" s="118"/>
      <c r="J87" s="118"/>
      <c r="K87" s="118"/>
      <c r="L87" s="118"/>
      <c r="M87" s="118"/>
      <c r="N87" s="118"/>
      <c r="O87" s="42"/>
      <c r="P87" s="42"/>
      <c r="Q87" s="42"/>
      <c r="R87" s="42"/>
      <c r="S87" s="121"/>
      <c r="T87" s="119"/>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spans="1:46" ht="14.25" customHeight="1" x14ac:dyDescent="0.2">
      <c r="A88" s="118"/>
      <c r="B88" s="118"/>
      <c r="C88" s="118"/>
      <c r="D88" s="118"/>
      <c r="E88" s="118"/>
      <c r="F88" s="118"/>
      <c r="G88" s="118"/>
      <c r="H88" s="118"/>
      <c r="I88" s="118"/>
      <c r="J88" s="118"/>
      <c r="K88" s="118"/>
      <c r="L88" s="118"/>
      <c r="M88" s="118"/>
      <c r="N88" s="118"/>
      <c r="O88" s="42"/>
      <c r="P88" s="42"/>
      <c r="Q88" s="42"/>
      <c r="R88" s="42"/>
      <c r="S88" s="121"/>
      <c r="T88" s="119"/>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spans="1:46" ht="14.25" customHeight="1" x14ac:dyDescent="0.2">
      <c r="A89" s="118"/>
      <c r="B89" s="118"/>
      <c r="C89" s="118"/>
      <c r="D89" s="118"/>
      <c r="E89" s="118"/>
      <c r="F89" s="118"/>
      <c r="G89" s="118"/>
      <c r="H89" s="118"/>
      <c r="I89" s="118"/>
      <c r="J89" s="118"/>
      <c r="K89" s="118"/>
      <c r="L89" s="118"/>
      <c r="M89" s="118"/>
      <c r="N89" s="118"/>
      <c r="O89" s="42"/>
      <c r="P89" s="42"/>
      <c r="Q89" s="42"/>
      <c r="R89" s="42"/>
      <c r="S89" s="121"/>
      <c r="T89" s="119"/>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spans="1:46" ht="14.25" customHeight="1" x14ac:dyDescent="0.2">
      <c r="A90" s="118"/>
      <c r="B90" s="118"/>
      <c r="C90" s="118"/>
      <c r="D90" s="118"/>
      <c r="E90" s="118"/>
      <c r="F90" s="118"/>
      <c r="G90" s="118"/>
      <c r="H90" s="118"/>
      <c r="I90" s="118"/>
      <c r="J90" s="118"/>
      <c r="K90" s="118"/>
      <c r="L90" s="118"/>
      <c r="M90" s="118"/>
      <c r="N90" s="118"/>
      <c r="O90" s="42"/>
      <c r="P90" s="42"/>
      <c r="Q90" s="42"/>
      <c r="R90" s="42"/>
      <c r="S90" s="121"/>
      <c r="T90" s="119"/>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spans="1:46" ht="14.25" customHeight="1" x14ac:dyDescent="0.2">
      <c r="A91" s="118"/>
      <c r="B91" s="118"/>
      <c r="C91" s="118"/>
      <c r="D91" s="118"/>
      <c r="E91" s="118"/>
      <c r="F91" s="118"/>
      <c r="G91" s="118"/>
      <c r="H91" s="118"/>
      <c r="I91" s="118"/>
      <c r="J91" s="118"/>
      <c r="K91" s="118"/>
      <c r="L91" s="118"/>
      <c r="M91" s="118"/>
      <c r="N91" s="118"/>
      <c r="O91" s="42"/>
      <c r="P91" s="42"/>
      <c r="Q91" s="42"/>
      <c r="R91" s="42"/>
      <c r="S91" s="121"/>
      <c r="T91" s="119"/>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spans="1:46" ht="14.25" customHeight="1" x14ac:dyDescent="0.2">
      <c r="A92" s="118"/>
      <c r="B92" s="118"/>
      <c r="C92" s="118"/>
      <c r="D92" s="118"/>
      <c r="E92" s="118"/>
      <c r="F92" s="118"/>
      <c r="G92" s="118"/>
      <c r="H92" s="118"/>
      <c r="I92" s="118"/>
      <c r="J92" s="118"/>
      <c r="K92" s="118"/>
      <c r="L92" s="118"/>
      <c r="M92" s="118"/>
      <c r="N92" s="118"/>
      <c r="O92" s="42"/>
      <c r="P92" s="42"/>
      <c r="Q92" s="42"/>
      <c r="R92" s="42"/>
      <c r="S92" s="121"/>
      <c r="T92" s="119"/>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spans="1:46" ht="14.25" customHeight="1" x14ac:dyDescent="0.2">
      <c r="A93" s="118"/>
      <c r="B93" s="118"/>
      <c r="C93" s="118"/>
      <c r="D93" s="118"/>
      <c r="E93" s="118"/>
      <c r="F93" s="118"/>
      <c r="G93" s="118"/>
      <c r="H93" s="118"/>
      <c r="I93" s="118"/>
      <c r="J93" s="118"/>
      <c r="K93" s="118"/>
      <c r="L93" s="118"/>
      <c r="M93" s="118"/>
      <c r="N93" s="118"/>
      <c r="O93" s="42"/>
      <c r="P93" s="42"/>
      <c r="Q93" s="42"/>
      <c r="R93" s="42"/>
      <c r="S93" s="121"/>
      <c r="T93" s="119"/>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spans="1:46" ht="14.25" customHeight="1" x14ac:dyDescent="0.2">
      <c r="A94" s="118"/>
      <c r="B94" s="118"/>
      <c r="C94" s="118"/>
      <c r="D94" s="118"/>
      <c r="E94" s="118"/>
      <c r="F94" s="118"/>
      <c r="G94" s="118"/>
      <c r="H94" s="118"/>
      <c r="I94" s="118"/>
      <c r="J94" s="118"/>
      <c r="K94" s="118"/>
      <c r="L94" s="118"/>
      <c r="M94" s="118"/>
      <c r="N94" s="118"/>
      <c r="O94" s="42"/>
      <c r="P94" s="42"/>
      <c r="Q94" s="42"/>
      <c r="R94" s="42"/>
      <c r="S94" s="121"/>
      <c r="T94" s="119"/>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pans="1:46" ht="14.25" customHeight="1" x14ac:dyDescent="0.2">
      <c r="A95" s="118"/>
      <c r="B95" s="118"/>
      <c r="C95" s="118"/>
      <c r="D95" s="118"/>
      <c r="E95" s="118"/>
      <c r="F95" s="118"/>
      <c r="G95" s="118"/>
      <c r="H95" s="118"/>
      <c r="I95" s="118"/>
      <c r="J95" s="118"/>
      <c r="K95" s="118"/>
      <c r="L95" s="118"/>
      <c r="M95" s="118"/>
      <c r="N95" s="118"/>
      <c r="O95" s="42"/>
      <c r="P95" s="42"/>
      <c r="Q95" s="42"/>
      <c r="R95" s="42"/>
      <c r="S95" s="121"/>
      <c r="T95" s="119"/>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spans="1:46" ht="14.25" customHeight="1" x14ac:dyDescent="0.2">
      <c r="A96" s="118"/>
      <c r="B96" s="118"/>
      <c r="C96" s="118"/>
      <c r="D96" s="118"/>
      <c r="E96" s="118"/>
      <c r="F96" s="118"/>
      <c r="G96" s="118"/>
      <c r="H96" s="118"/>
      <c r="I96" s="118"/>
      <c r="J96" s="118"/>
      <c r="K96" s="118"/>
      <c r="L96" s="118"/>
      <c r="M96" s="118"/>
      <c r="N96" s="118"/>
      <c r="O96" s="42"/>
      <c r="P96" s="42"/>
      <c r="Q96" s="42"/>
      <c r="R96" s="42"/>
      <c r="S96" s="121"/>
      <c r="T96" s="119"/>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spans="1:46" ht="14.25" customHeight="1" x14ac:dyDescent="0.2">
      <c r="A97" s="118"/>
      <c r="B97" s="118"/>
      <c r="C97" s="118"/>
      <c r="D97" s="118"/>
      <c r="E97" s="118"/>
      <c r="F97" s="118"/>
      <c r="G97" s="118"/>
      <c r="H97" s="118"/>
      <c r="I97" s="118"/>
      <c r="J97" s="118"/>
      <c r="K97" s="118"/>
      <c r="L97" s="118"/>
      <c r="M97" s="118"/>
      <c r="N97" s="118"/>
      <c r="O97" s="42"/>
      <c r="P97" s="42"/>
      <c r="Q97" s="42"/>
      <c r="R97" s="42"/>
      <c r="S97" s="121"/>
      <c r="T97" s="119"/>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spans="1:46" ht="14.25" customHeight="1" x14ac:dyDescent="0.2">
      <c r="A98" s="118"/>
      <c r="B98" s="118"/>
      <c r="C98" s="118"/>
      <c r="D98" s="118"/>
      <c r="E98" s="118"/>
      <c r="F98" s="118"/>
      <c r="G98" s="118"/>
      <c r="H98" s="118"/>
      <c r="I98" s="118"/>
      <c r="J98" s="118"/>
      <c r="K98" s="118"/>
      <c r="L98" s="118"/>
      <c r="M98" s="118"/>
      <c r="N98" s="118"/>
      <c r="O98" s="42"/>
      <c r="P98" s="42"/>
      <c r="Q98" s="42"/>
      <c r="R98" s="42"/>
      <c r="S98" s="121"/>
      <c r="T98" s="119"/>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ht="14.25" customHeight="1" x14ac:dyDescent="0.2">
      <c r="A99" s="118"/>
      <c r="B99" s="118"/>
      <c r="C99" s="118"/>
      <c r="D99" s="118"/>
      <c r="E99" s="118"/>
      <c r="F99" s="118"/>
      <c r="G99" s="118"/>
      <c r="H99" s="118"/>
      <c r="I99" s="118"/>
      <c r="J99" s="118"/>
      <c r="K99" s="118"/>
      <c r="L99" s="118"/>
      <c r="M99" s="118"/>
      <c r="N99" s="118"/>
      <c r="O99" s="42"/>
      <c r="P99" s="42"/>
      <c r="Q99" s="42"/>
      <c r="R99" s="42"/>
      <c r="S99" s="121"/>
      <c r="T99" s="119"/>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ht="14.25" customHeight="1" x14ac:dyDescent="0.2">
      <c r="A100" s="118"/>
      <c r="B100" s="118"/>
      <c r="C100" s="118"/>
      <c r="D100" s="118"/>
      <c r="E100" s="118"/>
      <c r="F100" s="118"/>
      <c r="G100" s="118"/>
      <c r="H100" s="118"/>
      <c r="I100" s="118"/>
      <c r="J100" s="118"/>
      <c r="K100" s="118"/>
      <c r="L100" s="118"/>
      <c r="M100" s="118"/>
      <c r="N100" s="118"/>
      <c r="O100" s="42"/>
      <c r="P100" s="42"/>
      <c r="Q100" s="42"/>
      <c r="R100" s="42"/>
      <c r="S100" s="121"/>
      <c r="T100" s="119"/>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ht="14.25" customHeight="1" x14ac:dyDescent="0.2">
      <c r="A101" s="118"/>
      <c r="B101" s="118"/>
      <c r="C101" s="118"/>
      <c r="D101" s="118"/>
      <c r="E101" s="118"/>
      <c r="F101" s="118"/>
      <c r="G101" s="118"/>
      <c r="H101" s="118"/>
      <c r="I101" s="118"/>
      <c r="J101" s="118"/>
      <c r="K101" s="118"/>
      <c r="L101" s="118"/>
      <c r="M101" s="118"/>
      <c r="N101" s="118"/>
      <c r="O101" s="42"/>
      <c r="P101" s="42"/>
      <c r="Q101" s="42"/>
      <c r="R101" s="42"/>
      <c r="S101" s="121"/>
      <c r="T101" s="119"/>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ht="14.25" customHeight="1" x14ac:dyDescent="0.2">
      <c r="A102" s="118"/>
      <c r="B102" s="118"/>
      <c r="C102" s="118"/>
      <c r="D102" s="118"/>
      <c r="E102" s="118"/>
      <c r="F102" s="118"/>
      <c r="G102" s="118"/>
      <c r="H102" s="118"/>
      <c r="I102" s="118"/>
      <c r="J102" s="118"/>
      <c r="K102" s="118"/>
      <c r="L102" s="118"/>
      <c r="M102" s="118"/>
      <c r="N102" s="118"/>
      <c r="O102" s="42"/>
      <c r="P102" s="42"/>
      <c r="Q102" s="42"/>
      <c r="R102" s="42"/>
      <c r="S102" s="121"/>
      <c r="T102" s="119"/>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ht="14.25" customHeight="1" x14ac:dyDescent="0.2">
      <c r="A103" s="118"/>
      <c r="B103" s="118"/>
      <c r="C103" s="118"/>
      <c r="D103" s="118"/>
      <c r="E103" s="118"/>
      <c r="F103" s="118"/>
      <c r="G103" s="118"/>
      <c r="H103" s="118"/>
      <c r="I103" s="118"/>
      <c r="J103" s="118"/>
      <c r="K103" s="118"/>
      <c r="L103" s="118"/>
      <c r="M103" s="118"/>
      <c r="N103" s="118"/>
      <c r="O103" s="42"/>
      <c r="P103" s="42"/>
      <c r="Q103" s="42"/>
      <c r="R103" s="42"/>
      <c r="S103" s="121"/>
      <c r="T103" s="119"/>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ht="14.25" customHeight="1" x14ac:dyDescent="0.2">
      <c r="A104" s="118"/>
      <c r="B104" s="118"/>
      <c r="C104" s="118"/>
      <c r="D104" s="118"/>
      <c r="E104" s="118"/>
      <c r="F104" s="118"/>
      <c r="G104" s="118"/>
      <c r="H104" s="118"/>
      <c r="I104" s="118"/>
      <c r="J104" s="118"/>
      <c r="K104" s="118"/>
      <c r="L104" s="118"/>
      <c r="M104" s="118"/>
      <c r="N104" s="118"/>
      <c r="O104" s="42"/>
      <c r="P104" s="42"/>
      <c r="Q104" s="42"/>
      <c r="R104" s="42"/>
      <c r="S104" s="121"/>
      <c r="T104" s="119"/>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ht="14.25" customHeight="1" x14ac:dyDescent="0.2">
      <c r="A105" s="118"/>
      <c r="B105" s="118"/>
      <c r="C105" s="118"/>
      <c r="D105" s="118"/>
      <c r="E105" s="118"/>
      <c r="F105" s="118"/>
      <c r="G105" s="118"/>
      <c r="H105" s="118"/>
      <c r="I105" s="118"/>
      <c r="J105" s="118"/>
      <c r="K105" s="118"/>
      <c r="L105" s="118"/>
      <c r="M105" s="118"/>
      <c r="N105" s="118"/>
      <c r="O105" s="42"/>
      <c r="P105" s="42"/>
      <c r="Q105" s="42"/>
      <c r="R105" s="42"/>
      <c r="S105" s="121"/>
      <c r="T105" s="119"/>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ht="14.25" customHeight="1" x14ac:dyDescent="0.2">
      <c r="A106" s="118"/>
      <c r="B106" s="118"/>
      <c r="C106" s="118"/>
      <c r="D106" s="118"/>
      <c r="E106" s="118"/>
      <c r="F106" s="118"/>
      <c r="G106" s="118"/>
      <c r="H106" s="118"/>
      <c r="I106" s="118"/>
      <c r="J106" s="118"/>
      <c r="K106" s="118"/>
      <c r="L106" s="118"/>
      <c r="M106" s="118"/>
      <c r="N106" s="118"/>
      <c r="O106" s="42"/>
      <c r="P106" s="42"/>
      <c r="Q106" s="42"/>
      <c r="R106" s="42"/>
      <c r="S106" s="121"/>
      <c r="T106" s="119"/>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ht="14.25" customHeight="1" x14ac:dyDescent="0.2">
      <c r="A107" s="118"/>
      <c r="B107" s="118"/>
      <c r="C107" s="118"/>
      <c r="D107" s="118"/>
      <c r="E107" s="118"/>
      <c r="F107" s="118"/>
      <c r="G107" s="118"/>
      <c r="H107" s="118"/>
      <c r="I107" s="118"/>
      <c r="J107" s="118"/>
      <c r="K107" s="118"/>
      <c r="L107" s="118"/>
      <c r="M107" s="118"/>
      <c r="N107" s="118"/>
      <c r="O107" s="42"/>
      <c r="P107" s="42"/>
      <c r="Q107" s="42"/>
      <c r="R107" s="42"/>
      <c r="S107" s="121"/>
      <c r="T107" s="119"/>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ht="14.25" customHeight="1" x14ac:dyDescent="0.2">
      <c r="A108" s="118"/>
      <c r="B108" s="118"/>
      <c r="C108" s="118"/>
      <c r="D108" s="118"/>
      <c r="E108" s="118"/>
      <c r="F108" s="118"/>
      <c r="G108" s="118"/>
      <c r="H108" s="118"/>
      <c r="I108" s="118"/>
      <c r="J108" s="118"/>
      <c r="K108" s="118"/>
      <c r="L108" s="118"/>
      <c r="M108" s="118"/>
      <c r="N108" s="118"/>
      <c r="O108" s="42"/>
      <c r="P108" s="42"/>
      <c r="Q108" s="42"/>
      <c r="R108" s="42"/>
      <c r="S108" s="121"/>
      <c r="T108" s="119"/>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ht="14.25" customHeight="1" x14ac:dyDescent="0.2">
      <c r="A109" s="118"/>
      <c r="B109" s="118"/>
      <c r="C109" s="118"/>
      <c r="D109" s="118"/>
      <c r="E109" s="118"/>
      <c r="F109" s="118"/>
      <c r="G109" s="118"/>
      <c r="H109" s="118"/>
      <c r="I109" s="118"/>
      <c r="J109" s="118"/>
      <c r="K109" s="118"/>
      <c r="L109" s="118"/>
      <c r="M109" s="118"/>
      <c r="N109" s="118"/>
      <c r="O109" s="42"/>
      <c r="P109" s="42"/>
      <c r="Q109" s="42"/>
      <c r="R109" s="42"/>
      <c r="S109" s="121"/>
      <c r="T109" s="119"/>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ht="14.25" customHeight="1" x14ac:dyDescent="0.2">
      <c r="A110" s="118"/>
      <c r="B110" s="118"/>
      <c r="C110" s="118"/>
      <c r="D110" s="118"/>
      <c r="E110" s="118"/>
      <c r="F110" s="118"/>
      <c r="G110" s="118"/>
      <c r="H110" s="118"/>
      <c r="I110" s="118"/>
      <c r="J110" s="118"/>
      <c r="K110" s="118"/>
      <c r="L110" s="118"/>
      <c r="M110" s="118"/>
      <c r="N110" s="118"/>
      <c r="O110" s="42"/>
      <c r="P110" s="42"/>
      <c r="Q110" s="42"/>
      <c r="R110" s="42"/>
      <c r="S110" s="121"/>
      <c r="T110" s="119"/>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ht="14.25" customHeight="1" x14ac:dyDescent="0.2">
      <c r="A111" s="118"/>
      <c r="B111" s="118"/>
      <c r="C111" s="118"/>
      <c r="D111" s="118"/>
      <c r="E111" s="118"/>
      <c r="F111" s="118"/>
      <c r="G111" s="118"/>
      <c r="H111" s="118"/>
      <c r="I111" s="118"/>
      <c r="J111" s="118"/>
      <c r="K111" s="118"/>
      <c r="L111" s="118"/>
      <c r="M111" s="118"/>
      <c r="N111" s="118"/>
      <c r="O111" s="42"/>
      <c r="P111" s="42"/>
      <c r="Q111" s="42"/>
      <c r="R111" s="42"/>
      <c r="S111" s="121"/>
      <c r="T111" s="119"/>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ht="14.25" customHeight="1" x14ac:dyDescent="0.2">
      <c r="A112" s="118"/>
      <c r="B112" s="118"/>
      <c r="C112" s="118"/>
      <c r="D112" s="118"/>
      <c r="E112" s="118"/>
      <c r="F112" s="118"/>
      <c r="G112" s="118"/>
      <c r="H112" s="118"/>
      <c r="I112" s="118"/>
      <c r="J112" s="118"/>
      <c r="K112" s="118"/>
      <c r="L112" s="118"/>
      <c r="M112" s="118"/>
      <c r="N112" s="118"/>
      <c r="O112" s="42"/>
      <c r="P112" s="42"/>
      <c r="Q112" s="42"/>
      <c r="R112" s="42"/>
      <c r="S112" s="121"/>
      <c r="T112" s="119"/>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ht="14.25" customHeight="1" x14ac:dyDescent="0.2">
      <c r="A113" s="118"/>
      <c r="B113" s="118"/>
      <c r="C113" s="118"/>
      <c r="D113" s="118"/>
      <c r="E113" s="118"/>
      <c r="F113" s="118"/>
      <c r="G113" s="118"/>
      <c r="H113" s="118"/>
      <c r="I113" s="118"/>
      <c r="J113" s="118"/>
      <c r="K113" s="118"/>
      <c r="L113" s="118"/>
      <c r="M113" s="118"/>
      <c r="N113" s="118"/>
      <c r="O113" s="42"/>
      <c r="P113" s="42"/>
      <c r="Q113" s="42"/>
      <c r="R113" s="42"/>
      <c r="S113" s="121"/>
      <c r="T113" s="119"/>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ht="14.25" customHeight="1" x14ac:dyDescent="0.2">
      <c r="A114" s="118"/>
      <c r="B114" s="118"/>
      <c r="C114" s="118"/>
      <c r="D114" s="118"/>
      <c r="E114" s="118"/>
      <c r="F114" s="118"/>
      <c r="G114" s="118"/>
      <c r="H114" s="118"/>
      <c r="I114" s="118"/>
      <c r="J114" s="118"/>
      <c r="K114" s="118"/>
      <c r="L114" s="118"/>
      <c r="M114" s="118"/>
      <c r="N114" s="118"/>
      <c r="O114" s="42"/>
      <c r="P114" s="42"/>
      <c r="Q114" s="42"/>
      <c r="R114" s="42"/>
      <c r="S114" s="121"/>
      <c r="T114" s="119"/>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ht="14.25" customHeight="1" x14ac:dyDescent="0.2">
      <c r="A115" s="118"/>
      <c r="B115" s="118"/>
      <c r="C115" s="118"/>
      <c r="D115" s="118"/>
      <c r="E115" s="118"/>
      <c r="F115" s="118"/>
      <c r="G115" s="118"/>
      <c r="H115" s="118"/>
      <c r="I115" s="118"/>
      <c r="J115" s="118"/>
      <c r="K115" s="118"/>
      <c r="L115" s="118"/>
      <c r="M115" s="118"/>
      <c r="N115" s="118"/>
      <c r="O115" s="42"/>
      <c r="P115" s="42"/>
      <c r="Q115" s="42"/>
      <c r="R115" s="42"/>
      <c r="S115" s="121"/>
      <c r="T115" s="119"/>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ht="14.25" customHeight="1" x14ac:dyDescent="0.2">
      <c r="A116" s="118"/>
      <c r="B116" s="118"/>
      <c r="C116" s="118"/>
      <c r="D116" s="118"/>
      <c r="E116" s="118"/>
      <c r="F116" s="118"/>
      <c r="G116" s="118"/>
      <c r="H116" s="118"/>
      <c r="I116" s="118"/>
      <c r="J116" s="118"/>
      <c r="K116" s="118"/>
      <c r="L116" s="118"/>
      <c r="M116" s="118"/>
      <c r="N116" s="118"/>
      <c r="O116" s="42"/>
      <c r="P116" s="42"/>
      <c r="Q116" s="42"/>
      <c r="R116" s="42"/>
      <c r="S116" s="121"/>
      <c r="T116" s="119"/>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ht="14.25" customHeight="1" x14ac:dyDescent="0.2">
      <c r="A117" s="118"/>
      <c r="B117" s="118"/>
      <c r="C117" s="118"/>
      <c r="D117" s="118"/>
      <c r="E117" s="118"/>
      <c r="F117" s="118"/>
      <c r="G117" s="118"/>
      <c r="H117" s="118"/>
      <c r="I117" s="118"/>
      <c r="J117" s="118"/>
      <c r="K117" s="118"/>
      <c r="L117" s="118"/>
      <c r="M117" s="118"/>
      <c r="N117" s="118"/>
      <c r="O117" s="42"/>
      <c r="P117" s="42"/>
      <c r="Q117" s="42"/>
      <c r="R117" s="42"/>
      <c r="S117" s="121"/>
      <c r="T117" s="119"/>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ht="14.25" customHeight="1" x14ac:dyDescent="0.2">
      <c r="A118" s="118"/>
      <c r="B118" s="118"/>
      <c r="C118" s="118"/>
      <c r="D118" s="118"/>
      <c r="E118" s="118"/>
      <c r="F118" s="118"/>
      <c r="G118" s="118"/>
      <c r="H118" s="118"/>
      <c r="I118" s="118"/>
      <c r="J118" s="118"/>
      <c r="K118" s="118"/>
      <c r="L118" s="118"/>
      <c r="M118" s="118"/>
      <c r="N118" s="118"/>
      <c r="O118" s="42"/>
      <c r="P118" s="42"/>
      <c r="Q118" s="42"/>
      <c r="R118" s="42"/>
      <c r="S118" s="121"/>
      <c r="T118" s="119"/>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ht="14.25" customHeight="1" x14ac:dyDescent="0.2">
      <c r="A119" s="118"/>
      <c r="B119" s="118"/>
      <c r="C119" s="118"/>
      <c r="D119" s="118"/>
      <c r="E119" s="118"/>
      <c r="F119" s="118"/>
      <c r="G119" s="118"/>
      <c r="H119" s="118"/>
      <c r="I119" s="118"/>
      <c r="J119" s="118"/>
      <c r="K119" s="118"/>
      <c r="L119" s="118"/>
      <c r="M119" s="118"/>
      <c r="N119" s="118"/>
      <c r="O119" s="42"/>
      <c r="P119" s="42"/>
      <c r="Q119" s="42"/>
      <c r="R119" s="42"/>
      <c r="S119" s="121"/>
      <c r="T119" s="119"/>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ht="14.25" customHeight="1" x14ac:dyDescent="0.2">
      <c r="A120" s="118"/>
      <c r="B120" s="118"/>
      <c r="C120" s="118"/>
      <c r="D120" s="118"/>
      <c r="E120" s="118"/>
      <c r="F120" s="118"/>
      <c r="G120" s="118"/>
      <c r="H120" s="118"/>
      <c r="I120" s="118"/>
      <c r="J120" s="118"/>
      <c r="K120" s="118"/>
      <c r="L120" s="118"/>
      <c r="M120" s="118"/>
      <c r="N120" s="118"/>
      <c r="O120" s="42"/>
      <c r="P120" s="42"/>
      <c r="Q120" s="42"/>
      <c r="R120" s="42"/>
      <c r="S120" s="121"/>
      <c r="T120" s="119"/>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ht="14.25" customHeight="1" x14ac:dyDescent="0.2">
      <c r="A121" s="118"/>
      <c r="B121" s="118"/>
      <c r="C121" s="118"/>
      <c r="D121" s="118"/>
      <c r="E121" s="118"/>
      <c r="F121" s="118"/>
      <c r="G121" s="118"/>
      <c r="H121" s="118"/>
      <c r="I121" s="118"/>
      <c r="J121" s="118"/>
      <c r="K121" s="118"/>
      <c r="L121" s="118"/>
      <c r="M121" s="118"/>
      <c r="N121" s="118"/>
      <c r="O121" s="42"/>
      <c r="P121" s="42"/>
      <c r="Q121" s="42"/>
      <c r="R121" s="42"/>
      <c r="S121" s="121"/>
      <c r="T121" s="119"/>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ht="14.25" customHeight="1" x14ac:dyDescent="0.2">
      <c r="A122" s="118"/>
      <c r="B122" s="118"/>
      <c r="C122" s="118"/>
      <c r="D122" s="118"/>
      <c r="E122" s="118"/>
      <c r="F122" s="118"/>
      <c r="G122" s="118"/>
      <c r="H122" s="118"/>
      <c r="I122" s="118"/>
      <c r="J122" s="118"/>
      <c r="K122" s="118"/>
      <c r="L122" s="118"/>
      <c r="M122" s="118"/>
      <c r="N122" s="118"/>
      <c r="O122" s="42"/>
      <c r="P122" s="42"/>
      <c r="Q122" s="42"/>
      <c r="R122" s="42"/>
      <c r="S122" s="121"/>
      <c r="T122" s="119"/>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ht="14.25" customHeight="1" x14ac:dyDescent="0.2">
      <c r="A123" s="118"/>
      <c r="B123" s="118"/>
      <c r="C123" s="118"/>
      <c r="D123" s="118"/>
      <c r="E123" s="118"/>
      <c r="F123" s="118"/>
      <c r="G123" s="118"/>
      <c r="H123" s="118"/>
      <c r="I123" s="118"/>
      <c r="J123" s="118"/>
      <c r="K123" s="118"/>
      <c r="L123" s="118"/>
      <c r="M123" s="118"/>
      <c r="N123" s="118"/>
      <c r="O123" s="42"/>
      <c r="P123" s="42"/>
      <c r="Q123" s="42"/>
      <c r="R123" s="42"/>
      <c r="S123" s="121"/>
      <c r="T123" s="119"/>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ht="14.25" customHeight="1" x14ac:dyDescent="0.2">
      <c r="A124" s="118"/>
      <c r="B124" s="118"/>
      <c r="C124" s="118"/>
      <c r="D124" s="118"/>
      <c r="E124" s="118"/>
      <c r="F124" s="118"/>
      <c r="G124" s="118"/>
      <c r="H124" s="118"/>
      <c r="I124" s="118"/>
      <c r="J124" s="118"/>
      <c r="K124" s="118"/>
      <c r="L124" s="118"/>
      <c r="M124" s="118"/>
      <c r="N124" s="118"/>
      <c r="O124" s="42"/>
      <c r="P124" s="42"/>
      <c r="Q124" s="42"/>
      <c r="R124" s="42"/>
      <c r="S124" s="121"/>
      <c r="T124" s="119"/>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ht="14.25" customHeight="1" x14ac:dyDescent="0.2">
      <c r="A125" s="118"/>
      <c r="B125" s="118"/>
      <c r="C125" s="118"/>
      <c r="D125" s="118"/>
      <c r="E125" s="118"/>
      <c r="F125" s="118"/>
      <c r="G125" s="118"/>
      <c r="H125" s="118"/>
      <c r="I125" s="118"/>
      <c r="J125" s="118"/>
      <c r="K125" s="118"/>
      <c r="L125" s="118"/>
      <c r="M125" s="118"/>
      <c r="N125" s="118"/>
      <c r="O125" s="42"/>
      <c r="P125" s="42"/>
      <c r="Q125" s="42"/>
      <c r="R125" s="42"/>
      <c r="S125" s="121"/>
      <c r="T125" s="119"/>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ht="14.25" customHeight="1" x14ac:dyDescent="0.2">
      <c r="A126" s="118"/>
      <c r="B126" s="118"/>
      <c r="C126" s="118"/>
      <c r="D126" s="118"/>
      <c r="E126" s="118"/>
      <c r="F126" s="118"/>
      <c r="G126" s="118"/>
      <c r="H126" s="118"/>
      <c r="I126" s="118"/>
      <c r="J126" s="118"/>
      <c r="K126" s="118"/>
      <c r="L126" s="118"/>
      <c r="M126" s="118"/>
      <c r="N126" s="118"/>
      <c r="O126" s="42"/>
      <c r="P126" s="42"/>
      <c r="Q126" s="42"/>
      <c r="R126" s="42"/>
      <c r="S126" s="121"/>
      <c r="T126" s="119"/>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ht="14.25" customHeight="1" x14ac:dyDescent="0.2">
      <c r="A127" s="118"/>
      <c r="B127" s="118"/>
      <c r="C127" s="118"/>
      <c r="D127" s="118"/>
      <c r="E127" s="118"/>
      <c r="F127" s="118"/>
      <c r="G127" s="118"/>
      <c r="H127" s="118"/>
      <c r="I127" s="118"/>
      <c r="J127" s="118"/>
      <c r="K127" s="118"/>
      <c r="L127" s="118"/>
      <c r="M127" s="118"/>
      <c r="N127" s="118"/>
      <c r="O127" s="42"/>
      <c r="P127" s="42"/>
      <c r="Q127" s="42"/>
      <c r="R127" s="42"/>
      <c r="S127" s="121"/>
      <c r="T127" s="119"/>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ht="14.25" customHeight="1" x14ac:dyDescent="0.2">
      <c r="A128" s="118"/>
      <c r="B128" s="118"/>
      <c r="C128" s="118"/>
      <c r="D128" s="118"/>
      <c r="E128" s="118"/>
      <c r="F128" s="118"/>
      <c r="G128" s="118"/>
      <c r="H128" s="118"/>
      <c r="I128" s="118"/>
      <c r="J128" s="118"/>
      <c r="K128" s="118"/>
      <c r="L128" s="118"/>
      <c r="M128" s="118"/>
      <c r="N128" s="118"/>
      <c r="O128" s="42"/>
      <c r="P128" s="42"/>
      <c r="Q128" s="42"/>
      <c r="R128" s="42"/>
      <c r="S128" s="121"/>
      <c r="T128" s="119"/>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ht="14.25" customHeight="1" x14ac:dyDescent="0.2">
      <c r="A129" s="118"/>
      <c r="B129" s="118"/>
      <c r="C129" s="118"/>
      <c r="D129" s="118"/>
      <c r="E129" s="118"/>
      <c r="F129" s="118"/>
      <c r="G129" s="118"/>
      <c r="H129" s="118"/>
      <c r="I129" s="118"/>
      <c r="J129" s="118"/>
      <c r="K129" s="118"/>
      <c r="L129" s="118"/>
      <c r="M129" s="118"/>
      <c r="N129" s="118"/>
      <c r="O129" s="42"/>
      <c r="P129" s="42"/>
      <c r="Q129" s="42"/>
      <c r="R129" s="42"/>
      <c r="S129" s="121"/>
      <c r="T129" s="119"/>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ht="14.25" customHeight="1" x14ac:dyDescent="0.2">
      <c r="A130" s="118"/>
      <c r="B130" s="118"/>
      <c r="C130" s="118"/>
      <c r="D130" s="118"/>
      <c r="E130" s="118"/>
      <c r="F130" s="118"/>
      <c r="G130" s="118"/>
      <c r="H130" s="118"/>
      <c r="I130" s="118"/>
      <c r="J130" s="118"/>
      <c r="K130" s="118"/>
      <c r="L130" s="118"/>
      <c r="M130" s="118"/>
      <c r="N130" s="118"/>
      <c r="O130" s="42"/>
      <c r="P130" s="42"/>
      <c r="Q130" s="42"/>
      <c r="R130" s="42"/>
      <c r="S130" s="121"/>
      <c r="T130" s="119"/>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ht="14.25" customHeight="1" x14ac:dyDescent="0.2">
      <c r="A131" s="118"/>
      <c r="B131" s="118"/>
      <c r="C131" s="118"/>
      <c r="D131" s="118"/>
      <c r="E131" s="118"/>
      <c r="F131" s="118"/>
      <c r="G131" s="118"/>
      <c r="H131" s="118"/>
      <c r="I131" s="118"/>
      <c r="J131" s="118"/>
      <c r="K131" s="118"/>
      <c r="L131" s="118"/>
      <c r="M131" s="118"/>
      <c r="N131" s="118"/>
      <c r="O131" s="42"/>
      <c r="P131" s="42"/>
      <c r="Q131" s="42"/>
      <c r="R131" s="42"/>
      <c r="S131" s="121"/>
      <c r="T131" s="119"/>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ht="14.25" customHeight="1" x14ac:dyDescent="0.2">
      <c r="A132" s="118"/>
      <c r="B132" s="118"/>
      <c r="C132" s="118"/>
      <c r="D132" s="118"/>
      <c r="E132" s="118"/>
      <c r="F132" s="118"/>
      <c r="G132" s="118"/>
      <c r="H132" s="118"/>
      <c r="I132" s="118"/>
      <c r="J132" s="118"/>
      <c r="K132" s="118"/>
      <c r="L132" s="118"/>
      <c r="M132" s="118"/>
      <c r="N132" s="118"/>
      <c r="O132" s="42"/>
      <c r="P132" s="42"/>
      <c r="Q132" s="42"/>
      <c r="R132" s="42"/>
      <c r="S132" s="121"/>
      <c r="T132" s="119"/>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ht="14.25" customHeight="1" x14ac:dyDescent="0.2">
      <c r="A133" s="118"/>
      <c r="B133" s="118"/>
      <c r="C133" s="118"/>
      <c r="D133" s="118"/>
      <c r="E133" s="118"/>
      <c r="F133" s="118"/>
      <c r="G133" s="118"/>
      <c r="H133" s="118"/>
      <c r="I133" s="118"/>
      <c r="J133" s="118"/>
      <c r="K133" s="118"/>
      <c r="L133" s="118"/>
      <c r="M133" s="118"/>
      <c r="N133" s="118"/>
      <c r="O133" s="42"/>
      <c r="P133" s="42"/>
      <c r="Q133" s="42"/>
      <c r="R133" s="42"/>
      <c r="S133" s="121"/>
      <c r="T133" s="119"/>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ht="14.25" customHeight="1" x14ac:dyDescent="0.2">
      <c r="A134" s="118"/>
      <c r="B134" s="118"/>
      <c r="C134" s="118"/>
      <c r="D134" s="118"/>
      <c r="E134" s="118"/>
      <c r="F134" s="118"/>
      <c r="G134" s="118"/>
      <c r="H134" s="118"/>
      <c r="I134" s="118"/>
      <c r="J134" s="118"/>
      <c r="K134" s="118"/>
      <c r="L134" s="118"/>
      <c r="M134" s="118"/>
      <c r="N134" s="118"/>
      <c r="O134" s="42"/>
      <c r="P134" s="42"/>
      <c r="Q134" s="42"/>
      <c r="R134" s="42"/>
      <c r="S134" s="121"/>
      <c r="T134" s="119"/>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ht="14.25" customHeight="1" x14ac:dyDescent="0.2">
      <c r="A135" s="118"/>
      <c r="B135" s="118"/>
      <c r="C135" s="118"/>
      <c r="D135" s="118"/>
      <c r="E135" s="118"/>
      <c r="F135" s="118"/>
      <c r="G135" s="118"/>
      <c r="H135" s="118"/>
      <c r="I135" s="118"/>
      <c r="J135" s="118"/>
      <c r="K135" s="118"/>
      <c r="L135" s="118"/>
      <c r="M135" s="118"/>
      <c r="N135" s="118"/>
      <c r="O135" s="42"/>
      <c r="P135" s="42"/>
      <c r="Q135" s="42"/>
      <c r="R135" s="42"/>
      <c r="S135" s="121"/>
      <c r="T135" s="119"/>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ht="14.25" customHeight="1" x14ac:dyDescent="0.2">
      <c r="A136" s="118"/>
      <c r="B136" s="118"/>
      <c r="C136" s="118"/>
      <c r="D136" s="118"/>
      <c r="E136" s="118"/>
      <c r="F136" s="118"/>
      <c r="G136" s="118"/>
      <c r="H136" s="118"/>
      <c r="I136" s="118"/>
      <c r="J136" s="118"/>
      <c r="K136" s="118"/>
      <c r="L136" s="118"/>
      <c r="M136" s="118"/>
      <c r="N136" s="118"/>
      <c r="O136" s="42"/>
      <c r="P136" s="42"/>
      <c r="Q136" s="42"/>
      <c r="R136" s="42"/>
      <c r="S136" s="121"/>
      <c r="T136" s="119"/>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ht="14.25" customHeight="1" x14ac:dyDescent="0.2">
      <c r="A137" s="118"/>
      <c r="B137" s="118"/>
      <c r="C137" s="118"/>
      <c r="D137" s="118"/>
      <c r="E137" s="118"/>
      <c r="F137" s="118"/>
      <c r="G137" s="118"/>
      <c r="H137" s="118"/>
      <c r="I137" s="118"/>
      <c r="J137" s="118"/>
      <c r="K137" s="118"/>
      <c r="L137" s="118"/>
      <c r="M137" s="118"/>
      <c r="N137" s="118"/>
      <c r="O137" s="42"/>
      <c r="P137" s="42"/>
      <c r="Q137" s="42"/>
      <c r="R137" s="42"/>
      <c r="S137" s="121"/>
      <c r="T137" s="119"/>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ht="14.25" customHeight="1" x14ac:dyDescent="0.2">
      <c r="A138" s="118"/>
      <c r="B138" s="118"/>
      <c r="C138" s="118"/>
      <c r="D138" s="118"/>
      <c r="E138" s="118"/>
      <c r="F138" s="118"/>
      <c r="G138" s="118"/>
      <c r="H138" s="118"/>
      <c r="I138" s="118"/>
      <c r="J138" s="118"/>
      <c r="K138" s="118"/>
      <c r="L138" s="118"/>
      <c r="M138" s="118"/>
      <c r="N138" s="118"/>
      <c r="O138" s="42"/>
      <c r="P138" s="42"/>
      <c r="Q138" s="42"/>
      <c r="R138" s="42"/>
      <c r="S138" s="121"/>
      <c r="T138" s="119"/>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ht="14.25" customHeight="1" x14ac:dyDescent="0.2">
      <c r="A139" s="118"/>
      <c r="B139" s="118"/>
      <c r="C139" s="118"/>
      <c r="D139" s="118"/>
      <c r="E139" s="118"/>
      <c r="F139" s="118"/>
      <c r="G139" s="118"/>
      <c r="H139" s="118"/>
      <c r="I139" s="118"/>
      <c r="J139" s="118"/>
      <c r="K139" s="118"/>
      <c r="L139" s="118"/>
      <c r="M139" s="118"/>
      <c r="N139" s="118"/>
      <c r="O139" s="42"/>
      <c r="P139" s="42"/>
      <c r="Q139" s="42"/>
      <c r="R139" s="42"/>
      <c r="S139" s="121"/>
      <c r="T139" s="119"/>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ht="14.25" customHeight="1" x14ac:dyDescent="0.2">
      <c r="A140" s="118"/>
      <c r="B140" s="118"/>
      <c r="C140" s="118"/>
      <c r="D140" s="118"/>
      <c r="E140" s="118"/>
      <c r="F140" s="118"/>
      <c r="G140" s="118"/>
      <c r="H140" s="118"/>
      <c r="I140" s="118"/>
      <c r="J140" s="118"/>
      <c r="K140" s="118"/>
      <c r="L140" s="118"/>
      <c r="M140" s="118"/>
      <c r="N140" s="118"/>
      <c r="O140" s="42"/>
      <c r="P140" s="42"/>
      <c r="Q140" s="42"/>
      <c r="R140" s="42"/>
      <c r="S140" s="121"/>
      <c r="T140" s="119"/>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ht="14.25" customHeight="1" x14ac:dyDescent="0.2">
      <c r="A141" s="118"/>
      <c r="B141" s="118"/>
      <c r="C141" s="118"/>
      <c r="D141" s="118"/>
      <c r="E141" s="118"/>
      <c r="F141" s="118"/>
      <c r="G141" s="118"/>
      <c r="H141" s="118"/>
      <c r="I141" s="118"/>
      <c r="J141" s="118"/>
      <c r="K141" s="118"/>
      <c r="L141" s="118"/>
      <c r="M141" s="118"/>
      <c r="N141" s="118"/>
      <c r="O141" s="42"/>
      <c r="P141" s="42"/>
      <c r="Q141" s="42"/>
      <c r="R141" s="42"/>
      <c r="S141" s="121"/>
      <c r="T141" s="119"/>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ht="14.25" customHeight="1" x14ac:dyDescent="0.2">
      <c r="A142" s="118"/>
      <c r="B142" s="118"/>
      <c r="C142" s="118"/>
      <c r="D142" s="118"/>
      <c r="E142" s="118"/>
      <c r="F142" s="118"/>
      <c r="G142" s="118"/>
      <c r="H142" s="118"/>
      <c r="I142" s="118"/>
      <c r="J142" s="118"/>
      <c r="K142" s="118"/>
      <c r="L142" s="118"/>
      <c r="M142" s="118"/>
      <c r="N142" s="118"/>
      <c r="O142" s="42"/>
      <c r="P142" s="42"/>
      <c r="Q142" s="42"/>
      <c r="R142" s="42"/>
      <c r="S142" s="121"/>
      <c r="T142" s="119"/>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ht="14.25" customHeight="1" x14ac:dyDescent="0.2">
      <c r="A143" s="118"/>
      <c r="B143" s="118"/>
      <c r="C143" s="118"/>
      <c r="D143" s="118"/>
      <c r="E143" s="118"/>
      <c r="F143" s="118"/>
      <c r="G143" s="118"/>
      <c r="H143" s="118"/>
      <c r="I143" s="118"/>
      <c r="J143" s="118"/>
      <c r="K143" s="118"/>
      <c r="L143" s="118"/>
      <c r="M143" s="118"/>
      <c r="N143" s="118"/>
      <c r="O143" s="42"/>
      <c r="P143" s="42"/>
      <c r="Q143" s="42"/>
      <c r="R143" s="42"/>
      <c r="S143" s="121"/>
      <c r="T143" s="119"/>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ht="14.25" customHeight="1" x14ac:dyDescent="0.2">
      <c r="A144" s="118"/>
      <c r="B144" s="118"/>
      <c r="C144" s="118"/>
      <c r="D144" s="118"/>
      <c r="E144" s="118"/>
      <c r="F144" s="118"/>
      <c r="G144" s="118"/>
      <c r="H144" s="118"/>
      <c r="I144" s="118"/>
      <c r="J144" s="118"/>
      <c r="K144" s="118"/>
      <c r="L144" s="118"/>
      <c r="M144" s="118"/>
      <c r="N144" s="118"/>
      <c r="O144" s="42"/>
      <c r="P144" s="42"/>
      <c r="Q144" s="42"/>
      <c r="R144" s="42"/>
      <c r="S144" s="121"/>
      <c r="T144" s="119"/>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ht="14.25" customHeight="1" x14ac:dyDescent="0.2">
      <c r="A145" s="118"/>
      <c r="B145" s="118"/>
      <c r="C145" s="118"/>
      <c r="D145" s="118"/>
      <c r="E145" s="118"/>
      <c r="F145" s="118"/>
      <c r="G145" s="118"/>
      <c r="H145" s="118"/>
      <c r="I145" s="118"/>
      <c r="J145" s="118"/>
      <c r="K145" s="118"/>
      <c r="L145" s="118"/>
      <c r="M145" s="118"/>
      <c r="N145" s="118"/>
      <c r="O145" s="42"/>
      <c r="P145" s="42"/>
      <c r="Q145" s="42"/>
      <c r="R145" s="42"/>
      <c r="S145" s="121"/>
      <c r="T145" s="119"/>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ht="14.25" customHeight="1" x14ac:dyDescent="0.2">
      <c r="A146" s="118"/>
      <c r="B146" s="118"/>
      <c r="C146" s="118"/>
      <c r="D146" s="118"/>
      <c r="E146" s="118"/>
      <c r="F146" s="118"/>
      <c r="G146" s="118"/>
      <c r="H146" s="118"/>
      <c r="I146" s="118"/>
      <c r="J146" s="118"/>
      <c r="K146" s="118"/>
      <c r="L146" s="118"/>
      <c r="M146" s="118"/>
      <c r="N146" s="118"/>
      <c r="O146" s="42"/>
      <c r="P146" s="42"/>
      <c r="Q146" s="42"/>
      <c r="R146" s="42"/>
      <c r="S146" s="121"/>
      <c r="T146" s="119"/>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ht="14.25" customHeight="1" x14ac:dyDescent="0.2">
      <c r="A147" s="118"/>
      <c r="B147" s="118"/>
      <c r="C147" s="118"/>
      <c r="D147" s="118"/>
      <c r="E147" s="118"/>
      <c r="F147" s="118"/>
      <c r="G147" s="118"/>
      <c r="H147" s="118"/>
      <c r="I147" s="118"/>
      <c r="J147" s="118"/>
      <c r="K147" s="118"/>
      <c r="L147" s="118"/>
      <c r="M147" s="118"/>
      <c r="N147" s="118"/>
      <c r="O147" s="42"/>
      <c r="P147" s="42"/>
      <c r="Q147" s="42"/>
      <c r="R147" s="42"/>
      <c r="S147" s="121"/>
      <c r="T147" s="119"/>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ht="14.25" customHeight="1" x14ac:dyDescent="0.2">
      <c r="A148" s="118"/>
      <c r="B148" s="118"/>
      <c r="C148" s="118"/>
      <c r="D148" s="118"/>
      <c r="E148" s="118"/>
      <c r="F148" s="118"/>
      <c r="G148" s="118"/>
      <c r="H148" s="118"/>
      <c r="I148" s="118"/>
      <c r="J148" s="118"/>
      <c r="K148" s="118"/>
      <c r="L148" s="118"/>
      <c r="M148" s="118"/>
      <c r="N148" s="118"/>
      <c r="O148" s="42"/>
      <c r="P148" s="42"/>
      <c r="Q148" s="42"/>
      <c r="R148" s="42"/>
      <c r="S148" s="121"/>
      <c r="T148" s="119"/>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ht="14.25" customHeight="1" x14ac:dyDescent="0.2">
      <c r="A149" s="118"/>
      <c r="B149" s="118"/>
      <c r="C149" s="118"/>
      <c r="D149" s="118"/>
      <c r="E149" s="118"/>
      <c r="F149" s="118"/>
      <c r="G149" s="118"/>
      <c r="H149" s="118"/>
      <c r="I149" s="118"/>
      <c r="J149" s="118"/>
      <c r="K149" s="118"/>
      <c r="L149" s="118"/>
      <c r="M149" s="118"/>
      <c r="N149" s="118"/>
      <c r="O149" s="42"/>
      <c r="P149" s="42"/>
      <c r="Q149" s="42"/>
      <c r="R149" s="42"/>
      <c r="S149" s="121"/>
      <c r="T149" s="119"/>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ht="14.25" customHeight="1" x14ac:dyDescent="0.2">
      <c r="A150" s="118"/>
      <c r="B150" s="118"/>
      <c r="C150" s="118"/>
      <c r="D150" s="118"/>
      <c r="E150" s="118"/>
      <c r="F150" s="118"/>
      <c r="G150" s="118"/>
      <c r="H150" s="118"/>
      <c r="I150" s="118"/>
      <c r="J150" s="118"/>
      <c r="K150" s="118"/>
      <c r="L150" s="118"/>
      <c r="M150" s="118"/>
      <c r="N150" s="118"/>
      <c r="O150" s="42"/>
      <c r="P150" s="42"/>
      <c r="Q150" s="42"/>
      <c r="R150" s="42"/>
      <c r="S150" s="121"/>
      <c r="T150" s="119"/>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ht="14.25" customHeight="1" x14ac:dyDescent="0.2">
      <c r="A151" s="118"/>
      <c r="B151" s="118"/>
      <c r="C151" s="118"/>
      <c r="D151" s="118"/>
      <c r="E151" s="118"/>
      <c r="F151" s="118"/>
      <c r="G151" s="118"/>
      <c r="H151" s="118"/>
      <c r="I151" s="118"/>
      <c r="J151" s="118"/>
      <c r="K151" s="118"/>
      <c r="L151" s="118"/>
      <c r="M151" s="118"/>
      <c r="N151" s="118"/>
      <c r="O151" s="42"/>
      <c r="P151" s="42"/>
      <c r="Q151" s="42"/>
      <c r="R151" s="42"/>
      <c r="S151" s="121"/>
      <c r="T151" s="119"/>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ht="14.25" customHeight="1" x14ac:dyDescent="0.2">
      <c r="A152" s="118"/>
      <c r="B152" s="118"/>
      <c r="C152" s="118"/>
      <c r="D152" s="118"/>
      <c r="E152" s="118"/>
      <c r="F152" s="118"/>
      <c r="G152" s="118"/>
      <c r="H152" s="118"/>
      <c r="I152" s="118"/>
      <c r="J152" s="118"/>
      <c r="K152" s="118"/>
      <c r="L152" s="118"/>
      <c r="M152" s="118"/>
      <c r="N152" s="118"/>
      <c r="O152" s="42"/>
      <c r="P152" s="42"/>
      <c r="Q152" s="42"/>
      <c r="R152" s="42"/>
      <c r="S152" s="121"/>
      <c r="T152" s="119"/>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ht="14.25" customHeight="1" x14ac:dyDescent="0.2">
      <c r="A153" s="118"/>
      <c r="B153" s="118"/>
      <c r="C153" s="118"/>
      <c r="D153" s="118"/>
      <c r="E153" s="118"/>
      <c r="F153" s="118"/>
      <c r="G153" s="118"/>
      <c r="H153" s="118"/>
      <c r="I153" s="118"/>
      <c r="J153" s="118"/>
      <c r="K153" s="118"/>
      <c r="L153" s="118"/>
      <c r="M153" s="118"/>
      <c r="N153" s="118"/>
      <c r="O153" s="42"/>
      <c r="P153" s="42"/>
      <c r="Q153" s="42"/>
      <c r="R153" s="42"/>
      <c r="S153" s="121"/>
      <c r="T153" s="119"/>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ht="14.25" customHeight="1" x14ac:dyDescent="0.2">
      <c r="A154" s="118"/>
      <c r="B154" s="118"/>
      <c r="C154" s="118"/>
      <c r="D154" s="118"/>
      <c r="E154" s="118"/>
      <c r="F154" s="118"/>
      <c r="G154" s="118"/>
      <c r="H154" s="118"/>
      <c r="I154" s="118"/>
      <c r="J154" s="118"/>
      <c r="K154" s="118"/>
      <c r="L154" s="118"/>
      <c r="M154" s="118"/>
      <c r="N154" s="118"/>
      <c r="O154" s="42"/>
      <c r="P154" s="42"/>
      <c r="Q154" s="42"/>
      <c r="R154" s="42"/>
      <c r="S154" s="121"/>
      <c r="T154" s="119"/>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ht="14.25" customHeight="1" x14ac:dyDescent="0.2">
      <c r="A155" s="118"/>
      <c r="B155" s="118"/>
      <c r="C155" s="118"/>
      <c r="D155" s="118"/>
      <c r="E155" s="118"/>
      <c r="F155" s="118"/>
      <c r="G155" s="118"/>
      <c r="H155" s="118"/>
      <c r="I155" s="118"/>
      <c r="J155" s="118"/>
      <c r="K155" s="118"/>
      <c r="L155" s="118"/>
      <c r="M155" s="118"/>
      <c r="N155" s="118"/>
      <c r="O155" s="42"/>
      <c r="P155" s="42"/>
      <c r="Q155" s="42"/>
      <c r="R155" s="42"/>
      <c r="S155" s="121"/>
      <c r="T155" s="119"/>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ht="14.25" customHeight="1" x14ac:dyDescent="0.2">
      <c r="A156" s="118"/>
      <c r="B156" s="118"/>
      <c r="C156" s="118"/>
      <c r="D156" s="118"/>
      <c r="E156" s="118"/>
      <c r="F156" s="118"/>
      <c r="G156" s="118"/>
      <c r="H156" s="118"/>
      <c r="I156" s="118"/>
      <c r="J156" s="118"/>
      <c r="K156" s="118"/>
      <c r="L156" s="118"/>
      <c r="M156" s="118"/>
      <c r="N156" s="118"/>
      <c r="O156" s="42"/>
      <c r="P156" s="42"/>
      <c r="Q156" s="42"/>
      <c r="R156" s="42"/>
      <c r="S156" s="121"/>
      <c r="T156" s="119"/>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ht="14.25" customHeight="1" x14ac:dyDescent="0.2">
      <c r="A157" s="118"/>
      <c r="B157" s="118"/>
      <c r="C157" s="118"/>
      <c r="D157" s="118"/>
      <c r="E157" s="118"/>
      <c r="F157" s="118"/>
      <c r="G157" s="118"/>
      <c r="H157" s="118"/>
      <c r="I157" s="118"/>
      <c r="J157" s="118"/>
      <c r="K157" s="118"/>
      <c r="L157" s="118"/>
      <c r="M157" s="118"/>
      <c r="N157" s="118"/>
      <c r="O157" s="42"/>
      <c r="P157" s="42"/>
      <c r="Q157" s="42"/>
      <c r="R157" s="42"/>
      <c r="S157" s="121"/>
      <c r="T157" s="119"/>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ht="14.25" customHeight="1" x14ac:dyDescent="0.2">
      <c r="A158" s="118"/>
      <c r="B158" s="118"/>
      <c r="C158" s="118"/>
      <c r="D158" s="118"/>
      <c r="E158" s="118"/>
      <c r="F158" s="118"/>
      <c r="G158" s="118"/>
      <c r="H158" s="118"/>
      <c r="I158" s="118"/>
      <c r="J158" s="118"/>
      <c r="K158" s="118"/>
      <c r="L158" s="118"/>
      <c r="M158" s="118"/>
      <c r="N158" s="118"/>
      <c r="O158" s="42"/>
      <c r="P158" s="42"/>
      <c r="Q158" s="42"/>
      <c r="R158" s="42"/>
      <c r="S158" s="121"/>
      <c r="T158" s="119"/>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ht="14.25" customHeight="1" x14ac:dyDescent="0.2">
      <c r="A159" s="118"/>
      <c r="B159" s="118"/>
      <c r="C159" s="118"/>
      <c r="D159" s="118"/>
      <c r="E159" s="118"/>
      <c r="F159" s="118"/>
      <c r="G159" s="118"/>
      <c r="H159" s="118"/>
      <c r="I159" s="118"/>
      <c r="J159" s="118"/>
      <c r="K159" s="118"/>
      <c r="L159" s="118"/>
      <c r="M159" s="118"/>
      <c r="N159" s="118"/>
      <c r="O159" s="42"/>
      <c r="P159" s="42"/>
      <c r="Q159" s="42"/>
      <c r="R159" s="42"/>
      <c r="S159" s="121"/>
      <c r="T159" s="119"/>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ht="14.25" customHeight="1" x14ac:dyDescent="0.2">
      <c r="A160" s="118"/>
      <c r="B160" s="118"/>
      <c r="C160" s="118"/>
      <c r="D160" s="118"/>
      <c r="E160" s="118"/>
      <c r="F160" s="118"/>
      <c r="G160" s="118"/>
      <c r="H160" s="118"/>
      <c r="I160" s="118"/>
      <c r="J160" s="118"/>
      <c r="K160" s="118"/>
      <c r="L160" s="118"/>
      <c r="M160" s="118"/>
      <c r="N160" s="118"/>
      <c r="O160" s="42"/>
      <c r="P160" s="42"/>
      <c r="Q160" s="42"/>
      <c r="R160" s="42"/>
      <c r="S160" s="121"/>
      <c r="T160" s="119"/>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ht="14.25" customHeight="1" x14ac:dyDescent="0.2">
      <c r="A161" s="118"/>
      <c r="B161" s="118"/>
      <c r="C161" s="118"/>
      <c r="D161" s="118"/>
      <c r="E161" s="118"/>
      <c r="F161" s="118"/>
      <c r="G161" s="118"/>
      <c r="H161" s="118"/>
      <c r="I161" s="118"/>
      <c r="J161" s="118"/>
      <c r="K161" s="118"/>
      <c r="L161" s="118"/>
      <c r="M161" s="118"/>
      <c r="N161" s="118"/>
      <c r="O161" s="42"/>
      <c r="P161" s="42"/>
      <c r="Q161" s="42"/>
      <c r="R161" s="42"/>
      <c r="S161" s="121"/>
      <c r="T161" s="119"/>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ht="14.25" customHeight="1" x14ac:dyDescent="0.2">
      <c r="A162" s="118"/>
      <c r="B162" s="118"/>
      <c r="C162" s="118"/>
      <c r="D162" s="118"/>
      <c r="E162" s="118"/>
      <c r="F162" s="118"/>
      <c r="G162" s="118"/>
      <c r="H162" s="118"/>
      <c r="I162" s="118"/>
      <c r="J162" s="118"/>
      <c r="K162" s="118"/>
      <c r="L162" s="118"/>
      <c r="M162" s="118"/>
      <c r="N162" s="118"/>
      <c r="O162" s="42"/>
      <c r="P162" s="42"/>
      <c r="Q162" s="42"/>
      <c r="R162" s="42"/>
      <c r="S162" s="121"/>
      <c r="T162" s="119"/>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ht="14.25" customHeight="1" x14ac:dyDescent="0.2">
      <c r="A163" s="118"/>
      <c r="B163" s="118"/>
      <c r="C163" s="118"/>
      <c r="D163" s="118"/>
      <c r="E163" s="118"/>
      <c r="F163" s="118"/>
      <c r="G163" s="118"/>
      <c r="H163" s="118"/>
      <c r="I163" s="118"/>
      <c r="J163" s="118"/>
      <c r="K163" s="118"/>
      <c r="L163" s="118"/>
      <c r="M163" s="118"/>
      <c r="N163" s="118"/>
      <c r="O163" s="42"/>
      <c r="P163" s="42"/>
      <c r="Q163" s="42"/>
      <c r="R163" s="42"/>
      <c r="S163" s="121"/>
      <c r="T163" s="119"/>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ht="14.25" customHeight="1" x14ac:dyDescent="0.2">
      <c r="A164" s="118"/>
      <c r="B164" s="118"/>
      <c r="C164" s="118"/>
      <c r="D164" s="118"/>
      <c r="E164" s="118"/>
      <c r="F164" s="118"/>
      <c r="G164" s="118"/>
      <c r="H164" s="118"/>
      <c r="I164" s="118"/>
      <c r="J164" s="118"/>
      <c r="K164" s="118"/>
      <c r="L164" s="118"/>
      <c r="M164" s="118"/>
      <c r="N164" s="118"/>
      <c r="O164" s="42"/>
      <c r="P164" s="42"/>
      <c r="Q164" s="42"/>
      <c r="R164" s="42"/>
      <c r="S164" s="121"/>
      <c r="T164" s="119"/>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ht="14.25" customHeight="1" x14ac:dyDescent="0.2">
      <c r="A165" s="118"/>
      <c r="B165" s="118"/>
      <c r="C165" s="118"/>
      <c r="D165" s="118"/>
      <c r="E165" s="118"/>
      <c r="F165" s="118"/>
      <c r="G165" s="118"/>
      <c r="H165" s="118"/>
      <c r="I165" s="118"/>
      <c r="J165" s="118"/>
      <c r="K165" s="118"/>
      <c r="L165" s="118"/>
      <c r="M165" s="118"/>
      <c r="N165" s="118"/>
      <c r="O165" s="42"/>
      <c r="P165" s="42"/>
      <c r="Q165" s="42"/>
      <c r="R165" s="42"/>
      <c r="S165" s="121"/>
      <c r="T165" s="119"/>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ht="14.25" customHeight="1" x14ac:dyDescent="0.2">
      <c r="A166" s="118"/>
      <c r="B166" s="118"/>
      <c r="C166" s="118"/>
      <c r="D166" s="118"/>
      <c r="E166" s="118"/>
      <c r="F166" s="118"/>
      <c r="G166" s="118"/>
      <c r="H166" s="118"/>
      <c r="I166" s="118"/>
      <c r="J166" s="118"/>
      <c r="K166" s="118"/>
      <c r="L166" s="118"/>
      <c r="M166" s="118"/>
      <c r="N166" s="118"/>
      <c r="O166" s="42"/>
      <c r="P166" s="42"/>
      <c r="Q166" s="42"/>
      <c r="R166" s="42"/>
      <c r="S166" s="121"/>
      <c r="T166" s="119"/>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ht="14.25" customHeight="1" x14ac:dyDescent="0.2">
      <c r="A167" s="118"/>
      <c r="B167" s="118"/>
      <c r="C167" s="118"/>
      <c r="D167" s="118"/>
      <c r="E167" s="118"/>
      <c r="F167" s="118"/>
      <c r="G167" s="118"/>
      <c r="H167" s="118"/>
      <c r="I167" s="118"/>
      <c r="J167" s="118"/>
      <c r="K167" s="118"/>
      <c r="L167" s="118"/>
      <c r="M167" s="118"/>
      <c r="N167" s="118"/>
      <c r="O167" s="42"/>
      <c r="P167" s="42"/>
      <c r="Q167" s="42"/>
      <c r="R167" s="42"/>
      <c r="S167" s="121"/>
      <c r="T167" s="119"/>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ht="14.25" customHeight="1" x14ac:dyDescent="0.2">
      <c r="A168" s="118"/>
      <c r="B168" s="118"/>
      <c r="C168" s="118"/>
      <c r="D168" s="118"/>
      <c r="E168" s="118"/>
      <c r="F168" s="118"/>
      <c r="G168" s="118"/>
      <c r="H168" s="118"/>
      <c r="I168" s="118"/>
      <c r="J168" s="118"/>
      <c r="K168" s="118"/>
      <c r="L168" s="118"/>
      <c r="M168" s="118"/>
      <c r="N168" s="118"/>
      <c r="O168" s="42"/>
      <c r="P168" s="42"/>
      <c r="Q168" s="42"/>
      <c r="R168" s="42"/>
      <c r="S168" s="121"/>
      <c r="T168" s="119"/>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ht="14.25" customHeight="1" x14ac:dyDescent="0.2">
      <c r="A169" s="118"/>
      <c r="B169" s="118"/>
      <c r="C169" s="118"/>
      <c r="D169" s="118"/>
      <c r="E169" s="118"/>
      <c r="F169" s="118"/>
      <c r="G169" s="118"/>
      <c r="H169" s="118"/>
      <c r="I169" s="118"/>
      <c r="J169" s="118"/>
      <c r="K169" s="118"/>
      <c r="L169" s="118"/>
      <c r="M169" s="118"/>
      <c r="N169" s="118"/>
      <c r="O169" s="42"/>
      <c r="P169" s="42"/>
      <c r="Q169" s="42"/>
      <c r="R169" s="42"/>
      <c r="S169" s="121"/>
      <c r="T169" s="119"/>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ht="14.25" customHeight="1" x14ac:dyDescent="0.2">
      <c r="A170" s="118"/>
      <c r="B170" s="118"/>
      <c r="C170" s="118"/>
      <c r="D170" s="118"/>
      <c r="E170" s="118"/>
      <c r="F170" s="118"/>
      <c r="G170" s="118"/>
      <c r="H170" s="118"/>
      <c r="I170" s="118"/>
      <c r="J170" s="118"/>
      <c r="K170" s="118"/>
      <c r="L170" s="118"/>
      <c r="M170" s="118"/>
      <c r="N170" s="118"/>
      <c r="O170" s="42"/>
      <c r="P170" s="42"/>
      <c r="Q170" s="42"/>
      <c r="R170" s="42"/>
      <c r="S170" s="121"/>
      <c r="T170" s="119"/>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ht="14.25" customHeight="1" x14ac:dyDescent="0.2">
      <c r="A171" s="118"/>
      <c r="B171" s="118"/>
      <c r="C171" s="118"/>
      <c r="D171" s="118"/>
      <c r="E171" s="118"/>
      <c r="F171" s="118"/>
      <c r="G171" s="118"/>
      <c r="H171" s="118"/>
      <c r="I171" s="118"/>
      <c r="J171" s="118"/>
      <c r="K171" s="118"/>
      <c r="L171" s="118"/>
      <c r="M171" s="118"/>
      <c r="N171" s="118"/>
      <c r="O171" s="42"/>
      <c r="P171" s="42"/>
      <c r="Q171" s="42"/>
      <c r="R171" s="42"/>
      <c r="S171" s="121"/>
      <c r="T171" s="119"/>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ht="14.25" customHeight="1" x14ac:dyDescent="0.2">
      <c r="A172" s="118"/>
      <c r="B172" s="118"/>
      <c r="C172" s="118"/>
      <c r="D172" s="118"/>
      <c r="E172" s="118"/>
      <c r="F172" s="118"/>
      <c r="G172" s="118"/>
      <c r="H172" s="118"/>
      <c r="I172" s="118"/>
      <c r="J172" s="118"/>
      <c r="K172" s="118"/>
      <c r="L172" s="118"/>
      <c r="M172" s="118"/>
      <c r="N172" s="118"/>
      <c r="O172" s="42"/>
      <c r="P172" s="42"/>
      <c r="Q172" s="42"/>
      <c r="R172" s="42"/>
      <c r="S172" s="121"/>
      <c r="T172" s="119"/>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ht="14.25" customHeight="1" x14ac:dyDescent="0.2">
      <c r="A173" s="118"/>
      <c r="B173" s="118"/>
      <c r="C173" s="118"/>
      <c r="D173" s="118"/>
      <c r="E173" s="118"/>
      <c r="F173" s="118"/>
      <c r="G173" s="118"/>
      <c r="H173" s="118"/>
      <c r="I173" s="118"/>
      <c r="J173" s="118"/>
      <c r="K173" s="118"/>
      <c r="L173" s="118"/>
      <c r="M173" s="118"/>
      <c r="N173" s="118"/>
      <c r="O173" s="42"/>
      <c r="P173" s="42"/>
      <c r="Q173" s="42"/>
      <c r="R173" s="42"/>
      <c r="S173" s="121"/>
      <c r="T173" s="119"/>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ht="14.25" customHeight="1" x14ac:dyDescent="0.2">
      <c r="A174" s="118"/>
      <c r="B174" s="118"/>
      <c r="C174" s="118"/>
      <c r="D174" s="118"/>
      <c r="E174" s="118"/>
      <c r="F174" s="118"/>
      <c r="G174" s="118"/>
      <c r="H174" s="118"/>
      <c r="I174" s="118"/>
      <c r="J174" s="118"/>
      <c r="K174" s="118"/>
      <c r="L174" s="118"/>
      <c r="M174" s="118"/>
      <c r="N174" s="118"/>
      <c r="O174" s="42"/>
      <c r="P174" s="42"/>
      <c r="Q174" s="42"/>
      <c r="R174" s="42"/>
      <c r="S174" s="121"/>
      <c r="T174" s="119"/>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ht="14.25" customHeight="1" x14ac:dyDescent="0.2">
      <c r="A175" s="118"/>
      <c r="B175" s="118"/>
      <c r="C175" s="118"/>
      <c r="D175" s="118"/>
      <c r="E175" s="118"/>
      <c r="F175" s="118"/>
      <c r="G175" s="118"/>
      <c r="H175" s="118"/>
      <c r="I175" s="118"/>
      <c r="J175" s="118"/>
      <c r="K175" s="118"/>
      <c r="L175" s="118"/>
      <c r="M175" s="118"/>
      <c r="N175" s="118"/>
      <c r="O175" s="42"/>
      <c r="P175" s="42"/>
      <c r="Q175" s="42"/>
      <c r="R175" s="42"/>
      <c r="S175" s="121"/>
      <c r="T175" s="119"/>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ht="14.25" customHeight="1" x14ac:dyDescent="0.2">
      <c r="A176" s="118"/>
      <c r="B176" s="118"/>
      <c r="C176" s="118"/>
      <c r="D176" s="118"/>
      <c r="E176" s="118"/>
      <c r="F176" s="118"/>
      <c r="G176" s="118"/>
      <c r="H176" s="118"/>
      <c r="I176" s="118"/>
      <c r="J176" s="118"/>
      <c r="K176" s="118"/>
      <c r="L176" s="118"/>
      <c r="M176" s="118"/>
      <c r="N176" s="118"/>
      <c r="O176" s="42"/>
      <c r="P176" s="42"/>
      <c r="Q176" s="42"/>
      <c r="R176" s="42"/>
      <c r="S176" s="121"/>
      <c r="T176" s="119"/>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ht="14.25" customHeight="1" x14ac:dyDescent="0.2">
      <c r="A177" s="118"/>
      <c r="B177" s="118"/>
      <c r="C177" s="118"/>
      <c r="D177" s="118"/>
      <c r="E177" s="118"/>
      <c r="F177" s="118"/>
      <c r="G177" s="118"/>
      <c r="H177" s="118"/>
      <c r="I177" s="118"/>
      <c r="J177" s="118"/>
      <c r="K177" s="118"/>
      <c r="L177" s="118"/>
      <c r="M177" s="118"/>
      <c r="N177" s="118"/>
      <c r="O177" s="42"/>
      <c r="P177" s="42"/>
      <c r="Q177" s="42"/>
      <c r="R177" s="42"/>
      <c r="S177" s="121"/>
      <c r="T177" s="119"/>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ht="14.25" customHeight="1" x14ac:dyDescent="0.2">
      <c r="A178" s="118"/>
      <c r="B178" s="118"/>
      <c r="C178" s="118"/>
      <c r="D178" s="118"/>
      <c r="E178" s="118"/>
      <c r="F178" s="118"/>
      <c r="G178" s="118"/>
      <c r="H178" s="118"/>
      <c r="I178" s="118"/>
      <c r="J178" s="118"/>
      <c r="K178" s="118"/>
      <c r="L178" s="118"/>
      <c r="M178" s="118"/>
      <c r="N178" s="118"/>
      <c r="O178" s="42"/>
      <c r="P178" s="42"/>
      <c r="Q178" s="42"/>
      <c r="R178" s="42"/>
      <c r="S178" s="121"/>
      <c r="T178" s="119"/>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ht="14.25" customHeight="1" x14ac:dyDescent="0.2">
      <c r="A179" s="118"/>
      <c r="B179" s="118"/>
      <c r="C179" s="118"/>
      <c r="D179" s="118"/>
      <c r="E179" s="118"/>
      <c r="F179" s="118"/>
      <c r="G179" s="118"/>
      <c r="H179" s="118"/>
      <c r="I179" s="118"/>
      <c r="J179" s="118"/>
      <c r="K179" s="118"/>
      <c r="L179" s="118"/>
      <c r="M179" s="118"/>
      <c r="N179" s="118"/>
      <c r="O179" s="42"/>
      <c r="P179" s="42"/>
      <c r="Q179" s="42"/>
      <c r="R179" s="42"/>
      <c r="S179" s="121"/>
      <c r="T179" s="119"/>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ht="14.25" customHeight="1" x14ac:dyDescent="0.2">
      <c r="A180" s="118"/>
      <c r="B180" s="118"/>
      <c r="C180" s="118"/>
      <c r="D180" s="118"/>
      <c r="E180" s="118"/>
      <c r="F180" s="118"/>
      <c r="G180" s="118"/>
      <c r="H180" s="118"/>
      <c r="I180" s="118"/>
      <c r="J180" s="118"/>
      <c r="K180" s="118"/>
      <c r="L180" s="118"/>
      <c r="M180" s="118"/>
      <c r="N180" s="118"/>
      <c r="O180" s="42"/>
      <c r="P180" s="42"/>
      <c r="Q180" s="42"/>
      <c r="R180" s="42"/>
      <c r="S180" s="121"/>
      <c r="T180" s="119"/>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ht="14.25" customHeight="1" x14ac:dyDescent="0.2">
      <c r="A181" s="118"/>
      <c r="B181" s="118"/>
      <c r="C181" s="118"/>
      <c r="D181" s="118"/>
      <c r="E181" s="118"/>
      <c r="F181" s="118"/>
      <c r="G181" s="118"/>
      <c r="H181" s="118"/>
      <c r="I181" s="118"/>
      <c r="J181" s="118"/>
      <c r="K181" s="118"/>
      <c r="L181" s="118"/>
      <c r="M181" s="118"/>
      <c r="N181" s="118"/>
      <c r="O181" s="42"/>
      <c r="P181" s="42"/>
      <c r="Q181" s="42"/>
      <c r="R181" s="42"/>
      <c r="S181" s="121"/>
      <c r="T181" s="119"/>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ht="14.25" customHeight="1" x14ac:dyDescent="0.2">
      <c r="A182" s="118"/>
      <c r="B182" s="118"/>
      <c r="C182" s="118"/>
      <c r="D182" s="118"/>
      <c r="E182" s="118"/>
      <c r="F182" s="118"/>
      <c r="G182" s="118"/>
      <c r="H182" s="118"/>
      <c r="I182" s="118"/>
      <c r="J182" s="118"/>
      <c r="K182" s="118"/>
      <c r="L182" s="118"/>
      <c r="M182" s="118"/>
      <c r="N182" s="118"/>
      <c r="O182" s="42"/>
      <c r="P182" s="42"/>
      <c r="Q182" s="42"/>
      <c r="R182" s="42"/>
      <c r="S182" s="121"/>
      <c r="T182" s="119"/>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ht="14.25" customHeight="1" x14ac:dyDescent="0.2">
      <c r="A183" s="118"/>
      <c r="B183" s="118"/>
      <c r="C183" s="118"/>
      <c r="D183" s="118"/>
      <c r="E183" s="118"/>
      <c r="F183" s="118"/>
      <c r="G183" s="118"/>
      <c r="H183" s="118"/>
      <c r="I183" s="118"/>
      <c r="J183" s="118"/>
      <c r="K183" s="118"/>
      <c r="L183" s="118"/>
      <c r="M183" s="118"/>
      <c r="N183" s="118"/>
      <c r="O183" s="42"/>
      <c r="P183" s="42"/>
      <c r="Q183" s="42"/>
      <c r="R183" s="42"/>
      <c r="S183" s="121"/>
      <c r="T183" s="119"/>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ht="14.25" customHeight="1" x14ac:dyDescent="0.2">
      <c r="A184" s="118"/>
      <c r="B184" s="118"/>
      <c r="C184" s="118"/>
      <c r="D184" s="118"/>
      <c r="E184" s="118"/>
      <c r="F184" s="118"/>
      <c r="G184" s="118"/>
      <c r="H184" s="118"/>
      <c r="I184" s="118"/>
      <c r="J184" s="118"/>
      <c r="K184" s="118"/>
      <c r="L184" s="118"/>
      <c r="M184" s="118"/>
      <c r="N184" s="118"/>
      <c r="O184" s="42"/>
      <c r="P184" s="42"/>
      <c r="Q184" s="42"/>
      <c r="R184" s="42"/>
      <c r="S184" s="121"/>
      <c r="T184" s="119"/>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ht="14.25" customHeight="1" x14ac:dyDescent="0.2">
      <c r="A185" s="118"/>
      <c r="B185" s="118"/>
      <c r="C185" s="118"/>
      <c r="D185" s="118"/>
      <c r="E185" s="118"/>
      <c r="F185" s="118"/>
      <c r="G185" s="118"/>
      <c r="H185" s="118"/>
      <c r="I185" s="118"/>
      <c r="J185" s="118"/>
      <c r="K185" s="118"/>
      <c r="L185" s="118"/>
      <c r="M185" s="118"/>
      <c r="N185" s="118"/>
      <c r="O185" s="42"/>
      <c r="P185" s="42"/>
      <c r="Q185" s="42"/>
      <c r="R185" s="42"/>
      <c r="S185" s="121"/>
      <c r="T185" s="119"/>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ht="14.25" customHeight="1" x14ac:dyDescent="0.2">
      <c r="A186" s="118"/>
      <c r="B186" s="118"/>
      <c r="C186" s="118"/>
      <c r="D186" s="118"/>
      <c r="E186" s="118"/>
      <c r="F186" s="118"/>
      <c r="G186" s="118"/>
      <c r="H186" s="118"/>
      <c r="I186" s="118"/>
      <c r="J186" s="118"/>
      <c r="K186" s="118"/>
      <c r="L186" s="118"/>
      <c r="M186" s="118"/>
      <c r="N186" s="118"/>
      <c r="O186" s="42"/>
      <c r="P186" s="42"/>
      <c r="Q186" s="42"/>
      <c r="R186" s="42"/>
      <c r="S186" s="121"/>
      <c r="T186" s="119"/>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ht="14.25" customHeight="1" x14ac:dyDescent="0.2">
      <c r="A187" s="118"/>
      <c r="B187" s="118"/>
      <c r="C187" s="118"/>
      <c r="D187" s="118"/>
      <c r="E187" s="118"/>
      <c r="F187" s="118"/>
      <c r="G187" s="118"/>
      <c r="H187" s="118"/>
      <c r="I187" s="118"/>
      <c r="J187" s="118"/>
      <c r="K187" s="118"/>
      <c r="L187" s="118"/>
      <c r="M187" s="118"/>
      <c r="N187" s="118"/>
      <c r="O187" s="42"/>
      <c r="P187" s="42"/>
      <c r="Q187" s="42"/>
      <c r="R187" s="42"/>
      <c r="S187" s="121"/>
      <c r="T187" s="119"/>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ht="14.25" customHeight="1" x14ac:dyDescent="0.2">
      <c r="A188" s="118"/>
      <c r="B188" s="118"/>
      <c r="C188" s="118"/>
      <c r="D188" s="118"/>
      <c r="E188" s="118"/>
      <c r="F188" s="118"/>
      <c r="G188" s="118"/>
      <c r="H188" s="118"/>
      <c r="I188" s="118"/>
      <c r="J188" s="118"/>
      <c r="K188" s="118"/>
      <c r="L188" s="118"/>
      <c r="M188" s="118"/>
      <c r="N188" s="118"/>
      <c r="O188" s="42"/>
      <c r="P188" s="42"/>
      <c r="Q188" s="42"/>
      <c r="R188" s="42"/>
      <c r="S188" s="121"/>
      <c r="T188" s="119"/>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ht="14.25" customHeight="1" x14ac:dyDescent="0.2">
      <c r="A189" s="118"/>
      <c r="B189" s="118"/>
      <c r="C189" s="118"/>
      <c r="D189" s="118"/>
      <c r="E189" s="118"/>
      <c r="F189" s="118"/>
      <c r="G189" s="118"/>
      <c r="H189" s="118"/>
      <c r="I189" s="118"/>
      <c r="J189" s="118"/>
      <c r="K189" s="118"/>
      <c r="L189" s="118"/>
      <c r="M189" s="118"/>
      <c r="N189" s="118"/>
      <c r="O189" s="42"/>
      <c r="P189" s="42"/>
      <c r="Q189" s="42"/>
      <c r="R189" s="42"/>
      <c r="S189" s="121"/>
      <c r="T189" s="119"/>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ht="14.25" customHeight="1" x14ac:dyDescent="0.2">
      <c r="A190" s="118"/>
      <c r="B190" s="118"/>
      <c r="C190" s="118"/>
      <c r="D190" s="118"/>
      <c r="E190" s="118"/>
      <c r="F190" s="118"/>
      <c r="G190" s="118"/>
      <c r="H190" s="118"/>
      <c r="I190" s="118"/>
      <c r="J190" s="118"/>
      <c r="K190" s="118"/>
      <c r="L190" s="118"/>
      <c r="M190" s="118"/>
      <c r="N190" s="118"/>
      <c r="O190" s="42"/>
      <c r="P190" s="42"/>
      <c r="Q190" s="42"/>
      <c r="R190" s="42"/>
      <c r="S190" s="121"/>
      <c r="T190" s="119"/>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ht="14.25" customHeight="1" x14ac:dyDescent="0.2">
      <c r="A191" s="118"/>
      <c r="B191" s="118"/>
      <c r="C191" s="118"/>
      <c r="D191" s="118"/>
      <c r="E191" s="118"/>
      <c r="F191" s="118"/>
      <c r="G191" s="118"/>
      <c r="H191" s="118"/>
      <c r="I191" s="118"/>
      <c r="J191" s="118"/>
      <c r="K191" s="118"/>
      <c r="L191" s="118"/>
      <c r="M191" s="118"/>
      <c r="N191" s="118"/>
      <c r="O191" s="42"/>
      <c r="P191" s="42"/>
      <c r="Q191" s="42"/>
      <c r="R191" s="42"/>
      <c r="S191" s="121"/>
      <c r="T191" s="119"/>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ht="14.25" customHeight="1" x14ac:dyDescent="0.2">
      <c r="A192" s="118"/>
      <c r="B192" s="118"/>
      <c r="C192" s="118"/>
      <c r="D192" s="118"/>
      <c r="E192" s="118"/>
      <c r="F192" s="118"/>
      <c r="G192" s="118"/>
      <c r="H192" s="118"/>
      <c r="I192" s="118"/>
      <c r="J192" s="118"/>
      <c r="K192" s="118"/>
      <c r="L192" s="118"/>
      <c r="M192" s="118"/>
      <c r="N192" s="118"/>
      <c r="O192" s="42"/>
      <c r="P192" s="42"/>
      <c r="Q192" s="42"/>
      <c r="R192" s="42"/>
      <c r="S192" s="121"/>
      <c r="T192" s="119"/>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ht="14.25" customHeight="1" x14ac:dyDescent="0.2">
      <c r="A193" s="118"/>
      <c r="B193" s="118"/>
      <c r="C193" s="118"/>
      <c r="D193" s="118"/>
      <c r="E193" s="118"/>
      <c r="F193" s="118"/>
      <c r="G193" s="118"/>
      <c r="H193" s="118"/>
      <c r="I193" s="118"/>
      <c r="J193" s="118"/>
      <c r="K193" s="118"/>
      <c r="L193" s="118"/>
      <c r="M193" s="118"/>
      <c r="N193" s="118"/>
      <c r="O193" s="42"/>
      <c r="P193" s="42"/>
      <c r="Q193" s="42"/>
      <c r="R193" s="42"/>
      <c r="S193" s="121"/>
      <c r="T193" s="119"/>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ht="14.25" customHeight="1" x14ac:dyDescent="0.2">
      <c r="A194" s="118"/>
      <c r="B194" s="118"/>
      <c r="C194" s="118"/>
      <c r="D194" s="118"/>
      <c r="E194" s="118"/>
      <c r="F194" s="118"/>
      <c r="G194" s="118"/>
      <c r="H194" s="118"/>
      <c r="I194" s="118"/>
      <c r="J194" s="118"/>
      <c r="K194" s="118"/>
      <c r="L194" s="118"/>
      <c r="M194" s="118"/>
      <c r="N194" s="118"/>
      <c r="O194" s="42"/>
      <c r="P194" s="42"/>
      <c r="Q194" s="42"/>
      <c r="R194" s="42"/>
      <c r="S194" s="121"/>
      <c r="T194" s="119"/>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ht="14.25" customHeight="1" x14ac:dyDescent="0.2">
      <c r="A195" s="118"/>
      <c r="B195" s="118"/>
      <c r="C195" s="118"/>
      <c r="D195" s="118"/>
      <c r="E195" s="118"/>
      <c r="F195" s="118"/>
      <c r="G195" s="118"/>
      <c r="H195" s="118"/>
      <c r="I195" s="118"/>
      <c r="J195" s="118"/>
      <c r="K195" s="118"/>
      <c r="L195" s="118"/>
      <c r="M195" s="118"/>
      <c r="N195" s="118"/>
      <c r="O195" s="42"/>
      <c r="P195" s="42"/>
      <c r="Q195" s="42"/>
      <c r="R195" s="42"/>
      <c r="S195" s="121"/>
      <c r="T195" s="119"/>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ht="14.25" customHeight="1" x14ac:dyDescent="0.2">
      <c r="A196" s="118"/>
      <c r="B196" s="118"/>
      <c r="C196" s="118"/>
      <c r="D196" s="118"/>
      <c r="E196" s="118"/>
      <c r="F196" s="118"/>
      <c r="G196" s="118"/>
      <c r="H196" s="118"/>
      <c r="I196" s="118"/>
      <c r="J196" s="118"/>
      <c r="K196" s="118"/>
      <c r="L196" s="118"/>
      <c r="M196" s="118"/>
      <c r="N196" s="118"/>
      <c r="O196" s="42"/>
      <c r="P196" s="42"/>
      <c r="Q196" s="42"/>
      <c r="R196" s="42"/>
      <c r="S196" s="121"/>
      <c r="T196" s="119"/>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ht="14.25" customHeight="1" x14ac:dyDescent="0.2">
      <c r="A197" s="118"/>
      <c r="B197" s="118"/>
      <c r="C197" s="118"/>
      <c r="D197" s="118"/>
      <c r="E197" s="118"/>
      <c r="F197" s="118"/>
      <c r="G197" s="118"/>
      <c r="H197" s="118"/>
      <c r="I197" s="118"/>
      <c r="J197" s="118"/>
      <c r="K197" s="118"/>
      <c r="L197" s="118"/>
      <c r="M197" s="118"/>
      <c r="N197" s="118"/>
      <c r="O197" s="42"/>
      <c r="P197" s="42"/>
      <c r="Q197" s="42"/>
      <c r="R197" s="42"/>
      <c r="S197" s="121"/>
      <c r="T197" s="119"/>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ht="14.25" customHeight="1" x14ac:dyDescent="0.2">
      <c r="A198" s="118"/>
      <c r="B198" s="118"/>
      <c r="C198" s="118"/>
      <c r="D198" s="118"/>
      <c r="E198" s="118"/>
      <c r="F198" s="118"/>
      <c r="G198" s="118"/>
      <c r="H198" s="118"/>
      <c r="I198" s="118"/>
      <c r="J198" s="118"/>
      <c r="K198" s="118"/>
      <c r="L198" s="118"/>
      <c r="M198" s="118"/>
      <c r="N198" s="118"/>
      <c r="O198" s="42"/>
      <c r="P198" s="42"/>
      <c r="Q198" s="42"/>
      <c r="R198" s="42"/>
      <c r="S198" s="121"/>
      <c r="T198" s="119"/>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ht="14.25" customHeight="1" x14ac:dyDescent="0.2">
      <c r="A199" s="118"/>
      <c r="B199" s="118"/>
      <c r="C199" s="118"/>
      <c r="D199" s="118"/>
      <c r="E199" s="118"/>
      <c r="F199" s="118"/>
      <c r="G199" s="118"/>
      <c r="H199" s="118"/>
      <c r="I199" s="118"/>
      <c r="J199" s="118"/>
      <c r="K199" s="118"/>
      <c r="L199" s="118"/>
      <c r="M199" s="118"/>
      <c r="N199" s="118"/>
      <c r="O199" s="42"/>
      <c r="P199" s="42"/>
      <c r="Q199" s="42"/>
      <c r="R199" s="42"/>
      <c r="S199" s="121"/>
      <c r="T199" s="119"/>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ht="14.25" customHeight="1" x14ac:dyDescent="0.2">
      <c r="A200" s="118"/>
      <c r="B200" s="118"/>
      <c r="C200" s="118"/>
      <c r="D200" s="118"/>
      <c r="E200" s="118"/>
      <c r="F200" s="118"/>
      <c r="G200" s="118"/>
      <c r="H200" s="118"/>
      <c r="I200" s="118"/>
      <c r="J200" s="118"/>
      <c r="K200" s="118"/>
      <c r="L200" s="118"/>
      <c r="M200" s="118"/>
      <c r="N200" s="118"/>
      <c r="O200" s="42"/>
      <c r="P200" s="42"/>
      <c r="Q200" s="42"/>
      <c r="R200" s="42"/>
      <c r="S200" s="121"/>
      <c r="T200" s="119"/>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ht="14.25" customHeight="1" x14ac:dyDescent="0.2">
      <c r="A201" s="118"/>
      <c r="B201" s="118"/>
      <c r="C201" s="118"/>
      <c r="D201" s="118"/>
      <c r="E201" s="118"/>
      <c r="F201" s="118"/>
      <c r="G201" s="118"/>
      <c r="H201" s="118"/>
      <c r="I201" s="118"/>
      <c r="J201" s="118"/>
      <c r="K201" s="118"/>
      <c r="L201" s="118"/>
      <c r="M201" s="118"/>
      <c r="N201" s="118"/>
      <c r="O201" s="42"/>
      <c r="P201" s="42"/>
      <c r="Q201" s="42"/>
      <c r="R201" s="42"/>
      <c r="S201" s="121"/>
      <c r="T201" s="119"/>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ht="14.25" customHeight="1" x14ac:dyDescent="0.2">
      <c r="A202" s="118"/>
      <c r="B202" s="118"/>
      <c r="C202" s="118"/>
      <c r="D202" s="118"/>
      <c r="E202" s="118"/>
      <c r="F202" s="118"/>
      <c r="G202" s="118"/>
      <c r="H202" s="118"/>
      <c r="I202" s="118"/>
      <c r="J202" s="118"/>
      <c r="K202" s="118"/>
      <c r="L202" s="118"/>
      <c r="M202" s="118"/>
      <c r="N202" s="118"/>
      <c r="O202" s="42"/>
      <c r="P202" s="42"/>
      <c r="Q202" s="42"/>
      <c r="R202" s="42"/>
      <c r="S202" s="121"/>
      <c r="T202" s="119"/>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ht="14.25" customHeight="1" x14ac:dyDescent="0.2">
      <c r="A203" s="118"/>
      <c r="B203" s="118"/>
      <c r="C203" s="118"/>
      <c r="D203" s="118"/>
      <c r="E203" s="118"/>
      <c r="F203" s="118"/>
      <c r="G203" s="118"/>
      <c r="H203" s="118"/>
      <c r="I203" s="118"/>
      <c r="J203" s="118"/>
      <c r="K203" s="118"/>
      <c r="L203" s="118"/>
      <c r="M203" s="118"/>
      <c r="N203" s="118"/>
      <c r="O203" s="42"/>
      <c r="P203" s="42"/>
      <c r="Q203" s="42"/>
      <c r="R203" s="42"/>
      <c r="S203" s="121"/>
      <c r="T203" s="119"/>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ht="14.25" customHeight="1" x14ac:dyDescent="0.2">
      <c r="A204" s="118"/>
      <c r="B204" s="118"/>
      <c r="C204" s="118"/>
      <c r="D204" s="118"/>
      <c r="E204" s="118"/>
      <c r="F204" s="118"/>
      <c r="G204" s="118"/>
      <c r="H204" s="118"/>
      <c r="I204" s="118"/>
      <c r="J204" s="118"/>
      <c r="K204" s="118"/>
      <c r="L204" s="118"/>
      <c r="M204" s="118"/>
      <c r="N204" s="118"/>
      <c r="O204" s="42"/>
      <c r="P204" s="42"/>
      <c r="Q204" s="42"/>
      <c r="R204" s="42"/>
      <c r="S204" s="121"/>
      <c r="T204" s="119"/>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ht="14.25" customHeight="1" x14ac:dyDescent="0.2">
      <c r="A205" s="118"/>
      <c r="B205" s="118"/>
      <c r="C205" s="118"/>
      <c r="D205" s="118"/>
      <c r="E205" s="118"/>
      <c r="F205" s="118"/>
      <c r="G205" s="118"/>
      <c r="H205" s="118"/>
      <c r="I205" s="118"/>
      <c r="J205" s="118"/>
      <c r="K205" s="118"/>
      <c r="L205" s="118"/>
      <c r="M205" s="118"/>
      <c r="N205" s="118"/>
      <c r="O205" s="42"/>
      <c r="P205" s="42"/>
      <c r="Q205" s="42"/>
      <c r="R205" s="42"/>
      <c r="S205" s="121"/>
      <c r="T205" s="119"/>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ht="14.25" customHeight="1" x14ac:dyDescent="0.2">
      <c r="A206" s="118"/>
      <c r="B206" s="118"/>
      <c r="C206" s="118"/>
      <c r="D206" s="118"/>
      <c r="E206" s="118"/>
      <c r="F206" s="118"/>
      <c r="G206" s="118"/>
      <c r="H206" s="118"/>
      <c r="I206" s="118"/>
      <c r="J206" s="118"/>
      <c r="K206" s="118"/>
      <c r="L206" s="118"/>
      <c r="M206" s="118"/>
      <c r="N206" s="118"/>
      <c r="O206" s="42"/>
      <c r="P206" s="42"/>
      <c r="Q206" s="42"/>
      <c r="R206" s="42"/>
      <c r="S206" s="121"/>
      <c r="T206" s="119"/>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ht="14.25" customHeight="1" x14ac:dyDescent="0.2">
      <c r="A207" s="118"/>
      <c r="B207" s="118"/>
      <c r="C207" s="118"/>
      <c r="D207" s="118"/>
      <c r="E207" s="118"/>
      <c r="F207" s="118"/>
      <c r="G207" s="118"/>
      <c r="H207" s="118"/>
      <c r="I207" s="118"/>
      <c r="J207" s="118"/>
      <c r="K207" s="118"/>
      <c r="L207" s="118"/>
      <c r="M207" s="118"/>
      <c r="N207" s="118"/>
      <c r="O207" s="42"/>
      <c r="P207" s="42"/>
      <c r="Q207" s="42"/>
      <c r="R207" s="42"/>
      <c r="S207" s="121"/>
      <c r="T207" s="119"/>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ht="14.25" customHeight="1" x14ac:dyDescent="0.2">
      <c r="A208" s="118"/>
      <c r="B208" s="118"/>
      <c r="C208" s="118"/>
      <c r="D208" s="118"/>
      <c r="E208" s="118"/>
      <c r="F208" s="118"/>
      <c r="G208" s="118"/>
      <c r="H208" s="118"/>
      <c r="I208" s="118"/>
      <c r="J208" s="118"/>
      <c r="K208" s="118"/>
      <c r="L208" s="118"/>
      <c r="M208" s="118"/>
      <c r="N208" s="118"/>
      <c r="O208" s="42"/>
      <c r="P208" s="42"/>
      <c r="Q208" s="42"/>
      <c r="R208" s="42"/>
      <c r="S208" s="121"/>
      <c r="T208" s="119"/>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ht="14.25" customHeight="1" x14ac:dyDescent="0.2">
      <c r="A209" s="118"/>
      <c r="B209" s="118"/>
      <c r="C209" s="118"/>
      <c r="D209" s="118"/>
      <c r="E209" s="118"/>
      <c r="F209" s="118"/>
      <c r="G209" s="118"/>
      <c r="H209" s="118"/>
      <c r="I209" s="118"/>
      <c r="J209" s="118"/>
      <c r="K209" s="118"/>
      <c r="L209" s="118"/>
      <c r="M209" s="118"/>
      <c r="N209" s="118"/>
      <c r="O209" s="42"/>
      <c r="P209" s="42"/>
      <c r="Q209" s="42"/>
      <c r="R209" s="42"/>
      <c r="S209" s="121"/>
      <c r="T209" s="119"/>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ht="14.25" customHeight="1" x14ac:dyDescent="0.2">
      <c r="A210" s="118"/>
      <c r="B210" s="118"/>
      <c r="C210" s="118"/>
      <c r="D210" s="118"/>
      <c r="E210" s="118"/>
      <c r="F210" s="118"/>
      <c r="G210" s="118"/>
      <c r="H210" s="118"/>
      <c r="I210" s="118"/>
      <c r="J210" s="118"/>
      <c r="K210" s="118"/>
      <c r="L210" s="118"/>
      <c r="M210" s="118"/>
      <c r="N210" s="118"/>
      <c r="O210" s="42"/>
      <c r="P210" s="42"/>
      <c r="Q210" s="42"/>
      <c r="R210" s="42"/>
      <c r="S210" s="121"/>
      <c r="T210" s="119"/>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ht="14.25" customHeight="1" x14ac:dyDescent="0.2">
      <c r="A211" s="118"/>
      <c r="B211" s="118"/>
      <c r="C211" s="118"/>
      <c r="D211" s="118"/>
      <c r="E211" s="118"/>
      <c r="F211" s="118"/>
      <c r="G211" s="118"/>
      <c r="H211" s="118"/>
      <c r="I211" s="118"/>
      <c r="J211" s="118"/>
      <c r="K211" s="118"/>
      <c r="L211" s="118"/>
      <c r="M211" s="118"/>
      <c r="N211" s="118"/>
      <c r="O211" s="42"/>
      <c r="P211" s="42"/>
      <c r="Q211" s="42"/>
      <c r="R211" s="42"/>
      <c r="S211" s="121"/>
      <c r="T211" s="119"/>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ht="14.25" customHeight="1" x14ac:dyDescent="0.2">
      <c r="A212" s="118"/>
      <c r="B212" s="118"/>
      <c r="C212" s="118"/>
      <c r="D212" s="118"/>
      <c r="E212" s="118"/>
      <c r="F212" s="118"/>
      <c r="G212" s="118"/>
      <c r="H212" s="118"/>
      <c r="I212" s="118"/>
      <c r="J212" s="118"/>
      <c r="K212" s="118"/>
      <c r="L212" s="118"/>
      <c r="M212" s="118"/>
      <c r="N212" s="118"/>
      <c r="O212" s="42"/>
      <c r="P212" s="42"/>
      <c r="Q212" s="42"/>
      <c r="R212" s="42"/>
      <c r="S212" s="121"/>
      <c r="T212" s="119"/>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ht="14.25" customHeight="1" x14ac:dyDescent="0.2">
      <c r="A213" s="118"/>
      <c r="B213" s="118"/>
      <c r="C213" s="118"/>
      <c r="D213" s="118"/>
      <c r="E213" s="118"/>
      <c r="F213" s="118"/>
      <c r="G213" s="118"/>
      <c r="H213" s="118"/>
      <c r="I213" s="118"/>
      <c r="J213" s="118"/>
      <c r="K213" s="118"/>
      <c r="L213" s="118"/>
      <c r="M213" s="118"/>
      <c r="N213" s="118"/>
      <c r="O213" s="42"/>
      <c r="P213" s="42"/>
      <c r="Q213" s="42"/>
      <c r="R213" s="42"/>
      <c r="S213" s="121"/>
      <c r="T213" s="119"/>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ht="14.25" customHeight="1" x14ac:dyDescent="0.2">
      <c r="A214" s="118"/>
      <c r="B214" s="118"/>
      <c r="C214" s="118"/>
      <c r="D214" s="118"/>
      <c r="E214" s="118"/>
      <c r="F214" s="118"/>
      <c r="G214" s="118"/>
      <c r="H214" s="118"/>
      <c r="I214" s="118"/>
      <c r="J214" s="118"/>
      <c r="K214" s="118"/>
      <c r="L214" s="118"/>
      <c r="M214" s="118"/>
      <c r="N214" s="118"/>
      <c r="O214" s="42"/>
      <c r="P214" s="42"/>
      <c r="Q214" s="42"/>
      <c r="R214" s="42"/>
      <c r="S214" s="121"/>
      <c r="T214" s="119"/>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ht="14.25" customHeight="1" x14ac:dyDescent="0.2">
      <c r="A215" s="118"/>
      <c r="B215" s="118"/>
      <c r="C215" s="118"/>
      <c r="D215" s="118"/>
      <c r="E215" s="118"/>
      <c r="F215" s="118"/>
      <c r="G215" s="118"/>
      <c r="H215" s="118"/>
      <c r="I215" s="118"/>
      <c r="J215" s="118"/>
      <c r="K215" s="118"/>
      <c r="L215" s="118"/>
      <c r="M215" s="118"/>
      <c r="N215" s="118"/>
      <c r="O215" s="42"/>
      <c r="P215" s="42"/>
      <c r="Q215" s="42"/>
      <c r="R215" s="42"/>
      <c r="S215" s="121"/>
      <c r="T215" s="119"/>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spans="1:46" ht="14.25" customHeight="1" x14ac:dyDescent="0.2">
      <c r="A216" s="118"/>
      <c r="B216" s="118"/>
      <c r="C216" s="118"/>
      <c r="D216" s="118"/>
      <c r="E216" s="118"/>
      <c r="F216" s="118"/>
      <c r="G216" s="118"/>
      <c r="H216" s="118"/>
      <c r="I216" s="118"/>
      <c r="J216" s="118"/>
      <c r="K216" s="118"/>
      <c r="L216" s="118"/>
      <c r="M216" s="118"/>
      <c r="N216" s="118"/>
      <c r="O216" s="42"/>
      <c r="P216" s="42"/>
      <c r="Q216" s="42"/>
      <c r="R216" s="42"/>
      <c r="S216" s="121"/>
      <c r="T216" s="119"/>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spans="1:46" ht="14.25" customHeight="1" x14ac:dyDescent="0.2">
      <c r="A217" s="118"/>
      <c r="B217" s="118"/>
      <c r="C217" s="118"/>
      <c r="D217" s="118"/>
      <c r="E217" s="118"/>
      <c r="F217" s="118"/>
      <c r="G217" s="118"/>
      <c r="H217" s="118"/>
      <c r="I217" s="118"/>
      <c r="J217" s="118"/>
      <c r="K217" s="118"/>
      <c r="L217" s="118"/>
      <c r="M217" s="118"/>
      <c r="N217" s="118"/>
      <c r="O217" s="42"/>
      <c r="P217" s="42"/>
      <c r="Q217" s="42"/>
      <c r="R217" s="42"/>
      <c r="S217" s="121"/>
      <c r="T217" s="119"/>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spans="1:46" ht="14.25" customHeight="1" x14ac:dyDescent="0.2">
      <c r="A218" s="118"/>
      <c r="B218" s="118"/>
      <c r="C218" s="118"/>
      <c r="D218" s="118"/>
      <c r="E218" s="118"/>
      <c r="F218" s="118"/>
      <c r="G218" s="118"/>
      <c r="H218" s="118"/>
      <c r="I218" s="118"/>
      <c r="J218" s="118"/>
      <c r="K218" s="118"/>
      <c r="L218" s="118"/>
      <c r="M218" s="118"/>
      <c r="N218" s="118"/>
      <c r="O218" s="42"/>
      <c r="P218" s="42"/>
      <c r="Q218" s="42"/>
      <c r="R218" s="42"/>
      <c r="S218" s="121"/>
      <c r="T218" s="119"/>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spans="1:46" ht="14.25" customHeight="1" x14ac:dyDescent="0.2">
      <c r="A219" s="118"/>
      <c r="B219" s="118"/>
      <c r="C219" s="118"/>
      <c r="D219" s="118"/>
      <c r="E219" s="118"/>
      <c r="F219" s="118"/>
      <c r="G219" s="118"/>
      <c r="H219" s="118"/>
      <c r="I219" s="118"/>
      <c r="J219" s="118"/>
      <c r="K219" s="118"/>
      <c r="L219" s="118"/>
      <c r="M219" s="118"/>
      <c r="N219" s="118"/>
      <c r="O219" s="42"/>
      <c r="P219" s="42"/>
      <c r="Q219" s="42"/>
      <c r="R219" s="42"/>
      <c r="S219" s="121"/>
      <c r="T219" s="119"/>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spans="1:46" ht="14.25" customHeight="1" x14ac:dyDescent="0.2">
      <c r="A220" s="118"/>
      <c r="B220" s="118"/>
      <c r="C220" s="118"/>
      <c r="D220" s="118"/>
      <c r="E220" s="118"/>
      <c r="F220" s="118"/>
      <c r="G220" s="118"/>
      <c r="H220" s="118"/>
      <c r="I220" s="118"/>
      <c r="J220" s="118"/>
      <c r="K220" s="118"/>
      <c r="L220" s="118"/>
      <c r="M220" s="118"/>
      <c r="N220" s="118"/>
      <c r="O220" s="42"/>
      <c r="P220" s="42"/>
      <c r="Q220" s="42"/>
      <c r="R220" s="42"/>
      <c r="S220" s="121"/>
      <c r="T220" s="119"/>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spans="1:46" ht="14.25" customHeight="1" x14ac:dyDescent="0.2">
      <c r="A221" s="118"/>
      <c r="B221" s="118"/>
      <c r="C221" s="118"/>
      <c r="D221" s="118"/>
      <c r="E221" s="118"/>
      <c r="F221" s="118"/>
      <c r="G221" s="118"/>
      <c r="H221" s="118"/>
      <c r="I221" s="118"/>
      <c r="J221" s="118"/>
      <c r="K221" s="118"/>
      <c r="L221" s="118"/>
      <c r="M221" s="118"/>
      <c r="N221" s="118"/>
      <c r="O221" s="42"/>
      <c r="P221" s="42"/>
      <c r="Q221" s="42"/>
      <c r="R221" s="42"/>
      <c r="S221" s="121"/>
      <c r="T221" s="119"/>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spans="1:46" ht="14.25" customHeight="1" x14ac:dyDescent="0.2">
      <c r="A222" s="118"/>
      <c r="B222" s="118"/>
      <c r="C222" s="118"/>
      <c r="D222" s="118"/>
      <c r="E222" s="118"/>
      <c r="F222" s="118"/>
      <c r="G222" s="118"/>
      <c r="H222" s="118"/>
      <c r="I222" s="118"/>
      <c r="J222" s="118"/>
      <c r="K222" s="118"/>
      <c r="L222" s="118"/>
      <c r="M222" s="118"/>
      <c r="N222" s="118"/>
      <c r="O222" s="42"/>
      <c r="P222" s="42"/>
      <c r="Q222" s="42"/>
      <c r="R222" s="42"/>
      <c r="S222" s="121"/>
      <c r="T222" s="119"/>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spans="1:46" ht="14.25" customHeight="1" x14ac:dyDescent="0.2">
      <c r="A223" s="118"/>
      <c r="B223" s="118"/>
      <c r="C223" s="118"/>
      <c r="D223" s="118"/>
      <c r="E223" s="118"/>
      <c r="F223" s="118"/>
      <c r="G223" s="118"/>
      <c r="H223" s="118"/>
      <c r="I223" s="118"/>
      <c r="J223" s="118"/>
      <c r="K223" s="118"/>
      <c r="L223" s="118"/>
      <c r="M223" s="118"/>
      <c r="N223" s="118"/>
      <c r="O223" s="42"/>
      <c r="P223" s="42"/>
      <c r="Q223" s="42"/>
      <c r="R223" s="42"/>
      <c r="S223" s="121"/>
      <c r="T223" s="119"/>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spans="1:46" ht="14.25" customHeight="1" x14ac:dyDescent="0.2">
      <c r="A224" s="118"/>
      <c r="B224" s="118"/>
      <c r="C224" s="118"/>
      <c r="D224" s="118"/>
      <c r="E224" s="118"/>
      <c r="F224" s="118"/>
      <c r="G224" s="118"/>
      <c r="H224" s="118"/>
      <c r="I224" s="118"/>
      <c r="J224" s="118"/>
      <c r="K224" s="118"/>
      <c r="L224" s="118"/>
      <c r="M224" s="118"/>
      <c r="N224" s="118"/>
      <c r="O224" s="42"/>
      <c r="P224" s="42"/>
      <c r="Q224" s="42"/>
      <c r="R224" s="42"/>
      <c r="S224" s="121"/>
      <c r="T224" s="119"/>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spans="1:46" ht="14.25" customHeight="1" x14ac:dyDescent="0.2">
      <c r="A225" s="118"/>
      <c r="B225" s="118"/>
      <c r="C225" s="118"/>
      <c r="D225" s="118"/>
      <c r="E225" s="118"/>
      <c r="F225" s="118"/>
      <c r="G225" s="118"/>
      <c r="H225" s="118"/>
      <c r="I225" s="118"/>
      <c r="J225" s="118"/>
      <c r="K225" s="118"/>
      <c r="L225" s="118"/>
      <c r="M225" s="118"/>
      <c r="N225" s="118"/>
      <c r="O225" s="42"/>
      <c r="P225" s="42"/>
      <c r="Q225" s="42"/>
      <c r="R225" s="42"/>
      <c r="S225" s="121"/>
      <c r="T225" s="119"/>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spans="1:46" ht="14.25" customHeight="1" x14ac:dyDescent="0.2">
      <c r="A226" s="118"/>
      <c r="B226" s="118"/>
      <c r="C226" s="118"/>
      <c r="D226" s="118"/>
      <c r="E226" s="118"/>
      <c r="F226" s="118"/>
      <c r="G226" s="118"/>
      <c r="H226" s="118"/>
      <c r="I226" s="118"/>
      <c r="J226" s="118"/>
      <c r="K226" s="118"/>
      <c r="L226" s="118"/>
      <c r="M226" s="118"/>
      <c r="N226" s="118"/>
      <c r="O226" s="42"/>
      <c r="P226" s="42"/>
      <c r="Q226" s="42"/>
      <c r="R226" s="42"/>
      <c r="S226" s="121"/>
      <c r="T226" s="119"/>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spans="1:46" ht="14.25" customHeight="1" x14ac:dyDescent="0.2">
      <c r="A227" s="118"/>
      <c r="B227" s="118"/>
      <c r="C227" s="118"/>
      <c r="D227" s="118"/>
      <c r="E227" s="118"/>
      <c r="F227" s="118"/>
      <c r="G227" s="118"/>
      <c r="H227" s="118"/>
      <c r="I227" s="118"/>
      <c r="J227" s="118"/>
      <c r="K227" s="118"/>
      <c r="L227" s="118"/>
      <c r="M227" s="118"/>
      <c r="N227" s="118"/>
      <c r="O227" s="42"/>
      <c r="P227" s="42"/>
      <c r="Q227" s="42"/>
      <c r="R227" s="42"/>
      <c r="S227" s="121"/>
      <c r="T227" s="119"/>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spans="1:46" ht="14.25" customHeight="1" x14ac:dyDescent="0.2">
      <c r="A228" s="118"/>
      <c r="B228" s="118"/>
      <c r="C228" s="118"/>
      <c r="D228" s="118"/>
      <c r="E228" s="118"/>
      <c r="F228" s="118"/>
      <c r="G228" s="118"/>
      <c r="H228" s="118"/>
      <c r="I228" s="118"/>
      <c r="J228" s="118"/>
      <c r="K228" s="118"/>
      <c r="L228" s="118"/>
      <c r="M228" s="118"/>
      <c r="N228" s="118"/>
      <c r="O228" s="42"/>
      <c r="P228" s="42"/>
      <c r="Q228" s="42"/>
      <c r="R228" s="42"/>
      <c r="S228" s="121"/>
      <c r="T228" s="119"/>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spans="1:46" ht="14.25" customHeight="1" x14ac:dyDescent="0.2">
      <c r="A229" s="118"/>
      <c r="B229" s="118"/>
      <c r="C229" s="118"/>
      <c r="D229" s="118"/>
      <c r="E229" s="118"/>
      <c r="F229" s="118"/>
      <c r="G229" s="118"/>
      <c r="H229" s="118"/>
      <c r="I229" s="118"/>
      <c r="J229" s="118"/>
      <c r="K229" s="118"/>
      <c r="L229" s="118"/>
      <c r="M229" s="118"/>
      <c r="N229" s="118"/>
      <c r="O229" s="42"/>
      <c r="P229" s="42"/>
      <c r="Q229" s="42"/>
      <c r="R229" s="42"/>
      <c r="S229" s="121"/>
      <c r="T229" s="119"/>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spans="1:46" ht="14.25" customHeight="1" x14ac:dyDescent="0.2">
      <c r="A230" s="118"/>
      <c r="B230" s="118"/>
      <c r="C230" s="118"/>
      <c r="D230" s="118"/>
      <c r="E230" s="118"/>
      <c r="F230" s="118"/>
      <c r="G230" s="118"/>
      <c r="H230" s="118"/>
      <c r="I230" s="118"/>
      <c r="J230" s="118"/>
      <c r="K230" s="118"/>
      <c r="L230" s="118"/>
      <c r="M230" s="118"/>
      <c r="N230" s="118"/>
      <c r="O230" s="42"/>
      <c r="P230" s="42"/>
      <c r="Q230" s="42"/>
      <c r="R230" s="42"/>
      <c r="S230" s="121"/>
      <c r="T230" s="119"/>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spans="1:46" ht="14.25" customHeight="1" x14ac:dyDescent="0.2">
      <c r="A231" s="118"/>
      <c r="B231" s="118"/>
      <c r="C231" s="118"/>
      <c r="D231" s="118"/>
      <c r="E231" s="118"/>
      <c r="F231" s="118"/>
      <c r="G231" s="118"/>
      <c r="H231" s="118"/>
      <c r="I231" s="118"/>
      <c r="J231" s="118"/>
      <c r="K231" s="118"/>
      <c r="L231" s="118"/>
      <c r="M231" s="118"/>
      <c r="N231" s="118"/>
      <c r="O231" s="42"/>
      <c r="P231" s="42"/>
      <c r="Q231" s="42"/>
      <c r="R231" s="42"/>
      <c r="S231" s="121"/>
      <c r="T231" s="119"/>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spans="1:46" ht="14.25" customHeight="1" x14ac:dyDescent="0.2">
      <c r="A232" s="118"/>
      <c r="B232" s="118"/>
      <c r="C232" s="118"/>
      <c r="D232" s="118"/>
      <c r="E232" s="118"/>
      <c r="F232" s="118"/>
      <c r="G232" s="118"/>
      <c r="H232" s="118"/>
      <c r="I232" s="118"/>
      <c r="J232" s="118"/>
      <c r="K232" s="118"/>
      <c r="L232" s="118"/>
      <c r="M232" s="118"/>
      <c r="N232" s="118"/>
      <c r="O232" s="42"/>
      <c r="P232" s="42"/>
      <c r="Q232" s="42"/>
      <c r="R232" s="42"/>
      <c r="S232" s="121"/>
      <c r="T232" s="119"/>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spans="1:46" ht="14.25" customHeight="1" x14ac:dyDescent="0.2">
      <c r="A233" s="118"/>
      <c r="B233" s="118"/>
      <c r="C233" s="118"/>
      <c r="D233" s="118"/>
      <c r="E233" s="118"/>
      <c r="F233" s="118"/>
      <c r="G233" s="118"/>
      <c r="H233" s="118"/>
      <c r="I233" s="118"/>
      <c r="J233" s="118"/>
      <c r="K233" s="118"/>
      <c r="L233" s="118"/>
      <c r="M233" s="118"/>
      <c r="N233" s="118"/>
      <c r="O233" s="42"/>
      <c r="P233" s="42"/>
      <c r="Q233" s="42"/>
      <c r="R233" s="42"/>
      <c r="S233" s="121"/>
      <c r="T233" s="119"/>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spans="1:46" ht="14.25" customHeight="1" x14ac:dyDescent="0.2">
      <c r="A234" s="118"/>
      <c r="B234" s="118"/>
      <c r="C234" s="118"/>
      <c r="D234" s="118"/>
      <c r="E234" s="118"/>
      <c r="F234" s="118"/>
      <c r="G234" s="118"/>
      <c r="H234" s="118"/>
      <c r="I234" s="118"/>
      <c r="J234" s="118"/>
      <c r="K234" s="118"/>
      <c r="L234" s="118"/>
      <c r="M234" s="118"/>
      <c r="N234" s="118"/>
      <c r="O234" s="42"/>
      <c r="P234" s="42"/>
      <c r="Q234" s="42"/>
      <c r="R234" s="42"/>
      <c r="S234" s="121"/>
      <c r="T234" s="119"/>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spans="1:46" ht="14.25" customHeight="1" x14ac:dyDescent="0.2">
      <c r="A235" s="118"/>
      <c r="B235" s="118"/>
      <c r="C235" s="118"/>
      <c r="D235" s="118"/>
      <c r="E235" s="118"/>
      <c r="F235" s="118"/>
      <c r="G235" s="118"/>
      <c r="H235" s="118"/>
      <c r="I235" s="118"/>
      <c r="J235" s="118"/>
      <c r="K235" s="118"/>
      <c r="L235" s="118"/>
      <c r="M235" s="118"/>
      <c r="N235" s="118"/>
      <c r="O235" s="42"/>
      <c r="P235" s="42"/>
      <c r="Q235" s="42"/>
      <c r="R235" s="42"/>
      <c r="S235" s="121"/>
      <c r="T235" s="119"/>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spans="1:46" ht="14.25" customHeight="1" x14ac:dyDescent="0.2">
      <c r="A236" s="118"/>
      <c r="B236" s="118"/>
      <c r="C236" s="118"/>
      <c r="D236" s="118"/>
      <c r="E236" s="118"/>
      <c r="F236" s="118"/>
      <c r="G236" s="118"/>
      <c r="H236" s="118"/>
      <c r="I236" s="118"/>
      <c r="J236" s="118"/>
      <c r="K236" s="118"/>
      <c r="L236" s="118"/>
      <c r="M236" s="118"/>
      <c r="N236" s="118"/>
      <c r="O236" s="42"/>
      <c r="P236" s="42"/>
      <c r="Q236" s="42"/>
      <c r="R236" s="42"/>
      <c r="S236" s="121"/>
      <c r="T236" s="119"/>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spans="1:46" ht="14.25" customHeight="1" x14ac:dyDescent="0.2">
      <c r="A237" s="118"/>
      <c r="B237" s="118"/>
      <c r="C237" s="118"/>
      <c r="D237" s="118"/>
      <c r="E237" s="118"/>
      <c r="F237" s="118"/>
      <c r="G237" s="118"/>
      <c r="H237" s="118"/>
      <c r="I237" s="118"/>
      <c r="J237" s="118"/>
      <c r="K237" s="118"/>
      <c r="L237" s="118"/>
      <c r="M237" s="118"/>
      <c r="N237" s="118"/>
      <c r="O237" s="42"/>
      <c r="P237" s="42"/>
      <c r="Q237" s="42"/>
      <c r="R237" s="42"/>
      <c r="S237" s="121"/>
      <c r="T237" s="119"/>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spans="1:46" ht="14.25" customHeight="1" x14ac:dyDescent="0.2">
      <c r="A238" s="118"/>
      <c r="B238" s="118"/>
      <c r="C238" s="118"/>
      <c r="D238" s="118"/>
      <c r="E238" s="118"/>
      <c r="F238" s="118"/>
      <c r="G238" s="118"/>
      <c r="H238" s="118"/>
      <c r="I238" s="118"/>
      <c r="J238" s="118"/>
      <c r="K238" s="118"/>
      <c r="L238" s="118"/>
      <c r="M238" s="118"/>
      <c r="N238" s="118"/>
      <c r="O238" s="42"/>
      <c r="P238" s="42"/>
      <c r="Q238" s="42"/>
      <c r="R238" s="42"/>
      <c r="S238" s="121"/>
      <c r="T238" s="119"/>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spans="1:46" ht="14.25" customHeight="1" x14ac:dyDescent="0.2">
      <c r="A239" s="118"/>
      <c r="B239" s="118"/>
      <c r="C239" s="118"/>
      <c r="D239" s="118"/>
      <c r="E239" s="118"/>
      <c r="F239" s="118"/>
      <c r="G239" s="118"/>
      <c r="H239" s="118"/>
      <c r="I239" s="118"/>
      <c r="J239" s="118"/>
      <c r="K239" s="118"/>
      <c r="L239" s="118"/>
      <c r="M239" s="118"/>
      <c r="N239" s="118"/>
      <c r="O239" s="42"/>
      <c r="P239" s="42"/>
      <c r="Q239" s="42"/>
      <c r="R239" s="42"/>
      <c r="S239" s="121"/>
      <c r="T239" s="119"/>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spans="1:46" ht="14.25" customHeight="1" x14ac:dyDescent="0.2">
      <c r="A240" s="118"/>
      <c r="B240" s="118"/>
      <c r="C240" s="118"/>
      <c r="D240" s="118"/>
      <c r="E240" s="118"/>
      <c r="F240" s="118"/>
      <c r="G240" s="118"/>
      <c r="H240" s="118"/>
      <c r="I240" s="118"/>
      <c r="J240" s="118"/>
      <c r="K240" s="118"/>
      <c r="L240" s="118"/>
      <c r="M240" s="118"/>
      <c r="N240" s="118"/>
      <c r="O240" s="42"/>
      <c r="P240" s="42"/>
      <c r="Q240" s="42"/>
      <c r="R240" s="42"/>
      <c r="S240" s="121"/>
      <c r="T240" s="119"/>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spans="1:46" ht="14.25" customHeight="1" x14ac:dyDescent="0.2">
      <c r="A241" s="118"/>
      <c r="B241" s="118"/>
      <c r="C241" s="118"/>
      <c r="D241" s="118"/>
      <c r="E241" s="118"/>
      <c r="F241" s="118"/>
      <c r="G241" s="118"/>
      <c r="H241" s="118"/>
      <c r="I241" s="118"/>
      <c r="J241" s="118"/>
      <c r="K241" s="118"/>
      <c r="L241" s="118"/>
      <c r="M241" s="118"/>
      <c r="N241" s="118"/>
      <c r="O241" s="42"/>
      <c r="P241" s="42"/>
      <c r="Q241" s="42"/>
      <c r="R241" s="42"/>
      <c r="S241" s="121"/>
      <c r="T241" s="119"/>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spans="1:46" ht="14.25" customHeight="1" x14ac:dyDescent="0.2">
      <c r="A242" s="118"/>
      <c r="B242" s="118"/>
      <c r="C242" s="118"/>
      <c r="D242" s="118"/>
      <c r="E242" s="118"/>
      <c r="F242" s="118"/>
      <c r="G242" s="118"/>
      <c r="H242" s="118"/>
      <c r="I242" s="118"/>
      <c r="J242" s="118"/>
      <c r="K242" s="118"/>
      <c r="L242" s="118"/>
      <c r="M242" s="118"/>
      <c r="N242" s="118"/>
      <c r="O242" s="42"/>
      <c r="P242" s="42"/>
      <c r="Q242" s="42"/>
      <c r="R242" s="42"/>
      <c r="S242" s="121"/>
      <c r="T242" s="119"/>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spans="1:46" ht="14.25" customHeight="1" x14ac:dyDescent="0.2">
      <c r="A243" s="118"/>
      <c r="B243" s="118"/>
      <c r="C243" s="118"/>
      <c r="D243" s="118"/>
      <c r="E243" s="118"/>
      <c r="F243" s="118"/>
      <c r="G243" s="118"/>
      <c r="H243" s="118"/>
      <c r="I243" s="118"/>
      <c r="J243" s="118"/>
      <c r="K243" s="118"/>
      <c r="L243" s="118"/>
      <c r="M243" s="118"/>
      <c r="N243" s="118"/>
      <c r="O243" s="42"/>
      <c r="P243" s="42"/>
      <c r="Q243" s="42"/>
      <c r="R243" s="42"/>
      <c r="S243" s="121"/>
      <c r="T243" s="119"/>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spans="1:46" ht="14.25" customHeight="1" x14ac:dyDescent="0.2">
      <c r="A244" s="118"/>
      <c r="B244" s="118"/>
      <c r="C244" s="118"/>
      <c r="D244" s="118"/>
      <c r="E244" s="118"/>
      <c r="F244" s="118"/>
      <c r="G244" s="118"/>
      <c r="H244" s="118"/>
      <c r="I244" s="118"/>
      <c r="J244" s="118"/>
      <c r="K244" s="118"/>
      <c r="L244" s="118"/>
      <c r="M244" s="118"/>
      <c r="N244" s="118"/>
      <c r="O244" s="42"/>
      <c r="P244" s="42"/>
      <c r="Q244" s="42"/>
      <c r="R244" s="42"/>
      <c r="S244" s="121"/>
      <c r="T244" s="119"/>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spans="1:46" ht="14.25" customHeight="1" x14ac:dyDescent="0.2">
      <c r="A245" s="118"/>
      <c r="B245" s="118"/>
      <c r="C245" s="118"/>
      <c r="D245" s="118"/>
      <c r="E245" s="118"/>
      <c r="F245" s="118"/>
      <c r="G245" s="118"/>
      <c r="H245" s="118"/>
      <c r="I245" s="118"/>
      <c r="J245" s="118"/>
      <c r="K245" s="118"/>
      <c r="L245" s="118"/>
      <c r="M245" s="118"/>
      <c r="N245" s="118"/>
      <c r="O245" s="42"/>
      <c r="P245" s="42"/>
      <c r="Q245" s="42"/>
      <c r="R245" s="42"/>
      <c r="S245" s="121"/>
      <c r="T245" s="119"/>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spans="1:46" ht="14.25" customHeight="1" x14ac:dyDescent="0.2">
      <c r="A246" s="118"/>
      <c r="B246" s="118"/>
      <c r="C246" s="118"/>
      <c r="D246" s="118"/>
      <c r="E246" s="118"/>
      <c r="F246" s="118"/>
      <c r="G246" s="118"/>
      <c r="H246" s="118"/>
      <c r="I246" s="118"/>
      <c r="J246" s="118"/>
      <c r="K246" s="118"/>
      <c r="L246" s="118"/>
      <c r="M246" s="118"/>
      <c r="N246" s="118"/>
      <c r="O246" s="42"/>
      <c r="P246" s="42"/>
      <c r="Q246" s="42"/>
      <c r="R246" s="42"/>
      <c r="S246" s="121"/>
      <c r="T246" s="119"/>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spans="1:46" ht="14.25" customHeight="1" x14ac:dyDescent="0.2">
      <c r="A247" s="118"/>
      <c r="B247" s="118"/>
      <c r="C247" s="118"/>
      <c r="D247" s="118"/>
      <c r="E247" s="118"/>
      <c r="F247" s="118"/>
      <c r="G247" s="118"/>
      <c r="H247" s="118"/>
      <c r="I247" s="118"/>
      <c r="J247" s="118"/>
      <c r="K247" s="118"/>
      <c r="L247" s="118"/>
      <c r="M247" s="118"/>
      <c r="N247" s="118"/>
      <c r="O247" s="42"/>
      <c r="P247" s="42"/>
      <c r="Q247" s="42"/>
      <c r="R247" s="42"/>
      <c r="S247" s="121"/>
      <c r="T247" s="119"/>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spans="1:46" ht="14.25" customHeight="1" x14ac:dyDescent="0.2">
      <c r="A248" s="118"/>
      <c r="B248" s="118"/>
      <c r="C248" s="118"/>
      <c r="D248" s="118"/>
      <c r="E248" s="118"/>
      <c r="F248" s="118"/>
      <c r="G248" s="118"/>
      <c r="H248" s="118"/>
      <c r="I248" s="118"/>
      <c r="J248" s="118"/>
      <c r="K248" s="118"/>
      <c r="L248" s="118"/>
      <c r="M248" s="118"/>
      <c r="N248" s="118"/>
      <c r="O248" s="42"/>
      <c r="P248" s="42"/>
      <c r="Q248" s="42"/>
      <c r="R248" s="42"/>
      <c r="S248" s="121"/>
      <c r="T248" s="119"/>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spans="1:46" ht="14.25" customHeight="1" x14ac:dyDescent="0.2">
      <c r="A249" s="118"/>
      <c r="B249" s="118"/>
      <c r="C249" s="118"/>
      <c r="D249" s="118"/>
      <c r="E249" s="118"/>
      <c r="F249" s="118"/>
      <c r="G249" s="118"/>
      <c r="H249" s="118"/>
      <c r="I249" s="118"/>
      <c r="J249" s="118"/>
      <c r="K249" s="118"/>
      <c r="L249" s="118"/>
      <c r="M249" s="118"/>
      <c r="N249" s="118"/>
      <c r="O249" s="42"/>
      <c r="P249" s="42"/>
      <c r="Q249" s="42"/>
      <c r="R249" s="42"/>
      <c r="S249" s="121"/>
      <c r="T249" s="119"/>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spans="1:46" ht="14.25" customHeight="1" x14ac:dyDescent="0.2">
      <c r="A250" s="118"/>
      <c r="B250" s="118"/>
      <c r="C250" s="118"/>
      <c r="D250" s="118"/>
      <c r="E250" s="118"/>
      <c r="F250" s="118"/>
      <c r="G250" s="118"/>
      <c r="H250" s="118"/>
      <c r="I250" s="118"/>
      <c r="J250" s="118"/>
      <c r="K250" s="118"/>
      <c r="L250" s="118"/>
      <c r="M250" s="118"/>
      <c r="N250" s="118"/>
      <c r="O250" s="42"/>
      <c r="P250" s="42"/>
      <c r="Q250" s="42"/>
      <c r="R250" s="42"/>
      <c r="S250" s="121"/>
      <c r="T250" s="119"/>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spans="1:46" ht="14.25" customHeight="1" x14ac:dyDescent="0.2">
      <c r="A251" s="118"/>
      <c r="B251" s="118"/>
      <c r="C251" s="118"/>
      <c r="D251" s="118"/>
      <c r="E251" s="118"/>
      <c r="F251" s="118"/>
      <c r="G251" s="118"/>
      <c r="H251" s="118"/>
      <c r="I251" s="118"/>
      <c r="J251" s="118"/>
      <c r="K251" s="118"/>
      <c r="L251" s="118"/>
      <c r="M251" s="118"/>
      <c r="N251" s="118"/>
      <c r="O251" s="42"/>
      <c r="P251" s="42"/>
      <c r="Q251" s="42"/>
      <c r="R251" s="42"/>
      <c r="S251" s="121"/>
      <c r="T251" s="119"/>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spans="1:46" ht="14.25" customHeight="1" x14ac:dyDescent="0.2">
      <c r="A252" s="118"/>
      <c r="B252" s="118"/>
      <c r="C252" s="118"/>
      <c r="D252" s="118"/>
      <c r="E252" s="118"/>
      <c r="F252" s="118"/>
      <c r="G252" s="118"/>
      <c r="H252" s="118"/>
      <c r="I252" s="118"/>
      <c r="J252" s="118"/>
      <c r="K252" s="118"/>
      <c r="L252" s="118"/>
      <c r="M252" s="118"/>
      <c r="N252" s="118"/>
      <c r="O252" s="42"/>
      <c r="P252" s="42"/>
      <c r="Q252" s="42"/>
      <c r="R252" s="42"/>
      <c r="S252" s="121"/>
      <c r="T252" s="119"/>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spans="1:46" ht="14.25" customHeight="1" x14ac:dyDescent="0.2">
      <c r="A253" s="118"/>
      <c r="B253" s="118"/>
      <c r="C253" s="118"/>
      <c r="D253" s="118"/>
      <c r="E253" s="118"/>
      <c r="F253" s="118"/>
      <c r="G253" s="118"/>
      <c r="H253" s="118"/>
      <c r="I253" s="118"/>
      <c r="J253" s="118"/>
      <c r="K253" s="118"/>
      <c r="L253" s="118"/>
      <c r="M253" s="118"/>
      <c r="N253" s="118"/>
      <c r="O253" s="42"/>
      <c r="P253" s="42"/>
      <c r="Q253" s="42"/>
      <c r="R253" s="42"/>
      <c r="S253" s="121"/>
      <c r="T253" s="119"/>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spans="1:46" ht="14.25" customHeight="1" x14ac:dyDescent="0.2">
      <c r="A254" s="118"/>
      <c r="B254" s="118"/>
      <c r="C254" s="118"/>
      <c r="D254" s="118"/>
      <c r="E254" s="118"/>
      <c r="F254" s="118"/>
      <c r="G254" s="118"/>
      <c r="H254" s="118"/>
      <c r="I254" s="118"/>
      <c r="J254" s="118"/>
      <c r="K254" s="118"/>
      <c r="L254" s="118"/>
      <c r="M254" s="118"/>
      <c r="N254" s="118"/>
      <c r="O254" s="42"/>
      <c r="P254" s="42"/>
      <c r="Q254" s="42"/>
      <c r="R254" s="42"/>
      <c r="S254" s="121"/>
      <c r="T254" s="119"/>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spans="1:46" ht="14.25" customHeight="1" x14ac:dyDescent="0.2">
      <c r="A255" s="118"/>
      <c r="B255" s="118"/>
      <c r="C255" s="118"/>
      <c r="D255" s="118"/>
      <c r="E255" s="118"/>
      <c r="F255" s="118"/>
      <c r="G255" s="118"/>
      <c r="H255" s="118"/>
      <c r="I255" s="118"/>
      <c r="J255" s="118"/>
      <c r="K255" s="118"/>
      <c r="L255" s="118"/>
      <c r="M255" s="118"/>
      <c r="N255" s="118"/>
      <c r="O255" s="42"/>
      <c r="P255" s="42"/>
      <c r="Q255" s="42"/>
      <c r="R255" s="42"/>
      <c r="S255" s="121"/>
      <c r="T255" s="119"/>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spans="1:46" ht="14.25" customHeight="1" x14ac:dyDescent="0.2">
      <c r="A256" s="118"/>
      <c r="B256" s="118"/>
      <c r="C256" s="118"/>
      <c r="D256" s="118"/>
      <c r="E256" s="118"/>
      <c r="F256" s="118"/>
      <c r="G256" s="118"/>
      <c r="H256" s="118"/>
      <c r="I256" s="118"/>
      <c r="J256" s="118"/>
      <c r="K256" s="118"/>
      <c r="L256" s="118"/>
      <c r="M256" s="118"/>
      <c r="N256" s="118"/>
      <c r="O256" s="42"/>
      <c r="P256" s="42"/>
      <c r="Q256" s="42"/>
      <c r="R256" s="42"/>
      <c r="S256" s="121"/>
      <c r="T256" s="119"/>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spans="1:46" ht="14.25" customHeight="1" x14ac:dyDescent="0.2">
      <c r="A257" s="118"/>
      <c r="B257" s="118"/>
      <c r="C257" s="118"/>
      <c r="D257" s="118"/>
      <c r="E257" s="118"/>
      <c r="F257" s="118"/>
      <c r="G257" s="118"/>
      <c r="H257" s="118"/>
      <c r="I257" s="118"/>
      <c r="J257" s="118"/>
      <c r="K257" s="118"/>
      <c r="L257" s="118"/>
      <c r="M257" s="118"/>
      <c r="N257" s="118"/>
      <c r="O257" s="42"/>
      <c r="P257" s="42"/>
      <c r="Q257" s="42"/>
      <c r="R257" s="42"/>
      <c r="S257" s="121"/>
      <c r="T257" s="119"/>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spans="1:46" ht="14.25" customHeight="1" x14ac:dyDescent="0.2">
      <c r="A258" s="118"/>
      <c r="B258" s="118"/>
      <c r="C258" s="118"/>
      <c r="D258" s="118"/>
      <c r="E258" s="118"/>
      <c r="F258" s="118"/>
      <c r="G258" s="118"/>
      <c r="H258" s="118"/>
      <c r="I258" s="118"/>
      <c r="J258" s="118"/>
      <c r="K258" s="118"/>
      <c r="L258" s="118"/>
      <c r="M258" s="118"/>
      <c r="N258" s="118"/>
      <c r="O258" s="42"/>
      <c r="P258" s="42"/>
      <c r="Q258" s="42"/>
      <c r="R258" s="42"/>
      <c r="S258" s="121"/>
      <c r="T258" s="119"/>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spans="1:46" ht="14.25" customHeight="1" x14ac:dyDescent="0.2">
      <c r="A259" s="118"/>
      <c r="B259" s="118"/>
      <c r="C259" s="118"/>
      <c r="D259" s="118"/>
      <c r="E259" s="118"/>
      <c r="F259" s="118"/>
      <c r="G259" s="118"/>
      <c r="H259" s="118"/>
      <c r="I259" s="118"/>
      <c r="J259" s="118"/>
      <c r="K259" s="118"/>
      <c r="L259" s="118"/>
      <c r="M259" s="118"/>
      <c r="N259" s="118"/>
      <c r="O259" s="42"/>
      <c r="P259" s="42"/>
      <c r="Q259" s="42"/>
      <c r="R259" s="42"/>
      <c r="S259" s="121"/>
      <c r="T259" s="119"/>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spans="1:46" ht="14.25" customHeight="1" x14ac:dyDescent="0.2">
      <c r="A260" s="118"/>
      <c r="B260" s="118"/>
      <c r="C260" s="118"/>
      <c r="D260" s="118"/>
      <c r="E260" s="118"/>
      <c r="F260" s="118"/>
      <c r="G260" s="118"/>
      <c r="H260" s="118"/>
      <c r="I260" s="118"/>
      <c r="J260" s="118"/>
      <c r="K260" s="118"/>
      <c r="L260" s="118"/>
      <c r="M260" s="118"/>
      <c r="N260" s="118"/>
      <c r="O260" s="42"/>
      <c r="P260" s="42"/>
      <c r="Q260" s="42"/>
      <c r="R260" s="42"/>
      <c r="S260" s="121"/>
      <c r="T260" s="119"/>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spans="1:46" ht="14.25" customHeight="1" x14ac:dyDescent="0.2">
      <c r="A261" s="118"/>
      <c r="B261" s="118"/>
      <c r="C261" s="118"/>
      <c r="D261" s="118"/>
      <c r="E261" s="118"/>
      <c r="F261" s="118"/>
      <c r="G261" s="118"/>
      <c r="H261" s="118"/>
      <c r="I261" s="118"/>
      <c r="J261" s="118"/>
      <c r="K261" s="118"/>
      <c r="L261" s="118"/>
      <c r="M261" s="118"/>
      <c r="N261" s="118"/>
      <c r="O261" s="42"/>
      <c r="P261" s="42"/>
      <c r="Q261" s="42"/>
      <c r="R261" s="42"/>
      <c r="S261" s="121"/>
      <c r="T261" s="119"/>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spans="1:46" ht="14.25" customHeight="1" x14ac:dyDescent="0.2">
      <c r="A262" s="118"/>
      <c r="B262" s="118"/>
      <c r="C262" s="118"/>
      <c r="D262" s="118"/>
      <c r="E262" s="118"/>
      <c r="F262" s="118"/>
      <c r="G262" s="118"/>
      <c r="H262" s="118"/>
      <c r="I262" s="118"/>
      <c r="J262" s="118"/>
      <c r="K262" s="118"/>
      <c r="L262" s="118"/>
      <c r="M262" s="118"/>
      <c r="N262" s="118"/>
      <c r="O262" s="42"/>
      <c r="P262" s="42"/>
      <c r="Q262" s="42"/>
      <c r="R262" s="42"/>
      <c r="S262" s="121"/>
      <c r="T262" s="119"/>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spans="1:46" ht="14.25" customHeight="1" x14ac:dyDescent="0.2">
      <c r="A263" s="118"/>
      <c r="B263" s="118"/>
      <c r="C263" s="118"/>
      <c r="D263" s="118"/>
      <c r="E263" s="118"/>
      <c r="F263" s="118"/>
      <c r="G263" s="118"/>
      <c r="H263" s="118"/>
      <c r="I263" s="118"/>
      <c r="J263" s="118"/>
      <c r="K263" s="118"/>
      <c r="L263" s="118"/>
      <c r="M263" s="118"/>
      <c r="N263" s="118"/>
      <c r="O263" s="42"/>
      <c r="P263" s="42"/>
      <c r="Q263" s="42"/>
      <c r="R263" s="42"/>
      <c r="S263" s="121"/>
      <c r="T263" s="119"/>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spans="1:46" ht="14.25" customHeight="1" x14ac:dyDescent="0.2">
      <c r="A264" s="118"/>
      <c r="B264" s="118"/>
      <c r="C264" s="118"/>
      <c r="D264" s="118"/>
      <c r="E264" s="118"/>
      <c r="F264" s="118"/>
      <c r="G264" s="118"/>
      <c r="H264" s="118"/>
      <c r="I264" s="118"/>
      <c r="J264" s="118"/>
      <c r="K264" s="118"/>
      <c r="L264" s="118"/>
      <c r="M264" s="118"/>
      <c r="N264" s="118"/>
      <c r="O264" s="42"/>
      <c r="P264" s="42"/>
      <c r="Q264" s="42"/>
      <c r="R264" s="42"/>
      <c r="S264" s="121"/>
      <c r="T264" s="119"/>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spans="1:46" ht="14.25" customHeight="1" x14ac:dyDescent="0.2">
      <c r="A265" s="118"/>
      <c r="B265" s="118"/>
      <c r="C265" s="118"/>
      <c r="D265" s="118"/>
      <c r="E265" s="118"/>
      <c r="F265" s="118"/>
      <c r="G265" s="118"/>
      <c r="H265" s="118"/>
      <c r="I265" s="118"/>
      <c r="J265" s="118"/>
      <c r="K265" s="118"/>
      <c r="L265" s="118"/>
      <c r="M265" s="118"/>
      <c r="N265" s="118"/>
      <c r="O265" s="42"/>
      <c r="P265" s="42"/>
      <c r="Q265" s="42"/>
      <c r="R265" s="42"/>
      <c r="S265" s="121"/>
      <c r="T265" s="119"/>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spans="1:46" ht="14.25" customHeight="1" x14ac:dyDescent="0.2">
      <c r="A266" s="118"/>
      <c r="B266" s="118"/>
      <c r="C266" s="118"/>
      <c r="D266" s="118"/>
      <c r="E266" s="118"/>
      <c r="F266" s="118"/>
      <c r="G266" s="118"/>
      <c r="H266" s="118"/>
      <c r="I266" s="118"/>
      <c r="J266" s="118"/>
      <c r="K266" s="118"/>
      <c r="L266" s="118"/>
      <c r="M266" s="118"/>
      <c r="N266" s="118"/>
      <c r="O266" s="42"/>
      <c r="P266" s="42"/>
      <c r="Q266" s="42"/>
      <c r="R266" s="42"/>
      <c r="S266" s="121"/>
      <c r="T266" s="119"/>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spans="1:46" ht="14.25" customHeight="1" x14ac:dyDescent="0.2">
      <c r="A267" s="118"/>
      <c r="B267" s="118"/>
      <c r="C267" s="118"/>
      <c r="D267" s="118"/>
      <c r="E267" s="118"/>
      <c r="F267" s="118"/>
      <c r="G267" s="118"/>
      <c r="H267" s="118"/>
      <c r="I267" s="118"/>
      <c r="J267" s="118"/>
      <c r="K267" s="118"/>
      <c r="L267" s="118"/>
      <c r="M267" s="118"/>
      <c r="N267" s="118"/>
      <c r="O267" s="42"/>
      <c r="P267" s="42"/>
      <c r="Q267" s="42"/>
      <c r="R267" s="42"/>
      <c r="S267" s="121"/>
      <c r="T267" s="119"/>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spans="1:46" ht="14.25" customHeight="1" x14ac:dyDescent="0.2">
      <c r="A268" s="118"/>
      <c r="B268" s="118"/>
      <c r="C268" s="118"/>
      <c r="D268" s="118"/>
      <c r="E268" s="118"/>
      <c r="F268" s="118"/>
      <c r="G268" s="118"/>
      <c r="H268" s="118"/>
      <c r="I268" s="118"/>
      <c r="J268" s="118"/>
      <c r="K268" s="118"/>
      <c r="L268" s="118"/>
      <c r="M268" s="118"/>
      <c r="N268" s="118"/>
      <c r="O268" s="42"/>
      <c r="P268" s="42"/>
      <c r="Q268" s="42"/>
      <c r="R268" s="42"/>
      <c r="S268" s="121"/>
      <c r="T268" s="119"/>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spans="1:46" ht="14.25" customHeight="1" x14ac:dyDescent="0.2">
      <c r="A269" s="118"/>
      <c r="B269" s="118"/>
      <c r="C269" s="118"/>
      <c r="D269" s="118"/>
      <c r="E269" s="118"/>
      <c r="F269" s="118"/>
      <c r="G269" s="118"/>
      <c r="H269" s="118"/>
      <c r="I269" s="118"/>
      <c r="J269" s="118"/>
      <c r="K269" s="118"/>
      <c r="L269" s="118"/>
      <c r="M269" s="118"/>
      <c r="N269" s="118"/>
      <c r="O269" s="42"/>
      <c r="P269" s="42"/>
      <c r="Q269" s="42"/>
      <c r="R269" s="42"/>
      <c r="S269" s="121"/>
      <c r="T269" s="119"/>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spans="1:46" ht="14.25" customHeight="1" x14ac:dyDescent="0.2">
      <c r="A270" s="118"/>
      <c r="B270" s="118"/>
      <c r="C270" s="118"/>
      <c r="D270" s="118"/>
      <c r="E270" s="118"/>
      <c r="F270" s="118"/>
      <c r="G270" s="118"/>
      <c r="H270" s="118"/>
      <c r="I270" s="118"/>
      <c r="J270" s="118"/>
      <c r="K270" s="118"/>
      <c r="L270" s="118"/>
      <c r="M270" s="118"/>
      <c r="N270" s="118"/>
      <c r="O270" s="42"/>
      <c r="P270" s="42"/>
      <c r="Q270" s="42"/>
      <c r="R270" s="42"/>
      <c r="S270" s="121"/>
      <c r="T270" s="119"/>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spans="1:46" ht="14.25" customHeight="1" x14ac:dyDescent="0.2">
      <c r="A271" s="118"/>
      <c r="B271" s="118"/>
      <c r="C271" s="118"/>
      <c r="D271" s="118"/>
      <c r="E271" s="118"/>
      <c r="F271" s="118"/>
      <c r="G271" s="118"/>
      <c r="H271" s="118"/>
      <c r="I271" s="118"/>
      <c r="J271" s="118"/>
      <c r="K271" s="118"/>
      <c r="L271" s="118"/>
      <c r="M271" s="118"/>
      <c r="N271" s="118"/>
      <c r="O271" s="42"/>
      <c r="P271" s="42"/>
      <c r="Q271" s="42"/>
      <c r="R271" s="42"/>
      <c r="S271" s="121"/>
      <c r="T271" s="119"/>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spans="1:46" ht="14.25" customHeight="1" x14ac:dyDescent="0.2">
      <c r="A272" s="118"/>
      <c r="B272" s="118"/>
      <c r="C272" s="118"/>
      <c r="D272" s="118"/>
      <c r="E272" s="118"/>
      <c r="F272" s="118"/>
      <c r="G272" s="118"/>
      <c r="H272" s="118"/>
      <c r="I272" s="118"/>
      <c r="J272" s="118"/>
      <c r="K272" s="118"/>
      <c r="L272" s="118"/>
      <c r="M272" s="118"/>
      <c r="N272" s="118"/>
      <c r="O272" s="42"/>
      <c r="P272" s="42"/>
      <c r="Q272" s="42"/>
      <c r="R272" s="42"/>
      <c r="S272" s="121"/>
      <c r="T272" s="119"/>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spans="1:46" ht="14.25" customHeight="1" x14ac:dyDescent="0.2">
      <c r="A273" s="118"/>
      <c r="B273" s="118"/>
      <c r="C273" s="118"/>
      <c r="D273" s="118"/>
      <c r="E273" s="118"/>
      <c r="F273" s="118"/>
      <c r="G273" s="118"/>
      <c r="H273" s="118"/>
      <c r="I273" s="118"/>
      <c r="J273" s="118"/>
      <c r="K273" s="118"/>
      <c r="L273" s="118"/>
      <c r="M273" s="118"/>
      <c r="N273" s="118"/>
      <c r="O273" s="42"/>
      <c r="P273" s="42"/>
      <c r="Q273" s="42"/>
      <c r="R273" s="42"/>
      <c r="S273" s="121"/>
      <c r="T273" s="119"/>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spans="1:46" ht="14.25" customHeight="1" x14ac:dyDescent="0.2">
      <c r="A274" s="118"/>
      <c r="B274" s="118"/>
      <c r="C274" s="118"/>
      <c r="D274" s="118"/>
      <c r="E274" s="118"/>
      <c r="F274" s="118"/>
      <c r="G274" s="118"/>
      <c r="H274" s="118"/>
      <c r="I274" s="118"/>
      <c r="J274" s="118"/>
      <c r="K274" s="118"/>
      <c r="L274" s="118"/>
      <c r="M274" s="118"/>
      <c r="N274" s="118"/>
      <c r="O274" s="42"/>
      <c r="P274" s="42"/>
      <c r="Q274" s="42"/>
      <c r="R274" s="42"/>
      <c r="S274" s="121"/>
      <c r="T274" s="119"/>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spans="1:46" ht="14.25" customHeight="1" x14ac:dyDescent="0.2">
      <c r="A275" s="118"/>
      <c r="B275" s="118"/>
      <c r="C275" s="118"/>
      <c r="D275" s="118"/>
      <c r="E275" s="118"/>
      <c r="F275" s="118"/>
      <c r="G275" s="118"/>
      <c r="H275" s="118"/>
      <c r="I275" s="118"/>
      <c r="J275" s="118"/>
      <c r="K275" s="118"/>
      <c r="L275" s="118"/>
      <c r="M275" s="118"/>
      <c r="N275" s="118"/>
      <c r="O275" s="42"/>
      <c r="P275" s="42"/>
      <c r="Q275" s="42"/>
      <c r="R275" s="42"/>
      <c r="S275" s="121"/>
      <c r="T275" s="119"/>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spans="1:46" ht="14.25" customHeight="1" x14ac:dyDescent="0.2">
      <c r="A276" s="118"/>
      <c r="B276" s="118"/>
      <c r="C276" s="118"/>
      <c r="D276" s="118"/>
      <c r="E276" s="118"/>
      <c r="F276" s="118"/>
      <c r="G276" s="118"/>
      <c r="H276" s="118"/>
      <c r="I276" s="118"/>
      <c r="J276" s="118"/>
      <c r="K276" s="118"/>
      <c r="L276" s="118"/>
      <c r="M276" s="118"/>
      <c r="N276" s="118"/>
      <c r="O276" s="42"/>
      <c r="P276" s="42"/>
      <c r="Q276" s="42"/>
      <c r="R276" s="42"/>
      <c r="S276" s="121"/>
      <c r="T276" s="119"/>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spans="1:46" ht="14.25" customHeight="1" x14ac:dyDescent="0.2">
      <c r="A277" s="118"/>
      <c r="B277" s="118"/>
      <c r="C277" s="118"/>
      <c r="D277" s="118"/>
      <c r="E277" s="118"/>
      <c r="F277" s="118"/>
      <c r="G277" s="118"/>
      <c r="H277" s="118"/>
      <c r="I277" s="118"/>
      <c r="J277" s="118"/>
      <c r="K277" s="118"/>
      <c r="L277" s="118"/>
      <c r="M277" s="118"/>
      <c r="N277" s="118"/>
      <c r="O277" s="42"/>
      <c r="P277" s="42"/>
      <c r="Q277" s="42"/>
      <c r="R277" s="42"/>
      <c r="S277" s="121"/>
      <c r="T277" s="119"/>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spans="1:46" ht="14.25" customHeight="1" x14ac:dyDescent="0.2">
      <c r="A278" s="118"/>
      <c r="B278" s="118"/>
      <c r="C278" s="118"/>
      <c r="D278" s="118"/>
      <c r="E278" s="118"/>
      <c r="F278" s="118"/>
      <c r="G278" s="118"/>
      <c r="H278" s="118"/>
      <c r="I278" s="118"/>
      <c r="J278" s="118"/>
      <c r="K278" s="118"/>
      <c r="L278" s="118"/>
      <c r="M278" s="118"/>
      <c r="N278" s="118"/>
      <c r="O278" s="42"/>
      <c r="P278" s="42"/>
      <c r="Q278" s="42"/>
      <c r="R278" s="42"/>
      <c r="S278" s="121"/>
      <c r="T278" s="119"/>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spans="1:46" ht="14.25" customHeight="1" x14ac:dyDescent="0.2">
      <c r="A279" s="118"/>
      <c r="B279" s="118"/>
      <c r="C279" s="118"/>
      <c r="D279" s="118"/>
      <c r="E279" s="118"/>
      <c r="F279" s="118"/>
      <c r="G279" s="118"/>
      <c r="H279" s="118"/>
      <c r="I279" s="118"/>
      <c r="J279" s="118"/>
      <c r="K279" s="118"/>
      <c r="L279" s="118"/>
      <c r="M279" s="118"/>
      <c r="N279" s="118"/>
      <c r="O279" s="42"/>
      <c r="P279" s="42"/>
      <c r="Q279" s="42"/>
      <c r="R279" s="42"/>
      <c r="S279" s="121"/>
      <c r="T279" s="119"/>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spans="1:46" ht="14.25" customHeight="1" x14ac:dyDescent="0.2">
      <c r="A280" s="118"/>
      <c r="B280" s="118"/>
      <c r="C280" s="118"/>
      <c r="D280" s="118"/>
      <c r="E280" s="118"/>
      <c r="F280" s="118"/>
      <c r="G280" s="118"/>
      <c r="H280" s="118"/>
      <c r="I280" s="118"/>
      <c r="J280" s="118"/>
      <c r="K280" s="118"/>
      <c r="L280" s="118"/>
      <c r="M280" s="118"/>
      <c r="N280" s="118"/>
      <c r="O280" s="42"/>
      <c r="P280" s="42"/>
      <c r="Q280" s="42"/>
      <c r="R280" s="42"/>
      <c r="S280" s="121"/>
      <c r="T280" s="119"/>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spans="1:46" ht="14.25" customHeight="1" x14ac:dyDescent="0.2">
      <c r="A281" s="118"/>
      <c r="B281" s="118"/>
      <c r="C281" s="118"/>
      <c r="D281" s="118"/>
      <c r="E281" s="118"/>
      <c r="F281" s="118"/>
      <c r="G281" s="118"/>
      <c r="H281" s="118"/>
      <c r="I281" s="118"/>
      <c r="J281" s="118"/>
      <c r="K281" s="118"/>
      <c r="L281" s="118"/>
      <c r="M281" s="118"/>
      <c r="N281" s="118"/>
      <c r="O281" s="42"/>
      <c r="P281" s="42"/>
      <c r="Q281" s="42"/>
      <c r="R281" s="42"/>
      <c r="S281" s="121"/>
      <c r="T281" s="119"/>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spans="1:46" ht="14.25" customHeight="1" x14ac:dyDescent="0.2">
      <c r="A282" s="118"/>
      <c r="B282" s="118"/>
      <c r="C282" s="118"/>
      <c r="D282" s="118"/>
      <c r="E282" s="118"/>
      <c r="F282" s="118"/>
      <c r="G282" s="118"/>
      <c r="H282" s="118"/>
      <c r="I282" s="118"/>
      <c r="J282" s="118"/>
      <c r="K282" s="118"/>
      <c r="L282" s="118"/>
      <c r="M282" s="118"/>
      <c r="N282" s="118"/>
      <c r="O282" s="42"/>
      <c r="P282" s="42"/>
      <c r="Q282" s="42"/>
      <c r="R282" s="42"/>
      <c r="S282" s="121"/>
      <c r="T282" s="119"/>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spans="1:46" ht="14.25" customHeight="1" x14ac:dyDescent="0.2">
      <c r="A283" s="118"/>
      <c r="B283" s="118"/>
      <c r="C283" s="118"/>
      <c r="D283" s="118"/>
      <c r="E283" s="118"/>
      <c r="F283" s="118"/>
      <c r="G283" s="118"/>
      <c r="H283" s="118"/>
      <c r="I283" s="118"/>
      <c r="J283" s="118"/>
      <c r="K283" s="118"/>
      <c r="L283" s="118"/>
      <c r="M283" s="118"/>
      <c r="N283" s="118"/>
      <c r="O283" s="42"/>
      <c r="P283" s="42"/>
      <c r="Q283" s="42"/>
      <c r="R283" s="42"/>
      <c r="S283" s="121"/>
      <c r="T283" s="119"/>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spans="1:46" ht="14.25" customHeight="1" x14ac:dyDescent="0.2">
      <c r="A284" s="118"/>
      <c r="B284" s="118"/>
      <c r="C284" s="118"/>
      <c r="D284" s="118"/>
      <c r="E284" s="118"/>
      <c r="F284" s="118"/>
      <c r="G284" s="118"/>
      <c r="H284" s="118"/>
      <c r="I284" s="118"/>
      <c r="J284" s="118"/>
      <c r="K284" s="118"/>
      <c r="L284" s="118"/>
      <c r="M284" s="118"/>
      <c r="N284" s="118"/>
      <c r="O284" s="42"/>
      <c r="P284" s="42"/>
      <c r="Q284" s="42"/>
      <c r="R284" s="42"/>
      <c r="S284" s="121"/>
      <c r="T284" s="119"/>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spans="1:46" ht="14.25" customHeight="1" x14ac:dyDescent="0.2">
      <c r="A285" s="118"/>
      <c r="B285" s="118"/>
      <c r="C285" s="118"/>
      <c r="D285" s="118"/>
      <c r="E285" s="118"/>
      <c r="F285" s="118"/>
      <c r="G285" s="118"/>
      <c r="H285" s="118"/>
      <c r="I285" s="118"/>
      <c r="J285" s="118"/>
      <c r="K285" s="118"/>
      <c r="L285" s="118"/>
      <c r="M285" s="118"/>
      <c r="N285" s="118"/>
      <c r="O285" s="42"/>
      <c r="P285" s="42"/>
      <c r="Q285" s="42"/>
      <c r="R285" s="42"/>
      <c r="S285" s="121"/>
      <c r="T285" s="119"/>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spans="1:46" ht="14.25" customHeight="1" x14ac:dyDescent="0.2">
      <c r="A286" s="118"/>
      <c r="B286" s="118"/>
      <c r="C286" s="118"/>
      <c r="D286" s="118"/>
      <c r="E286" s="118"/>
      <c r="F286" s="118"/>
      <c r="G286" s="118"/>
      <c r="H286" s="118"/>
      <c r="I286" s="118"/>
      <c r="J286" s="118"/>
      <c r="K286" s="118"/>
      <c r="L286" s="118"/>
      <c r="M286" s="118"/>
      <c r="N286" s="118"/>
      <c r="O286" s="42"/>
      <c r="P286" s="42"/>
      <c r="Q286" s="42"/>
      <c r="R286" s="42"/>
      <c r="S286" s="121"/>
      <c r="T286" s="119"/>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spans="1:46" ht="14.25" customHeight="1" x14ac:dyDescent="0.2">
      <c r="A287" s="118"/>
      <c r="B287" s="118"/>
      <c r="C287" s="118"/>
      <c r="D287" s="118"/>
      <c r="E287" s="118"/>
      <c r="F287" s="118"/>
      <c r="G287" s="118"/>
      <c r="H287" s="118"/>
      <c r="I287" s="118"/>
      <c r="J287" s="118"/>
      <c r="K287" s="118"/>
      <c r="L287" s="118"/>
      <c r="M287" s="118"/>
      <c r="N287" s="118"/>
      <c r="O287" s="42"/>
      <c r="P287" s="42"/>
      <c r="Q287" s="42"/>
      <c r="R287" s="42"/>
      <c r="S287" s="121"/>
      <c r="T287" s="119"/>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spans="1:46" ht="14.25" customHeight="1" x14ac:dyDescent="0.2">
      <c r="A288" s="118"/>
      <c r="B288" s="118"/>
      <c r="C288" s="118"/>
      <c r="D288" s="118"/>
      <c r="E288" s="118"/>
      <c r="F288" s="118"/>
      <c r="G288" s="118"/>
      <c r="H288" s="118"/>
      <c r="I288" s="118"/>
      <c r="J288" s="118"/>
      <c r="K288" s="118"/>
      <c r="L288" s="118"/>
      <c r="M288" s="118"/>
      <c r="N288" s="118"/>
      <c r="O288" s="42"/>
      <c r="P288" s="42"/>
      <c r="Q288" s="42"/>
      <c r="R288" s="42"/>
      <c r="S288" s="121"/>
      <c r="T288" s="119"/>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spans="1:46" ht="14.25" customHeight="1" x14ac:dyDescent="0.2">
      <c r="A289" s="118"/>
      <c r="B289" s="118"/>
      <c r="C289" s="118"/>
      <c r="D289" s="118"/>
      <c r="E289" s="118"/>
      <c r="F289" s="118"/>
      <c r="G289" s="118"/>
      <c r="H289" s="118"/>
      <c r="I289" s="118"/>
      <c r="J289" s="118"/>
      <c r="K289" s="118"/>
      <c r="L289" s="118"/>
      <c r="M289" s="118"/>
      <c r="N289" s="118"/>
      <c r="O289" s="42"/>
      <c r="P289" s="42"/>
      <c r="Q289" s="42"/>
      <c r="R289" s="42"/>
      <c r="S289" s="121"/>
      <c r="T289" s="119"/>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spans="1:46" ht="14.25" customHeight="1" x14ac:dyDescent="0.2">
      <c r="A290" s="118"/>
      <c r="B290" s="118"/>
      <c r="C290" s="118"/>
      <c r="D290" s="118"/>
      <c r="E290" s="118"/>
      <c r="F290" s="118"/>
      <c r="G290" s="118"/>
      <c r="H290" s="118"/>
      <c r="I290" s="118"/>
      <c r="J290" s="118"/>
      <c r="K290" s="118"/>
      <c r="L290" s="118"/>
      <c r="M290" s="118"/>
      <c r="N290" s="118"/>
      <c r="O290" s="42"/>
      <c r="P290" s="42"/>
      <c r="Q290" s="42"/>
      <c r="R290" s="42"/>
      <c r="S290" s="121"/>
      <c r="T290" s="119"/>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spans="1:46" ht="14.25" customHeight="1" x14ac:dyDescent="0.2">
      <c r="A291" s="118"/>
      <c r="B291" s="118"/>
      <c r="C291" s="118"/>
      <c r="D291" s="118"/>
      <c r="E291" s="118"/>
      <c r="F291" s="118"/>
      <c r="G291" s="118"/>
      <c r="H291" s="118"/>
      <c r="I291" s="118"/>
      <c r="J291" s="118"/>
      <c r="K291" s="118"/>
      <c r="L291" s="118"/>
      <c r="M291" s="118"/>
      <c r="N291" s="118"/>
      <c r="O291" s="42"/>
      <c r="P291" s="42"/>
      <c r="Q291" s="42"/>
      <c r="R291" s="42"/>
      <c r="S291" s="121"/>
      <c r="T291" s="119"/>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spans="1:46" ht="14.25" customHeight="1" x14ac:dyDescent="0.2">
      <c r="A292" s="118"/>
      <c r="B292" s="118"/>
      <c r="C292" s="118"/>
      <c r="D292" s="118"/>
      <c r="E292" s="118"/>
      <c r="F292" s="118"/>
      <c r="G292" s="118"/>
      <c r="H292" s="118"/>
      <c r="I292" s="118"/>
      <c r="J292" s="118"/>
      <c r="K292" s="118"/>
      <c r="L292" s="118"/>
      <c r="M292" s="118"/>
      <c r="N292" s="118"/>
      <c r="O292" s="42"/>
      <c r="P292" s="42"/>
      <c r="Q292" s="42"/>
      <c r="R292" s="42"/>
      <c r="S292" s="121"/>
      <c r="T292" s="119"/>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spans="1:46" ht="14.25" customHeight="1" x14ac:dyDescent="0.2">
      <c r="A293" s="118"/>
      <c r="B293" s="118"/>
      <c r="C293" s="118"/>
      <c r="D293" s="118"/>
      <c r="E293" s="118"/>
      <c r="F293" s="118"/>
      <c r="G293" s="118"/>
      <c r="H293" s="118"/>
      <c r="I293" s="118"/>
      <c r="J293" s="118"/>
      <c r="K293" s="118"/>
      <c r="L293" s="118"/>
      <c r="M293" s="118"/>
      <c r="N293" s="118"/>
      <c r="O293" s="42"/>
      <c r="P293" s="42"/>
      <c r="Q293" s="42"/>
      <c r="R293" s="42"/>
      <c r="S293" s="121"/>
      <c r="T293" s="119"/>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spans="1:46" ht="14.25" customHeight="1" x14ac:dyDescent="0.2">
      <c r="A294" s="118"/>
      <c r="B294" s="118"/>
      <c r="C294" s="118"/>
      <c r="D294" s="118"/>
      <c r="E294" s="118"/>
      <c r="F294" s="118"/>
      <c r="G294" s="118"/>
      <c r="H294" s="118"/>
      <c r="I294" s="118"/>
      <c r="J294" s="118"/>
      <c r="K294" s="118"/>
      <c r="L294" s="118"/>
      <c r="M294" s="118"/>
      <c r="N294" s="118"/>
      <c r="O294" s="42"/>
      <c r="P294" s="42"/>
      <c r="Q294" s="42"/>
      <c r="R294" s="42"/>
      <c r="S294" s="121"/>
      <c r="T294" s="119"/>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spans="1:46" ht="14.25" customHeight="1" x14ac:dyDescent="0.2">
      <c r="A295" s="118"/>
      <c r="B295" s="118"/>
      <c r="C295" s="118"/>
      <c r="D295" s="118"/>
      <c r="E295" s="118"/>
      <c r="F295" s="118"/>
      <c r="G295" s="118"/>
      <c r="H295" s="118"/>
      <c r="I295" s="118"/>
      <c r="J295" s="118"/>
      <c r="K295" s="118"/>
      <c r="L295" s="118"/>
      <c r="M295" s="118"/>
      <c r="N295" s="118"/>
      <c r="O295" s="42"/>
      <c r="P295" s="42"/>
      <c r="Q295" s="42"/>
      <c r="R295" s="42"/>
      <c r="S295" s="121"/>
      <c r="T295" s="119"/>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spans="1:46" ht="14.25" customHeight="1" x14ac:dyDescent="0.2">
      <c r="A296" s="118"/>
      <c r="B296" s="118"/>
      <c r="C296" s="118"/>
      <c r="D296" s="118"/>
      <c r="E296" s="118"/>
      <c r="F296" s="118"/>
      <c r="G296" s="118"/>
      <c r="H296" s="118"/>
      <c r="I296" s="118"/>
      <c r="J296" s="118"/>
      <c r="K296" s="118"/>
      <c r="L296" s="118"/>
      <c r="M296" s="118"/>
      <c r="N296" s="118"/>
      <c r="O296" s="42"/>
      <c r="P296" s="42"/>
      <c r="Q296" s="42"/>
      <c r="R296" s="42"/>
      <c r="S296" s="121"/>
      <c r="T296" s="119"/>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spans="1:46" ht="14.25" customHeight="1" x14ac:dyDescent="0.2">
      <c r="A297" s="118"/>
      <c r="B297" s="118"/>
      <c r="C297" s="118"/>
      <c r="D297" s="118"/>
      <c r="E297" s="118"/>
      <c r="F297" s="118"/>
      <c r="G297" s="118"/>
      <c r="H297" s="118"/>
      <c r="I297" s="118"/>
      <c r="J297" s="118"/>
      <c r="K297" s="118"/>
      <c r="L297" s="118"/>
      <c r="M297" s="118"/>
      <c r="N297" s="118"/>
      <c r="O297" s="42"/>
      <c r="P297" s="42"/>
      <c r="Q297" s="42"/>
      <c r="R297" s="42"/>
      <c r="S297" s="121"/>
      <c r="T297" s="119"/>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spans="1:46" ht="14.25" customHeight="1" x14ac:dyDescent="0.2">
      <c r="A298" s="118"/>
      <c r="B298" s="118"/>
      <c r="C298" s="118"/>
      <c r="D298" s="118"/>
      <c r="E298" s="118"/>
      <c r="F298" s="118"/>
      <c r="G298" s="118"/>
      <c r="H298" s="118"/>
      <c r="I298" s="118"/>
      <c r="J298" s="118"/>
      <c r="K298" s="118"/>
      <c r="L298" s="118"/>
      <c r="M298" s="118"/>
      <c r="N298" s="118"/>
      <c r="O298" s="42"/>
      <c r="P298" s="42"/>
      <c r="Q298" s="42"/>
      <c r="R298" s="42"/>
      <c r="S298" s="121"/>
      <c r="T298" s="119"/>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spans="1:46" ht="14.25" customHeight="1" x14ac:dyDescent="0.2">
      <c r="A299" s="118"/>
      <c r="B299" s="118"/>
      <c r="C299" s="118"/>
      <c r="D299" s="118"/>
      <c r="E299" s="118"/>
      <c r="F299" s="118"/>
      <c r="G299" s="118"/>
      <c r="H299" s="118"/>
      <c r="I299" s="118"/>
      <c r="J299" s="118"/>
      <c r="K299" s="118"/>
      <c r="L299" s="118"/>
      <c r="M299" s="118"/>
      <c r="N299" s="118"/>
      <c r="O299" s="42"/>
      <c r="P299" s="42"/>
      <c r="Q299" s="42"/>
      <c r="R299" s="42"/>
      <c r="S299" s="121"/>
      <c r="T299" s="119"/>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spans="1:46" ht="14.25" customHeight="1" x14ac:dyDescent="0.2">
      <c r="A300" s="118"/>
      <c r="B300" s="118"/>
      <c r="C300" s="118"/>
      <c r="D300" s="118"/>
      <c r="E300" s="118"/>
      <c r="F300" s="118"/>
      <c r="G300" s="118"/>
      <c r="H300" s="118"/>
      <c r="I300" s="118"/>
      <c r="J300" s="118"/>
      <c r="K300" s="118"/>
      <c r="L300" s="118"/>
      <c r="M300" s="118"/>
      <c r="N300" s="118"/>
      <c r="O300" s="42"/>
      <c r="P300" s="42"/>
      <c r="Q300" s="42"/>
      <c r="R300" s="42"/>
      <c r="S300" s="121"/>
      <c r="T300" s="119"/>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spans="1:46" ht="14.25" customHeight="1" x14ac:dyDescent="0.2">
      <c r="A301" s="118"/>
      <c r="B301" s="118"/>
      <c r="C301" s="118"/>
      <c r="D301" s="118"/>
      <c r="E301" s="118"/>
      <c r="F301" s="118"/>
      <c r="G301" s="118"/>
      <c r="H301" s="118"/>
      <c r="I301" s="118"/>
      <c r="J301" s="118"/>
      <c r="K301" s="118"/>
      <c r="L301" s="118"/>
      <c r="M301" s="118"/>
      <c r="N301" s="118"/>
      <c r="O301" s="42"/>
      <c r="P301" s="42"/>
      <c r="Q301" s="42"/>
      <c r="R301" s="42"/>
      <c r="S301" s="121"/>
      <c r="T301" s="119"/>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spans="1:46" ht="14.25" customHeight="1" x14ac:dyDescent="0.2">
      <c r="A302" s="118"/>
      <c r="B302" s="118"/>
      <c r="C302" s="118"/>
      <c r="D302" s="118"/>
      <c r="E302" s="118"/>
      <c r="F302" s="118"/>
      <c r="G302" s="118"/>
      <c r="H302" s="118"/>
      <c r="I302" s="118"/>
      <c r="J302" s="118"/>
      <c r="K302" s="118"/>
      <c r="L302" s="118"/>
      <c r="M302" s="118"/>
      <c r="N302" s="118"/>
      <c r="O302" s="42"/>
      <c r="P302" s="42"/>
      <c r="Q302" s="42"/>
      <c r="R302" s="42"/>
      <c r="S302" s="121"/>
      <c r="T302" s="119"/>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row>
    <row r="303" spans="1:46" ht="14.25" customHeight="1" x14ac:dyDescent="0.2">
      <c r="A303" s="118"/>
      <c r="B303" s="118"/>
      <c r="C303" s="118"/>
      <c r="D303" s="118"/>
      <c r="E303" s="118"/>
      <c r="F303" s="118"/>
      <c r="G303" s="118"/>
      <c r="H303" s="118"/>
      <c r="I303" s="118"/>
      <c r="J303" s="118"/>
      <c r="K303" s="118"/>
      <c r="L303" s="118"/>
      <c r="M303" s="118"/>
      <c r="N303" s="118"/>
      <c r="O303" s="42"/>
      <c r="P303" s="42"/>
      <c r="Q303" s="42"/>
      <c r="R303" s="42"/>
      <c r="S303" s="121"/>
      <c r="T303" s="119"/>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row>
    <row r="304" spans="1:46" ht="14.25" customHeight="1" x14ac:dyDescent="0.2">
      <c r="A304" s="118"/>
      <c r="B304" s="118"/>
      <c r="C304" s="118"/>
      <c r="D304" s="118"/>
      <c r="E304" s="118"/>
      <c r="F304" s="118"/>
      <c r="G304" s="118"/>
      <c r="H304" s="118"/>
      <c r="I304" s="118"/>
      <c r="J304" s="118"/>
      <c r="K304" s="118"/>
      <c r="L304" s="118"/>
      <c r="M304" s="118"/>
      <c r="N304" s="118"/>
      <c r="O304" s="42"/>
      <c r="P304" s="42"/>
      <c r="Q304" s="42"/>
      <c r="R304" s="42"/>
      <c r="S304" s="121"/>
      <c r="T304" s="119"/>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row>
    <row r="305" spans="1:46" ht="14.25" customHeight="1" x14ac:dyDescent="0.2">
      <c r="A305" s="118"/>
      <c r="B305" s="118"/>
      <c r="C305" s="118"/>
      <c r="D305" s="118"/>
      <c r="E305" s="118"/>
      <c r="F305" s="118"/>
      <c r="G305" s="118"/>
      <c r="H305" s="118"/>
      <c r="I305" s="118"/>
      <c r="J305" s="118"/>
      <c r="K305" s="118"/>
      <c r="L305" s="118"/>
      <c r="M305" s="118"/>
      <c r="N305" s="118"/>
      <c r="O305" s="42"/>
      <c r="P305" s="42"/>
      <c r="Q305" s="42"/>
      <c r="R305" s="42"/>
      <c r="S305" s="121"/>
      <c r="T305" s="119"/>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row>
    <row r="306" spans="1:46" ht="14.25" customHeight="1" x14ac:dyDescent="0.2">
      <c r="A306" s="118"/>
      <c r="B306" s="118"/>
      <c r="C306" s="118"/>
      <c r="D306" s="118"/>
      <c r="E306" s="118"/>
      <c r="F306" s="118"/>
      <c r="G306" s="118"/>
      <c r="H306" s="118"/>
      <c r="I306" s="118"/>
      <c r="J306" s="118"/>
      <c r="K306" s="118"/>
      <c r="L306" s="118"/>
      <c r="M306" s="118"/>
      <c r="N306" s="118"/>
      <c r="O306" s="42"/>
      <c r="P306" s="42"/>
      <c r="Q306" s="42"/>
      <c r="R306" s="42"/>
      <c r="S306" s="121"/>
      <c r="T306" s="119"/>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row>
    <row r="307" spans="1:46" ht="14.25" customHeight="1" x14ac:dyDescent="0.2">
      <c r="A307" s="118"/>
      <c r="B307" s="118"/>
      <c r="C307" s="118"/>
      <c r="D307" s="118"/>
      <c r="E307" s="118"/>
      <c r="F307" s="118"/>
      <c r="G307" s="118"/>
      <c r="H307" s="118"/>
      <c r="I307" s="118"/>
      <c r="J307" s="118"/>
      <c r="K307" s="118"/>
      <c r="L307" s="118"/>
      <c r="M307" s="118"/>
      <c r="N307" s="118"/>
      <c r="O307" s="42"/>
      <c r="P307" s="42"/>
      <c r="Q307" s="42"/>
      <c r="R307" s="42"/>
      <c r="S307" s="121"/>
      <c r="T307" s="119"/>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spans="1:46" ht="14.25" customHeight="1" x14ac:dyDescent="0.2">
      <c r="A308" s="118"/>
      <c r="B308" s="118"/>
      <c r="C308" s="118"/>
      <c r="D308" s="118"/>
      <c r="E308" s="118"/>
      <c r="F308" s="118"/>
      <c r="G308" s="118"/>
      <c r="H308" s="118"/>
      <c r="I308" s="118"/>
      <c r="J308" s="118"/>
      <c r="K308" s="118"/>
      <c r="L308" s="118"/>
      <c r="M308" s="118"/>
      <c r="N308" s="118"/>
      <c r="O308" s="42"/>
      <c r="P308" s="42"/>
      <c r="Q308" s="42"/>
      <c r="R308" s="42"/>
      <c r="S308" s="121"/>
      <c r="T308" s="119"/>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spans="1:46" ht="14.25" customHeight="1" x14ac:dyDescent="0.2">
      <c r="A309" s="118"/>
      <c r="B309" s="118"/>
      <c r="C309" s="118"/>
      <c r="D309" s="118"/>
      <c r="E309" s="118"/>
      <c r="F309" s="118"/>
      <c r="G309" s="118"/>
      <c r="H309" s="118"/>
      <c r="I309" s="118"/>
      <c r="J309" s="118"/>
      <c r="K309" s="118"/>
      <c r="L309" s="118"/>
      <c r="M309" s="118"/>
      <c r="N309" s="118"/>
      <c r="O309" s="42"/>
      <c r="P309" s="42"/>
      <c r="Q309" s="42"/>
      <c r="R309" s="42"/>
      <c r="S309" s="121"/>
      <c r="T309" s="119"/>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spans="1:46" ht="14.25" customHeight="1" x14ac:dyDescent="0.2">
      <c r="A310" s="118"/>
      <c r="B310" s="118"/>
      <c r="C310" s="118"/>
      <c r="D310" s="118"/>
      <c r="E310" s="118"/>
      <c r="F310" s="118"/>
      <c r="G310" s="118"/>
      <c r="H310" s="118"/>
      <c r="I310" s="118"/>
      <c r="J310" s="118"/>
      <c r="K310" s="118"/>
      <c r="L310" s="118"/>
      <c r="M310" s="118"/>
      <c r="N310" s="118"/>
      <c r="O310" s="42"/>
      <c r="P310" s="42"/>
      <c r="Q310" s="42"/>
      <c r="R310" s="42"/>
      <c r="S310" s="121"/>
      <c r="T310" s="119"/>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spans="1:46" ht="14.25" customHeight="1" x14ac:dyDescent="0.2">
      <c r="A311" s="118"/>
      <c r="B311" s="118"/>
      <c r="C311" s="118"/>
      <c r="D311" s="118"/>
      <c r="E311" s="118"/>
      <c r="F311" s="118"/>
      <c r="G311" s="118"/>
      <c r="H311" s="118"/>
      <c r="I311" s="118"/>
      <c r="J311" s="118"/>
      <c r="K311" s="118"/>
      <c r="L311" s="118"/>
      <c r="M311" s="118"/>
      <c r="N311" s="118"/>
      <c r="O311" s="42"/>
      <c r="P311" s="42"/>
      <c r="Q311" s="42"/>
      <c r="R311" s="42"/>
      <c r="S311" s="121"/>
      <c r="T311" s="119"/>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spans="1:46" ht="14.25" customHeight="1" x14ac:dyDescent="0.2">
      <c r="A312" s="118"/>
      <c r="B312" s="118"/>
      <c r="C312" s="118"/>
      <c r="D312" s="118"/>
      <c r="E312" s="118"/>
      <c r="F312" s="118"/>
      <c r="G312" s="118"/>
      <c r="H312" s="118"/>
      <c r="I312" s="118"/>
      <c r="J312" s="118"/>
      <c r="K312" s="118"/>
      <c r="L312" s="118"/>
      <c r="M312" s="118"/>
      <c r="N312" s="118"/>
      <c r="O312" s="42"/>
      <c r="P312" s="42"/>
      <c r="Q312" s="42"/>
      <c r="R312" s="42"/>
      <c r="S312" s="121"/>
      <c r="T312" s="119"/>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spans="1:46" ht="14.25" customHeight="1" x14ac:dyDescent="0.2">
      <c r="A313" s="118"/>
      <c r="B313" s="118"/>
      <c r="C313" s="118"/>
      <c r="D313" s="118"/>
      <c r="E313" s="118"/>
      <c r="F313" s="118"/>
      <c r="G313" s="118"/>
      <c r="H313" s="118"/>
      <c r="I313" s="118"/>
      <c r="J313" s="118"/>
      <c r="K313" s="118"/>
      <c r="L313" s="118"/>
      <c r="M313" s="118"/>
      <c r="N313" s="118"/>
      <c r="O313" s="42"/>
      <c r="P313" s="42"/>
      <c r="Q313" s="42"/>
      <c r="R313" s="42"/>
      <c r="S313" s="121"/>
      <c r="T313" s="119"/>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spans="1:46" ht="14.25" customHeight="1" x14ac:dyDescent="0.2">
      <c r="A314" s="118"/>
      <c r="B314" s="118"/>
      <c r="C314" s="118"/>
      <c r="D314" s="118"/>
      <c r="E314" s="118"/>
      <c r="F314" s="118"/>
      <c r="G314" s="118"/>
      <c r="H314" s="118"/>
      <c r="I314" s="118"/>
      <c r="J314" s="118"/>
      <c r="K314" s="118"/>
      <c r="L314" s="118"/>
      <c r="M314" s="118"/>
      <c r="N314" s="118"/>
      <c r="O314" s="42"/>
      <c r="P314" s="42"/>
      <c r="Q314" s="42"/>
      <c r="R314" s="42"/>
      <c r="S314" s="121"/>
      <c r="T314" s="119"/>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spans="1:46" ht="14.25" customHeight="1" x14ac:dyDescent="0.2">
      <c r="A315" s="118"/>
      <c r="B315" s="118"/>
      <c r="C315" s="118"/>
      <c r="D315" s="118"/>
      <c r="E315" s="118"/>
      <c r="F315" s="118"/>
      <c r="G315" s="118"/>
      <c r="H315" s="118"/>
      <c r="I315" s="118"/>
      <c r="J315" s="118"/>
      <c r="K315" s="118"/>
      <c r="L315" s="118"/>
      <c r="M315" s="118"/>
      <c r="N315" s="118"/>
      <c r="O315" s="42"/>
      <c r="P315" s="42"/>
      <c r="Q315" s="42"/>
      <c r="R315" s="42"/>
      <c r="S315" s="121"/>
      <c r="T315" s="119"/>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spans="1:46" ht="14.25" customHeight="1" x14ac:dyDescent="0.2">
      <c r="A316" s="118"/>
      <c r="B316" s="118"/>
      <c r="C316" s="118"/>
      <c r="D316" s="118"/>
      <c r="E316" s="118"/>
      <c r="F316" s="118"/>
      <c r="G316" s="118"/>
      <c r="H316" s="118"/>
      <c r="I316" s="118"/>
      <c r="J316" s="118"/>
      <c r="K316" s="118"/>
      <c r="L316" s="118"/>
      <c r="M316" s="118"/>
      <c r="N316" s="118"/>
      <c r="O316" s="42"/>
      <c r="P316" s="42"/>
      <c r="Q316" s="42"/>
      <c r="R316" s="42"/>
      <c r="S316" s="121"/>
      <c r="T316" s="119"/>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spans="1:46" ht="14.25" customHeight="1" x14ac:dyDescent="0.2">
      <c r="A317" s="118"/>
      <c r="B317" s="118"/>
      <c r="C317" s="118"/>
      <c r="D317" s="118"/>
      <c r="E317" s="118"/>
      <c r="F317" s="118"/>
      <c r="G317" s="118"/>
      <c r="H317" s="118"/>
      <c r="I317" s="118"/>
      <c r="J317" s="118"/>
      <c r="K317" s="118"/>
      <c r="L317" s="118"/>
      <c r="M317" s="118"/>
      <c r="N317" s="118"/>
      <c r="O317" s="42"/>
      <c r="P317" s="42"/>
      <c r="Q317" s="42"/>
      <c r="R317" s="42"/>
      <c r="S317" s="121"/>
      <c r="T317" s="119"/>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spans="1:46" ht="14.25" customHeight="1" x14ac:dyDescent="0.2">
      <c r="A318" s="118"/>
      <c r="B318" s="118"/>
      <c r="C318" s="118"/>
      <c r="D318" s="118"/>
      <c r="E318" s="118"/>
      <c r="F318" s="118"/>
      <c r="G318" s="118"/>
      <c r="H318" s="118"/>
      <c r="I318" s="118"/>
      <c r="J318" s="118"/>
      <c r="K318" s="118"/>
      <c r="L318" s="118"/>
      <c r="M318" s="118"/>
      <c r="N318" s="118"/>
      <c r="O318" s="42"/>
      <c r="P318" s="42"/>
      <c r="Q318" s="42"/>
      <c r="R318" s="42"/>
      <c r="S318" s="121"/>
      <c r="T318" s="119"/>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spans="1:46" ht="14.25" customHeight="1" x14ac:dyDescent="0.2">
      <c r="A319" s="118"/>
      <c r="B319" s="118"/>
      <c r="C319" s="118"/>
      <c r="D319" s="118"/>
      <c r="E319" s="118"/>
      <c r="F319" s="118"/>
      <c r="G319" s="118"/>
      <c r="H319" s="118"/>
      <c r="I319" s="118"/>
      <c r="J319" s="118"/>
      <c r="K319" s="118"/>
      <c r="L319" s="118"/>
      <c r="M319" s="118"/>
      <c r="N319" s="118"/>
      <c r="O319" s="42"/>
      <c r="P319" s="42"/>
      <c r="Q319" s="42"/>
      <c r="R319" s="42"/>
      <c r="S319" s="121"/>
      <c r="T319" s="119"/>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spans="1:46" ht="14.25" customHeight="1" x14ac:dyDescent="0.2">
      <c r="A320" s="118"/>
      <c r="B320" s="118"/>
      <c r="C320" s="118"/>
      <c r="D320" s="118"/>
      <c r="E320" s="118"/>
      <c r="F320" s="118"/>
      <c r="G320" s="118"/>
      <c r="H320" s="118"/>
      <c r="I320" s="118"/>
      <c r="J320" s="118"/>
      <c r="K320" s="118"/>
      <c r="L320" s="118"/>
      <c r="M320" s="118"/>
      <c r="N320" s="118"/>
      <c r="O320" s="42"/>
      <c r="P320" s="42"/>
      <c r="Q320" s="42"/>
      <c r="R320" s="42"/>
      <c r="S320" s="121"/>
      <c r="T320" s="119"/>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spans="1:46" ht="14.25" customHeight="1" x14ac:dyDescent="0.2">
      <c r="A321" s="118"/>
      <c r="B321" s="118"/>
      <c r="C321" s="118"/>
      <c r="D321" s="118"/>
      <c r="E321" s="118"/>
      <c r="F321" s="118"/>
      <c r="G321" s="118"/>
      <c r="H321" s="118"/>
      <c r="I321" s="118"/>
      <c r="J321" s="118"/>
      <c r="K321" s="118"/>
      <c r="L321" s="118"/>
      <c r="M321" s="118"/>
      <c r="N321" s="118"/>
      <c r="O321" s="42"/>
      <c r="P321" s="42"/>
      <c r="Q321" s="42"/>
      <c r="R321" s="42"/>
      <c r="S321" s="121"/>
      <c r="T321" s="119"/>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spans="1:46" ht="14.25" customHeight="1" x14ac:dyDescent="0.2">
      <c r="A322" s="118"/>
      <c r="B322" s="118"/>
      <c r="C322" s="118"/>
      <c r="D322" s="118"/>
      <c r="E322" s="118"/>
      <c r="F322" s="118"/>
      <c r="G322" s="118"/>
      <c r="H322" s="118"/>
      <c r="I322" s="118"/>
      <c r="J322" s="118"/>
      <c r="K322" s="118"/>
      <c r="L322" s="118"/>
      <c r="M322" s="118"/>
      <c r="N322" s="118"/>
      <c r="O322" s="42"/>
      <c r="P322" s="42"/>
      <c r="Q322" s="42"/>
      <c r="R322" s="42"/>
      <c r="S322" s="121"/>
      <c r="T322" s="119"/>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spans="1:46" ht="14.25" customHeight="1" x14ac:dyDescent="0.2">
      <c r="A323" s="118"/>
      <c r="B323" s="118"/>
      <c r="C323" s="118"/>
      <c r="D323" s="118"/>
      <c r="E323" s="118"/>
      <c r="F323" s="118"/>
      <c r="G323" s="118"/>
      <c r="H323" s="118"/>
      <c r="I323" s="118"/>
      <c r="J323" s="118"/>
      <c r="K323" s="118"/>
      <c r="L323" s="118"/>
      <c r="M323" s="118"/>
      <c r="N323" s="118"/>
      <c r="O323" s="42"/>
      <c r="P323" s="42"/>
      <c r="Q323" s="42"/>
      <c r="R323" s="42"/>
      <c r="S323" s="121"/>
      <c r="T323" s="119"/>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spans="1:46" ht="14.25" customHeight="1" x14ac:dyDescent="0.2">
      <c r="A324" s="118"/>
      <c r="B324" s="118"/>
      <c r="C324" s="118"/>
      <c r="D324" s="118"/>
      <c r="E324" s="118"/>
      <c r="F324" s="118"/>
      <c r="G324" s="118"/>
      <c r="H324" s="118"/>
      <c r="I324" s="118"/>
      <c r="J324" s="118"/>
      <c r="K324" s="118"/>
      <c r="L324" s="118"/>
      <c r="M324" s="118"/>
      <c r="N324" s="118"/>
      <c r="O324" s="42"/>
      <c r="P324" s="42"/>
      <c r="Q324" s="42"/>
      <c r="R324" s="42"/>
      <c r="S324" s="121"/>
      <c r="T324" s="119"/>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spans="1:46" ht="14.25" customHeight="1" x14ac:dyDescent="0.2">
      <c r="A325" s="118"/>
      <c r="B325" s="118"/>
      <c r="C325" s="118"/>
      <c r="D325" s="118"/>
      <c r="E325" s="118"/>
      <c r="F325" s="118"/>
      <c r="G325" s="118"/>
      <c r="H325" s="118"/>
      <c r="I325" s="118"/>
      <c r="J325" s="118"/>
      <c r="K325" s="118"/>
      <c r="L325" s="118"/>
      <c r="M325" s="118"/>
      <c r="N325" s="118"/>
      <c r="O325" s="42"/>
      <c r="P325" s="42"/>
      <c r="Q325" s="42"/>
      <c r="R325" s="42"/>
      <c r="S325" s="121"/>
      <c r="T325" s="119"/>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spans="1:46" ht="14.25" customHeight="1" x14ac:dyDescent="0.2">
      <c r="A326" s="118"/>
      <c r="B326" s="118"/>
      <c r="C326" s="118"/>
      <c r="D326" s="118"/>
      <c r="E326" s="118"/>
      <c r="F326" s="118"/>
      <c r="G326" s="118"/>
      <c r="H326" s="118"/>
      <c r="I326" s="118"/>
      <c r="J326" s="118"/>
      <c r="K326" s="118"/>
      <c r="L326" s="118"/>
      <c r="M326" s="118"/>
      <c r="N326" s="118"/>
      <c r="O326" s="42"/>
      <c r="P326" s="42"/>
      <c r="Q326" s="42"/>
      <c r="R326" s="42"/>
      <c r="S326" s="121"/>
      <c r="T326" s="119"/>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spans="1:46" ht="14.25" customHeight="1" x14ac:dyDescent="0.2">
      <c r="A327" s="118"/>
      <c r="B327" s="118"/>
      <c r="C327" s="118"/>
      <c r="D327" s="118"/>
      <c r="E327" s="118"/>
      <c r="F327" s="118"/>
      <c r="G327" s="118"/>
      <c r="H327" s="118"/>
      <c r="I327" s="118"/>
      <c r="J327" s="118"/>
      <c r="K327" s="118"/>
      <c r="L327" s="118"/>
      <c r="M327" s="118"/>
      <c r="N327" s="118"/>
      <c r="O327" s="42"/>
      <c r="P327" s="42"/>
      <c r="Q327" s="42"/>
      <c r="R327" s="42"/>
      <c r="S327" s="121"/>
      <c r="T327" s="119"/>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spans="1:46" ht="14.25" customHeight="1" x14ac:dyDescent="0.2">
      <c r="A328" s="118"/>
      <c r="B328" s="118"/>
      <c r="C328" s="118"/>
      <c r="D328" s="118"/>
      <c r="E328" s="118"/>
      <c r="F328" s="118"/>
      <c r="G328" s="118"/>
      <c r="H328" s="118"/>
      <c r="I328" s="118"/>
      <c r="J328" s="118"/>
      <c r="K328" s="118"/>
      <c r="L328" s="118"/>
      <c r="M328" s="118"/>
      <c r="N328" s="118"/>
      <c r="O328" s="42"/>
      <c r="P328" s="42"/>
      <c r="Q328" s="42"/>
      <c r="R328" s="42"/>
      <c r="S328" s="121"/>
      <c r="T328" s="119"/>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spans="1:46" ht="14.25" customHeight="1" x14ac:dyDescent="0.2">
      <c r="A329" s="118"/>
      <c r="B329" s="118"/>
      <c r="C329" s="118"/>
      <c r="D329" s="118"/>
      <c r="E329" s="118"/>
      <c r="F329" s="118"/>
      <c r="G329" s="118"/>
      <c r="H329" s="118"/>
      <c r="I329" s="118"/>
      <c r="J329" s="118"/>
      <c r="K329" s="118"/>
      <c r="L329" s="118"/>
      <c r="M329" s="118"/>
      <c r="N329" s="118"/>
      <c r="O329" s="42"/>
      <c r="P329" s="42"/>
      <c r="Q329" s="42"/>
      <c r="R329" s="42"/>
      <c r="S329" s="121"/>
      <c r="T329" s="119"/>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spans="1:46" ht="14.25" customHeight="1" x14ac:dyDescent="0.2">
      <c r="A330" s="118"/>
      <c r="B330" s="118"/>
      <c r="C330" s="118"/>
      <c r="D330" s="118"/>
      <c r="E330" s="118"/>
      <c r="F330" s="118"/>
      <c r="G330" s="118"/>
      <c r="H330" s="118"/>
      <c r="I330" s="118"/>
      <c r="J330" s="118"/>
      <c r="K330" s="118"/>
      <c r="L330" s="118"/>
      <c r="M330" s="118"/>
      <c r="N330" s="118"/>
      <c r="O330" s="42"/>
      <c r="P330" s="42"/>
      <c r="Q330" s="42"/>
      <c r="R330" s="42"/>
      <c r="S330" s="121"/>
      <c r="T330" s="119"/>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spans="1:46" ht="14.25" customHeight="1" x14ac:dyDescent="0.2">
      <c r="A331" s="118"/>
      <c r="B331" s="118"/>
      <c r="C331" s="118"/>
      <c r="D331" s="118"/>
      <c r="E331" s="118"/>
      <c r="F331" s="118"/>
      <c r="G331" s="118"/>
      <c r="H331" s="118"/>
      <c r="I331" s="118"/>
      <c r="J331" s="118"/>
      <c r="K331" s="118"/>
      <c r="L331" s="118"/>
      <c r="M331" s="118"/>
      <c r="N331" s="118"/>
      <c r="O331" s="42"/>
      <c r="P331" s="42"/>
      <c r="Q331" s="42"/>
      <c r="R331" s="42"/>
      <c r="S331" s="121"/>
      <c r="T331" s="119"/>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spans="1:46" ht="14.25" customHeight="1" x14ac:dyDescent="0.2">
      <c r="A332" s="118"/>
      <c r="B332" s="118"/>
      <c r="C332" s="118"/>
      <c r="D332" s="118"/>
      <c r="E332" s="118"/>
      <c r="F332" s="118"/>
      <c r="G332" s="118"/>
      <c r="H332" s="118"/>
      <c r="I332" s="118"/>
      <c r="J332" s="118"/>
      <c r="K332" s="118"/>
      <c r="L332" s="118"/>
      <c r="M332" s="118"/>
      <c r="N332" s="118"/>
      <c r="O332" s="42"/>
      <c r="P332" s="42"/>
      <c r="Q332" s="42"/>
      <c r="R332" s="42"/>
      <c r="S332" s="121"/>
      <c r="T332" s="119"/>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spans="1:46" ht="14.25" customHeight="1" x14ac:dyDescent="0.2">
      <c r="A333" s="118"/>
      <c r="B333" s="118"/>
      <c r="C333" s="118"/>
      <c r="D333" s="118"/>
      <c r="E333" s="118"/>
      <c r="F333" s="118"/>
      <c r="G333" s="118"/>
      <c r="H333" s="118"/>
      <c r="I333" s="118"/>
      <c r="J333" s="118"/>
      <c r="K333" s="118"/>
      <c r="L333" s="118"/>
      <c r="M333" s="118"/>
      <c r="N333" s="118"/>
      <c r="O333" s="42"/>
      <c r="P333" s="42"/>
      <c r="Q333" s="42"/>
      <c r="R333" s="42"/>
      <c r="S333" s="121"/>
      <c r="T333" s="119"/>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spans="1:46" ht="14.25" customHeight="1" x14ac:dyDescent="0.2">
      <c r="A334" s="118"/>
      <c r="B334" s="118"/>
      <c r="C334" s="118"/>
      <c r="D334" s="118"/>
      <c r="E334" s="118"/>
      <c r="F334" s="118"/>
      <c r="G334" s="118"/>
      <c r="H334" s="118"/>
      <c r="I334" s="118"/>
      <c r="J334" s="118"/>
      <c r="K334" s="118"/>
      <c r="L334" s="118"/>
      <c r="M334" s="118"/>
      <c r="N334" s="118"/>
      <c r="O334" s="42"/>
      <c r="P334" s="42"/>
      <c r="Q334" s="42"/>
      <c r="R334" s="42"/>
      <c r="S334" s="121"/>
      <c r="T334" s="119"/>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spans="1:46" ht="14.25" customHeight="1" x14ac:dyDescent="0.2">
      <c r="A335" s="118"/>
      <c r="B335" s="118"/>
      <c r="C335" s="118"/>
      <c r="D335" s="118"/>
      <c r="E335" s="118"/>
      <c r="F335" s="118"/>
      <c r="G335" s="118"/>
      <c r="H335" s="118"/>
      <c r="I335" s="118"/>
      <c r="J335" s="118"/>
      <c r="K335" s="118"/>
      <c r="L335" s="118"/>
      <c r="M335" s="118"/>
      <c r="N335" s="118"/>
      <c r="O335" s="42"/>
      <c r="P335" s="42"/>
      <c r="Q335" s="42"/>
      <c r="R335" s="42"/>
      <c r="S335" s="121"/>
      <c r="T335" s="119"/>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spans="1:46" ht="14.25" customHeight="1" x14ac:dyDescent="0.2">
      <c r="A336" s="118"/>
      <c r="B336" s="118"/>
      <c r="C336" s="118"/>
      <c r="D336" s="118"/>
      <c r="E336" s="118"/>
      <c r="F336" s="118"/>
      <c r="G336" s="118"/>
      <c r="H336" s="118"/>
      <c r="I336" s="118"/>
      <c r="J336" s="118"/>
      <c r="K336" s="118"/>
      <c r="L336" s="118"/>
      <c r="M336" s="118"/>
      <c r="N336" s="118"/>
      <c r="O336" s="42"/>
      <c r="P336" s="42"/>
      <c r="Q336" s="42"/>
      <c r="R336" s="42"/>
      <c r="S336" s="121"/>
      <c r="T336" s="119"/>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spans="1:46" ht="14.25" customHeight="1" x14ac:dyDescent="0.2">
      <c r="A337" s="118"/>
      <c r="B337" s="118"/>
      <c r="C337" s="118"/>
      <c r="D337" s="118"/>
      <c r="E337" s="118"/>
      <c r="F337" s="118"/>
      <c r="G337" s="118"/>
      <c r="H337" s="118"/>
      <c r="I337" s="118"/>
      <c r="J337" s="118"/>
      <c r="K337" s="118"/>
      <c r="L337" s="118"/>
      <c r="M337" s="118"/>
      <c r="N337" s="118"/>
      <c r="O337" s="42"/>
      <c r="P337" s="42"/>
      <c r="Q337" s="42"/>
      <c r="R337" s="42"/>
      <c r="S337" s="121"/>
      <c r="T337" s="119"/>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spans="1:46" ht="14.25" customHeight="1" x14ac:dyDescent="0.2">
      <c r="A338" s="118"/>
      <c r="B338" s="118"/>
      <c r="C338" s="118"/>
      <c r="D338" s="118"/>
      <c r="E338" s="118"/>
      <c r="F338" s="118"/>
      <c r="G338" s="118"/>
      <c r="H338" s="118"/>
      <c r="I338" s="118"/>
      <c r="J338" s="118"/>
      <c r="K338" s="118"/>
      <c r="L338" s="118"/>
      <c r="M338" s="118"/>
      <c r="N338" s="118"/>
      <c r="O338" s="42"/>
      <c r="P338" s="42"/>
      <c r="Q338" s="42"/>
      <c r="R338" s="42"/>
      <c r="S338" s="121"/>
      <c r="T338" s="119"/>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spans="1:46" ht="14.25" customHeight="1" x14ac:dyDescent="0.2">
      <c r="A339" s="118"/>
      <c r="B339" s="118"/>
      <c r="C339" s="118"/>
      <c r="D339" s="118"/>
      <c r="E339" s="118"/>
      <c r="F339" s="118"/>
      <c r="G339" s="118"/>
      <c r="H339" s="118"/>
      <c r="I339" s="118"/>
      <c r="J339" s="118"/>
      <c r="K339" s="118"/>
      <c r="L339" s="118"/>
      <c r="M339" s="118"/>
      <c r="N339" s="118"/>
      <c r="O339" s="42"/>
      <c r="P339" s="42"/>
      <c r="Q339" s="42"/>
      <c r="R339" s="42"/>
      <c r="S339" s="121"/>
      <c r="T339" s="119"/>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spans="1:46" ht="14.25" customHeight="1" x14ac:dyDescent="0.2">
      <c r="A340" s="118"/>
      <c r="B340" s="118"/>
      <c r="C340" s="118"/>
      <c r="D340" s="118"/>
      <c r="E340" s="118"/>
      <c r="F340" s="118"/>
      <c r="G340" s="118"/>
      <c r="H340" s="118"/>
      <c r="I340" s="118"/>
      <c r="J340" s="118"/>
      <c r="K340" s="118"/>
      <c r="L340" s="118"/>
      <c r="M340" s="118"/>
      <c r="N340" s="118"/>
      <c r="O340" s="42"/>
      <c r="P340" s="42"/>
      <c r="Q340" s="42"/>
      <c r="R340" s="42"/>
      <c r="S340" s="121"/>
      <c r="T340" s="119"/>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spans="1:46" ht="14.25" customHeight="1" x14ac:dyDescent="0.2">
      <c r="A341" s="118"/>
      <c r="B341" s="118"/>
      <c r="C341" s="118"/>
      <c r="D341" s="118"/>
      <c r="E341" s="118"/>
      <c r="F341" s="118"/>
      <c r="G341" s="118"/>
      <c r="H341" s="118"/>
      <c r="I341" s="118"/>
      <c r="J341" s="118"/>
      <c r="K341" s="118"/>
      <c r="L341" s="118"/>
      <c r="M341" s="118"/>
      <c r="N341" s="118"/>
      <c r="O341" s="42"/>
      <c r="P341" s="42"/>
      <c r="Q341" s="42"/>
      <c r="R341" s="42"/>
      <c r="S341" s="121"/>
      <c r="T341" s="119"/>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spans="1:46" ht="14.25" customHeight="1" x14ac:dyDescent="0.2">
      <c r="A342" s="118"/>
      <c r="B342" s="118"/>
      <c r="C342" s="118"/>
      <c r="D342" s="118"/>
      <c r="E342" s="118"/>
      <c r="F342" s="118"/>
      <c r="G342" s="118"/>
      <c r="H342" s="118"/>
      <c r="I342" s="118"/>
      <c r="J342" s="118"/>
      <c r="K342" s="118"/>
      <c r="L342" s="118"/>
      <c r="M342" s="118"/>
      <c r="N342" s="118"/>
      <c r="O342" s="42"/>
      <c r="P342" s="42"/>
      <c r="Q342" s="42"/>
      <c r="R342" s="42"/>
      <c r="S342" s="121"/>
      <c r="T342" s="119"/>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spans="1:46" ht="14.25" customHeight="1" x14ac:dyDescent="0.2">
      <c r="A343" s="118"/>
      <c r="B343" s="118"/>
      <c r="C343" s="118"/>
      <c r="D343" s="118"/>
      <c r="E343" s="118"/>
      <c r="F343" s="118"/>
      <c r="G343" s="118"/>
      <c r="H343" s="118"/>
      <c r="I343" s="118"/>
      <c r="J343" s="118"/>
      <c r="K343" s="118"/>
      <c r="L343" s="118"/>
      <c r="M343" s="118"/>
      <c r="N343" s="118"/>
      <c r="O343" s="42"/>
      <c r="P343" s="42"/>
      <c r="Q343" s="42"/>
      <c r="R343" s="42"/>
      <c r="S343" s="121"/>
      <c r="T343" s="119"/>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spans="1:46" ht="14.25" customHeight="1" x14ac:dyDescent="0.2">
      <c r="A344" s="118"/>
      <c r="B344" s="118"/>
      <c r="C344" s="118"/>
      <c r="D344" s="118"/>
      <c r="E344" s="118"/>
      <c r="F344" s="118"/>
      <c r="G344" s="118"/>
      <c r="H344" s="118"/>
      <c r="I344" s="118"/>
      <c r="J344" s="118"/>
      <c r="K344" s="118"/>
      <c r="L344" s="118"/>
      <c r="M344" s="118"/>
      <c r="N344" s="118"/>
      <c r="O344" s="42"/>
      <c r="P344" s="42"/>
      <c r="Q344" s="42"/>
      <c r="R344" s="42"/>
      <c r="S344" s="121"/>
      <c r="T344" s="119"/>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spans="1:46" ht="14.25" customHeight="1" x14ac:dyDescent="0.2">
      <c r="A345" s="118"/>
      <c r="B345" s="118"/>
      <c r="C345" s="118"/>
      <c r="D345" s="118"/>
      <c r="E345" s="118"/>
      <c r="F345" s="118"/>
      <c r="G345" s="118"/>
      <c r="H345" s="118"/>
      <c r="I345" s="118"/>
      <c r="J345" s="118"/>
      <c r="K345" s="118"/>
      <c r="L345" s="118"/>
      <c r="M345" s="118"/>
      <c r="N345" s="118"/>
      <c r="O345" s="42"/>
      <c r="P345" s="42"/>
      <c r="Q345" s="42"/>
      <c r="R345" s="42"/>
      <c r="S345" s="121"/>
      <c r="T345" s="119"/>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spans="1:46" ht="14.25" customHeight="1" x14ac:dyDescent="0.2">
      <c r="A346" s="118"/>
      <c r="B346" s="118"/>
      <c r="C346" s="118"/>
      <c r="D346" s="118"/>
      <c r="E346" s="118"/>
      <c r="F346" s="118"/>
      <c r="G346" s="118"/>
      <c r="H346" s="118"/>
      <c r="I346" s="118"/>
      <c r="J346" s="118"/>
      <c r="K346" s="118"/>
      <c r="L346" s="118"/>
      <c r="M346" s="118"/>
      <c r="N346" s="118"/>
      <c r="O346" s="42"/>
      <c r="P346" s="42"/>
      <c r="Q346" s="42"/>
      <c r="R346" s="42"/>
      <c r="S346" s="121"/>
      <c r="T346" s="119"/>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spans="1:46" ht="14.25" customHeight="1" x14ac:dyDescent="0.2">
      <c r="A347" s="118"/>
      <c r="B347" s="118"/>
      <c r="C347" s="118"/>
      <c r="D347" s="118"/>
      <c r="E347" s="118"/>
      <c r="F347" s="118"/>
      <c r="G347" s="118"/>
      <c r="H347" s="118"/>
      <c r="I347" s="118"/>
      <c r="J347" s="118"/>
      <c r="K347" s="118"/>
      <c r="L347" s="118"/>
      <c r="M347" s="118"/>
      <c r="N347" s="118"/>
      <c r="O347" s="42"/>
      <c r="P347" s="42"/>
      <c r="Q347" s="42"/>
      <c r="R347" s="42"/>
      <c r="S347" s="121"/>
      <c r="T347" s="119"/>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spans="1:46" ht="14.25" customHeight="1" x14ac:dyDescent="0.2">
      <c r="A348" s="118"/>
      <c r="B348" s="118"/>
      <c r="C348" s="118"/>
      <c r="D348" s="118"/>
      <c r="E348" s="118"/>
      <c r="F348" s="118"/>
      <c r="G348" s="118"/>
      <c r="H348" s="118"/>
      <c r="I348" s="118"/>
      <c r="J348" s="118"/>
      <c r="K348" s="118"/>
      <c r="L348" s="118"/>
      <c r="M348" s="118"/>
      <c r="N348" s="118"/>
      <c r="O348" s="42"/>
      <c r="P348" s="42"/>
      <c r="Q348" s="42"/>
      <c r="R348" s="42"/>
      <c r="S348" s="121"/>
      <c r="T348" s="119"/>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spans="1:46" ht="14.25" customHeight="1" x14ac:dyDescent="0.2">
      <c r="A349" s="118"/>
      <c r="B349" s="118"/>
      <c r="C349" s="118"/>
      <c r="D349" s="118"/>
      <c r="E349" s="118"/>
      <c r="F349" s="118"/>
      <c r="G349" s="118"/>
      <c r="H349" s="118"/>
      <c r="I349" s="118"/>
      <c r="J349" s="118"/>
      <c r="K349" s="118"/>
      <c r="L349" s="118"/>
      <c r="M349" s="118"/>
      <c r="N349" s="118"/>
      <c r="O349" s="42"/>
      <c r="P349" s="42"/>
      <c r="Q349" s="42"/>
      <c r="R349" s="42"/>
      <c r="S349" s="121"/>
      <c r="T349" s="119"/>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spans="1:46" ht="14.25" customHeight="1" x14ac:dyDescent="0.2">
      <c r="A350" s="118"/>
      <c r="B350" s="118"/>
      <c r="C350" s="118"/>
      <c r="D350" s="118"/>
      <c r="E350" s="118"/>
      <c r="F350" s="118"/>
      <c r="G350" s="118"/>
      <c r="H350" s="118"/>
      <c r="I350" s="118"/>
      <c r="J350" s="118"/>
      <c r="K350" s="118"/>
      <c r="L350" s="118"/>
      <c r="M350" s="118"/>
      <c r="N350" s="118"/>
      <c r="O350" s="42"/>
      <c r="P350" s="42"/>
      <c r="Q350" s="42"/>
      <c r="R350" s="42"/>
      <c r="S350" s="121"/>
      <c r="T350" s="119"/>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spans="1:46" ht="14.25" customHeight="1" x14ac:dyDescent="0.2">
      <c r="A351" s="118"/>
      <c r="B351" s="118"/>
      <c r="C351" s="118"/>
      <c r="D351" s="118"/>
      <c r="E351" s="118"/>
      <c r="F351" s="118"/>
      <c r="G351" s="118"/>
      <c r="H351" s="118"/>
      <c r="I351" s="118"/>
      <c r="J351" s="118"/>
      <c r="K351" s="118"/>
      <c r="L351" s="118"/>
      <c r="M351" s="118"/>
      <c r="N351" s="118"/>
      <c r="O351" s="42"/>
      <c r="P351" s="42"/>
      <c r="Q351" s="42"/>
      <c r="R351" s="42"/>
      <c r="S351" s="121"/>
      <c r="T351" s="119"/>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spans="1:46" ht="14.25" customHeight="1" x14ac:dyDescent="0.2">
      <c r="A352" s="118"/>
      <c r="B352" s="118"/>
      <c r="C352" s="118"/>
      <c r="D352" s="118"/>
      <c r="E352" s="118"/>
      <c r="F352" s="118"/>
      <c r="G352" s="118"/>
      <c r="H352" s="118"/>
      <c r="I352" s="118"/>
      <c r="J352" s="118"/>
      <c r="K352" s="118"/>
      <c r="L352" s="118"/>
      <c r="M352" s="118"/>
      <c r="N352" s="118"/>
      <c r="O352" s="42"/>
      <c r="P352" s="42"/>
      <c r="Q352" s="42"/>
      <c r="R352" s="42"/>
      <c r="S352" s="121"/>
      <c r="T352" s="119"/>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spans="1:46" ht="14.25" customHeight="1" x14ac:dyDescent="0.2">
      <c r="A353" s="118"/>
      <c r="B353" s="118"/>
      <c r="C353" s="118"/>
      <c r="D353" s="118"/>
      <c r="E353" s="118"/>
      <c r="F353" s="118"/>
      <c r="G353" s="118"/>
      <c r="H353" s="118"/>
      <c r="I353" s="118"/>
      <c r="J353" s="118"/>
      <c r="K353" s="118"/>
      <c r="L353" s="118"/>
      <c r="M353" s="118"/>
      <c r="N353" s="118"/>
      <c r="O353" s="42"/>
      <c r="P353" s="42"/>
      <c r="Q353" s="42"/>
      <c r="R353" s="42"/>
      <c r="S353" s="121"/>
      <c r="T353" s="119"/>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spans="1:46" ht="14.25" customHeight="1" x14ac:dyDescent="0.2">
      <c r="A354" s="118"/>
      <c r="B354" s="118"/>
      <c r="C354" s="118"/>
      <c r="D354" s="118"/>
      <c r="E354" s="118"/>
      <c r="F354" s="118"/>
      <c r="G354" s="118"/>
      <c r="H354" s="118"/>
      <c r="I354" s="118"/>
      <c r="J354" s="118"/>
      <c r="K354" s="118"/>
      <c r="L354" s="118"/>
      <c r="M354" s="118"/>
      <c r="N354" s="118"/>
      <c r="O354" s="42"/>
      <c r="P354" s="42"/>
      <c r="Q354" s="42"/>
      <c r="R354" s="42"/>
      <c r="S354" s="121"/>
      <c r="T354" s="119"/>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spans="1:46" ht="14.25" customHeight="1" x14ac:dyDescent="0.2">
      <c r="A355" s="118"/>
      <c r="B355" s="118"/>
      <c r="C355" s="118"/>
      <c r="D355" s="118"/>
      <c r="E355" s="118"/>
      <c r="F355" s="118"/>
      <c r="G355" s="118"/>
      <c r="H355" s="118"/>
      <c r="I355" s="118"/>
      <c r="J355" s="118"/>
      <c r="K355" s="118"/>
      <c r="L355" s="118"/>
      <c r="M355" s="118"/>
      <c r="N355" s="118"/>
      <c r="O355" s="42"/>
      <c r="P355" s="42"/>
      <c r="Q355" s="42"/>
      <c r="R355" s="42"/>
      <c r="S355" s="121"/>
      <c r="T355" s="119"/>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spans="1:46" ht="14.25" customHeight="1" x14ac:dyDescent="0.2">
      <c r="A356" s="118"/>
      <c r="B356" s="118"/>
      <c r="C356" s="118"/>
      <c r="D356" s="118"/>
      <c r="E356" s="118"/>
      <c r="F356" s="118"/>
      <c r="G356" s="118"/>
      <c r="H356" s="118"/>
      <c r="I356" s="118"/>
      <c r="J356" s="118"/>
      <c r="K356" s="118"/>
      <c r="L356" s="118"/>
      <c r="M356" s="118"/>
      <c r="N356" s="118"/>
      <c r="O356" s="42"/>
      <c r="P356" s="42"/>
      <c r="Q356" s="42"/>
      <c r="R356" s="42"/>
      <c r="S356" s="121"/>
      <c r="T356" s="119"/>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spans="1:46" ht="14.25" customHeight="1" x14ac:dyDescent="0.2">
      <c r="A357" s="118"/>
      <c r="B357" s="118"/>
      <c r="C357" s="118"/>
      <c r="D357" s="118"/>
      <c r="E357" s="118"/>
      <c r="F357" s="118"/>
      <c r="G357" s="118"/>
      <c r="H357" s="118"/>
      <c r="I357" s="118"/>
      <c r="J357" s="118"/>
      <c r="K357" s="118"/>
      <c r="L357" s="118"/>
      <c r="M357" s="118"/>
      <c r="N357" s="118"/>
      <c r="O357" s="42"/>
      <c r="P357" s="42"/>
      <c r="Q357" s="42"/>
      <c r="R357" s="42"/>
      <c r="S357" s="121"/>
      <c r="T357" s="119"/>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spans="1:46" ht="14.25" customHeight="1" x14ac:dyDescent="0.2">
      <c r="A358" s="118"/>
      <c r="B358" s="118"/>
      <c r="C358" s="118"/>
      <c r="D358" s="118"/>
      <c r="E358" s="118"/>
      <c r="F358" s="118"/>
      <c r="G358" s="118"/>
      <c r="H358" s="118"/>
      <c r="I358" s="118"/>
      <c r="J358" s="118"/>
      <c r="K358" s="118"/>
      <c r="L358" s="118"/>
      <c r="M358" s="118"/>
      <c r="N358" s="118"/>
      <c r="O358" s="42"/>
      <c r="P358" s="42"/>
      <c r="Q358" s="42"/>
      <c r="R358" s="42"/>
      <c r="S358" s="121"/>
      <c r="T358" s="119"/>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spans="1:46" ht="14.25" customHeight="1" x14ac:dyDescent="0.2">
      <c r="A359" s="118"/>
      <c r="B359" s="118"/>
      <c r="C359" s="118"/>
      <c r="D359" s="118"/>
      <c r="E359" s="118"/>
      <c r="F359" s="118"/>
      <c r="G359" s="118"/>
      <c r="H359" s="118"/>
      <c r="I359" s="118"/>
      <c r="J359" s="118"/>
      <c r="K359" s="118"/>
      <c r="L359" s="118"/>
      <c r="M359" s="118"/>
      <c r="N359" s="118"/>
      <c r="O359" s="42"/>
      <c r="P359" s="42"/>
      <c r="Q359" s="42"/>
      <c r="R359" s="42"/>
      <c r="S359" s="121"/>
      <c r="T359" s="119"/>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spans="1:46" ht="14.25" customHeight="1" x14ac:dyDescent="0.2">
      <c r="A360" s="118"/>
      <c r="B360" s="118"/>
      <c r="C360" s="118"/>
      <c r="D360" s="118"/>
      <c r="E360" s="118"/>
      <c r="F360" s="118"/>
      <c r="G360" s="118"/>
      <c r="H360" s="118"/>
      <c r="I360" s="118"/>
      <c r="J360" s="118"/>
      <c r="K360" s="118"/>
      <c r="L360" s="118"/>
      <c r="M360" s="118"/>
      <c r="N360" s="118"/>
      <c r="O360" s="42"/>
      <c r="P360" s="42"/>
      <c r="Q360" s="42"/>
      <c r="R360" s="42"/>
      <c r="S360" s="121"/>
      <c r="T360" s="119"/>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spans="1:46" ht="14.25" customHeight="1" x14ac:dyDescent="0.2">
      <c r="A361" s="118"/>
      <c r="B361" s="118"/>
      <c r="C361" s="118"/>
      <c r="D361" s="118"/>
      <c r="E361" s="118"/>
      <c r="F361" s="118"/>
      <c r="G361" s="118"/>
      <c r="H361" s="118"/>
      <c r="I361" s="118"/>
      <c r="J361" s="118"/>
      <c r="K361" s="118"/>
      <c r="L361" s="118"/>
      <c r="M361" s="118"/>
      <c r="N361" s="118"/>
      <c r="O361" s="42"/>
      <c r="P361" s="42"/>
      <c r="Q361" s="42"/>
      <c r="R361" s="42"/>
      <c r="S361" s="121"/>
      <c r="T361" s="119"/>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spans="1:46" ht="14.25" customHeight="1" x14ac:dyDescent="0.2">
      <c r="A362" s="118"/>
      <c r="B362" s="118"/>
      <c r="C362" s="118"/>
      <c r="D362" s="118"/>
      <c r="E362" s="118"/>
      <c r="F362" s="118"/>
      <c r="G362" s="118"/>
      <c r="H362" s="118"/>
      <c r="I362" s="118"/>
      <c r="J362" s="118"/>
      <c r="K362" s="118"/>
      <c r="L362" s="118"/>
      <c r="M362" s="118"/>
      <c r="N362" s="118"/>
      <c r="O362" s="42"/>
      <c r="P362" s="42"/>
      <c r="Q362" s="42"/>
      <c r="R362" s="42"/>
      <c r="S362" s="121"/>
      <c r="T362" s="119"/>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spans="1:46" ht="14.25" customHeight="1" x14ac:dyDescent="0.2">
      <c r="A363" s="118"/>
      <c r="B363" s="118"/>
      <c r="C363" s="118"/>
      <c r="D363" s="118"/>
      <c r="E363" s="118"/>
      <c r="F363" s="118"/>
      <c r="G363" s="118"/>
      <c r="H363" s="118"/>
      <c r="I363" s="118"/>
      <c r="J363" s="118"/>
      <c r="K363" s="118"/>
      <c r="L363" s="118"/>
      <c r="M363" s="118"/>
      <c r="N363" s="118"/>
      <c r="O363" s="42"/>
      <c r="P363" s="42"/>
      <c r="Q363" s="42"/>
      <c r="R363" s="42"/>
      <c r="S363" s="121"/>
      <c r="T363" s="119"/>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spans="1:46" ht="14.25" customHeight="1" x14ac:dyDescent="0.2">
      <c r="A364" s="118"/>
      <c r="B364" s="118"/>
      <c r="C364" s="118"/>
      <c r="D364" s="118"/>
      <c r="E364" s="118"/>
      <c r="F364" s="118"/>
      <c r="G364" s="118"/>
      <c r="H364" s="118"/>
      <c r="I364" s="118"/>
      <c r="J364" s="118"/>
      <c r="K364" s="118"/>
      <c r="L364" s="118"/>
      <c r="M364" s="118"/>
      <c r="N364" s="118"/>
      <c r="O364" s="42"/>
      <c r="P364" s="42"/>
      <c r="Q364" s="42"/>
      <c r="R364" s="42"/>
      <c r="S364" s="121"/>
      <c r="T364" s="119"/>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spans="1:46" ht="14.25" customHeight="1" x14ac:dyDescent="0.2">
      <c r="A365" s="118"/>
      <c r="B365" s="118"/>
      <c r="C365" s="118"/>
      <c r="D365" s="118"/>
      <c r="E365" s="118"/>
      <c r="F365" s="118"/>
      <c r="G365" s="118"/>
      <c r="H365" s="118"/>
      <c r="I365" s="118"/>
      <c r="J365" s="118"/>
      <c r="K365" s="118"/>
      <c r="L365" s="118"/>
      <c r="M365" s="118"/>
      <c r="N365" s="118"/>
      <c r="O365" s="42"/>
      <c r="P365" s="42"/>
      <c r="Q365" s="42"/>
      <c r="R365" s="42"/>
      <c r="S365" s="121"/>
      <c r="T365" s="119"/>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spans="1:46" ht="14.25" customHeight="1" x14ac:dyDescent="0.2">
      <c r="A366" s="118"/>
      <c r="B366" s="118"/>
      <c r="C366" s="118"/>
      <c r="D366" s="118"/>
      <c r="E366" s="118"/>
      <c r="F366" s="118"/>
      <c r="G366" s="118"/>
      <c r="H366" s="118"/>
      <c r="I366" s="118"/>
      <c r="J366" s="118"/>
      <c r="K366" s="118"/>
      <c r="L366" s="118"/>
      <c r="M366" s="118"/>
      <c r="N366" s="118"/>
      <c r="O366" s="42"/>
      <c r="P366" s="42"/>
      <c r="Q366" s="42"/>
      <c r="R366" s="42"/>
      <c r="S366" s="121"/>
      <c r="T366" s="119"/>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spans="1:46" ht="14.25" customHeight="1" x14ac:dyDescent="0.2">
      <c r="A367" s="118"/>
      <c r="B367" s="118"/>
      <c r="C367" s="118"/>
      <c r="D367" s="118"/>
      <c r="E367" s="118"/>
      <c r="F367" s="118"/>
      <c r="G367" s="118"/>
      <c r="H367" s="118"/>
      <c r="I367" s="118"/>
      <c r="J367" s="118"/>
      <c r="K367" s="118"/>
      <c r="L367" s="118"/>
      <c r="M367" s="118"/>
      <c r="N367" s="118"/>
      <c r="O367" s="42"/>
      <c r="P367" s="42"/>
      <c r="Q367" s="42"/>
      <c r="R367" s="42"/>
      <c r="S367" s="121"/>
      <c r="T367" s="119"/>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spans="1:46" ht="14.25" customHeight="1" x14ac:dyDescent="0.2">
      <c r="A368" s="118"/>
      <c r="B368" s="118"/>
      <c r="C368" s="118"/>
      <c r="D368" s="118"/>
      <c r="E368" s="118"/>
      <c r="F368" s="118"/>
      <c r="G368" s="118"/>
      <c r="H368" s="118"/>
      <c r="I368" s="118"/>
      <c r="J368" s="118"/>
      <c r="K368" s="118"/>
      <c r="L368" s="118"/>
      <c r="M368" s="118"/>
      <c r="N368" s="118"/>
      <c r="O368" s="42"/>
      <c r="P368" s="42"/>
      <c r="Q368" s="42"/>
      <c r="R368" s="42"/>
      <c r="S368" s="121"/>
      <c r="T368" s="119"/>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spans="1:46" ht="14.25" customHeight="1" x14ac:dyDescent="0.2">
      <c r="A369" s="118"/>
      <c r="B369" s="118"/>
      <c r="C369" s="118"/>
      <c r="D369" s="118"/>
      <c r="E369" s="118"/>
      <c r="F369" s="118"/>
      <c r="G369" s="118"/>
      <c r="H369" s="118"/>
      <c r="I369" s="118"/>
      <c r="J369" s="118"/>
      <c r="K369" s="118"/>
      <c r="L369" s="118"/>
      <c r="M369" s="118"/>
      <c r="N369" s="118"/>
      <c r="O369" s="42"/>
      <c r="P369" s="42"/>
      <c r="Q369" s="42"/>
      <c r="R369" s="42"/>
      <c r="S369" s="121"/>
      <c r="T369" s="119"/>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spans="1:46" ht="14.25" customHeight="1" x14ac:dyDescent="0.2">
      <c r="A370" s="118"/>
      <c r="B370" s="118"/>
      <c r="C370" s="118"/>
      <c r="D370" s="118"/>
      <c r="E370" s="118"/>
      <c r="F370" s="118"/>
      <c r="G370" s="118"/>
      <c r="H370" s="118"/>
      <c r="I370" s="118"/>
      <c r="J370" s="118"/>
      <c r="K370" s="118"/>
      <c r="L370" s="118"/>
      <c r="M370" s="118"/>
      <c r="N370" s="118"/>
      <c r="O370" s="42"/>
      <c r="P370" s="42"/>
      <c r="Q370" s="42"/>
      <c r="R370" s="42"/>
      <c r="S370" s="121"/>
      <c r="T370" s="119"/>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spans="1:46" ht="14.25" customHeight="1" x14ac:dyDescent="0.2">
      <c r="A371" s="118"/>
      <c r="B371" s="118"/>
      <c r="C371" s="118"/>
      <c r="D371" s="118"/>
      <c r="E371" s="118"/>
      <c r="F371" s="118"/>
      <c r="G371" s="118"/>
      <c r="H371" s="118"/>
      <c r="I371" s="118"/>
      <c r="J371" s="118"/>
      <c r="K371" s="118"/>
      <c r="L371" s="118"/>
      <c r="M371" s="118"/>
      <c r="N371" s="118"/>
      <c r="O371" s="42"/>
      <c r="P371" s="42"/>
      <c r="Q371" s="42"/>
      <c r="R371" s="42"/>
      <c r="S371" s="121"/>
      <c r="T371" s="119"/>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spans="1:46" ht="14.25" customHeight="1" x14ac:dyDescent="0.2">
      <c r="A372" s="118"/>
      <c r="B372" s="118"/>
      <c r="C372" s="118"/>
      <c r="D372" s="118"/>
      <c r="E372" s="118"/>
      <c r="F372" s="118"/>
      <c r="G372" s="118"/>
      <c r="H372" s="118"/>
      <c r="I372" s="118"/>
      <c r="J372" s="118"/>
      <c r="K372" s="118"/>
      <c r="L372" s="118"/>
      <c r="M372" s="118"/>
      <c r="N372" s="118"/>
      <c r="O372" s="42"/>
      <c r="P372" s="42"/>
      <c r="Q372" s="42"/>
      <c r="R372" s="42"/>
      <c r="S372" s="121"/>
      <c r="T372" s="119"/>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spans="1:46" ht="14.25" customHeight="1" x14ac:dyDescent="0.2">
      <c r="A373" s="118"/>
      <c r="B373" s="118"/>
      <c r="C373" s="118"/>
      <c r="D373" s="118"/>
      <c r="E373" s="118"/>
      <c r="F373" s="118"/>
      <c r="G373" s="118"/>
      <c r="H373" s="118"/>
      <c r="I373" s="118"/>
      <c r="J373" s="118"/>
      <c r="K373" s="118"/>
      <c r="L373" s="118"/>
      <c r="M373" s="118"/>
      <c r="N373" s="118"/>
      <c r="O373" s="42"/>
      <c r="P373" s="42"/>
      <c r="Q373" s="42"/>
      <c r="R373" s="42"/>
      <c r="S373" s="121"/>
      <c r="T373" s="119"/>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spans="1:46" ht="14.25" customHeight="1" x14ac:dyDescent="0.2">
      <c r="A374" s="118"/>
      <c r="B374" s="118"/>
      <c r="C374" s="118"/>
      <c r="D374" s="118"/>
      <c r="E374" s="118"/>
      <c r="F374" s="118"/>
      <c r="G374" s="118"/>
      <c r="H374" s="118"/>
      <c r="I374" s="118"/>
      <c r="J374" s="118"/>
      <c r="K374" s="118"/>
      <c r="L374" s="118"/>
      <c r="M374" s="118"/>
      <c r="N374" s="118"/>
      <c r="O374" s="42"/>
      <c r="P374" s="42"/>
      <c r="Q374" s="42"/>
      <c r="R374" s="42"/>
      <c r="S374" s="121"/>
      <c r="T374" s="119"/>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spans="1:46" ht="14.25" customHeight="1" x14ac:dyDescent="0.2">
      <c r="A375" s="118"/>
      <c r="B375" s="118"/>
      <c r="C375" s="118"/>
      <c r="D375" s="118"/>
      <c r="E375" s="118"/>
      <c r="F375" s="118"/>
      <c r="G375" s="118"/>
      <c r="H375" s="118"/>
      <c r="I375" s="118"/>
      <c r="J375" s="118"/>
      <c r="K375" s="118"/>
      <c r="L375" s="118"/>
      <c r="M375" s="118"/>
      <c r="N375" s="118"/>
      <c r="O375" s="42"/>
      <c r="P375" s="42"/>
      <c r="Q375" s="42"/>
      <c r="R375" s="42"/>
      <c r="S375" s="121"/>
      <c r="T375" s="119"/>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spans="1:46" ht="14.25" customHeight="1" x14ac:dyDescent="0.2">
      <c r="A376" s="118"/>
      <c r="B376" s="118"/>
      <c r="C376" s="118"/>
      <c r="D376" s="118"/>
      <c r="E376" s="118"/>
      <c r="F376" s="118"/>
      <c r="G376" s="118"/>
      <c r="H376" s="118"/>
      <c r="I376" s="118"/>
      <c r="J376" s="118"/>
      <c r="K376" s="118"/>
      <c r="L376" s="118"/>
      <c r="M376" s="118"/>
      <c r="N376" s="118"/>
      <c r="O376" s="42"/>
      <c r="P376" s="42"/>
      <c r="Q376" s="42"/>
      <c r="R376" s="42"/>
      <c r="S376" s="121"/>
      <c r="T376" s="119"/>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spans="1:46" ht="14.25" customHeight="1" x14ac:dyDescent="0.2">
      <c r="A377" s="118"/>
      <c r="B377" s="118"/>
      <c r="C377" s="118"/>
      <c r="D377" s="118"/>
      <c r="E377" s="118"/>
      <c r="F377" s="118"/>
      <c r="G377" s="118"/>
      <c r="H377" s="118"/>
      <c r="I377" s="118"/>
      <c r="J377" s="118"/>
      <c r="K377" s="118"/>
      <c r="L377" s="118"/>
      <c r="M377" s="118"/>
      <c r="N377" s="118"/>
      <c r="O377" s="42"/>
      <c r="P377" s="42"/>
      <c r="Q377" s="42"/>
      <c r="R377" s="42"/>
      <c r="S377" s="121"/>
      <c r="T377" s="119"/>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spans="1:46" ht="14.25" customHeight="1" x14ac:dyDescent="0.2">
      <c r="A378" s="118"/>
      <c r="B378" s="118"/>
      <c r="C378" s="118"/>
      <c r="D378" s="118"/>
      <c r="E378" s="118"/>
      <c r="F378" s="118"/>
      <c r="G378" s="118"/>
      <c r="H378" s="118"/>
      <c r="I378" s="118"/>
      <c r="J378" s="118"/>
      <c r="K378" s="118"/>
      <c r="L378" s="118"/>
      <c r="M378" s="118"/>
      <c r="N378" s="118"/>
      <c r="O378" s="42"/>
      <c r="P378" s="42"/>
      <c r="Q378" s="42"/>
      <c r="R378" s="42"/>
      <c r="S378" s="121"/>
      <c r="T378" s="119"/>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spans="1:46" ht="14.25" customHeight="1" x14ac:dyDescent="0.2">
      <c r="A379" s="118"/>
      <c r="B379" s="118"/>
      <c r="C379" s="118"/>
      <c r="D379" s="118"/>
      <c r="E379" s="118"/>
      <c r="F379" s="118"/>
      <c r="G379" s="118"/>
      <c r="H379" s="118"/>
      <c r="I379" s="118"/>
      <c r="J379" s="118"/>
      <c r="K379" s="118"/>
      <c r="L379" s="118"/>
      <c r="M379" s="118"/>
      <c r="N379" s="118"/>
      <c r="O379" s="42"/>
      <c r="P379" s="42"/>
      <c r="Q379" s="42"/>
      <c r="R379" s="42"/>
      <c r="S379" s="121"/>
      <c r="T379" s="119"/>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spans="1:46" ht="14.25" customHeight="1" x14ac:dyDescent="0.2">
      <c r="A380" s="118"/>
      <c r="B380" s="118"/>
      <c r="C380" s="118"/>
      <c r="D380" s="118"/>
      <c r="E380" s="118"/>
      <c r="F380" s="118"/>
      <c r="G380" s="118"/>
      <c r="H380" s="118"/>
      <c r="I380" s="118"/>
      <c r="J380" s="118"/>
      <c r="K380" s="118"/>
      <c r="L380" s="118"/>
      <c r="M380" s="118"/>
      <c r="N380" s="118"/>
      <c r="O380" s="42"/>
      <c r="P380" s="42"/>
      <c r="Q380" s="42"/>
      <c r="R380" s="42"/>
      <c r="S380" s="121"/>
      <c r="T380" s="119"/>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spans="1:46" ht="14.25" customHeight="1" x14ac:dyDescent="0.2">
      <c r="A381" s="118"/>
      <c r="B381" s="118"/>
      <c r="C381" s="118"/>
      <c r="D381" s="118"/>
      <c r="E381" s="118"/>
      <c r="F381" s="118"/>
      <c r="G381" s="118"/>
      <c r="H381" s="118"/>
      <c r="I381" s="118"/>
      <c r="J381" s="118"/>
      <c r="K381" s="118"/>
      <c r="L381" s="118"/>
      <c r="M381" s="118"/>
      <c r="N381" s="118"/>
      <c r="O381" s="42"/>
      <c r="P381" s="42"/>
      <c r="Q381" s="42"/>
      <c r="R381" s="42"/>
      <c r="S381" s="121"/>
      <c r="T381" s="119"/>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spans="1:46" ht="14.25" customHeight="1" x14ac:dyDescent="0.2">
      <c r="A382" s="118"/>
      <c r="B382" s="118"/>
      <c r="C382" s="118"/>
      <c r="D382" s="118"/>
      <c r="E382" s="118"/>
      <c r="F382" s="118"/>
      <c r="G382" s="118"/>
      <c r="H382" s="118"/>
      <c r="I382" s="118"/>
      <c r="J382" s="118"/>
      <c r="K382" s="118"/>
      <c r="L382" s="118"/>
      <c r="M382" s="118"/>
      <c r="N382" s="118"/>
      <c r="O382" s="42"/>
      <c r="P382" s="42"/>
      <c r="Q382" s="42"/>
      <c r="R382" s="42"/>
      <c r="S382" s="121"/>
      <c r="T382" s="119"/>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spans="1:46" ht="14.25" customHeight="1" x14ac:dyDescent="0.2">
      <c r="A383" s="118"/>
      <c r="B383" s="118"/>
      <c r="C383" s="118"/>
      <c r="D383" s="118"/>
      <c r="E383" s="118"/>
      <c r="F383" s="118"/>
      <c r="G383" s="118"/>
      <c r="H383" s="118"/>
      <c r="I383" s="118"/>
      <c r="J383" s="118"/>
      <c r="K383" s="118"/>
      <c r="L383" s="118"/>
      <c r="M383" s="118"/>
      <c r="N383" s="118"/>
      <c r="O383" s="42"/>
      <c r="P383" s="42"/>
      <c r="Q383" s="42"/>
      <c r="R383" s="42"/>
      <c r="S383" s="121"/>
      <c r="T383" s="119"/>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spans="1:46" ht="14.25" customHeight="1" x14ac:dyDescent="0.2">
      <c r="A384" s="118"/>
      <c r="B384" s="118"/>
      <c r="C384" s="118"/>
      <c r="D384" s="118"/>
      <c r="E384" s="118"/>
      <c r="F384" s="118"/>
      <c r="G384" s="118"/>
      <c r="H384" s="118"/>
      <c r="I384" s="118"/>
      <c r="J384" s="118"/>
      <c r="K384" s="118"/>
      <c r="L384" s="118"/>
      <c r="M384" s="118"/>
      <c r="N384" s="118"/>
      <c r="O384" s="42"/>
      <c r="P384" s="42"/>
      <c r="Q384" s="42"/>
      <c r="R384" s="42"/>
      <c r="S384" s="121"/>
      <c r="T384" s="119"/>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spans="1:46" ht="14.25" customHeight="1" x14ac:dyDescent="0.2">
      <c r="A385" s="118"/>
      <c r="B385" s="118"/>
      <c r="C385" s="118"/>
      <c r="D385" s="118"/>
      <c r="E385" s="118"/>
      <c r="F385" s="118"/>
      <c r="G385" s="118"/>
      <c r="H385" s="118"/>
      <c r="I385" s="118"/>
      <c r="J385" s="118"/>
      <c r="K385" s="118"/>
      <c r="L385" s="118"/>
      <c r="M385" s="118"/>
      <c r="N385" s="118"/>
      <c r="O385" s="42"/>
      <c r="P385" s="42"/>
      <c r="Q385" s="42"/>
      <c r="R385" s="42"/>
      <c r="S385" s="121"/>
      <c r="T385" s="119"/>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spans="1:46" ht="15.75" customHeight="1" x14ac:dyDescent="0.2">
      <c r="A386" s="118"/>
      <c r="B386" s="118"/>
      <c r="C386" s="118"/>
      <c r="D386" s="118"/>
      <c r="E386" s="118"/>
      <c r="F386" s="118"/>
      <c r="G386" s="118"/>
      <c r="H386" s="118"/>
      <c r="I386" s="118"/>
      <c r="J386" s="118"/>
      <c r="K386" s="118"/>
      <c r="L386" s="118"/>
      <c r="M386" s="118"/>
      <c r="N386" s="118"/>
      <c r="O386" s="42"/>
      <c r="P386" s="42"/>
      <c r="Q386" s="42"/>
      <c r="R386" s="42"/>
      <c r="S386" s="121"/>
      <c r="T386" s="119"/>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spans="1:46" ht="15.75" customHeight="1" x14ac:dyDescent="0.2">
      <c r="A387" s="118"/>
      <c r="B387" s="118"/>
      <c r="C387" s="118"/>
      <c r="D387" s="118"/>
      <c r="E387" s="118"/>
      <c r="F387" s="118"/>
      <c r="G387" s="118"/>
      <c r="H387" s="118"/>
      <c r="I387" s="118"/>
      <c r="J387" s="118"/>
      <c r="K387" s="118"/>
      <c r="L387" s="118"/>
      <c r="M387" s="118"/>
      <c r="N387" s="118"/>
      <c r="O387" s="42"/>
      <c r="P387" s="42"/>
      <c r="Q387" s="42"/>
      <c r="R387" s="42"/>
      <c r="S387" s="121"/>
      <c r="T387" s="119"/>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spans="1:46" ht="15.75" customHeight="1" x14ac:dyDescent="0.2">
      <c r="A388" s="118"/>
      <c r="B388" s="118"/>
      <c r="C388" s="118"/>
      <c r="D388" s="118"/>
      <c r="E388" s="118"/>
      <c r="F388" s="118"/>
      <c r="G388" s="118"/>
      <c r="H388" s="118"/>
      <c r="I388" s="118"/>
      <c r="J388" s="118"/>
      <c r="K388" s="118"/>
      <c r="L388" s="118"/>
      <c r="M388" s="118"/>
      <c r="N388" s="118"/>
      <c r="O388" s="42"/>
      <c r="P388" s="42"/>
      <c r="Q388" s="42"/>
      <c r="R388" s="42"/>
      <c r="S388" s="121"/>
      <c r="T388" s="119"/>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spans="1:46" ht="15.75" customHeight="1" x14ac:dyDescent="0.2">
      <c r="A389" s="118"/>
      <c r="B389" s="118"/>
      <c r="C389" s="118"/>
      <c r="D389" s="118"/>
      <c r="E389" s="118"/>
      <c r="F389" s="118"/>
      <c r="G389" s="118"/>
      <c r="H389" s="118"/>
      <c r="I389" s="118"/>
      <c r="J389" s="118"/>
      <c r="K389" s="118"/>
      <c r="L389" s="118"/>
      <c r="M389" s="118"/>
      <c r="N389" s="118"/>
      <c r="O389" s="42"/>
      <c r="P389" s="42"/>
      <c r="Q389" s="42"/>
      <c r="R389" s="42"/>
      <c r="S389" s="121"/>
      <c r="T389" s="119"/>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spans="1:46" ht="15.75" customHeight="1" x14ac:dyDescent="0.2">
      <c r="A390" s="118"/>
      <c r="B390" s="118"/>
      <c r="C390" s="118"/>
      <c r="D390" s="118"/>
      <c r="E390" s="118"/>
      <c r="F390" s="118"/>
      <c r="G390" s="118"/>
      <c r="H390" s="118"/>
      <c r="I390" s="118"/>
      <c r="J390" s="118"/>
      <c r="K390" s="118"/>
      <c r="L390" s="118"/>
      <c r="M390" s="118"/>
      <c r="N390" s="118"/>
      <c r="O390" s="42"/>
      <c r="P390" s="42"/>
      <c r="Q390" s="42"/>
      <c r="R390" s="42"/>
      <c r="S390" s="121"/>
      <c r="T390" s="119"/>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spans="1:46" ht="15.75" customHeight="1" x14ac:dyDescent="0.2">
      <c r="A391" s="118"/>
      <c r="B391" s="118"/>
      <c r="C391" s="118"/>
      <c r="D391" s="118"/>
      <c r="E391" s="118"/>
      <c r="F391" s="118"/>
      <c r="G391" s="118"/>
      <c r="H391" s="118"/>
      <c r="I391" s="118"/>
      <c r="J391" s="118"/>
      <c r="K391" s="118"/>
      <c r="L391" s="118"/>
      <c r="M391" s="118"/>
      <c r="N391" s="118"/>
      <c r="O391" s="42"/>
      <c r="P391" s="42"/>
      <c r="Q391" s="42"/>
      <c r="R391" s="42"/>
      <c r="S391" s="121"/>
      <c r="T391" s="119"/>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spans="1:46" ht="15.75" customHeight="1" x14ac:dyDescent="0.2">
      <c r="A392" s="118"/>
      <c r="B392" s="118"/>
      <c r="C392" s="118"/>
      <c r="D392" s="118"/>
      <c r="E392" s="118"/>
      <c r="F392" s="118"/>
      <c r="G392" s="118"/>
      <c r="H392" s="118"/>
      <c r="I392" s="118"/>
      <c r="J392" s="118"/>
      <c r="K392" s="118"/>
      <c r="L392" s="118"/>
      <c r="M392" s="118"/>
      <c r="N392" s="118"/>
      <c r="O392" s="42"/>
      <c r="P392" s="42"/>
      <c r="Q392" s="42"/>
      <c r="R392" s="42"/>
      <c r="S392" s="121"/>
      <c r="T392" s="119"/>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spans="1:46" ht="15.75" customHeight="1" x14ac:dyDescent="0.2">
      <c r="A393" s="118"/>
      <c r="B393" s="118"/>
      <c r="C393" s="118"/>
      <c r="D393" s="118"/>
      <c r="E393" s="118"/>
      <c r="F393" s="118"/>
      <c r="G393" s="118"/>
      <c r="H393" s="118"/>
      <c r="I393" s="118"/>
      <c r="J393" s="118"/>
      <c r="K393" s="118"/>
      <c r="L393" s="118"/>
      <c r="M393" s="118"/>
      <c r="N393" s="118"/>
      <c r="O393" s="42"/>
      <c r="P393" s="42"/>
      <c r="Q393" s="42"/>
      <c r="R393" s="42"/>
      <c r="S393" s="121"/>
      <c r="T393" s="119"/>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spans="1:46" ht="15.75" customHeight="1" x14ac:dyDescent="0.2">
      <c r="A394" s="118"/>
      <c r="B394" s="118"/>
      <c r="C394" s="118"/>
      <c r="D394" s="118"/>
      <c r="E394" s="118"/>
      <c r="F394" s="118"/>
      <c r="G394" s="118"/>
      <c r="H394" s="118"/>
      <c r="I394" s="118"/>
      <c r="J394" s="118"/>
      <c r="K394" s="118"/>
      <c r="L394" s="118"/>
      <c r="M394" s="118"/>
      <c r="N394" s="118"/>
      <c r="O394" s="42"/>
      <c r="P394" s="42"/>
      <c r="Q394" s="42"/>
      <c r="R394" s="42"/>
      <c r="S394" s="121"/>
      <c r="T394" s="119"/>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spans="1:46" ht="15.75" customHeight="1" x14ac:dyDescent="0.2">
      <c r="A395" s="118"/>
      <c r="B395" s="118"/>
      <c r="C395" s="118"/>
      <c r="D395" s="118"/>
      <c r="E395" s="118"/>
      <c r="F395" s="118"/>
      <c r="G395" s="118"/>
      <c r="H395" s="118"/>
      <c r="I395" s="118"/>
      <c r="J395" s="118"/>
      <c r="K395" s="118"/>
      <c r="L395" s="118"/>
      <c r="M395" s="118"/>
      <c r="N395" s="118"/>
      <c r="O395" s="42"/>
      <c r="P395" s="42"/>
      <c r="Q395" s="42"/>
      <c r="R395" s="42"/>
      <c r="S395" s="121"/>
      <c r="T395" s="119"/>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spans="1:46" ht="15.75" customHeight="1" x14ac:dyDescent="0.2">
      <c r="A396" s="118"/>
      <c r="B396" s="118"/>
      <c r="C396" s="118"/>
      <c r="D396" s="118"/>
      <c r="E396" s="118"/>
      <c r="F396" s="118"/>
      <c r="G396" s="118"/>
      <c r="H396" s="118"/>
      <c r="I396" s="118"/>
      <c r="J396" s="118"/>
      <c r="K396" s="118"/>
      <c r="L396" s="118"/>
      <c r="M396" s="118"/>
      <c r="N396" s="118"/>
      <c r="O396" s="42"/>
      <c r="P396" s="42"/>
      <c r="Q396" s="42"/>
      <c r="R396" s="42"/>
      <c r="S396" s="121"/>
      <c r="T396" s="119"/>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spans="1:46" ht="15.75" customHeight="1" x14ac:dyDescent="0.2">
      <c r="A397" s="118"/>
      <c r="B397" s="118"/>
      <c r="C397" s="118"/>
      <c r="D397" s="118"/>
      <c r="E397" s="118"/>
      <c r="F397" s="118"/>
      <c r="G397" s="118"/>
      <c r="H397" s="118"/>
      <c r="I397" s="118"/>
      <c r="J397" s="118"/>
      <c r="K397" s="118"/>
      <c r="L397" s="118"/>
      <c r="M397" s="118"/>
      <c r="N397" s="118"/>
      <c r="O397" s="42"/>
      <c r="P397" s="42"/>
      <c r="Q397" s="42"/>
      <c r="R397" s="42"/>
      <c r="S397" s="121"/>
      <c r="T397" s="119"/>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spans="1:46" ht="15.75" customHeight="1" x14ac:dyDescent="0.2">
      <c r="A398" s="118"/>
      <c r="B398" s="118"/>
      <c r="C398" s="118"/>
      <c r="D398" s="118"/>
      <c r="E398" s="118"/>
      <c r="F398" s="118"/>
      <c r="G398" s="118"/>
      <c r="H398" s="118"/>
      <c r="I398" s="118"/>
      <c r="J398" s="118"/>
      <c r="K398" s="118"/>
      <c r="L398" s="118"/>
      <c r="M398" s="118"/>
      <c r="N398" s="118"/>
      <c r="O398" s="42"/>
      <c r="P398" s="42"/>
      <c r="Q398" s="42"/>
      <c r="R398" s="42"/>
      <c r="S398" s="121"/>
      <c r="T398" s="119"/>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spans="1:46" ht="15.75" customHeight="1" x14ac:dyDescent="0.2">
      <c r="A399" s="118"/>
      <c r="B399" s="118"/>
      <c r="C399" s="118"/>
      <c r="D399" s="118"/>
      <c r="E399" s="118"/>
      <c r="F399" s="118"/>
      <c r="G399" s="118"/>
      <c r="H399" s="118"/>
      <c r="I399" s="118"/>
      <c r="J399" s="118"/>
      <c r="K399" s="118"/>
      <c r="L399" s="118"/>
      <c r="M399" s="118"/>
      <c r="N399" s="118"/>
      <c r="O399" s="42"/>
      <c r="P399" s="42"/>
      <c r="Q399" s="42"/>
      <c r="R399" s="42"/>
      <c r="S399" s="121"/>
      <c r="T399" s="119"/>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spans="1:46" ht="15.75" customHeight="1" x14ac:dyDescent="0.2">
      <c r="A400" s="118"/>
      <c r="B400" s="118"/>
      <c r="C400" s="118"/>
      <c r="D400" s="118"/>
      <c r="E400" s="118"/>
      <c r="F400" s="118"/>
      <c r="G400" s="118"/>
      <c r="H400" s="118"/>
      <c r="I400" s="118"/>
      <c r="J400" s="118"/>
      <c r="K400" s="118"/>
      <c r="L400" s="118"/>
      <c r="M400" s="118"/>
      <c r="N400" s="118"/>
      <c r="O400" s="42"/>
      <c r="P400" s="42"/>
      <c r="Q400" s="42"/>
      <c r="R400" s="42"/>
      <c r="S400" s="121"/>
      <c r="T400" s="119"/>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spans="1:46" ht="15.75" customHeight="1" x14ac:dyDescent="0.2">
      <c r="A401" s="118"/>
      <c r="B401" s="118"/>
      <c r="C401" s="118"/>
      <c r="D401" s="118"/>
      <c r="E401" s="118"/>
      <c r="F401" s="118"/>
      <c r="G401" s="118"/>
      <c r="H401" s="118"/>
      <c r="I401" s="118"/>
      <c r="J401" s="118"/>
      <c r="K401" s="118"/>
      <c r="L401" s="118"/>
      <c r="M401" s="118"/>
      <c r="N401" s="118"/>
      <c r="O401" s="42"/>
      <c r="P401" s="42"/>
      <c r="Q401" s="42"/>
      <c r="R401" s="42"/>
      <c r="S401" s="121"/>
      <c r="T401" s="119"/>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spans="1:46" ht="15.75" customHeight="1" x14ac:dyDescent="0.2">
      <c r="A402" s="118"/>
      <c r="B402" s="118"/>
      <c r="C402" s="118"/>
      <c r="D402" s="118"/>
      <c r="E402" s="118"/>
      <c r="F402" s="118"/>
      <c r="G402" s="118"/>
      <c r="H402" s="118"/>
      <c r="I402" s="118"/>
      <c r="J402" s="118"/>
      <c r="K402" s="118"/>
      <c r="L402" s="118"/>
      <c r="M402" s="118"/>
      <c r="N402" s="118"/>
      <c r="O402" s="42"/>
      <c r="P402" s="42"/>
      <c r="Q402" s="42"/>
      <c r="R402" s="42"/>
      <c r="S402" s="121"/>
      <c r="T402" s="119"/>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spans="1:46" ht="15.75" customHeight="1" x14ac:dyDescent="0.2">
      <c r="A403" s="118"/>
      <c r="B403" s="118"/>
      <c r="C403" s="118"/>
      <c r="D403" s="118"/>
      <c r="E403" s="118"/>
      <c r="F403" s="118"/>
      <c r="G403" s="118"/>
      <c r="H403" s="118"/>
      <c r="I403" s="118"/>
      <c r="J403" s="118"/>
      <c r="K403" s="118"/>
      <c r="L403" s="118"/>
      <c r="M403" s="118"/>
      <c r="N403" s="118"/>
      <c r="O403" s="42"/>
      <c r="P403" s="42"/>
      <c r="Q403" s="42"/>
      <c r="R403" s="42"/>
      <c r="S403" s="121"/>
      <c r="T403" s="119"/>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spans="1:46" ht="15.75" customHeight="1" x14ac:dyDescent="0.2">
      <c r="A404" s="118"/>
      <c r="B404" s="118"/>
      <c r="C404" s="118"/>
      <c r="D404" s="118"/>
      <c r="E404" s="118"/>
      <c r="F404" s="118"/>
      <c r="G404" s="118"/>
      <c r="H404" s="118"/>
      <c r="I404" s="118"/>
      <c r="J404" s="118"/>
      <c r="K404" s="118"/>
      <c r="L404" s="118"/>
      <c r="M404" s="118"/>
      <c r="N404" s="118"/>
      <c r="O404" s="42"/>
      <c r="P404" s="42"/>
      <c r="Q404" s="42"/>
      <c r="R404" s="42"/>
      <c r="S404" s="121"/>
      <c r="T404" s="119"/>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spans="1:46" ht="15.75" customHeight="1" x14ac:dyDescent="0.2">
      <c r="A405" s="118"/>
      <c r="B405" s="118"/>
      <c r="C405" s="118"/>
      <c r="D405" s="118"/>
      <c r="E405" s="118"/>
      <c r="F405" s="118"/>
      <c r="G405" s="118"/>
      <c r="H405" s="118"/>
      <c r="I405" s="118"/>
      <c r="J405" s="118"/>
      <c r="K405" s="118"/>
      <c r="L405" s="118"/>
      <c r="M405" s="118"/>
      <c r="N405" s="118"/>
      <c r="O405" s="42"/>
      <c r="P405" s="42"/>
      <c r="Q405" s="42"/>
      <c r="R405" s="42"/>
      <c r="S405" s="121"/>
      <c r="T405" s="119"/>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spans="1:46" ht="15.75" customHeight="1" x14ac:dyDescent="0.2">
      <c r="A406" s="118"/>
      <c r="B406" s="118"/>
      <c r="C406" s="118"/>
      <c r="D406" s="118"/>
      <c r="E406" s="118"/>
      <c r="F406" s="118"/>
      <c r="G406" s="118"/>
      <c r="H406" s="118"/>
      <c r="I406" s="118"/>
      <c r="J406" s="118"/>
      <c r="K406" s="118"/>
      <c r="L406" s="118"/>
      <c r="M406" s="118"/>
      <c r="N406" s="118"/>
      <c r="O406" s="42"/>
      <c r="P406" s="42"/>
      <c r="Q406" s="42"/>
      <c r="R406" s="42"/>
      <c r="S406" s="121"/>
      <c r="T406" s="119"/>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spans="1:46" ht="15.75" customHeight="1" x14ac:dyDescent="0.2">
      <c r="A407" s="118"/>
      <c r="B407" s="118"/>
      <c r="C407" s="118"/>
      <c r="D407" s="118"/>
      <c r="E407" s="118"/>
      <c r="F407" s="118"/>
      <c r="G407" s="118"/>
      <c r="H407" s="118"/>
      <c r="I407" s="118"/>
      <c r="J407" s="118"/>
      <c r="K407" s="118"/>
      <c r="L407" s="118"/>
      <c r="M407" s="118"/>
      <c r="N407" s="118"/>
      <c r="O407" s="42"/>
      <c r="P407" s="42"/>
      <c r="Q407" s="42"/>
      <c r="R407" s="42"/>
      <c r="S407" s="121"/>
      <c r="T407" s="119"/>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spans="1:46" ht="15.75" customHeight="1" x14ac:dyDescent="0.2">
      <c r="A408" s="118"/>
      <c r="B408" s="118"/>
      <c r="C408" s="118"/>
      <c r="D408" s="118"/>
      <c r="E408" s="118"/>
      <c r="F408" s="118"/>
      <c r="G408" s="118"/>
      <c r="H408" s="118"/>
      <c r="I408" s="118"/>
      <c r="J408" s="118"/>
      <c r="K408" s="118"/>
      <c r="L408" s="118"/>
      <c r="M408" s="118"/>
      <c r="N408" s="118"/>
      <c r="O408" s="42"/>
      <c r="P408" s="42"/>
      <c r="Q408" s="42"/>
      <c r="R408" s="42"/>
      <c r="S408" s="121"/>
      <c r="T408" s="119"/>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spans="1:46" ht="15.75" customHeight="1" x14ac:dyDescent="0.2">
      <c r="A409" s="118"/>
      <c r="B409" s="118"/>
      <c r="C409" s="118"/>
      <c r="D409" s="118"/>
      <c r="E409" s="118"/>
      <c r="F409" s="118"/>
      <c r="G409" s="118"/>
      <c r="H409" s="118"/>
      <c r="I409" s="118"/>
      <c r="J409" s="118"/>
      <c r="K409" s="118"/>
      <c r="L409" s="118"/>
      <c r="M409" s="118"/>
      <c r="N409" s="118"/>
      <c r="O409" s="42"/>
      <c r="P409" s="42"/>
      <c r="Q409" s="42"/>
      <c r="R409" s="42"/>
      <c r="S409" s="121"/>
      <c r="T409" s="119"/>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spans="1:46" ht="15.75" customHeight="1" x14ac:dyDescent="0.2">
      <c r="A410" s="118"/>
      <c r="B410" s="118"/>
      <c r="C410" s="118"/>
      <c r="D410" s="118"/>
      <c r="E410" s="118"/>
      <c r="F410" s="118"/>
      <c r="G410" s="118"/>
      <c r="H410" s="118"/>
      <c r="I410" s="118"/>
      <c r="J410" s="118"/>
      <c r="K410" s="118"/>
      <c r="L410" s="118"/>
      <c r="M410" s="118"/>
      <c r="N410" s="118"/>
      <c r="O410" s="42"/>
      <c r="P410" s="42"/>
      <c r="Q410" s="42"/>
      <c r="R410" s="42"/>
      <c r="S410" s="121"/>
      <c r="T410" s="119"/>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spans="1:46" ht="15.75" customHeight="1" x14ac:dyDescent="0.2">
      <c r="A411" s="118"/>
      <c r="B411" s="118"/>
      <c r="C411" s="118"/>
      <c r="D411" s="118"/>
      <c r="E411" s="118"/>
      <c r="F411" s="118"/>
      <c r="G411" s="118"/>
      <c r="H411" s="118"/>
      <c r="I411" s="118"/>
      <c r="J411" s="118"/>
      <c r="K411" s="118"/>
      <c r="L411" s="118"/>
      <c r="M411" s="118"/>
      <c r="N411" s="118"/>
      <c r="O411" s="42"/>
      <c r="P411" s="42"/>
      <c r="Q411" s="42"/>
      <c r="R411" s="42"/>
      <c r="S411" s="121"/>
      <c r="T411" s="119"/>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spans="1:46" ht="15.75" customHeight="1" x14ac:dyDescent="0.2">
      <c r="A412" s="118"/>
      <c r="B412" s="118"/>
      <c r="C412" s="118"/>
      <c r="D412" s="118"/>
      <c r="E412" s="118"/>
      <c r="F412" s="118"/>
      <c r="G412" s="118"/>
      <c r="H412" s="118"/>
      <c r="I412" s="118"/>
      <c r="J412" s="118"/>
      <c r="K412" s="118"/>
      <c r="L412" s="118"/>
      <c r="M412" s="118"/>
      <c r="N412" s="118"/>
      <c r="O412" s="42"/>
      <c r="P412" s="42"/>
      <c r="Q412" s="42"/>
      <c r="R412" s="42"/>
      <c r="S412" s="121"/>
      <c r="T412" s="119"/>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spans="1:46" ht="15.75" customHeight="1" x14ac:dyDescent="0.2">
      <c r="A413" s="118"/>
      <c r="B413" s="118"/>
      <c r="C413" s="118"/>
      <c r="D413" s="118"/>
      <c r="E413" s="118"/>
      <c r="F413" s="118"/>
      <c r="G413" s="118"/>
      <c r="H413" s="118"/>
      <c r="I413" s="118"/>
      <c r="J413" s="118"/>
      <c r="K413" s="118"/>
      <c r="L413" s="118"/>
      <c r="M413" s="118"/>
      <c r="N413" s="118"/>
      <c r="O413" s="42"/>
      <c r="P413" s="42"/>
      <c r="Q413" s="42"/>
      <c r="R413" s="42"/>
      <c r="S413" s="121"/>
      <c r="T413" s="119"/>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spans="1:46" ht="15.75" customHeight="1" x14ac:dyDescent="0.2">
      <c r="A414" s="118"/>
      <c r="B414" s="118"/>
      <c r="C414" s="118"/>
      <c r="D414" s="118"/>
      <c r="E414" s="118"/>
      <c r="F414" s="118"/>
      <c r="G414" s="118"/>
      <c r="H414" s="118"/>
      <c r="I414" s="118"/>
      <c r="J414" s="118"/>
      <c r="K414" s="118"/>
      <c r="L414" s="118"/>
      <c r="M414" s="118"/>
      <c r="N414" s="118"/>
      <c r="O414" s="42"/>
      <c r="P414" s="42"/>
      <c r="Q414" s="42"/>
      <c r="R414" s="42"/>
      <c r="S414" s="121"/>
      <c r="T414" s="119"/>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spans="1:46" ht="15.75" customHeight="1" x14ac:dyDescent="0.2">
      <c r="A415" s="118"/>
      <c r="B415" s="118"/>
      <c r="C415" s="118"/>
      <c r="D415" s="118"/>
      <c r="E415" s="118"/>
      <c r="F415" s="118"/>
      <c r="G415" s="118"/>
      <c r="H415" s="118"/>
      <c r="I415" s="118"/>
      <c r="J415" s="118"/>
      <c r="K415" s="118"/>
      <c r="L415" s="118"/>
      <c r="M415" s="118"/>
      <c r="N415" s="118"/>
      <c r="O415" s="42"/>
      <c r="P415" s="42"/>
      <c r="Q415" s="42"/>
      <c r="R415" s="42"/>
      <c r="S415" s="121"/>
      <c r="T415" s="119"/>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spans="1:46" ht="15.75" customHeight="1" x14ac:dyDescent="0.2">
      <c r="A416" s="118"/>
      <c r="B416" s="118"/>
      <c r="C416" s="118"/>
      <c r="D416" s="118"/>
      <c r="E416" s="118"/>
      <c r="F416" s="118"/>
      <c r="G416" s="118"/>
      <c r="H416" s="118"/>
      <c r="I416" s="118"/>
      <c r="J416" s="118"/>
      <c r="K416" s="118"/>
      <c r="L416" s="118"/>
      <c r="M416" s="118"/>
      <c r="N416" s="118"/>
      <c r="O416" s="42"/>
      <c r="P416" s="42"/>
      <c r="Q416" s="42"/>
      <c r="R416" s="42"/>
      <c r="S416" s="121"/>
      <c r="T416" s="119"/>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spans="1:46" ht="15.75" customHeight="1" x14ac:dyDescent="0.2">
      <c r="A417" s="118"/>
      <c r="B417" s="118"/>
      <c r="C417" s="118"/>
      <c r="D417" s="118"/>
      <c r="E417" s="118"/>
      <c r="F417" s="118"/>
      <c r="G417" s="118"/>
      <c r="H417" s="118"/>
      <c r="I417" s="118"/>
      <c r="J417" s="118"/>
      <c r="K417" s="118"/>
      <c r="L417" s="118"/>
      <c r="M417" s="118"/>
      <c r="N417" s="118"/>
      <c r="O417" s="42"/>
      <c r="P417" s="42"/>
      <c r="Q417" s="42"/>
      <c r="R417" s="42"/>
      <c r="S417" s="121"/>
      <c r="T417" s="119"/>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spans="1:46" ht="15.75" customHeight="1" x14ac:dyDescent="0.2">
      <c r="A418" s="118"/>
      <c r="B418" s="118"/>
      <c r="C418" s="118"/>
      <c r="D418" s="118"/>
      <c r="E418" s="118"/>
      <c r="F418" s="118"/>
      <c r="G418" s="118"/>
      <c r="H418" s="118"/>
      <c r="I418" s="118"/>
      <c r="J418" s="118"/>
      <c r="K418" s="118"/>
      <c r="L418" s="118"/>
      <c r="M418" s="118"/>
      <c r="N418" s="118"/>
      <c r="O418" s="42"/>
      <c r="P418" s="42"/>
      <c r="Q418" s="42"/>
      <c r="R418" s="42"/>
      <c r="S418" s="121"/>
      <c r="T418" s="119"/>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spans="1:46" ht="15.75" customHeight="1" x14ac:dyDescent="0.2">
      <c r="A419" s="118"/>
      <c r="B419" s="118"/>
      <c r="C419" s="118"/>
      <c r="D419" s="118"/>
      <c r="E419" s="118"/>
      <c r="F419" s="118"/>
      <c r="G419" s="118"/>
      <c r="H419" s="118"/>
      <c r="I419" s="118"/>
      <c r="J419" s="118"/>
      <c r="K419" s="118"/>
      <c r="L419" s="118"/>
      <c r="M419" s="118"/>
      <c r="N419" s="118"/>
      <c r="O419" s="42"/>
      <c r="P419" s="42"/>
      <c r="Q419" s="42"/>
      <c r="R419" s="42"/>
      <c r="S419" s="121"/>
      <c r="T419" s="119"/>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spans="1:46" ht="15.75" customHeight="1" x14ac:dyDescent="0.2">
      <c r="A420" s="118"/>
      <c r="B420" s="118"/>
      <c r="C420" s="118"/>
      <c r="D420" s="118"/>
      <c r="E420" s="118"/>
      <c r="F420" s="118"/>
      <c r="G420" s="118"/>
      <c r="H420" s="118"/>
      <c r="I420" s="118"/>
      <c r="J420" s="118"/>
      <c r="K420" s="118"/>
      <c r="L420" s="118"/>
      <c r="M420" s="118"/>
      <c r="N420" s="118"/>
      <c r="O420" s="42"/>
      <c r="P420" s="42"/>
      <c r="Q420" s="42"/>
      <c r="R420" s="42"/>
      <c r="S420" s="121"/>
      <c r="T420" s="119"/>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spans="1:46" ht="15.75" customHeight="1" x14ac:dyDescent="0.2">
      <c r="A421" s="118"/>
      <c r="B421" s="118"/>
      <c r="C421" s="118"/>
      <c r="D421" s="118"/>
      <c r="E421" s="118"/>
      <c r="F421" s="118"/>
      <c r="G421" s="118"/>
      <c r="H421" s="118"/>
      <c r="I421" s="118"/>
      <c r="J421" s="118"/>
      <c r="K421" s="118"/>
      <c r="L421" s="118"/>
      <c r="M421" s="118"/>
      <c r="N421" s="118"/>
      <c r="O421" s="42"/>
      <c r="P421" s="42"/>
      <c r="Q421" s="42"/>
      <c r="R421" s="42"/>
      <c r="S421" s="121"/>
      <c r="T421" s="119"/>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spans="1:46" ht="15.75" customHeight="1" x14ac:dyDescent="0.2">
      <c r="A422" s="118"/>
      <c r="B422" s="118"/>
      <c r="C422" s="118"/>
      <c r="D422" s="118"/>
      <c r="E422" s="118"/>
      <c r="F422" s="118"/>
      <c r="G422" s="118"/>
      <c r="H422" s="118"/>
      <c r="I422" s="118"/>
      <c r="J422" s="118"/>
      <c r="K422" s="118"/>
      <c r="L422" s="118"/>
      <c r="M422" s="118"/>
      <c r="N422" s="118"/>
      <c r="O422" s="42"/>
      <c r="P422" s="42"/>
      <c r="Q422" s="42"/>
      <c r="R422" s="42"/>
      <c r="S422" s="121"/>
      <c r="T422" s="119"/>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spans="1:46" ht="15.75" customHeight="1" x14ac:dyDescent="0.2">
      <c r="A423" s="118"/>
      <c r="B423" s="118"/>
      <c r="C423" s="118"/>
      <c r="D423" s="118"/>
      <c r="E423" s="118"/>
      <c r="F423" s="118"/>
      <c r="G423" s="118"/>
      <c r="H423" s="118"/>
      <c r="I423" s="118"/>
      <c r="J423" s="118"/>
      <c r="K423" s="118"/>
      <c r="L423" s="118"/>
      <c r="M423" s="118"/>
      <c r="N423" s="118"/>
      <c r="O423" s="42"/>
      <c r="P423" s="42"/>
      <c r="Q423" s="42"/>
      <c r="R423" s="42"/>
      <c r="S423" s="121"/>
      <c r="T423" s="119"/>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spans="1:46" ht="15.75" customHeight="1" x14ac:dyDescent="0.2">
      <c r="A424" s="118"/>
      <c r="B424" s="118"/>
      <c r="C424" s="118"/>
      <c r="D424" s="118"/>
      <c r="E424" s="118"/>
      <c r="F424" s="118"/>
      <c r="G424" s="118"/>
      <c r="H424" s="118"/>
      <c r="I424" s="118"/>
      <c r="J424" s="118"/>
      <c r="K424" s="118"/>
      <c r="L424" s="118"/>
      <c r="M424" s="118"/>
      <c r="N424" s="118"/>
      <c r="O424" s="42"/>
      <c r="P424" s="42"/>
      <c r="Q424" s="42"/>
      <c r="R424" s="42"/>
      <c r="S424" s="121"/>
      <c r="T424" s="119"/>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spans="1:46" ht="15.75" customHeight="1" x14ac:dyDescent="0.2">
      <c r="A425" s="118"/>
      <c r="B425" s="118"/>
      <c r="C425" s="118"/>
      <c r="D425" s="118"/>
      <c r="E425" s="118"/>
      <c r="F425" s="118"/>
      <c r="G425" s="118"/>
      <c r="H425" s="118"/>
      <c r="I425" s="118"/>
      <c r="J425" s="118"/>
      <c r="K425" s="118"/>
      <c r="L425" s="118"/>
      <c r="M425" s="118"/>
      <c r="N425" s="118"/>
      <c r="O425" s="42"/>
      <c r="P425" s="42"/>
      <c r="Q425" s="42"/>
      <c r="R425" s="42"/>
      <c r="S425" s="121"/>
      <c r="T425" s="119"/>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spans="1:46" ht="15.75" customHeight="1" x14ac:dyDescent="0.2">
      <c r="A426" s="118"/>
      <c r="B426" s="118"/>
      <c r="C426" s="118"/>
      <c r="D426" s="118"/>
      <c r="E426" s="118"/>
      <c r="F426" s="118"/>
      <c r="G426" s="118"/>
      <c r="H426" s="118"/>
      <c r="I426" s="118"/>
      <c r="J426" s="118"/>
      <c r="K426" s="118"/>
      <c r="L426" s="118"/>
      <c r="M426" s="118"/>
      <c r="N426" s="118"/>
      <c r="O426" s="42"/>
      <c r="P426" s="42"/>
      <c r="Q426" s="42"/>
      <c r="R426" s="42"/>
      <c r="S426" s="121"/>
      <c r="T426" s="119"/>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spans="1:46" ht="15.75" customHeight="1" x14ac:dyDescent="0.2">
      <c r="A427" s="118"/>
      <c r="B427" s="118"/>
      <c r="C427" s="118"/>
      <c r="D427" s="118"/>
      <c r="E427" s="118"/>
      <c r="F427" s="118"/>
      <c r="G427" s="118"/>
      <c r="H427" s="118"/>
      <c r="I427" s="118"/>
      <c r="J427" s="118"/>
      <c r="K427" s="118"/>
      <c r="L427" s="118"/>
      <c r="M427" s="118"/>
      <c r="N427" s="118"/>
      <c r="O427" s="42"/>
      <c r="P427" s="42"/>
      <c r="Q427" s="42"/>
      <c r="R427" s="42"/>
      <c r="S427" s="121"/>
      <c r="T427" s="119"/>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spans="1:46" ht="15.75" customHeight="1" x14ac:dyDescent="0.2">
      <c r="A428" s="118"/>
      <c r="B428" s="118"/>
      <c r="C428" s="118"/>
      <c r="D428" s="118"/>
      <c r="E428" s="118"/>
      <c r="F428" s="118"/>
      <c r="G428" s="118"/>
      <c r="H428" s="118"/>
      <c r="I428" s="118"/>
      <c r="J428" s="118"/>
      <c r="K428" s="118"/>
      <c r="L428" s="118"/>
      <c r="M428" s="118"/>
      <c r="N428" s="118"/>
      <c r="O428" s="42"/>
      <c r="P428" s="42"/>
      <c r="Q428" s="42"/>
      <c r="R428" s="42"/>
      <c r="S428" s="121"/>
      <c r="T428" s="119"/>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spans="1:46" ht="15.75" customHeight="1" x14ac:dyDescent="0.2">
      <c r="A429" s="118"/>
      <c r="B429" s="118"/>
      <c r="C429" s="118"/>
      <c r="D429" s="118"/>
      <c r="E429" s="118"/>
      <c r="F429" s="118"/>
      <c r="G429" s="118"/>
      <c r="H429" s="118"/>
      <c r="I429" s="118"/>
      <c r="J429" s="118"/>
      <c r="K429" s="118"/>
      <c r="L429" s="118"/>
      <c r="M429" s="118"/>
      <c r="N429" s="118"/>
      <c r="O429" s="42"/>
      <c r="P429" s="42"/>
      <c r="Q429" s="42"/>
      <c r="R429" s="42"/>
      <c r="S429" s="121"/>
      <c r="T429" s="119"/>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spans="1:46" ht="15.75" customHeight="1" x14ac:dyDescent="0.2">
      <c r="A430" s="118"/>
      <c r="B430" s="118"/>
      <c r="C430" s="118"/>
      <c r="D430" s="118"/>
      <c r="E430" s="118"/>
      <c r="F430" s="118"/>
      <c r="G430" s="118"/>
      <c r="H430" s="118"/>
      <c r="I430" s="118"/>
      <c r="J430" s="118"/>
      <c r="K430" s="118"/>
      <c r="L430" s="118"/>
      <c r="M430" s="118"/>
      <c r="N430" s="118"/>
      <c r="O430" s="42"/>
      <c r="P430" s="42"/>
      <c r="Q430" s="42"/>
      <c r="R430" s="42"/>
      <c r="S430" s="121"/>
      <c r="T430" s="119"/>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spans="1:46" ht="15.75" customHeight="1" x14ac:dyDescent="0.2">
      <c r="A431" s="118"/>
      <c r="B431" s="118"/>
      <c r="C431" s="118"/>
      <c r="D431" s="118"/>
      <c r="E431" s="118"/>
      <c r="F431" s="118"/>
      <c r="G431" s="118"/>
      <c r="H431" s="118"/>
      <c r="I431" s="118"/>
      <c r="J431" s="118"/>
      <c r="K431" s="118"/>
      <c r="L431" s="118"/>
      <c r="M431" s="118"/>
      <c r="N431" s="118"/>
      <c r="O431" s="42"/>
      <c r="P431" s="42"/>
      <c r="Q431" s="42"/>
      <c r="R431" s="42"/>
      <c r="S431" s="121"/>
      <c r="T431" s="119"/>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spans="1:46" ht="15.75" customHeight="1" x14ac:dyDescent="0.2">
      <c r="A432" s="118"/>
      <c r="B432" s="118"/>
      <c r="C432" s="118"/>
      <c r="D432" s="118"/>
      <c r="E432" s="118"/>
      <c r="F432" s="118"/>
      <c r="G432" s="118"/>
      <c r="H432" s="118"/>
      <c r="I432" s="118"/>
      <c r="J432" s="118"/>
      <c r="K432" s="118"/>
      <c r="L432" s="118"/>
      <c r="M432" s="118"/>
      <c r="N432" s="118"/>
      <c r="O432" s="42"/>
      <c r="P432" s="42"/>
      <c r="Q432" s="42"/>
      <c r="R432" s="42"/>
      <c r="S432" s="121"/>
      <c r="T432" s="119"/>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spans="1:46" ht="15.75" customHeight="1" x14ac:dyDescent="0.2">
      <c r="A433" s="118"/>
      <c r="B433" s="118"/>
      <c r="C433" s="118"/>
      <c r="D433" s="118"/>
      <c r="E433" s="118"/>
      <c r="F433" s="118"/>
      <c r="G433" s="118"/>
      <c r="H433" s="118"/>
      <c r="I433" s="118"/>
      <c r="J433" s="118"/>
      <c r="K433" s="118"/>
      <c r="L433" s="118"/>
      <c r="M433" s="118"/>
      <c r="N433" s="118"/>
      <c r="O433" s="42"/>
      <c r="P433" s="42"/>
      <c r="Q433" s="42"/>
      <c r="R433" s="42"/>
      <c r="S433" s="121"/>
      <c r="T433" s="119"/>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spans="1:46" ht="15.75" customHeight="1" x14ac:dyDescent="0.2">
      <c r="A434" s="118"/>
      <c r="B434" s="118"/>
      <c r="C434" s="118"/>
      <c r="D434" s="118"/>
      <c r="E434" s="118"/>
      <c r="F434" s="118"/>
      <c r="G434" s="118"/>
      <c r="H434" s="118"/>
      <c r="I434" s="118"/>
      <c r="J434" s="118"/>
      <c r="K434" s="118"/>
      <c r="L434" s="118"/>
      <c r="M434" s="118"/>
      <c r="N434" s="118"/>
      <c r="O434" s="42"/>
      <c r="P434" s="42"/>
      <c r="Q434" s="42"/>
      <c r="R434" s="42"/>
      <c r="S434" s="121"/>
      <c r="T434" s="119"/>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spans="1:46" ht="15.75" customHeight="1" x14ac:dyDescent="0.2">
      <c r="A435" s="118"/>
      <c r="B435" s="118"/>
      <c r="C435" s="118"/>
      <c r="D435" s="118"/>
      <c r="E435" s="118"/>
      <c r="F435" s="118"/>
      <c r="G435" s="118"/>
      <c r="H435" s="118"/>
      <c r="I435" s="118"/>
      <c r="J435" s="118"/>
      <c r="K435" s="118"/>
      <c r="L435" s="118"/>
      <c r="M435" s="118"/>
      <c r="N435" s="118"/>
      <c r="O435" s="42"/>
      <c r="P435" s="42"/>
      <c r="Q435" s="42"/>
      <c r="R435" s="42"/>
      <c r="S435" s="121"/>
      <c r="T435" s="119"/>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spans="1:46" ht="15.75" customHeight="1" x14ac:dyDescent="0.2">
      <c r="A436" s="118"/>
      <c r="B436" s="118"/>
      <c r="C436" s="118"/>
      <c r="D436" s="118"/>
      <c r="E436" s="118"/>
      <c r="F436" s="118"/>
      <c r="G436" s="118"/>
      <c r="H436" s="118"/>
      <c r="I436" s="118"/>
      <c r="J436" s="118"/>
      <c r="K436" s="118"/>
      <c r="L436" s="118"/>
      <c r="M436" s="118"/>
      <c r="N436" s="118"/>
      <c r="O436" s="42"/>
      <c r="P436" s="42"/>
      <c r="Q436" s="42"/>
      <c r="R436" s="42"/>
      <c r="S436" s="121"/>
      <c r="T436" s="119"/>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spans="1:46" ht="15.75" customHeight="1" x14ac:dyDescent="0.2">
      <c r="A437" s="118"/>
      <c r="B437" s="118"/>
      <c r="C437" s="118"/>
      <c r="D437" s="118"/>
      <c r="E437" s="118"/>
      <c r="F437" s="118"/>
      <c r="G437" s="118"/>
      <c r="H437" s="118"/>
      <c r="I437" s="118"/>
      <c r="J437" s="118"/>
      <c r="K437" s="118"/>
      <c r="L437" s="118"/>
      <c r="M437" s="118"/>
      <c r="N437" s="118"/>
      <c r="O437" s="42"/>
      <c r="P437" s="42"/>
      <c r="Q437" s="42"/>
      <c r="R437" s="42"/>
      <c r="S437" s="121"/>
      <c r="T437" s="119"/>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spans="1:46" ht="15.75" customHeight="1" x14ac:dyDescent="0.2">
      <c r="A438" s="118"/>
      <c r="B438" s="118"/>
      <c r="C438" s="118"/>
      <c r="D438" s="118"/>
      <c r="E438" s="118"/>
      <c r="F438" s="118"/>
      <c r="G438" s="118"/>
      <c r="H438" s="118"/>
      <c r="I438" s="118"/>
      <c r="J438" s="118"/>
      <c r="K438" s="118"/>
      <c r="L438" s="118"/>
      <c r="M438" s="118"/>
      <c r="N438" s="118"/>
      <c r="O438" s="42"/>
      <c r="P438" s="42"/>
      <c r="Q438" s="42"/>
      <c r="R438" s="42"/>
      <c r="S438" s="121"/>
      <c r="T438" s="119"/>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spans="1:46" ht="15.75" customHeight="1" x14ac:dyDescent="0.2">
      <c r="A439" s="118"/>
      <c r="B439" s="118"/>
      <c r="C439" s="118"/>
      <c r="D439" s="118"/>
      <c r="E439" s="118"/>
      <c r="F439" s="118"/>
      <c r="G439" s="118"/>
      <c r="H439" s="118"/>
      <c r="I439" s="118"/>
      <c r="J439" s="118"/>
      <c r="K439" s="118"/>
      <c r="L439" s="118"/>
      <c r="M439" s="118"/>
      <c r="N439" s="118"/>
      <c r="O439" s="42"/>
      <c r="P439" s="42"/>
      <c r="Q439" s="42"/>
      <c r="R439" s="42"/>
      <c r="S439" s="121"/>
      <c r="T439" s="119"/>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spans="1:46" ht="15.75" customHeight="1" x14ac:dyDescent="0.2">
      <c r="A440" s="118"/>
      <c r="B440" s="118"/>
      <c r="C440" s="118"/>
      <c r="D440" s="118"/>
      <c r="E440" s="118"/>
      <c r="F440" s="118"/>
      <c r="G440" s="118"/>
      <c r="H440" s="118"/>
      <c r="I440" s="118"/>
      <c r="J440" s="118"/>
      <c r="K440" s="118"/>
      <c r="L440" s="118"/>
      <c r="M440" s="118"/>
      <c r="N440" s="118"/>
      <c r="O440" s="42"/>
      <c r="P440" s="42"/>
      <c r="Q440" s="42"/>
      <c r="R440" s="42"/>
      <c r="S440" s="121"/>
      <c r="T440" s="119"/>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spans="1:46" ht="15.75" customHeight="1" x14ac:dyDescent="0.2">
      <c r="A441" s="118"/>
      <c r="B441" s="118"/>
      <c r="C441" s="118"/>
      <c r="D441" s="118"/>
      <c r="E441" s="118"/>
      <c r="F441" s="118"/>
      <c r="G441" s="118"/>
      <c r="H441" s="118"/>
      <c r="I441" s="118"/>
      <c r="J441" s="118"/>
      <c r="K441" s="118"/>
      <c r="L441" s="118"/>
      <c r="M441" s="118"/>
      <c r="N441" s="118"/>
      <c r="O441" s="42"/>
      <c r="P441" s="42"/>
      <c r="Q441" s="42"/>
      <c r="R441" s="42"/>
      <c r="S441" s="121"/>
      <c r="T441" s="119"/>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spans="1:46" ht="15.75" customHeight="1" x14ac:dyDescent="0.2">
      <c r="A442" s="118"/>
      <c r="B442" s="118"/>
      <c r="C442" s="118"/>
      <c r="D442" s="118"/>
      <c r="E442" s="118"/>
      <c r="F442" s="118"/>
      <c r="G442" s="118"/>
      <c r="H442" s="118"/>
      <c r="I442" s="118"/>
      <c r="J442" s="118"/>
      <c r="K442" s="118"/>
      <c r="L442" s="118"/>
      <c r="M442" s="118"/>
      <c r="N442" s="118"/>
      <c r="O442" s="42"/>
      <c r="P442" s="42"/>
      <c r="Q442" s="42"/>
      <c r="R442" s="42"/>
      <c r="S442" s="121"/>
      <c r="T442" s="119"/>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spans="1:46" ht="15.75" customHeight="1" x14ac:dyDescent="0.2">
      <c r="A443" s="118"/>
      <c r="B443" s="118"/>
      <c r="C443" s="118"/>
      <c r="D443" s="118"/>
      <c r="E443" s="118"/>
      <c r="F443" s="118"/>
      <c r="G443" s="118"/>
      <c r="H443" s="118"/>
      <c r="I443" s="118"/>
      <c r="J443" s="118"/>
      <c r="K443" s="118"/>
      <c r="L443" s="118"/>
      <c r="M443" s="118"/>
      <c r="N443" s="118"/>
      <c r="O443" s="42"/>
      <c r="P443" s="42"/>
      <c r="Q443" s="42"/>
      <c r="R443" s="42"/>
      <c r="S443" s="121"/>
      <c r="T443" s="119"/>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spans="1:46" ht="15.75" customHeight="1" x14ac:dyDescent="0.2">
      <c r="A444" s="118"/>
      <c r="B444" s="118"/>
      <c r="C444" s="118"/>
      <c r="D444" s="118"/>
      <c r="E444" s="118"/>
      <c r="F444" s="118"/>
      <c r="G444" s="118"/>
      <c r="H444" s="118"/>
      <c r="I444" s="118"/>
      <c r="J444" s="118"/>
      <c r="K444" s="118"/>
      <c r="L444" s="118"/>
      <c r="M444" s="118"/>
      <c r="N444" s="118"/>
      <c r="O444" s="42"/>
      <c r="P444" s="42"/>
      <c r="Q444" s="42"/>
      <c r="R444" s="42"/>
      <c r="S444" s="121"/>
      <c r="T444" s="119"/>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spans="1:46" ht="15.75" customHeight="1" x14ac:dyDescent="0.2">
      <c r="A445" s="118"/>
      <c r="B445" s="118"/>
      <c r="C445" s="118"/>
      <c r="D445" s="118"/>
      <c r="E445" s="118"/>
      <c r="F445" s="118"/>
      <c r="G445" s="118"/>
      <c r="H445" s="118"/>
      <c r="I445" s="118"/>
      <c r="J445" s="118"/>
      <c r="K445" s="118"/>
      <c r="L445" s="118"/>
      <c r="M445" s="118"/>
      <c r="N445" s="118"/>
      <c r="O445" s="42"/>
      <c r="P445" s="42"/>
      <c r="Q445" s="42"/>
      <c r="R445" s="42"/>
      <c r="S445" s="121"/>
      <c r="T445" s="119"/>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spans="1:46" ht="15.75" customHeight="1" x14ac:dyDescent="0.2">
      <c r="A446" s="118"/>
      <c r="B446" s="118"/>
      <c r="C446" s="118"/>
      <c r="D446" s="118"/>
      <c r="E446" s="118"/>
      <c r="F446" s="118"/>
      <c r="G446" s="118"/>
      <c r="H446" s="118"/>
      <c r="I446" s="118"/>
      <c r="J446" s="118"/>
      <c r="K446" s="118"/>
      <c r="L446" s="118"/>
      <c r="M446" s="118"/>
      <c r="N446" s="118"/>
      <c r="O446" s="42"/>
      <c r="P446" s="42"/>
      <c r="Q446" s="42"/>
      <c r="R446" s="42"/>
      <c r="S446" s="121"/>
      <c r="T446" s="119"/>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spans="1:46" ht="15.75" customHeight="1" x14ac:dyDescent="0.2">
      <c r="A447" s="118"/>
      <c r="B447" s="118"/>
      <c r="C447" s="118"/>
      <c r="D447" s="118"/>
      <c r="E447" s="118"/>
      <c r="F447" s="118"/>
      <c r="G447" s="118"/>
      <c r="H447" s="118"/>
      <c r="I447" s="118"/>
      <c r="J447" s="118"/>
      <c r="K447" s="118"/>
      <c r="L447" s="118"/>
      <c r="M447" s="118"/>
      <c r="N447" s="118"/>
      <c r="O447" s="42"/>
      <c r="P447" s="42"/>
      <c r="Q447" s="42"/>
      <c r="R447" s="42"/>
      <c r="S447" s="121"/>
      <c r="T447" s="119"/>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spans="1:46" ht="15.75" customHeight="1" x14ac:dyDescent="0.2">
      <c r="A448" s="118"/>
      <c r="B448" s="118"/>
      <c r="C448" s="118"/>
      <c r="D448" s="118"/>
      <c r="E448" s="118"/>
      <c r="F448" s="118"/>
      <c r="G448" s="118"/>
      <c r="H448" s="118"/>
      <c r="I448" s="118"/>
      <c r="J448" s="118"/>
      <c r="K448" s="118"/>
      <c r="L448" s="118"/>
      <c r="M448" s="118"/>
      <c r="N448" s="118"/>
      <c r="O448" s="42"/>
      <c r="P448" s="42"/>
      <c r="Q448" s="42"/>
      <c r="R448" s="42"/>
      <c r="S448" s="121"/>
      <c r="T448" s="119"/>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spans="1:46" ht="15.75" customHeight="1" x14ac:dyDescent="0.2">
      <c r="A449" s="118"/>
      <c r="B449" s="118"/>
      <c r="C449" s="118"/>
      <c r="D449" s="118"/>
      <c r="E449" s="118"/>
      <c r="F449" s="118"/>
      <c r="G449" s="118"/>
      <c r="H449" s="118"/>
      <c r="I449" s="118"/>
      <c r="J449" s="118"/>
      <c r="K449" s="118"/>
      <c r="L449" s="118"/>
      <c r="M449" s="118"/>
      <c r="N449" s="118"/>
      <c r="O449" s="42"/>
      <c r="P449" s="42"/>
      <c r="Q449" s="42"/>
      <c r="R449" s="42"/>
      <c r="S449" s="121"/>
      <c r="T449" s="119"/>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spans="1:46" ht="15.75" customHeight="1" x14ac:dyDescent="0.2">
      <c r="A450" s="118"/>
      <c r="B450" s="118"/>
      <c r="C450" s="118"/>
      <c r="D450" s="118"/>
      <c r="E450" s="118"/>
      <c r="F450" s="118"/>
      <c r="G450" s="118"/>
      <c r="H450" s="118"/>
      <c r="I450" s="118"/>
      <c r="J450" s="118"/>
      <c r="K450" s="118"/>
      <c r="L450" s="118"/>
      <c r="M450" s="118"/>
      <c r="N450" s="118"/>
      <c r="O450" s="42"/>
      <c r="P450" s="42"/>
      <c r="Q450" s="42"/>
      <c r="R450" s="42"/>
      <c r="S450" s="121"/>
      <c r="T450" s="119"/>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spans="1:46" ht="15.75" customHeight="1" x14ac:dyDescent="0.2">
      <c r="A451" s="118"/>
      <c r="B451" s="118"/>
      <c r="C451" s="118"/>
      <c r="D451" s="118"/>
      <c r="E451" s="118"/>
      <c r="F451" s="118"/>
      <c r="G451" s="118"/>
      <c r="H451" s="118"/>
      <c r="I451" s="118"/>
      <c r="J451" s="118"/>
      <c r="K451" s="118"/>
      <c r="L451" s="118"/>
      <c r="M451" s="118"/>
      <c r="N451" s="118"/>
      <c r="O451" s="42"/>
      <c r="P451" s="42"/>
      <c r="Q451" s="42"/>
      <c r="R451" s="42"/>
      <c r="S451" s="121"/>
      <c r="T451" s="119"/>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spans="1:46" ht="15.75" customHeight="1" x14ac:dyDescent="0.2">
      <c r="A452" s="118"/>
      <c r="B452" s="118"/>
      <c r="C452" s="118"/>
      <c r="D452" s="118"/>
      <c r="E452" s="118"/>
      <c r="F452" s="118"/>
      <c r="G452" s="118"/>
      <c r="H452" s="118"/>
      <c r="I452" s="118"/>
      <c r="J452" s="118"/>
      <c r="K452" s="118"/>
      <c r="L452" s="118"/>
      <c r="M452" s="118"/>
      <c r="N452" s="118"/>
      <c r="O452" s="42"/>
      <c r="P452" s="42"/>
      <c r="Q452" s="42"/>
      <c r="R452" s="42"/>
      <c r="S452" s="121"/>
      <c r="T452" s="119"/>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spans="1:46" ht="15.75" customHeight="1" x14ac:dyDescent="0.2">
      <c r="A453" s="118"/>
      <c r="B453" s="118"/>
      <c r="C453" s="118"/>
      <c r="D453" s="118"/>
      <c r="E453" s="118"/>
      <c r="F453" s="118"/>
      <c r="G453" s="118"/>
      <c r="H453" s="118"/>
      <c r="I453" s="118"/>
      <c r="J453" s="118"/>
      <c r="K453" s="118"/>
      <c r="L453" s="118"/>
      <c r="M453" s="118"/>
      <c r="N453" s="118"/>
      <c r="O453" s="42"/>
      <c r="P453" s="42"/>
      <c r="Q453" s="42"/>
      <c r="R453" s="42"/>
      <c r="S453" s="121"/>
      <c r="T453" s="119"/>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spans="1:46" ht="15.75" customHeight="1" x14ac:dyDescent="0.2">
      <c r="A454" s="118"/>
      <c r="B454" s="118"/>
      <c r="C454" s="118"/>
      <c r="D454" s="118"/>
      <c r="E454" s="118"/>
      <c r="F454" s="118"/>
      <c r="G454" s="118"/>
      <c r="H454" s="118"/>
      <c r="I454" s="118"/>
      <c r="J454" s="118"/>
      <c r="K454" s="118"/>
      <c r="L454" s="118"/>
      <c r="M454" s="118"/>
      <c r="N454" s="118"/>
      <c r="O454" s="42"/>
      <c r="P454" s="42"/>
      <c r="Q454" s="42"/>
      <c r="R454" s="42"/>
      <c r="S454" s="121"/>
      <c r="T454" s="119"/>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spans="1:46" ht="15.75" customHeight="1" x14ac:dyDescent="0.2">
      <c r="A455" s="118"/>
      <c r="B455" s="118"/>
      <c r="C455" s="118"/>
      <c r="D455" s="118"/>
      <c r="E455" s="118"/>
      <c r="F455" s="118"/>
      <c r="G455" s="118"/>
      <c r="H455" s="118"/>
      <c r="I455" s="118"/>
      <c r="J455" s="118"/>
      <c r="K455" s="118"/>
      <c r="L455" s="118"/>
      <c r="M455" s="118"/>
      <c r="N455" s="118"/>
      <c r="O455" s="42"/>
      <c r="P455" s="42"/>
      <c r="Q455" s="42"/>
      <c r="R455" s="42"/>
      <c r="S455" s="121"/>
      <c r="T455" s="119"/>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spans="1:46" ht="15.75" customHeight="1" x14ac:dyDescent="0.2">
      <c r="A456" s="118"/>
      <c r="B456" s="118"/>
      <c r="C456" s="118"/>
      <c r="D456" s="118"/>
      <c r="E456" s="118"/>
      <c r="F456" s="118"/>
      <c r="G456" s="118"/>
      <c r="H456" s="118"/>
      <c r="I456" s="118"/>
      <c r="J456" s="118"/>
      <c r="K456" s="118"/>
      <c r="L456" s="118"/>
      <c r="M456" s="118"/>
      <c r="N456" s="118"/>
      <c r="O456" s="42"/>
      <c r="P456" s="42"/>
      <c r="Q456" s="42"/>
      <c r="R456" s="42"/>
      <c r="S456" s="121"/>
      <c r="T456" s="119"/>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spans="1:46" ht="15.75" customHeight="1" x14ac:dyDescent="0.2">
      <c r="A457" s="118"/>
      <c r="B457" s="118"/>
      <c r="C457" s="118"/>
      <c r="D457" s="118"/>
      <c r="E457" s="118"/>
      <c r="F457" s="118"/>
      <c r="G457" s="118"/>
      <c r="H457" s="118"/>
      <c r="I457" s="118"/>
      <c r="J457" s="118"/>
      <c r="K457" s="118"/>
      <c r="L457" s="118"/>
      <c r="M457" s="118"/>
      <c r="N457" s="118"/>
      <c r="O457" s="42"/>
      <c r="P457" s="42"/>
      <c r="Q457" s="42"/>
      <c r="R457" s="42"/>
      <c r="S457" s="121"/>
      <c r="T457" s="119"/>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spans="1:46" ht="15.75" customHeight="1" x14ac:dyDescent="0.2">
      <c r="A458" s="118"/>
      <c r="B458" s="118"/>
      <c r="C458" s="118"/>
      <c r="D458" s="118"/>
      <c r="E458" s="118"/>
      <c r="F458" s="118"/>
      <c r="G458" s="118"/>
      <c r="H458" s="118"/>
      <c r="I458" s="118"/>
      <c r="J458" s="118"/>
      <c r="K458" s="118"/>
      <c r="L458" s="118"/>
      <c r="M458" s="118"/>
      <c r="N458" s="118"/>
      <c r="O458" s="42"/>
      <c r="P458" s="42"/>
      <c r="Q458" s="42"/>
      <c r="R458" s="42"/>
      <c r="S458" s="121"/>
      <c r="T458" s="119"/>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spans="1:46" ht="15.75" customHeight="1" x14ac:dyDescent="0.2">
      <c r="A459" s="118"/>
      <c r="B459" s="118"/>
      <c r="C459" s="118"/>
      <c r="D459" s="118"/>
      <c r="E459" s="118"/>
      <c r="F459" s="118"/>
      <c r="G459" s="118"/>
      <c r="H459" s="118"/>
      <c r="I459" s="118"/>
      <c r="J459" s="118"/>
      <c r="K459" s="118"/>
      <c r="L459" s="118"/>
      <c r="M459" s="118"/>
      <c r="N459" s="118"/>
      <c r="O459" s="42"/>
      <c r="P459" s="42"/>
      <c r="Q459" s="42"/>
      <c r="R459" s="42"/>
      <c r="S459" s="121"/>
      <c r="T459" s="119"/>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spans="1:46" ht="15.75" customHeight="1" x14ac:dyDescent="0.2">
      <c r="A460" s="118"/>
      <c r="B460" s="118"/>
      <c r="C460" s="118"/>
      <c r="D460" s="118"/>
      <c r="E460" s="118"/>
      <c r="F460" s="118"/>
      <c r="G460" s="118"/>
      <c r="H460" s="118"/>
      <c r="I460" s="118"/>
      <c r="J460" s="118"/>
      <c r="K460" s="118"/>
      <c r="L460" s="118"/>
      <c r="M460" s="118"/>
      <c r="N460" s="118"/>
      <c r="O460" s="42"/>
      <c r="P460" s="42"/>
      <c r="Q460" s="42"/>
      <c r="R460" s="42"/>
      <c r="S460" s="121"/>
      <c r="T460" s="119"/>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spans="1:46" ht="15.75" customHeight="1" x14ac:dyDescent="0.2">
      <c r="A461" s="118"/>
      <c r="B461" s="118"/>
      <c r="C461" s="118"/>
      <c r="D461" s="118"/>
      <c r="E461" s="118"/>
      <c r="F461" s="118"/>
      <c r="G461" s="118"/>
      <c r="H461" s="118"/>
      <c r="I461" s="118"/>
      <c r="J461" s="118"/>
      <c r="K461" s="118"/>
      <c r="L461" s="118"/>
      <c r="M461" s="118"/>
      <c r="N461" s="118"/>
      <c r="O461" s="42"/>
      <c r="P461" s="42"/>
      <c r="Q461" s="42"/>
      <c r="R461" s="42"/>
      <c r="S461" s="121"/>
      <c r="T461" s="119"/>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spans="1:46" ht="15.75" customHeight="1" x14ac:dyDescent="0.2">
      <c r="A462" s="118"/>
      <c r="B462" s="118"/>
      <c r="C462" s="118"/>
      <c r="D462" s="118"/>
      <c r="E462" s="118"/>
      <c r="F462" s="118"/>
      <c r="G462" s="118"/>
      <c r="H462" s="118"/>
      <c r="I462" s="118"/>
      <c r="J462" s="118"/>
      <c r="K462" s="118"/>
      <c r="L462" s="118"/>
      <c r="M462" s="118"/>
      <c r="N462" s="118"/>
      <c r="O462" s="42"/>
      <c r="P462" s="42"/>
      <c r="Q462" s="42"/>
      <c r="R462" s="42"/>
      <c r="S462" s="121"/>
      <c r="T462" s="119"/>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spans="1:46" ht="15.75" customHeight="1" x14ac:dyDescent="0.2">
      <c r="A463" s="118"/>
      <c r="B463" s="118"/>
      <c r="C463" s="118"/>
      <c r="D463" s="118"/>
      <c r="E463" s="118"/>
      <c r="F463" s="118"/>
      <c r="G463" s="118"/>
      <c r="H463" s="118"/>
      <c r="I463" s="118"/>
      <c r="J463" s="118"/>
      <c r="K463" s="118"/>
      <c r="L463" s="118"/>
      <c r="M463" s="118"/>
      <c r="N463" s="118"/>
      <c r="O463" s="42"/>
      <c r="P463" s="42"/>
      <c r="Q463" s="42"/>
      <c r="R463" s="42"/>
      <c r="S463" s="121"/>
      <c r="T463" s="119"/>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spans="1:46" ht="15.75" customHeight="1" x14ac:dyDescent="0.2">
      <c r="A464" s="118"/>
      <c r="B464" s="118"/>
      <c r="C464" s="118"/>
      <c r="D464" s="118"/>
      <c r="E464" s="118"/>
      <c r="F464" s="118"/>
      <c r="G464" s="118"/>
      <c r="H464" s="118"/>
      <c r="I464" s="118"/>
      <c r="J464" s="118"/>
      <c r="K464" s="118"/>
      <c r="L464" s="118"/>
      <c r="M464" s="118"/>
      <c r="N464" s="118"/>
      <c r="O464" s="42"/>
      <c r="P464" s="42"/>
      <c r="Q464" s="42"/>
      <c r="R464" s="42"/>
      <c r="S464" s="121"/>
      <c r="T464" s="119"/>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spans="1:46" ht="15.75" customHeight="1" x14ac:dyDescent="0.2">
      <c r="A465" s="118"/>
      <c r="B465" s="118"/>
      <c r="C465" s="118"/>
      <c r="D465" s="118"/>
      <c r="E465" s="118"/>
      <c r="F465" s="118"/>
      <c r="G465" s="118"/>
      <c r="H465" s="118"/>
      <c r="I465" s="118"/>
      <c r="J465" s="118"/>
      <c r="K465" s="118"/>
      <c r="L465" s="118"/>
      <c r="M465" s="118"/>
      <c r="N465" s="118"/>
      <c r="O465" s="42"/>
      <c r="P465" s="42"/>
      <c r="Q465" s="42"/>
      <c r="R465" s="42"/>
      <c r="S465" s="121"/>
      <c r="T465" s="119"/>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spans="1:46" ht="15.75" customHeight="1" x14ac:dyDescent="0.2">
      <c r="A466" s="118"/>
      <c r="B466" s="118"/>
      <c r="C466" s="118"/>
      <c r="D466" s="118"/>
      <c r="E466" s="118"/>
      <c r="F466" s="118"/>
      <c r="G466" s="118"/>
      <c r="H466" s="118"/>
      <c r="I466" s="118"/>
      <c r="J466" s="118"/>
      <c r="K466" s="118"/>
      <c r="L466" s="118"/>
      <c r="M466" s="118"/>
      <c r="N466" s="118"/>
      <c r="O466" s="42"/>
      <c r="P466" s="42"/>
      <c r="Q466" s="42"/>
      <c r="R466" s="42"/>
      <c r="S466" s="121"/>
      <c r="T466" s="119"/>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spans="1:46" ht="15.75" customHeight="1" x14ac:dyDescent="0.2">
      <c r="A467" s="118"/>
      <c r="B467" s="118"/>
      <c r="C467" s="118"/>
      <c r="D467" s="118"/>
      <c r="E467" s="118"/>
      <c r="F467" s="118"/>
      <c r="G467" s="118"/>
      <c r="H467" s="118"/>
      <c r="I467" s="118"/>
      <c r="J467" s="118"/>
      <c r="K467" s="118"/>
      <c r="L467" s="118"/>
      <c r="M467" s="118"/>
      <c r="N467" s="118"/>
      <c r="O467" s="42"/>
      <c r="P467" s="42"/>
      <c r="Q467" s="42"/>
      <c r="R467" s="42"/>
      <c r="S467" s="121"/>
      <c r="T467" s="119"/>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spans="1:46" ht="15.75" customHeight="1" x14ac:dyDescent="0.2">
      <c r="A468" s="118"/>
      <c r="B468" s="118"/>
      <c r="C468" s="118"/>
      <c r="D468" s="118"/>
      <c r="E468" s="118"/>
      <c r="F468" s="118"/>
      <c r="G468" s="118"/>
      <c r="H468" s="118"/>
      <c r="I468" s="118"/>
      <c r="J468" s="118"/>
      <c r="K468" s="118"/>
      <c r="L468" s="118"/>
      <c r="M468" s="118"/>
      <c r="N468" s="118"/>
      <c r="O468" s="42"/>
      <c r="P468" s="42"/>
      <c r="Q468" s="42"/>
      <c r="R468" s="42"/>
      <c r="S468" s="121"/>
      <c r="T468" s="119"/>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spans="1:46" ht="15.75" customHeight="1" x14ac:dyDescent="0.2">
      <c r="A469" s="118"/>
      <c r="B469" s="118"/>
      <c r="C469" s="118"/>
      <c r="D469" s="118"/>
      <c r="E469" s="118"/>
      <c r="F469" s="118"/>
      <c r="G469" s="118"/>
      <c r="H469" s="118"/>
      <c r="I469" s="118"/>
      <c r="J469" s="118"/>
      <c r="K469" s="118"/>
      <c r="L469" s="118"/>
      <c r="M469" s="118"/>
      <c r="N469" s="118"/>
      <c r="O469" s="42"/>
      <c r="P469" s="42"/>
      <c r="Q469" s="42"/>
      <c r="R469" s="42"/>
      <c r="S469" s="121"/>
      <c r="T469" s="119"/>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spans="1:46" ht="15.75" customHeight="1" x14ac:dyDescent="0.2">
      <c r="A470" s="118"/>
      <c r="B470" s="118"/>
      <c r="C470" s="118"/>
      <c r="D470" s="118"/>
      <c r="E470" s="118"/>
      <c r="F470" s="118"/>
      <c r="G470" s="118"/>
      <c r="H470" s="118"/>
      <c r="I470" s="118"/>
      <c r="J470" s="118"/>
      <c r="K470" s="118"/>
      <c r="L470" s="118"/>
      <c r="M470" s="118"/>
      <c r="N470" s="118"/>
      <c r="O470" s="42"/>
      <c r="P470" s="42"/>
      <c r="Q470" s="42"/>
      <c r="R470" s="42"/>
      <c r="S470" s="121"/>
      <c r="T470" s="119"/>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spans="1:46" ht="15.75" customHeight="1" x14ac:dyDescent="0.2">
      <c r="A471" s="118"/>
      <c r="B471" s="118"/>
      <c r="C471" s="118"/>
      <c r="D471" s="118"/>
      <c r="E471" s="118"/>
      <c r="F471" s="118"/>
      <c r="G471" s="118"/>
      <c r="H471" s="118"/>
      <c r="I471" s="118"/>
      <c r="J471" s="118"/>
      <c r="K471" s="118"/>
      <c r="L471" s="118"/>
      <c r="M471" s="118"/>
      <c r="N471" s="118"/>
      <c r="O471" s="42"/>
      <c r="P471" s="42"/>
      <c r="Q471" s="42"/>
      <c r="R471" s="42"/>
      <c r="S471" s="121"/>
      <c r="T471" s="119"/>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spans="1:46" ht="15.75" customHeight="1" x14ac:dyDescent="0.2">
      <c r="A472" s="118"/>
      <c r="B472" s="118"/>
      <c r="C472" s="118"/>
      <c r="D472" s="118"/>
      <c r="E472" s="118"/>
      <c r="F472" s="118"/>
      <c r="G472" s="118"/>
      <c r="H472" s="118"/>
      <c r="I472" s="118"/>
      <c r="J472" s="118"/>
      <c r="K472" s="118"/>
      <c r="L472" s="118"/>
      <c r="M472" s="118"/>
      <c r="N472" s="118"/>
      <c r="O472" s="42"/>
      <c r="P472" s="42"/>
      <c r="Q472" s="42"/>
      <c r="R472" s="42"/>
      <c r="S472" s="121"/>
      <c r="T472" s="119"/>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spans="1:46" ht="15.75" customHeight="1" x14ac:dyDescent="0.2">
      <c r="A473" s="118"/>
      <c r="B473" s="118"/>
      <c r="C473" s="118"/>
      <c r="D473" s="118"/>
      <c r="E473" s="118"/>
      <c r="F473" s="118"/>
      <c r="G473" s="118"/>
      <c r="H473" s="118"/>
      <c r="I473" s="118"/>
      <c r="J473" s="118"/>
      <c r="K473" s="118"/>
      <c r="L473" s="118"/>
      <c r="M473" s="118"/>
      <c r="N473" s="118"/>
      <c r="O473" s="42"/>
      <c r="P473" s="42"/>
      <c r="Q473" s="42"/>
      <c r="R473" s="42"/>
      <c r="S473" s="121"/>
      <c r="T473" s="119"/>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spans="1:46" ht="15.75" customHeight="1" x14ac:dyDescent="0.2">
      <c r="A474" s="118"/>
      <c r="B474" s="118"/>
      <c r="C474" s="118"/>
      <c r="D474" s="118"/>
      <c r="E474" s="118"/>
      <c r="F474" s="118"/>
      <c r="G474" s="118"/>
      <c r="H474" s="118"/>
      <c r="I474" s="118"/>
      <c r="J474" s="118"/>
      <c r="K474" s="118"/>
      <c r="L474" s="118"/>
      <c r="M474" s="118"/>
      <c r="N474" s="118"/>
      <c r="O474" s="42"/>
      <c r="P474" s="42"/>
      <c r="Q474" s="42"/>
      <c r="R474" s="42"/>
      <c r="S474" s="121"/>
      <c r="T474" s="119"/>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spans="1:46" ht="15.75" customHeight="1" x14ac:dyDescent="0.2">
      <c r="A475" s="118"/>
      <c r="B475" s="118"/>
      <c r="C475" s="118"/>
      <c r="D475" s="118"/>
      <c r="E475" s="118"/>
      <c r="F475" s="118"/>
      <c r="G475" s="118"/>
      <c r="H475" s="118"/>
      <c r="I475" s="118"/>
      <c r="J475" s="118"/>
      <c r="K475" s="118"/>
      <c r="L475" s="118"/>
      <c r="M475" s="118"/>
      <c r="N475" s="118"/>
      <c r="O475" s="42"/>
      <c r="P475" s="42"/>
      <c r="Q475" s="42"/>
      <c r="R475" s="42"/>
      <c r="S475" s="121"/>
      <c r="T475" s="119"/>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spans="1:46" ht="15.75" customHeight="1" x14ac:dyDescent="0.2">
      <c r="A476" s="118"/>
      <c r="B476" s="118"/>
      <c r="C476" s="118"/>
      <c r="D476" s="118"/>
      <c r="E476" s="118"/>
      <c r="F476" s="118"/>
      <c r="G476" s="118"/>
      <c r="H476" s="118"/>
      <c r="I476" s="118"/>
      <c r="J476" s="118"/>
      <c r="K476" s="118"/>
      <c r="L476" s="118"/>
      <c r="M476" s="118"/>
      <c r="N476" s="118"/>
      <c r="O476" s="42"/>
      <c r="P476" s="42"/>
      <c r="Q476" s="42"/>
      <c r="R476" s="42"/>
      <c r="S476" s="121"/>
      <c r="T476" s="119"/>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spans="1:46" ht="15.75" customHeight="1" x14ac:dyDescent="0.2">
      <c r="A477" s="118"/>
      <c r="B477" s="118"/>
      <c r="C477" s="118"/>
      <c r="D477" s="118"/>
      <c r="E477" s="118"/>
      <c r="F477" s="118"/>
      <c r="G477" s="118"/>
      <c r="H477" s="118"/>
      <c r="I477" s="118"/>
      <c r="J477" s="118"/>
      <c r="K477" s="118"/>
      <c r="L477" s="118"/>
      <c r="M477" s="118"/>
      <c r="N477" s="118"/>
      <c r="O477" s="42"/>
      <c r="P477" s="42"/>
      <c r="Q477" s="42"/>
      <c r="R477" s="42"/>
      <c r="S477" s="121"/>
      <c r="T477" s="119"/>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spans="1:46" ht="15.75" customHeight="1" x14ac:dyDescent="0.2">
      <c r="A478" s="118"/>
      <c r="B478" s="118"/>
      <c r="C478" s="118"/>
      <c r="D478" s="118"/>
      <c r="E478" s="118"/>
      <c r="F478" s="118"/>
      <c r="G478" s="118"/>
      <c r="H478" s="118"/>
      <c r="I478" s="118"/>
      <c r="J478" s="118"/>
      <c r="K478" s="118"/>
      <c r="L478" s="118"/>
      <c r="M478" s="118"/>
      <c r="N478" s="118"/>
      <c r="O478" s="42"/>
      <c r="P478" s="42"/>
      <c r="Q478" s="42"/>
      <c r="R478" s="42"/>
      <c r="S478" s="121"/>
      <c r="T478" s="119"/>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spans="1:46" ht="15.75" customHeight="1" x14ac:dyDescent="0.2">
      <c r="A479" s="118"/>
      <c r="B479" s="118"/>
      <c r="C479" s="118"/>
      <c r="D479" s="118"/>
      <c r="E479" s="118"/>
      <c r="F479" s="118"/>
      <c r="G479" s="118"/>
      <c r="H479" s="118"/>
      <c r="I479" s="118"/>
      <c r="J479" s="118"/>
      <c r="K479" s="118"/>
      <c r="L479" s="118"/>
      <c r="M479" s="118"/>
      <c r="N479" s="118"/>
      <c r="O479" s="42"/>
      <c r="P479" s="42"/>
      <c r="Q479" s="42"/>
      <c r="R479" s="42"/>
      <c r="S479" s="121"/>
      <c r="T479" s="119"/>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spans="1:46" ht="15.75" customHeight="1" x14ac:dyDescent="0.2">
      <c r="A480" s="118"/>
      <c r="B480" s="118"/>
      <c r="C480" s="118"/>
      <c r="D480" s="118"/>
      <c r="E480" s="118"/>
      <c r="F480" s="118"/>
      <c r="G480" s="118"/>
      <c r="H480" s="118"/>
      <c r="I480" s="118"/>
      <c r="J480" s="118"/>
      <c r="K480" s="118"/>
      <c r="L480" s="118"/>
      <c r="M480" s="118"/>
      <c r="N480" s="118"/>
      <c r="O480" s="42"/>
      <c r="P480" s="42"/>
      <c r="Q480" s="42"/>
      <c r="R480" s="42"/>
      <c r="S480" s="121"/>
      <c r="T480" s="119"/>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spans="1:46" ht="15.75" customHeight="1" x14ac:dyDescent="0.2">
      <c r="A481" s="118"/>
      <c r="B481" s="118"/>
      <c r="C481" s="118"/>
      <c r="D481" s="118"/>
      <c r="E481" s="118"/>
      <c r="F481" s="118"/>
      <c r="G481" s="118"/>
      <c r="H481" s="118"/>
      <c r="I481" s="118"/>
      <c r="J481" s="118"/>
      <c r="K481" s="118"/>
      <c r="L481" s="118"/>
      <c r="M481" s="118"/>
      <c r="N481" s="118"/>
      <c r="O481" s="42"/>
      <c r="P481" s="42"/>
      <c r="Q481" s="42"/>
      <c r="R481" s="42"/>
      <c r="S481" s="121"/>
      <c r="T481" s="119"/>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spans="1:46" ht="15.75" customHeight="1" x14ac:dyDescent="0.2">
      <c r="A482" s="118"/>
      <c r="B482" s="118"/>
      <c r="C482" s="118"/>
      <c r="D482" s="118"/>
      <c r="E482" s="118"/>
      <c r="F482" s="118"/>
      <c r="G482" s="118"/>
      <c r="H482" s="118"/>
      <c r="I482" s="118"/>
      <c r="J482" s="118"/>
      <c r="K482" s="118"/>
      <c r="L482" s="118"/>
      <c r="M482" s="118"/>
      <c r="N482" s="118"/>
      <c r="O482" s="42"/>
      <c r="P482" s="42"/>
      <c r="Q482" s="42"/>
      <c r="R482" s="42"/>
      <c r="S482" s="121"/>
      <c r="T482" s="119"/>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spans="1:46" ht="15.75" customHeight="1" x14ac:dyDescent="0.2">
      <c r="A483" s="118"/>
      <c r="B483" s="118"/>
      <c r="C483" s="118"/>
      <c r="D483" s="118"/>
      <c r="E483" s="118"/>
      <c r="F483" s="118"/>
      <c r="G483" s="118"/>
      <c r="H483" s="118"/>
      <c r="I483" s="118"/>
      <c r="J483" s="118"/>
      <c r="K483" s="118"/>
      <c r="L483" s="118"/>
      <c r="M483" s="118"/>
      <c r="N483" s="118"/>
      <c r="O483" s="42"/>
      <c r="P483" s="42"/>
      <c r="Q483" s="42"/>
      <c r="R483" s="42"/>
      <c r="S483" s="121"/>
      <c r="T483" s="119"/>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spans="1:46" ht="15.75" customHeight="1" x14ac:dyDescent="0.2">
      <c r="A484" s="118"/>
      <c r="B484" s="118"/>
      <c r="C484" s="118"/>
      <c r="D484" s="118"/>
      <c r="E484" s="118"/>
      <c r="F484" s="118"/>
      <c r="G484" s="118"/>
      <c r="H484" s="118"/>
      <c r="I484" s="118"/>
      <c r="J484" s="118"/>
      <c r="K484" s="118"/>
      <c r="L484" s="118"/>
      <c r="M484" s="118"/>
      <c r="N484" s="118"/>
      <c r="O484" s="42"/>
      <c r="P484" s="42"/>
      <c r="Q484" s="42"/>
      <c r="R484" s="42"/>
      <c r="S484" s="121"/>
      <c r="T484" s="119"/>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spans="1:46" ht="15.75" customHeight="1" x14ac:dyDescent="0.2">
      <c r="A485" s="118"/>
      <c r="B485" s="118"/>
      <c r="C485" s="118"/>
      <c r="D485" s="118"/>
      <c r="E485" s="118"/>
      <c r="F485" s="118"/>
      <c r="G485" s="118"/>
      <c r="H485" s="118"/>
      <c r="I485" s="118"/>
      <c r="J485" s="118"/>
      <c r="K485" s="118"/>
      <c r="L485" s="118"/>
      <c r="M485" s="118"/>
      <c r="N485" s="118"/>
      <c r="O485" s="42"/>
      <c r="P485" s="42"/>
      <c r="Q485" s="42"/>
      <c r="R485" s="42"/>
      <c r="S485" s="121"/>
      <c r="T485" s="119"/>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spans="1:46" ht="15.75" customHeight="1" x14ac:dyDescent="0.2">
      <c r="A486" s="118"/>
      <c r="B486" s="118"/>
      <c r="C486" s="118"/>
      <c r="D486" s="118"/>
      <c r="E486" s="118"/>
      <c r="F486" s="118"/>
      <c r="G486" s="118"/>
      <c r="H486" s="118"/>
      <c r="I486" s="118"/>
      <c r="J486" s="118"/>
      <c r="K486" s="118"/>
      <c r="L486" s="118"/>
      <c r="M486" s="118"/>
      <c r="N486" s="118"/>
      <c r="O486" s="42"/>
      <c r="P486" s="42"/>
      <c r="Q486" s="42"/>
      <c r="R486" s="42"/>
      <c r="S486" s="121"/>
      <c r="T486" s="119"/>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spans="1:46" ht="15.75" customHeight="1" x14ac:dyDescent="0.2">
      <c r="A487" s="118"/>
      <c r="B487" s="118"/>
      <c r="C487" s="118"/>
      <c r="D487" s="118"/>
      <c r="E487" s="118"/>
      <c r="F487" s="118"/>
      <c r="G487" s="118"/>
      <c r="H487" s="118"/>
      <c r="I487" s="118"/>
      <c r="J487" s="118"/>
      <c r="K487" s="118"/>
      <c r="L487" s="118"/>
      <c r="M487" s="118"/>
      <c r="N487" s="118"/>
      <c r="O487" s="42"/>
      <c r="P487" s="42"/>
      <c r="Q487" s="42"/>
      <c r="R487" s="42"/>
      <c r="S487" s="121"/>
      <c r="T487" s="119"/>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spans="1:46" ht="15.75" customHeight="1" x14ac:dyDescent="0.2">
      <c r="A488" s="118"/>
      <c r="B488" s="118"/>
      <c r="C488" s="118"/>
      <c r="D488" s="118"/>
      <c r="E488" s="118"/>
      <c r="F488" s="118"/>
      <c r="G488" s="118"/>
      <c r="H488" s="118"/>
      <c r="I488" s="118"/>
      <c r="J488" s="118"/>
      <c r="K488" s="118"/>
      <c r="L488" s="118"/>
      <c r="M488" s="118"/>
      <c r="N488" s="118"/>
      <c r="O488" s="42"/>
      <c r="P488" s="42"/>
      <c r="Q488" s="42"/>
      <c r="R488" s="42"/>
      <c r="S488" s="121"/>
      <c r="T488" s="119"/>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spans="1:46" ht="15.75" customHeight="1" x14ac:dyDescent="0.2">
      <c r="A489" s="118"/>
      <c r="B489" s="118"/>
      <c r="C489" s="118"/>
      <c r="D489" s="118"/>
      <c r="E489" s="118"/>
      <c r="F489" s="118"/>
      <c r="G489" s="118"/>
      <c r="H489" s="118"/>
      <c r="I489" s="118"/>
      <c r="J489" s="118"/>
      <c r="K489" s="118"/>
      <c r="L489" s="118"/>
      <c r="M489" s="118"/>
      <c r="N489" s="118"/>
      <c r="O489" s="42"/>
      <c r="P489" s="42"/>
      <c r="Q489" s="42"/>
      <c r="R489" s="42"/>
      <c r="S489" s="121"/>
      <c r="T489" s="119"/>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spans="1:46" ht="15.75" customHeight="1" x14ac:dyDescent="0.2">
      <c r="A490" s="118"/>
      <c r="B490" s="118"/>
      <c r="C490" s="118"/>
      <c r="D490" s="118"/>
      <c r="E490" s="118"/>
      <c r="F490" s="118"/>
      <c r="G490" s="118"/>
      <c r="H490" s="118"/>
      <c r="I490" s="118"/>
      <c r="J490" s="118"/>
      <c r="K490" s="118"/>
      <c r="L490" s="118"/>
      <c r="M490" s="118"/>
      <c r="N490" s="118"/>
      <c r="O490" s="42"/>
      <c r="P490" s="42"/>
      <c r="Q490" s="42"/>
      <c r="R490" s="42"/>
      <c r="S490" s="121"/>
      <c r="T490" s="119"/>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spans="1:46" ht="15.75" customHeight="1" x14ac:dyDescent="0.2">
      <c r="A491" s="118"/>
      <c r="B491" s="118"/>
      <c r="C491" s="118"/>
      <c r="D491" s="118"/>
      <c r="E491" s="118"/>
      <c r="F491" s="118"/>
      <c r="G491" s="118"/>
      <c r="H491" s="118"/>
      <c r="I491" s="118"/>
      <c r="J491" s="118"/>
      <c r="K491" s="118"/>
      <c r="L491" s="118"/>
      <c r="M491" s="118"/>
      <c r="N491" s="118"/>
      <c r="O491" s="42"/>
      <c r="P491" s="42"/>
      <c r="Q491" s="42"/>
      <c r="R491" s="42"/>
      <c r="S491" s="121"/>
      <c r="T491" s="119"/>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spans="1:46" ht="15.75" customHeight="1" x14ac:dyDescent="0.2">
      <c r="A492" s="118"/>
      <c r="B492" s="118"/>
      <c r="C492" s="118"/>
      <c r="D492" s="118"/>
      <c r="E492" s="118"/>
      <c r="F492" s="118"/>
      <c r="G492" s="118"/>
      <c r="H492" s="118"/>
      <c r="I492" s="118"/>
      <c r="J492" s="118"/>
      <c r="K492" s="118"/>
      <c r="L492" s="118"/>
      <c r="M492" s="118"/>
      <c r="N492" s="118"/>
      <c r="O492" s="42"/>
      <c r="P492" s="42"/>
      <c r="Q492" s="42"/>
      <c r="R492" s="42"/>
      <c r="S492" s="121"/>
      <c r="T492" s="119"/>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spans="1:46" ht="15.75" customHeight="1" x14ac:dyDescent="0.2">
      <c r="A493" s="118"/>
      <c r="B493" s="118"/>
      <c r="C493" s="118"/>
      <c r="D493" s="118"/>
      <c r="E493" s="118"/>
      <c r="F493" s="118"/>
      <c r="G493" s="118"/>
      <c r="H493" s="118"/>
      <c r="I493" s="118"/>
      <c r="J493" s="118"/>
      <c r="K493" s="118"/>
      <c r="L493" s="118"/>
      <c r="M493" s="118"/>
      <c r="N493" s="118"/>
      <c r="O493" s="42"/>
      <c r="P493" s="42"/>
      <c r="Q493" s="42"/>
      <c r="R493" s="42"/>
      <c r="S493" s="121"/>
      <c r="T493" s="119"/>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spans="1:46" ht="15.75" customHeight="1" x14ac:dyDescent="0.2">
      <c r="A494" s="118"/>
      <c r="B494" s="118"/>
      <c r="C494" s="118"/>
      <c r="D494" s="118"/>
      <c r="E494" s="118"/>
      <c r="F494" s="118"/>
      <c r="G494" s="118"/>
      <c r="H494" s="118"/>
      <c r="I494" s="118"/>
      <c r="J494" s="118"/>
      <c r="K494" s="118"/>
      <c r="L494" s="118"/>
      <c r="M494" s="118"/>
      <c r="N494" s="118"/>
      <c r="O494" s="42"/>
      <c r="P494" s="42"/>
      <c r="Q494" s="42"/>
      <c r="R494" s="42"/>
      <c r="S494" s="121"/>
      <c r="T494" s="119"/>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spans="1:46" ht="15.75" customHeight="1" x14ac:dyDescent="0.2">
      <c r="A495" s="118"/>
      <c r="B495" s="118"/>
      <c r="C495" s="118"/>
      <c r="D495" s="118"/>
      <c r="E495" s="118"/>
      <c r="F495" s="118"/>
      <c r="G495" s="118"/>
      <c r="H495" s="118"/>
      <c r="I495" s="118"/>
      <c r="J495" s="118"/>
      <c r="K495" s="118"/>
      <c r="L495" s="118"/>
      <c r="M495" s="118"/>
      <c r="N495" s="118"/>
      <c r="O495" s="42"/>
      <c r="P495" s="42"/>
      <c r="Q495" s="42"/>
      <c r="R495" s="42"/>
      <c r="S495" s="121"/>
      <c r="T495" s="119"/>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spans="1:46" ht="15.75" customHeight="1" x14ac:dyDescent="0.2">
      <c r="A496" s="118"/>
      <c r="B496" s="118"/>
      <c r="C496" s="118"/>
      <c r="D496" s="118"/>
      <c r="E496" s="118"/>
      <c r="F496" s="118"/>
      <c r="G496" s="118"/>
      <c r="H496" s="118"/>
      <c r="I496" s="118"/>
      <c r="J496" s="118"/>
      <c r="K496" s="118"/>
      <c r="L496" s="118"/>
      <c r="M496" s="118"/>
      <c r="N496" s="118"/>
      <c r="O496" s="42"/>
      <c r="P496" s="42"/>
      <c r="Q496" s="42"/>
      <c r="R496" s="42"/>
      <c r="S496" s="121"/>
      <c r="T496" s="119"/>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spans="1:46" ht="15.75" customHeight="1" x14ac:dyDescent="0.2">
      <c r="A497" s="118"/>
      <c r="B497" s="118"/>
      <c r="C497" s="118"/>
      <c r="D497" s="118"/>
      <c r="E497" s="118"/>
      <c r="F497" s="118"/>
      <c r="G497" s="118"/>
      <c r="H497" s="118"/>
      <c r="I497" s="118"/>
      <c r="J497" s="118"/>
      <c r="K497" s="118"/>
      <c r="L497" s="118"/>
      <c r="M497" s="118"/>
      <c r="N497" s="118"/>
      <c r="O497" s="42"/>
      <c r="P497" s="42"/>
      <c r="Q497" s="42"/>
      <c r="R497" s="42"/>
      <c r="S497" s="121"/>
      <c r="T497" s="119"/>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spans="1:46" ht="15.75" customHeight="1" x14ac:dyDescent="0.2">
      <c r="A498" s="118"/>
      <c r="B498" s="118"/>
      <c r="C498" s="118"/>
      <c r="D498" s="118"/>
      <c r="E498" s="118"/>
      <c r="F498" s="118"/>
      <c r="G498" s="118"/>
      <c r="H498" s="118"/>
      <c r="I498" s="118"/>
      <c r="J498" s="118"/>
      <c r="K498" s="118"/>
      <c r="L498" s="118"/>
      <c r="M498" s="118"/>
      <c r="N498" s="118"/>
      <c r="O498" s="42"/>
      <c r="P498" s="42"/>
      <c r="Q498" s="42"/>
      <c r="R498" s="42"/>
      <c r="S498" s="121"/>
      <c r="T498" s="119"/>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spans="1:46" ht="15.75" customHeight="1" x14ac:dyDescent="0.2">
      <c r="A499" s="118"/>
      <c r="B499" s="118"/>
      <c r="C499" s="118"/>
      <c r="D499" s="118"/>
      <c r="E499" s="118"/>
      <c r="F499" s="118"/>
      <c r="G499" s="118"/>
      <c r="H499" s="118"/>
      <c r="I499" s="118"/>
      <c r="J499" s="118"/>
      <c r="K499" s="118"/>
      <c r="L499" s="118"/>
      <c r="M499" s="118"/>
      <c r="N499" s="118"/>
      <c r="O499" s="42"/>
      <c r="P499" s="42"/>
      <c r="Q499" s="42"/>
      <c r="R499" s="42"/>
      <c r="S499" s="121"/>
      <c r="T499" s="119"/>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spans="1:46" ht="15.75" customHeight="1" x14ac:dyDescent="0.2">
      <c r="A500" s="118"/>
      <c r="B500" s="118"/>
      <c r="C500" s="118"/>
      <c r="D500" s="118"/>
      <c r="E500" s="118"/>
      <c r="F500" s="118"/>
      <c r="G500" s="118"/>
      <c r="H500" s="118"/>
      <c r="I500" s="118"/>
      <c r="J500" s="118"/>
      <c r="K500" s="118"/>
      <c r="L500" s="118"/>
      <c r="M500" s="118"/>
      <c r="N500" s="118"/>
      <c r="O500" s="42"/>
      <c r="P500" s="42"/>
      <c r="Q500" s="42"/>
      <c r="R500" s="42"/>
      <c r="S500" s="121"/>
      <c r="T500" s="119"/>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spans="1:46" ht="15.75" customHeight="1" x14ac:dyDescent="0.2">
      <c r="A501" s="118"/>
      <c r="B501" s="118"/>
      <c r="C501" s="118"/>
      <c r="D501" s="118"/>
      <c r="E501" s="118"/>
      <c r="F501" s="118"/>
      <c r="G501" s="118"/>
      <c r="H501" s="118"/>
      <c r="I501" s="118"/>
      <c r="J501" s="118"/>
      <c r="K501" s="118"/>
      <c r="L501" s="118"/>
      <c r="M501" s="118"/>
      <c r="N501" s="118"/>
      <c r="O501" s="42"/>
      <c r="P501" s="42"/>
      <c r="Q501" s="42"/>
      <c r="R501" s="42"/>
      <c r="S501" s="121"/>
      <c r="T501" s="119"/>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spans="1:46" ht="15.75" customHeight="1" x14ac:dyDescent="0.2">
      <c r="A502" s="118"/>
      <c r="B502" s="118"/>
      <c r="C502" s="118"/>
      <c r="D502" s="118"/>
      <c r="E502" s="118"/>
      <c r="F502" s="118"/>
      <c r="G502" s="118"/>
      <c r="H502" s="118"/>
      <c r="I502" s="118"/>
      <c r="J502" s="118"/>
      <c r="K502" s="118"/>
      <c r="L502" s="118"/>
      <c r="M502" s="118"/>
      <c r="N502" s="118"/>
      <c r="O502" s="42"/>
      <c r="P502" s="42"/>
      <c r="Q502" s="42"/>
      <c r="R502" s="42"/>
      <c r="S502" s="121"/>
      <c r="T502" s="119"/>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spans="1:46" ht="15.75" customHeight="1" x14ac:dyDescent="0.2">
      <c r="A503" s="118"/>
      <c r="B503" s="118"/>
      <c r="C503" s="118"/>
      <c r="D503" s="118"/>
      <c r="E503" s="118"/>
      <c r="F503" s="118"/>
      <c r="G503" s="118"/>
      <c r="H503" s="118"/>
      <c r="I503" s="118"/>
      <c r="J503" s="118"/>
      <c r="K503" s="118"/>
      <c r="L503" s="118"/>
      <c r="M503" s="118"/>
      <c r="N503" s="118"/>
      <c r="O503" s="42"/>
      <c r="P503" s="42"/>
      <c r="Q503" s="42"/>
      <c r="R503" s="42"/>
      <c r="S503" s="121"/>
      <c r="T503" s="119"/>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spans="1:46" ht="15.75" customHeight="1" x14ac:dyDescent="0.2">
      <c r="A504" s="118"/>
      <c r="B504" s="118"/>
      <c r="C504" s="118"/>
      <c r="D504" s="118"/>
      <c r="E504" s="118"/>
      <c r="F504" s="118"/>
      <c r="G504" s="118"/>
      <c r="H504" s="118"/>
      <c r="I504" s="118"/>
      <c r="J504" s="118"/>
      <c r="K504" s="118"/>
      <c r="L504" s="118"/>
      <c r="M504" s="118"/>
      <c r="N504" s="118"/>
      <c r="O504" s="42"/>
      <c r="P504" s="42"/>
      <c r="Q504" s="42"/>
      <c r="R504" s="42"/>
      <c r="S504" s="121"/>
      <c r="T504" s="119"/>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spans="1:46" ht="15.75" customHeight="1" x14ac:dyDescent="0.2">
      <c r="A505" s="118"/>
      <c r="B505" s="118"/>
      <c r="C505" s="118"/>
      <c r="D505" s="118"/>
      <c r="E505" s="118"/>
      <c r="F505" s="118"/>
      <c r="G505" s="118"/>
      <c r="H505" s="118"/>
      <c r="I505" s="118"/>
      <c r="J505" s="118"/>
      <c r="K505" s="118"/>
      <c r="L505" s="118"/>
      <c r="M505" s="118"/>
      <c r="N505" s="118"/>
      <c r="O505" s="42"/>
      <c r="P505" s="42"/>
      <c r="Q505" s="42"/>
      <c r="R505" s="42"/>
      <c r="S505" s="121"/>
      <c r="T505" s="119"/>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spans="1:46" ht="15.75" customHeight="1" x14ac:dyDescent="0.2">
      <c r="A506" s="118"/>
      <c r="B506" s="118"/>
      <c r="C506" s="118"/>
      <c r="D506" s="118"/>
      <c r="E506" s="118"/>
      <c r="F506" s="118"/>
      <c r="G506" s="118"/>
      <c r="H506" s="118"/>
      <c r="I506" s="118"/>
      <c r="J506" s="118"/>
      <c r="K506" s="118"/>
      <c r="L506" s="118"/>
      <c r="M506" s="118"/>
      <c r="N506" s="118"/>
      <c r="O506" s="42"/>
      <c r="P506" s="42"/>
      <c r="Q506" s="42"/>
      <c r="R506" s="42"/>
      <c r="S506" s="121"/>
      <c r="T506" s="119"/>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spans="1:46" ht="15.75" customHeight="1" x14ac:dyDescent="0.2">
      <c r="A507" s="118"/>
      <c r="B507" s="118"/>
      <c r="C507" s="118"/>
      <c r="D507" s="118"/>
      <c r="E507" s="118"/>
      <c r="F507" s="118"/>
      <c r="G507" s="118"/>
      <c r="H507" s="118"/>
      <c r="I507" s="118"/>
      <c r="J507" s="118"/>
      <c r="K507" s="118"/>
      <c r="L507" s="118"/>
      <c r="M507" s="118"/>
      <c r="N507" s="118"/>
      <c r="O507" s="42"/>
      <c r="P507" s="42"/>
      <c r="Q507" s="42"/>
      <c r="R507" s="42"/>
      <c r="S507" s="121"/>
      <c r="T507" s="119"/>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spans="1:46" ht="15.75" customHeight="1" x14ac:dyDescent="0.2">
      <c r="A508" s="118"/>
      <c r="B508" s="118"/>
      <c r="C508" s="118"/>
      <c r="D508" s="118"/>
      <c r="E508" s="118"/>
      <c r="F508" s="118"/>
      <c r="G508" s="118"/>
      <c r="H508" s="118"/>
      <c r="I508" s="118"/>
      <c r="J508" s="118"/>
      <c r="K508" s="118"/>
      <c r="L508" s="118"/>
      <c r="M508" s="118"/>
      <c r="N508" s="118"/>
      <c r="O508" s="42"/>
      <c r="P508" s="42"/>
      <c r="Q508" s="42"/>
      <c r="R508" s="42"/>
      <c r="S508" s="121"/>
      <c r="T508" s="119"/>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spans="1:46" ht="15.75" customHeight="1" x14ac:dyDescent="0.2">
      <c r="A509" s="118"/>
      <c r="B509" s="118"/>
      <c r="C509" s="118"/>
      <c r="D509" s="118"/>
      <c r="E509" s="118"/>
      <c r="F509" s="118"/>
      <c r="G509" s="118"/>
      <c r="H509" s="118"/>
      <c r="I509" s="118"/>
      <c r="J509" s="118"/>
      <c r="K509" s="118"/>
      <c r="L509" s="118"/>
      <c r="M509" s="118"/>
      <c r="N509" s="118"/>
      <c r="O509" s="42"/>
      <c r="P509" s="42"/>
      <c r="Q509" s="42"/>
      <c r="R509" s="42"/>
      <c r="S509" s="121"/>
      <c r="T509" s="119"/>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spans="1:46" ht="15.75" customHeight="1" x14ac:dyDescent="0.2">
      <c r="A510" s="118"/>
      <c r="B510" s="118"/>
      <c r="C510" s="118"/>
      <c r="D510" s="118"/>
      <c r="E510" s="118"/>
      <c r="F510" s="118"/>
      <c r="G510" s="118"/>
      <c r="H510" s="118"/>
      <c r="I510" s="118"/>
      <c r="J510" s="118"/>
      <c r="K510" s="118"/>
      <c r="L510" s="118"/>
      <c r="M510" s="118"/>
      <c r="N510" s="118"/>
      <c r="O510" s="42"/>
      <c r="P510" s="42"/>
      <c r="Q510" s="42"/>
      <c r="R510" s="42"/>
      <c r="S510" s="121"/>
      <c r="T510" s="119"/>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spans="1:46" ht="15.75" customHeight="1" x14ac:dyDescent="0.2">
      <c r="A511" s="118"/>
      <c r="B511" s="118"/>
      <c r="C511" s="118"/>
      <c r="D511" s="118"/>
      <c r="E511" s="118"/>
      <c r="F511" s="118"/>
      <c r="G511" s="118"/>
      <c r="H511" s="118"/>
      <c r="I511" s="118"/>
      <c r="J511" s="118"/>
      <c r="K511" s="118"/>
      <c r="L511" s="118"/>
      <c r="M511" s="118"/>
      <c r="N511" s="118"/>
      <c r="O511" s="42"/>
      <c r="P511" s="42"/>
      <c r="Q511" s="42"/>
      <c r="R511" s="42"/>
      <c r="S511" s="121"/>
      <c r="T511" s="119"/>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spans="1:46" ht="15.75" customHeight="1" x14ac:dyDescent="0.2">
      <c r="A512" s="118"/>
      <c r="B512" s="118"/>
      <c r="C512" s="118"/>
      <c r="D512" s="118"/>
      <c r="E512" s="118"/>
      <c r="F512" s="118"/>
      <c r="G512" s="118"/>
      <c r="H512" s="118"/>
      <c r="I512" s="118"/>
      <c r="J512" s="118"/>
      <c r="K512" s="118"/>
      <c r="L512" s="118"/>
      <c r="M512" s="118"/>
      <c r="N512" s="118"/>
      <c r="O512" s="42"/>
      <c r="P512" s="42"/>
      <c r="Q512" s="42"/>
      <c r="R512" s="42"/>
      <c r="S512" s="121"/>
      <c r="T512" s="119"/>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spans="1:46" ht="15.75" customHeight="1" x14ac:dyDescent="0.2">
      <c r="A513" s="118"/>
      <c r="B513" s="118"/>
      <c r="C513" s="118"/>
      <c r="D513" s="118"/>
      <c r="E513" s="118"/>
      <c r="F513" s="118"/>
      <c r="G513" s="118"/>
      <c r="H513" s="118"/>
      <c r="I513" s="118"/>
      <c r="J513" s="118"/>
      <c r="K513" s="118"/>
      <c r="L513" s="118"/>
      <c r="M513" s="118"/>
      <c r="N513" s="118"/>
      <c r="O513" s="42"/>
      <c r="P513" s="42"/>
      <c r="Q513" s="42"/>
      <c r="R513" s="42"/>
      <c r="S513" s="121"/>
      <c r="T513" s="119"/>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spans="1:46" ht="15.75" customHeight="1" x14ac:dyDescent="0.2">
      <c r="A514" s="118"/>
      <c r="B514" s="118"/>
      <c r="C514" s="118"/>
      <c r="D514" s="118"/>
      <c r="E514" s="118"/>
      <c r="F514" s="118"/>
      <c r="G514" s="118"/>
      <c r="H514" s="118"/>
      <c r="I514" s="118"/>
      <c r="J514" s="118"/>
      <c r="K514" s="118"/>
      <c r="L514" s="118"/>
      <c r="M514" s="118"/>
      <c r="N514" s="118"/>
      <c r="O514" s="42"/>
      <c r="P514" s="42"/>
      <c r="Q514" s="42"/>
      <c r="R514" s="42"/>
      <c r="S514" s="121"/>
      <c r="T514" s="119"/>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spans="1:46" ht="15.75" customHeight="1" x14ac:dyDescent="0.2">
      <c r="A515" s="118"/>
      <c r="B515" s="118"/>
      <c r="C515" s="118"/>
      <c r="D515" s="118"/>
      <c r="E515" s="118"/>
      <c r="F515" s="118"/>
      <c r="G515" s="118"/>
      <c r="H515" s="118"/>
      <c r="I515" s="118"/>
      <c r="J515" s="118"/>
      <c r="K515" s="118"/>
      <c r="L515" s="118"/>
      <c r="M515" s="118"/>
      <c r="N515" s="118"/>
      <c r="O515" s="42"/>
      <c r="P515" s="42"/>
      <c r="Q515" s="42"/>
      <c r="R515" s="42"/>
      <c r="S515" s="121"/>
      <c r="T515" s="119"/>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spans="1:46" ht="15.75" customHeight="1" x14ac:dyDescent="0.2">
      <c r="A516" s="118"/>
      <c r="B516" s="118"/>
      <c r="C516" s="118"/>
      <c r="D516" s="118"/>
      <c r="E516" s="118"/>
      <c r="F516" s="118"/>
      <c r="G516" s="118"/>
      <c r="H516" s="118"/>
      <c r="I516" s="118"/>
      <c r="J516" s="118"/>
      <c r="K516" s="118"/>
      <c r="L516" s="118"/>
      <c r="M516" s="118"/>
      <c r="N516" s="118"/>
      <c r="O516" s="42"/>
      <c r="P516" s="42"/>
      <c r="Q516" s="42"/>
      <c r="R516" s="42"/>
      <c r="S516" s="121"/>
      <c r="T516" s="119"/>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spans="1:46" ht="15.75" customHeight="1" x14ac:dyDescent="0.2">
      <c r="A517" s="118"/>
      <c r="B517" s="118"/>
      <c r="C517" s="118"/>
      <c r="D517" s="118"/>
      <c r="E517" s="118"/>
      <c r="F517" s="118"/>
      <c r="G517" s="118"/>
      <c r="H517" s="118"/>
      <c r="I517" s="118"/>
      <c r="J517" s="118"/>
      <c r="K517" s="118"/>
      <c r="L517" s="118"/>
      <c r="M517" s="118"/>
      <c r="N517" s="118"/>
      <c r="O517" s="42"/>
      <c r="P517" s="42"/>
      <c r="Q517" s="42"/>
      <c r="R517" s="42"/>
      <c r="S517" s="121"/>
      <c r="T517" s="119"/>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spans="1:46" ht="15.75" customHeight="1" x14ac:dyDescent="0.2">
      <c r="A518" s="118"/>
      <c r="B518" s="118"/>
      <c r="C518" s="118"/>
      <c r="D518" s="118"/>
      <c r="E518" s="118"/>
      <c r="F518" s="118"/>
      <c r="G518" s="118"/>
      <c r="H518" s="118"/>
      <c r="I518" s="118"/>
      <c r="J518" s="118"/>
      <c r="K518" s="118"/>
      <c r="L518" s="118"/>
      <c r="M518" s="118"/>
      <c r="N518" s="118"/>
      <c r="O518" s="42"/>
      <c r="P518" s="42"/>
      <c r="Q518" s="42"/>
      <c r="R518" s="42"/>
      <c r="S518" s="121"/>
      <c r="T518" s="119"/>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spans="1:46" ht="15.75" customHeight="1" x14ac:dyDescent="0.2">
      <c r="A519" s="118"/>
      <c r="B519" s="118"/>
      <c r="C519" s="118"/>
      <c r="D519" s="118"/>
      <c r="E519" s="118"/>
      <c r="F519" s="118"/>
      <c r="G519" s="118"/>
      <c r="H519" s="118"/>
      <c r="I519" s="118"/>
      <c r="J519" s="118"/>
      <c r="K519" s="118"/>
      <c r="L519" s="118"/>
      <c r="M519" s="118"/>
      <c r="N519" s="118"/>
      <c r="O519" s="42"/>
      <c r="P519" s="42"/>
      <c r="Q519" s="42"/>
      <c r="R519" s="42"/>
      <c r="S519" s="121"/>
      <c r="T519" s="119"/>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spans="1:46" ht="15.75" customHeight="1" x14ac:dyDescent="0.2">
      <c r="A520" s="118"/>
      <c r="B520" s="118"/>
      <c r="C520" s="118"/>
      <c r="D520" s="118"/>
      <c r="E520" s="118"/>
      <c r="F520" s="118"/>
      <c r="G520" s="118"/>
      <c r="H520" s="118"/>
      <c r="I520" s="118"/>
      <c r="J520" s="118"/>
      <c r="K520" s="118"/>
      <c r="L520" s="118"/>
      <c r="M520" s="118"/>
      <c r="N520" s="118"/>
      <c r="O520" s="42"/>
      <c r="P520" s="42"/>
      <c r="Q520" s="42"/>
      <c r="R520" s="42"/>
      <c r="S520" s="121"/>
      <c r="T520" s="119"/>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spans="1:46" ht="15.75" customHeight="1" x14ac:dyDescent="0.2">
      <c r="A521" s="118"/>
      <c r="B521" s="118"/>
      <c r="C521" s="118"/>
      <c r="D521" s="118"/>
      <c r="E521" s="118"/>
      <c r="F521" s="118"/>
      <c r="G521" s="118"/>
      <c r="H521" s="118"/>
      <c r="I521" s="118"/>
      <c r="J521" s="118"/>
      <c r="K521" s="118"/>
      <c r="L521" s="118"/>
      <c r="M521" s="118"/>
      <c r="N521" s="118"/>
      <c r="O521" s="42"/>
      <c r="P521" s="42"/>
      <c r="Q521" s="42"/>
      <c r="R521" s="42"/>
      <c r="S521" s="121"/>
      <c r="T521" s="119"/>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spans="1:46" ht="15.75" customHeight="1" x14ac:dyDescent="0.2">
      <c r="A522" s="118"/>
      <c r="B522" s="118"/>
      <c r="C522" s="118"/>
      <c r="D522" s="118"/>
      <c r="E522" s="118"/>
      <c r="F522" s="118"/>
      <c r="G522" s="118"/>
      <c r="H522" s="118"/>
      <c r="I522" s="118"/>
      <c r="J522" s="118"/>
      <c r="K522" s="118"/>
      <c r="L522" s="118"/>
      <c r="M522" s="118"/>
      <c r="N522" s="118"/>
      <c r="O522" s="42"/>
      <c r="P522" s="42"/>
      <c r="Q522" s="42"/>
      <c r="R522" s="42"/>
      <c r="S522" s="121"/>
      <c r="T522" s="119"/>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spans="1:46" ht="15.75" customHeight="1" x14ac:dyDescent="0.2">
      <c r="A523" s="118"/>
      <c r="B523" s="118"/>
      <c r="C523" s="118"/>
      <c r="D523" s="118"/>
      <c r="E523" s="118"/>
      <c r="F523" s="118"/>
      <c r="G523" s="118"/>
      <c r="H523" s="118"/>
      <c r="I523" s="118"/>
      <c r="J523" s="118"/>
      <c r="K523" s="118"/>
      <c r="L523" s="118"/>
      <c r="M523" s="118"/>
      <c r="N523" s="118"/>
      <c r="O523" s="42"/>
      <c r="P523" s="42"/>
      <c r="Q523" s="42"/>
      <c r="R523" s="42"/>
      <c r="S523" s="121"/>
      <c r="T523" s="119"/>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spans="1:46" ht="15.75" customHeight="1" x14ac:dyDescent="0.2">
      <c r="A524" s="118"/>
      <c r="B524" s="118"/>
      <c r="C524" s="118"/>
      <c r="D524" s="118"/>
      <c r="E524" s="118"/>
      <c r="F524" s="118"/>
      <c r="G524" s="118"/>
      <c r="H524" s="118"/>
      <c r="I524" s="118"/>
      <c r="J524" s="118"/>
      <c r="K524" s="118"/>
      <c r="L524" s="118"/>
      <c r="M524" s="118"/>
      <c r="N524" s="118"/>
      <c r="O524" s="42"/>
      <c r="P524" s="42"/>
      <c r="Q524" s="42"/>
      <c r="R524" s="42"/>
      <c r="S524" s="121"/>
      <c r="T524" s="119"/>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spans="1:46" ht="15.75" customHeight="1" x14ac:dyDescent="0.2">
      <c r="A525" s="118"/>
      <c r="B525" s="118"/>
      <c r="C525" s="118"/>
      <c r="D525" s="118"/>
      <c r="E525" s="118"/>
      <c r="F525" s="118"/>
      <c r="G525" s="118"/>
      <c r="H525" s="118"/>
      <c r="I525" s="118"/>
      <c r="J525" s="118"/>
      <c r="K525" s="118"/>
      <c r="L525" s="118"/>
      <c r="M525" s="118"/>
      <c r="N525" s="118"/>
      <c r="O525" s="42"/>
      <c r="P525" s="42"/>
      <c r="Q525" s="42"/>
      <c r="R525" s="42"/>
      <c r="S525" s="121"/>
      <c r="T525" s="119"/>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spans="1:46" ht="15.75" customHeight="1" x14ac:dyDescent="0.2">
      <c r="A526" s="118"/>
      <c r="B526" s="118"/>
      <c r="C526" s="118"/>
      <c r="D526" s="118"/>
      <c r="E526" s="118"/>
      <c r="F526" s="118"/>
      <c r="G526" s="118"/>
      <c r="H526" s="118"/>
      <c r="I526" s="118"/>
      <c r="J526" s="118"/>
      <c r="K526" s="118"/>
      <c r="L526" s="118"/>
      <c r="M526" s="118"/>
      <c r="N526" s="118"/>
      <c r="O526" s="42"/>
      <c r="P526" s="42"/>
      <c r="Q526" s="42"/>
      <c r="R526" s="42"/>
      <c r="S526" s="121"/>
      <c r="T526" s="119"/>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spans="1:46" ht="15.75" customHeight="1" x14ac:dyDescent="0.2">
      <c r="A527" s="118"/>
      <c r="B527" s="118"/>
      <c r="C527" s="118"/>
      <c r="D527" s="118"/>
      <c r="E527" s="118"/>
      <c r="F527" s="118"/>
      <c r="G527" s="118"/>
      <c r="H527" s="118"/>
      <c r="I527" s="118"/>
      <c r="J527" s="118"/>
      <c r="K527" s="118"/>
      <c r="L527" s="118"/>
      <c r="M527" s="118"/>
      <c r="N527" s="118"/>
      <c r="O527" s="42"/>
      <c r="P527" s="42"/>
      <c r="Q527" s="42"/>
      <c r="R527" s="42"/>
      <c r="S527" s="121"/>
      <c r="T527" s="119"/>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spans="1:46" ht="15.75" customHeight="1" x14ac:dyDescent="0.2">
      <c r="A528" s="118"/>
      <c r="B528" s="118"/>
      <c r="C528" s="118"/>
      <c r="D528" s="118"/>
      <c r="E528" s="118"/>
      <c r="F528" s="118"/>
      <c r="G528" s="118"/>
      <c r="H528" s="118"/>
      <c r="I528" s="118"/>
      <c r="J528" s="118"/>
      <c r="K528" s="118"/>
      <c r="L528" s="118"/>
      <c r="M528" s="118"/>
      <c r="N528" s="118"/>
      <c r="O528" s="42"/>
      <c r="P528" s="42"/>
      <c r="Q528" s="42"/>
      <c r="R528" s="42"/>
      <c r="S528" s="121"/>
      <c r="T528" s="119"/>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spans="1:46" ht="15.75" customHeight="1" x14ac:dyDescent="0.2">
      <c r="A529" s="118"/>
      <c r="B529" s="118"/>
      <c r="C529" s="118"/>
      <c r="D529" s="118"/>
      <c r="E529" s="118"/>
      <c r="F529" s="118"/>
      <c r="G529" s="118"/>
      <c r="H529" s="118"/>
      <c r="I529" s="118"/>
      <c r="J529" s="118"/>
      <c r="K529" s="118"/>
      <c r="L529" s="118"/>
      <c r="M529" s="118"/>
      <c r="N529" s="118"/>
      <c r="O529" s="42"/>
      <c r="P529" s="42"/>
      <c r="Q529" s="42"/>
      <c r="R529" s="42"/>
      <c r="S529" s="121"/>
      <c r="T529" s="119"/>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spans="1:46" ht="15.75" customHeight="1" x14ac:dyDescent="0.2">
      <c r="A530" s="118"/>
      <c r="B530" s="118"/>
      <c r="C530" s="118"/>
      <c r="D530" s="118"/>
      <c r="E530" s="118"/>
      <c r="F530" s="118"/>
      <c r="G530" s="118"/>
      <c r="H530" s="118"/>
      <c r="I530" s="118"/>
      <c r="J530" s="118"/>
      <c r="K530" s="118"/>
      <c r="L530" s="118"/>
      <c r="M530" s="118"/>
      <c r="N530" s="118"/>
      <c r="O530" s="42"/>
      <c r="P530" s="42"/>
      <c r="Q530" s="42"/>
      <c r="R530" s="42"/>
      <c r="S530" s="121"/>
      <c r="T530" s="119"/>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spans="1:46" ht="15.75" customHeight="1" x14ac:dyDescent="0.2">
      <c r="A531" s="118"/>
      <c r="B531" s="118"/>
      <c r="C531" s="118"/>
      <c r="D531" s="118"/>
      <c r="E531" s="118"/>
      <c r="F531" s="118"/>
      <c r="G531" s="118"/>
      <c r="H531" s="118"/>
      <c r="I531" s="118"/>
      <c r="J531" s="118"/>
      <c r="K531" s="118"/>
      <c r="L531" s="118"/>
      <c r="M531" s="118"/>
      <c r="N531" s="118"/>
      <c r="O531" s="42"/>
      <c r="P531" s="42"/>
      <c r="Q531" s="42"/>
      <c r="R531" s="42"/>
      <c r="S531" s="121"/>
      <c r="T531" s="119"/>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spans="1:46" ht="15.75" customHeight="1" x14ac:dyDescent="0.2">
      <c r="A532" s="118"/>
      <c r="B532" s="118"/>
      <c r="C532" s="118"/>
      <c r="D532" s="118"/>
      <c r="E532" s="118"/>
      <c r="F532" s="118"/>
      <c r="G532" s="118"/>
      <c r="H532" s="118"/>
      <c r="I532" s="118"/>
      <c r="J532" s="118"/>
      <c r="K532" s="118"/>
      <c r="L532" s="118"/>
      <c r="M532" s="118"/>
      <c r="N532" s="118"/>
      <c r="O532" s="42"/>
      <c r="P532" s="42"/>
      <c r="Q532" s="42"/>
      <c r="R532" s="42"/>
      <c r="S532" s="121"/>
      <c r="T532" s="119"/>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spans="1:46" ht="15.75" customHeight="1" x14ac:dyDescent="0.2">
      <c r="A533" s="118"/>
      <c r="B533" s="118"/>
      <c r="C533" s="118"/>
      <c r="D533" s="118"/>
      <c r="E533" s="118"/>
      <c r="F533" s="118"/>
      <c r="G533" s="118"/>
      <c r="H533" s="118"/>
      <c r="I533" s="118"/>
      <c r="J533" s="118"/>
      <c r="K533" s="118"/>
      <c r="L533" s="118"/>
      <c r="M533" s="118"/>
      <c r="N533" s="118"/>
      <c r="O533" s="42"/>
      <c r="P533" s="42"/>
      <c r="Q533" s="42"/>
      <c r="R533" s="42"/>
      <c r="S533" s="121"/>
      <c r="T533" s="119"/>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spans="1:46" ht="15.75" customHeight="1" x14ac:dyDescent="0.2">
      <c r="A534" s="118"/>
      <c r="B534" s="118"/>
      <c r="C534" s="118"/>
      <c r="D534" s="118"/>
      <c r="E534" s="118"/>
      <c r="F534" s="118"/>
      <c r="G534" s="118"/>
      <c r="H534" s="118"/>
      <c r="I534" s="118"/>
      <c r="J534" s="118"/>
      <c r="K534" s="118"/>
      <c r="L534" s="118"/>
      <c r="M534" s="118"/>
      <c r="N534" s="118"/>
      <c r="O534" s="42"/>
      <c r="P534" s="42"/>
      <c r="Q534" s="42"/>
      <c r="R534" s="42"/>
      <c r="S534" s="121"/>
      <c r="T534" s="119"/>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spans="1:46" ht="15.75" customHeight="1" x14ac:dyDescent="0.2">
      <c r="A535" s="118"/>
      <c r="B535" s="118"/>
      <c r="C535" s="118"/>
      <c r="D535" s="118"/>
      <c r="E535" s="118"/>
      <c r="F535" s="118"/>
      <c r="G535" s="118"/>
      <c r="H535" s="118"/>
      <c r="I535" s="118"/>
      <c r="J535" s="118"/>
      <c r="K535" s="118"/>
      <c r="L535" s="118"/>
      <c r="M535" s="118"/>
      <c r="N535" s="118"/>
      <c r="O535" s="42"/>
      <c r="P535" s="42"/>
      <c r="Q535" s="42"/>
      <c r="R535" s="42"/>
      <c r="S535" s="121"/>
      <c r="T535" s="119"/>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spans="1:46" ht="15.75" customHeight="1" x14ac:dyDescent="0.2">
      <c r="A536" s="118"/>
      <c r="B536" s="118"/>
      <c r="C536" s="118"/>
      <c r="D536" s="118"/>
      <c r="E536" s="118"/>
      <c r="F536" s="118"/>
      <c r="G536" s="118"/>
      <c r="H536" s="118"/>
      <c r="I536" s="118"/>
      <c r="J536" s="118"/>
      <c r="K536" s="118"/>
      <c r="L536" s="118"/>
      <c r="M536" s="118"/>
      <c r="N536" s="118"/>
      <c r="O536" s="42"/>
      <c r="P536" s="42"/>
      <c r="Q536" s="42"/>
      <c r="R536" s="42"/>
      <c r="S536" s="121"/>
      <c r="T536" s="119"/>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spans="1:46" ht="15.75" customHeight="1" x14ac:dyDescent="0.2">
      <c r="A537" s="118"/>
      <c r="B537" s="118"/>
      <c r="C537" s="118"/>
      <c r="D537" s="118"/>
      <c r="E537" s="118"/>
      <c r="F537" s="118"/>
      <c r="G537" s="118"/>
      <c r="H537" s="118"/>
      <c r="I537" s="118"/>
      <c r="J537" s="118"/>
      <c r="K537" s="118"/>
      <c r="L537" s="118"/>
      <c r="M537" s="118"/>
      <c r="N537" s="118"/>
      <c r="O537" s="42"/>
      <c r="P537" s="42"/>
      <c r="Q537" s="42"/>
      <c r="R537" s="42"/>
      <c r="S537" s="121"/>
      <c r="T537" s="119"/>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spans="1:46" ht="15.75" customHeight="1" x14ac:dyDescent="0.2">
      <c r="A538" s="118"/>
      <c r="B538" s="118"/>
      <c r="C538" s="118"/>
      <c r="D538" s="118"/>
      <c r="E538" s="118"/>
      <c r="F538" s="118"/>
      <c r="G538" s="118"/>
      <c r="H538" s="118"/>
      <c r="I538" s="118"/>
      <c r="J538" s="118"/>
      <c r="K538" s="118"/>
      <c r="L538" s="118"/>
      <c r="M538" s="118"/>
      <c r="N538" s="118"/>
      <c r="O538" s="42"/>
      <c r="P538" s="42"/>
      <c r="Q538" s="42"/>
      <c r="R538" s="42"/>
      <c r="S538" s="121"/>
      <c r="T538" s="119"/>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spans="1:46" ht="15.75" customHeight="1" x14ac:dyDescent="0.2">
      <c r="A539" s="118"/>
      <c r="B539" s="118"/>
      <c r="C539" s="118"/>
      <c r="D539" s="118"/>
      <c r="E539" s="118"/>
      <c r="F539" s="118"/>
      <c r="G539" s="118"/>
      <c r="H539" s="118"/>
      <c r="I539" s="118"/>
      <c r="J539" s="118"/>
      <c r="K539" s="118"/>
      <c r="L539" s="118"/>
      <c r="M539" s="118"/>
      <c r="N539" s="118"/>
      <c r="O539" s="42"/>
      <c r="P539" s="42"/>
      <c r="Q539" s="42"/>
      <c r="R539" s="42"/>
      <c r="S539" s="121"/>
      <c r="T539" s="119"/>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spans="1:46" ht="15.75" customHeight="1" x14ac:dyDescent="0.2">
      <c r="A540" s="118"/>
      <c r="B540" s="118"/>
      <c r="C540" s="118"/>
      <c r="D540" s="118"/>
      <c r="E540" s="118"/>
      <c r="F540" s="118"/>
      <c r="G540" s="118"/>
      <c r="H540" s="118"/>
      <c r="I540" s="118"/>
      <c r="J540" s="118"/>
      <c r="K540" s="118"/>
      <c r="L540" s="118"/>
      <c r="M540" s="118"/>
      <c r="N540" s="118"/>
      <c r="O540" s="42"/>
      <c r="P540" s="42"/>
      <c r="Q540" s="42"/>
      <c r="R540" s="42"/>
      <c r="S540" s="121"/>
      <c r="T540" s="119"/>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spans="1:46" ht="15.75" customHeight="1" x14ac:dyDescent="0.2">
      <c r="A541" s="118"/>
      <c r="B541" s="118"/>
      <c r="C541" s="118"/>
      <c r="D541" s="118"/>
      <c r="E541" s="118"/>
      <c r="F541" s="118"/>
      <c r="G541" s="118"/>
      <c r="H541" s="118"/>
      <c r="I541" s="118"/>
      <c r="J541" s="118"/>
      <c r="K541" s="118"/>
      <c r="L541" s="118"/>
      <c r="M541" s="118"/>
      <c r="N541" s="118"/>
      <c r="O541" s="42"/>
      <c r="P541" s="42"/>
      <c r="Q541" s="42"/>
      <c r="R541" s="42"/>
      <c r="S541" s="121"/>
      <c r="T541" s="119"/>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spans="1:46" ht="15.75" customHeight="1" x14ac:dyDescent="0.2">
      <c r="A542" s="118"/>
      <c r="B542" s="118"/>
      <c r="C542" s="118"/>
      <c r="D542" s="118"/>
      <c r="E542" s="118"/>
      <c r="F542" s="118"/>
      <c r="G542" s="118"/>
      <c r="H542" s="118"/>
      <c r="I542" s="118"/>
      <c r="J542" s="118"/>
      <c r="K542" s="118"/>
      <c r="L542" s="118"/>
      <c r="M542" s="118"/>
      <c r="N542" s="118"/>
      <c r="O542" s="42"/>
      <c r="P542" s="42"/>
      <c r="Q542" s="42"/>
      <c r="R542" s="42"/>
      <c r="S542" s="121"/>
      <c r="T542" s="119"/>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spans="1:46" ht="15.75" customHeight="1" x14ac:dyDescent="0.2">
      <c r="A543" s="118"/>
      <c r="B543" s="118"/>
      <c r="C543" s="118"/>
      <c r="D543" s="118"/>
      <c r="E543" s="118"/>
      <c r="F543" s="118"/>
      <c r="G543" s="118"/>
      <c r="H543" s="118"/>
      <c r="I543" s="118"/>
      <c r="J543" s="118"/>
      <c r="K543" s="118"/>
      <c r="L543" s="118"/>
      <c r="M543" s="118"/>
      <c r="N543" s="118"/>
      <c r="O543" s="42"/>
      <c r="P543" s="42"/>
      <c r="Q543" s="42"/>
      <c r="R543" s="42"/>
      <c r="S543" s="121"/>
      <c r="T543" s="119"/>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spans="1:46" ht="15.75" customHeight="1" x14ac:dyDescent="0.2">
      <c r="A544" s="118"/>
      <c r="B544" s="118"/>
      <c r="C544" s="118"/>
      <c r="D544" s="118"/>
      <c r="E544" s="118"/>
      <c r="F544" s="118"/>
      <c r="G544" s="118"/>
      <c r="H544" s="118"/>
      <c r="I544" s="118"/>
      <c r="J544" s="118"/>
      <c r="K544" s="118"/>
      <c r="L544" s="118"/>
      <c r="M544" s="118"/>
      <c r="N544" s="118"/>
      <c r="O544" s="42"/>
      <c r="P544" s="42"/>
      <c r="Q544" s="42"/>
      <c r="R544" s="42"/>
      <c r="S544" s="121"/>
      <c r="T544" s="119"/>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spans="1:46" ht="15.75" customHeight="1" x14ac:dyDescent="0.2">
      <c r="A545" s="118"/>
      <c r="B545" s="118"/>
      <c r="C545" s="118"/>
      <c r="D545" s="118"/>
      <c r="E545" s="118"/>
      <c r="F545" s="118"/>
      <c r="G545" s="118"/>
      <c r="H545" s="118"/>
      <c r="I545" s="118"/>
      <c r="J545" s="118"/>
      <c r="K545" s="118"/>
      <c r="L545" s="118"/>
      <c r="M545" s="118"/>
      <c r="N545" s="118"/>
      <c r="O545" s="42"/>
      <c r="P545" s="42"/>
      <c r="Q545" s="42"/>
      <c r="R545" s="42"/>
      <c r="S545" s="121"/>
      <c r="T545" s="119"/>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spans="1:46" ht="15.75" customHeight="1" x14ac:dyDescent="0.2">
      <c r="A546" s="118"/>
      <c r="B546" s="118"/>
      <c r="C546" s="118"/>
      <c r="D546" s="118"/>
      <c r="E546" s="118"/>
      <c r="F546" s="118"/>
      <c r="G546" s="118"/>
      <c r="H546" s="118"/>
      <c r="I546" s="118"/>
      <c r="J546" s="118"/>
      <c r="K546" s="118"/>
      <c r="L546" s="118"/>
      <c r="M546" s="118"/>
      <c r="N546" s="118"/>
      <c r="O546" s="42"/>
      <c r="P546" s="42"/>
      <c r="Q546" s="42"/>
      <c r="R546" s="42"/>
      <c r="S546" s="121"/>
      <c r="T546" s="119"/>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spans="1:46" ht="15.75" customHeight="1" x14ac:dyDescent="0.2">
      <c r="A547" s="118"/>
      <c r="B547" s="118"/>
      <c r="C547" s="118"/>
      <c r="D547" s="118"/>
      <c r="E547" s="118"/>
      <c r="F547" s="118"/>
      <c r="G547" s="118"/>
      <c r="H547" s="118"/>
      <c r="I547" s="118"/>
      <c r="J547" s="118"/>
      <c r="K547" s="118"/>
      <c r="L547" s="118"/>
      <c r="M547" s="118"/>
      <c r="N547" s="118"/>
      <c r="O547" s="42"/>
      <c r="P547" s="42"/>
      <c r="Q547" s="42"/>
      <c r="R547" s="42"/>
      <c r="S547" s="121"/>
      <c r="T547" s="119"/>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spans="1:46" ht="15.75" customHeight="1" x14ac:dyDescent="0.2">
      <c r="A548" s="118"/>
      <c r="B548" s="118"/>
      <c r="C548" s="118"/>
      <c r="D548" s="118"/>
      <c r="E548" s="118"/>
      <c r="F548" s="118"/>
      <c r="G548" s="118"/>
      <c r="H548" s="118"/>
      <c r="I548" s="118"/>
      <c r="J548" s="118"/>
      <c r="K548" s="118"/>
      <c r="L548" s="118"/>
      <c r="M548" s="118"/>
      <c r="N548" s="118"/>
      <c r="O548" s="42"/>
      <c r="P548" s="42"/>
      <c r="Q548" s="42"/>
      <c r="R548" s="42"/>
      <c r="S548" s="121"/>
      <c r="T548" s="119"/>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spans="1:46" ht="15.75" customHeight="1" x14ac:dyDescent="0.2">
      <c r="A549" s="118"/>
      <c r="B549" s="118"/>
      <c r="C549" s="118"/>
      <c r="D549" s="118"/>
      <c r="E549" s="118"/>
      <c r="F549" s="118"/>
      <c r="G549" s="118"/>
      <c r="H549" s="118"/>
      <c r="I549" s="118"/>
      <c r="J549" s="118"/>
      <c r="K549" s="118"/>
      <c r="L549" s="118"/>
      <c r="M549" s="118"/>
      <c r="N549" s="118"/>
      <c r="O549" s="42"/>
      <c r="P549" s="42"/>
      <c r="Q549" s="42"/>
      <c r="R549" s="42"/>
      <c r="S549" s="121"/>
      <c r="T549" s="119"/>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spans="1:46" ht="15.75" customHeight="1" x14ac:dyDescent="0.2">
      <c r="A550" s="118"/>
      <c r="B550" s="118"/>
      <c r="C550" s="118"/>
      <c r="D550" s="118"/>
      <c r="E550" s="118"/>
      <c r="F550" s="118"/>
      <c r="G550" s="118"/>
      <c r="H550" s="118"/>
      <c r="I550" s="118"/>
      <c r="J550" s="118"/>
      <c r="K550" s="118"/>
      <c r="L550" s="118"/>
      <c r="M550" s="118"/>
      <c r="N550" s="118"/>
      <c r="O550" s="42"/>
      <c r="P550" s="42"/>
      <c r="Q550" s="42"/>
      <c r="R550" s="42"/>
      <c r="S550" s="121"/>
      <c r="T550" s="119"/>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spans="1:46" ht="15.75" customHeight="1" x14ac:dyDescent="0.2">
      <c r="A551" s="118"/>
      <c r="B551" s="118"/>
      <c r="C551" s="118"/>
      <c r="D551" s="118"/>
      <c r="E551" s="118"/>
      <c r="F551" s="118"/>
      <c r="G551" s="118"/>
      <c r="H551" s="118"/>
      <c r="I551" s="118"/>
      <c r="J551" s="118"/>
      <c r="K551" s="118"/>
      <c r="L551" s="118"/>
      <c r="M551" s="118"/>
      <c r="N551" s="118"/>
      <c r="O551" s="42"/>
      <c r="P551" s="42"/>
      <c r="Q551" s="42"/>
      <c r="R551" s="42"/>
      <c r="S551" s="121"/>
      <c r="T551" s="119"/>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spans="1:46" ht="15.75" customHeight="1" x14ac:dyDescent="0.2">
      <c r="A552" s="118"/>
      <c r="B552" s="118"/>
      <c r="C552" s="118"/>
      <c r="D552" s="118"/>
      <c r="E552" s="118"/>
      <c r="F552" s="118"/>
      <c r="G552" s="118"/>
      <c r="H552" s="118"/>
      <c r="I552" s="118"/>
      <c r="J552" s="118"/>
      <c r="K552" s="118"/>
      <c r="L552" s="118"/>
      <c r="M552" s="118"/>
      <c r="N552" s="118"/>
      <c r="O552" s="42"/>
      <c r="P552" s="42"/>
      <c r="Q552" s="42"/>
      <c r="R552" s="42"/>
      <c r="S552" s="121"/>
      <c r="T552" s="119"/>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spans="1:46" ht="15.75" customHeight="1" x14ac:dyDescent="0.2">
      <c r="A553" s="118"/>
      <c r="B553" s="118"/>
      <c r="C553" s="118"/>
      <c r="D553" s="118"/>
      <c r="E553" s="118"/>
      <c r="F553" s="118"/>
      <c r="G553" s="118"/>
      <c r="H553" s="118"/>
      <c r="I553" s="118"/>
      <c r="J553" s="118"/>
      <c r="K553" s="118"/>
      <c r="L553" s="118"/>
      <c r="M553" s="118"/>
      <c r="N553" s="118"/>
      <c r="O553" s="42"/>
      <c r="P553" s="42"/>
      <c r="Q553" s="42"/>
      <c r="R553" s="42"/>
      <c r="S553" s="121"/>
      <c r="T553" s="119"/>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spans="1:46" ht="15.75" customHeight="1" x14ac:dyDescent="0.2">
      <c r="A554" s="118"/>
      <c r="B554" s="118"/>
      <c r="C554" s="118"/>
      <c r="D554" s="118"/>
      <c r="E554" s="118"/>
      <c r="F554" s="118"/>
      <c r="G554" s="118"/>
      <c r="H554" s="118"/>
      <c r="I554" s="118"/>
      <c r="J554" s="118"/>
      <c r="K554" s="118"/>
      <c r="L554" s="118"/>
      <c r="M554" s="118"/>
      <c r="N554" s="118"/>
      <c r="O554" s="42"/>
      <c r="P554" s="42"/>
      <c r="Q554" s="42"/>
      <c r="R554" s="42"/>
      <c r="S554" s="121"/>
      <c r="T554" s="119"/>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spans="1:46" ht="15.75" customHeight="1" x14ac:dyDescent="0.2">
      <c r="A555" s="118"/>
      <c r="B555" s="118"/>
      <c r="C555" s="118"/>
      <c r="D555" s="118"/>
      <c r="E555" s="118"/>
      <c r="F555" s="118"/>
      <c r="G555" s="118"/>
      <c r="H555" s="118"/>
      <c r="I555" s="118"/>
      <c r="J555" s="118"/>
      <c r="K555" s="118"/>
      <c r="L555" s="118"/>
      <c r="M555" s="118"/>
      <c r="N555" s="118"/>
      <c r="O555" s="42"/>
      <c r="P555" s="42"/>
      <c r="Q555" s="42"/>
      <c r="R555" s="42"/>
      <c r="S555" s="121"/>
      <c r="T555" s="119"/>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spans="1:46" ht="15.75" customHeight="1" x14ac:dyDescent="0.2">
      <c r="A556" s="118"/>
      <c r="B556" s="118"/>
      <c r="C556" s="118"/>
      <c r="D556" s="118"/>
      <c r="E556" s="118"/>
      <c r="F556" s="118"/>
      <c r="G556" s="118"/>
      <c r="H556" s="118"/>
      <c r="I556" s="118"/>
      <c r="J556" s="118"/>
      <c r="K556" s="118"/>
      <c r="L556" s="118"/>
      <c r="M556" s="118"/>
      <c r="N556" s="118"/>
      <c r="O556" s="42"/>
      <c r="P556" s="42"/>
      <c r="Q556" s="42"/>
      <c r="R556" s="42"/>
      <c r="S556" s="121"/>
      <c r="T556" s="119"/>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spans="1:46" ht="15.75" customHeight="1" x14ac:dyDescent="0.2">
      <c r="A557" s="118"/>
      <c r="B557" s="118"/>
      <c r="C557" s="118"/>
      <c r="D557" s="118"/>
      <c r="E557" s="118"/>
      <c r="F557" s="118"/>
      <c r="G557" s="118"/>
      <c r="H557" s="118"/>
      <c r="I557" s="118"/>
      <c r="J557" s="118"/>
      <c r="K557" s="118"/>
      <c r="L557" s="118"/>
      <c r="M557" s="118"/>
      <c r="N557" s="118"/>
      <c r="O557" s="42"/>
      <c r="P557" s="42"/>
      <c r="Q557" s="42"/>
      <c r="R557" s="42"/>
      <c r="S557" s="121"/>
      <c r="T557" s="119"/>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spans="1:46" ht="15.75" customHeight="1" x14ac:dyDescent="0.2">
      <c r="A558" s="118"/>
      <c r="B558" s="118"/>
      <c r="C558" s="118"/>
      <c r="D558" s="118"/>
      <c r="E558" s="118"/>
      <c r="F558" s="118"/>
      <c r="G558" s="118"/>
      <c r="H558" s="118"/>
      <c r="I558" s="118"/>
      <c r="J558" s="118"/>
      <c r="K558" s="118"/>
      <c r="L558" s="118"/>
      <c r="M558" s="118"/>
      <c r="N558" s="118"/>
      <c r="O558" s="42"/>
      <c r="P558" s="42"/>
      <c r="Q558" s="42"/>
      <c r="R558" s="42"/>
      <c r="S558" s="121"/>
      <c r="T558" s="119"/>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spans="1:46" ht="15.75" customHeight="1" x14ac:dyDescent="0.2">
      <c r="A559" s="118"/>
      <c r="B559" s="118"/>
      <c r="C559" s="118"/>
      <c r="D559" s="118"/>
      <c r="E559" s="118"/>
      <c r="F559" s="118"/>
      <c r="G559" s="118"/>
      <c r="H559" s="118"/>
      <c r="I559" s="118"/>
      <c r="J559" s="118"/>
      <c r="K559" s="118"/>
      <c r="L559" s="118"/>
      <c r="M559" s="118"/>
      <c r="N559" s="118"/>
      <c r="O559" s="42"/>
      <c r="P559" s="42"/>
      <c r="Q559" s="42"/>
      <c r="R559" s="42"/>
      <c r="S559" s="121"/>
      <c r="T559" s="119"/>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spans="1:46" ht="15.75" customHeight="1" x14ac:dyDescent="0.2">
      <c r="A560" s="118"/>
      <c r="B560" s="118"/>
      <c r="C560" s="118"/>
      <c r="D560" s="118"/>
      <c r="E560" s="118"/>
      <c r="F560" s="118"/>
      <c r="G560" s="118"/>
      <c r="H560" s="118"/>
      <c r="I560" s="118"/>
      <c r="J560" s="118"/>
      <c r="K560" s="118"/>
      <c r="L560" s="118"/>
      <c r="M560" s="118"/>
      <c r="N560" s="118"/>
      <c r="O560" s="42"/>
      <c r="P560" s="42"/>
      <c r="Q560" s="42"/>
      <c r="R560" s="42"/>
      <c r="S560" s="121"/>
      <c r="T560" s="119"/>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spans="1:46" ht="15.75" customHeight="1" x14ac:dyDescent="0.2">
      <c r="A561" s="118"/>
      <c r="B561" s="118"/>
      <c r="C561" s="118"/>
      <c r="D561" s="118"/>
      <c r="E561" s="118"/>
      <c r="F561" s="118"/>
      <c r="G561" s="118"/>
      <c r="H561" s="118"/>
      <c r="I561" s="118"/>
      <c r="J561" s="118"/>
      <c r="K561" s="118"/>
      <c r="L561" s="118"/>
      <c r="M561" s="118"/>
      <c r="N561" s="118"/>
      <c r="O561" s="42"/>
      <c r="P561" s="42"/>
      <c r="Q561" s="42"/>
      <c r="R561" s="42"/>
      <c r="S561" s="121"/>
      <c r="T561" s="119"/>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spans="1:46" ht="15.75" customHeight="1" x14ac:dyDescent="0.2">
      <c r="A562" s="118"/>
      <c r="B562" s="118"/>
      <c r="C562" s="118"/>
      <c r="D562" s="118"/>
      <c r="E562" s="118"/>
      <c r="F562" s="118"/>
      <c r="G562" s="118"/>
      <c r="H562" s="118"/>
      <c r="I562" s="118"/>
      <c r="J562" s="118"/>
      <c r="K562" s="118"/>
      <c r="L562" s="118"/>
      <c r="M562" s="118"/>
      <c r="N562" s="118"/>
      <c r="O562" s="42"/>
      <c r="P562" s="42"/>
      <c r="Q562" s="42"/>
      <c r="R562" s="42"/>
      <c r="S562" s="121"/>
      <c r="T562" s="119"/>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spans="1:46" ht="15.75" customHeight="1" x14ac:dyDescent="0.2">
      <c r="A563" s="118"/>
      <c r="B563" s="118"/>
      <c r="C563" s="118"/>
      <c r="D563" s="118"/>
      <c r="E563" s="118"/>
      <c r="F563" s="118"/>
      <c r="G563" s="118"/>
      <c r="H563" s="118"/>
      <c r="I563" s="118"/>
      <c r="J563" s="118"/>
      <c r="K563" s="118"/>
      <c r="L563" s="118"/>
      <c r="M563" s="118"/>
      <c r="N563" s="118"/>
      <c r="O563" s="42"/>
      <c r="P563" s="42"/>
      <c r="Q563" s="42"/>
      <c r="R563" s="42"/>
      <c r="S563" s="121"/>
      <c r="T563" s="119"/>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spans="1:46" ht="15.75" customHeight="1" x14ac:dyDescent="0.2">
      <c r="A564" s="118"/>
      <c r="B564" s="118"/>
      <c r="C564" s="118"/>
      <c r="D564" s="118"/>
      <c r="E564" s="118"/>
      <c r="F564" s="118"/>
      <c r="G564" s="118"/>
      <c r="H564" s="118"/>
      <c r="I564" s="118"/>
      <c r="J564" s="118"/>
      <c r="K564" s="118"/>
      <c r="L564" s="118"/>
      <c r="M564" s="118"/>
      <c r="N564" s="118"/>
      <c r="O564" s="42"/>
      <c r="P564" s="42"/>
      <c r="Q564" s="42"/>
      <c r="R564" s="42"/>
      <c r="S564" s="121"/>
      <c r="T564" s="119"/>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spans="1:46" ht="15.75" customHeight="1" x14ac:dyDescent="0.2">
      <c r="A565" s="118"/>
      <c r="B565" s="118"/>
      <c r="C565" s="118"/>
      <c r="D565" s="118"/>
      <c r="E565" s="118"/>
      <c r="F565" s="118"/>
      <c r="G565" s="118"/>
      <c r="H565" s="118"/>
      <c r="I565" s="118"/>
      <c r="J565" s="118"/>
      <c r="K565" s="118"/>
      <c r="L565" s="118"/>
      <c r="M565" s="118"/>
      <c r="N565" s="118"/>
      <c r="O565" s="42"/>
      <c r="P565" s="42"/>
      <c r="Q565" s="42"/>
      <c r="R565" s="42"/>
      <c r="S565" s="121"/>
      <c r="T565" s="119"/>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spans="1:46" ht="15.75" customHeight="1" x14ac:dyDescent="0.2">
      <c r="A566" s="118"/>
      <c r="B566" s="118"/>
      <c r="C566" s="118"/>
      <c r="D566" s="118"/>
      <c r="E566" s="118"/>
      <c r="F566" s="118"/>
      <c r="G566" s="118"/>
      <c r="H566" s="118"/>
      <c r="I566" s="118"/>
      <c r="J566" s="118"/>
      <c r="K566" s="118"/>
      <c r="L566" s="118"/>
      <c r="M566" s="118"/>
      <c r="N566" s="118"/>
      <c r="O566" s="42"/>
      <c r="P566" s="42"/>
      <c r="Q566" s="42"/>
      <c r="R566" s="42"/>
      <c r="S566" s="121"/>
      <c r="T566" s="119"/>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spans="1:46" ht="15.75" customHeight="1" x14ac:dyDescent="0.2">
      <c r="A567" s="118"/>
      <c r="B567" s="118"/>
      <c r="C567" s="118"/>
      <c r="D567" s="118"/>
      <c r="E567" s="118"/>
      <c r="F567" s="118"/>
      <c r="G567" s="118"/>
      <c r="H567" s="118"/>
      <c r="I567" s="118"/>
      <c r="J567" s="118"/>
      <c r="K567" s="118"/>
      <c r="L567" s="118"/>
      <c r="M567" s="118"/>
      <c r="N567" s="118"/>
      <c r="O567" s="42"/>
      <c r="P567" s="42"/>
      <c r="Q567" s="42"/>
      <c r="R567" s="42"/>
      <c r="S567" s="121"/>
      <c r="T567" s="119"/>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spans="1:46" ht="15.75" customHeight="1" x14ac:dyDescent="0.2">
      <c r="A568" s="118"/>
      <c r="B568" s="118"/>
      <c r="C568" s="118"/>
      <c r="D568" s="118"/>
      <c r="E568" s="118"/>
      <c r="F568" s="118"/>
      <c r="G568" s="118"/>
      <c r="H568" s="118"/>
      <c r="I568" s="118"/>
      <c r="J568" s="118"/>
      <c r="K568" s="118"/>
      <c r="L568" s="118"/>
      <c r="M568" s="118"/>
      <c r="N568" s="118"/>
      <c r="O568" s="42"/>
      <c r="P568" s="42"/>
      <c r="Q568" s="42"/>
      <c r="R568" s="42"/>
      <c r="S568" s="121"/>
      <c r="T568" s="119"/>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spans="1:46" ht="15.75" customHeight="1" x14ac:dyDescent="0.2">
      <c r="A569" s="118"/>
      <c r="B569" s="118"/>
      <c r="C569" s="118"/>
      <c r="D569" s="118"/>
      <c r="E569" s="118"/>
      <c r="F569" s="118"/>
      <c r="G569" s="118"/>
      <c r="H569" s="118"/>
      <c r="I569" s="118"/>
      <c r="J569" s="118"/>
      <c r="K569" s="118"/>
      <c r="L569" s="118"/>
      <c r="M569" s="118"/>
      <c r="N569" s="118"/>
      <c r="O569" s="42"/>
      <c r="P569" s="42"/>
      <c r="Q569" s="42"/>
      <c r="R569" s="42"/>
      <c r="S569" s="121"/>
      <c r="T569" s="119"/>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spans="1:46" ht="15.75" customHeight="1" x14ac:dyDescent="0.2">
      <c r="A570" s="118"/>
      <c r="B570" s="118"/>
      <c r="C570" s="118"/>
      <c r="D570" s="118"/>
      <c r="E570" s="118"/>
      <c r="F570" s="118"/>
      <c r="G570" s="118"/>
      <c r="H570" s="118"/>
      <c r="I570" s="118"/>
      <c r="J570" s="118"/>
      <c r="K570" s="118"/>
      <c r="L570" s="118"/>
      <c r="M570" s="118"/>
      <c r="N570" s="118"/>
      <c r="O570" s="42"/>
      <c r="P570" s="42"/>
      <c r="Q570" s="42"/>
      <c r="R570" s="42"/>
      <c r="S570" s="121"/>
      <c r="T570" s="119"/>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spans="1:46" ht="15.75" customHeight="1" x14ac:dyDescent="0.2">
      <c r="A571" s="118"/>
      <c r="B571" s="118"/>
      <c r="C571" s="118"/>
      <c r="D571" s="118"/>
      <c r="E571" s="118"/>
      <c r="F571" s="118"/>
      <c r="G571" s="118"/>
      <c r="H571" s="118"/>
      <c r="I571" s="118"/>
      <c r="J571" s="118"/>
      <c r="K571" s="118"/>
      <c r="L571" s="118"/>
      <c r="M571" s="118"/>
      <c r="N571" s="118"/>
      <c r="O571" s="42"/>
      <c r="P571" s="42"/>
      <c r="Q571" s="42"/>
      <c r="R571" s="42"/>
      <c r="S571" s="121"/>
      <c r="T571" s="119"/>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spans="1:46" ht="15.75" customHeight="1" x14ac:dyDescent="0.2">
      <c r="A572" s="118"/>
      <c r="B572" s="118"/>
      <c r="C572" s="118"/>
      <c r="D572" s="118"/>
      <c r="E572" s="118"/>
      <c r="F572" s="118"/>
      <c r="G572" s="118"/>
      <c r="H572" s="118"/>
      <c r="I572" s="118"/>
      <c r="J572" s="118"/>
      <c r="K572" s="118"/>
      <c r="L572" s="118"/>
      <c r="M572" s="118"/>
      <c r="N572" s="118"/>
      <c r="O572" s="42"/>
      <c r="P572" s="42"/>
      <c r="Q572" s="42"/>
      <c r="R572" s="42"/>
      <c r="S572" s="121"/>
      <c r="T572" s="119"/>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spans="1:46" ht="15.75" customHeight="1" x14ac:dyDescent="0.2">
      <c r="A573" s="118"/>
      <c r="B573" s="118"/>
      <c r="C573" s="118"/>
      <c r="D573" s="118"/>
      <c r="E573" s="118"/>
      <c r="F573" s="118"/>
      <c r="G573" s="118"/>
      <c r="H573" s="118"/>
      <c r="I573" s="118"/>
      <c r="J573" s="118"/>
      <c r="K573" s="118"/>
      <c r="L573" s="118"/>
      <c r="M573" s="118"/>
      <c r="N573" s="118"/>
      <c r="O573" s="42"/>
      <c r="P573" s="42"/>
      <c r="Q573" s="42"/>
      <c r="R573" s="42"/>
      <c r="S573" s="121"/>
      <c r="T573" s="119"/>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spans="1:46" ht="15.75" customHeight="1" x14ac:dyDescent="0.2">
      <c r="A574" s="118"/>
      <c r="B574" s="118"/>
      <c r="C574" s="118"/>
      <c r="D574" s="118"/>
      <c r="E574" s="118"/>
      <c r="F574" s="118"/>
      <c r="G574" s="118"/>
      <c r="H574" s="118"/>
      <c r="I574" s="118"/>
      <c r="J574" s="118"/>
      <c r="K574" s="118"/>
      <c r="L574" s="118"/>
      <c r="M574" s="118"/>
      <c r="N574" s="118"/>
      <c r="O574" s="42"/>
      <c r="P574" s="42"/>
      <c r="Q574" s="42"/>
      <c r="R574" s="42"/>
      <c r="S574" s="121"/>
      <c r="T574" s="119"/>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row r="575" spans="1:46" ht="15.75" customHeight="1" x14ac:dyDescent="0.2">
      <c r="A575" s="118"/>
      <c r="B575" s="118"/>
      <c r="C575" s="118"/>
      <c r="D575" s="118"/>
      <c r="E575" s="118"/>
      <c r="F575" s="118"/>
      <c r="G575" s="118"/>
      <c r="H575" s="118"/>
      <c r="I575" s="118"/>
      <c r="J575" s="118"/>
      <c r="K575" s="118"/>
      <c r="L575" s="118"/>
      <c r="M575" s="118"/>
      <c r="N575" s="118"/>
      <c r="O575" s="42"/>
      <c r="P575" s="42"/>
      <c r="Q575" s="42"/>
      <c r="R575" s="42"/>
      <c r="S575" s="121"/>
      <c r="T575" s="119"/>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row>
    <row r="576" spans="1:46" ht="15.75" customHeight="1" x14ac:dyDescent="0.2">
      <c r="A576" s="118"/>
      <c r="B576" s="118"/>
      <c r="C576" s="118"/>
      <c r="D576" s="118"/>
      <c r="E576" s="118"/>
      <c r="F576" s="118"/>
      <c r="G576" s="118"/>
      <c r="H576" s="118"/>
      <c r="I576" s="118"/>
      <c r="J576" s="118"/>
      <c r="K576" s="118"/>
      <c r="L576" s="118"/>
      <c r="M576" s="118"/>
      <c r="N576" s="118"/>
      <c r="O576" s="42"/>
      <c r="P576" s="42"/>
      <c r="Q576" s="42"/>
      <c r="R576" s="42"/>
      <c r="S576" s="121"/>
      <c r="T576" s="119"/>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row>
    <row r="577" spans="1:46" ht="15.75" customHeight="1" x14ac:dyDescent="0.2">
      <c r="A577" s="118"/>
      <c r="B577" s="118"/>
      <c r="C577" s="118"/>
      <c r="D577" s="118"/>
      <c r="E577" s="118"/>
      <c r="F577" s="118"/>
      <c r="G577" s="118"/>
      <c r="H577" s="118"/>
      <c r="I577" s="118"/>
      <c r="J577" s="118"/>
      <c r="K577" s="118"/>
      <c r="L577" s="118"/>
      <c r="M577" s="118"/>
      <c r="N577" s="118"/>
      <c r="O577" s="42"/>
      <c r="P577" s="42"/>
      <c r="Q577" s="42"/>
      <c r="R577" s="42"/>
      <c r="S577" s="121"/>
      <c r="T577" s="119"/>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row>
    <row r="578" spans="1:46" ht="15.75" customHeight="1" x14ac:dyDescent="0.2">
      <c r="A578" s="118"/>
      <c r="B578" s="118"/>
      <c r="C578" s="118"/>
      <c r="D578" s="118"/>
      <c r="E578" s="118"/>
      <c r="F578" s="118"/>
      <c r="G578" s="118"/>
      <c r="H578" s="118"/>
      <c r="I578" s="118"/>
      <c r="J578" s="118"/>
      <c r="K578" s="118"/>
      <c r="L578" s="118"/>
      <c r="M578" s="118"/>
      <c r="N578" s="118"/>
      <c r="O578" s="42"/>
      <c r="P578" s="42"/>
      <c r="Q578" s="42"/>
      <c r="R578" s="42"/>
      <c r="S578" s="121"/>
      <c r="T578" s="119"/>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row>
    <row r="579" spans="1:46" ht="15.75" customHeight="1" x14ac:dyDescent="0.2">
      <c r="A579" s="118"/>
      <c r="B579" s="118"/>
      <c r="C579" s="118"/>
      <c r="D579" s="118"/>
      <c r="E579" s="118"/>
      <c r="F579" s="118"/>
      <c r="G579" s="118"/>
      <c r="H579" s="118"/>
      <c r="I579" s="118"/>
      <c r="J579" s="118"/>
      <c r="K579" s="118"/>
      <c r="L579" s="118"/>
      <c r="M579" s="118"/>
      <c r="N579" s="118"/>
      <c r="O579" s="42"/>
      <c r="P579" s="42"/>
      <c r="Q579" s="42"/>
      <c r="R579" s="42"/>
      <c r="S579" s="121"/>
      <c r="T579" s="119"/>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row>
    <row r="580" spans="1:46" ht="15.75" customHeight="1" x14ac:dyDescent="0.2">
      <c r="A580" s="118"/>
      <c r="B580" s="118"/>
      <c r="C580" s="118"/>
      <c r="D580" s="118"/>
      <c r="E580" s="118"/>
      <c r="F580" s="118"/>
      <c r="G580" s="118"/>
      <c r="H580" s="118"/>
      <c r="I580" s="118"/>
      <c r="J580" s="118"/>
      <c r="K580" s="118"/>
      <c r="L580" s="118"/>
      <c r="M580" s="118"/>
      <c r="N580" s="118"/>
      <c r="O580" s="42"/>
      <c r="P580" s="42"/>
      <c r="Q580" s="42"/>
      <c r="R580" s="42"/>
      <c r="S580" s="121"/>
      <c r="T580" s="119"/>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row>
    <row r="581" spans="1:46" ht="15.75" customHeight="1" x14ac:dyDescent="0.2">
      <c r="A581" s="118"/>
      <c r="B581" s="118"/>
      <c r="C581" s="118"/>
      <c r="D581" s="118"/>
      <c r="E581" s="118"/>
      <c r="F581" s="118"/>
      <c r="G581" s="118"/>
      <c r="H581" s="118"/>
      <c r="I581" s="118"/>
      <c r="J581" s="118"/>
      <c r="K581" s="118"/>
      <c r="L581" s="118"/>
      <c r="M581" s="118"/>
      <c r="N581" s="118"/>
      <c r="O581" s="42"/>
      <c r="P581" s="42"/>
      <c r="Q581" s="42"/>
      <c r="R581" s="42"/>
      <c r="S581" s="121"/>
      <c r="T581" s="119"/>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row>
    <row r="582" spans="1:46" ht="15.75" customHeight="1" x14ac:dyDescent="0.2">
      <c r="A582" s="118"/>
      <c r="B582" s="118"/>
      <c r="C582" s="118"/>
      <c r="D582" s="118"/>
      <c r="E582" s="118"/>
      <c r="F582" s="118"/>
      <c r="G582" s="118"/>
      <c r="H582" s="118"/>
      <c r="I582" s="118"/>
      <c r="J582" s="118"/>
      <c r="K582" s="118"/>
      <c r="L582" s="118"/>
      <c r="M582" s="118"/>
      <c r="N582" s="118"/>
      <c r="O582" s="42"/>
      <c r="P582" s="42"/>
      <c r="Q582" s="42"/>
      <c r="R582" s="42"/>
      <c r="S582" s="121"/>
      <c r="T582" s="119"/>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row>
    <row r="583" spans="1:46" ht="15.75" customHeight="1" x14ac:dyDescent="0.2">
      <c r="A583" s="118"/>
      <c r="B583" s="118"/>
      <c r="C583" s="118"/>
      <c r="D583" s="118"/>
      <c r="E583" s="118"/>
      <c r="F583" s="118"/>
      <c r="G583" s="118"/>
      <c r="H583" s="118"/>
      <c r="I583" s="118"/>
      <c r="J583" s="118"/>
      <c r="K583" s="118"/>
      <c r="L583" s="118"/>
      <c r="M583" s="118"/>
      <c r="N583" s="118"/>
      <c r="O583" s="42"/>
      <c r="P583" s="42"/>
      <c r="Q583" s="42"/>
      <c r="R583" s="42"/>
      <c r="S583" s="121"/>
      <c r="T583" s="119"/>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row>
    <row r="584" spans="1:46" ht="15.75" customHeight="1" x14ac:dyDescent="0.2">
      <c r="A584" s="118"/>
      <c r="B584" s="118"/>
      <c r="C584" s="118"/>
      <c r="D584" s="118"/>
      <c r="E584" s="118"/>
      <c r="F584" s="118"/>
      <c r="G584" s="118"/>
      <c r="H584" s="118"/>
      <c r="I584" s="118"/>
      <c r="J584" s="118"/>
      <c r="K584" s="118"/>
      <c r="L584" s="118"/>
      <c r="M584" s="118"/>
      <c r="N584" s="118"/>
      <c r="O584" s="42"/>
      <c r="P584" s="42"/>
      <c r="Q584" s="42"/>
      <c r="R584" s="42"/>
      <c r="S584" s="121"/>
      <c r="T584" s="119"/>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row>
    <row r="585" spans="1:46" ht="15.75" customHeight="1" x14ac:dyDescent="0.2">
      <c r="A585" s="118"/>
      <c r="B585" s="118"/>
      <c r="C585" s="118"/>
      <c r="D585" s="118"/>
      <c r="E585" s="118"/>
      <c r="F585" s="118"/>
      <c r="G585" s="118"/>
      <c r="H585" s="118"/>
      <c r="I585" s="118"/>
      <c r="J585" s="118"/>
      <c r="K585" s="118"/>
      <c r="L585" s="118"/>
      <c r="M585" s="118"/>
      <c r="N585" s="118"/>
      <c r="O585" s="42"/>
      <c r="P585" s="42"/>
      <c r="Q585" s="42"/>
      <c r="R585" s="42"/>
      <c r="S585" s="121"/>
      <c r="T585" s="119"/>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row>
    <row r="586" spans="1:46" ht="15.75" customHeight="1" x14ac:dyDescent="0.2">
      <c r="A586" s="118"/>
      <c r="B586" s="118"/>
      <c r="C586" s="118"/>
      <c r="D586" s="118"/>
      <c r="E586" s="118"/>
      <c r="F586" s="118"/>
      <c r="G586" s="118"/>
      <c r="H586" s="118"/>
      <c r="I586" s="118"/>
      <c r="J586" s="118"/>
      <c r="K586" s="118"/>
      <c r="L586" s="118"/>
      <c r="M586" s="118"/>
      <c r="N586" s="118"/>
      <c r="O586" s="42"/>
      <c r="P586" s="42"/>
      <c r="Q586" s="42"/>
      <c r="R586" s="42"/>
      <c r="S586" s="121"/>
      <c r="T586" s="119"/>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row>
    <row r="587" spans="1:46" ht="15.75" customHeight="1" x14ac:dyDescent="0.2">
      <c r="A587" s="118"/>
      <c r="B587" s="118"/>
      <c r="C587" s="118"/>
      <c r="D587" s="118"/>
      <c r="E587" s="118"/>
      <c r="F587" s="118"/>
      <c r="G587" s="118"/>
      <c r="H587" s="118"/>
      <c r="I587" s="118"/>
      <c r="J587" s="118"/>
      <c r="K587" s="118"/>
      <c r="L587" s="118"/>
      <c r="M587" s="118"/>
      <c r="N587" s="118"/>
      <c r="O587" s="42"/>
      <c r="P587" s="42"/>
      <c r="Q587" s="42"/>
      <c r="R587" s="42"/>
      <c r="S587" s="121"/>
      <c r="T587" s="119"/>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row>
    <row r="588" spans="1:46" ht="15.75" customHeight="1" x14ac:dyDescent="0.2">
      <c r="A588" s="118"/>
      <c r="B588" s="118"/>
      <c r="C588" s="118"/>
      <c r="D588" s="118"/>
      <c r="E588" s="118"/>
      <c r="F588" s="118"/>
      <c r="G588" s="118"/>
      <c r="H588" s="118"/>
      <c r="I588" s="118"/>
      <c r="J588" s="118"/>
      <c r="K588" s="118"/>
      <c r="L588" s="118"/>
      <c r="M588" s="118"/>
      <c r="N588" s="118"/>
      <c r="O588" s="42"/>
      <c r="P588" s="42"/>
      <c r="Q588" s="42"/>
      <c r="R588" s="42"/>
      <c r="S588" s="121"/>
      <c r="T588" s="119"/>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row>
    <row r="589" spans="1:46" ht="15.75" customHeight="1" x14ac:dyDescent="0.2">
      <c r="A589" s="118"/>
      <c r="B589" s="118"/>
      <c r="C589" s="118"/>
      <c r="D589" s="118"/>
      <c r="E589" s="118"/>
      <c r="F589" s="118"/>
      <c r="G589" s="118"/>
      <c r="H589" s="118"/>
      <c r="I589" s="118"/>
      <c r="J589" s="118"/>
      <c r="K589" s="118"/>
      <c r="L589" s="118"/>
      <c r="M589" s="118"/>
      <c r="N589" s="118"/>
      <c r="O589" s="42"/>
      <c r="P589" s="42"/>
      <c r="Q589" s="42"/>
      <c r="R589" s="42"/>
      <c r="S589" s="121"/>
      <c r="T589" s="119"/>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row>
    <row r="590" spans="1:46" ht="15.75" customHeight="1" x14ac:dyDescent="0.2">
      <c r="A590" s="118"/>
      <c r="B590" s="118"/>
      <c r="C590" s="118"/>
      <c r="D590" s="118"/>
      <c r="E590" s="118"/>
      <c r="F590" s="118"/>
      <c r="G590" s="118"/>
      <c r="H590" s="118"/>
      <c r="I590" s="118"/>
      <c r="J590" s="118"/>
      <c r="K590" s="118"/>
      <c r="L590" s="118"/>
      <c r="M590" s="118"/>
      <c r="N590" s="118"/>
      <c r="O590" s="42"/>
      <c r="P590" s="42"/>
      <c r="Q590" s="42"/>
      <c r="R590" s="42"/>
      <c r="S590" s="121"/>
      <c r="T590" s="119"/>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row>
    <row r="591" spans="1:46" ht="15.75" customHeight="1" x14ac:dyDescent="0.2">
      <c r="A591" s="118"/>
      <c r="B591" s="118"/>
      <c r="C591" s="118"/>
      <c r="D591" s="118"/>
      <c r="E591" s="118"/>
      <c r="F591" s="118"/>
      <c r="G591" s="118"/>
      <c r="H591" s="118"/>
      <c r="I591" s="118"/>
      <c r="J591" s="118"/>
      <c r="K591" s="118"/>
      <c r="L591" s="118"/>
      <c r="M591" s="118"/>
      <c r="N591" s="118"/>
      <c r="O591" s="42"/>
      <c r="P591" s="42"/>
      <c r="Q591" s="42"/>
      <c r="R591" s="42"/>
      <c r="S591" s="121"/>
      <c r="T591" s="119"/>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row>
    <row r="592" spans="1:46" ht="15.75" customHeight="1" x14ac:dyDescent="0.2">
      <c r="A592" s="118"/>
      <c r="B592" s="118"/>
      <c r="C592" s="118"/>
      <c r="D592" s="118"/>
      <c r="E592" s="118"/>
      <c r="F592" s="118"/>
      <c r="G592" s="118"/>
      <c r="H592" s="118"/>
      <c r="I592" s="118"/>
      <c r="J592" s="118"/>
      <c r="K592" s="118"/>
      <c r="L592" s="118"/>
      <c r="M592" s="118"/>
      <c r="N592" s="118"/>
      <c r="O592" s="42"/>
      <c r="P592" s="42"/>
      <c r="Q592" s="42"/>
      <c r="R592" s="42"/>
      <c r="S592" s="121"/>
      <c r="T592" s="119"/>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row>
    <row r="593" spans="1:46" ht="15.75" customHeight="1" x14ac:dyDescent="0.2">
      <c r="A593" s="118"/>
      <c r="B593" s="118"/>
      <c r="C593" s="118"/>
      <c r="D593" s="118"/>
      <c r="E593" s="118"/>
      <c r="F593" s="118"/>
      <c r="G593" s="118"/>
      <c r="H593" s="118"/>
      <c r="I593" s="118"/>
      <c r="J593" s="118"/>
      <c r="K593" s="118"/>
      <c r="L593" s="118"/>
      <c r="M593" s="118"/>
      <c r="N593" s="118"/>
      <c r="O593" s="42"/>
      <c r="P593" s="42"/>
      <c r="Q593" s="42"/>
      <c r="R593" s="42"/>
      <c r="S593" s="121"/>
      <c r="T593" s="119"/>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row>
    <row r="594" spans="1:46" ht="15.75" customHeight="1" x14ac:dyDescent="0.2">
      <c r="A594" s="118"/>
      <c r="B594" s="118"/>
      <c r="C594" s="118"/>
      <c r="D594" s="118"/>
      <c r="E594" s="118"/>
      <c r="F594" s="118"/>
      <c r="G594" s="118"/>
      <c r="H594" s="118"/>
      <c r="I594" s="118"/>
      <c r="J594" s="118"/>
      <c r="K594" s="118"/>
      <c r="L594" s="118"/>
      <c r="M594" s="118"/>
      <c r="N594" s="118"/>
      <c r="O594" s="42"/>
      <c r="P594" s="42"/>
      <c r="Q594" s="42"/>
      <c r="R594" s="42"/>
      <c r="S594" s="121"/>
      <c r="T594" s="119"/>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row>
    <row r="595" spans="1:46" ht="15.75" customHeight="1" x14ac:dyDescent="0.2">
      <c r="A595" s="118"/>
      <c r="B595" s="118"/>
      <c r="C595" s="118"/>
      <c r="D595" s="118"/>
      <c r="E595" s="118"/>
      <c r="F595" s="118"/>
      <c r="G595" s="118"/>
      <c r="H595" s="118"/>
      <c r="I595" s="118"/>
      <c r="J595" s="118"/>
      <c r="K595" s="118"/>
      <c r="L595" s="118"/>
      <c r="M595" s="118"/>
      <c r="N595" s="118"/>
      <c r="O595" s="42"/>
      <c r="P595" s="42"/>
      <c r="Q595" s="42"/>
      <c r="R595" s="42"/>
      <c r="S595" s="121"/>
      <c r="T595" s="119"/>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row>
    <row r="596" spans="1:46" ht="15.75" customHeight="1" x14ac:dyDescent="0.2">
      <c r="A596" s="118"/>
      <c r="B596" s="118"/>
      <c r="C596" s="118"/>
      <c r="D596" s="118"/>
      <c r="E596" s="118"/>
      <c r="F596" s="118"/>
      <c r="G596" s="118"/>
      <c r="H596" s="118"/>
      <c r="I596" s="118"/>
      <c r="J596" s="118"/>
      <c r="K596" s="118"/>
      <c r="L596" s="118"/>
      <c r="M596" s="118"/>
      <c r="N596" s="118"/>
      <c r="O596" s="42"/>
      <c r="P596" s="42"/>
      <c r="Q596" s="42"/>
      <c r="R596" s="42"/>
      <c r="S596" s="121"/>
      <c r="T596" s="119"/>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row>
    <row r="597" spans="1:46" ht="15.75" customHeight="1" x14ac:dyDescent="0.2">
      <c r="A597" s="118"/>
      <c r="B597" s="118"/>
      <c r="C597" s="118"/>
      <c r="D597" s="118"/>
      <c r="E597" s="118"/>
      <c r="F597" s="118"/>
      <c r="G597" s="118"/>
      <c r="H597" s="118"/>
      <c r="I597" s="118"/>
      <c r="J597" s="118"/>
      <c r="K597" s="118"/>
      <c r="L597" s="118"/>
      <c r="M597" s="118"/>
      <c r="N597" s="118"/>
      <c r="O597" s="42"/>
      <c r="P597" s="42"/>
      <c r="Q597" s="42"/>
      <c r="R597" s="42"/>
      <c r="S597" s="121"/>
      <c r="T597" s="119"/>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row>
    <row r="598" spans="1:46" ht="15.75" customHeight="1" x14ac:dyDescent="0.2">
      <c r="A598" s="118"/>
      <c r="B598" s="118"/>
      <c r="C598" s="118"/>
      <c r="D598" s="118"/>
      <c r="E598" s="118"/>
      <c r="F598" s="118"/>
      <c r="G598" s="118"/>
      <c r="H598" s="118"/>
      <c r="I598" s="118"/>
      <c r="J598" s="118"/>
      <c r="K598" s="118"/>
      <c r="L598" s="118"/>
      <c r="M598" s="118"/>
      <c r="N598" s="118"/>
      <c r="O598" s="42"/>
      <c r="P598" s="42"/>
      <c r="Q598" s="42"/>
      <c r="R598" s="42"/>
      <c r="S598" s="121"/>
      <c r="T598" s="119"/>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row>
    <row r="599" spans="1:46" ht="15.75" customHeight="1" x14ac:dyDescent="0.2">
      <c r="A599" s="118"/>
      <c r="B599" s="118"/>
      <c r="C599" s="118"/>
      <c r="D599" s="118"/>
      <c r="E599" s="118"/>
      <c r="F599" s="118"/>
      <c r="G599" s="118"/>
      <c r="H599" s="118"/>
      <c r="I599" s="118"/>
      <c r="J599" s="118"/>
      <c r="K599" s="118"/>
      <c r="L599" s="118"/>
      <c r="M599" s="118"/>
      <c r="N599" s="118"/>
      <c r="O599" s="42"/>
      <c r="P599" s="42"/>
      <c r="Q599" s="42"/>
      <c r="R599" s="42"/>
      <c r="S599" s="121"/>
      <c r="T599" s="119"/>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row>
    <row r="600" spans="1:46" ht="15.75" customHeight="1" x14ac:dyDescent="0.2">
      <c r="A600" s="118"/>
      <c r="B600" s="118"/>
      <c r="C600" s="118"/>
      <c r="D600" s="118"/>
      <c r="E600" s="118"/>
      <c r="F600" s="118"/>
      <c r="G600" s="118"/>
      <c r="H600" s="118"/>
      <c r="I600" s="118"/>
      <c r="J600" s="118"/>
      <c r="K600" s="118"/>
      <c r="L600" s="118"/>
      <c r="M600" s="118"/>
      <c r="N600" s="118"/>
      <c r="O600" s="42"/>
      <c r="P600" s="42"/>
      <c r="Q600" s="42"/>
      <c r="R600" s="42"/>
      <c r="S600" s="121"/>
      <c r="T600" s="119"/>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row>
    <row r="601" spans="1:46" ht="15.75" customHeight="1" x14ac:dyDescent="0.2">
      <c r="A601" s="118"/>
      <c r="B601" s="118"/>
      <c r="C601" s="118"/>
      <c r="D601" s="118"/>
      <c r="E601" s="118"/>
      <c r="F601" s="118"/>
      <c r="G601" s="118"/>
      <c r="H601" s="118"/>
      <c r="I601" s="118"/>
      <c r="J601" s="118"/>
      <c r="K601" s="118"/>
      <c r="L601" s="118"/>
      <c r="M601" s="118"/>
      <c r="N601" s="118"/>
      <c r="O601" s="42"/>
      <c r="P601" s="42"/>
      <c r="Q601" s="42"/>
      <c r="R601" s="42"/>
      <c r="S601" s="121"/>
      <c r="T601" s="119"/>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row>
    <row r="602" spans="1:46" ht="15.75" customHeight="1" x14ac:dyDescent="0.2">
      <c r="A602" s="118"/>
      <c r="B602" s="118"/>
      <c r="C602" s="118"/>
      <c r="D602" s="118"/>
      <c r="E602" s="118"/>
      <c r="F602" s="118"/>
      <c r="G602" s="118"/>
      <c r="H602" s="118"/>
      <c r="I602" s="118"/>
      <c r="J602" s="118"/>
      <c r="K602" s="118"/>
      <c r="L602" s="118"/>
      <c r="M602" s="118"/>
      <c r="N602" s="118"/>
      <c r="O602" s="42"/>
      <c r="P602" s="42"/>
      <c r="Q602" s="42"/>
      <c r="R602" s="42"/>
      <c r="S602" s="121"/>
      <c r="T602" s="119"/>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row>
    <row r="603" spans="1:46" ht="15.75" customHeight="1" x14ac:dyDescent="0.2">
      <c r="A603" s="118"/>
      <c r="B603" s="118"/>
      <c r="C603" s="118"/>
      <c r="D603" s="118"/>
      <c r="E603" s="118"/>
      <c r="F603" s="118"/>
      <c r="G603" s="118"/>
      <c r="H603" s="118"/>
      <c r="I603" s="118"/>
      <c r="J603" s="118"/>
      <c r="K603" s="118"/>
      <c r="L603" s="118"/>
      <c r="M603" s="118"/>
      <c r="N603" s="118"/>
      <c r="O603" s="42"/>
      <c r="P603" s="42"/>
      <c r="Q603" s="42"/>
      <c r="R603" s="42"/>
      <c r="S603" s="121"/>
      <c r="T603" s="119"/>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row>
    <row r="604" spans="1:46" ht="15.75" customHeight="1" x14ac:dyDescent="0.2">
      <c r="A604" s="118"/>
      <c r="B604" s="118"/>
      <c r="C604" s="118"/>
      <c r="D604" s="118"/>
      <c r="E604" s="118"/>
      <c r="F604" s="118"/>
      <c r="G604" s="118"/>
      <c r="H604" s="118"/>
      <c r="I604" s="118"/>
      <c r="J604" s="118"/>
      <c r="K604" s="118"/>
      <c r="L604" s="118"/>
      <c r="M604" s="118"/>
      <c r="N604" s="118"/>
      <c r="O604" s="42"/>
      <c r="P604" s="42"/>
      <c r="Q604" s="42"/>
      <c r="R604" s="42"/>
      <c r="S604" s="121"/>
      <c r="T604" s="119"/>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row>
    <row r="605" spans="1:46" ht="15.75" customHeight="1" x14ac:dyDescent="0.2">
      <c r="A605" s="118"/>
      <c r="B605" s="118"/>
      <c r="C605" s="118"/>
      <c r="D605" s="118"/>
      <c r="E605" s="118"/>
      <c r="F605" s="118"/>
      <c r="G605" s="118"/>
      <c r="H605" s="118"/>
      <c r="I605" s="118"/>
      <c r="J605" s="118"/>
      <c r="K605" s="118"/>
      <c r="L605" s="118"/>
      <c r="M605" s="118"/>
      <c r="N605" s="118"/>
      <c r="O605" s="42"/>
      <c r="P605" s="42"/>
      <c r="Q605" s="42"/>
      <c r="R605" s="42"/>
      <c r="S605" s="121"/>
      <c r="T605" s="119"/>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row>
    <row r="606" spans="1:46" ht="15.75" customHeight="1" x14ac:dyDescent="0.2">
      <c r="A606" s="118"/>
      <c r="B606" s="118"/>
      <c r="C606" s="118"/>
      <c r="D606" s="118"/>
      <c r="E606" s="118"/>
      <c r="F606" s="118"/>
      <c r="G606" s="118"/>
      <c r="H606" s="118"/>
      <c r="I606" s="118"/>
      <c r="J606" s="118"/>
      <c r="K606" s="118"/>
      <c r="L606" s="118"/>
      <c r="M606" s="118"/>
      <c r="N606" s="118"/>
      <c r="O606" s="42"/>
      <c r="P606" s="42"/>
      <c r="Q606" s="42"/>
      <c r="R606" s="42"/>
      <c r="S606" s="121"/>
      <c r="T606" s="119"/>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row>
    <row r="607" spans="1:46" ht="15.75" customHeight="1" x14ac:dyDescent="0.2">
      <c r="A607" s="118"/>
      <c r="B607" s="118"/>
      <c r="C607" s="118"/>
      <c r="D607" s="118"/>
      <c r="E607" s="118"/>
      <c r="F607" s="118"/>
      <c r="G607" s="118"/>
      <c r="H607" s="118"/>
      <c r="I607" s="118"/>
      <c r="J607" s="118"/>
      <c r="K607" s="118"/>
      <c r="L607" s="118"/>
      <c r="M607" s="118"/>
      <c r="N607" s="118"/>
      <c r="O607" s="42"/>
      <c r="P607" s="42"/>
      <c r="Q607" s="42"/>
      <c r="R607" s="42"/>
      <c r="S607" s="121"/>
      <c r="T607" s="119"/>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row>
    <row r="608" spans="1:46" ht="15.75" customHeight="1" x14ac:dyDescent="0.2">
      <c r="A608" s="118"/>
      <c r="B608" s="118"/>
      <c r="C608" s="118"/>
      <c r="D608" s="118"/>
      <c r="E608" s="118"/>
      <c r="F608" s="118"/>
      <c r="G608" s="118"/>
      <c r="H608" s="118"/>
      <c r="I608" s="118"/>
      <c r="J608" s="118"/>
      <c r="K608" s="118"/>
      <c r="L608" s="118"/>
      <c r="M608" s="118"/>
      <c r="N608" s="118"/>
      <c r="O608" s="42"/>
      <c r="P608" s="42"/>
      <c r="Q608" s="42"/>
      <c r="R608" s="42"/>
      <c r="S608" s="121"/>
      <c r="T608" s="119"/>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row>
    <row r="609" spans="1:46" ht="15.75" customHeight="1" x14ac:dyDescent="0.2">
      <c r="A609" s="118"/>
      <c r="B609" s="118"/>
      <c r="C609" s="118"/>
      <c r="D609" s="118"/>
      <c r="E609" s="118"/>
      <c r="F609" s="118"/>
      <c r="G609" s="118"/>
      <c r="H609" s="118"/>
      <c r="I609" s="118"/>
      <c r="J609" s="118"/>
      <c r="K609" s="118"/>
      <c r="L609" s="118"/>
      <c r="M609" s="118"/>
      <c r="N609" s="118"/>
      <c r="O609" s="42"/>
      <c r="P609" s="42"/>
      <c r="Q609" s="42"/>
      <c r="R609" s="42"/>
      <c r="S609" s="121"/>
      <c r="T609" s="119"/>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row>
    <row r="610" spans="1:46" ht="15.75" customHeight="1" x14ac:dyDescent="0.2">
      <c r="A610" s="118"/>
      <c r="B610" s="118"/>
      <c r="C610" s="118"/>
      <c r="D610" s="118"/>
      <c r="E610" s="118"/>
      <c r="F610" s="118"/>
      <c r="G610" s="118"/>
      <c r="H610" s="118"/>
      <c r="I610" s="118"/>
      <c r="J610" s="118"/>
      <c r="K610" s="118"/>
      <c r="L610" s="118"/>
      <c r="M610" s="118"/>
      <c r="N610" s="118"/>
      <c r="O610" s="42"/>
      <c r="P610" s="42"/>
      <c r="Q610" s="42"/>
      <c r="R610" s="42"/>
      <c r="S610" s="121"/>
      <c r="T610" s="119"/>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row>
    <row r="611" spans="1:46" ht="15.75" customHeight="1" x14ac:dyDescent="0.2">
      <c r="A611" s="118"/>
      <c r="B611" s="118"/>
      <c r="C611" s="118"/>
      <c r="D611" s="118"/>
      <c r="E611" s="118"/>
      <c r="F611" s="118"/>
      <c r="G611" s="118"/>
      <c r="H611" s="118"/>
      <c r="I611" s="118"/>
      <c r="J611" s="118"/>
      <c r="K611" s="118"/>
      <c r="L611" s="118"/>
      <c r="M611" s="118"/>
      <c r="N611" s="118"/>
      <c r="O611" s="42"/>
      <c r="P611" s="42"/>
      <c r="Q611" s="42"/>
      <c r="R611" s="42"/>
      <c r="S611" s="121"/>
      <c r="T611" s="119"/>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row>
    <row r="612" spans="1:46" ht="15.75" customHeight="1" x14ac:dyDescent="0.2">
      <c r="A612" s="118"/>
      <c r="B612" s="118"/>
      <c r="C612" s="118"/>
      <c r="D612" s="118"/>
      <c r="E612" s="118"/>
      <c r="F612" s="118"/>
      <c r="G612" s="118"/>
      <c r="H612" s="118"/>
      <c r="I612" s="118"/>
      <c r="J612" s="118"/>
      <c r="K612" s="118"/>
      <c r="L612" s="118"/>
      <c r="M612" s="118"/>
      <c r="N612" s="118"/>
      <c r="O612" s="42"/>
      <c r="P612" s="42"/>
      <c r="Q612" s="42"/>
      <c r="R612" s="42"/>
      <c r="S612" s="121"/>
      <c r="T612" s="119"/>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row>
    <row r="613" spans="1:46" ht="15.75" customHeight="1" x14ac:dyDescent="0.2">
      <c r="A613" s="118"/>
      <c r="B613" s="118"/>
      <c r="C613" s="118"/>
      <c r="D613" s="118"/>
      <c r="E613" s="118"/>
      <c r="F613" s="118"/>
      <c r="G613" s="118"/>
      <c r="H613" s="118"/>
      <c r="I613" s="118"/>
      <c r="J613" s="118"/>
      <c r="K613" s="118"/>
      <c r="L613" s="118"/>
      <c r="M613" s="118"/>
      <c r="N613" s="118"/>
      <c r="O613" s="42"/>
      <c r="P613" s="42"/>
      <c r="Q613" s="42"/>
      <c r="R613" s="42"/>
      <c r="S613" s="121"/>
      <c r="T613" s="119"/>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row>
    <row r="614" spans="1:46" ht="15.75" customHeight="1" x14ac:dyDescent="0.2">
      <c r="A614" s="118"/>
      <c r="B614" s="118"/>
      <c r="C614" s="118"/>
      <c r="D614" s="118"/>
      <c r="E614" s="118"/>
      <c r="F614" s="118"/>
      <c r="G614" s="118"/>
      <c r="H614" s="118"/>
      <c r="I614" s="118"/>
      <c r="J614" s="118"/>
      <c r="K614" s="118"/>
      <c r="L614" s="118"/>
      <c r="M614" s="118"/>
      <c r="N614" s="118"/>
      <c r="O614" s="42"/>
      <c r="P614" s="42"/>
      <c r="Q614" s="42"/>
      <c r="R614" s="42"/>
      <c r="S614" s="121"/>
      <c r="T614" s="119"/>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row>
    <row r="615" spans="1:46" ht="15.75" customHeight="1" x14ac:dyDescent="0.2">
      <c r="A615" s="118"/>
      <c r="B615" s="118"/>
      <c r="C615" s="118"/>
      <c r="D615" s="118"/>
      <c r="E615" s="118"/>
      <c r="F615" s="118"/>
      <c r="G615" s="118"/>
      <c r="H615" s="118"/>
      <c r="I615" s="118"/>
      <c r="J615" s="118"/>
      <c r="K615" s="118"/>
      <c r="L615" s="118"/>
      <c r="M615" s="118"/>
      <c r="N615" s="118"/>
      <c r="O615" s="42"/>
      <c r="P615" s="42"/>
      <c r="Q615" s="42"/>
      <c r="R615" s="42"/>
      <c r="S615" s="121"/>
      <c r="T615" s="119"/>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row>
    <row r="616" spans="1:46" ht="15.75" customHeight="1" x14ac:dyDescent="0.2">
      <c r="A616" s="118"/>
      <c r="B616" s="118"/>
      <c r="C616" s="118"/>
      <c r="D616" s="118"/>
      <c r="E616" s="118"/>
      <c r="F616" s="118"/>
      <c r="G616" s="118"/>
      <c r="H616" s="118"/>
      <c r="I616" s="118"/>
      <c r="J616" s="118"/>
      <c r="K616" s="118"/>
      <c r="L616" s="118"/>
      <c r="M616" s="118"/>
      <c r="N616" s="118"/>
      <c r="O616" s="42"/>
      <c r="P616" s="42"/>
      <c r="Q616" s="42"/>
      <c r="R616" s="42"/>
      <c r="S616" s="121"/>
      <c r="T616" s="119"/>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row>
    <row r="617" spans="1:46" ht="15.75" customHeight="1" x14ac:dyDescent="0.2">
      <c r="A617" s="118"/>
      <c r="B617" s="118"/>
      <c r="C617" s="118"/>
      <c r="D617" s="118"/>
      <c r="E617" s="118"/>
      <c r="F617" s="118"/>
      <c r="G617" s="118"/>
      <c r="H617" s="118"/>
      <c r="I617" s="118"/>
      <c r="J617" s="118"/>
      <c r="K617" s="118"/>
      <c r="L617" s="118"/>
      <c r="M617" s="118"/>
      <c r="N617" s="118"/>
      <c r="O617" s="42"/>
      <c r="P617" s="42"/>
      <c r="Q617" s="42"/>
      <c r="R617" s="42"/>
      <c r="S617" s="121"/>
      <c r="T617" s="119"/>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row>
    <row r="618" spans="1:46" ht="15.75" customHeight="1" x14ac:dyDescent="0.2">
      <c r="A618" s="118"/>
      <c r="B618" s="118"/>
      <c r="C618" s="118"/>
      <c r="D618" s="118"/>
      <c r="E618" s="118"/>
      <c r="F618" s="118"/>
      <c r="G618" s="118"/>
      <c r="H618" s="118"/>
      <c r="I618" s="118"/>
      <c r="J618" s="118"/>
      <c r="K618" s="118"/>
      <c r="L618" s="118"/>
      <c r="M618" s="118"/>
      <c r="N618" s="118"/>
      <c r="O618" s="42"/>
      <c r="P618" s="42"/>
      <c r="Q618" s="42"/>
      <c r="R618" s="42"/>
      <c r="S618" s="121"/>
      <c r="T618" s="119"/>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row>
    <row r="619" spans="1:46" ht="15.75" customHeight="1" x14ac:dyDescent="0.2">
      <c r="A619" s="118"/>
      <c r="B619" s="118"/>
      <c r="C619" s="118"/>
      <c r="D619" s="118"/>
      <c r="E619" s="118"/>
      <c r="F619" s="118"/>
      <c r="G619" s="118"/>
      <c r="H619" s="118"/>
      <c r="I619" s="118"/>
      <c r="J619" s="118"/>
      <c r="K619" s="118"/>
      <c r="L619" s="118"/>
      <c r="M619" s="118"/>
      <c r="N619" s="118"/>
      <c r="O619" s="42"/>
      <c r="P619" s="42"/>
      <c r="Q619" s="42"/>
      <c r="R619" s="42"/>
      <c r="S619" s="121"/>
      <c r="T619" s="119"/>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row>
    <row r="620" spans="1:46" ht="15.75" customHeight="1" x14ac:dyDescent="0.2">
      <c r="A620" s="118"/>
      <c r="B620" s="118"/>
      <c r="C620" s="118"/>
      <c r="D620" s="118"/>
      <c r="E620" s="118"/>
      <c r="F620" s="118"/>
      <c r="G620" s="118"/>
      <c r="H620" s="118"/>
      <c r="I620" s="118"/>
      <c r="J620" s="118"/>
      <c r="K620" s="118"/>
      <c r="L620" s="118"/>
      <c r="M620" s="118"/>
      <c r="N620" s="118"/>
      <c r="O620" s="42"/>
      <c r="P620" s="42"/>
      <c r="Q620" s="42"/>
      <c r="R620" s="42"/>
      <c r="S620" s="121"/>
      <c r="T620" s="119"/>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row>
    <row r="621" spans="1:46" ht="15.75" customHeight="1" x14ac:dyDescent="0.2">
      <c r="A621" s="118"/>
      <c r="B621" s="118"/>
      <c r="C621" s="118"/>
      <c r="D621" s="118"/>
      <c r="E621" s="118"/>
      <c r="F621" s="118"/>
      <c r="G621" s="118"/>
      <c r="H621" s="118"/>
      <c r="I621" s="118"/>
      <c r="J621" s="118"/>
      <c r="K621" s="118"/>
      <c r="L621" s="118"/>
      <c r="M621" s="118"/>
      <c r="N621" s="118"/>
      <c r="O621" s="42"/>
      <c r="P621" s="42"/>
      <c r="Q621" s="42"/>
      <c r="R621" s="42"/>
      <c r="S621" s="121"/>
      <c r="T621" s="119"/>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row>
    <row r="622" spans="1:46" ht="15.75" customHeight="1" x14ac:dyDescent="0.2">
      <c r="A622" s="118"/>
      <c r="B622" s="118"/>
      <c r="C622" s="118"/>
      <c r="D622" s="118"/>
      <c r="E622" s="118"/>
      <c r="F622" s="118"/>
      <c r="G622" s="118"/>
      <c r="H622" s="118"/>
      <c r="I622" s="118"/>
      <c r="J622" s="118"/>
      <c r="K622" s="118"/>
      <c r="L622" s="118"/>
      <c r="M622" s="118"/>
      <c r="N622" s="118"/>
      <c r="O622" s="42"/>
      <c r="P622" s="42"/>
      <c r="Q622" s="42"/>
      <c r="R622" s="42"/>
      <c r="S622" s="121"/>
      <c r="T622" s="119"/>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row>
    <row r="623" spans="1:46" ht="15.75" customHeight="1" x14ac:dyDescent="0.2">
      <c r="A623" s="118"/>
      <c r="B623" s="118"/>
      <c r="C623" s="118"/>
      <c r="D623" s="118"/>
      <c r="E623" s="118"/>
      <c r="F623" s="118"/>
      <c r="G623" s="118"/>
      <c r="H623" s="118"/>
      <c r="I623" s="118"/>
      <c r="J623" s="118"/>
      <c r="K623" s="118"/>
      <c r="L623" s="118"/>
      <c r="M623" s="118"/>
      <c r="N623" s="118"/>
      <c r="O623" s="42"/>
      <c r="P623" s="42"/>
      <c r="Q623" s="42"/>
      <c r="R623" s="42"/>
      <c r="S623" s="121"/>
      <c r="T623" s="119"/>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row>
    <row r="624" spans="1:46" ht="15.75" customHeight="1" x14ac:dyDescent="0.2">
      <c r="A624" s="118"/>
      <c r="B624" s="118"/>
      <c r="C624" s="118"/>
      <c r="D624" s="118"/>
      <c r="E624" s="118"/>
      <c r="F624" s="118"/>
      <c r="G624" s="118"/>
      <c r="H624" s="118"/>
      <c r="I624" s="118"/>
      <c r="J624" s="118"/>
      <c r="K624" s="118"/>
      <c r="L624" s="118"/>
      <c r="M624" s="118"/>
      <c r="N624" s="118"/>
      <c r="O624" s="42"/>
      <c r="P624" s="42"/>
      <c r="Q624" s="42"/>
      <c r="R624" s="42"/>
      <c r="S624" s="121"/>
      <c r="T624" s="119"/>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row>
    <row r="625" spans="1:46" ht="15.75" customHeight="1" x14ac:dyDescent="0.2">
      <c r="A625" s="118"/>
      <c r="B625" s="118"/>
      <c r="C625" s="118"/>
      <c r="D625" s="118"/>
      <c r="E625" s="118"/>
      <c r="F625" s="118"/>
      <c r="G625" s="118"/>
      <c r="H625" s="118"/>
      <c r="I625" s="118"/>
      <c r="J625" s="118"/>
      <c r="K625" s="118"/>
      <c r="L625" s="118"/>
      <c r="M625" s="118"/>
      <c r="N625" s="118"/>
      <c r="O625" s="42"/>
      <c r="P625" s="42"/>
      <c r="Q625" s="42"/>
      <c r="R625" s="42"/>
      <c r="S625" s="121"/>
      <c r="T625" s="119"/>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row>
    <row r="626" spans="1:46" ht="15.75" customHeight="1" x14ac:dyDescent="0.2">
      <c r="A626" s="118"/>
      <c r="B626" s="118"/>
      <c r="C626" s="118"/>
      <c r="D626" s="118"/>
      <c r="E626" s="118"/>
      <c r="F626" s="118"/>
      <c r="G626" s="118"/>
      <c r="H626" s="118"/>
      <c r="I626" s="118"/>
      <c r="J626" s="118"/>
      <c r="K626" s="118"/>
      <c r="L626" s="118"/>
      <c r="M626" s="118"/>
      <c r="N626" s="118"/>
      <c r="O626" s="42"/>
      <c r="P626" s="42"/>
      <c r="Q626" s="42"/>
      <c r="R626" s="42"/>
      <c r="S626" s="121"/>
      <c r="T626" s="119"/>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row>
    <row r="627" spans="1:46" ht="15.75" customHeight="1" x14ac:dyDescent="0.2">
      <c r="A627" s="118"/>
      <c r="B627" s="118"/>
      <c r="C627" s="118"/>
      <c r="D627" s="118"/>
      <c r="E627" s="118"/>
      <c r="F627" s="118"/>
      <c r="G627" s="118"/>
      <c r="H627" s="118"/>
      <c r="I627" s="118"/>
      <c r="J627" s="118"/>
      <c r="K627" s="118"/>
      <c r="L627" s="118"/>
      <c r="M627" s="118"/>
      <c r="N627" s="118"/>
      <c r="O627" s="42"/>
      <c r="P627" s="42"/>
      <c r="Q627" s="42"/>
      <c r="R627" s="42"/>
      <c r="S627" s="121"/>
      <c r="T627" s="119"/>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row>
    <row r="628" spans="1:46" ht="15.75" customHeight="1" x14ac:dyDescent="0.2">
      <c r="A628" s="118"/>
      <c r="B628" s="118"/>
      <c r="C628" s="118"/>
      <c r="D628" s="118"/>
      <c r="E628" s="118"/>
      <c r="F628" s="118"/>
      <c r="G628" s="118"/>
      <c r="H628" s="118"/>
      <c r="I628" s="118"/>
      <c r="J628" s="118"/>
      <c r="K628" s="118"/>
      <c r="L628" s="118"/>
      <c r="M628" s="118"/>
      <c r="N628" s="118"/>
      <c r="O628" s="42"/>
      <c r="P628" s="42"/>
      <c r="Q628" s="42"/>
      <c r="R628" s="42"/>
      <c r="S628" s="121"/>
      <c r="T628" s="119"/>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row>
    <row r="629" spans="1:46" ht="15.75" customHeight="1" x14ac:dyDescent="0.2">
      <c r="A629" s="118"/>
      <c r="B629" s="118"/>
      <c r="C629" s="118"/>
      <c r="D629" s="118"/>
      <c r="E629" s="118"/>
      <c r="F629" s="118"/>
      <c r="G629" s="118"/>
      <c r="H629" s="118"/>
      <c r="I629" s="118"/>
      <c r="J629" s="118"/>
      <c r="K629" s="118"/>
      <c r="L629" s="118"/>
      <c r="M629" s="118"/>
      <c r="N629" s="118"/>
      <c r="O629" s="42"/>
      <c r="P629" s="42"/>
      <c r="Q629" s="42"/>
      <c r="R629" s="42"/>
      <c r="S629" s="121"/>
      <c r="T629" s="119"/>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row>
    <row r="630" spans="1:46" ht="15.75" customHeight="1" x14ac:dyDescent="0.2">
      <c r="A630" s="118"/>
      <c r="B630" s="118"/>
      <c r="C630" s="118"/>
      <c r="D630" s="118"/>
      <c r="E630" s="118"/>
      <c r="F630" s="118"/>
      <c r="G630" s="118"/>
      <c r="H630" s="118"/>
      <c r="I630" s="118"/>
      <c r="J630" s="118"/>
      <c r="K630" s="118"/>
      <c r="L630" s="118"/>
      <c r="M630" s="118"/>
      <c r="N630" s="118"/>
      <c r="O630" s="42"/>
      <c r="P630" s="42"/>
      <c r="Q630" s="42"/>
      <c r="R630" s="42"/>
      <c r="S630" s="121"/>
      <c r="T630" s="119"/>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row>
    <row r="631" spans="1:46" ht="15.75" customHeight="1" x14ac:dyDescent="0.2">
      <c r="A631" s="118"/>
      <c r="B631" s="118"/>
      <c r="C631" s="118"/>
      <c r="D631" s="118"/>
      <c r="E631" s="118"/>
      <c r="F631" s="118"/>
      <c r="G631" s="118"/>
      <c r="H631" s="118"/>
      <c r="I631" s="118"/>
      <c r="J631" s="118"/>
      <c r="K631" s="118"/>
      <c r="L631" s="118"/>
      <c r="M631" s="118"/>
      <c r="N631" s="118"/>
      <c r="O631" s="42"/>
      <c r="P631" s="42"/>
      <c r="Q631" s="42"/>
      <c r="R631" s="42"/>
      <c r="S631" s="121"/>
      <c r="T631" s="119"/>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row>
    <row r="632" spans="1:46" ht="15.75" customHeight="1" x14ac:dyDescent="0.2">
      <c r="A632" s="118"/>
      <c r="B632" s="118"/>
      <c r="C632" s="118"/>
      <c r="D632" s="118"/>
      <c r="E632" s="118"/>
      <c r="F632" s="118"/>
      <c r="G632" s="118"/>
      <c r="H632" s="118"/>
      <c r="I632" s="118"/>
      <c r="J632" s="118"/>
      <c r="K632" s="118"/>
      <c r="L632" s="118"/>
      <c r="M632" s="118"/>
      <c r="N632" s="118"/>
      <c r="O632" s="42"/>
      <c r="P632" s="42"/>
      <c r="Q632" s="42"/>
      <c r="R632" s="42"/>
      <c r="S632" s="121"/>
      <c r="T632" s="119"/>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row>
    <row r="633" spans="1:46" ht="15.75" customHeight="1" x14ac:dyDescent="0.2">
      <c r="A633" s="118"/>
      <c r="B633" s="118"/>
      <c r="C633" s="118"/>
      <c r="D633" s="118"/>
      <c r="E633" s="118"/>
      <c r="F633" s="118"/>
      <c r="G633" s="118"/>
      <c r="H633" s="118"/>
      <c r="I633" s="118"/>
      <c r="J633" s="118"/>
      <c r="K633" s="118"/>
      <c r="L633" s="118"/>
      <c r="M633" s="118"/>
      <c r="N633" s="118"/>
      <c r="O633" s="42"/>
      <c r="P633" s="42"/>
      <c r="Q633" s="42"/>
      <c r="R633" s="42"/>
      <c r="S633" s="121"/>
      <c r="T633" s="119"/>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row>
    <row r="634" spans="1:46" ht="15.75" customHeight="1" x14ac:dyDescent="0.2">
      <c r="A634" s="118"/>
      <c r="B634" s="118"/>
      <c r="C634" s="118"/>
      <c r="D634" s="118"/>
      <c r="E634" s="118"/>
      <c r="F634" s="118"/>
      <c r="G634" s="118"/>
      <c r="H634" s="118"/>
      <c r="I634" s="118"/>
      <c r="J634" s="118"/>
      <c r="K634" s="118"/>
      <c r="L634" s="118"/>
      <c r="M634" s="118"/>
      <c r="N634" s="118"/>
      <c r="O634" s="42"/>
      <c r="P634" s="42"/>
      <c r="Q634" s="42"/>
      <c r="R634" s="42"/>
      <c r="S634" s="121"/>
      <c r="T634" s="119"/>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row>
    <row r="635" spans="1:46" ht="15.75" customHeight="1" x14ac:dyDescent="0.2">
      <c r="A635" s="118"/>
      <c r="B635" s="118"/>
      <c r="C635" s="118"/>
      <c r="D635" s="118"/>
      <c r="E635" s="118"/>
      <c r="F635" s="118"/>
      <c r="G635" s="118"/>
      <c r="H635" s="118"/>
      <c r="I635" s="118"/>
      <c r="J635" s="118"/>
      <c r="K635" s="118"/>
      <c r="L635" s="118"/>
      <c r="M635" s="118"/>
      <c r="N635" s="118"/>
      <c r="O635" s="42"/>
      <c r="P635" s="42"/>
      <c r="Q635" s="42"/>
      <c r="R635" s="42"/>
      <c r="S635" s="121"/>
      <c r="T635" s="119"/>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row>
    <row r="636" spans="1:46" ht="15.75" customHeight="1" x14ac:dyDescent="0.2">
      <c r="A636" s="118"/>
      <c r="B636" s="118"/>
      <c r="C636" s="118"/>
      <c r="D636" s="118"/>
      <c r="E636" s="118"/>
      <c r="F636" s="118"/>
      <c r="G636" s="118"/>
      <c r="H636" s="118"/>
      <c r="I636" s="118"/>
      <c r="J636" s="118"/>
      <c r="K636" s="118"/>
      <c r="L636" s="118"/>
      <c r="M636" s="118"/>
      <c r="N636" s="118"/>
      <c r="O636" s="42"/>
      <c r="P636" s="42"/>
      <c r="Q636" s="42"/>
      <c r="R636" s="42"/>
      <c r="S636" s="121"/>
      <c r="T636" s="119"/>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row>
    <row r="637" spans="1:46" ht="15.75" customHeight="1" x14ac:dyDescent="0.2">
      <c r="A637" s="118"/>
      <c r="B637" s="118"/>
      <c r="C637" s="118"/>
      <c r="D637" s="118"/>
      <c r="E637" s="118"/>
      <c r="F637" s="118"/>
      <c r="G637" s="118"/>
      <c r="H637" s="118"/>
      <c r="I637" s="118"/>
      <c r="J637" s="118"/>
      <c r="K637" s="118"/>
      <c r="L637" s="118"/>
      <c r="M637" s="118"/>
      <c r="N637" s="118"/>
      <c r="O637" s="42"/>
      <c r="P637" s="42"/>
      <c r="Q637" s="42"/>
      <c r="R637" s="42"/>
      <c r="S637" s="121"/>
      <c r="T637" s="119"/>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row>
    <row r="638" spans="1:46" ht="15.75" customHeight="1" x14ac:dyDescent="0.2">
      <c r="A638" s="118"/>
      <c r="B638" s="118"/>
      <c r="C638" s="118"/>
      <c r="D638" s="118"/>
      <c r="E638" s="118"/>
      <c r="F638" s="118"/>
      <c r="G638" s="118"/>
      <c r="H638" s="118"/>
      <c r="I638" s="118"/>
      <c r="J638" s="118"/>
      <c r="K638" s="118"/>
      <c r="L638" s="118"/>
      <c r="M638" s="118"/>
      <c r="N638" s="118"/>
      <c r="O638" s="42"/>
      <c r="P638" s="42"/>
      <c r="Q638" s="42"/>
      <c r="R638" s="42"/>
      <c r="S638" s="121"/>
      <c r="T638" s="119"/>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row>
    <row r="639" spans="1:46" ht="15.75" customHeight="1" x14ac:dyDescent="0.2">
      <c r="A639" s="118"/>
      <c r="B639" s="118"/>
      <c r="C639" s="118"/>
      <c r="D639" s="118"/>
      <c r="E639" s="118"/>
      <c r="F639" s="118"/>
      <c r="G639" s="118"/>
      <c r="H639" s="118"/>
      <c r="I639" s="118"/>
      <c r="J639" s="118"/>
      <c r="K639" s="118"/>
      <c r="L639" s="118"/>
      <c r="M639" s="118"/>
      <c r="N639" s="118"/>
      <c r="O639" s="42"/>
      <c r="P639" s="42"/>
      <c r="Q639" s="42"/>
      <c r="R639" s="42"/>
      <c r="S639" s="121"/>
      <c r="T639" s="119"/>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row>
    <row r="640" spans="1:46" ht="15.75" customHeight="1" x14ac:dyDescent="0.2">
      <c r="A640" s="118"/>
      <c r="B640" s="118"/>
      <c r="C640" s="118"/>
      <c r="D640" s="118"/>
      <c r="E640" s="118"/>
      <c r="F640" s="118"/>
      <c r="G640" s="118"/>
      <c r="H640" s="118"/>
      <c r="I640" s="118"/>
      <c r="J640" s="118"/>
      <c r="K640" s="118"/>
      <c r="L640" s="118"/>
      <c r="M640" s="118"/>
      <c r="N640" s="118"/>
      <c r="O640" s="42"/>
      <c r="P640" s="42"/>
      <c r="Q640" s="42"/>
      <c r="R640" s="42"/>
      <c r="S640" s="121"/>
      <c r="T640" s="119"/>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row>
    <row r="641" spans="1:46" ht="15.75" customHeight="1" x14ac:dyDescent="0.2">
      <c r="A641" s="118"/>
      <c r="B641" s="118"/>
      <c r="C641" s="118"/>
      <c r="D641" s="118"/>
      <c r="E641" s="118"/>
      <c r="F641" s="118"/>
      <c r="G641" s="118"/>
      <c r="H641" s="118"/>
      <c r="I641" s="118"/>
      <c r="J641" s="118"/>
      <c r="K641" s="118"/>
      <c r="L641" s="118"/>
      <c r="M641" s="118"/>
      <c r="N641" s="118"/>
      <c r="O641" s="42"/>
      <c r="P641" s="42"/>
      <c r="Q641" s="42"/>
      <c r="R641" s="42"/>
      <c r="S641" s="121"/>
      <c r="T641" s="119"/>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row>
    <row r="642" spans="1:46" ht="15.75" customHeight="1" x14ac:dyDescent="0.2">
      <c r="A642" s="118"/>
      <c r="B642" s="118"/>
      <c r="C642" s="118"/>
      <c r="D642" s="118"/>
      <c r="E642" s="118"/>
      <c r="F642" s="118"/>
      <c r="G642" s="118"/>
      <c r="H642" s="118"/>
      <c r="I642" s="118"/>
      <c r="J642" s="118"/>
      <c r="K642" s="118"/>
      <c r="L642" s="118"/>
      <c r="M642" s="118"/>
      <c r="N642" s="118"/>
      <c r="O642" s="42"/>
      <c r="P642" s="42"/>
      <c r="Q642" s="42"/>
      <c r="R642" s="42"/>
      <c r="S642" s="121"/>
      <c r="T642" s="119"/>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row>
    <row r="643" spans="1:46" ht="15.75" customHeight="1" x14ac:dyDescent="0.2">
      <c r="A643" s="118"/>
      <c r="B643" s="118"/>
      <c r="C643" s="118"/>
      <c r="D643" s="118"/>
      <c r="E643" s="118"/>
      <c r="F643" s="118"/>
      <c r="G643" s="118"/>
      <c r="H643" s="118"/>
      <c r="I643" s="118"/>
      <c r="J643" s="118"/>
      <c r="K643" s="118"/>
      <c r="L643" s="118"/>
      <c r="M643" s="118"/>
      <c r="N643" s="118"/>
      <c r="O643" s="42"/>
      <c r="P643" s="42"/>
      <c r="Q643" s="42"/>
      <c r="R643" s="42"/>
      <c r="S643" s="121"/>
      <c r="T643" s="119"/>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row>
    <row r="644" spans="1:46" ht="15.75" customHeight="1" x14ac:dyDescent="0.2">
      <c r="A644" s="118"/>
      <c r="B644" s="118"/>
      <c r="C644" s="118"/>
      <c r="D644" s="118"/>
      <c r="E644" s="118"/>
      <c r="F644" s="118"/>
      <c r="G644" s="118"/>
      <c r="H644" s="118"/>
      <c r="I644" s="118"/>
      <c r="J644" s="118"/>
      <c r="K644" s="118"/>
      <c r="L644" s="118"/>
      <c r="M644" s="118"/>
      <c r="N644" s="118"/>
      <c r="O644" s="42"/>
      <c r="P644" s="42"/>
      <c r="Q644" s="42"/>
      <c r="R644" s="42"/>
      <c r="S644" s="121"/>
      <c r="T644" s="119"/>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row>
    <row r="645" spans="1:46" ht="15.75" customHeight="1" x14ac:dyDescent="0.2">
      <c r="A645" s="118"/>
      <c r="B645" s="118"/>
      <c r="C645" s="118"/>
      <c r="D645" s="118"/>
      <c r="E645" s="118"/>
      <c r="F645" s="118"/>
      <c r="G645" s="118"/>
      <c r="H645" s="118"/>
      <c r="I645" s="118"/>
      <c r="J645" s="118"/>
      <c r="K645" s="118"/>
      <c r="L645" s="118"/>
      <c r="M645" s="118"/>
      <c r="N645" s="118"/>
      <c r="O645" s="42"/>
      <c r="P645" s="42"/>
      <c r="Q645" s="42"/>
      <c r="R645" s="42"/>
      <c r="S645" s="121"/>
      <c r="T645" s="119"/>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row>
    <row r="646" spans="1:46" ht="15.75" customHeight="1" x14ac:dyDescent="0.2">
      <c r="A646" s="118"/>
      <c r="B646" s="118"/>
      <c r="C646" s="118"/>
      <c r="D646" s="118"/>
      <c r="E646" s="118"/>
      <c r="F646" s="118"/>
      <c r="G646" s="118"/>
      <c r="H646" s="118"/>
      <c r="I646" s="118"/>
      <c r="J646" s="118"/>
      <c r="K646" s="118"/>
      <c r="L646" s="118"/>
      <c r="M646" s="118"/>
      <c r="N646" s="118"/>
      <c r="O646" s="42"/>
      <c r="P646" s="42"/>
      <c r="Q646" s="42"/>
      <c r="R646" s="42"/>
      <c r="S646" s="121"/>
      <c r="T646" s="119"/>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row>
    <row r="647" spans="1:46" ht="15.75" customHeight="1" x14ac:dyDescent="0.2">
      <c r="A647" s="118"/>
      <c r="B647" s="118"/>
      <c r="C647" s="118"/>
      <c r="D647" s="118"/>
      <c r="E647" s="118"/>
      <c r="F647" s="118"/>
      <c r="G647" s="118"/>
      <c r="H647" s="118"/>
      <c r="I647" s="118"/>
      <c r="J647" s="118"/>
      <c r="K647" s="118"/>
      <c r="L647" s="118"/>
      <c r="M647" s="118"/>
      <c r="N647" s="118"/>
      <c r="O647" s="42"/>
      <c r="P647" s="42"/>
      <c r="Q647" s="42"/>
      <c r="R647" s="42"/>
      <c r="S647" s="121"/>
      <c r="T647" s="119"/>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row>
    <row r="648" spans="1:46" ht="15.75" customHeight="1" x14ac:dyDescent="0.2">
      <c r="A648" s="118"/>
      <c r="B648" s="118"/>
      <c r="C648" s="118"/>
      <c r="D648" s="118"/>
      <c r="E648" s="118"/>
      <c r="F648" s="118"/>
      <c r="G648" s="118"/>
      <c r="H648" s="118"/>
      <c r="I648" s="118"/>
      <c r="J648" s="118"/>
      <c r="K648" s="118"/>
      <c r="L648" s="118"/>
      <c r="M648" s="118"/>
      <c r="N648" s="118"/>
      <c r="O648" s="42"/>
      <c r="P648" s="42"/>
      <c r="Q648" s="42"/>
      <c r="R648" s="42"/>
      <c r="S648" s="121"/>
      <c r="T648" s="119"/>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row>
    <row r="649" spans="1:46" ht="15.75" customHeight="1" x14ac:dyDescent="0.2">
      <c r="A649" s="118"/>
      <c r="B649" s="118"/>
      <c r="C649" s="118"/>
      <c r="D649" s="118"/>
      <c r="E649" s="118"/>
      <c r="F649" s="118"/>
      <c r="G649" s="118"/>
      <c r="H649" s="118"/>
      <c r="I649" s="118"/>
      <c r="J649" s="118"/>
      <c r="K649" s="118"/>
      <c r="L649" s="118"/>
      <c r="M649" s="118"/>
      <c r="N649" s="118"/>
      <c r="O649" s="42"/>
      <c r="P649" s="42"/>
      <c r="Q649" s="42"/>
      <c r="R649" s="42"/>
      <c r="S649" s="121"/>
      <c r="T649" s="119"/>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row>
    <row r="650" spans="1:46" ht="15.75" customHeight="1" x14ac:dyDescent="0.2">
      <c r="A650" s="118"/>
      <c r="B650" s="118"/>
      <c r="C650" s="118"/>
      <c r="D650" s="118"/>
      <c r="E650" s="118"/>
      <c r="F650" s="118"/>
      <c r="G650" s="118"/>
      <c r="H650" s="118"/>
      <c r="I650" s="118"/>
      <c r="J650" s="118"/>
      <c r="K650" s="118"/>
      <c r="L650" s="118"/>
      <c r="M650" s="118"/>
      <c r="N650" s="118"/>
      <c r="O650" s="42"/>
      <c r="P650" s="42"/>
      <c r="Q650" s="42"/>
      <c r="R650" s="42"/>
      <c r="S650" s="121"/>
      <c r="T650" s="119"/>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row>
    <row r="651" spans="1:46" ht="15.75" customHeight="1" x14ac:dyDescent="0.2">
      <c r="A651" s="118"/>
      <c r="B651" s="118"/>
      <c r="C651" s="118"/>
      <c r="D651" s="118"/>
      <c r="E651" s="118"/>
      <c r="F651" s="118"/>
      <c r="G651" s="118"/>
      <c r="H651" s="118"/>
      <c r="I651" s="118"/>
      <c r="J651" s="118"/>
      <c r="K651" s="118"/>
      <c r="L651" s="118"/>
      <c r="M651" s="118"/>
      <c r="N651" s="118"/>
      <c r="O651" s="42"/>
      <c r="P651" s="42"/>
      <c r="Q651" s="42"/>
      <c r="R651" s="42"/>
      <c r="S651" s="121"/>
      <c r="T651" s="119"/>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row>
    <row r="652" spans="1:46" ht="15.75" customHeight="1" x14ac:dyDescent="0.2">
      <c r="A652" s="118"/>
      <c r="B652" s="118"/>
      <c r="C652" s="118"/>
      <c r="D652" s="118"/>
      <c r="E652" s="118"/>
      <c r="F652" s="118"/>
      <c r="G652" s="118"/>
      <c r="H652" s="118"/>
      <c r="I652" s="118"/>
      <c r="J652" s="118"/>
      <c r="K652" s="118"/>
      <c r="L652" s="118"/>
      <c r="M652" s="118"/>
      <c r="N652" s="118"/>
      <c r="O652" s="42"/>
      <c r="P652" s="42"/>
      <c r="Q652" s="42"/>
      <c r="R652" s="42"/>
      <c r="S652" s="121"/>
      <c r="T652" s="119"/>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row>
    <row r="653" spans="1:46" ht="15.75" customHeight="1" x14ac:dyDescent="0.2">
      <c r="A653" s="118"/>
      <c r="B653" s="118"/>
      <c r="C653" s="118"/>
      <c r="D653" s="118"/>
      <c r="E653" s="118"/>
      <c r="F653" s="118"/>
      <c r="G653" s="118"/>
      <c r="H653" s="118"/>
      <c r="I653" s="118"/>
      <c r="J653" s="118"/>
      <c r="K653" s="118"/>
      <c r="L653" s="118"/>
      <c r="M653" s="118"/>
      <c r="N653" s="118"/>
      <c r="O653" s="42"/>
      <c r="P653" s="42"/>
      <c r="Q653" s="42"/>
      <c r="R653" s="42"/>
      <c r="S653" s="121"/>
      <c r="T653" s="119"/>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row>
    <row r="654" spans="1:46" ht="15.75" customHeight="1" x14ac:dyDescent="0.2">
      <c r="A654" s="118"/>
      <c r="B654" s="118"/>
      <c r="C654" s="118"/>
      <c r="D654" s="118"/>
      <c r="E654" s="118"/>
      <c r="F654" s="118"/>
      <c r="G654" s="118"/>
      <c r="H654" s="118"/>
      <c r="I654" s="118"/>
      <c r="J654" s="118"/>
      <c r="K654" s="118"/>
      <c r="L654" s="118"/>
      <c r="M654" s="118"/>
      <c r="N654" s="118"/>
      <c r="O654" s="42"/>
      <c r="P654" s="42"/>
      <c r="Q654" s="42"/>
      <c r="R654" s="42"/>
      <c r="S654" s="121"/>
      <c r="T654" s="119"/>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row>
    <row r="655" spans="1:46" ht="15.75" customHeight="1" x14ac:dyDescent="0.2">
      <c r="A655" s="118"/>
      <c r="B655" s="118"/>
      <c r="C655" s="118"/>
      <c r="D655" s="118"/>
      <c r="E655" s="118"/>
      <c r="F655" s="118"/>
      <c r="G655" s="118"/>
      <c r="H655" s="118"/>
      <c r="I655" s="118"/>
      <c r="J655" s="118"/>
      <c r="K655" s="118"/>
      <c r="L655" s="118"/>
      <c r="M655" s="118"/>
      <c r="N655" s="118"/>
      <c r="O655" s="42"/>
      <c r="P655" s="42"/>
      <c r="Q655" s="42"/>
      <c r="R655" s="42"/>
      <c r="S655" s="121"/>
      <c r="T655" s="119"/>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row>
    <row r="656" spans="1:46" ht="15.75" customHeight="1" x14ac:dyDescent="0.2">
      <c r="A656" s="118"/>
      <c r="B656" s="118"/>
      <c r="C656" s="118"/>
      <c r="D656" s="118"/>
      <c r="E656" s="118"/>
      <c r="F656" s="118"/>
      <c r="G656" s="118"/>
      <c r="H656" s="118"/>
      <c r="I656" s="118"/>
      <c r="J656" s="118"/>
      <c r="K656" s="118"/>
      <c r="L656" s="118"/>
      <c r="M656" s="118"/>
      <c r="N656" s="118"/>
      <c r="O656" s="42"/>
      <c r="P656" s="42"/>
      <c r="Q656" s="42"/>
      <c r="R656" s="42"/>
      <c r="S656" s="121"/>
      <c r="T656" s="119"/>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row>
    <row r="657" spans="1:46" ht="15.75" customHeight="1" x14ac:dyDescent="0.2">
      <c r="A657" s="118"/>
      <c r="B657" s="118"/>
      <c r="C657" s="118"/>
      <c r="D657" s="118"/>
      <c r="E657" s="118"/>
      <c r="F657" s="118"/>
      <c r="G657" s="118"/>
      <c r="H657" s="118"/>
      <c r="I657" s="118"/>
      <c r="J657" s="118"/>
      <c r="K657" s="118"/>
      <c r="L657" s="118"/>
      <c r="M657" s="118"/>
      <c r="N657" s="118"/>
      <c r="O657" s="42"/>
      <c r="P657" s="42"/>
      <c r="Q657" s="42"/>
      <c r="R657" s="42"/>
      <c r="S657" s="121"/>
      <c r="T657" s="119"/>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row>
    <row r="658" spans="1:46" ht="15.75" customHeight="1" x14ac:dyDescent="0.2">
      <c r="A658" s="118"/>
      <c r="B658" s="118"/>
      <c r="C658" s="118"/>
      <c r="D658" s="118"/>
      <c r="E658" s="118"/>
      <c r="F658" s="118"/>
      <c r="G658" s="118"/>
      <c r="H658" s="118"/>
      <c r="I658" s="118"/>
      <c r="J658" s="118"/>
      <c r="K658" s="118"/>
      <c r="L658" s="118"/>
      <c r="M658" s="118"/>
      <c r="N658" s="118"/>
      <c r="O658" s="42"/>
      <c r="P658" s="42"/>
      <c r="Q658" s="42"/>
      <c r="R658" s="42"/>
      <c r="S658" s="121"/>
      <c r="T658" s="119"/>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row>
    <row r="659" spans="1:46" ht="15.75" customHeight="1" x14ac:dyDescent="0.2">
      <c r="A659" s="118"/>
      <c r="B659" s="118"/>
      <c r="C659" s="118"/>
      <c r="D659" s="118"/>
      <c r="E659" s="118"/>
      <c r="F659" s="118"/>
      <c r="G659" s="118"/>
      <c r="H659" s="118"/>
      <c r="I659" s="118"/>
      <c r="J659" s="118"/>
      <c r="K659" s="118"/>
      <c r="L659" s="118"/>
      <c r="M659" s="118"/>
      <c r="N659" s="118"/>
      <c r="O659" s="42"/>
      <c r="P659" s="42"/>
      <c r="Q659" s="42"/>
      <c r="R659" s="42"/>
      <c r="S659" s="121"/>
      <c r="T659" s="119"/>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row>
    <row r="660" spans="1:46" ht="15.75" customHeight="1" x14ac:dyDescent="0.2">
      <c r="A660" s="118"/>
      <c r="B660" s="118"/>
      <c r="C660" s="118"/>
      <c r="D660" s="118"/>
      <c r="E660" s="118"/>
      <c r="F660" s="118"/>
      <c r="G660" s="118"/>
      <c r="H660" s="118"/>
      <c r="I660" s="118"/>
      <c r="J660" s="118"/>
      <c r="K660" s="118"/>
      <c r="L660" s="118"/>
      <c r="M660" s="118"/>
      <c r="N660" s="118"/>
      <c r="O660" s="42"/>
      <c r="P660" s="42"/>
      <c r="Q660" s="42"/>
      <c r="R660" s="42"/>
      <c r="S660" s="121"/>
      <c r="T660" s="119"/>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row>
    <row r="661" spans="1:46" ht="15.75" customHeight="1" x14ac:dyDescent="0.2">
      <c r="A661" s="118"/>
      <c r="B661" s="118"/>
      <c r="C661" s="118"/>
      <c r="D661" s="118"/>
      <c r="E661" s="118"/>
      <c r="F661" s="118"/>
      <c r="G661" s="118"/>
      <c r="H661" s="118"/>
      <c r="I661" s="118"/>
      <c r="J661" s="118"/>
      <c r="K661" s="118"/>
      <c r="L661" s="118"/>
      <c r="M661" s="118"/>
      <c r="N661" s="118"/>
      <c r="O661" s="42"/>
      <c r="P661" s="42"/>
      <c r="Q661" s="42"/>
      <c r="R661" s="42"/>
      <c r="S661" s="121"/>
      <c r="T661" s="119"/>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row>
    <row r="662" spans="1:46" ht="15.75" customHeight="1" x14ac:dyDescent="0.2">
      <c r="A662" s="118"/>
      <c r="B662" s="118"/>
      <c r="C662" s="118"/>
      <c r="D662" s="118"/>
      <c r="E662" s="118"/>
      <c r="F662" s="118"/>
      <c r="G662" s="118"/>
      <c r="H662" s="118"/>
      <c r="I662" s="118"/>
      <c r="J662" s="118"/>
      <c r="K662" s="118"/>
      <c r="L662" s="118"/>
      <c r="M662" s="118"/>
      <c r="N662" s="118"/>
      <c r="O662" s="42"/>
      <c r="P662" s="42"/>
      <c r="Q662" s="42"/>
      <c r="R662" s="42"/>
      <c r="S662" s="121"/>
      <c r="T662" s="119"/>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row>
    <row r="663" spans="1:46" ht="15.75" customHeight="1" x14ac:dyDescent="0.2">
      <c r="A663" s="118"/>
      <c r="B663" s="118"/>
      <c r="C663" s="118"/>
      <c r="D663" s="118"/>
      <c r="E663" s="118"/>
      <c r="F663" s="118"/>
      <c r="G663" s="118"/>
      <c r="H663" s="118"/>
      <c r="I663" s="118"/>
      <c r="J663" s="118"/>
      <c r="K663" s="118"/>
      <c r="L663" s="118"/>
      <c r="M663" s="118"/>
      <c r="N663" s="118"/>
      <c r="O663" s="42"/>
      <c r="P663" s="42"/>
      <c r="Q663" s="42"/>
      <c r="R663" s="42"/>
      <c r="S663" s="121"/>
      <c r="T663" s="119"/>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row>
    <row r="664" spans="1:46" ht="15.75" customHeight="1" x14ac:dyDescent="0.2">
      <c r="A664" s="118"/>
      <c r="B664" s="118"/>
      <c r="C664" s="118"/>
      <c r="D664" s="118"/>
      <c r="E664" s="118"/>
      <c r="F664" s="118"/>
      <c r="G664" s="118"/>
      <c r="H664" s="118"/>
      <c r="I664" s="118"/>
      <c r="J664" s="118"/>
      <c r="K664" s="118"/>
      <c r="L664" s="118"/>
      <c r="M664" s="118"/>
      <c r="N664" s="118"/>
      <c r="O664" s="42"/>
      <c r="P664" s="42"/>
      <c r="Q664" s="42"/>
      <c r="R664" s="42"/>
      <c r="S664" s="121"/>
      <c r="T664" s="119"/>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row>
    <row r="665" spans="1:46" ht="15.75" customHeight="1" x14ac:dyDescent="0.2">
      <c r="A665" s="118"/>
      <c r="B665" s="118"/>
      <c r="C665" s="118"/>
      <c r="D665" s="118"/>
      <c r="E665" s="118"/>
      <c r="F665" s="118"/>
      <c r="G665" s="118"/>
      <c r="H665" s="118"/>
      <c r="I665" s="118"/>
      <c r="J665" s="118"/>
      <c r="K665" s="118"/>
      <c r="L665" s="118"/>
      <c r="M665" s="118"/>
      <c r="N665" s="118"/>
      <c r="O665" s="42"/>
      <c r="P665" s="42"/>
      <c r="Q665" s="42"/>
      <c r="R665" s="42"/>
      <c r="S665" s="121"/>
      <c r="T665" s="119"/>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row>
    <row r="666" spans="1:46" ht="15.75" customHeight="1" x14ac:dyDescent="0.2">
      <c r="A666" s="118"/>
      <c r="B666" s="118"/>
      <c r="C666" s="118"/>
      <c r="D666" s="118"/>
      <c r="E666" s="118"/>
      <c r="F666" s="118"/>
      <c r="G666" s="118"/>
      <c r="H666" s="118"/>
      <c r="I666" s="118"/>
      <c r="J666" s="118"/>
      <c r="K666" s="118"/>
      <c r="L666" s="118"/>
      <c r="M666" s="118"/>
      <c r="N666" s="118"/>
      <c r="O666" s="42"/>
      <c r="P666" s="42"/>
      <c r="Q666" s="42"/>
      <c r="R666" s="42"/>
      <c r="S666" s="121"/>
      <c r="T666" s="119"/>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row>
    <row r="667" spans="1:46" ht="15.75" customHeight="1" x14ac:dyDescent="0.2">
      <c r="A667" s="118"/>
      <c r="B667" s="118"/>
      <c r="C667" s="118"/>
      <c r="D667" s="118"/>
      <c r="E667" s="118"/>
      <c r="F667" s="118"/>
      <c r="G667" s="118"/>
      <c r="H667" s="118"/>
      <c r="I667" s="118"/>
      <c r="J667" s="118"/>
      <c r="K667" s="118"/>
      <c r="L667" s="118"/>
      <c r="M667" s="118"/>
      <c r="N667" s="118"/>
      <c r="O667" s="42"/>
      <c r="P667" s="42"/>
      <c r="Q667" s="42"/>
      <c r="R667" s="42"/>
      <c r="S667" s="121"/>
      <c r="T667" s="119"/>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row>
    <row r="668" spans="1:46" ht="15.75" customHeight="1" x14ac:dyDescent="0.2">
      <c r="A668" s="118"/>
      <c r="B668" s="118"/>
      <c r="C668" s="118"/>
      <c r="D668" s="118"/>
      <c r="E668" s="118"/>
      <c r="F668" s="118"/>
      <c r="G668" s="118"/>
      <c r="H668" s="118"/>
      <c r="I668" s="118"/>
      <c r="J668" s="118"/>
      <c r="K668" s="118"/>
      <c r="L668" s="118"/>
      <c r="M668" s="118"/>
      <c r="N668" s="118"/>
      <c r="O668" s="42"/>
      <c r="P668" s="42"/>
      <c r="Q668" s="42"/>
      <c r="R668" s="42"/>
      <c r="S668" s="121"/>
      <c r="T668" s="119"/>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row>
    <row r="669" spans="1:46" ht="15.75" customHeight="1" x14ac:dyDescent="0.2">
      <c r="A669" s="118"/>
      <c r="B669" s="118"/>
      <c r="C669" s="118"/>
      <c r="D669" s="118"/>
      <c r="E669" s="118"/>
      <c r="F669" s="118"/>
      <c r="G669" s="118"/>
      <c r="H669" s="118"/>
      <c r="I669" s="118"/>
      <c r="J669" s="118"/>
      <c r="K669" s="118"/>
      <c r="L669" s="118"/>
      <c r="M669" s="118"/>
      <c r="N669" s="118"/>
      <c r="O669" s="42"/>
      <c r="P669" s="42"/>
      <c r="Q669" s="42"/>
      <c r="R669" s="42"/>
      <c r="S669" s="121"/>
      <c r="T669" s="119"/>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row>
    <row r="670" spans="1:46" ht="15.75" customHeight="1" x14ac:dyDescent="0.2">
      <c r="A670" s="118"/>
      <c r="B670" s="118"/>
      <c r="C670" s="118"/>
      <c r="D670" s="118"/>
      <c r="E670" s="118"/>
      <c r="F670" s="118"/>
      <c r="G670" s="118"/>
      <c r="H670" s="118"/>
      <c r="I670" s="118"/>
      <c r="J670" s="118"/>
      <c r="K670" s="118"/>
      <c r="L670" s="118"/>
      <c r="M670" s="118"/>
      <c r="N670" s="118"/>
      <c r="O670" s="42"/>
      <c r="P670" s="42"/>
      <c r="Q670" s="42"/>
      <c r="R670" s="42"/>
      <c r="S670" s="121"/>
      <c r="T670" s="119"/>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row>
    <row r="671" spans="1:46" ht="15.75" customHeight="1" x14ac:dyDescent="0.2">
      <c r="A671" s="118"/>
      <c r="B671" s="118"/>
      <c r="C671" s="118"/>
      <c r="D671" s="118"/>
      <c r="E671" s="118"/>
      <c r="F671" s="118"/>
      <c r="G671" s="118"/>
      <c r="H671" s="118"/>
      <c r="I671" s="118"/>
      <c r="J671" s="118"/>
      <c r="K671" s="118"/>
      <c r="L671" s="118"/>
      <c r="M671" s="118"/>
      <c r="N671" s="118"/>
      <c r="O671" s="42"/>
      <c r="P671" s="42"/>
      <c r="Q671" s="42"/>
      <c r="R671" s="42"/>
      <c r="S671" s="121"/>
      <c r="T671" s="119"/>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row>
    <row r="672" spans="1:46" ht="15.75" customHeight="1" x14ac:dyDescent="0.2">
      <c r="A672" s="118"/>
      <c r="B672" s="118"/>
      <c r="C672" s="118"/>
      <c r="D672" s="118"/>
      <c r="E672" s="118"/>
      <c r="F672" s="118"/>
      <c r="G672" s="118"/>
      <c r="H672" s="118"/>
      <c r="I672" s="118"/>
      <c r="J672" s="118"/>
      <c r="K672" s="118"/>
      <c r="L672" s="118"/>
      <c r="M672" s="118"/>
      <c r="N672" s="118"/>
      <c r="O672" s="42"/>
      <c r="P672" s="42"/>
      <c r="Q672" s="42"/>
      <c r="R672" s="42"/>
      <c r="S672" s="121"/>
      <c r="T672" s="119"/>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row>
    <row r="673" spans="1:46" ht="15.75" customHeight="1" x14ac:dyDescent="0.2">
      <c r="A673" s="118"/>
      <c r="B673" s="118"/>
      <c r="C673" s="118"/>
      <c r="D673" s="118"/>
      <c r="E673" s="118"/>
      <c r="F673" s="118"/>
      <c r="G673" s="118"/>
      <c r="H673" s="118"/>
      <c r="I673" s="118"/>
      <c r="J673" s="118"/>
      <c r="K673" s="118"/>
      <c r="L673" s="118"/>
      <c r="M673" s="118"/>
      <c r="N673" s="118"/>
      <c r="O673" s="42"/>
      <c r="P673" s="42"/>
      <c r="Q673" s="42"/>
      <c r="R673" s="42"/>
      <c r="S673" s="121"/>
      <c r="T673" s="119"/>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row>
    <row r="674" spans="1:46" ht="15.75" customHeight="1" x14ac:dyDescent="0.2">
      <c r="A674" s="118"/>
      <c r="B674" s="118"/>
      <c r="C674" s="118"/>
      <c r="D674" s="118"/>
      <c r="E674" s="118"/>
      <c r="F674" s="118"/>
      <c r="G674" s="118"/>
      <c r="H674" s="118"/>
      <c r="I674" s="118"/>
      <c r="J674" s="118"/>
      <c r="K674" s="118"/>
      <c r="L674" s="118"/>
      <c r="M674" s="118"/>
      <c r="N674" s="118"/>
      <c r="O674" s="42"/>
      <c r="P674" s="42"/>
      <c r="Q674" s="42"/>
      <c r="R674" s="42"/>
      <c r="S674" s="121"/>
      <c r="T674" s="119"/>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row>
    <row r="675" spans="1:46" ht="15.75" customHeight="1" x14ac:dyDescent="0.2">
      <c r="A675" s="118"/>
      <c r="B675" s="118"/>
      <c r="C675" s="118"/>
      <c r="D675" s="118"/>
      <c r="E675" s="118"/>
      <c r="F675" s="118"/>
      <c r="G675" s="118"/>
      <c r="H675" s="118"/>
      <c r="I675" s="118"/>
      <c r="J675" s="118"/>
      <c r="K675" s="118"/>
      <c r="L675" s="118"/>
      <c r="M675" s="118"/>
      <c r="N675" s="118"/>
      <c r="O675" s="42"/>
      <c r="P675" s="42"/>
      <c r="Q675" s="42"/>
      <c r="R675" s="42"/>
      <c r="S675" s="121"/>
      <c r="T675" s="119"/>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row>
    <row r="676" spans="1:46" ht="15.75" customHeight="1" x14ac:dyDescent="0.2">
      <c r="A676" s="118"/>
      <c r="B676" s="118"/>
      <c r="C676" s="118"/>
      <c r="D676" s="118"/>
      <c r="E676" s="118"/>
      <c r="F676" s="118"/>
      <c r="G676" s="118"/>
      <c r="H676" s="118"/>
      <c r="I676" s="118"/>
      <c r="J676" s="118"/>
      <c r="K676" s="118"/>
      <c r="L676" s="118"/>
      <c r="M676" s="118"/>
      <c r="N676" s="118"/>
      <c r="O676" s="42"/>
      <c r="P676" s="42"/>
      <c r="Q676" s="42"/>
      <c r="R676" s="42"/>
      <c r="S676" s="121"/>
      <c r="T676" s="119"/>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row>
    <row r="677" spans="1:46" ht="15.75" customHeight="1" x14ac:dyDescent="0.2">
      <c r="A677" s="118"/>
      <c r="B677" s="118"/>
      <c r="C677" s="118"/>
      <c r="D677" s="118"/>
      <c r="E677" s="118"/>
      <c r="F677" s="118"/>
      <c r="G677" s="118"/>
      <c r="H677" s="118"/>
      <c r="I677" s="118"/>
      <c r="J677" s="118"/>
      <c r="K677" s="118"/>
      <c r="L677" s="118"/>
      <c r="M677" s="118"/>
      <c r="N677" s="118"/>
      <c r="O677" s="42"/>
      <c r="P677" s="42"/>
      <c r="Q677" s="42"/>
      <c r="R677" s="42"/>
      <c r="S677" s="121"/>
      <c r="T677" s="119"/>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row>
    <row r="678" spans="1:46" ht="15.75" customHeight="1" x14ac:dyDescent="0.2">
      <c r="A678" s="118"/>
      <c r="B678" s="118"/>
      <c r="C678" s="118"/>
      <c r="D678" s="118"/>
      <c r="E678" s="118"/>
      <c r="F678" s="118"/>
      <c r="G678" s="118"/>
      <c r="H678" s="118"/>
      <c r="I678" s="118"/>
      <c r="J678" s="118"/>
      <c r="K678" s="118"/>
      <c r="L678" s="118"/>
      <c r="M678" s="118"/>
      <c r="N678" s="118"/>
      <c r="O678" s="42"/>
      <c r="P678" s="42"/>
      <c r="Q678" s="42"/>
      <c r="R678" s="42"/>
      <c r="S678" s="121"/>
      <c r="T678" s="119"/>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row>
    <row r="679" spans="1:46" ht="15.75" customHeight="1" x14ac:dyDescent="0.2">
      <c r="A679" s="118"/>
      <c r="B679" s="118"/>
      <c r="C679" s="118"/>
      <c r="D679" s="118"/>
      <c r="E679" s="118"/>
      <c r="F679" s="118"/>
      <c r="G679" s="118"/>
      <c r="H679" s="118"/>
      <c r="I679" s="118"/>
      <c r="J679" s="118"/>
      <c r="K679" s="118"/>
      <c r="L679" s="118"/>
      <c r="M679" s="118"/>
      <c r="N679" s="118"/>
      <c r="O679" s="42"/>
      <c r="P679" s="42"/>
      <c r="Q679" s="42"/>
      <c r="R679" s="42"/>
      <c r="S679" s="121"/>
      <c r="T679" s="119"/>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row>
    <row r="680" spans="1:46" ht="15.75" customHeight="1" x14ac:dyDescent="0.2">
      <c r="A680" s="118"/>
      <c r="B680" s="118"/>
      <c r="C680" s="118"/>
      <c r="D680" s="118"/>
      <c r="E680" s="118"/>
      <c r="F680" s="118"/>
      <c r="G680" s="118"/>
      <c r="H680" s="118"/>
      <c r="I680" s="118"/>
      <c r="J680" s="118"/>
      <c r="K680" s="118"/>
      <c r="L680" s="118"/>
      <c r="M680" s="118"/>
      <c r="N680" s="118"/>
      <c r="O680" s="42"/>
      <c r="P680" s="42"/>
      <c r="Q680" s="42"/>
      <c r="R680" s="42"/>
      <c r="S680" s="121"/>
      <c r="T680" s="119"/>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row>
    <row r="681" spans="1:46" ht="15.75" customHeight="1" x14ac:dyDescent="0.2">
      <c r="A681" s="118"/>
      <c r="B681" s="118"/>
      <c r="C681" s="118"/>
      <c r="D681" s="118"/>
      <c r="E681" s="118"/>
      <c r="F681" s="118"/>
      <c r="G681" s="118"/>
      <c r="H681" s="118"/>
      <c r="I681" s="118"/>
      <c r="J681" s="118"/>
      <c r="K681" s="118"/>
      <c r="L681" s="118"/>
      <c r="M681" s="118"/>
      <c r="N681" s="118"/>
      <c r="O681" s="42"/>
      <c r="P681" s="42"/>
      <c r="Q681" s="42"/>
      <c r="R681" s="42"/>
      <c r="S681" s="121"/>
      <c r="T681" s="119"/>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row>
    <row r="682" spans="1:46" ht="15.75" customHeight="1" x14ac:dyDescent="0.2">
      <c r="A682" s="118"/>
      <c r="B682" s="118"/>
      <c r="C682" s="118"/>
      <c r="D682" s="118"/>
      <c r="E682" s="118"/>
      <c r="F682" s="118"/>
      <c r="G682" s="118"/>
      <c r="H682" s="118"/>
      <c r="I682" s="118"/>
      <c r="J682" s="118"/>
      <c r="K682" s="118"/>
      <c r="L682" s="118"/>
      <c r="M682" s="118"/>
      <c r="N682" s="118"/>
      <c r="O682" s="42"/>
      <c r="P682" s="42"/>
      <c r="Q682" s="42"/>
      <c r="R682" s="42"/>
      <c r="S682" s="121"/>
      <c r="T682" s="119"/>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row>
    <row r="683" spans="1:46" ht="15.75" customHeight="1" x14ac:dyDescent="0.2">
      <c r="A683" s="118"/>
      <c r="B683" s="118"/>
      <c r="C683" s="118"/>
      <c r="D683" s="118"/>
      <c r="E683" s="118"/>
      <c r="F683" s="118"/>
      <c r="G683" s="118"/>
      <c r="H683" s="118"/>
      <c r="I683" s="118"/>
      <c r="J683" s="118"/>
      <c r="K683" s="118"/>
      <c r="L683" s="118"/>
      <c r="M683" s="118"/>
      <c r="N683" s="118"/>
      <c r="O683" s="42"/>
      <c r="P683" s="42"/>
      <c r="Q683" s="42"/>
      <c r="R683" s="42"/>
      <c r="S683" s="121"/>
      <c r="T683" s="119"/>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row>
    <row r="684" spans="1:46" ht="15.75" customHeight="1" x14ac:dyDescent="0.2">
      <c r="A684" s="118"/>
      <c r="B684" s="118"/>
      <c r="C684" s="118"/>
      <c r="D684" s="118"/>
      <c r="E684" s="118"/>
      <c r="F684" s="118"/>
      <c r="G684" s="118"/>
      <c r="H684" s="118"/>
      <c r="I684" s="118"/>
      <c r="J684" s="118"/>
      <c r="K684" s="118"/>
      <c r="L684" s="118"/>
      <c r="M684" s="118"/>
      <c r="N684" s="118"/>
      <c r="O684" s="42"/>
      <c r="P684" s="42"/>
      <c r="Q684" s="42"/>
      <c r="R684" s="42"/>
      <c r="S684" s="121"/>
      <c r="T684" s="119"/>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row>
    <row r="685" spans="1:46" ht="15.75" customHeight="1" x14ac:dyDescent="0.2">
      <c r="A685" s="118"/>
      <c r="B685" s="118"/>
      <c r="C685" s="118"/>
      <c r="D685" s="118"/>
      <c r="E685" s="118"/>
      <c r="F685" s="118"/>
      <c r="G685" s="118"/>
      <c r="H685" s="118"/>
      <c r="I685" s="118"/>
      <c r="J685" s="118"/>
      <c r="K685" s="118"/>
      <c r="L685" s="118"/>
      <c r="M685" s="118"/>
      <c r="N685" s="118"/>
      <c r="O685" s="42"/>
      <c r="P685" s="42"/>
      <c r="Q685" s="42"/>
      <c r="R685" s="42"/>
      <c r="S685" s="121"/>
      <c r="T685" s="119"/>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row>
    <row r="686" spans="1:46" ht="15.75" customHeight="1" x14ac:dyDescent="0.2">
      <c r="A686" s="118"/>
      <c r="B686" s="118"/>
      <c r="C686" s="118"/>
      <c r="D686" s="118"/>
      <c r="E686" s="118"/>
      <c r="F686" s="118"/>
      <c r="G686" s="118"/>
      <c r="H686" s="118"/>
      <c r="I686" s="118"/>
      <c r="J686" s="118"/>
      <c r="K686" s="118"/>
      <c r="L686" s="118"/>
      <c r="M686" s="118"/>
      <c r="N686" s="118"/>
      <c r="O686" s="42"/>
      <c r="P686" s="42"/>
      <c r="Q686" s="42"/>
      <c r="R686" s="42"/>
      <c r="S686" s="121"/>
      <c r="T686" s="119"/>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row>
    <row r="687" spans="1:46" ht="15.75" customHeight="1" x14ac:dyDescent="0.2">
      <c r="A687" s="118"/>
      <c r="B687" s="118"/>
      <c r="C687" s="118"/>
      <c r="D687" s="118"/>
      <c r="E687" s="118"/>
      <c r="F687" s="118"/>
      <c r="G687" s="118"/>
      <c r="H687" s="118"/>
      <c r="I687" s="118"/>
      <c r="J687" s="118"/>
      <c r="K687" s="118"/>
      <c r="L687" s="118"/>
      <c r="M687" s="118"/>
      <c r="N687" s="118"/>
      <c r="O687" s="42"/>
      <c r="P687" s="42"/>
      <c r="Q687" s="42"/>
      <c r="R687" s="42"/>
      <c r="S687" s="121"/>
      <c r="T687" s="119"/>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row>
    <row r="688" spans="1:46" ht="15.75" customHeight="1" x14ac:dyDescent="0.2">
      <c r="A688" s="118"/>
      <c r="B688" s="118"/>
      <c r="C688" s="118"/>
      <c r="D688" s="118"/>
      <c r="E688" s="118"/>
      <c r="F688" s="118"/>
      <c r="G688" s="118"/>
      <c r="H688" s="118"/>
      <c r="I688" s="118"/>
      <c r="J688" s="118"/>
      <c r="K688" s="118"/>
      <c r="L688" s="118"/>
      <c r="M688" s="118"/>
      <c r="N688" s="118"/>
      <c r="O688" s="42"/>
      <c r="P688" s="42"/>
      <c r="Q688" s="42"/>
      <c r="R688" s="42"/>
      <c r="S688" s="121"/>
      <c r="T688" s="119"/>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row>
    <row r="689" spans="1:46" ht="15.75" customHeight="1" x14ac:dyDescent="0.2">
      <c r="A689" s="118"/>
      <c r="B689" s="118"/>
      <c r="C689" s="118"/>
      <c r="D689" s="118"/>
      <c r="E689" s="118"/>
      <c r="F689" s="118"/>
      <c r="G689" s="118"/>
      <c r="H689" s="118"/>
      <c r="I689" s="118"/>
      <c r="J689" s="118"/>
      <c r="K689" s="118"/>
      <c r="L689" s="118"/>
      <c r="M689" s="118"/>
      <c r="N689" s="118"/>
      <c r="O689" s="42"/>
      <c r="P689" s="42"/>
      <c r="Q689" s="42"/>
      <c r="R689" s="42"/>
      <c r="S689" s="121"/>
      <c r="T689" s="119"/>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row>
    <row r="690" spans="1:46" ht="15.75" customHeight="1" x14ac:dyDescent="0.2">
      <c r="A690" s="118"/>
      <c r="B690" s="118"/>
      <c r="C690" s="118"/>
      <c r="D690" s="118"/>
      <c r="E690" s="118"/>
      <c r="F690" s="118"/>
      <c r="G690" s="118"/>
      <c r="H690" s="118"/>
      <c r="I690" s="118"/>
      <c r="J690" s="118"/>
      <c r="K690" s="118"/>
      <c r="L690" s="118"/>
      <c r="M690" s="118"/>
      <c r="N690" s="118"/>
      <c r="O690" s="42"/>
      <c r="P690" s="42"/>
      <c r="Q690" s="42"/>
      <c r="R690" s="42"/>
      <c r="S690" s="121"/>
      <c r="T690" s="119"/>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row>
    <row r="691" spans="1:46" ht="15.75" customHeight="1" x14ac:dyDescent="0.2">
      <c r="A691" s="118"/>
      <c r="B691" s="118"/>
      <c r="C691" s="118"/>
      <c r="D691" s="118"/>
      <c r="E691" s="118"/>
      <c r="F691" s="118"/>
      <c r="G691" s="118"/>
      <c r="H691" s="118"/>
      <c r="I691" s="118"/>
      <c r="J691" s="118"/>
      <c r="K691" s="118"/>
      <c r="L691" s="118"/>
      <c r="M691" s="118"/>
      <c r="N691" s="118"/>
      <c r="O691" s="42"/>
      <c r="P691" s="42"/>
      <c r="Q691" s="42"/>
      <c r="R691" s="42"/>
      <c r="S691" s="121"/>
      <c r="T691" s="119"/>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row>
    <row r="692" spans="1:46" ht="15.75" customHeight="1" x14ac:dyDescent="0.2">
      <c r="A692" s="118"/>
      <c r="B692" s="118"/>
      <c r="C692" s="118"/>
      <c r="D692" s="118"/>
      <c r="E692" s="118"/>
      <c r="F692" s="118"/>
      <c r="G692" s="118"/>
      <c r="H692" s="118"/>
      <c r="I692" s="118"/>
      <c r="J692" s="118"/>
      <c r="K692" s="118"/>
      <c r="L692" s="118"/>
      <c r="M692" s="118"/>
      <c r="N692" s="118"/>
      <c r="O692" s="42"/>
      <c r="P692" s="42"/>
      <c r="Q692" s="42"/>
      <c r="R692" s="42"/>
      <c r="S692" s="121"/>
      <c r="T692" s="119"/>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row>
    <row r="693" spans="1:46" ht="15.75" customHeight="1" x14ac:dyDescent="0.2">
      <c r="A693" s="118"/>
      <c r="B693" s="118"/>
      <c r="C693" s="118"/>
      <c r="D693" s="118"/>
      <c r="E693" s="118"/>
      <c r="F693" s="118"/>
      <c r="G693" s="118"/>
      <c r="H693" s="118"/>
      <c r="I693" s="118"/>
      <c r="J693" s="118"/>
      <c r="K693" s="118"/>
      <c r="L693" s="118"/>
      <c r="M693" s="118"/>
      <c r="N693" s="118"/>
      <c r="O693" s="42"/>
      <c r="P693" s="42"/>
      <c r="Q693" s="42"/>
      <c r="R693" s="42"/>
      <c r="S693" s="121"/>
      <c r="T693" s="119"/>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row>
    <row r="694" spans="1:46" ht="15.75" customHeight="1" x14ac:dyDescent="0.2">
      <c r="A694" s="118"/>
      <c r="B694" s="118"/>
      <c r="C694" s="118"/>
      <c r="D694" s="118"/>
      <c r="E694" s="118"/>
      <c r="F694" s="118"/>
      <c r="G694" s="118"/>
      <c r="H694" s="118"/>
      <c r="I694" s="118"/>
      <c r="J694" s="118"/>
      <c r="K694" s="118"/>
      <c r="L694" s="118"/>
      <c r="M694" s="118"/>
      <c r="N694" s="118"/>
      <c r="O694" s="42"/>
      <c r="P694" s="42"/>
      <c r="Q694" s="42"/>
      <c r="R694" s="42"/>
      <c r="S694" s="121"/>
      <c r="T694" s="119"/>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row>
    <row r="695" spans="1:46" ht="15.75" customHeight="1" x14ac:dyDescent="0.2">
      <c r="A695" s="118"/>
      <c r="B695" s="118"/>
      <c r="C695" s="118"/>
      <c r="D695" s="118"/>
      <c r="E695" s="118"/>
      <c r="F695" s="118"/>
      <c r="G695" s="118"/>
      <c r="H695" s="118"/>
      <c r="I695" s="118"/>
      <c r="J695" s="118"/>
      <c r="K695" s="118"/>
      <c r="L695" s="118"/>
      <c r="M695" s="118"/>
      <c r="N695" s="118"/>
      <c r="O695" s="42"/>
      <c r="P695" s="42"/>
      <c r="Q695" s="42"/>
      <c r="R695" s="42"/>
      <c r="S695" s="121"/>
      <c r="T695" s="119"/>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row>
    <row r="696" spans="1:46" ht="15.75" customHeight="1" x14ac:dyDescent="0.2">
      <c r="A696" s="118"/>
      <c r="B696" s="118"/>
      <c r="C696" s="118"/>
      <c r="D696" s="118"/>
      <c r="E696" s="118"/>
      <c r="F696" s="118"/>
      <c r="G696" s="118"/>
      <c r="H696" s="118"/>
      <c r="I696" s="118"/>
      <c r="J696" s="118"/>
      <c r="K696" s="118"/>
      <c r="L696" s="118"/>
      <c r="M696" s="118"/>
      <c r="N696" s="118"/>
      <c r="O696" s="42"/>
      <c r="P696" s="42"/>
      <c r="Q696" s="42"/>
      <c r="R696" s="42"/>
      <c r="S696" s="121"/>
      <c r="T696" s="119"/>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row>
    <row r="697" spans="1:46" ht="15.75" customHeight="1" x14ac:dyDescent="0.2">
      <c r="A697" s="118"/>
      <c r="B697" s="118"/>
      <c r="C697" s="118"/>
      <c r="D697" s="118"/>
      <c r="E697" s="118"/>
      <c r="F697" s="118"/>
      <c r="G697" s="118"/>
      <c r="H697" s="118"/>
      <c r="I697" s="118"/>
      <c r="J697" s="118"/>
      <c r="K697" s="118"/>
      <c r="L697" s="118"/>
      <c r="M697" s="118"/>
      <c r="N697" s="118"/>
      <c r="O697" s="42"/>
      <c r="P697" s="42"/>
      <c r="Q697" s="42"/>
      <c r="R697" s="42"/>
      <c r="S697" s="121"/>
      <c r="T697" s="119"/>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row>
    <row r="698" spans="1:46" ht="15.75" customHeight="1" x14ac:dyDescent="0.2">
      <c r="A698" s="118"/>
      <c r="B698" s="118"/>
      <c r="C698" s="118"/>
      <c r="D698" s="118"/>
      <c r="E698" s="118"/>
      <c r="F698" s="118"/>
      <c r="G698" s="118"/>
      <c r="H698" s="118"/>
      <c r="I698" s="118"/>
      <c r="J698" s="118"/>
      <c r="K698" s="118"/>
      <c r="L698" s="118"/>
      <c r="M698" s="118"/>
      <c r="N698" s="118"/>
      <c r="O698" s="42"/>
      <c r="P698" s="42"/>
      <c r="Q698" s="42"/>
      <c r="R698" s="42"/>
      <c r="S698" s="121"/>
      <c r="T698" s="119"/>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row>
    <row r="699" spans="1:46" ht="15.75" customHeight="1" x14ac:dyDescent="0.2">
      <c r="A699" s="118"/>
      <c r="B699" s="118"/>
      <c r="C699" s="118"/>
      <c r="D699" s="118"/>
      <c r="E699" s="118"/>
      <c r="F699" s="118"/>
      <c r="G699" s="118"/>
      <c r="H699" s="118"/>
      <c r="I699" s="118"/>
      <c r="J699" s="118"/>
      <c r="K699" s="118"/>
      <c r="L699" s="118"/>
      <c r="M699" s="118"/>
      <c r="N699" s="118"/>
      <c r="O699" s="42"/>
      <c r="P699" s="42"/>
      <c r="Q699" s="42"/>
      <c r="R699" s="42"/>
      <c r="S699" s="121"/>
      <c r="T699" s="119"/>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row>
    <row r="700" spans="1:46" ht="15.75" customHeight="1" x14ac:dyDescent="0.2">
      <c r="A700" s="118"/>
      <c r="B700" s="118"/>
      <c r="C700" s="118"/>
      <c r="D700" s="118"/>
      <c r="E700" s="118"/>
      <c r="F700" s="118"/>
      <c r="G700" s="118"/>
      <c r="H700" s="118"/>
      <c r="I700" s="118"/>
      <c r="J700" s="118"/>
      <c r="K700" s="118"/>
      <c r="L700" s="118"/>
      <c r="M700" s="118"/>
      <c r="N700" s="118"/>
      <c r="O700" s="42"/>
      <c r="P700" s="42"/>
      <c r="Q700" s="42"/>
      <c r="R700" s="42"/>
      <c r="S700" s="121"/>
      <c r="T700" s="119"/>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row>
    <row r="701" spans="1:46" ht="15.75" customHeight="1" x14ac:dyDescent="0.2">
      <c r="A701" s="118"/>
      <c r="B701" s="118"/>
      <c r="C701" s="118"/>
      <c r="D701" s="118"/>
      <c r="E701" s="118"/>
      <c r="F701" s="118"/>
      <c r="G701" s="118"/>
      <c r="H701" s="118"/>
      <c r="I701" s="118"/>
      <c r="J701" s="118"/>
      <c r="K701" s="118"/>
      <c r="L701" s="118"/>
      <c r="M701" s="118"/>
      <c r="N701" s="118"/>
      <c r="O701" s="42"/>
      <c r="P701" s="42"/>
      <c r="Q701" s="42"/>
      <c r="R701" s="42"/>
      <c r="S701" s="121"/>
      <c r="T701" s="119"/>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row>
    <row r="702" spans="1:46" ht="15.75" customHeight="1" x14ac:dyDescent="0.2">
      <c r="A702" s="118"/>
      <c r="B702" s="118"/>
      <c r="C702" s="118"/>
      <c r="D702" s="118"/>
      <c r="E702" s="118"/>
      <c r="F702" s="118"/>
      <c r="G702" s="118"/>
      <c r="H702" s="118"/>
      <c r="I702" s="118"/>
      <c r="J702" s="118"/>
      <c r="K702" s="118"/>
      <c r="L702" s="118"/>
      <c r="M702" s="118"/>
      <c r="N702" s="118"/>
      <c r="O702" s="42"/>
      <c r="P702" s="42"/>
      <c r="Q702" s="42"/>
      <c r="R702" s="42"/>
      <c r="S702" s="121"/>
      <c r="T702" s="119"/>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row>
    <row r="703" spans="1:46" ht="15.75" customHeight="1" x14ac:dyDescent="0.2">
      <c r="A703" s="118"/>
      <c r="B703" s="118"/>
      <c r="C703" s="118"/>
      <c r="D703" s="118"/>
      <c r="E703" s="118"/>
      <c r="F703" s="118"/>
      <c r="G703" s="118"/>
      <c r="H703" s="118"/>
      <c r="I703" s="118"/>
      <c r="J703" s="118"/>
      <c r="K703" s="118"/>
      <c r="L703" s="118"/>
      <c r="M703" s="118"/>
      <c r="N703" s="118"/>
      <c r="O703" s="42"/>
      <c r="P703" s="42"/>
      <c r="Q703" s="42"/>
      <c r="R703" s="42"/>
      <c r="S703" s="121"/>
      <c r="T703" s="119"/>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row>
    <row r="704" spans="1:46" ht="15.75" customHeight="1" x14ac:dyDescent="0.2">
      <c r="A704" s="118"/>
      <c r="B704" s="118"/>
      <c r="C704" s="118"/>
      <c r="D704" s="118"/>
      <c r="E704" s="118"/>
      <c r="F704" s="118"/>
      <c r="G704" s="118"/>
      <c r="H704" s="118"/>
      <c r="I704" s="118"/>
      <c r="J704" s="118"/>
      <c r="K704" s="118"/>
      <c r="L704" s="118"/>
      <c r="M704" s="118"/>
      <c r="N704" s="118"/>
      <c r="O704" s="42"/>
      <c r="P704" s="42"/>
      <c r="Q704" s="42"/>
      <c r="R704" s="42"/>
      <c r="S704" s="121"/>
      <c r="T704" s="119"/>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row>
    <row r="705" spans="1:46" ht="15.75" customHeight="1" x14ac:dyDescent="0.2">
      <c r="A705" s="118"/>
      <c r="B705" s="118"/>
      <c r="C705" s="118"/>
      <c r="D705" s="118"/>
      <c r="E705" s="118"/>
      <c r="F705" s="118"/>
      <c r="G705" s="118"/>
      <c r="H705" s="118"/>
      <c r="I705" s="118"/>
      <c r="J705" s="118"/>
      <c r="K705" s="118"/>
      <c r="L705" s="118"/>
      <c r="M705" s="118"/>
      <c r="N705" s="118"/>
      <c r="O705" s="42"/>
      <c r="P705" s="42"/>
      <c r="Q705" s="42"/>
      <c r="R705" s="42"/>
      <c r="S705" s="121"/>
      <c r="T705" s="119"/>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row>
    <row r="706" spans="1:46" ht="15.75" customHeight="1" x14ac:dyDescent="0.2">
      <c r="A706" s="118"/>
      <c r="B706" s="118"/>
      <c r="C706" s="118"/>
      <c r="D706" s="118"/>
      <c r="E706" s="118"/>
      <c r="F706" s="118"/>
      <c r="G706" s="118"/>
      <c r="H706" s="118"/>
      <c r="I706" s="118"/>
      <c r="J706" s="118"/>
      <c r="K706" s="118"/>
      <c r="L706" s="118"/>
      <c r="M706" s="118"/>
      <c r="N706" s="118"/>
      <c r="O706" s="42"/>
      <c r="P706" s="42"/>
      <c r="Q706" s="42"/>
      <c r="R706" s="42"/>
      <c r="S706" s="121"/>
      <c r="T706" s="119"/>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row>
    <row r="707" spans="1:46" ht="15.75" customHeight="1" x14ac:dyDescent="0.2">
      <c r="A707" s="118"/>
      <c r="B707" s="118"/>
      <c r="C707" s="118"/>
      <c r="D707" s="118"/>
      <c r="E707" s="118"/>
      <c r="F707" s="118"/>
      <c r="G707" s="118"/>
      <c r="H707" s="118"/>
      <c r="I707" s="118"/>
      <c r="J707" s="118"/>
      <c r="K707" s="118"/>
      <c r="L707" s="118"/>
      <c r="M707" s="118"/>
      <c r="N707" s="118"/>
      <c r="O707" s="42"/>
      <c r="P707" s="42"/>
      <c r="Q707" s="42"/>
      <c r="R707" s="42"/>
      <c r="S707" s="121"/>
      <c r="T707" s="119"/>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row>
    <row r="708" spans="1:46" ht="15.75" customHeight="1" x14ac:dyDescent="0.2">
      <c r="A708" s="118"/>
      <c r="B708" s="118"/>
      <c r="C708" s="118"/>
      <c r="D708" s="118"/>
      <c r="E708" s="118"/>
      <c r="F708" s="118"/>
      <c r="G708" s="118"/>
      <c r="H708" s="118"/>
      <c r="I708" s="118"/>
      <c r="J708" s="118"/>
      <c r="K708" s="118"/>
      <c r="L708" s="118"/>
      <c r="M708" s="118"/>
      <c r="N708" s="118"/>
      <c r="O708" s="42"/>
      <c r="P708" s="42"/>
      <c r="Q708" s="42"/>
      <c r="R708" s="42"/>
      <c r="S708" s="121"/>
      <c r="T708" s="119"/>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row>
    <row r="709" spans="1:46" ht="15.75" customHeight="1" x14ac:dyDescent="0.2">
      <c r="A709" s="118"/>
      <c r="B709" s="118"/>
      <c r="C709" s="118"/>
      <c r="D709" s="118"/>
      <c r="E709" s="118"/>
      <c r="F709" s="118"/>
      <c r="G709" s="118"/>
      <c r="H709" s="118"/>
      <c r="I709" s="118"/>
      <c r="J709" s="118"/>
      <c r="K709" s="118"/>
      <c r="L709" s="118"/>
      <c r="M709" s="118"/>
      <c r="N709" s="118"/>
      <c r="O709" s="42"/>
      <c r="P709" s="42"/>
      <c r="Q709" s="42"/>
      <c r="R709" s="42"/>
      <c r="S709" s="121"/>
      <c r="T709" s="119"/>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row>
    <row r="710" spans="1:46" ht="15.75" customHeight="1" x14ac:dyDescent="0.2">
      <c r="A710" s="118"/>
      <c r="B710" s="118"/>
      <c r="C710" s="118"/>
      <c r="D710" s="118"/>
      <c r="E710" s="118"/>
      <c r="F710" s="118"/>
      <c r="G710" s="118"/>
      <c r="H710" s="118"/>
      <c r="I710" s="118"/>
      <c r="J710" s="118"/>
      <c r="K710" s="118"/>
      <c r="L710" s="118"/>
      <c r="M710" s="118"/>
      <c r="N710" s="118"/>
      <c r="O710" s="42"/>
      <c r="P710" s="42"/>
      <c r="Q710" s="42"/>
      <c r="R710" s="42"/>
      <c r="S710" s="121"/>
      <c r="T710" s="119"/>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row>
    <row r="711" spans="1:46" ht="15.75" customHeight="1" x14ac:dyDescent="0.2">
      <c r="A711" s="118"/>
      <c r="B711" s="118"/>
      <c r="C711" s="118"/>
      <c r="D711" s="118"/>
      <c r="E711" s="118"/>
      <c r="F711" s="118"/>
      <c r="G711" s="118"/>
      <c r="H711" s="118"/>
      <c r="I711" s="118"/>
      <c r="J711" s="118"/>
      <c r="K711" s="118"/>
      <c r="L711" s="118"/>
      <c r="M711" s="118"/>
      <c r="N711" s="118"/>
      <c r="O711" s="42"/>
      <c r="P711" s="42"/>
      <c r="Q711" s="42"/>
      <c r="R711" s="42"/>
      <c r="S711" s="121"/>
      <c r="T711" s="119"/>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row>
    <row r="712" spans="1:46" ht="15.75" customHeight="1" x14ac:dyDescent="0.2">
      <c r="A712" s="118"/>
      <c r="B712" s="118"/>
      <c r="C712" s="118"/>
      <c r="D712" s="118"/>
      <c r="E712" s="118"/>
      <c r="F712" s="118"/>
      <c r="G712" s="118"/>
      <c r="H712" s="118"/>
      <c r="I712" s="118"/>
      <c r="J712" s="118"/>
      <c r="K712" s="118"/>
      <c r="L712" s="118"/>
      <c r="M712" s="118"/>
      <c r="N712" s="118"/>
      <c r="O712" s="42"/>
      <c r="P712" s="42"/>
      <c r="Q712" s="42"/>
      <c r="R712" s="42"/>
      <c r="S712" s="121"/>
      <c r="T712" s="119"/>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row>
    <row r="713" spans="1:46" ht="15.75" customHeight="1" x14ac:dyDescent="0.2">
      <c r="A713" s="118"/>
      <c r="B713" s="118"/>
      <c r="C713" s="118"/>
      <c r="D713" s="118"/>
      <c r="E713" s="118"/>
      <c r="F713" s="118"/>
      <c r="G713" s="118"/>
      <c r="H713" s="118"/>
      <c r="I713" s="118"/>
      <c r="J713" s="118"/>
      <c r="K713" s="118"/>
      <c r="L713" s="118"/>
      <c r="M713" s="118"/>
      <c r="N713" s="118"/>
      <c r="O713" s="42"/>
      <c r="P713" s="42"/>
      <c r="Q713" s="42"/>
      <c r="R713" s="42"/>
      <c r="S713" s="121"/>
      <c r="T713" s="119"/>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row>
    <row r="714" spans="1:46" ht="15.75" customHeight="1" x14ac:dyDescent="0.2">
      <c r="A714" s="118"/>
      <c r="B714" s="118"/>
      <c r="C714" s="118"/>
      <c r="D714" s="118"/>
      <c r="E714" s="118"/>
      <c r="F714" s="118"/>
      <c r="G714" s="118"/>
      <c r="H714" s="118"/>
      <c r="I714" s="118"/>
      <c r="J714" s="118"/>
      <c r="K714" s="118"/>
      <c r="L714" s="118"/>
      <c r="M714" s="118"/>
      <c r="N714" s="118"/>
      <c r="O714" s="42"/>
      <c r="P714" s="42"/>
      <c r="Q714" s="42"/>
      <c r="R714" s="42"/>
      <c r="S714" s="121"/>
      <c r="T714" s="119"/>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row>
    <row r="715" spans="1:46" ht="15.75" customHeight="1" x14ac:dyDescent="0.2">
      <c r="A715" s="118"/>
      <c r="B715" s="118"/>
      <c r="C715" s="118"/>
      <c r="D715" s="118"/>
      <c r="E715" s="118"/>
      <c r="F715" s="118"/>
      <c r="G715" s="118"/>
      <c r="H715" s="118"/>
      <c r="I715" s="118"/>
      <c r="J715" s="118"/>
      <c r="K715" s="118"/>
      <c r="L715" s="118"/>
      <c r="M715" s="118"/>
      <c r="N715" s="118"/>
      <c r="O715" s="42"/>
      <c r="P715" s="42"/>
      <c r="Q715" s="42"/>
      <c r="R715" s="42"/>
      <c r="S715" s="121"/>
      <c r="T715" s="119"/>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row>
    <row r="716" spans="1:46" ht="15.75" customHeight="1" x14ac:dyDescent="0.2">
      <c r="A716" s="118"/>
      <c r="B716" s="118"/>
      <c r="C716" s="118"/>
      <c r="D716" s="118"/>
      <c r="E716" s="118"/>
      <c r="F716" s="118"/>
      <c r="G716" s="118"/>
      <c r="H716" s="118"/>
      <c r="I716" s="118"/>
      <c r="J716" s="118"/>
      <c r="K716" s="118"/>
      <c r="L716" s="118"/>
      <c r="M716" s="118"/>
      <c r="N716" s="118"/>
      <c r="O716" s="42"/>
      <c r="P716" s="42"/>
      <c r="Q716" s="42"/>
      <c r="R716" s="42"/>
      <c r="S716" s="121"/>
      <c r="T716" s="119"/>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row>
    <row r="717" spans="1:46" ht="15.75" customHeight="1" x14ac:dyDescent="0.2">
      <c r="A717" s="118"/>
      <c r="B717" s="118"/>
      <c r="C717" s="118"/>
      <c r="D717" s="118"/>
      <c r="E717" s="118"/>
      <c r="F717" s="118"/>
      <c r="G717" s="118"/>
      <c r="H717" s="118"/>
      <c r="I717" s="118"/>
      <c r="J717" s="118"/>
      <c r="K717" s="118"/>
      <c r="L717" s="118"/>
      <c r="M717" s="118"/>
      <c r="N717" s="118"/>
      <c r="O717" s="42"/>
      <c r="P717" s="42"/>
      <c r="Q717" s="42"/>
      <c r="R717" s="42"/>
      <c r="S717" s="121"/>
      <c r="T717" s="119"/>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row>
    <row r="718" spans="1:46" ht="15.75" customHeight="1" x14ac:dyDescent="0.2">
      <c r="A718" s="118"/>
      <c r="B718" s="118"/>
      <c r="C718" s="118"/>
      <c r="D718" s="118"/>
      <c r="E718" s="118"/>
      <c r="F718" s="118"/>
      <c r="G718" s="118"/>
      <c r="H718" s="118"/>
      <c r="I718" s="118"/>
      <c r="J718" s="118"/>
      <c r="K718" s="118"/>
      <c r="L718" s="118"/>
      <c r="M718" s="118"/>
      <c r="N718" s="118"/>
      <c r="O718" s="42"/>
      <c r="P718" s="42"/>
      <c r="Q718" s="42"/>
      <c r="R718" s="42"/>
      <c r="S718" s="121"/>
      <c r="T718" s="119"/>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row>
    <row r="719" spans="1:46" ht="15.75" customHeight="1" x14ac:dyDescent="0.2">
      <c r="A719" s="118"/>
      <c r="B719" s="118"/>
      <c r="C719" s="118"/>
      <c r="D719" s="118"/>
      <c r="E719" s="118"/>
      <c r="F719" s="118"/>
      <c r="G719" s="118"/>
      <c r="H719" s="118"/>
      <c r="I719" s="118"/>
      <c r="J719" s="118"/>
      <c r="K719" s="118"/>
      <c r="L719" s="118"/>
      <c r="M719" s="118"/>
      <c r="N719" s="118"/>
      <c r="O719" s="42"/>
      <c r="P719" s="42"/>
      <c r="Q719" s="42"/>
      <c r="R719" s="42"/>
      <c r="S719" s="121"/>
      <c r="T719" s="119"/>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row>
    <row r="720" spans="1:46" ht="15.75" customHeight="1" x14ac:dyDescent="0.2">
      <c r="A720" s="118"/>
      <c r="B720" s="118"/>
      <c r="C720" s="118"/>
      <c r="D720" s="118"/>
      <c r="E720" s="118"/>
      <c r="F720" s="118"/>
      <c r="G720" s="118"/>
      <c r="H720" s="118"/>
      <c r="I720" s="118"/>
      <c r="J720" s="118"/>
      <c r="K720" s="118"/>
      <c r="L720" s="118"/>
      <c r="M720" s="118"/>
      <c r="N720" s="118"/>
      <c r="O720" s="42"/>
      <c r="P720" s="42"/>
      <c r="Q720" s="42"/>
      <c r="R720" s="42"/>
      <c r="S720" s="121"/>
      <c r="T720" s="119"/>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row>
    <row r="721" spans="1:46" ht="15.75" customHeight="1" x14ac:dyDescent="0.2">
      <c r="A721" s="118"/>
      <c r="B721" s="118"/>
      <c r="C721" s="118"/>
      <c r="D721" s="118"/>
      <c r="E721" s="118"/>
      <c r="F721" s="118"/>
      <c r="G721" s="118"/>
      <c r="H721" s="118"/>
      <c r="I721" s="118"/>
      <c r="J721" s="118"/>
      <c r="K721" s="118"/>
      <c r="L721" s="118"/>
      <c r="M721" s="118"/>
      <c r="N721" s="118"/>
      <c r="O721" s="42"/>
      <c r="P721" s="42"/>
      <c r="Q721" s="42"/>
      <c r="R721" s="42"/>
      <c r="S721" s="121"/>
      <c r="T721" s="119"/>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row>
    <row r="722" spans="1:46" ht="15.75" customHeight="1" x14ac:dyDescent="0.2">
      <c r="A722" s="118"/>
      <c r="B722" s="118"/>
      <c r="C722" s="118"/>
      <c r="D722" s="118"/>
      <c r="E722" s="118"/>
      <c r="F722" s="118"/>
      <c r="G722" s="118"/>
      <c r="H722" s="118"/>
      <c r="I722" s="118"/>
      <c r="J722" s="118"/>
      <c r="K722" s="118"/>
      <c r="L722" s="118"/>
      <c r="M722" s="118"/>
      <c r="N722" s="118"/>
      <c r="O722" s="42"/>
      <c r="P722" s="42"/>
      <c r="Q722" s="42"/>
      <c r="R722" s="42"/>
      <c r="S722" s="121"/>
      <c r="T722" s="119"/>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row>
    <row r="723" spans="1:46" ht="15.75" customHeight="1" x14ac:dyDescent="0.2">
      <c r="A723" s="118"/>
      <c r="B723" s="118"/>
      <c r="C723" s="118"/>
      <c r="D723" s="118"/>
      <c r="E723" s="118"/>
      <c r="F723" s="118"/>
      <c r="G723" s="118"/>
      <c r="H723" s="118"/>
      <c r="I723" s="118"/>
      <c r="J723" s="118"/>
      <c r="K723" s="118"/>
      <c r="L723" s="118"/>
      <c r="M723" s="118"/>
      <c r="N723" s="118"/>
      <c r="O723" s="42"/>
      <c r="P723" s="42"/>
      <c r="Q723" s="42"/>
      <c r="R723" s="42"/>
      <c r="S723" s="121"/>
      <c r="T723" s="119"/>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row>
    <row r="724" spans="1:46" ht="15.75" customHeight="1" x14ac:dyDescent="0.2">
      <c r="A724" s="118"/>
      <c r="B724" s="118"/>
      <c r="C724" s="118"/>
      <c r="D724" s="118"/>
      <c r="E724" s="118"/>
      <c r="F724" s="118"/>
      <c r="G724" s="118"/>
      <c r="H724" s="118"/>
      <c r="I724" s="118"/>
      <c r="J724" s="118"/>
      <c r="K724" s="118"/>
      <c r="L724" s="118"/>
      <c r="M724" s="118"/>
      <c r="N724" s="118"/>
      <c r="O724" s="42"/>
      <c r="P724" s="42"/>
      <c r="Q724" s="42"/>
      <c r="R724" s="42"/>
      <c r="S724" s="121"/>
      <c r="T724" s="119"/>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row>
    <row r="725" spans="1:46" ht="15.75" customHeight="1" x14ac:dyDescent="0.2">
      <c r="A725" s="118"/>
      <c r="B725" s="118"/>
      <c r="C725" s="118"/>
      <c r="D725" s="118"/>
      <c r="E725" s="118"/>
      <c r="F725" s="118"/>
      <c r="G725" s="118"/>
      <c r="H725" s="118"/>
      <c r="I725" s="118"/>
      <c r="J725" s="118"/>
      <c r="K725" s="118"/>
      <c r="L725" s="118"/>
      <c r="M725" s="118"/>
      <c r="N725" s="118"/>
      <c r="O725" s="42"/>
      <c r="P725" s="42"/>
      <c r="Q725" s="42"/>
      <c r="R725" s="42"/>
      <c r="S725" s="121"/>
      <c r="T725" s="119"/>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row>
    <row r="726" spans="1:46" ht="15.75" customHeight="1" x14ac:dyDescent="0.2">
      <c r="A726" s="118"/>
      <c r="B726" s="118"/>
      <c r="C726" s="118"/>
      <c r="D726" s="118"/>
      <c r="E726" s="118"/>
      <c r="F726" s="118"/>
      <c r="G726" s="118"/>
      <c r="H726" s="118"/>
      <c r="I726" s="118"/>
      <c r="J726" s="118"/>
      <c r="K726" s="118"/>
      <c r="L726" s="118"/>
      <c r="M726" s="118"/>
      <c r="N726" s="118"/>
      <c r="O726" s="42"/>
      <c r="P726" s="42"/>
      <c r="Q726" s="42"/>
      <c r="R726" s="42"/>
      <c r="S726" s="121"/>
      <c r="T726" s="119"/>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row>
    <row r="727" spans="1:46" ht="15.75" customHeight="1" x14ac:dyDescent="0.2">
      <c r="A727" s="118"/>
      <c r="B727" s="118"/>
      <c r="C727" s="118"/>
      <c r="D727" s="118"/>
      <c r="E727" s="118"/>
      <c r="F727" s="118"/>
      <c r="G727" s="118"/>
      <c r="H727" s="118"/>
      <c r="I727" s="118"/>
      <c r="J727" s="118"/>
      <c r="K727" s="118"/>
      <c r="L727" s="118"/>
      <c r="M727" s="118"/>
      <c r="N727" s="118"/>
      <c r="O727" s="42"/>
      <c r="P727" s="42"/>
      <c r="Q727" s="42"/>
      <c r="R727" s="42"/>
      <c r="S727" s="121"/>
      <c r="T727" s="119"/>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row>
    <row r="728" spans="1:46" ht="15.75" customHeight="1" x14ac:dyDescent="0.2">
      <c r="A728" s="118"/>
      <c r="B728" s="118"/>
      <c r="C728" s="118"/>
      <c r="D728" s="118"/>
      <c r="E728" s="118"/>
      <c r="F728" s="118"/>
      <c r="G728" s="118"/>
      <c r="H728" s="118"/>
      <c r="I728" s="118"/>
      <c r="J728" s="118"/>
      <c r="K728" s="118"/>
      <c r="L728" s="118"/>
      <c r="M728" s="118"/>
      <c r="N728" s="118"/>
      <c r="O728" s="42"/>
      <c r="P728" s="42"/>
      <c r="Q728" s="42"/>
      <c r="R728" s="42"/>
      <c r="S728" s="121"/>
      <c r="T728" s="119"/>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row>
    <row r="729" spans="1:46" ht="15.75" customHeight="1" x14ac:dyDescent="0.2">
      <c r="A729" s="118"/>
      <c r="B729" s="118"/>
      <c r="C729" s="118"/>
      <c r="D729" s="118"/>
      <c r="E729" s="118"/>
      <c r="F729" s="118"/>
      <c r="G729" s="118"/>
      <c r="H729" s="118"/>
      <c r="I729" s="118"/>
      <c r="J729" s="118"/>
      <c r="K729" s="118"/>
      <c r="L729" s="118"/>
      <c r="M729" s="118"/>
      <c r="N729" s="118"/>
      <c r="O729" s="42"/>
      <c r="P729" s="42"/>
      <c r="Q729" s="42"/>
      <c r="R729" s="42"/>
      <c r="S729" s="121"/>
      <c r="T729" s="119"/>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row>
    <row r="730" spans="1:46" ht="15.75" customHeight="1" x14ac:dyDescent="0.2">
      <c r="A730" s="118"/>
      <c r="B730" s="118"/>
      <c r="C730" s="118"/>
      <c r="D730" s="118"/>
      <c r="E730" s="118"/>
      <c r="F730" s="118"/>
      <c r="G730" s="118"/>
      <c r="H730" s="118"/>
      <c r="I730" s="118"/>
      <c r="J730" s="118"/>
      <c r="K730" s="118"/>
      <c r="L730" s="118"/>
      <c r="M730" s="118"/>
      <c r="N730" s="118"/>
      <c r="O730" s="42"/>
      <c r="P730" s="42"/>
      <c r="Q730" s="42"/>
      <c r="R730" s="42"/>
      <c r="S730" s="121"/>
      <c r="T730" s="119"/>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row>
    <row r="731" spans="1:46" ht="15.75" customHeight="1" x14ac:dyDescent="0.2">
      <c r="A731" s="118"/>
      <c r="B731" s="118"/>
      <c r="C731" s="118"/>
      <c r="D731" s="118"/>
      <c r="E731" s="118"/>
      <c r="F731" s="118"/>
      <c r="G731" s="118"/>
      <c r="H731" s="118"/>
      <c r="I731" s="118"/>
      <c r="J731" s="118"/>
      <c r="K731" s="118"/>
      <c r="L731" s="118"/>
      <c r="M731" s="118"/>
      <c r="N731" s="118"/>
      <c r="O731" s="42"/>
      <c r="P731" s="42"/>
      <c r="Q731" s="42"/>
      <c r="R731" s="42"/>
      <c r="S731" s="121"/>
      <c r="T731" s="119"/>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row>
    <row r="732" spans="1:46" ht="15.75" customHeight="1" x14ac:dyDescent="0.2">
      <c r="A732" s="118"/>
      <c r="B732" s="118"/>
      <c r="C732" s="118"/>
      <c r="D732" s="118"/>
      <c r="E732" s="118"/>
      <c r="F732" s="118"/>
      <c r="G732" s="118"/>
      <c r="H732" s="118"/>
      <c r="I732" s="118"/>
      <c r="J732" s="118"/>
      <c r="K732" s="118"/>
      <c r="L732" s="118"/>
      <c r="M732" s="118"/>
      <c r="N732" s="118"/>
      <c r="O732" s="42"/>
      <c r="P732" s="42"/>
      <c r="Q732" s="42"/>
      <c r="R732" s="42"/>
      <c r="S732" s="121"/>
      <c r="T732" s="119"/>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row>
    <row r="733" spans="1:46" ht="15.75" customHeight="1" x14ac:dyDescent="0.2">
      <c r="A733" s="118"/>
      <c r="B733" s="118"/>
      <c r="C733" s="118"/>
      <c r="D733" s="118"/>
      <c r="E733" s="118"/>
      <c r="F733" s="118"/>
      <c r="G733" s="118"/>
      <c r="H733" s="118"/>
      <c r="I733" s="118"/>
      <c r="J733" s="118"/>
      <c r="K733" s="118"/>
      <c r="L733" s="118"/>
      <c r="M733" s="118"/>
      <c r="N733" s="118"/>
      <c r="O733" s="42"/>
      <c r="P733" s="42"/>
      <c r="Q733" s="42"/>
      <c r="R733" s="42"/>
      <c r="S733" s="121"/>
      <c r="T733" s="119"/>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row>
    <row r="734" spans="1:46" ht="15.75" customHeight="1" x14ac:dyDescent="0.2">
      <c r="A734" s="118"/>
      <c r="B734" s="118"/>
      <c r="C734" s="118"/>
      <c r="D734" s="118"/>
      <c r="E734" s="118"/>
      <c r="F734" s="118"/>
      <c r="G734" s="118"/>
      <c r="H734" s="118"/>
      <c r="I734" s="118"/>
      <c r="J734" s="118"/>
      <c r="K734" s="118"/>
      <c r="L734" s="118"/>
      <c r="M734" s="118"/>
      <c r="N734" s="118"/>
      <c r="O734" s="42"/>
      <c r="P734" s="42"/>
      <c r="Q734" s="42"/>
      <c r="R734" s="42"/>
      <c r="S734" s="121"/>
      <c r="T734" s="119"/>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row>
    <row r="735" spans="1:46" ht="15.75" customHeight="1" x14ac:dyDescent="0.2">
      <c r="A735" s="118"/>
      <c r="B735" s="118"/>
      <c r="C735" s="118"/>
      <c r="D735" s="118"/>
      <c r="E735" s="118"/>
      <c r="F735" s="118"/>
      <c r="G735" s="118"/>
      <c r="H735" s="118"/>
      <c r="I735" s="118"/>
      <c r="J735" s="118"/>
      <c r="K735" s="118"/>
      <c r="L735" s="118"/>
      <c r="M735" s="118"/>
      <c r="N735" s="118"/>
      <c r="O735" s="42"/>
      <c r="P735" s="42"/>
      <c r="Q735" s="42"/>
      <c r="R735" s="42"/>
      <c r="S735" s="121"/>
      <c r="T735" s="119"/>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row>
    <row r="736" spans="1:46" ht="15.75" customHeight="1" x14ac:dyDescent="0.2">
      <c r="A736" s="118"/>
      <c r="B736" s="118"/>
      <c r="C736" s="118"/>
      <c r="D736" s="118"/>
      <c r="E736" s="118"/>
      <c r="F736" s="118"/>
      <c r="G736" s="118"/>
      <c r="H736" s="118"/>
      <c r="I736" s="118"/>
      <c r="J736" s="118"/>
      <c r="K736" s="118"/>
      <c r="L736" s="118"/>
      <c r="M736" s="118"/>
      <c r="N736" s="118"/>
      <c r="O736" s="42"/>
      <c r="P736" s="42"/>
      <c r="Q736" s="42"/>
      <c r="R736" s="42"/>
      <c r="S736" s="121"/>
      <c r="T736" s="119"/>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row>
    <row r="737" spans="1:46" ht="15.75" customHeight="1" x14ac:dyDescent="0.2">
      <c r="A737" s="118"/>
      <c r="B737" s="118"/>
      <c r="C737" s="118"/>
      <c r="D737" s="118"/>
      <c r="E737" s="118"/>
      <c r="F737" s="118"/>
      <c r="G737" s="118"/>
      <c r="H737" s="118"/>
      <c r="I737" s="118"/>
      <c r="J737" s="118"/>
      <c r="K737" s="118"/>
      <c r="L737" s="118"/>
      <c r="M737" s="118"/>
      <c r="N737" s="118"/>
      <c r="O737" s="42"/>
      <c r="P737" s="42"/>
      <c r="Q737" s="42"/>
      <c r="R737" s="42"/>
      <c r="S737" s="121"/>
      <c r="T737" s="119"/>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row>
    <row r="738" spans="1:46" ht="15.75" customHeight="1" x14ac:dyDescent="0.2">
      <c r="A738" s="118"/>
      <c r="B738" s="118"/>
      <c r="C738" s="118"/>
      <c r="D738" s="118"/>
      <c r="E738" s="118"/>
      <c r="F738" s="118"/>
      <c r="G738" s="118"/>
      <c r="H738" s="118"/>
      <c r="I738" s="118"/>
      <c r="J738" s="118"/>
      <c r="K738" s="118"/>
      <c r="L738" s="118"/>
      <c r="M738" s="118"/>
      <c r="N738" s="118"/>
      <c r="O738" s="42"/>
      <c r="P738" s="42"/>
      <c r="Q738" s="42"/>
      <c r="R738" s="42"/>
      <c r="S738" s="121"/>
      <c r="T738" s="119"/>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row>
    <row r="739" spans="1:46" ht="15.75" customHeight="1" x14ac:dyDescent="0.2">
      <c r="A739" s="118"/>
      <c r="B739" s="118"/>
      <c r="C739" s="118"/>
      <c r="D739" s="118"/>
      <c r="E739" s="118"/>
      <c r="F739" s="118"/>
      <c r="G739" s="118"/>
      <c r="H739" s="118"/>
      <c r="I739" s="118"/>
      <c r="J739" s="118"/>
      <c r="K739" s="118"/>
      <c r="L739" s="118"/>
      <c r="M739" s="118"/>
      <c r="N739" s="118"/>
      <c r="O739" s="42"/>
      <c r="P739" s="42"/>
      <c r="Q739" s="42"/>
      <c r="R739" s="42"/>
      <c r="S739" s="121"/>
      <c r="T739" s="119"/>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row>
    <row r="740" spans="1:46" ht="15.75" customHeight="1" x14ac:dyDescent="0.2">
      <c r="A740" s="118"/>
      <c r="B740" s="118"/>
      <c r="C740" s="118"/>
      <c r="D740" s="118"/>
      <c r="E740" s="118"/>
      <c r="F740" s="118"/>
      <c r="G740" s="118"/>
      <c r="H740" s="118"/>
      <c r="I740" s="118"/>
      <c r="J740" s="118"/>
      <c r="K740" s="118"/>
      <c r="L740" s="118"/>
      <c r="M740" s="118"/>
      <c r="N740" s="118"/>
      <c r="O740" s="42"/>
      <c r="P740" s="42"/>
      <c r="Q740" s="42"/>
      <c r="R740" s="42"/>
      <c r="S740" s="121"/>
      <c r="T740" s="119"/>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row>
    <row r="741" spans="1:46" ht="15.75" customHeight="1" x14ac:dyDescent="0.2">
      <c r="A741" s="118"/>
      <c r="B741" s="118"/>
      <c r="C741" s="118"/>
      <c r="D741" s="118"/>
      <c r="E741" s="118"/>
      <c r="F741" s="118"/>
      <c r="G741" s="118"/>
      <c r="H741" s="118"/>
      <c r="I741" s="118"/>
      <c r="J741" s="118"/>
      <c r="K741" s="118"/>
      <c r="L741" s="118"/>
      <c r="M741" s="118"/>
      <c r="N741" s="118"/>
      <c r="O741" s="42"/>
      <c r="P741" s="42"/>
      <c r="Q741" s="42"/>
      <c r="R741" s="42"/>
      <c r="S741" s="121"/>
      <c r="T741" s="119"/>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row>
    <row r="742" spans="1:46" ht="15.75" customHeight="1" x14ac:dyDescent="0.2">
      <c r="A742" s="118"/>
      <c r="B742" s="118"/>
      <c r="C742" s="118"/>
      <c r="D742" s="118"/>
      <c r="E742" s="118"/>
      <c r="F742" s="118"/>
      <c r="G742" s="118"/>
      <c r="H742" s="118"/>
      <c r="I742" s="118"/>
      <c r="J742" s="118"/>
      <c r="K742" s="118"/>
      <c r="L742" s="118"/>
      <c r="M742" s="118"/>
      <c r="N742" s="118"/>
      <c r="O742" s="42"/>
      <c r="P742" s="42"/>
      <c r="Q742" s="42"/>
      <c r="R742" s="42"/>
      <c r="S742" s="121"/>
      <c r="T742" s="119"/>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row>
    <row r="743" spans="1:46" ht="15.75" customHeight="1" x14ac:dyDescent="0.2">
      <c r="A743" s="118"/>
      <c r="B743" s="118"/>
      <c r="C743" s="118"/>
      <c r="D743" s="118"/>
      <c r="E743" s="118"/>
      <c r="F743" s="118"/>
      <c r="G743" s="118"/>
      <c r="H743" s="118"/>
      <c r="I743" s="118"/>
      <c r="J743" s="118"/>
      <c r="K743" s="118"/>
      <c r="L743" s="118"/>
      <c r="M743" s="118"/>
      <c r="N743" s="118"/>
      <c r="O743" s="42"/>
      <c r="P743" s="42"/>
      <c r="Q743" s="42"/>
      <c r="R743" s="42"/>
      <c r="S743" s="121"/>
      <c r="T743" s="119"/>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row>
    <row r="744" spans="1:46" ht="15.75" customHeight="1" x14ac:dyDescent="0.2">
      <c r="A744" s="118"/>
      <c r="B744" s="118"/>
      <c r="C744" s="118"/>
      <c r="D744" s="118"/>
      <c r="E744" s="118"/>
      <c r="F744" s="118"/>
      <c r="G744" s="118"/>
      <c r="H744" s="118"/>
      <c r="I744" s="118"/>
      <c r="J744" s="118"/>
      <c r="K744" s="118"/>
      <c r="L744" s="118"/>
      <c r="M744" s="118"/>
      <c r="N744" s="118"/>
      <c r="O744" s="42"/>
      <c r="P744" s="42"/>
      <c r="Q744" s="42"/>
      <c r="R744" s="42"/>
      <c r="S744" s="121"/>
      <c r="T744" s="119"/>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row>
    <row r="745" spans="1:46" ht="15.75" customHeight="1" x14ac:dyDescent="0.2">
      <c r="A745" s="118"/>
      <c r="B745" s="118"/>
      <c r="C745" s="118"/>
      <c r="D745" s="118"/>
      <c r="E745" s="118"/>
      <c r="F745" s="118"/>
      <c r="G745" s="118"/>
      <c r="H745" s="118"/>
      <c r="I745" s="118"/>
      <c r="J745" s="118"/>
      <c r="K745" s="118"/>
      <c r="L745" s="118"/>
      <c r="M745" s="118"/>
      <c r="N745" s="118"/>
      <c r="O745" s="42"/>
      <c r="P745" s="42"/>
      <c r="Q745" s="42"/>
      <c r="R745" s="42"/>
      <c r="S745" s="121"/>
      <c r="T745" s="119"/>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row>
    <row r="746" spans="1:46" ht="15.75" customHeight="1" x14ac:dyDescent="0.2">
      <c r="A746" s="118"/>
      <c r="B746" s="118"/>
      <c r="C746" s="118"/>
      <c r="D746" s="118"/>
      <c r="E746" s="118"/>
      <c r="F746" s="118"/>
      <c r="G746" s="118"/>
      <c r="H746" s="118"/>
      <c r="I746" s="118"/>
      <c r="J746" s="118"/>
      <c r="K746" s="118"/>
      <c r="L746" s="118"/>
      <c r="M746" s="118"/>
      <c r="N746" s="118"/>
      <c r="O746" s="42"/>
      <c r="P746" s="42"/>
      <c r="Q746" s="42"/>
      <c r="R746" s="42"/>
      <c r="S746" s="121"/>
      <c r="T746" s="119"/>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row>
    <row r="747" spans="1:46" ht="15.75" customHeight="1" x14ac:dyDescent="0.2">
      <c r="A747" s="118"/>
      <c r="B747" s="118"/>
      <c r="C747" s="118"/>
      <c r="D747" s="118"/>
      <c r="E747" s="118"/>
      <c r="F747" s="118"/>
      <c r="G747" s="118"/>
      <c r="H747" s="118"/>
      <c r="I747" s="118"/>
      <c r="J747" s="118"/>
      <c r="K747" s="118"/>
      <c r="L747" s="118"/>
      <c r="M747" s="118"/>
      <c r="N747" s="118"/>
      <c r="O747" s="42"/>
      <c r="P747" s="42"/>
      <c r="Q747" s="42"/>
      <c r="R747" s="42"/>
      <c r="S747" s="121"/>
      <c r="T747" s="119"/>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row>
    <row r="748" spans="1:46" ht="15.75" customHeight="1" x14ac:dyDescent="0.2">
      <c r="A748" s="118"/>
      <c r="B748" s="118"/>
      <c r="C748" s="118"/>
      <c r="D748" s="118"/>
      <c r="E748" s="118"/>
      <c r="F748" s="118"/>
      <c r="G748" s="118"/>
      <c r="H748" s="118"/>
      <c r="I748" s="118"/>
      <c r="J748" s="118"/>
      <c r="K748" s="118"/>
      <c r="L748" s="118"/>
      <c r="M748" s="118"/>
      <c r="N748" s="118"/>
      <c r="O748" s="42"/>
      <c r="P748" s="42"/>
      <c r="Q748" s="42"/>
      <c r="R748" s="42"/>
      <c r="S748" s="121"/>
      <c r="T748" s="119"/>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row>
    <row r="749" spans="1:46" ht="15.75" customHeight="1" x14ac:dyDescent="0.2">
      <c r="A749" s="118"/>
      <c r="B749" s="118"/>
      <c r="C749" s="118"/>
      <c r="D749" s="118"/>
      <c r="E749" s="118"/>
      <c r="F749" s="118"/>
      <c r="G749" s="118"/>
      <c r="H749" s="118"/>
      <c r="I749" s="118"/>
      <c r="J749" s="118"/>
      <c r="K749" s="118"/>
      <c r="L749" s="118"/>
      <c r="M749" s="118"/>
      <c r="N749" s="118"/>
      <c r="O749" s="42"/>
      <c r="P749" s="42"/>
      <c r="Q749" s="42"/>
      <c r="R749" s="42"/>
      <c r="S749" s="121"/>
      <c r="T749" s="119"/>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row>
    <row r="750" spans="1:46" ht="15.75" customHeight="1" x14ac:dyDescent="0.2">
      <c r="A750" s="118"/>
      <c r="B750" s="118"/>
      <c r="C750" s="118"/>
      <c r="D750" s="118"/>
      <c r="E750" s="118"/>
      <c r="F750" s="118"/>
      <c r="G750" s="118"/>
      <c r="H750" s="118"/>
      <c r="I750" s="118"/>
      <c r="J750" s="118"/>
      <c r="K750" s="118"/>
      <c r="L750" s="118"/>
      <c r="M750" s="118"/>
      <c r="N750" s="118"/>
      <c r="O750" s="42"/>
      <c r="P750" s="42"/>
      <c r="Q750" s="42"/>
      <c r="R750" s="42"/>
      <c r="S750" s="121"/>
      <c r="T750" s="119"/>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row>
    <row r="751" spans="1:46" ht="15.75" customHeight="1" x14ac:dyDescent="0.2">
      <c r="A751" s="118"/>
      <c r="B751" s="118"/>
      <c r="C751" s="118"/>
      <c r="D751" s="118"/>
      <c r="E751" s="118"/>
      <c r="F751" s="118"/>
      <c r="G751" s="118"/>
      <c r="H751" s="118"/>
      <c r="I751" s="118"/>
      <c r="J751" s="118"/>
      <c r="K751" s="118"/>
      <c r="L751" s="118"/>
      <c r="M751" s="118"/>
      <c r="N751" s="118"/>
      <c r="O751" s="42"/>
      <c r="P751" s="42"/>
      <c r="Q751" s="42"/>
      <c r="R751" s="42"/>
      <c r="S751" s="121"/>
      <c r="T751" s="119"/>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row>
    <row r="752" spans="1:46" ht="15.75" customHeight="1" x14ac:dyDescent="0.2">
      <c r="A752" s="118"/>
      <c r="B752" s="118"/>
      <c r="C752" s="118"/>
      <c r="D752" s="118"/>
      <c r="E752" s="118"/>
      <c r="F752" s="118"/>
      <c r="G752" s="118"/>
      <c r="H752" s="118"/>
      <c r="I752" s="118"/>
      <c r="J752" s="118"/>
      <c r="K752" s="118"/>
      <c r="L752" s="118"/>
      <c r="M752" s="118"/>
      <c r="N752" s="118"/>
      <c r="O752" s="42"/>
      <c r="P752" s="42"/>
      <c r="Q752" s="42"/>
      <c r="R752" s="42"/>
      <c r="S752" s="121"/>
      <c r="T752" s="119"/>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row>
    <row r="753" spans="1:46" ht="15.75" customHeight="1" x14ac:dyDescent="0.2">
      <c r="A753" s="118"/>
      <c r="B753" s="118"/>
      <c r="C753" s="118"/>
      <c r="D753" s="118"/>
      <c r="E753" s="118"/>
      <c r="F753" s="118"/>
      <c r="G753" s="118"/>
      <c r="H753" s="118"/>
      <c r="I753" s="118"/>
      <c r="J753" s="118"/>
      <c r="K753" s="118"/>
      <c r="L753" s="118"/>
      <c r="M753" s="118"/>
      <c r="N753" s="118"/>
      <c r="O753" s="42"/>
      <c r="P753" s="42"/>
      <c r="Q753" s="42"/>
      <c r="R753" s="42"/>
      <c r="S753" s="121"/>
      <c r="T753" s="119"/>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row>
    <row r="754" spans="1:46" ht="15.75" customHeight="1" x14ac:dyDescent="0.2">
      <c r="A754" s="118"/>
      <c r="B754" s="118"/>
      <c r="C754" s="118"/>
      <c r="D754" s="118"/>
      <c r="E754" s="118"/>
      <c r="F754" s="118"/>
      <c r="G754" s="118"/>
      <c r="H754" s="118"/>
      <c r="I754" s="118"/>
      <c r="J754" s="118"/>
      <c r="K754" s="118"/>
      <c r="L754" s="118"/>
      <c r="M754" s="118"/>
      <c r="N754" s="118"/>
      <c r="O754" s="42"/>
      <c r="P754" s="42"/>
      <c r="Q754" s="42"/>
      <c r="R754" s="42"/>
      <c r="S754" s="121"/>
      <c r="T754" s="119"/>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row>
    <row r="755" spans="1:46" ht="15.75" customHeight="1" x14ac:dyDescent="0.2">
      <c r="A755" s="118"/>
      <c r="B755" s="118"/>
      <c r="C755" s="118"/>
      <c r="D755" s="118"/>
      <c r="E755" s="118"/>
      <c r="F755" s="118"/>
      <c r="G755" s="118"/>
      <c r="H755" s="118"/>
      <c r="I755" s="118"/>
      <c r="J755" s="118"/>
      <c r="K755" s="118"/>
      <c r="L755" s="118"/>
      <c r="M755" s="118"/>
      <c r="N755" s="118"/>
      <c r="O755" s="42"/>
      <c r="P755" s="42"/>
      <c r="Q755" s="42"/>
      <c r="R755" s="42"/>
      <c r="S755" s="121"/>
      <c r="T755" s="119"/>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row>
    <row r="756" spans="1:46" ht="15.75" customHeight="1" x14ac:dyDescent="0.2">
      <c r="A756" s="118"/>
      <c r="B756" s="118"/>
      <c r="C756" s="118"/>
      <c r="D756" s="118"/>
      <c r="E756" s="118"/>
      <c r="F756" s="118"/>
      <c r="G756" s="118"/>
      <c r="H756" s="118"/>
      <c r="I756" s="118"/>
      <c r="J756" s="118"/>
      <c r="K756" s="118"/>
      <c r="L756" s="118"/>
      <c r="M756" s="118"/>
      <c r="N756" s="118"/>
      <c r="O756" s="42"/>
      <c r="P756" s="42"/>
      <c r="Q756" s="42"/>
      <c r="R756" s="42"/>
      <c r="S756" s="121"/>
      <c r="T756" s="119"/>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row>
    <row r="757" spans="1:46" ht="15.75" customHeight="1" x14ac:dyDescent="0.2">
      <c r="A757" s="118"/>
      <c r="B757" s="118"/>
      <c r="C757" s="118"/>
      <c r="D757" s="118"/>
      <c r="E757" s="118"/>
      <c r="F757" s="118"/>
      <c r="G757" s="118"/>
      <c r="H757" s="118"/>
      <c r="I757" s="118"/>
      <c r="J757" s="118"/>
      <c r="K757" s="118"/>
      <c r="L757" s="118"/>
      <c r="M757" s="118"/>
      <c r="N757" s="118"/>
      <c r="O757" s="42"/>
      <c r="P757" s="42"/>
      <c r="Q757" s="42"/>
      <c r="R757" s="42"/>
      <c r="S757" s="121"/>
      <c r="T757" s="119"/>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row>
    <row r="758" spans="1:46" ht="15.75" customHeight="1" x14ac:dyDescent="0.2">
      <c r="A758" s="118"/>
      <c r="B758" s="118"/>
      <c r="C758" s="118"/>
      <c r="D758" s="118"/>
      <c r="E758" s="118"/>
      <c r="F758" s="118"/>
      <c r="G758" s="118"/>
      <c r="H758" s="118"/>
      <c r="I758" s="118"/>
      <c r="J758" s="118"/>
      <c r="K758" s="118"/>
      <c r="L758" s="118"/>
      <c r="M758" s="118"/>
      <c r="N758" s="118"/>
      <c r="O758" s="42"/>
      <c r="P758" s="42"/>
      <c r="Q758" s="42"/>
      <c r="R758" s="42"/>
      <c r="S758" s="121"/>
      <c r="T758" s="119"/>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row>
    <row r="759" spans="1:46" ht="15.75" customHeight="1" x14ac:dyDescent="0.2">
      <c r="A759" s="118"/>
      <c r="B759" s="118"/>
      <c r="C759" s="118"/>
      <c r="D759" s="118"/>
      <c r="E759" s="118"/>
      <c r="F759" s="118"/>
      <c r="G759" s="118"/>
      <c r="H759" s="118"/>
      <c r="I759" s="118"/>
      <c r="J759" s="118"/>
      <c r="K759" s="118"/>
      <c r="L759" s="118"/>
      <c r="M759" s="118"/>
      <c r="N759" s="118"/>
      <c r="O759" s="42"/>
      <c r="P759" s="42"/>
      <c r="Q759" s="42"/>
      <c r="R759" s="42"/>
      <c r="S759" s="121"/>
      <c r="T759" s="119"/>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row>
    <row r="760" spans="1:46" ht="15.75" customHeight="1" x14ac:dyDescent="0.2">
      <c r="A760" s="118"/>
      <c r="B760" s="118"/>
      <c r="C760" s="118"/>
      <c r="D760" s="118"/>
      <c r="E760" s="118"/>
      <c r="F760" s="118"/>
      <c r="G760" s="118"/>
      <c r="H760" s="118"/>
      <c r="I760" s="118"/>
      <c r="J760" s="118"/>
      <c r="K760" s="118"/>
      <c r="L760" s="118"/>
      <c r="M760" s="118"/>
      <c r="N760" s="118"/>
      <c r="O760" s="42"/>
      <c r="P760" s="42"/>
      <c r="Q760" s="42"/>
      <c r="R760" s="42"/>
      <c r="S760" s="121"/>
      <c r="T760" s="119"/>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row>
    <row r="761" spans="1:46" ht="15.75" customHeight="1" x14ac:dyDescent="0.2">
      <c r="A761" s="118"/>
      <c r="B761" s="118"/>
      <c r="C761" s="118"/>
      <c r="D761" s="118"/>
      <c r="E761" s="118"/>
      <c r="F761" s="118"/>
      <c r="G761" s="118"/>
      <c r="H761" s="118"/>
      <c r="I761" s="118"/>
      <c r="J761" s="118"/>
      <c r="K761" s="118"/>
      <c r="L761" s="118"/>
      <c r="M761" s="118"/>
      <c r="N761" s="118"/>
      <c r="O761" s="42"/>
      <c r="P761" s="42"/>
      <c r="Q761" s="42"/>
      <c r="R761" s="42"/>
      <c r="S761" s="121"/>
      <c r="T761" s="119"/>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row>
    <row r="762" spans="1:46" ht="15.75" customHeight="1" x14ac:dyDescent="0.2">
      <c r="A762" s="118"/>
      <c r="B762" s="118"/>
      <c r="C762" s="118"/>
      <c r="D762" s="118"/>
      <c r="E762" s="118"/>
      <c r="F762" s="118"/>
      <c r="G762" s="118"/>
      <c r="H762" s="118"/>
      <c r="I762" s="118"/>
      <c r="J762" s="118"/>
      <c r="K762" s="118"/>
      <c r="L762" s="118"/>
      <c r="M762" s="118"/>
      <c r="N762" s="118"/>
      <c r="O762" s="42"/>
      <c r="P762" s="42"/>
      <c r="Q762" s="42"/>
      <c r="R762" s="42"/>
      <c r="S762" s="121"/>
      <c r="T762" s="119"/>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row>
    <row r="763" spans="1:46" ht="15.75" customHeight="1" x14ac:dyDescent="0.2">
      <c r="A763" s="118"/>
      <c r="B763" s="118"/>
      <c r="C763" s="118"/>
      <c r="D763" s="118"/>
      <c r="E763" s="118"/>
      <c r="F763" s="118"/>
      <c r="G763" s="118"/>
      <c r="H763" s="118"/>
      <c r="I763" s="118"/>
      <c r="J763" s="118"/>
      <c r="K763" s="118"/>
      <c r="L763" s="118"/>
      <c r="M763" s="118"/>
      <c r="N763" s="118"/>
      <c r="O763" s="42"/>
      <c r="P763" s="42"/>
      <c r="Q763" s="42"/>
      <c r="R763" s="42"/>
      <c r="S763" s="121"/>
      <c r="T763" s="119"/>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row>
    <row r="764" spans="1:46" ht="15.75" customHeight="1" x14ac:dyDescent="0.2">
      <c r="A764" s="118"/>
      <c r="B764" s="118"/>
      <c r="C764" s="118"/>
      <c r="D764" s="118"/>
      <c r="E764" s="118"/>
      <c r="F764" s="118"/>
      <c r="G764" s="118"/>
      <c r="H764" s="118"/>
      <c r="I764" s="118"/>
      <c r="J764" s="118"/>
      <c r="K764" s="118"/>
      <c r="L764" s="118"/>
      <c r="M764" s="118"/>
      <c r="N764" s="118"/>
      <c r="O764" s="42"/>
      <c r="P764" s="42"/>
      <c r="Q764" s="42"/>
      <c r="R764" s="42"/>
      <c r="S764" s="121"/>
      <c r="T764" s="119"/>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row>
    <row r="765" spans="1:46" ht="15.75" customHeight="1" x14ac:dyDescent="0.2">
      <c r="A765" s="118"/>
      <c r="B765" s="118"/>
      <c r="C765" s="118"/>
      <c r="D765" s="118"/>
      <c r="E765" s="118"/>
      <c r="F765" s="118"/>
      <c r="G765" s="118"/>
      <c r="H765" s="118"/>
      <c r="I765" s="118"/>
      <c r="J765" s="118"/>
      <c r="K765" s="118"/>
      <c r="L765" s="118"/>
      <c r="M765" s="118"/>
      <c r="N765" s="118"/>
      <c r="O765" s="42"/>
      <c r="P765" s="42"/>
      <c r="Q765" s="42"/>
      <c r="R765" s="42"/>
      <c r="S765" s="121"/>
      <c r="T765" s="119"/>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row>
    <row r="766" spans="1:46" ht="15.75" customHeight="1" x14ac:dyDescent="0.2">
      <c r="A766" s="118"/>
      <c r="B766" s="118"/>
      <c r="C766" s="118"/>
      <c r="D766" s="118"/>
      <c r="E766" s="118"/>
      <c r="F766" s="118"/>
      <c r="G766" s="118"/>
      <c r="H766" s="118"/>
      <c r="I766" s="118"/>
      <c r="J766" s="118"/>
      <c r="K766" s="118"/>
      <c r="L766" s="118"/>
      <c r="M766" s="118"/>
      <c r="N766" s="118"/>
      <c r="O766" s="42"/>
      <c r="P766" s="42"/>
      <c r="Q766" s="42"/>
      <c r="R766" s="42"/>
      <c r="S766" s="121"/>
      <c r="T766" s="119"/>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row>
    <row r="767" spans="1:46" ht="15.75" customHeight="1" x14ac:dyDescent="0.2">
      <c r="A767" s="118"/>
      <c r="B767" s="118"/>
      <c r="C767" s="118"/>
      <c r="D767" s="118"/>
      <c r="E767" s="118"/>
      <c r="F767" s="118"/>
      <c r="G767" s="118"/>
      <c r="H767" s="118"/>
      <c r="I767" s="118"/>
      <c r="J767" s="118"/>
      <c r="K767" s="118"/>
      <c r="L767" s="118"/>
      <c r="M767" s="118"/>
      <c r="N767" s="118"/>
      <c r="O767" s="42"/>
      <c r="P767" s="42"/>
      <c r="Q767" s="42"/>
      <c r="R767" s="42"/>
      <c r="S767" s="121"/>
      <c r="T767" s="119"/>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row>
    <row r="768" spans="1:46" ht="15.75" customHeight="1" x14ac:dyDescent="0.2">
      <c r="A768" s="118"/>
      <c r="B768" s="118"/>
      <c r="C768" s="118"/>
      <c r="D768" s="118"/>
      <c r="E768" s="118"/>
      <c r="F768" s="118"/>
      <c r="G768" s="118"/>
      <c r="H768" s="118"/>
      <c r="I768" s="118"/>
      <c r="J768" s="118"/>
      <c r="K768" s="118"/>
      <c r="L768" s="118"/>
      <c r="M768" s="118"/>
      <c r="N768" s="118"/>
      <c r="O768" s="42"/>
      <c r="P768" s="42"/>
      <c r="Q768" s="42"/>
      <c r="R768" s="42"/>
      <c r="S768" s="121"/>
      <c r="T768" s="119"/>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row>
    <row r="769" spans="1:46" ht="15.75" customHeight="1" x14ac:dyDescent="0.2">
      <c r="A769" s="118"/>
      <c r="B769" s="118"/>
      <c r="C769" s="118"/>
      <c r="D769" s="118"/>
      <c r="E769" s="118"/>
      <c r="F769" s="118"/>
      <c r="G769" s="118"/>
      <c r="H769" s="118"/>
      <c r="I769" s="118"/>
      <c r="J769" s="118"/>
      <c r="K769" s="118"/>
      <c r="L769" s="118"/>
      <c r="M769" s="118"/>
      <c r="N769" s="118"/>
      <c r="O769" s="42"/>
      <c r="P769" s="42"/>
      <c r="Q769" s="42"/>
      <c r="R769" s="42"/>
      <c r="S769" s="121"/>
      <c r="T769" s="119"/>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row>
    <row r="770" spans="1:46" ht="15.75" customHeight="1" x14ac:dyDescent="0.2">
      <c r="A770" s="118"/>
      <c r="B770" s="118"/>
      <c r="C770" s="118"/>
      <c r="D770" s="118"/>
      <c r="E770" s="118"/>
      <c r="F770" s="118"/>
      <c r="G770" s="118"/>
      <c r="H770" s="118"/>
      <c r="I770" s="118"/>
      <c r="J770" s="118"/>
      <c r="K770" s="118"/>
      <c r="L770" s="118"/>
      <c r="M770" s="118"/>
      <c r="N770" s="118"/>
      <c r="O770" s="42"/>
      <c r="P770" s="42"/>
      <c r="Q770" s="42"/>
      <c r="R770" s="42"/>
      <c r="S770" s="121"/>
      <c r="T770" s="119"/>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row>
    <row r="771" spans="1:46" ht="15.75" customHeight="1" x14ac:dyDescent="0.2">
      <c r="A771" s="118"/>
      <c r="B771" s="118"/>
      <c r="C771" s="118"/>
      <c r="D771" s="118"/>
      <c r="E771" s="118"/>
      <c r="F771" s="118"/>
      <c r="G771" s="118"/>
      <c r="H771" s="118"/>
      <c r="I771" s="118"/>
      <c r="J771" s="118"/>
      <c r="K771" s="118"/>
      <c r="L771" s="118"/>
      <c r="M771" s="118"/>
      <c r="N771" s="118"/>
      <c r="O771" s="42"/>
      <c r="P771" s="42"/>
      <c r="Q771" s="42"/>
      <c r="R771" s="42"/>
      <c r="S771" s="121"/>
      <c r="T771" s="119"/>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row>
    <row r="772" spans="1:46" ht="15.75" customHeight="1" x14ac:dyDescent="0.2">
      <c r="A772" s="118"/>
      <c r="B772" s="118"/>
      <c r="C772" s="118"/>
      <c r="D772" s="118"/>
      <c r="E772" s="118"/>
      <c r="F772" s="118"/>
      <c r="G772" s="118"/>
      <c r="H772" s="118"/>
      <c r="I772" s="118"/>
      <c r="J772" s="118"/>
      <c r="K772" s="118"/>
      <c r="L772" s="118"/>
      <c r="M772" s="118"/>
      <c r="N772" s="118"/>
      <c r="O772" s="42"/>
      <c r="P772" s="42"/>
      <c r="Q772" s="42"/>
      <c r="R772" s="42"/>
      <c r="S772" s="121"/>
      <c r="T772" s="119"/>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row>
    <row r="773" spans="1:46" ht="15.75" customHeight="1" x14ac:dyDescent="0.2">
      <c r="A773" s="118"/>
      <c r="B773" s="118"/>
      <c r="C773" s="118"/>
      <c r="D773" s="118"/>
      <c r="E773" s="118"/>
      <c r="F773" s="118"/>
      <c r="G773" s="118"/>
      <c r="H773" s="118"/>
      <c r="I773" s="118"/>
      <c r="J773" s="118"/>
      <c r="K773" s="118"/>
      <c r="L773" s="118"/>
      <c r="M773" s="118"/>
      <c r="N773" s="118"/>
      <c r="O773" s="42"/>
      <c r="P773" s="42"/>
      <c r="Q773" s="42"/>
      <c r="R773" s="42"/>
      <c r="S773" s="121"/>
      <c r="T773" s="119"/>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row>
    <row r="774" spans="1:46" ht="15.75" customHeight="1" x14ac:dyDescent="0.2">
      <c r="A774" s="118"/>
      <c r="B774" s="118"/>
      <c r="C774" s="118"/>
      <c r="D774" s="118"/>
      <c r="E774" s="118"/>
      <c r="F774" s="118"/>
      <c r="G774" s="118"/>
      <c r="H774" s="118"/>
      <c r="I774" s="118"/>
      <c r="J774" s="118"/>
      <c r="K774" s="118"/>
      <c r="L774" s="118"/>
      <c r="M774" s="118"/>
      <c r="N774" s="118"/>
      <c r="O774" s="42"/>
      <c r="P774" s="42"/>
      <c r="Q774" s="42"/>
      <c r="R774" s="42"/>
      <c r="S774" s="121"/>
      <c r="T774" s="119"/>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row>
    <row r="775" spans="1:46" ht="15.75" customHeight="1" x14ac:dyDescent="0.2">
      <c r="A775" s="118"/>
      <c r="B775" s="118"/>
      <c r="C775" s="118"/>
      <c r="D775" s="118"/>
      <c r="E775" s="118"/>
      <c r="F775" s="118"/>
      <c r="G775" s="118"/>
      <c r="H775" s="118"/>
      <c r="I775" s="118"/>
      <c r="J775" s="118"/>
      <c r="K775" s="118"/>
      <c r="L775" s="118"/>
      <c r="M775" s="118"/>
      <c r="N775" s="118"/>
      <c r="O775" s="42"/>
      <c r="P775" s="42"/>
      <c r="Q775" s="42"/>
      <c r="R775" s="42"/>
      <c r="S775" s="121"/>
      <c r="T775" s="119"/>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row>
    <row r="776" spans="1:46" ht="15.75" customHeight="1" x14ac:dyDescent="0.2">
      <c r="A776" s="118"/>
      <c r="B776" s="118"/>
      <c r="C776" s="118"/>
      <c r="D776" s="118"/>
      <c r="E776" s="118"/>
      <c r="F776" s="118"/>
      <c r="G776" s="118"/>
      <c r="H776" s="118"/>
      <c r="I776" s="118"/>
      <c r="J776" s="118"/>
      <c r="K776" s="118"/>
      <c r="L776" s="118"/>
      <c r="M776" s="118"/>
      <c r="N776" s="118"/>
      <c r="O776" s="42"/>
      <c r="P776" s="42"/>
      <c r="Q776" s="42"/>
      <c r="R776" s="42"/>
      <c r="S776" s="121"/>
      <c r="T776" s="119"/>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row>
    <row r="777" spans="1:46" ht="15.75" customHeight="1" x14ac:dyDescent="0.2">
      <c r="A777" s="118"/>
      <c r="B777" s="118"/>
      <c r="C777" s="118"/>
      <c r="D777" s="118"/>
      <c r="E777" s="118"/>
      <c r="F777" s="118"/>
      <c r="G777" s="118"/>
      <c r="H777" s="118"/>
      <c r="I777" s="118"/>
      <c r="J777" s="118"/>
      <c r="K777" s="118"/>
      <c r="L777" s="118"/>
      <c r="M777" s="118"/>
      <c r="N777" s="118"/>
      <c r="O777" s="42"/>
      <c r="P777" s="42"/>
      <c r="Q777" s="42"/>
      <c r="R777" s="42"/>
      <c r="S777" s="121"/>
      <c r="T777" s="119"/>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row>
    <row r="778" spans="1:46" ht="15.75" customHeight="1" x14ac:dyDescent="0.2">
      <c r="A778" s="118"/>
      <c r="B778" s="118"/>
      <c r="C778" s="118"/>
      <c r="D778" s="118"/>
      <c r="E778" s="118"/>
      <c r="F778" s="118"/>
      <c r="G778" s="118"/>
      <c r="H778" s="118"/>
      <c r="I778" s="118"/>
      <c r="J778" s="118"/>
      <c r="K778" s="118"/>
      <c r="L778" s="118"/>
      <c r="M778" s="118"/>
      <c r="N778" s="118"/>
      <c r="O778" s="42"/>
      <c r="P778" s="42"/>
      <c r="Q778" s="42"/>
      <c r="R778" s="42"/>
      <c r="S778" s="121"/>
      <c r="T778" s="119"/>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row>
    <row r="779" spans="1:46" ht="15.75" customHeight="1" x14ac:dyDescent="0.2">
      <c r="A779" s="118"/>
      <c r="B779" s="118"/>
      <c r="C779" s="118"/>
      <c r="D779" s="118"/>
      <c r="E779" s="118"/>
      <c r="F779" s="118"/>
      <c r="G779" s="118"/>
      <c r="H779" s="118"/>
      <c r="I779" s="118"/>
      <c r="J779" s="118"/>
      <c r="K779" s="118"/>
      <c r="L779" s="118"/>
      <c r="M779" s="118"/>
      <c r="N779" s="118"/>
      <c r="O779" s="42"/>
      <c r="P779" s="42"/>
      <c r="Q779" s="42"/>
      <c r="R779" s="42"/>
      <c r="S779" s="121"/>
      <c r="T779" s="119"/>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row>
    <row r="780" spans="1:46" ht="15.75" customHeight="1" x14ac:dyDescent="0.2">
      <c r="A780" s="118"/>
      <c r="B780" s="118"/>
      <c r="C780" s="118"/>
      <c r="D780" s="118"/>
      <c r="E780" s="118"/>
      <c r="F780" s="118"/>
      <c r="G780" s="118"/>
      <c r="H780" s="118"/>
      <c r="I780" s="118"/>
      <c r="J780" s="118"/>
      <c r="K780" s="118"/>
      <c r="L780" s="118"/>
      <c r="M780" s="118"/>
      <c r="N780" s="118"/>
      <c r="O780" s="42"/>
      <c r="P780" s="42"/>
      <c r="Q780" s="42"/>
      <c r="R780" s="42"/>
      <c r="S780" s="121"/>
      <c r="T780" s="119"/>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row>
    <row r="781" spans="1:46" ht="15.75" customHeight="1" x14ac:dyDescent="0.2">
      <c r="A781" s="118"/>
      <c r="B781" s="118"/>
      <c r="C781" s="118"/>
      <c r="D781" s="118"/>
      <c r="E781" s="118"/>
      <c r="F781" s="118"/>
      <c r="G781" s="118"/>
      <c r="H781" s="118"/>
      <c r="I781" s="118"/>
      <c r="J781" s="118"/>
      <c r="K781" s="118"/>
      <c r="L781" s="118"/>
      <c r="M781" s="118"/>
      <c r="N781" s="118"/>
      <c r="O781" s="42"/>
      <c r="P781" s="42"/>
      <c r="Q781" s="42"/>
      <c r="R781" s="42"/>
      <c r="S781" s="121"/>
      <c r="T781" s="119"/>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row>
    <row r="782" spans="1:46" ht="15.75" customHeight="1" x14ac:dyDescent="0.2">
      <c r="A782" s="118"/>
      <c r="B782" s="118"/>
      <c r="C782" s="118"/>
      <c r="D782" s="118"/>
      <c r="E782" s="118"/>
      <c r="F782" s="118"/>
      <c r="G782" s="118"/>
      <c r="H782" s="118"/>
      <c r="I782" s="118"/>
      <c r="J782" s="118"/>
      <c r="K782" s="118"/>
      <c r="L782" s="118"/>
      <c r="M782" s="118"/>
      <c r="N782" s="118"/>
      <c r="O782" s="42"/>
      <c r="P782" s="42"/>
      <c r="Q782" s="42"/>
      <c r="R782" s="42"/>
      <c r="S782" s="121"/>
      <c r="T782" s="119"/>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row>
    <row r="783" spans="1:46" ht="15.75" customHeight="1" x14ac:dyDescent="0.2">
      <c r="A783" s="118"/>
      <c r="B783" s="118"/>
      <c r="C783" s="118"/>
      <c r="D783" s="118"/>
      <c r="E783" s="118"/>
      <c r="F783" s="118"/>
      <c r="G783" s="118"/>
      <c r="H783" s="118"/>
      <c r="I783" s="118"/>
      <c r="J783" s="118"/>
      <c r="K783" s="118"/>
      <c r="L783" s="118"/>
      <c r="M783" s="118"/>
      <c r="N783" s="118"/>
      <c r="O783" s="42"/>
      <c r="P783" s="42"/>
      <c r="Q783" s="42"/>
      <c r="R783" s="42"/>
      <c r="S783" s="121"/>
      <c r="T783" s="119"/>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row>
    <row r="784" spans="1:46" ht="15.75" customHeight="1" x14ac:dyDescent="0.2">
      <c r="A784" s="118"/>
      <c r="B784" s="118"/>
      <c r="C784" s="118"/>
      <c r="D784" s="118"/>
      <c r="E784" s="118"/>
      <c r="F784" s="118"/>
      <c r="G784" s="118"/>
      <c r="H784" s="118"/>
      <c r="I784" s="118"/>
      <c r="J784" s="118"/>
      <c r="K784" s="118"/>
      <c r="L784" s="118"/>
      <c r="M784" s="118"/>
      <c r="N784" s="118"/>
      <c r="O784" s="42"/>
      <c r="P784" s="42"/>
      <c r="Q784" s="42"/>
      <c r="R784" s="42"/>
      <c r="S784" s="121"/>
      <c r="T784" s="119"/>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row>
    <row r="785" spans="1:46" ht="15.75" customHeight="1" x14ac:dyDescent="0.2">
      <c r="A785" s="118"/>
      <c r="B785" s="118"/>
      <c r="C785" s="118"/>
      <c r="D785" s="118"/>
      <c r="E785" s="118"/>
      <c r="F785" s="118"/>
      <c r="G785" s="118"/>
      <c r="H785" s="118"/>
      <c r="I785" s="118"/>
      <c r="J785" s="118"/>
      <c r="K785" s="118"/>
      <c r="L785" s="118"/>
      <c r="M785" s="118"/>
      <c r="N785" s="118"/>
      <c r="O785" s="42"/>
      <c r="P785" s="42"/>
      <c r="Q785" s="42"/>
      <c r="R785" s="42"/>
      <c r="S785" s="121"/>
      <c r="T785" s="119"/>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row>
    <row r="786" spans="1:46" ht="15.75" customHeight="1" x14ac:dyDescent="0.2">
      <c r="A786" s="118"/>
      <c r="B786" s="118"/>
      <c r="C786" s="118"/>
      <c r="D786" s="118"/>
      <c r="E786" s="118"/>
      <c r="F786" s="118"/>
      <c r="G786" s="118"/>
      <c r="H786" s="118"/>
      <c r="I786" s="118"/>
      <c r="J786" s="118"/>
      <c r="K786" s="118"/>
      <c r="L786" s="118"/>
      <c r="M786" s="118"/>
      <c r="N786" s="118"/>
      <c r="O786" s="42"/>
      <c r="P786" s="42"/>
      <c r="Q786" s="42"/>
      <c r="R786" s="42"/>
      <c r="S786" s="121"/>
      <c r="T786" s="119"/>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row>
    <row r="787" spans="1:46" ht="15.75" customHeight="1" x14ac:dyDescent="0.2">
      <c r="A787" s="118"/>
      <c r="B787" s="118"/>
      <c r="C787" s="118"/>
      <c r="D787" s="118"/>
      <c r="E787" s="118"/>
      <c r="F787" s="118"/>
      <c r="G787" s="118"/>
      <c r="H787" s="118"/>
      <c r="I787" s="118"/>
      <c r="J787" s="118"/>
      <c r="K787" s="118"/>
      <c r="L787" s="118"/>
      <c r="M787" s="118"/>
      <c r="N787" s="118"/>
      <c r="O787" s="42"/>
      <c r="P787" s="42"/>
      <c r="Q787" s="42"/>
      <c r="R787" s="42"/>
      <c r="S787" s="121"/>
      <c r="T787" s="119"/>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row>
    <row r="788" spans="1:46" ht="15.75" customHeight="1" x14ac:dyDescent="0.2">
      <c r="A788" s="118"/>
      <c r="B788" s="118"/>
      <c r="C788" s="118"/>
      <c r="D788" s="118"/>
      <c r="E788" s="118"/>
      <c r="F788" s="118"/>
      <c r="G788" s="118"/>
      <c r="H788" s="118"/>
      <c r="I788" s="118"/>
      <c r="J788" s="118"/>
      <c r="K788" s="118"/>
      <c r="L788" s="118"/>
      <c r="M788" s="118"/>
      <c r="N788" s="118"/>
      <c r="O788" s="42"/>
      <c r="P788" s="42"/>
      <c r="Q788" s="42"/>
      <c r="R788" s="42"/>
      <c r="S788" s="121"/>
      <c r="T788" s="119"/>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row>
    <row r="789" spans="1:46" ht="15.75" customHeight="1" x14ac:dyDescent="0.2">
      <c r="A789" s="118"/>
      <c r="B789" s="118"/>
      <c r="C789" s="118"/>
      <c r="D789" s="118"/>
      <c r="E789" s="118"/>
      <c r="F789" s="118"/>
      <c r="G789" s="118"/>
      <c r="H789" s="118"/>
      <c r="I789" s="118"/>
      <c r="J789" s="118"/>
      <c r="K789" s="118"/>
      <c r="L789" s="118"/>
      <c r="M789" s="118"/>
      <c r="N789" s="118"/>
      <c r="O789" s="42"/>
      <c r="P789" s="42"/>
      <c r="Q789" s="42"/>
      <c r="R789" s="42"/>
      <c r="S789" s="121"/>
      <c r="T789" s="119"/>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row>
    <row r="790" spans="1:46" ht="15.75" customHeight="1" x14ac:dyDescent="0.2">
      <c r="A790" s="118"/>
      <c r="B790" s="118"/>
      <c r="C790" s="118"/>
      <c r="D790" s="118"/>
      <c r="E790" s="118"/>
      <c r="F790" s="118"/>
      <c r="G790" s="118"/>
      <c r="H790" s="118"/>
      <c r="I790" s="118"/>
      <c r="J790" s="118"/>
      <c r="K790" s="118"/>
      <c r="L790" s="118"/>
      <c r="M790" s="118"/>
      <c r="N790" s="118"/>
      <c r="O790" s="42"/>
      <c r="P790" s="42"/>
      <c r="Q790" s="42"/>
      <c r="R790" s="42"/>
      <c r="S790" s="121"/>
      <c r="T790" s="119"/>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row>
    <row r="791" spans="1:46" ht="15.75" customHeight="1" x14ac:dyDescent="0.2">
      <c r="A791" s="118"/>
      <c r="B791" s="118"/>
      <c r="C791" s="118"/>
      <c r="D791" s="118"/>
      <c r="E791" s="118"/>
      <c r="F791" s="118"/>
      <c r="G791" s="118"/>
      <c r="H791" s="118"/>
      <c r="I791" s="118"/>
      <c r="J791" s="118"/>
      <c r="K791" s="118"/>
      <c r="L791" s="118"/>
      <c r="M791" s="118"/>
      <c r="N791" s="118"/>
      <c r="O791" s="42"/>
      <c r="P791" s="42"/>
      <c r="Q791" s="42"/>
      <c r="R791" s="42"/>
      <c r="S791" s="121"/>
      <c r="T791" s="119"/>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row>
    <row r="792" spans="1:46" ht="15.75" customHeight="1" x14ac:dyDescent="0.2">
      <c r="A792" s="118"/>
      <c r="B792" s="118"/>
      <c r="C792" s="118"/>
      <c r="D792" s="118"/>
      <c r="E792" s="118"/>
      <c r="F792" s="118"/>
      <c r="G792" s="118"/>
      <c r="H792" s="118"/>
      <c r="I792" s="118"/>
      <c r="J792" s="118"/>
      <c r="K792" s="118"/>
      <c r="L792" s="118"/>
      <c r="M792" s="118"/>
      <c r="N792" s="118"/>
      <c r="O792" s="42"/>
      <c r="P792" s="42"/>
      <c r="Q792" s="42"/>
      <c r="R792" s="42"/>
      <c r="S792" s="121"/>
      <c r="T792" s="119"/>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row>
    <row r="793" spans="1:46" ht="15.75" customHeight="1" x14ac:dyDescent="0.2">
      <c r="A793" s="118"/>
      <c r="B793" s="118"/>
      <c r="C793" s="118"/>
      <c r="D793" s="118"/>
      <c r="E793" s="118"/>
      <c r="F793" s="118"/>
      <c r="G793" s="118"/>
      <c r="H793" s="118"/>
      <c r="I793" s="118"/>
      <c r="J793" s="118"/>
      <c r="K793" s="118"/>
      <c r="L793" s="118"/>
      <c r="M793" s="118"/>
      <c r="N793" s="118"/>
      <c r="O793" s="42"/>
      <c r="P793" s="42"/>
      <c r="Q793" s="42"/>
      <c r="R793" s="42"/>
      <c r="S793" s="121"/>
      <c r="T793" s="119"/>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row>
    <row r="794" spans="1:46" ht="15.75" customHeight="1" x14ac:dyDescent="0.2">
      <c r="A794" s="118"/>
      <c r="B794" s="118"/>
      <c r="C794" s="118"/>
      <c r="D794" s="118"/>
      <c r="E794" s="118"/>
      <c r="F794" s="118"/>
      <c r="G794" s="118"/>
      <c r="H794" s="118"/>
      <c r="I794" s="118"/>
      <c r="J794" s="118"/>
      <c r="K794" s="118"/>
      <c r="L794" s="118"/>
      <c r="M794" s="118"/>
      <c r="N794" s="118"/>
      <c r="O794" s="42"/>
      <c r="P794" s="42"/>
      <c r="Q794" s="42"/>
      <c r="R794" s="42"/>
      <c r="S794" s="121"/>
      <c r="T794" s="119"/>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row>
    <row r="795" spans="1:46" ht="15.75" customHeight="1" x14ac:dyDescent="0.2">
      <c r="A795" s="118"/>
      <c r="B795" s="118"/>
      <c r="C795" s="118"/>
      <c r="D795" s="118"/>
      <c r="E795" s="118"/>
      <c r="F795" s="118"/>
      <c r="G795" s="118"/>
      <c r="H795" s="118"/>
      <c r="I795" s="118"/>
      <c r="J795" s="118"/>
      <c r="K795" s="118"/>
      <c r="L795" s="118"/>
      <c r="M795" s="118"/>
      <c r="N795" s="118"/>
      <c r="O795" s="42"/>
      <c r="P795" s="42"/>
      <c r="Q795" s="42"/>
      <c r="R795" s="42"/>
      <c r="S795" s="121"/>
      <c r="T795" s="119"/>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row>
    <row r="796" spans="1:46" ht="15.75" customHeight="1" x14ac:dyDescent="0.2">
      <c r="A796" s="118"/>
      <c r="B796" s="118"/>
      <c r="C796" s="118"/>
      <c r="D796" s="118"/>
      <c r="E796" s="118"/>
      <c r="F796" s="118"/>
      <c r="G796" s="118"/>
      <c r="H796" s="118"/>
      <c r="I796" s="118"/>
      <c r="J796" s="118"/>
      <c r="K796" s="118"/>
      <c r="L796" s="118"/>
      <c r="M796" s="118"/>
      <c r="N796" s="118"/>
      <c r="O796" s="42"/>
      <c r="P796" s="42"/>
      <c r="Q796" s="42"/>
      <c r="R796" s="42"/>
      <c r="S796" s="121"/>
      <c r="T796" s="119"/>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row>
    <row r="797" spans="1:46" ht="15.75" customHeight="1" x14ac:dyDescent="0.2">
      <c r="A797" s="118"/>
      <c r="B797" s="118"/>
      <c r="C797" s="118"/>
      <c r="D797" s="118"/>
      <c r="E797" s="118"/>
      <c r="F797" s="118"/>
      <c r="G797" s="118"/>
      <c r="H797" s="118"/>
      <c r="I797" s="118"/>
      <c r="J797" s="118"/>
      <c r="K797" s="118"/>
      <c r="L797" s="118"/>
      <c r="M797" s="118"/>
      <c r="N797" s="118"/>
      <c r="O797" s="42"/>
      <c r="P797" s="42"/>
      <c r="Q797" s="42"/>
      <c r="R797" s="42"/>
      <c r="S797" s="121"/>
      <c r="T797" s="119"/>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row>
    <row r="798" spans="1:46" ht="15.75" customHeight="1" x14ac:dyDescent="0.2">
      <c r="A798" s="118"/>
      <c r="B798" s="118"/>
      <c r="C798" s="118"/>
      <c r="D798" s="118"/>
      <c r="E798" s="118"/>
      <c r="F798" s="118"/>
      <c r="G798" s="118"/>
      <c r="H798" s="118"/>
      <c r="I798" s="118"/>
      <c r="J798" s="118"/>
      <c r="K798" s="118"/>
      <c r="L798" s="118"/>
      <c r="M798" s="118"/>
      <c r="N798" s="118"/>
      <c r="O798" s="42"/>
      <c r="P798" s="42"/>
      <c r="Q798" s="42"/>
      <c r="R798" s="42"/>
      <c r="S798" s="121"/>
      <c r="T798" s="119"/>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row>
    <row r="799" spans="1:46" ht="15.75" customHeight="1" x14ac:dyDescent="0.2">
      <c r="A799" s="118"/>
      <c r="B799" s="118"/>
      <c r="C799" s="118"/>
      <c r="D799" s="118"/>
      <c r="E799" s="118"/>
      <c r="F799" s="118"/>
      <c r="G799" s="118"/>
      <c r="H799" s="118"/>
      <c r="I799" s="118"/>
      <c r="J799" s="118"/>
      <c r="K799" s="118"/>
      <c r="L799" s="118"/>
      <c r="M799" s="118"/>
      <c r="N799" s="118"/>
      <c r="O799" s="42"/>
      <c r="P799" s="42"/>
      <c r="Q799" s="42"/>
      <c r="R799" s="42"/>
      <c r="S799" s="121"/>
      <c r="T799" s="119"/>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row>
    <row r="800" spans="1:46" ht="15.75" customHeight="1" x14ac:dyDescent="0.2">
      <c r="A800" s="118"/>
      <c r="B800" s="118"/>
      <c r="C800" s="118"/>
      <c r="D800" s="118"/>
      <c r="E800" s="118"/>
      <c r="F800" s="118"/>
      <c r="G800" s="118"/>
      <c r="H800" s="118"/>
      <c r="I800" s="118"/>
      <c r="J800" s="118"/>
      <c r="K800" s="118"/>
      <c r="L800" s="118"/>
      <c r="M800" s="118"/>
      <c r="N800" s="118"/>
      <c r="O800" s="42"/>
      <c r="P800" s="42"/>
      <c r="Q800" s="42"/>
      <c r="R800" s="42"/>
      <c r="S800" s="121"/>
      <c r="T800" s="119"/>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row>
    <row r="801" spans="1:46" ht="15.75" customHeight="1" x14ac:dyDescent="0.2">
      <c r="A801" s="118"/>
      <c r="B801" s="118"/>
      <c r="C801" s="118"/>
      <c r="D801" s="118"/>
      <c r="E801" s="118"/>
      <c r="F801" s="118"/>
      <c r="G801" s="118"/>
      <c r="H801" s="118"/>
      <c r="I801" s="118"/>
      <c r="J801" s="118"/>
      <c r="K801" s="118"/>
      <c r="L801" s="118"/>
      <c r="M801" s="118"/>
      <c r="N801" s="118"/>
      <c r="O801" s="42"/>
      <c r="P801" s="42"/>
      <c r="Q801" s="42"/>
      <c r="R801" s="42"/>
      <c r="S801" s="121"/>
      <c r="T801" s="119"/>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row>
    <row r="802" spans="1:46" ht="15.75" customHeight="1" x14ac:dyDescent="0.2">
      <c r="A802" s="118"/>
      <c r="B802" s="118"/>
      <c r="C802" s="118"/>
      <c r="D802" s="118"/>
      <c r="E802" s="118"/>
      <c r="F802" s="118"/>
      <c r="G802" s="118"/>
      <c r="H802" s="118"/>
      <c r="I802" s="118"/>
      <c r="J802" s="118"/>
      <c r="K802" s="118"/>
      <c r="L802" s="118"/>
      <c r="M802" s="118"/>
      <c r="N802" s="118"/>
      <c r="O802" s="42"/>
      <c r="P802" s="42"/>
      <c r="Q802" s="42"/>
      <c r="R802" s="42"/>
      <c r="S802" s="121"/>
      <c r="T802" s="119"/>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row>
    <row r="803" spans="1:46" ht="15.75" customHeight="1" x14ac:dyDescent="0.2">
      <c r="A803" s="118"/>
      <c r="B803" s="118"/>
      <c r="C803" s="118"/>
      <c r="D803" s="118"/>
      <c r="E803" s="118"/>
      <c r="F803" s="118"/>
      <c r="G803" s="118"/>
      <c r="H803" s="118"/>
      <c r="I803" s="118"/>
      <c r="J803" s="118"/>
      <c r="K803" s="118"/>
      <c r="L803" s="118"/>
      <c r="M803" s="118"/>
      <c r="N803" s="118"/>
      <c r="O803" s="42"/>
      <c r="P803" s="42"/>
      <c r="Q803" s="42"/>
      <c r="R803" s="42"/>
      <c r="S803" s="121"/>
      <c r="T803" s="119"/>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row>
    <row r="804" spans="1:46" ht="15.75" customHeight="1" x14ac:dyDescent="0.2">
      <c r="A804" s="118"/>
      <c r="B804" s="118"/>
      <c r="C804" s="118"/>
      <c r="D804" s="118"/>
      <c r="E804" s="118"/>
      <c r="F804" s="118"/>
      <c r="G804" s="118"/>
      <c r="H804" s="118"/>
      <c r="I804" s="118"/>
      <c r="J804" s="118"/>
      <c r="K804" s="118"/>
      <c r="L804" s="118"/>
      <c r="M804" s="118"/>
      <c r="N804" s="118"/>
      <c r="O804" s="42"/>
      <c r="P804" s="42"/>
      <c r="Q804" s="42"/>
      <c r="R804" s="42"/>
      <c r="S804" s="121"/>
      <c r="T804" s="119"/>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row>
    <row r="805" spans="1:46" ht="15.75" customHeight="1" x14ac:dyDescent="0.2">
      <c r="A805" s="118"/>
      <c r="B805" s="118"/>
      <c r="C805" s="118"/>
      <c r="D805" s="118"/>
      <c r="E805" s="118"/>
      <c r="F805" s="118"/>
      <c r="G805" s="118"/>
      <c r="H805" s="118"/>
      <c r="I805" s="118"/>
      <c r="J805" s="118"/>
      <c r="K805" s="118"/>
      <c r="L805" s="118"/>
      <c r="M805" s="118"/>
      <c r="N805" s="118"/>
      <c r="O805" s="42"/>
      <c r="P805" s="42"/>
      <c r="Q805" s="42"/>
      <c r="R805" s="42"/>
      <c r="S805" s="121"/>
      <c r="T805" s="119"/>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row>
    <row r="806" spans="1:46" ht="15.75" customHeight="1" x14ac:dyDescent="0.2">
      <c r="A806" s="118"/>
      <c r="B806" s="118"/>
      <c r="C806" s="118"/>
      <c r="D806" s="118"/>
      <c r="E806" s="118"/>
      <c r="F806" s="118"/>
      <c r="G806" s="118"/>
      <c r="H806" s="118"/>
      <c r="I806" s="118"/>
      <c r="J806" s="118"/>
      <c r="K806" s="118"/>
      <c r="L806" s="118"/>
      <c r="M806" s="118"/>
      <c r="N806" s="118"/>
      <c r="O806" s="42"/>
      <c r="P806" s="42"/>
      <c r="Q806" s="42"/>
      <c r="R806" s="42"/>
      <c r="S806" s="121"/>
      <c r="T806" s="119"/>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row>
    <row r="807" spans="1:46" ht="15.75" customHeight="1" x14ac:dyDescent="0.2">
      <c r="A807" s="118"/>
      <c r="B807" s="118"/>
      <c r="C807" s="118"/>
      <c r="D807" s="118"/>
      <c r="E807" s="118"/>
      <c r="F807" s="118"/>
      <c r="G807" s="118"/>
      <c r="H807" s="118"/>
      <c r="I807" s="118"/>
      <c r="J807" s="118"/>
      <c r="K807" s="118"/>
      <c r="L807" s="118"/>
      <c r="M807" s="118"/>
      <c r="N807" s="118"/>
      <c r="O807" s="42"/>
      <c r="P807" s="42"/>
      <c r="Q807" s="42"/>
      <c r="R807" s="42"/>
      <c r="S807" s="121"/>
      <c r="T807" s="119"/>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row>
    <row r="808" spans="1:46" ht="15.75" customHeight="1" x14ac:dyDescent="0.2">
      <c r="A808" s="118"/>
      <c r="B808" s="118"/>
      <c r="C808" s="118"/>
      <c r="D808" s="118"/>
      <c r="E808" s="118"/>
      <c r="F808" s="118"/>
      <c r="G808" s="118"/>
      <c r="H808" s="118"/>
      <c r="I808" s="118"/>
      <c r="J808" s="118"/>
      <c r="K808" s="118"/>
      <c r="L808" s="118"/>
      <c r="M808" s="118"/>
      <c r="N808" s="118"/>
      <c r="O808" s="42"/>
      <c r="P808" s="42"/>
      <c r="Q808" s="42"/>
      <c r="R808" s="42"/>
      <c r="S808" s="121"/>
      <c r="T808" s="119"/>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row>
    <row r="809" spans="1:46" ht="15.75" customHeight="1" x14ac:dyDescent="0.2">
      <c r="A809" s="118"/>
      <c r="B809" s="118"/>
      <c r="C809" s="118"/>
      <c r="D809" s="118"/>
      <c r="E809" s="118"/>
      <c r="F809" s="118"/>
      <c r="G809" s="118"/>
      <c r="H809" s="118"/>
      <c r="I809" s="118"/>
      <c r="J809" s="118"/>
      <c r="K809" s="118"/>
      <c r="L809" s="118"/>
      <c r="M809" s="118"/>
      <c r="N809" s="118"/>
      <c r="O809" s="42"/>
      <c r="P809" s="42"/>
      <c r="Q809" s="42"/>
      <c r="R809" s="42"/>
      <c r="S809" s="121"/>
      <c r="T809" s="119"/>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row>
    <row r="810" spans="1:46" ht="15.75" customHeight="1" x14ac:dyDescent="0.2">
      <c r="A810" s="118"/>
      <c r="B810" s="118"/>
      <c r="C810" s="118"/>
      <c r="D810" s="118"/>
      <c r="E810" s="118"/>
      <c r="F810" s="118"/>
      <c r="G810" s="118"/>
      <c r="H810" s="118"/>
      <c r="I810" s="118"/>
      <c r="J810" s="118"/>
      <c r="K810" s="118"/>
      <c r="L810" s="118"/>
      <c r="M810" s="118"/>
      <c r="N810" s="118"/>
      <c r="O810" s="42"/>
      <c r="P810" s="42"/>
      <c r="Q810" s="42"/>
      <c r="R810" s="42"/>
      <c r="S810" s="121"/>
      <c r="T810" s="119"/>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row>
    <row r="811" spans="1:46" ht="15.75" customHeight="1" x14ac:dyDescent="0.2">
      <c r="A811" s="118"/>
      <c r="B811" s="118"/>
      <c r="C811" s="118"/>
      <c r="D811" s="118"/>
      <c r="E811" s="118"/>
      <c r="F811" s="118"/>
      <c r="G811" s="118"/>
      <c r="H811" s="118"/>
      <c r="I811" s="118"/>
      <c r="J811" s="118"/>
      <c r="K811" s="118"/>
      <c r="L811" s="118"/>
      <c r="M811" s="118"/>
      <c r="N811" s="118"/>
      <c r="O811" s="42"/>
      <c r="P811" s="42"/>
      <c r="Q811" s="42"/>
      <c r="R811" s="42"/>
      <c r="S811" s="121"/>
      <c r="T811" s="119"/>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row>
    <row r="812" spans="1:46" ht="15.75" customHeight="1" x14ac:dyDescent="0.2">
      <c r="A812" s="118"/>
      <c r="B812" s="118"/>
      <c r="C812" s="118"/>
      <c r="D812" s="118"/>
      <c r="E812" s="118"/>
      <c r="F812" s="118"/>
      <c r="G812" s="118"/>
      <c r="H812" s="118"/>
      <c r="I812" s="118"/>
      <c r="J812" s="118"/>
      <c r="K812" s="118"/>
      <c r="L812" s="118"/>
      <c r="M812" s="118"/>
      <c r="N812" s="118"/>
      <c r="O812" s="42"/>
      <c r="P812" s="42"/>
      <c r="Q812" s="42"/>
      <c r="R812" s="42"/>
      <c r="S812" s="121"/>
      <c r="T812" s="119"/>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row>
    <row r="813" spans="1:46" ht="15.75" customHeight="1" x14ac:dyDescent="0.2">
      <c r="A813" s="118"/>
      <c r="B813" s="118"/>
      <c r="C813" s="118"/>
      <c r="D813" s="118"/>
      <c r="E813" s="118"/>
      <c r="F813" s="118"/>
      <c r="G813" s="118"/>
      <c r="H813" s="118"/>
      <c r="I813" s="118"/>
      <c r="J813" s="118"/>
      <c r="K813" s="118"/>
      <c r="L813" s="118"/>
      <c r="M813" s="118"/>
      <c r="N813" s="118"/>
      <c r="O813" s="42"/>
      <c r="P813" s="42"/>
      <c r="Q813" s="42"/>
      <c r="R813" s="42"/>
      <c r="S813" s="121"/>
      <c r="T813" s="119"/>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row>
    <row r="814" spans="1:46" ht="15.75" customHeight="1" x14ac:dyDescent="0.2">
      <c r="A814" s="118"/>
      <c r="B814" s="118"/>
      <c r="C814" s="118"/>
      <c r="D814" s="118"/>
      <c r="E814" s="118"/>
      <c r="F814" s="118"/>
      <c r="G814" s="118"/>
      <c r="H814" s="118"/>
      <c r="I814" s="118"/>
      <c r="J814" s="118"/>
      <c r="K814" s="118"/>
      <c r="L814" s="118"/>
      <c r="M814" s="118"/>
      <c r="N814" s="118"/>
      <c r="O814" s="42"/>
      <c r="P814" s="42"/>
      <c r="Q814" s="42"/>
      <c r="R814" s="42"/>
      <c r="S814" s="121"/>
      <c r="T814" s="119"/>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row>
    <row r="815" spans="1:46" ht="15.75" customHeight="1" x14ac:dyDescent="0.2">
      <c r="A815" s="118"/>
      <c r="B815" s="118"/>
      <c r="C815" s="118"/>
      <c r="D815" s="118"/>
      <c r="E815" s="118"/>
      <c r="F815" s="118"/>
      <c r="G815" s="118"/>
      <c r="H815" s="118"/>
      <c r="I815" s="118"/>
      <c r="J815" s="118"/>
      <c r="K815" s="118"/>
      <c r="L815" s="118"/>
      <c r="M815" s="118"/>
      <c r="N815" s="118"/>
      <c r="O815" s="42"/>
      <c r="P815" s="42"/>
      <c r="Q815" s="42"/>
      <c r="R815" s="42"/>
      <c r="S815" s="121"/>
      <c r="T815" s="119"/>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row>
    <row r="816" spans="1:46" ht="15.75" customHeight="1" x14ac:dyDescent="0.2">
      <c r="A816" s="118"/>
      <c r="B816" s="118"/>
      <c r="C816" s="118"/>
      <c r="D816" s="118"/>
      <c r="E816" s="118"/>
      <c r="F816" s="118"/>
      <c r="G816" s="118"/>
      <c r="H816" s="118"/>
      <c r="I816" s="118"/>
      <c r="J816" s="118"/>
      <c r="K816" s="118"/>
      <c r="L816" s="118"/>
      <c r="M816" s="118"/>
      <c r="N816" s="118"/>
      <c r="O816" s="42"/>
      <c r="P816" s="42"/>
      <c r="Q816" s="42"/>
      <c r="R816" s="42"/>
      <c r="S816" s="121"/>
      <c r="T816" s="119"/>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row>
    <row r="817" spans="1:46" ht="15.75" customHeight="1" x14ac:dyDescent="0.2">
      <c r="A817" s="118"/>
      <c r="B817" s="118"/>
      <c r="C817" s="118"/>
      <c r="D817" s="118"/>
      <c r="E817" s="118"/>
      <c r="F817" s="118"/>
      <c r="G817" s="118"/>
      <c r="H817" s="118"/>
      <c r="I817" s="118"/>
      <c r="J817" s="118"/>
      <c r="K817" s="118"/>
      <c r="L817" s="118"/>
      <c r="M817" s="118"/>
      <c r="N817" s="118"/>
      <c r="O817" s="42"/>
      <c r="P817" s="42"/>
      <c r="Q817" s="42"/>
      <c r="R817" s="42"/>
      <c r="S817" s="121"/>
      <c r="T817" s="119"/>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row>
    <row r="818" spans="1:46" ht="15.75" customHeight="1" x14ac:dyDescent="0.2">
      <c r="A818" s="118"/>
      <c r="B818" s="118"/>
      <c r="C818" s="118"/>
      <c r="D818" s="118"/>
      <c r="E818" s="118"/>
      <c r="F818" s="118"/>
      <c r="G818" s="118"/>
      <c r="H818" s="118"/>
      <c r="I818" s="118"/>
      <c r="J818" s="118"/>
      <c r="K818" s="118"/>
      <c r="L818" s="118"/>
      <c r="M818" s="118"/>
      <c r="N818" s="118"/>
      <c r="O818" s="42"/>
      <c r="P818" s="42"/>
      <c r="Q818" s="42"/>
      <c r="R818" s="42"/>
      <c r="S818" s="121"/>
      <c r="T818" s="119"/>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row>
    <row r="819" spans="1:46" ht="15.75" customHeight="1" x14ac:dyDescent="0.2">
      <c r="A819" s="118"/>
      <c r="B819" s="118"/>
      <c r="C819" s="118"/>
      <c r="D819" s="118"/>
      <c r="E819" s="118"/>
      <c r="F819" s="118"/>
      <c r="G819" s="118"/>
      <c r="H819" s="118"/>
      <c r="I819" s="118"/>
      <c r="J819" s="118"/>
      <c r="K819" s="118"/>
      <c r="L819" s="118"/>
      <c r="M819" s="118"/>
      <c r="N819" s="118"/>
      <c r="O819" s="42"/>
      <c r="P819" s="42"/>
      <c r="Q819" s="42"/>
      <c r="R819" s="42"/>
      <c r="S819" s="121"/>
      <c r="T819" s="119"/>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row>
    <row r="820" spans="1:46" ht="15.75" customHeight="1" x14ac:dyDescent="0.2">
      <c r="A820" s="118"/>
      <c r="B820" s="118"/>
      <c r="C820" s="118"/>
      <c r="D820" s="118"/>
      <c r="E820" s="118"/>
      <c r="F820" s="118"/>
      <c r="G820" s="118"/>
      <c r="H820" s="118"/>
      <c r="I820" s="118"/>
      <c r="J820" s="118"/>
      <c r="K820" s="118"/>
      <c r="L820" s="118"/>
      <c r="M820" s="118"/>
      <c r="N820" s="118"/>
      <c r="O820" s="42"/>
      <c r="P820" s="42"/>
      <c r="Q820" s="42"/>
      <c r="R820" s="42"/>
      <c r="S820" s="121"/>
      <c r="T820" s="119"/>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row>
    <row r="821" spans="1:46" ht="15.75" customHeight="1" x14ac:dyDescent="0.2">
      <c r="A821" s="118"/>
      <c r="B821" s="118"/>
      <c r="C821" s="118"/>
      <c r="D821" s="118"/>
      <c r="E821" s="118"/>
      <c r="F821" s="118"/>
      <c r="G821" s="118"/>
      <c r="H821" s="118"/>
      <c r="I821" s="118"/>
      <c r="J821" s="118"/>
      <c r="K821" s="118"/>
      <c r="L821" s="118"/>
      <c r="M821" s="118"/>
      <c r="N821" s="118"/>
      <c r="O821" s="42"/>
      <c r="P821" s="42"/>
      <c r="Q821" s="42"/>
      <c r="R821" s="42"/>
      <c r="S821" s="121"/>
      <c r="T821" s="119"/>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row>
    <row r="822" spans="1:46" ht="15.75" customHeight="1" x14ac:dyDescent="0.2">
      <c r="A822" s="118"/>
      <c r="B822" s="118"/>
      <c r="C822" s="118"/>
      <c r="D822" s="118"/>
      <c r="E822" s="118"/>
      <c r="F822" s="118"/>
      <c r="G822" s="118"/>
      <c r="H822" s="118"/>
      <c r="I822" s="118"/>
      <c r="J822" s="118"/>
      <c r="K822" s="118"/>
      <c r="L822" s="118"/>
      <c r="M822" s="118"/>
      <c r="N822" s="118"/>
      <c r="O822" s="42"/>
      <c r="P822" s="42"/>
      <c r="Q822" s="42"/>
      <c r="R822" s="42"/>
      <c r="S822" s="121"/>
      <c r="T822" s="119"/>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row>
    <row r="823" spans="1:46" ht="15.75" customHeight="1" x14ac:dyDescent="0.2">
      <c r="A823" s="118"/>
      <c r="B823" s="118"/>
      <c r="C823" s="118"/>
      <c r="D823" s="118"/>
      <c r="E823" s="118"/>
      <c r="F823" s="118"/>
      <c r="G823" s="118"/>
      <c r="H823" s="118"/>
      <c r="I823" s="118"/>
      <c r="J823" s="118"/>
      <c r="K823" s="118"/>
      <c r="L823" s="118"/>
      <c r="M823" s="118"/>
      <c r="N823" s="118"/>
      <c r="O823" s="42"/>
      <c r="P823" s="42"/>
      <c r="Q823" s="42"/>
      <c r="R823" s="42"/>
      <c r="S823" s="121"/>
      <c r="T823" s="119"/>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row>
    <row r="824" spans="1:46" ht="15.75" customHeight="1" x14ac:dyDescent="0.2">
      <c r="A824" s="118"/>
      <c r="B824" s="118"/>
      <c r="C824" s="118"/>
      <c r="D824" s="118"/>
      <c r="E824" s="118"/>
      <c r="F824" s="118"/>
      <c r="G824" s="118"/>
      <c r="H824" s="118"/>
      <c r="I824" s="118"/>
      <c r="J824" s="118"/>
      <c r="K824" s="118"/>
      <c r="L824" s="118"/>
      <c r="M824" s="118"/>
      <c r="N824" s="118"/>
      <c r="O824" s="42"/>
      <c r="P824" s="42"/>
      <c r="Q824" s="42"/>
      <c r="R824" s="42"/>
      <c r="S824" s="121"/>
      <c r="T824" s="119"/>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row>
    <row r="825" spans="1:46" ht="15.75" customHeight="1" x14ac:dyDescent="0.2">
      <c r="A825" s="118"/>
      <c r="B825" s="118"/>
      <c r="C825" s="118"/>
      <c r="D825" s="118"/>
      <c r="E825" s="118"/>
      <c r="F825" s="118"/>
      <c r="G825" s="118"/>
      <c r="H825" s="118"/>
      <c r="I825" s="118"/>
      <c r="J825" s="118"/>
      <c r="K825" s="118"/>
      <c r="L825" s="118"/>
      <c r="M825" s="118"/>
      <c r="N825" s="118"/>
      <c r="O825" s="42"/>
      <c r="P825" s="42"/>
      <c r="Q825" s="42"/>
      <c r="R825" s="42"/>
      <c r="S825" s="121"/>
      <c r="T825" s="119"/>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row>
    <row r="826" spans="1:46" ht="15.75" customHeight="1" x14ac:dyDescent="0.2">
      <c r="A826" s="118"/>
      <c r="B826" s="118"/>
      <c r="C826" s="118"/>
      <c r="D826" s="118"/>
      <c r="E826" s="118"/>
      <c r="F826" s="118"/>
      <c r="G826" s="118"/>
      <c r="H826" s="118"/>
      <c r="I826" s="118"/>
      <c r="J826" s="118"/>
      <c r="K826" s="118"/>
      <c r="L826" s="118"/>
      <c r="M826" s="118"/>
      <c r="N826" s="118"/>
      <c r="O826" s="42"/>
      <c r="P826" s="42"/>
      <c r="Q826" s="42"/>
      <c r="R826" s="42"/>
      <c r="S826" s="121"/>
      <c r="T826" s="119"/>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row>
    <row r="827" spans="1:46" ht="15.75" customHeight="1" x14ac:dyDescent="0.2">
      <c r="A827" s="118"/>
      <c r="B827" s="118"/>
      <c r="C827" s="118"/>
      <c r="D827" s="118"/>
      <c r="E827" s="118"/>
      <c r="F827" s="118"/>
      <c r="G827" s="118"/>
      <c r="H827" s="118"/>
      <c r="I827" s="118"/>
      <c r="J827" s="118"/>
      <c r="K827" s="118"/>
      <c r="L827" s="118"/>
      <c r="M827" s="118"/>
      <c r="N827" s="118"/>
      <c r="O827" s="42"/>
      <c r="P827" s="42"/>
      <c r="Q827" s="42"/>
      <c r="R827" s="42"/>
      <c r="S827" s="121"/>
      <c r="T827" s="119"/>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row>
    <row r="828" spans="1:46" ht="15.75" customHeight="1" x14ac:dyDescent="0.2">
      <c r="A828" s="118"/>
      <c r="B828" s="118"/>
      <c r="C828" s="118"/>
      <c r="D828" s="118"/>
      <c r="E828" s="118"/>
      <c r="F828" s="118"/>
      <c r="G828" s="118"/>
      <c r="H828" s="118"/>
      <c r="I828" s="118"/>
      <c r="J828" s="118"/>
      <c r="K828" s="118"/>
      <c r="L828" s="118"/>
      <c r="M828" s="118"/>
      <c r="N828" s="118"/>
      <c r="O828" s="42"/>
      <c r="P828" s="42"/>
      <c r="Q828" s="42"/>
      <c r="R828" s="42"/>
      <c r="S828" s="121"/>
      <c r="T828" s="119"/>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row>
    <row r="829" spans="1:46" ht="15.75" customHeight="1" x14ac:dyDescent="0.2">
      <c r="A829" s="118"/>
      <c r="B829" s="118"/>
      <c r="C829" s="118"/>
      <c r="D829" s="118"/>
      <c r="E829" s="118"/>
      <c r="F829" s="118"/>
      <c r="G829" s="118"/>
      <c r="H829" s="118"/>
      <c r="I829" s="118"/>
      <c r="J829" s="118"/>
      <c r="K829" s="118"/>
      <c r="L829" s="118"/>
      <c r="M829" s="118"/>
      <c r="N829" s="118"/>
      <c r="O829" s="42"/>
      <c r="P829" s="42"/>
      <c r="Q829" s="42"/>
      <c r="R829" s="42"/>
      <c r="S829" s="121"/>
      <c r="T829" s="119"/>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row>
    <row r="830" spans="1:46" ht="15.75" customHeight="1" x14ac:dyDescent="0.2">
      <c r="A830" s="118"/>
      <c r="B830" s="118"/>
      <c r="C830" s="118"/>
      <c r="D830" s="118"/>
      <c r="E830" s="118"/>
      <c r="F830" s="118"/>
      <c r="G830" s="118"/>
      <c r="H830" s="118"/>
      <c r="I830" s="118"/>
      <c r="J830" s="118"/>
      <c r="K830" s="118"/>
      <c r="L830" s="118"/>
      <c r="M830" s="118"/>
      <c r="N830" s="118"/>
      <c r="O830" s="42"/>
      <c r="P830" s="42"/>
      <c r="Q830" s="42"/>
      <c r="R830" s="42"/>
      <c r="S830" s="121"/>
      <c r="T830" s="119"/>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row>
    <row r="831" spans="1:46" ht="15.75" customHeight="1" x14ac:dyDescent="0.2">
      <c r="A831" s="118"/>
      <c r="B831" s="118"/>
      <c r="C831" s="118"/>
      <c r="D831" s="118"/>
      <c r="E831" s="118"/>
      <c r="F831" s="118"/>
      <c r="G831" s="118"/>
      <c r="H831" s="118"/>
      <c r="I831" s="118"/>
      <c r="J831" s="118"/>
      <c r="K831" s="118"/>
      <c r="L831" s="118"/>
      <c r="M831" s="118"/>
      <c r="N831" s="118"/>
      <c r="O831" s="42"/>
      <c r="P831" s="42"/>
      <c r="Q831" s="42"/>
      <c r="R831" s="42"/>
      <c r="S831" s="121"/>
      <c r="T831" s="119"/>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row>
    <row r="832" spans="1:46" ht="15.75" customHeight="1" x14ac:dyDescent="0.2">
      <c r="A832" s="118"/>
      <c r="B832" s="118"/>
      <c r="C832" s="118"/>
      <c r="D832" s="118"/>
      <c r="E832" s="118"/>
      <c r="F832" s="118"/>
      <c r="G832" s="118"/>
      <c r="H832" s="118"/>
      <c r="I832" s="118"/>
      <c r="J832" s="118"/>
      <c r="K832" s="118"/>
      <c r="L832" s="118"/>
      <c r="M832" s="118"/>
      <c r="N832" s="118"/>
      <c r="O832" s="42"/>
      <c r="P832" s="42"/>
      <c r="Q832" s="42"/>
      <c r="R832" s="42"/>
      <c r="S832" s="121"/>
      <c r="T832" s="119"/>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row>
    <row r="833" spans="1:46" ht="15.75" customHeight="1" x14ac:dyDescent="0.2">
      <c r="A833" s="118"/>
      <c r="B833" s="118"/>
      <c r="C833" s="118"/>
      <c r="D833" s="118"/>
      <c r="E833" s="118"/>
      <c r="F833" s="118"/>
      <c r="G833" s="118"/>
      <c r="H833" s="118"/>
      <c r="I833" s="118"/>
      <c r="J833" s="118"/>
      <c r="K833" s="118"/>
      <c r="L833" s="118"/>
      <c r="M833" s="118"/>
      <c r="N833" s="118"/>
      <c r="O833" s="42"/>
      <c r="P833" s="42"/>
      <c r="Q833" s="42"/>
      <c r="R833" s="42"/>
      <c r="S833" s="121"/>
      <c r="T833" s="119"/>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row>
    <row r="834" spans="1:46" ht="15.75" customHeight="1" x14ac:dyDescent="0.2">
      <c r="A834" s="118"/>
      <c r="B834" s="118"/>
      <c r="C834" s="118"/>
      <c r="D834" s="118"/>
      <c r="E834" s="118"/>
      <c r="F834" s="118"/>
      <c r="G834" s="118"/>
      <c r="H834" s="118"/>
      <c r="I834" s="118"/>
      <c r="J834" s="118"/>
      <c r="K834" s="118"/>
      <c r="L834" s="118"/>
      <c r="M834" s="118"/>
      <c r="N834" s="118"/>
      <c r="O834" s="42"/>
      <c r="P834" s="42"/>
      <c r="Q834" s="42"/>
      <c r="R834" s="42"/>
      <c r="S834" s="121"/>
      <c r="T834" s="119"/>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row>
    <row r="835" spans="1:46" ht="15.75" customHeight="1" x14ac:dyDescent="0.2">
      <c r="A835" s="118"/>
      <c r="B835" s="118"/>
      <c r="C835" s="118"/>
      <c r="D835" s="118"/>
      <c r="E835" s="118"/>
      <c r="F835" s="118"/>
      <c r="G835" s="118"/>
      <c r="H835" s="118"/>
      <c r="I835" s="118"/>
      <c r="J835" s="118"/>
      <c r="K835" s="118"/>
      <c r="L835" s="118"/>
      <c r="M835" s="118"/>
      <c r="N835" s="118"/>
      <c r="O835" s="42"/>
      <c r="P835" s="42"/>
      <c r="Q835" s="42"/>
      <c r="R835" s="42"/>
      <c r="S835" s="121"/>
      <c r="T835" s="119"/>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row>
    <row r="836" spans="1:46" ht="15.75" customHeight="1" x14ac:dyDescent="0.2">
      <c r="A836" s="118"/>
      <c r="B836" s="118"/>
      <c r="C836" s="118"/>
      <c r="D836" s="118"/>
      <c r="E836" s="118"/>
      <c r="F836" s="118"/>
      <c r="G836" s="118"/>
      <c r="H836" s="118"/>
      <c r="I836" s="118"/>
      <c r="J836" s="118"/>
      <c r="K836" s="118"/>
      <c r="L836" s="118"/>
      <c r="M836" s="118"/>
      <c r="N836" s="118"/>
      <c r="O836" s="42"/>
      <c r="P836" s="42"/>
      <c r="Q836" s="42"/>
      <c r="R836" s="42"/>
      <c r="S836" s="121"/>
      <c r="T836" s="119"/>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row>
    <row r="837" spans="1:46" ht="15.75" customHeight="1" x14ac:dyDescent="0.2">
      <c r="A837" s="118"/>
      <c r="B837" s="118"/>
      <c r="C837" s="118"/>
      <c r="D837" s="118"/>
      <c r="E837" s="118"/>
      <c r="F837" s="118"/>
      <c r="G837" s="118"/>
      <c r="H837" s="118"/>
      <c r="I837" s="118"/>
      <c r="J837" s="118"/>
      <c r="K837" s="118"/>
      <c r="L837" s="118"/>
      <c r="M837" s="118"/>
      <c r="N837" s="118"/>
      <c r="O837" s="42"/>
      <c r="P837" s="42"/>
      <c r="Q837" s="42"/>
      <c r="R837" s="42"/>
      <c r="S837" s="121"/>
      <c r="T837" s="119"/>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row>
    <row r="838" spans="1:46" ht="15.75" customHeight="1" x14ac:dyDescent="0.2">
      <c r="A838" s="118"/>
      <c r="B838" s="118"/>
      <c r="C838" s="118"/>
      <c r="D838" s="118"/>
      <c r="E838" s="118"/>
      <c r="F838" s="118"/>
      <c r="G838" s="118"/>
      <c r="H838" s="118"/>
      <c r="I838" s="118"/>
      <c r="J838" s="118"/>
      <c r="K838" s="118"/>
      <c r="L838" s="118"/>
      <c r="M838" s="118"/>
      <c r="N838" s="118"/>
      <c r="O838" s="42"/>
      <c r="P838" s="42"/>
      <c r="Q838" s="42"/>
      <c r="R838" s="42"/>
      <c r="S838" s="121"/>
      <c r="T838" s="119"/>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row>
    <row r="839" spans="1:46" ht="15.75" customHeight="1" x14ac:dyDescent="0.2">
      <c r="A839" s="118"/>
      <c r="B839" s="118"/>
      <c r="C839" s="118"/>
      <c r="D839" s="118"/>
      <c r="E839" s="118"/>
      <c r="F839" s="118"/>
      <c r="G839" s="118"/>
      <c r="H839" s="118"/>
      <c r="I839" s="118"/>
      <c r="J839" s="118"/>
      <c r="K839" s="118"/>
      <c r="L839" s="118"/>
      <c r="M839" s="118"/>
      <c r="N839" s="118"/>
      <c r="O839" s="42"/>
      <c r="P839" s="42"/>
      <c r="Q839" s="42"/>
      <c r="R839" s="42"/>
      <c r="S839" s="121"/>
      <c r="T839" s="119"/>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row>
    <row r="840" spans="1:46" ht="15.75" customHeight="1" x14ac:dyDescent="0.2">
      <c r="A840" s="118"/>
      <c r="B840" s="118"/>
      <c r="C840" s="118"/>
      <c r="D840" s="118"/>
      <c r="E840" s="118"/>
      <c r="F840" s="118"/>
      <c r="G840" s="118"/>
      <c r="H840" s="118"/>
      <c r="I840" s="118"/>
      <c r="J840" s="118"/>
      <c r="K840" s="118"/>
      <c r="L840" s="118"/>
      <c r="M840" s="118"/>
      <c r="N840" s="118"/>
      <c r="O840" s="42"/>
      <c r="P840" s="42"/>
      <c r="Q840" s="42"/>
      <c r="R840" s="42"/>
      <c r="S840" s="121"/>
      <c r="T840" s="119"/>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row>
    <row r="841" spans="1:46" ht="15.75" customHeight="1" x14ac:dyDescent="0.2">
      <c r="A841" s="118"/>
      <c r="B841" s="118"/>
      <c r="C841" s="118"/>
      <c r="D841" s="118"/>
      <c r="E841" s="118"/>
      <c r="F841" s="118"/>
      <c r="G841" s="118"/>
      <c r="H841" s="118"/>
      <c r="I841" s="118"/>
      <c r="J841" s="118"/>
      <c r="K841" s="118"/>
      <c r="L841" s="118"/>
      <c r="M841" s="118"/>
      <c r="N841" s="118"/>
      <c r="O841" s="42"/>
      <c r="P841" s="42"/>
      <c r="Q841" s="42"/>
      <c r="R841" s="42"/>
      <c r="S841" s="121"/>
      <c r="T841" s="119"/>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row>
    <row r="842" spans="1:46" ht="15.75" customHeight="1" x14ac:dyDescent="0.2">
      <c r="A842" s="118"/>
      <c r="B842" s="118"/>
      <c r="C842" s="118"/>
      <c r="D842" s="118"/>
      <c r="E842" s="118"/>
      <c r="F842" s="118"/>
      <c r="G842" s="118"/>
      <c r="H842" s="118"/>
      <c r="I842" s="118"/>
      <c r="J842" s="118"/>
      <c r="K842" s="118"/>
      <c r="L842" s="118"/>
      <c r="M842" s="118"/>
      <c r="N842" s="118"/>
      <c r="O842" s="42"/>
      <c r="P842" s="42"/>
      <c r="Q842" s="42"/>
      <c r="R842" s="42"/>
      <c r="S842" s="121"/>
      <c r="T842" s="119"/>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row>
    <row r="843" spans="1:46" ht="15.75" customHeight="1" x14ac:dyDescent="0.2">
      <c r="A843" s="118"/>
      <c r="B843" s="118"/>
      <c r="C843" s="118"/>
      <c r="D843" s="118"/>
      <c r="E843" s="118"/>
      <c r="F843" s="118"/>
      <c r="G843" s="118"/>
      <c r="H843" s="118"/>
      <c r="I843" s="118"/>
      <c r="J843" s="118"/>
      <c r="K843" s="118"/>
      <c r="L843" s="118"/>
      <c r="M843" s="118"/>
      <c r="N843" s="118"/>
      <c r="O843" s="42"/>
      <c r="P843" s="42"/>
      <c r="Q843" s="42"/>
      <c r="R843" s="42"/>
      <c r="S843" s="121"/>
      <c r="T843" s="119"/>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row>
    <row r="844" spans="1:46" ht="15.75" customHeight="1" x14ac:dyDescent="0.2">
      <c r="A844" s="118"/>
      <c r="B844" s="118"/>
      <c r="C844" s="118"/>
      <c r="D844" s="118"/>
      <c r="E844" s="118"/>
      <c r="F844" s="118"/>
      <c r="G844" s="118"/>
      <c r="H844" s="118"/>
      <c r="I844" s="118"/>
      <c r="J844" s="118"/>
      <c r="K844" s="118"/>
      <c r="L844" s="118"/>
      <c r="M844" s="118"/>
      <c r="N844" s="118"/>
      <c r="O844" s="42"/>
      <c r="P844" s="42"/>
      <c r="Q844" s="42"/>
      <c r="R844" s="42"/>
      <c r="S844" s="121"/>
      <c r="T844" s="119"/>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row>
    <row r="845" spans="1:46" ht="15.75" customHeight="1" x14ac:dyDescent="0.2">
      <c r="A845" s="118"/>
      <c r="B845" s="118"/>
      <c r="C845" s="118"/>
      <c r="D845" s="118"/>
      <c r="E845" s="118"/>
      <c r="F845" s="118"/>
      <c r="G845" s="118"/>
      <c r="H845" s="118"/>
      <c r="I845" s="118"/>
      <c r="J845" s="118"/>
      <c r="K845" s="118"/>
      <c r="L845" s="118"/>
      <c r="M845" s="118"/>
      <c r="N845" s="118"/>
      <c r="O845" s="42"/>
      <c r="P845" s="42"/>
      <c r="Q845" s="42"/>
      <c r="R845" s="42"/>
      <c r="S845" s="121"/>
      <c r="T845" s="119"/>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row>
    <row r="846" spans="1:46" ht="15.75" customHeight="1" x14ac:dyDescent="0.2">
      <c r="A846" s="118"/>
      <c r="B846" s="118"/>
      <c r="C846" s="118"/>
      <c r="D846" s="118"/>
      <c r="E846" s="118"/>
      <c r="F846" s="118"/>
      <c r="G846" s="118"/>
      <c r="H846" s="118"/>
      <c r="I846" s="118"/>
      <c r="J846" s="118"/>
      <c r="K846" s="118"/>
      <c r="L846" s="118"/>
      <c r="M846" s="118"/>
      <c r="N846" s="118"/>
      <c r="O846" s="42"/>
      <c r="P846" s="42"/>
      <c r="Q846" s="42"/>
      <c r="R846" s="42"/>
      <c r="S846" s="121"/>
      <c r="T846" s="119"/>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row>
    <row r="847" spans="1:46" ht="15.75" customHeight="1" x14ac:dyDescent="0.2">
      <c r="A847" s="118"/>
      <c r="B847" s="118"/>
      <c r="C847" s="118"/>
      <c r="D847" s="118"/>
      <c r="E847" s="118"/>
      <c r="F847" s="118"/>
      <c r="G847" s="118"/>
      <c r="H847" s="118"/>
      <c r="I847" s="118"/>
      <c r="J847" s="118"/>
      <c r="K847" s="118"/>
      <c r="L847" s="118"/>
      <c r="M847" s="118"/>
      <c r="N847" s="118"/>
      <c r="O847" s="42"/>
      <c r="P847" s="42"/>
      <c r="Q847" s="42"/>
      <c r="R847" s="42"/>
      <c r="S847" s="121"/>
      <c r="T847" s="119"/>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row>
    <row r="848" spans="1:46" ht="15.75" customHeight="1" x14ac:dyDescent="0.2">
      <c r="A848" s="118"/>
      <c r="B848" s="118"/>
      <c r="C848" s="118"/>
      <c r="D848" s="118"/>
      <c r="E848" s="118"/>
      <c r="F848" s="118"/>
      <c r="G848" s="118"/>
      <c r="H848" s="118"/>
      <c r="I848" s="118"/>
      <c r="J848" s="118"/>
      <c r="K848" s="118"/>
      <c r="L848" s="118"/>
      <c r="M848" s="118"/>
      <c r="N848" s="118"/>
      <c r="O848" s="42"/>
      <c r="P848" s="42"/>
      <c r="Q848" s="42"/>
      <c r="R848" s="42"/>
      <c r="S848" s="121"/>
      <c r="T848" s="119"/>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row>
    <row r="849" spans="1:46" ht="15.75" customHeight="1" x14ac:dyDescent="0.2">
      <c r="A849" s="118"/>
      <c r="B849" s="118"/>
      <c r="C849" s="118"/>
      <c r="D849" s="118"/>
      <c r="E849" s="118"/>
      <c r="F849" s="118"/>
      <c r="G849" s="118"/>
      <c r="H849" s="118"/>
      <c r="I849" s="118"/>
      <c r="J849" s="118"/>
      <c r="K849" s="118"/>
      <c r="L849" s="118"/>
      <c r="M849" s="118"/>
      <c r="N849" s="118"/>
      <c r="O849" s="42"/>
      <c r="P849" s="42"/>
      <c r="Q849" s="42"/>
      <c r="R849" s="42"/>
      <c r="S849" s="121"/>
      <c r="T849" s="119"/>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row>
    <row r="850" spans="1:46" ht="15.75" customHeight="1" x14ac:dyDescent="0.2">
      <c r="A850" s="118"/>
      <c r="B850" s="118"/>
      <c r="C850" s="118"/>
      <c r="D850" s="118"/>
      <c r="E850" s="118"/>
      <c r="F850" s="118"/>
      <c r="G850" s="118"/>
      <c r="H850" s="118"/>
      <c r="I850" s="118"/>
      <c r="J850" s="118"/>
      <c r="K850" s="118"/>
      <c r="L850" s="118"/>
      <c r="M850" s="118"/>
      <c r="N850" s="118"/>
      <c r="O850" s="42"/>
      <c r="P850" s="42"/>
      <c r="Q850" s="42"/>
      <c r="R850" s="42"/>
      <c r="S850" s="121"/>
      <c r="T850" s="119"/>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row>
    <row r="851" spans="1:46" ht="15.75" customHeight="1" x14ac:dyDescent="0.2">
      <c r="A851" s="118"/>
      <c r="B851" s="118"/>
      <c r="C851" s="118"/>
      <c r="D851" s="118"/>
      <c r="E851" s="118"/>
      <c r="F851" s="118"/>
      <c r="G851" s="118"/>
      <c r="H851" s="118"/>
      <c r="I851" s="118"/>
      <c r="J851" s="118"/>
      <c r="K851" s="118"/>
      <c r="L851" s="118"/>
      <c r="M851" s="118"/>
      <c r="N851" s="118"/>
      <c r="O851" s="42"/>
      <c r="P851" s="42"/>
      <c r="Q851" s="42"/>
      <c r="R851" s="42"/>
      <c r="S851" s="121"/>
      <c r="T851" s="119"/>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row>
    <row r="852" spans="1:46" ht="15.75" customHeight="1" x14ac:dyDescent="0.2">
      <c r="A852" s="118"/>
      <c r="B852" s="118"/>
      <c r="C852" s="118"/>
      <c r="D852" s="118"/>
      <c r="E852" s="118"/>
      <c r="F852" s="118"/>
      <c r="G852" s="118"/>
      <c r="H852" s="118"/>
      <c r="I852" s="118"/>
      <c r="J852" s="118"/>
      <c r="K852" s="118"/>
      <c r="L852" s="118"/>
      <c r="M852" s="118"/>
      <c r="N852" s="118"/>
      <c r="O852" s="42"/>
      <c r="P852" s="42"/>
      <c r="Q852" s="42"/>
      <c r="R852" s="42"/>
      <c r="S852" s="121"/>
      <c r="T852" s="119"/>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row>
    <row r="853" spans="1:46" ht="15.75" customHeight="1" x14ac:dyDescent="0.2">
      <c r="A853" s="118"/>
      <c r="B853" s="118"/>
      <c r="C853" s="118"/>
      <c r="D853" s="118"/>
      <c r="E853" s="118"/>
      <c r="F853" s="118"/>
      <c r="G853" s="118"/>
      <c r="H853" s="118"/>
      <c r="I853" s="118"/>
      <c r="J853" s="118"/>
      <c r="K853" s="118"/>
      <c r="L853" s="118"/>
      <c r="M853" s="118"/>
      <c r="N853" s="118"/>
      <c r="O853" s="42"/>
      <c r="P853" s="42"/>
      <c r="Q853" s="42"/>
      <c r="R853" s="42"/>
      <c r="S853" s="121"/>
      <c r="T853" s="119"/>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row>
    <row r="854" spans="1:46" ht="15.75" customHeight="1" x14ac:dyDescent="0.2">
      <c r="A854" s="118"/>
      <c r="B854" s="118"/>
      <c r="C854" s="118"/>
      <c r="D854" s="118"/>
      <c r="E854" s="118"/>
      <c r="F854" s="118"/>
      <c r="G854" s="118"/>
      <c r="H854" s="118"/>
      <c r="I854" s="118"/>
      <c r="J854" s="118"/>
      <c r="K854" s="118"/>
      <c r="L854" s="118"/>
      <c r="M854" s="118"/>
      <c r="N854" s="118"/>
      <c r="O854" s="42"/>
      <c r="P854" s="42"/>
      <c r="Q854" s="42"/>
      <c r="R854" s="42"/>
      <c r="S854" s="121"/>
      <c r="T854" s="119"/>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row>
    <row r="855" spans="1:46" ht="15.75" customHeight="1" x14ac:dyDescent="0.2">
      <c r="A855" s="118"/>
      <c r="B855" s="118"/>
      <c r="C855" s="118"/>
      <c r="D855" s="118"/>
      <c r="E855" s="118"/>
      <c r="F855" s="118"/>
      <c r="G855" s="118"/>
      <c r="H855" s="118"/>
      <c r="I855" s="118"/>
      <c r="J855" s="118"/>
      <c r="K855" s="118"/>
      <c r="L855" s="118"/>
      <c r="M855" s="118"/>
      <c r="N855" s="118"/>
      <c r="O855" s="42"/>
      <c r="P855" s="42"/>
      <c r="Q855" s="42"/>
      <c r="R855" s="42"/>
      <c r="S855" s="121"/>
      <c r="T855" s="119"/>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row>
    <row r="856" spans="1:46" ht="15.75" customHeight="1" x14ac:dyDescent="0.2">
      <c r="A856" s="118"/>
      <c r="B856" s="118"/>
      <c r="C856" s="118"/>
      <c r="D856" s="118"/>
      <c r="E856" s="118"/>
      <c r="F856" s="118"/>
      <c r="G856" s="118"/>
      <c r="H856" s="118"/>
      <c r="I856" s="118"/>
      <c r="J856" s="118"/>
      <c r="K856" s="118"/>
      <c r="L856" s="118"/>
      <c r="M856" s="118"/>
      <c r="N856" s="118"/>
      <c r="O856" s="42"/>
      <c r="P856" s="42"/>
      <c r="Q856" s="42"/>
      <c r="R856" s="42"/>
      <c r="S856" s="121"/>
      <c r="T856" s="119"/>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row>
    <row r="857" spans="1:46" ht="15.75" customHeight="1" x14ac:dyDescent="0.2">
      <c r="A857" s="118"/>
      <c r="B857" s="118"/>
      <c r="C857" s="118"/>
      <c r="D857" s="118"/>
      <c r="E857" s="118"/>
      <c r="F857" s="118"/>
      <c r="G857" s="118"/>
      <c r="H857" s="118"/>
      <c r="I857" s="118"/>
      <c r="J857" s="118"/>
      <c r="K857" s="118"/>
      <c r="L857" s="118"/>
      <c r="M857" s="118"/>
      <c r="N857" s="118"/>
      <c r="O857" s="42"/>
      <c r="P857" s="42"/>
      <c r="Q857" s="42"/>
      <c r="R857" s="42"/>
      <c r="S857" s="121"/>
      <c r="T857" s="119"/>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row>
    <row r="858" spans="1:46" ht="15.75" customHeight="1" x14ac:dyDescent="0.2">
      <c r="A858" s="118"/>
      <c r="B858" s="118"/>
      <c r="C858" s="118"/>
      <c r="D858" s="118"/>
      <c r="E858" s="118"/>
      <c r="F858" s="118"/>
      <c r="G858" s="118"/>
      <c r="H858" s="118"/>
      <c r="I858" s="118"/>
      <c r="J858" s="118"/>
      <c r="K858" s="118"/>
      <c r="L858" s="118"/>
      <c r="M858" s="118"/>
      <c r="N858" s="118"/>
      <c r="O858" s="42"/>
      <c r="P858" s="42"/>
      <c r="Q858" s="42"/>
      <c r="R858" s="42"/>
      <c r="S858" s="121"/>
      <c r="T858" s="119"/>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row>
    <row r="859" spans="1:46" ht="15.75" customHeight="1" x14ac:dyDescent="0.2">
      <c r="A859" s="118"/>
      <c r="B859" s="118"/>
      <c r="C859" s="118"/>
      <c r="D859" s="118"/>
      <c r="E859" s="118"/>
      <c r="F859" s="118"/>
      <c r="G859" s="118"/>
      <c r="H859" s="118"/>
      <c r="I859" s="118"/>
      <c r="J859" s="118"/>
      <c r="K859" s="118"/>
      <c r="L859" s="118"/>
      <c r="M859" s="118"/>
      <c r="N859" s="118"/>
      <c r="O859" s="42"/>
      <c r="P859" s="42"/>
      <c r="Q859" s="42"/>
      <c r="R859" s="42"/>
      <c r="S859" s="121"/>
      <c r="T859" s="119"/>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row>
    <row r="860" spans="1:46" ht="15.75" customHeight="1" x14ac:dyDescent="0.2">
      <c r="A860" s="118"/>
      <c r="B860" s="118"/>
      <c r="C860" s="118"/>
      <c r="D860" s="118"/>
      <c r="E860" s="118"/>
      <c r="F860" s="118"/>
      <c r="G860" s="118"/>
      <c r="H860" s="118"/>
      <c r="I860" s="118"/>
      <c r="J860" s="118"/>
      <c r="K860" s="118"/>
      <c r="L860" s="118"/>
      <c r="M860" s="118"/>
      <c r="N860" s="118"/>
      <c r="O860" s="42"/>
      <c r="P860" s="42"/>
      <c r="Q860" s="42"/>
      <c r="R860" s="42"/>
      <c r="S860" s="121"/>
      <c r="T860" s="119"/>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row>
    <row r="861" spans="1:46" ht="15.75" customHeight="1" x14ac:dyDescent="0.2">
      <c r="A861" s="118"/>
      <c r="B861" s="118"/>
      <c r="C861" s="118"/>
      <c r="D861" s="118"/>
      <c r="E861" s="118"/>
      <c r="F861" s="118"/>
      <c r="G861" s="118"/>
      <c r="H861" s="118"/>
      <c r="I861" s="118"/>
      <c r="J861" s="118"/>
      <c r="K861" s="118"/>
      <c r="L861" s="118"/>
      <c r="M861" s="118"/>
      <c r="N861" s="118"/>
      <c r="O861" s="42"/>
      <c r="P861" s="42"/>
      <c r="Q861" s="42"/>
      <c r="R861" s="42"/>
      <c r="S861" s="121"/>
      <c r="T861" s="119"/>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row>
    <row r="862" spans="1:46" ht="15.75" customHeight="1" x14ac:dyDescent="0.2">
      <c r="A862" s="118"/>
      <c r="B862" s="118"/>
      <c r="C862" s="118"/>
      <c r="D862" s="118"/>
      <c r="E862" s="118"/>
      <c r="F862" s="118"/>
      <c r="G862" s="118"/>
      <c r="H862" s="118"/>
      <c r="I862" s="118"/>
      <c r="J862" s="118"/>
      <c r="K862" s="118"/>
      <c r="L862" s="118"/>
      <c r="M862" s="118"/>
      <c r="N862" s="118"/>
      <c r="O862" s="42"/>
      <c r="P862" s="42"/>
      <c r="Q862" s="42"/>
      <c r="R862" s="42"/>
      <c r="S862" s="121"/>
      <c r="T862" s="119"/>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row>
    <row r="863" spans="1:46" ht="15.75" customHeight="1" x14ac:dyDescent="0.2">
      <c r="A863" s="118"/>
      <c r="B863" s="118"/>
      <c r="C863" s="118"/>
      <c r="D863" s="118"/>
      <c r="E863" s="118"/>
      <c r="F863" s="118"/>
      <c r="G863" s="118"/>
      <c r="H863" s="118"/>
      <c r="I863" s="118"/>
      <c r="J863" s="118"/>
      <c r="K863" s="118"/>
      <c r="L863" s="118"/>
      <c r="M863" s="118"/>
      <c r="N863" s="118"/>
      <c r="O863" s="42"/>
      <c r="P863" s="42"/>
      <c r="Q863" s="42"/>
      <c r="R863" s="42"/>
      <c r="S863" s="121"/>
      <c r="T863" s="119"/>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row>
    <row r="864" spans="1:46" ht="15.75" customHeight="1" x14ac:dyDescent="0.2">
      <c r="A864" s="118"/>
      <c r="B864" s="118"/>
      <c r="C864" s="118"/>
      <c r="D864" s="118"/>
      <c r="E864" s="118"/>
      <c r="F864" s="118"/>
      <c r="G864" s="118"/>
      <c r="H864" s="118"/>
      <c r="I864" s="118"/>
      <c r="J864" s="118"/>
      <c r="K864" s="118"/>
      <c r="L864" s="118"/>
      <c r="M864" s="118"/>
      <c r="N864" s="118"/>
      <c r="O864" s="42"/>
      <c r="P864" s="42"/>
      <c r="Q864" s="42"/>
      <c r="R864" s="42"/>
      <c r="S864" s="121"/>
      <c r="T864" s="119"/>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row>
    <row r="865" spans="1:46" ht="15.75" customHeight="1" x14ac:dyDescent="0.2">
      <c r="A865" s="118"/>
      <c r="B865" s="118"/>
      <c r="C865" s="118"/>
      <c r="D865" s="118"/>
      <c r="E865" s="118"/>
      <c r="F865" s="118"/>
      <c r="G865" s="118"/>
      <c r="H865" s="118"/>
      <c r="I865" s="118"/>
      <c r="J865" s="118"/>
      <c r="K865" s="118"/>
      <c r="L865" s="118"/>
      <c r="M865" s="118"/>
      <c r="N865" s="118"/>
      <c r="O865" s="42"/>
      <c r="P865" s="42"/>
      <c r="Q865" s="42"/>
      <c r="R865" s="42"/>
      <c r="S865" s="121"/>
      <c r="T865" s="119"/>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row>
    <row r="866" spans="1:46" ht="15.75" customHeight="1" x14ac:dyDescent="0.2">
      <c r="A866" s="118"/>
      <c r="B866" s="118"/>
      <c r="C866" s="118"/>
      <c r="D866" s="118"/>
      <c r="E866" s="118"/>
      <c r="F866" s="118"/>
      <c r="G866" s="118"/>
      <c r="H866" s="118"/>
      <c r="I866" s="118"/>
      <c r="J866" s="118"/>
      <c r="K866" s="118"/>
      <c r="L866" s="118"/>
      <c r="M866" s="118"/>
      <c r="N866" s="118"/>
      <c r="O866" s="42"/>
      <c r="P866" s="42"/>
      <c r="Q866" s="42"/>
      <c r="R866" s="42"/>
      <c r="S866" s="121"/>
      <c r="T866" s="119"/>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row>
    <row r="867" spans="1:46" ht="15.75" customHeight="1" x14ac:dyDescent="0.2">
      <c r="A867" s="118"/>
      <c r="B867" s="118"/>
      <c r="C867" s="118"/>
      <c r="D867" s="118"/>
      <c r="E867" s="118"/>
      <c r="F867" s="118"/>
      <c r="G867" s="118"/>
      <c r="H867" s="118"/>
      <c r="I867" s="118"/>
      <c r="J867" s="118"/>
      <c r="K867" s="118"/>
      <c r="L867" s="118"/>
      <c r="M867" s="118"/>
      <c r="N867" s="118"/>
      <c r="O867" s="42"/>
      <c r="P867" s="42"/>
      <c r="Q867" s="42"/>
      <c r="R867" s="42"/>
      <c r="S867" s="121"/>
      <c r="T867" s="119"/>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row>
    <row r="868" spans="1:46" ht="15.75" customHeight="1" x14ac:dyDescent="0.2">
      <c r="A868" s="118"/>
      <c r="B868" s="118"/>
      <c r="C868" s="118"/>
      <c r="D868" s="118"/>
      <c r="E868" s="118"/>
      <c r="F868" s="118"/>
      <c r="G868" s="118"/>
      <c r="H868" s="118"/>
      <c r="I868" s="118"/>
      <c r="J868" s="118"/>
      <c r="K868" s="118"/>
      <c r="L868" s="118"/>
      <c r="M868" s="118"/>
      <c r="N868" s="118"/>
      <c r="O868" s="42"/>
      <c r="P868" s="42"/>
      <c r="Q868" s="42"/>
      <c r="R868" s="42"/>
      <c r="S868" s="121"/>
      <c r="T868" s="119"/>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row>
    <row r="869" spans="1:46" ht="15.75" customHeight="1" x14ac:dyDescent="0.2">
      <c r="A869" s="118"/>
      <c r="B869" s="118"/>
      <c r="C869" s="118"/>
      <c r="D869" s="118"/>
      <c r="E869" s="118"/>
      <c r="F869" s="118"/>
      <c r="G869" s="118"/>
      <c r="H869" s="118"/>
      <c r="I869" s="118"/>
      <c r="J869" s="118"/>
      <c r="K869" s="118"/>
      <c r="L869" s="118"/>
      <c r="M869" s="118"/>
      <c r="N869" s="118"/>
      <c r="O869" s="42"/>
      <c r="P869" s="42"/>
      <c r="Q869" s="42"/>
      <c r="R869" s="42"/>
      <c r="S869" s="121"/>
      <c r="T869" s="119"/>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row>
    <row r="870" spans="1:46" ht="15.75" customHeight="1" x14ac:dyDescent="0.2">
      <c r="A870" s="118"/>
      <c r="B870" s="118"/>
      <c r="C870" s="118"/>
      <c r="D870" s="118"/>
      <c r="E870" s="118"/>
      <c r="F870" s="118"/>
      <c r="G870" s="118"/>
      <c r="H870" s="118"/>
      <c r="I870" s="118"/>
      <c r="J870" s="118"/>
      <c r="K870" s="118"/>
      <c r="L870" s="118"/>
      <c r="M870" s="118"/>
      <c r="N870" s="118"/>
      <c r="O870" s="42"/>
      <c r="P870" s="42"/>
      <c r="Q870" s="42"/>
      <c r="R870" s="42"/>
      <c r="S870" s="121"/>
      <c r="T870" s="119"/>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row>
    <row r="871" spans="1:46" ht="15.75" customHeight="1" x14ac:dyDescent="0.2">
      <c r="A871" s="118"/>
      <c r="B871" s="118"/>
      <c r="C871" s="118"/>
      <c r="D871" s="118"/>
      <c r="E871" s="118"/>
      <c r="F871" s="118"/>
      <c r="G871" s="118"/>
      <c r="H871" s="118"/>
      <c r="I871" s="118"/>
      <c r="J871" s="118"/>
      <c r="K871" s="118"/>
      <c r="L871" s="118"/>
      <c r="M871" s="118"/>
      <c r="N871" s="118"/>
      <c r="O871" s="42"/>
      <c r="P871" s="42"/>
      <c r="Q871" s="42"/>
      <c r="R871" s="42"/>
      <c r="S871" s="121"/>
      <c r="T871" s="119"/>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row>
    <row r="872" spans="1:46" ht="15.75" customHeight="1" x14ac:dyDescent="0.2">
      <c r="A872" s="118"/>
      <c r="B872" s="118"/>
      <c r="C872" s="118"/>
      <c r="D872" s="118"/>
      <c r="E872" s="118"/>
      <c r="F872" s="118"/>
      <c r="G872" s="118"/>
      <c r="H872" s="118"/>
      <c r="I872" s="118"/>
      <c r="J872" s="118"/>
      <c r="K872" s="118"/>
      <c r="L872" s="118"/>
      <c r="M872" s="118"/>
      <c r="N872" s="118"/>
      <c r="O872" s="42"/>
      <c r="P872" s="42"/>
      <c r="Q872" s="42"/>
      <c r="R872" s="42"/>
      <c r="S872" s="121"/>
      <c r="T872" s="119"/>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row>
    <row r="873" spans="1:46" ht="15.75" customHeight="1" x14ac:dyDescent="0.2">
      <c r="A873" s="118"/>
      <c r="B873" s="118"/>
      <c r="C873" s="118"/>
      <c r="D873" s="118"/>
      <c r="E873" s="118"/>
      <c r="F873" s="118"/>
      <c r="G873" s="118"/>
      <c r="H873" s="118"/>
      <c r="I873" s="118"/>
      <c r="J873" s="118"/>
      <c r="K873" s="118"/>
      <c r="L873" s="118"/>
      <c r="M873" s="118"/>
      <c r="N873" s="118"/>
      <c r="O873" s="42"/>
      <c r="P873" s="42"/>
      <c r="Q873" s="42"/>
      <c r="R873" s="42"/>
      <c r="S873" s="121"/>
      <c r="T873" s="119"/>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row>
    <row r="874" spans="1:46" ht="15.75" customHeight="1" x14ac:dyDescent="0.2">
      <c r="A874" s="118"/>
      <c r="B874" s="118"/>
      <c r="C874" s="118"/>
      <c r="D874" s="118"/>
      <c r="E874" s="118"/>
      <c r="F874" s="118"/>
      <c r="G874" s="118"/>
      <c r="H874" s="118"/>
      <c r="I874" s="118"/>
      <c r="J874" s="118"/>
      <c r="K874" s="118"/>
      <c r="L874" s="118"/>
      <c r="M874" s="118"/>
      <c r="N874" s="118"/>
      <c r="O874" s="42"/>
      <c r="P874" s="42"/>
      <c r="Q874" s="42"/>
      <c r="R874" s="42"/>
      <c r="S874" s="121"/>
      <c r="T874" s="119"/>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row>
    <row r="875" spans="1:46" ht="15.75" customHeight="1" x14ac:dyDescent="0.2">
      <c r="A875" s="118"/>
      <c r="B875" s="118"/>
      <c r="C875" s="118"/>
      <c r="D875" s="118"/>
      <c r="E875" s="118"/>
      <c r="F875" s="118"/>
      <c r="G875" s="118"/>
      <c r="H875" s="118"/>
      <c r="I875" s="118"/>
      <c r="J875" s="118"/>
      <c r="K875" s="118"/>
      <c r="L875" s="118"/>
      <c r="M875" s="118"/>
      <c r="N875" s="118"/>
      <c r="O875" s="42"/>
      <c r="P875" s="42"/>
      <c r="Q875" s="42"/>
      <c r="R875" s="42"/>
      <c r="S875" s="121"/>
      <c r="T875" s="119"/>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row>
    <row r="876" spans="1:46" ht="15.75" customHeight="1" x14ac:dyDescent="0.2">
      <c r="A876" s="118"/>
      <c r="B876" s="118"/>
      <c r="C876" s="118"/>
      <c r="D876" s="118"/>
      <c r="E876" s="118"/>
      <c r="F876" s="118"/>
      <c r="G876" s="118"/>
      <c r="H876" s="118"/>
      <c r="I876" s="118"/>
      <c r="J876" s="118"/>
      <c r="K876" s="118"/>
      <c r="L876" s="118"/>
      <c r="M876" s="118"/>
      <c r="N876" s="118"/>
      <c r="O876" s="42"/>
      <c r="P876" s="42"/>
      <c r="Q876" s="42"/>
      <c r="R876" s="42"/>
      <c r="S876" s="121"/>
      <c r="T876" s="119"/>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row>
    <row r="877" spans="1:46" ht="15.75" customHeight="1" x14ac:dyDescent="0.2">
      <c r="A877" s="118"/>
      <c r="B877" s="118"/>
      <c r="C877" s="118"/>
      <c r="D877" s="118"/>
      <c r="E877" s="118"/>
      <c r="F877" s="118"/>
      <c r="G877" s="118"/>
      <c r="H877" s="118"/>
      <c r="I877" s="118"/>
      <c r="J877" s="118"/>
      <c r="K877" s="118"/>
      <c r="L877" s="118"/>
      <c r="M877" s="118"/>
      <c r="N877" s="118"/>
      <c r="O877" s="42"/>
      <c r="P877" s="42"/>
      <c r="Q877" s="42"/>
      <c r="R877" s="42"/>
      <c r="S877" s="121"/>
      <c r="T877" s="119"/>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row>
    <row r="878" spans="1:46" ht="15.75" customHeight="1" x14ac:dyDescent="0.2">
      <c r="A878" s="118"/>
      <c r="B878" s="118"/>
      <c r="C878" s="118"/>
      <c r="D878" s="118"/>
      <c r="E878" s="118"/>
      <c r="F878" s="118"/>
      <c r="G878" s="118"/>
      <c r="H878" s="118"/>
      <c r="I878" s="118"/>
      <c r="J878" s="118"/>
      <c r="K878" s="118"/>
      <c r="L878" s="118"/>
      <c r="M878" s="118"/>
      <c r="N878" s="118"/>
      <c r="O878" s="42"/>
      <c r="P878" s="42"/>
      <c r="Q878" s="42"/>
      <c r="R878" s="42"/>
      <c r="S878" s="121"/>
      <c r="T878" s="119"/>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row>
    <row r="879" spans="1:46" ht="15.75" customHeight="1" x14ac:dyDescent="0.2">
      <c r="A879" s="118"/>
      <c r="B879" s="118"/>
      <c r="C879" s="118"/>
      <c r="D879" s="118"/>
      <c r="E879" s="118"/>
      <c r="F879" s="118"/>
      <c r="G879" s="118"/>
      <c r="H879" s="118"/>
      <c r="I879" s="118"/>
      <c r="J879" s="118"/>
      <c r="K879" s="118"/>
      <c r="L879" s="118"/>
      <c r="M879" s="118"/>
      <c r="N879" s="118"/>
      <c r="O879" s="42"/>
      <c r="P879" s="42"/>
      <c r="Q879" s="42"/>
      <c r="R879" s="42"/>
      <c r="S879" s="121"/>
      <c r="T879" s="119"/>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row>
    <row r="880" spans="1:46" ht="15.75" customHeight="1" x14ac:dyDescent="0.2">
      <c r="A880" s="118"/>
      <c r="B880" s="118"/>
      <c r="C880" s="118"/>
      <c r="D880" s="118"/>
      <c r="E880" s="118"/>
      <c r="F880" s="118"/>
      <c r="G880" s="118"/>
      <c r="H880" s="118"/>
      <c r="I880" s="118"/>
      <c r="J880" s="118"/>
      <c r="K880" s="118"/>
      <c r="L880" s="118"/>
      <c r="M880" s="118"/>
      <c r="N880" s="118"/>
      <c r="O880" s="42"/>
      <c r="P880" s="42"/>
      <c r="Q880" s="42"/>
      <c r="R880" s="42"/>
      <c r="S880" s="121"/>
      <c r="T880" s="119"/>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row>
    <row r="881" spans="1:46" ht="15.75" customHeight="1" x14ac:dyDescent="0.2">
      <c r="A881" s="118"/>
      <c r="B881" s="118"/>
      <c r="C881" s="118"/>
      <c r="D881" s="118"/>
      <c r="E881" s="118"/>
      <c r="F881" s="118"/>
      <c r="G881" s="118"/>
      <c r="H881" s="118"/>
      <c r="I881" s="118"/>
      <c r="J881" s="118"/>
      <c r="K881" s="118"/>
      <c r="L881" s="118"/>
      <c r="M881" s="118"/>
      <c r="N881" s="118"/>
      <c r="O881" s="42"/>
      <c r="P881" s="42"/>
      <c r="Q881" s="42"/>
      <c r="R881" s="42"/>
      <c r="S881" s="121"/>
      <c r="T881" s="119"/>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row>
    <row r="882" spans="1:46" ht="15.75" customHeight="1" x14ac:dyDescent="0.2">
      <c r="A882" s="118"/>
      <c r="B882" s="118"/>
      <c r="C882" s="118"/>
      <c r="D882" s="118"/>
      <c r="E882" s="118"/>
      <c r="F882" s="118"/>
      <c r="G882" s="118"/>
      <c r="H882" s="118"/>
      <c r="I882" s="118"/>
      <c r="J882" s="118"/>
      <c r="K882" s="118"/>
      <c r="L882" s="118"/>
      <c r="M882" s="118"/>
      <c r="N882" s="118"/>
      <c r="O882" s="42"/>
      <c r="P882" s="42"/>
      <c r="Q882" s="42"/>
      <c r="R882" s="42"/>
      <c r="S882" s="121"/>
      <c r="T882" s="119"/>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row>
    <row r="883" spans="1:46" ht="15.75" customHeight="1" x14ac:dyDescent="0.2">
      <c r="A883" s="118"/>
      <c r="B883" s="118"/>
      <c r="C883" s="118"/>
      <c r="D883" s="118"/>
      <c r="E883" s="118"/>
      <c r="F883" s="118"/>
      <c r="G883" s="118"/>
      <c r="H883" s="118"/>
      <c r="I883" s="118"/>
      <c r="J883" s="118"/>
      <c r="K883" s="118"/>
      <c r="L883" s="118"/>
      <c r="M883" s="118"/>
      <c r="N883" s="118"/>
      <c r="O883" s="42"/>
      <c r="P883" s="42"/>
      <c r="Q883" s="42"/>
      <c r="R883" s="42"/>
      <c r="S883" s="121"/>
      <c r="T883" s="119"/>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row>
    <row r="884" spans="1:46" ht="15.75" customHeight="1" x14ac:dyDescent="0.2">
      <c r="A884" s="118"/>
      <c r="B884" s="118"/>
      <c r="C884" s="118"/>
      <c r="D884" s="118"/>
      <c r="E884" s="118"/>
      <c r="F884" s="118"/>
      <c r="G884" s="118"/>
      <c r="H884" s="118"/>
      <c r="I884" s="118"/>
      <c r="J884" s="118"/>
      <c r="K884" s="118"/>
      <c r="L884" s="118"/>
      <c r="M884" s="118"/>
      <c r="N884" s="118"/>
      <c r="O884" s="42"/>
      <c r="P884" s="42"/>
      <c r="Q884" s="42"/>
      <c r="R884" s="42"/>
      <c r="S884" s="121"/>
      <c r="T884" s="119"/>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row>
    <row r="885" spans="1:46" ht="15.75" customHeight="1" x14ac:dyDescent="0.2">
      <c r="A885" s="118"/>
      <c r="B885" s="118"/>
      <c r="C885" s="118"/>
      <c r="D885" s="118"/>
      <c r="E885" s="118"/>
      <c r="F885" s="118"/>
      <c r="G885" s="118"/>
      <c r="H885" s="118"/>
      <c r="I885" s="118"/>
      <c r="J885" s="118"/>
      <c r="K885" s="118"/>
      <c r="L885" s="118"/>
      <c r="M885" s="118"/>
      <c r="N885" s="118"/>
      <c r="O885" s="42"/>
      <c r="P885" s="42"/>
      <c r="Q885" s="42"/>
      <c r="R885" s="42"/>
      <c r="S885" s="121"/>
      <c r="T885" s="119"/>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row>
    <row r="886" spans="1:46" ht="15.75" customHeight="1" x14ac:dyDescent="0.2">
      <c r="A886" s="118"/>
      <c r="B886" s="118"/>
      <c r="C886" s="118"/>
      <c r="D886" s="118"/>
      <c r="E886" s="118"/>
      <c r="F886" s="118"/>
      <c r="G886" s="118"/>
      <c r="H886" s="118"/>
      <c r="I886" s="118"/>
      <c r="J886" s="118"/>
      <c r="K886" s="118"/>
      <c r="L886" s="118"/>
      <c r="M886" s="118"/>
      <c r="N886" s="118"/>
      <c r="O886" s="42"/>
      <c r="P886" s="42"/>
      <c r="Q886" s="42"/>
      <c r="R886" s="42"/>
      <c r="S886" s="121"/>
      <c r="T886" s="119"/>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row>
    <row r="887" spans="1:46" ht="15.75" customHeight="1" x14ac:dyDescent="0.2">
      <c r="A887" s="118"/>
      <c r="B887" s="118"/>
      <c r="C887" s="118"/>
      <c r="D887" s="118"/>
      <c r="E887" s="118"/>
      <c r="F887" s="118"/>
      <c r="G887" s="118"/>
      <c r="H887" s="118"/>
      <c r="I887" s="118"/>
      <c r="J887" s="118"/>
      <c r="K887" s="118"/>
      <c r="L887" s="118"/>
      <c r="M887" s="118"/>
      <c r="N887" s="118"/>
      <c r="O887" s="42"/>
      <c r="P887" s="42"/>
      <c r="Q887" s="42"/>
      <c r="R887" s="42"/>
      <c r="S887" s="121"/>
      <c r="T887" s="119"/>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row>
    <row r="888" spans="1:46" ht="15.75" customHeight="1" x14ac:dyDescent="0.2">
      <c r="A888" s="118"/>
      <c r="B888" s="118"/>
      <c r="C888" s="118"/>
      <c r="D888" s="118"/>
      <c r="E888" s="118"/>
      <c r="F888" s="118"/>
      <c r="G888" s="118"/>
      <c r="H888" s="118"/>
      <c r="I888" s="118"/>
      <c r="J888" s="118"/>
      <c r="K888" s="118"/>
      <c r="L888" s="118"/>
      <c r="M888" s="118"/>
      <c r="N888" s="118"/>
      <c r="O888" s="42"/>
      <c r="P888" s="42"/>
      <c r="Q888" s="42"/>
      <c r="R888" s="42"/>
      <c r="S888" s="121"/>
      <c r="T888" s="119"/>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row>
    <row r="889" spans="1:46" ht="15.75" customHeight="1" x14ac:dyDescent="0.2">
      <c r="A889" s="118"/>
      <c r="B889" s="118"/>
      <c r="C889" s="118"/>
      <c r="D889" s="118"/>
      <c r="E889" s="118"/>
      <c r="F889" s="118"/>
      <c r="G889" s="118"/>
      <c r="H889" s="118"/>
      <c r="I889" s="118"/>
      <c r="J889" s="118"/>
      <c r="K889" s="118"/>
      <c r="L889" s="118"/>
      <c r="M889" s="118"/>
      <c r="N889" s="118"/>
      <c r="O889" s="42"/>
      <c r="P889" s="42"/>
      <c r="Q889" s="42"/>
      <c r="R889" s="42"/>
      <c r="S889" s="121"/>
      <c r="T889" s="119"/>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row>
    <row r="890" spans="1:46" ht="15.75" customHeight="1" x14ac:dyDescent="0.2">
      <c r="A890" s="118"/>
      <c r="B890" s="118"/>
      <c r="C890" s="118"/>
      <c r="D890" s="118"/>
      <c r="E890" s="118"/>
      <c r="F890" s="118"/>
      <c r="G890" s="118"/>
      <c r="H890" s="118"/>
      <c r="I890" s="118"/>
      <c r="J890" s="118"/>
      <c r="K890" s="118"/>
      <c r="L890" s="118"/>
      <c r="M890" s="118"/>
      <c r="N890" s="118"/>
      <c r="O890" s="42"/>
      <c r="P890" s="42"/>
      <c r="Q890" s="42"/>
      <c r="R890" s="42"/>
      <c r="S890" s="121"/>
      <c r="T890" s="119"/>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row>
    <row r="891" spans="1:46" ht="15.75" customHeight="1" x14ac:dyDescent="0.2">
      <c r="A891" s="118"/>
      <c r="B891" s="118"/>
      <c r="C891" s="118"/>
      <c r="D891" s="118"/>
      <c r="E891" s="118"/>
      <c r="F891" s="118"/>
      <c r="G891" s="118"/>
      <c r="H891" s="118"/>
      <c r="I891" s="118"/>
      <c r="J891" s="118"/>
      <c r="K891" s="118"/>
      <c r="L891" s="118"/>
      <c r="M891" s="118"/>
      <c r="N891" s="118"/>
      <c r="O891" s="42"/>
      <c r="P891" s="42"/>
      <c r="Q891" s="42"/>
      <c r="R891" s="42"/>
      <c r="S891" s="121"/>
      <c r="T891" s="119"/>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row>
    <row r="892" spans="1:46" ht="15.75" customHeight="1" x14ac:dyDescent="0.2">
      <c r="A892" s="118"/>
      <c r="B892" s="118"/>
      <c r="C892" s="118"/>
      <c r="D892" s="118"/>
      <c r="E892" s="118"/>
      <c r="F892" s="118"/>
      <c r="G892" s="118"/>
      <c r="H892" s="118"/>
      <c r="I892" s="118"/>
      <c r="J892" s="118"/>
      <c r="K892" s="118"/>
      <c r="L892" s="118"/>
      <c r="M892" s="118"/>
      <c r="N892" s="118"/>
      <c r="O892" s="42"/>
      <c r="P892" s="42"/>
      <c r="Q892" s="42"/>
      <c r="R892" s="42"/>
      <c r="S892" s="121"/>
      <c r="T892" s="119"/>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row>
    <row r="893" spans="1:46" ht="15.75" customHeight="1" x14ac:dyDescent="0.2">
      <c r="A893" s="118"/>
      <c r="B893" s="118"/>
      <c r="C893" s="118"/>
      <c r="D893" s="118"/>
      <c r="E893" s="118"/>
      <c r="F893" s="118"/>
      <c r="G893" s="118"/>
      <c r="H893" s="118"/>
      <c r="I893" s="118"/>
      <c r="J893" s="118"/>
      <c r="K893" s="118"/>
      <c r="L893" s="118"/>
      <c r="M893" s="118"/>
      <c r="N893" s="118"/>
      <c r="O893" s="42"/>
      <c r="P893" s="42"/>
      <c r="Q893" s="42"/>
      <c r="R893" s="42"/>
      <c r="S893" s="121"/>
      <c r="T893" s="119"/>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row>
    <row r="894" spans="1:46" ht="15.75" customHeight="1" x14ac:dyDescent="0.2">
      <c r="A894" s="118"/>
      <c r="B894" s="118"/>
      <c r="C894" s="118"/>
      <c r="D894" s="118"/>
      <c r="E894" s="118"/>
      <c r="F894" s="118"/>
      <c r="G894" s="118"/>
      <c r="H894" s="118"/>
      <c r="I894" s="118"/>
      <c r="J894" s="118"/>
      <c r="K894" s="118"/>
      <c r="L894" s="118"/>
      <c r="M894" s="118"/>
      <c r="N894" s="118"/>
      <c r="O894" s="42"/>
      <c r="P894" s="42"/>
      <c r="Q894" s="42"/>
      <c r="R894" s="42"/>
      <c r="S894" s="121"/>
      <c r="T894" s="119"/>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row>
    <row r="895" spans="1:46" ht="15.75" customHeight="1" x14ac:dyDescent="0.2">
      <c r="A895" s="118"/>
      <c r="B895" s="118"/>
      <c r="C895" s="118"/>
      <c r="D895" s="118"/>
      <c r="E895" s="118"/>
      <c r="F895" s="118"/>
      <c r="G895" s="118"/>
      <c r="H895" s="118"/>
      <c r="I895" s="118"/>
      <c r="J895" s="118"/>
      <c r="K895" s="118"/>
      <c r="L895" s="118"/>
      <c r="M895" s="118"/>
      <c r="N895" s="118"/>
      <c r="O895" s="42"/>
      <c r="P895" s="42"/>
      <c r="Q895" s="42"/>
      <c r="R895" s="42"/>
      <c r="S895" s="121"/>
      <c r="T895" s="119"/>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row>
    <row r="896" spans="1:46" ht="15.75" customHeight="1" x14ac:dyDescent="0.2">
      <c r="A896" s="118"/>
      <c r="B896" s="118"/>
      <c r="C896" s="118"/>
      <c r="D896" s="118"/>
      <c r="E896" s="118"/>
      <c r="F896" s="118"/>
      <c r="G896" s="118"/>
      <c r="H896" s="118"/>
      <c r="I896" s="118"/>
      <c r="J896" s="118"/>
      <c r="K896" s="118"/>
      <c r="L896" s="118"/>
      <c r="M896" s="118"/>
      <c r="N896" s="118"/>
      <c r="O896" s="42"/>
      <c r="P896" s="42"/>
      <c r="Q896" s="42"/>
      <c r="R896" s="42"/>
      <c r="S896" s="121"/>
      <c r="T896" s="119"/>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row>
    <row r="897" spans="1:46" ht="15.75" customHeight="1" x14ac:dyDescent="0.2">
      <c r="A897" s="118"/>
      <c r="B897" s="118"/>
      <c r="C897" s="118"/>
      <c r="D897" s="118"/>
      <c r="E897" s="118"/>
      <c r="F897" s="118"/>
      <c r="G897" s="118"/>
      <c r="H897" s="118"/>
      <c r="I897" s="118"/>
      <c r="J897" s="118"/>
      <c r="K897" s="118"/>
      <c r="L897" s="118"/>
      <c r="M897" s="118"/>
      <c r="N897" s="118"/>
      <c r="O897" s="42"/>
      <c r="P897" s="42"/>
      <c r="Q897" s="42"/>
      <c r="R897" s="42"/>
      <c r="S897" s="121"/>
      <c r="T897" s="119"/>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row>
    <row r="898" spans="1:46" ht="15.75" customHeight="1" x14ac:dyDescent="0.2">
      <c r="A898" s="118"/>
      <c r="B898" s="118"/>
      <c r="C898" s="118"/>
      <c r="D898" s="118"/>
      <c r="E898" s="118"/>
      <c r="F898" s="118"/>
      <c r="G898" s="118"/>
      <c r="H898" s="118"/>
      <c r="I898" s="118"/>
      <c r="J898" s="118"/>
      <c r="K898" s="118"/>
      <c r="L898" s="118"/>
      <c r="M898" s="118"/>
      <c r="N898" s="118"/>
      <c r="O898" s="42"/>
      <c r="P898" s="42"/>
      <c r="Q898" s="42"/>
      <c r="R898" s="42"/>
      <c r="S898" s="121"/>
      <c r="T898" s="119"/>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row>
    <row r="899" spans="1:46" ht="15.75" customHeight="1" x14ac:dyDescent="0.2">
      <c r="A899" s="118"/>
      <c r="B899" s="118"/>
      <c r="C899" s="118"/>
      <c r="D899" s="118"/>
      <c r="E899" s="118"/>
      <c r="F899" s="118"/>
      <c r="G899" s="118"/>
      <c r="H899" s="118"/>
      <c r="I899" s="118"/>
      <c r="J899" s="118"/>
      <c r="K899" s="118"/>
      <c r="L899" s="118"/>
      <c r="M899" s="118"/>
      <c r="N899" s="118"/>
      <c r="O899" s="42"/>
      <c r="P899" s="42"/>
      <c r="Q899" s="42"/>
      <c r="R899" s="42"/>
      <c r="S899" s="121"/>
      <c r="T899" s="119"/>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row>
    <row r="900" spans="1:46" ht="15.75" customHeight="1" x14ac:dyDescent="0.2">
      <c r="A900" s="118"/>
      <c r="B900" s="118"/>
      <c r="C900" s="118"/>
      <c r="D900" s="118"/>
      <c r="E900" s="118"/>
      <c r="F900" s="118"/>
      <c r="G900" s="118"/>
      <c r="H900" s="118"/>
      <c r="I900" s="118"/>
      <c r="J900" s="118"/>
      <c r="K900" s="118"/>
      <c r="L900" s="118"/>
      <c r="M900" s="118"/>
      <c r="N900" s="118"/>
      <c r="O900" s="42"/>
      <c r="P900" s="42"/>
      <c r="Q900" s="42"/>
      <c r="R900" s="42"/>
      <c r="S900" s="121"/>
      <c r="T900" s="119"/>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row>
    <row r="901" spans="1:46" ht="15.75" customHeight="1" x14ac:dyDescent="0.2">
      <c r="A901" s="118"/>
      <c r="B901" s="118"/>
      <c r="C901" s="118"/>
      <c r="D901" s="118"/>
      <c r="E901" s="118"/>
      <c r="F901" s="118"/>
      <c r="G901" s="118"/>
      <c r="H901" s="118"/>
      <c r="I901" s="118"/>
      <c r="J901" s="118"/>
      <c r="K901" s="118"/>
      <c r="L901" s="118"/>
      <c r="M901" s="118"/>
      <c r="N901" s="118"/>
      <c r="O901" s="42"/>
      <c r="P901" s="42"/>
      <c r="Q901" s="42"/>
      <c r="R901" s="42"/>
      <c r="S901" s="121"/>
      <c r="T901" s="119"/>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row>
    <row r="902" spans="1:46" ht="15.75" customHeight="1" x14ac:dyDescent="0.2">
      <c r="A902" s="118"/>
      <c r="B902" s="118"/>
      <c r="C902" s="118"/>
      <c r="D902" s="118"/>
      <c r="E902" s="118"/>
      <c r="F902" s="118"/>
      <c r="G902" s="118"/>
      <c r="H902" s="118"/>
      <c r="I902" s="118"/>
      <c r="J902" s="118"/>
      <c r="K902" s="118"/>
      <c r="L902" s="118"/>
      <c r="M902" s="118"/>
      <c r="N902" s="118"/>
      <c r="O902" s="42"/>
      <c r="P902" s="42"/>
      <c r="Q902" s="42"/>
      <c r="R902" s="42"/>
      <c r="S902" s="121"/>
      <c r="T902" s="119"/>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row>
    <row r="903" spans="1:46" ht="15.75" customHeight="1" x14ac:dyDescent="0.2">
      <c r="A903" s="118"/>
      <c r="B903" s="118"/>
      <c r="C903" s="118"/>
      <c r="D903" s="118"/>
      <c r="E903" s="118"/>
      <c r="F903" s="118"/>
      <c r="G903" s="118"/>
      <c r="H903" s="118"/>
      <c r="I903" s="118"/>
      <c r="J903" s="118"/>
      <c r="K903" s="118"/>
      <c r="L903" s="118"/>
      <c r="M903" s="118"/>
      <c r="N903" s="118"/>
      <c r="O903" s="42"/>
      <c r="P903" s="42"/>
      <c r="Q903" s="42"/>
      <c r="R903" s="42"/>
      <c r="S903" s="121"/>
      <c r="T903" s="119"/>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row>
    <row r="904" spans="1:46" ht="15.75" customHeight="1" x14ac:dyDescent="0.2">
      <c r="A904" s="118"/>
      <c r="B904" s="118"/>
      <c r="C904" s="118"/>
      <c r="D904" s="118"/>
      <c r="E904" s="118"/>
      <c r="F904" s="118"/>
      <c r="G904" s="118"/>
      <c r="H904" s="118"/>
      <c r="I904" s="118"/>
      <c r="J904" s="118"/>
      <c r="K904" s="118"/>
      <c r="L904" s="118"/>
      <c r="M904" s="118"/>
      <c r="N904" s="118"/>
      <c r="O904" s="42"/>
      <c r="P904" s="42"/>
      <c r="Q904" s="42"/>
      <c r="R904" s="42"/>
      <c r="S904" s="121"/>
      <c r="T904" s="119"/>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row>
    <row r="905" spans="1:46" ht="15.75" customHeight="1" x14ac:dyDescent="0.2">
      <c r="A905" s="118"/>
      <c r="B905" s="118"/>
      <c r="C905" s="118"/>
      <c r="D905" s="118"/>
      <c r="E905" s="118"/>
      <c r="F905" s="118"/>
      <c r="G905" s="118"/>
      <c r="H905" s="118"/>
      <c r="I905" s="118"/>
      <c r="J905" s="118"/>
      <c r="K905" s="118"/>
      <c r="L905" s="118"/>
      <c r="M905" s="118"/>
      <c r="N905" s="118"/>
      <c r="O905" s="42"/>
      <c r="P905" s="42"/>
      <c r="Q905" s="42"/>
      <c r="R905" s="42"/>
      <c r="S905" s="121"/>
      <c r="T905" s="119"/>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row>
    <row r="906" spans="1:46" ht="15.75" customHeight="1" x14ac:dyDescent="0.2">
      <c r="A906" s="118"/>
      <c r="B906" s="118"/>
      <c r="C906" s="118"/>
      <c r="D906" s="118"/>
      <c r="E906" s="118"/>
      <c r="F906" s="118"/>
      <c r="G906" s="118"/>
      <c r="H906" s="118"/>
      <c r="I906" s="118"/>
      <c r="J906" s="118"/>
      <c r="K906" s="118"/>
      <c r="L906" s="118"/>
      <c r="M906" s="118"/>
      <c r="N906" s="118"/>
      <c r="O906" s="42"/>
      <c r="P906" s="42"/>
      <c r="Q906" s="42"/>
      <c r="R906" s="42"/>
      <c r="S906" s="121"/>
      <c r="T906" s="119"/>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row>
    <row r="907" spans="1:46" ht="15.75" customHeight="1" x14ac:dyDescent="0.2">
      <c r="A907" s="118"/>
      <c r="B907" s="118"/>
      <c r="C907" s="118"/>
      <c r="D907" s="118"/>
      <c r="E907" s="118"/>
      <c r="F907" s="118"/>
      <c r="G907" s="118"/>
      <c r="H907" s="118"/>
      <c r="I907" s="118"/>
      <c r="J907" s="118"/>
      <c r="K907" s="118"/>
      <c r="L907" s="118"/>
      <c r="M907" s="118"/>
      <c r="N907" s="118"/>
      <c r="O907" s="42"/>
      <c r="P907" s="42"/>
      <c r="Q907" s="42"/>
      <c r="R907" s="42"/>
      <c r="S907" s="121"/>
      <c r="T907" s="119"/>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row>
    <row r="908" spans="1:46" ht="15.75" customHeight="1" x14ac:dyDescent="0.2">
      <c r="A908" s="118"/>
      <c r="B908" s="118"/>
      <c r="C908" s="118"/>
      <c r="D908" s="118"/>
      <c r="E908" s="118"/>
      <c r="F908" s="118"/>
      <c r="G908" s="118"/>
      <c r="H908" s="118"/>
      <c r="I908" s="118"/>
      <c r="J908" s="118"/>
      <c r="K908" s="118"/>
      <c r="L908" s="118"/>
      <c r="M908" s="118"/>
      <c r="N908" s="118"/>
      <c r="O908" s="42"/>
      <c r="P908" s="42"/>
      <c r="Q908" s="42"/>
      <c r="R908" s="42"/>
      <c r="S908" s="121"/>
      <c r="T908" s="119"/>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row>
    <row r="909" spans="1:46" ht="15.75" customHeight="1" x14ac:dyDescent="0.2">
      <c r="A909" s="118"/>
      <c r="B909" s="118"/>
      <c r="C909" s="118"/>
      <c r="D909" s="118"/>
      <c r="E909" s="118"/>
      <c r="F909" s="118"/>
      <c r="G909" s="118"/>
      <c r="H909" s="118"/>
      <c r="I909" s="118"/>
      <c r="J909" s="118"/>
      <c r="K909" s="118"/>
      <c r="L909" s="118"/>
      <c r="M909" s="118"/>
      <c r="N909" s="118"/>
      <c r="O909" s="42"/>
      <c r="P909" s="42"/>
      <c r="Q909" s="42"/>
      <c r="R909" s="42"/>
      <c r="S909" s="121"/>
      <c r="T909" s="119"/>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row>
    <row r="910" spans="1:46" ht="15.75" customHeight="1" x14ac:dyDescent="0.2">
      <c r="A910" s="118"/>
      <c r="B910" s="118"/>
      <c r="C910" s="118"/>
      <c r="D910" s="118"/>
      <c r="E910" s="118"/>
      <c r="F910" s="118"/>
      <c r="G910" s="118"/>
      <c r="H910" s="118"/>
      <c r="I910" s="118"/>
      <c r="J910" s="118"/>
      <c r="K910" s="118"/>
      <c r="L910" s="118"/>
      <c r="M910" s="118"/>
      <c r="N910" s="118"/>
      <c r="O910" s="42"/>
      <c r="P910" s="42"/>
      <c r="Q910" s="42"/>
      <c r="R910" s="42"/>
      <c r="S910" s="121"/>
      <c r="T910" s="119"/>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row>
    <row r="911" spans="1:46" ht="15.75" customHeight="1" x14ac:dyDescent="0.2">
      <c r="A911" s="118"/>
      <c r="B911" s="118"/>
      <c r="C911" s="118"/>
      <c r="D911" s="118"/>
      <c r="E911" s="118"/>
      <c r="F911" s="118"/>
      <c r="G911" s="118"/>
      <c r="H911" s="118"/>
      <c r="I911" s="118"/>
      <c r="J911" s="118"/>
      <c r="K911" s="118"/>
      <c r="L911" s="118"/>
      <c r="M911" s="118"/>
      <c r="N911" s="118"/>
      <c r="O911" s="42"/>
      <c r="P911" s="42"/>
      <c r="Q911" s="42"/>
      <c r="R911" s="42"/>
      <c r="S911" s="121"/>
      <c r="T911" s="119"/>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row>
    <row r="912" spans="1:46" ht="15.75" customHeight="1" x14ac:dyDescent="0.2">
      <c r="A912" s="118"/>
      <c r="B912" s="118"/>
      <c r="C912" s="118"/>
      <c r="D912" s="118"/>
      <c r="E912" s="118"/>
      <c r="F912" s="118"/>
      <c r="G912" s="118"/>
      <c r="H912" s="118"/>
      <c r="I912" s="118"/>
      <c r="J912" s="118"/>
      <c r="K912" s="118"/>
      <c r="L912" s="118"/>
      <c r="M912" s="118"/>
      <c r="N912" s="118"/>
      <c r="O912" s="42"/>
      <c r="P912" s="42"/>
      <c r="Q912" s="42"/>
      <c r="R912" s="42"/>
      <c r="S912" s="121"/>
      <c r="T912" s="119"/>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row>
    <row r="913" spans="1:46" ht="15.75" customHeight="1" x14ac:dyDescent="0.2">
      <c r="A913" s="118"/>
      <c r="B913" s="118"/>
      <c r="C913" s="118"/>
      <c r="D913" s="118"/>
      <c r="E913" s="118"/>
      <c r="F913" s="118"/>
      <c r="G913" s="118"/>
      <c r="H913" s="118"/>
      <c r="I913" s="118"/>
      <c r="J913" s="118"/>
      <c r="K913" s="118"/>
      <c r="L913" s="118"/>
      <c r="M913" s="118"/>
      <c r="N913" s="118"/>
      <c r="O913" s="42"/>
      <c r="P913" s="42"/>
      <c r="Q913" s="42"/>
      <c r="R913" s="42"/>
      <c r="S913" s="121"/>
      <c r="T913" s="119"/>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row>
    <row r="914" spans="1:46" ht="15.75" customHeight="1" x14ac:dyDescent="0.2">
      <c r="A914" s="118"/>
      <c r="B914" s="118"/>
      <c r="C914" s="118"/>
      <c r="D914" s="118"/>
      <c r="E914" s="118"/>
      <c r="F914" s="118"/>
      <c r="G914" s="118"/>
      <c r="H914" s="118"/>
      <c r="I914" s="118"/>
      <c r="J914" s="118"/>
      <c r="K914" s="118"/>
      <c r="L914" s="118"/>
      <c r="M914" s="118"/>
      <c r="N914" s="118"/>
      <c r="O914" s="42"/>
      <c r="P914" s="42"/>
      <c r="Q914" s="42"/>
      <c r="R914" s="42"/>
      <c r="S914" s="121"/>
      <c r="T914" s="119"/>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row>
    <row r="915" spans="1:46" ht="15.75" customHeight="1" x14ac:dyDescent="0.2">
      <c r="A915" s="118"/>
      <c r="B915" s="118"/>
      <c r="C915" s="118"/>
      <c r="D915" s="118"/>
      <c r="E915" s="118"/>
      <c r="F915" s="118"/>
      <c r="G915" s="118"/>
      <c r="H915" s="118"/>
      <c r="I915" s="118"/>
      <c r="J915" s="118"/>
      <c r="K915" s="118"/>
      <c r="L915" s="118"/>
      <c r="M915" s="118"/>
      <c r="N915" s="118"/>
      <c r="O915" s="42"/>
      <c r="P915" s="42"/>
      <c r="Q915" s="42"/>
      <c r="R915" s="42"/>
      <c r="S915" s="121"/>
      <c r="T915" s="119"/>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row>
    <row r="916" spans="1:46" ht="15.75" customHeight="1" x14ac:dyDescent="0.2">
      <c r="A916" s="118"/>
      <c r="B916" s="118"/>
      <c r="C916" s="118"/>
      <c r="D916" s="118"/>
      <c r="E916" s="118"/>
      <c r="F916" s="118"/>
      <c r="G916" s="118"/>
      <c r="H916" s="118"/>
      <c r="I916" s="118"/>
      <c r="J916" s="118"/>
      <c r="K916" s="118"/>
      <c r="L916" s="118"/>
      <c r="M916" s="118"/>
      <c r="N916" s="118"/>
      <c r="O916" s="42"/>
      <c r="P916" s="42"/>
      <c r="Q916" s="42"/>
      <c r="R916" s="42"/>
      <c r="S916" s="121"/>
      <c r="T916" s="119"/>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row>
    <row r="917" spans="1:46" ht="15.75" customHeight="1" x14ac:dyDescent="0.2">
      <c r="A917" s="118"/>
      <c r="B917" s="118"/>
      <c r="C917" s="118"/>
      <c r="D917" s="118"/>
      <c r="E917" s="118"/>
      <c r="F917" s="118"/>
      <c r="G917" s="118"/>
      <c r="H917" s="118"/>
      <c r="I917" s="118"/>
      <c r="J917" s="118"/>
      <c r="K917" s="118"/>
      <c r="L917" s="118"/>
      <c r="M917" s="118"/>
      <c r="N917" s="118"/>
      <c r="O917" s="42"/>
      <c r="P917" s="42"/>
      <c r="Q917" s="42"/>
      <c r="R917" s="42"/>
      <c r="S917" s="121"/>
      <c r="T917" s="119"/>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row>
    <row r="918" spans="1:46" ht="15.75" customHeight="1" x14ac:dyDescent="0.2">
      <c r="A918" s="118"/>
      <c r="B918" s="118"/>
      <c r="C918" s="118"/>
      <c r="D918" s="118"/>
      <c r="E918" s="118"/>
      <c r="F918" s="118"/>
      <c r="G918" s="118"/>
      <c r="H918" s="118"/>
      <c r="I918" s="118"/>
      <c r="J918" s="118"/>
      <c r="K918" s="118"/>
      <c r="L918" s="118"/>
      <c r="M918" s="118"/>
      <c r="N918" s="118"/>
      <c r="O918" s="42"/>
      <c r="P918" s="42"/>
      <c r="Q918" s="42"/>
      <c r="R918" s="42"/>
      <c r="S918" s="121"/>
      <c r="T918" s="119"/>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row>
    <row r="919" spans="1:46" ht="15.75" customHeight="1" x14ac:dyDescent="0.2">
      <c r="A919" s="118"/>
      <c r="B919" s="118"/>
      <c r="C919" s="118"/>
      <c r="D919" s="118"/>
      <c r="E919" s="118"/>
      <c r="F919" s="118"/>
      <c r="G919" s="118"/>
      <c r="H919" s="118"/>
      <c r="I919" s="118"/>
      <c r="J919" s="118"/>
      <c r="K919" s="118"/>
      <c r="L919" s="118"/>
      <c r="M919" s="118"/>
      <c r="N919" s="118"/>
      <c r="O919" s="42"/>
      <c r="P919" s="42"/>
      <c r="Q919" s="42"/>
      <c r="R919" s="42"/>
      <c r="S919" s="121"/>
      <c r="T919" s="119"/>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row>
    <row r="920" spans="1:46" ht="15.75" customHeight="1" x14ac:dyDescent="0.2">
      <c r="A920" s="118"/>
      <c r="B920" s="118"/>
      <c r="C920" s="118"/>
      <c r="D920" s="118"/>
      <c r="E920" s="118"/>
      <c r="F920" s="118"/>
      <c r="G920" s="118"/>
      <c r="H920" s="118"/>
      <c r="I920" s="118"/>
      <c r="J920" s="118"/>
      <c r="K920" s="118"/>
      <c r="L920" s="118"/>
      <c r="M920" s="118"/>
      <c r="N920" s="118"/>
      <c r="O920" s="42"/>
      <c r="P920" s="42"/>
      <c r="Q920" s="42"/>
      <c r="R920" s="42"/>
      <c r="S920" s="121"/>
      <c r="T920" s="119"/>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row>
    <row r="921" spans="1:46" ht="15.75" customHeight="1" x14ac:dyDescent="0.2">
      <c r="A921" s="118"/>
      <c r="B921" s="118"/>
      <c r="C921" s="118"/>
      <c r="D921" s="118"/>
      <c r="E921" s="118"/>
      <c r="F921" s="118"/>
      <c r="G921" s="118"/>
      <c r="H921" s="118"/>
      <c r="I921" s="118"/>
      <c r="J921" s="118"/>
      <c r="K921" s="118"/>
      <c r="L921" s="118"/>
      <c r="M921" s="118"/>
      <c r="N921" s="118"/>
      <c r="O921" s="42"/>
      <c r="P921" s="42"/>
      <c r="Q921" s="42"/>
      <c r="R921" s="42"/>
      <c r="S921" s="121"/>
      <c r="T921" s="119"/>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row>
    <row r="922" spans="1:46" ht="15.75" customHeight="1" x14ac:dyDescent="0.2">
      <c r="A922" s="118"/>
      <c r="B922" s="118"/>
      <c r="C922" s="118"/>
      <c r="D922" s="118"/>
      <c r="E922" s="118"/>
      <c r="F922" s="118"/>
      <c r="G922" s="118"/>
      <c r="H922" s="118"/>
      <c r="I922" s="118"/>
      <c r="J922" s="118"/>
      <c r="K922" s="118"/>
      <c r="L922" s="118"/>
      <c r="M922" s="118"/>
      <c r="N922" s="118"/>
      <c r="O922" s="42"/>
      <c r="P922" s="42"/>
      <c r="Q922" s="42"/>
      <c r="R922" s="42"/>
      <c r="S922" s="121"/>
      <c r="T922" s="119"/>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row>
    <row r="923" spans="1:46" ht="15.75" customHeight="1" x14ac:dyDescent="0.2">
      <c r="A923" s="118"/>
      <c r="B923" s="118"/>
      <c r="C923" s="118"/>
      <c r="D923" s="118"/>
      <c r="E923" s="118"/>
      <c r="F923" s="118"/>
      <c r="G923" s="118"/>
      <c r="H923" s="118"/>
      <c r="I923" s="118"/>
      <c r="J923" s="118"/>
      <c r="K923" s="118"/>
      <c r="L923" s="118"/>
      <c r="M923" s="118"/>
      <c r="N923" s="118"/>
      <c r="O923" s="42"/>
      <c r="P923" s="42"/>
      <c r="Q923" s="42"/>
      <c r="R923" s="42"/>
      <c r="S923" s="121"/>
      <c r="T923" s="119"/>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row>
    <row r="924" spans="1:46" ht="15.75" customHeight="1" x14ac:dyDescent="0.2">
      <c r="A924" s="118"/>
      <c r="B924" s="118"/>
      <c r="C924" s="118"/>
      <c r="D924" s="118"/>
      <c r="E924" s="118"/>
      <c r="F924" s="118"/>
      <c r="G924" s="118"/>
      <c r="H924" s="118"/>
      <c r="I924" s="118"/>
      <c r="J924" s="118"/>
      <c r="K924" s="118"/>
      <c r="L924" s="118"/>
      <c r="M924" s="118"/>
      <c r="N924" s="118"/>
      <c r="O924" s="42"/>
      <c r="P924" s="42"/>
      <c r="Q924" s="42"/>
      <c r="R924" s="42"/>
      <c r="S924" s="121"/>
      <c r="T924" s="119"/>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row>
    <row r="925" spans="1:46" ht="15.75" customHeight="1" x14ac:dyDescent="0.2">
      <c r="A925" s="118"/>
      <c r="B925" s="118"/>
      <c r="C925" s="118"/>
      <c r="D925" s="118"/>
      <c r="E925" s="118"/>
      <c r="F925" s="118"/>
      <c r="G925" s="118"/>
      <c r="H925" s="118"/>
      <c r="I925" s="118"/>
      <c r="J925" s="118"/>
      <c r="K925" s="118"/>
      <c r="L925" s="118"/>
      <c r="M925" s="118"/>
      <c r="N925" s="118"/>
      <c r="O925" s="42"/>
      <c r="P925" s="42"/>
      <c r="Q925" s="42"/>
      <c r="R925" s="42"/>
      <c r="S925" s="121"/>
      <c r="T925" s="119"/>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row>
    <row r="926" spans="1:46" ht="15.75" customHeight="1" x14ac:dyDescent="0.2">
      <c r="A926" s="118"/>
      <c r="B926" s="118"/>
      <c r="C926" s="118"/>
      <c r="D926" s="118"/>
      <c r="E926" s="118"/>
      <c r="F926" s="118"/>
      <c r="G926" s="118"/>
      <c r="H926" s="118"/>
      <c r="I926" s="118"/>
      <c r="J926" s="118"/>
      <c r="K926" s="118"/>
      <c r="L926" s="118"/>
      <c r="M926" s="118"/>
      <c r="N926" s="118"/>
      <c r="O926" s="42"/>
      <c r="P926" s="42"/>
      <c r="Q926" s="42"/>
      <c r="R926" s="42"/>
      <c r="S926" s="121"/>
      <c r="T926" s="119"/>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row>
    <row r="927" spans="1:46" ht="15.75" customHeight="1" x14ac:dyDescent="0.2">
      <c r="A927" s="118"/>
      <c r="B927" s="118"/>
      <c r="C927" s="118"/>
      <c r="D927" s="118"/>
      <c r="E927" s="118"/>
      <c r="F927" s="118"/>
      <c r="G927" s="118"/>
      <c r="H927" s="118"/>
      <c r="I927" s="118"/>
      <c r="J927" s="118"/>
      <c r="K927" s="118"/>
      <c r="L927" s="118"/>
      <c r="M927" s="118"/>
      <c r="N927" s="118"/>
      <c r="O927" s="42"/>
      <c r="P927" s="42"/>
      <c r="Q927" s="42"/>
      <c r="R927" s="42"/>
      <c r="S927" s="121"/>
      <c r="T927" s="119"/>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row>
    <row r="928" spans="1:46" ht="15.75" customHeight="1" x14ac:dyDescent="0.2">
      <c r="A928" s="118"/>
      <c r="B928" s="118"/>
      <c r="C928" s="118"/>
      <c r="D928" s="118"/>
      <c r="E928" s="118"/>
      <c r="F928" s="118"/>
      <c r="G928" s="118"/>
      <c r="H928" s="118"/>
      <c r="I928" s="118"/>
      <c r="J928" s="118"/>
      <c r="K928" s="118"/>
      <c r="L928" s="118"/>
      <c r="M928" s="118"/>
      <c r="N928" s="118"/>
      <c r="O928" s="42"/>
      <c r="P928" s="42"/>
      <c r="Q928" s="42"/>
      <c r="R928" s="42"/>
      <c r="S928" s="121"/>
      <c r="T928" s="119"/>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row>
    <row r="929" spans="1:46" ht="15.75" customHeight="1" x14ac:dyDescent="0.2">
      <c r="A929" s="118"/>
      <c r="B929" s="118"/>
      <c r="C929" s="118"/>
      <c r="D929" s="118"/>
      <c r="E929" s="118"/>
      <c r="F929" s="118"/>
      <c r="G929" s="118"/>
      <c r="H929" s="118"/>
      <c r="I929" s="118"/>
      <c r="J929" s="118"/>
      <c r="K929" s="118"/>
      <c r="L929" s="118"/>
      <c r="M929" s="118"/>
      <c r="N929" s="118"/>
      <c r="O929" s="42"/>
      <c r="P929" s="42"/>
      <c r="Q929" s="42"/>
      <c r="R929" s="42"/>
      <c r="S929" s="121"/>
      <c r="T929" s="119"/>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row>
    <row r="930" spans="1:46" ht="15.75" customHeight="1" x14ac:dyDescent="0.2">
      <c r="A930" s="118"/>
      <c r="B930" s="118"/>
      <c r="C930" s="118"/>
      <c r="D930" s="118"/>
      <c r="E930" s="118"/>
      <c r="F930" s="118"/>
      <c r="G930" s="118"/>
      <c r="H930" s="118"/>
      <c r="I930" s="118"/>
      <c r="J930" s="118"/>
      <c r="K930" s="118"/>
      <c r="L930" s="118"/>
      <c r="M930" s="118"/>
      <c r="N930" s="118"/>
      <c r="O930" s="42"/>
      <c r="P930" s="42"/>
      <c r="Q930" s="42"/>
      <c r="R930" s="42"/>
      <c r="S930" s="121"/>
      <c r="T930" s="119"/>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row>
    <row r="931" spans="1:46" ht="15.75" customHeight="1" x14ac:dyDescent="0.2">
      <c r="A931" s="118"/>
      <c r="B931" s="118"/>
      <c r="C931" s="118"/>
      <c r="D931" s="118"/>
      <c r="E931" s="118"/>
      <c r="F931" s="118"/>
      <c r="G931" s="118"/>
      <c r="H931" s="118"/>
      <c r="I931" s="118"/>
      <c r="J931" s="118"/>
      <c r="K931" s="118"/>
      <c r="L931" s="118"/>
      <c r="M931" s="118"/>
      <c r="N931" s="118"/>
      <c r="O931" s="42"/>
      <c r="P931" s="42"/>
      <c r="Q931" s="42"/>
      <c r="R931" s="42"/>
      <c r="S931" s="121"/>
      <c r="T931" s="119"/>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row>
    <row r="932" spans="1:46" ht="15.75" customHeight="1" x14ac:dyDescent="0.2">
      <c r="A932" s="118"/>
      <c r="B932" s="118"/>
      <c r="C932" s="118"/>
      <c r="D932" s="118"/>
      <c r="E932" s="118"/>
      <c r="F932" s="118"/>
      <c r="G932" s="118"/>
      <c r="H932" s="118"/>
      <c r="I932" s="118"/>
      <c r="J932" s="118"/>
      <c r="K932" s="118"/>
      <c r="L932" s="118"/>
      <c r="M932" s="118"/>
      <c r="N932" s="118"/>
      <c r="O932" s="42"/>
      <c r="P932" s="42"/>
      <c r="Q932" s="42"/>
      <c r="R932" s="42"/>
      <c r="S932" s="121"/>
      <c r="T932" s="119"/>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row>
    <row r="933" spans="1:46" ht="15.75" customHeight="1" x14ac:dyDescent="0.2">
      <c r="A933" s="118"/>
      <c r="B933" s="118"/>
      <c r="C933" s="118"/>
      <c r="D933" s="118"/>
      <c r="E933" s="118"/>
      <c r="F933" s="118"/>
      <c r="G933" s="118"/>
      <c r="H933" s="118"/>
      <c r="I933" s="118"/>
      <c r="J933" s="118"/>
      <c r="K933" s="118"/>
      <c r="L933" s="118"/>
      <c r="M933" s="118"/>
      <c r="N933" s="118"/>
      <c r="O933" s="42"/>
      <c r="P933" s="42"/>
      <c r="Q933" s="42"/>
      <c r="R933" s="42"/>
      <c r="S933" s="121"/>
      <c r="T933" s="119"/>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row>
    <row r="934" spans="1:46" ht="15.75" customHeight="1" x14ac:dyDescent="0.2">
      <c r="A934" s="118"/>
      <c r="B934" s="118"/>
      <c r="C934" s="118"/>
      <c r="D934" s="118"/>
      <c r="E934" s="118"/>
      <c r="F934" s="118"/>
      <c r="G934" s="118"/>
      <c r="H934" s="118"/>
      <c r="I934" s="118"/>
      <c r="J934" s="118"/>
      <c r="K934" s="118"/>
      <c r="L934" s="118"/>
      <c r="M934" s="118"/>
      <c r="N934" s="118"/>
      <c r="O934" s="42"/>
      <c r="P934" s="42"/>
      <c r="Q934" s="42"/>
      <c r="R934" s="42"/>
      <c r="S934" s="121"/>
      <c r="T934" s="119"/>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row>
    <row r="935" spans="1:46" ht="15.75" customHeight="1" x14ac:dyDescent="0.2">
      <c r="A935" s="118"/>
      <c r="B935" s="118"/>
      <c r="C935" s="118"/>
      <c r="D935" s="118"/>
      <c r="E935" s="118"/>
      <c r="F935" s="118"/>
      <c r="G935" s="118"/>
      <c r="H935" s="118"/>
      <c r="I935" s="118"/>
      <c r="J935" s="118"/>
      <c r="K935" s="118"/>
      <c r="L935" s="118"/>
      <c r="M935" s="118"/>
      <c r="N935" s="118"/>
      <c r="O935" s="42"/>
      <c r="P935" s="42"/>
      <c r="Q935" s="42"/>
      <c r="R935" s="42"/>
      <c r="S935" s="121"/>
      <c r="T935" s="119"/>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row>
    <row r="936" spans="1:46" ht="15.75" customHeight="1" x14ac:dyDescent="0.2">
      <c r="A936" s="118"/>
      <c r="B936" s="118"/>
      <c r="C936" s="118"/>
      <c r="D936" s="118"/>
      <c r="E936" s="118"/>
      <c r="F936" s="118"/>
      <c r="G936" s="118"/>
      <c r="H936" s="118"/>
      <c r="I936" s="118"/>
      <c r="J936" s="118"/>
      <c r="K936" s="118"/>
      <c r="L936" s="118"/>
      <c r="M936" s="118"/>
      <c r="N936" s="118"/>
      <c r="O936" s="42"/>
      <c r="P936" s="42"/>
      <c r="Q936" s="42"/>
      <c r="R936" s="42"/>
      <c r="S936" s="121"/>
      <c r="T936" s="119"/>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row>
    <row r="937" spans="1:46" ht="15.75" customHeight="1" x14ac:dyDescent="0.2">
      <c r="A937" s="118"/>
      <c r="B937" s="118"/>
      <c r="C937" s="118"/>
      <c r="D937" s="118"/>
      <c r="E937" s="118"/>
      <c r="F937" s="118"/>
      <c r="G937" s="118"/>
      <c r="H937" s="118"/>
      <c r="I937" s="118"/>
      <c r="J937" s="118"/>
      <c r="K937" s="118"/>
      <c r="L937" s="118"/>
      <c r="M937" s="118"/>
      <c r="N937" s="118"/>
      <c r="O937" s="42"/>
      <c r="P937" s="42"/>
      <c r="Q937" s="42"/>
      <c r="R937" s="42"/>
      <c r="S937" s="121"/>
      <c r="T937" s="119"/>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row>
    <row r="938" spans="1:46" ht="15.75" customHeight="1" x14ac:dyDescent="0.2">
      <c r="A938" s="118"/>
      <c r="B938" s="118"/>
      <c r="C938" s="118"/>
      <c r="D938" s="118"/>
      <c r="E938" s="118"/>
      <c r="F938" s="118"/>
      <c r="G938" s="118"/>
      <c r="H938" s="118"/>
      <c r="I938" s="118"/>
      <c r="J938" s="118"/>
      <c r="K938" s="118"/>
      <c r="L938" s="118"/>
      <c r="M938" s="118"/>
      <c r="N938" s="118"/>
      <c r="O938" s="42"/>
      <c r="P938" s="42"/>
      <c r="Q938" s="42"/>
      <c r="R938" s="42"/>
      <c r="S938" s="121"/>
      <c r="T938" s="119"/>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row>
    <row r="939" spans="1:46" ht="15.75" customHeight="1" x14ac:dyDescent="0.2">
      <c r="A939" s="118"/>
      <c r="B939" s="118"/>
      <c r="C939" s="118"/>
      <c r="D939" s="118"/>
      <c r="E939" s="118"/>
      <c r="F939" s="118"/>
      <c r="G939" s="118"/>
      <c r="H939" s="118"/>
      <c r="I939" s="118"/>
      <c r="J939" s="118"/>
      <c r="K939" s="118"/>
      <c r="L939" s="118"/>
      <c r="M939" s="118"/>
      <c r="N939" s="118"/>
      <c r="O939" s="42"/>
      <c r="P939" s="42"/>
      <c r="Q939" s="42"/>
      <c r="R939" s="42"/>
      <c r="S939" s="121"/>
      <c r="T939" s="119"/>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row>
    <row r="940" spans="1:46" ht="15.75" customHeight="1" x14ac:dyDescent="0.2">
      <c r="A940" s="118"/>
      <c r="B940" s="118"/>
      <c r="C940" s="118"/>
      <c r="D940" s="118"/>
      <c r="E940" s="118"/>
      <c r="F940" s="118"/>
      <c r="G940" s="118"/>
      <c r="H940" s="118"/>
      <c r="I940" s="118"/>
      <c r="J940" s="118"/>
      <c r="K940" s="118"/>
      <c r="L940" s="118"/>
      <c r="M940" s="118"/>
      <c r="N940" s="118"/>
      <c r="O940" s="42"/>
      <c r="P940" s="42"/>
      <c r="Q940" s="42"/>
      <c r="R940" s="42"/>
      <c r="S940" s="121"/>
      <c r="T940" s="119"/>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row>
    <row r="941" spans="1:46" ht="15.75" customHeight="1" x14ac:dyDescent="0.2">
      <c r="A941" s="118"/>
      <c r="B941" s="118"/>
      <c r="C941" s="118"/>
      <c r="D941" s="118"/>
      <c r="E941" s="118"/>
      <c r="F941" s="118"/>
      <c r="G941" s="118"/>
      <c r="H941" s="118"/>
      <c r="I941" s="118"/>
      <c r="J941" s="118"/>
      <c r="K941" s="118"/>
      <c r="L941" s="118"/>
      <c r="M941" s="118"/>
      <c r="N941" s="118"/>
      <c r="O941" s="42"/>
      <c r="P941" s="42"/>
      <c r="Q941" s="42"/>
      <c r="R941" s="42"/>
      <c r="S941" s="121"/>
      <c r="T941" s="119"/>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row>
    <row r="942" spans="1:46" ht="15.75" customHeight="1" x14ac:dyDescent="0.2">
      <c r="A942" s="118"/>
      <c r="B942" s="118"/>
      <c r="C942" s="118"/>
      <c r="D942" s="118"/>
      <c r="E942" s="118"/>
      <c r="F942" s="118"/>
      <c r="G942" s="118"/>
      <c r="H942" s="118"/>
      <c r="I942" s="118"/>
      <c r="J942" s="118"/>
      <c r="K942" s="118"/>
      <c r="L942" s="118"/>
      <c r="M942" s="118"/>
      <c r="N942" s="118"/>
      <c r="O942" s="42"/>
      <c r="P942" s="42"/>
      <c r="Q942" s="42"/>
      <c r="R942" s="42"/>
      <c r="S942" s="121"/>
      <c r="T942" s="119"/>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row>
    <row r="943" spans="1:46" ht="15.75" customHeight="1" x14ac:dyDescent="0.2">
      <c r="A943" s="118"/>
      <c r="B943" s="118"/>
      <c r="C943" s="118"/>
      <c r="D943" s="118"/>
      <c r="E943" s="118"/>
      <c r="F943" s="118"/>
      <c r="G943" s="118"/>
      <c r="H943" s="118"/>
      <c r="I943" s="118"/>
      <c r="J943" s="118"/>
      <c r="K943" s="118"/>
      <c r="L943" s="118"/>
      <c r="M943" s="118"/>
      <c r="N943" s="118"/>
      <c r="O943" s="42"/>
      <c r="P943" s="42"/>
      <c r="Q943" s="42"/>
      <c r="R943" s="42"/>
      <c r="S943" s="121"/>
      <c r="T943" s="119"/>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row>
    <row r="944" spans="1:46" ht="15.75" customHeight="1" x14ac:dyDescent="0.2">
      <c r="A944" s="118"/>
      <c r="B944" s="118"/>
      <c r="C944" s="118"/>
      <c r="D944" s="118"/>
      <c r="E944" s="118"/>
      <c r="F944" s="118"/>
      <c r="G944" s="118"/>
      <c r="H944" s="118"/>
      <c r="I944" s="118"/>
      <c r="J944" s="118"/>
      <c r="K944" s="118"/>
      <c r="L944" s="118"/>
      <c r="M944" s="118"/>
      <c r="N944" s="118"/>
      <c r="O944" s="42"/>
      <c r="P944" s="42"/>
      <c r="Q944" s="42"/>
      <c r="R944" s="42"/>
      <c r="S944" s="121"/>
      <c r="T944" s="119"/>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row>
    <row r="945" spans="1:46" ht="15.75" customHeight="1" x14ac:dyDescent="0.2">
      <c r="A945" s="118"/>
      <c r="B945" s="118"/>
      <c r="C945" s="118"/>
      <c r="D945" s="118"/>
      <c r="E945" s="118"/>
      <c r="F945" s="118"/>
      <c r="G945" s="118"/>
      <c r="H945" s="118"/>
      <c r="I945" s="118"/>
      <c r="J945" s="118"/>
      <c r="K945" s="118"/>
      <c r="L945" s="118"/>
      <c r="M945" s="118"/>
      <c r="N945" s="118"/>
      <c r="O945" s="42"/>
      <c r="P945" s="42"/>
      <c r="Q945" s="42"/>
      <c r="R945" s="42"/>
      <c r="S945" s="121"/>
      <c r="T945" s="119"/>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row>
    <row r="946" spans="1:46" ht="15.75" customHeight="1" x14ac:dyDescent="0.2">
      <c r="A946" s="118"/>
      <c r="B946" s="118"/>
      <c r="C946" s="118"/>
      <c r="D946" s="118"/>
      <c r="E946" s="118"/>
      <c r="F946" s="118"/>
      <c r="G946" s="118"/>
      <c r="H946" s="118"/>
      <c r="I946" s="118"/>
      <c r="J946" s="118"/>
      <c r="K946" s="118"/>
      <c r="L946" s="118"/>
      <c r="M946" s="118"/>
      <c r="N946" s="118"/>
      <c r="O946" s="42"/>
      <c r="P946" s="42"/>
      <c r="Q946" s="42"/>
      <c r="R946" s="42"/>
      <c r="S946" s="121"/>
      <c r="T946" s="119"/>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row>
    <row r="947" spans="1:46" ht="15.75" customHeight="1" x14ac:dyDescent="0.2">
      <c r="A947" s="118"/>
      <c r="B947" s="118"/>
      <c r="C947" s="118"/>
      <c r="D947" s="118"/>
      <c r="E947" s="118"/>
      <c r="F947" s="118"/>
      <c r="G947" s="118"/>
      <c r="H947" s="118"/>
      <c r="I947" s="118"/>
      <c r="J947" s="118"/>
      <c r="K947" s="118"/>
      <c r="L947" s="118"/>
      <c r="M947" s="118"/>
      <c r="N947" s="118"/>
      <c r="O947" s="42"/>
      <c r="P947" s="42"/>
      <c r="Q947" s="42"/>
      <c r="R947" s="42"/>
      <c r="S947" s="121"/>
      <c r="T947" s="119"/>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row>
    <row r="948" spans="1:46" ht="15.75" customHeight="1" x14ac:dyDescent="0.2">
      <c r="A948" s="118"/>
      <c r="B948" s="118"/>
      <c r="C948" s="118"/>
      <c r="D948" s="118"/>
      <c r="E948" s="118"/>
      <c r="F948" s="118"/>
      <c r="G948" s="118"/>
      <c r="H948" s="118"/>
      <c r="I948" s="118"/>
      <c r="J948" s="118"/>
      <c r="K948" s="118"/>
      <c r="L948" s="118"/>
      <c r="M948" s="118"/>
      <c r="N948" s="118"/>
      <c r="O948" s="42"/>
      <c r="P948" s="42"/>
      <c r="Q948" s="42"/>
      <c r="R948" s="42"/>
      <c r="S948" s="121"/>
      <c r="T948" s="119"/>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row>
    <row r="949" spans="1:46" ht="15.75" customHeight="1" x14ac:dyDescent="0.2">
      <c r="A949" s="118"/>
      <c r="B949" s="118"/>
      <c r="C949" s="118"/>
      <c r="D949" s="118"/>
      <c r="E949" s="118"/>
      <c r="F949" s="118"/>
      <c r="G949" s="118"/>
      <c r="H949" s="118"/>
      <c r="I949" s="118"/>
      <c r="J949" s="118"/>
      <c r="K949" s="118"/>
      <c r="L949" s="118"/>
      <c r="M949" s="118"/>
      <c r="N949" s="118"/>
      <c r="O949" s="42"/>
      <c r="P949" s="42"/>
      <c r="Q949" s="42"/>
      <c r="R949" s="42"/>
      <c r="S949" s="121"/>
      <c r="T949" s="119"/>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row>
    <row r="950" spans="1:46" ht="15.75" customHeight="1" x14ac:dyDescent="0.2">
      <c r="A950" s="118"/>
      <c r="B950" s="118"/>
      <c r="C950" s="118"/>
      <c r="D950" s="118"/>
      <c r="E950" s="118"/>
      <c r="F950" s="118"/>
      <c r="G950" s="118"/>
      <c r="H950" s="118"/>
      <c r="I950" s="118"/>
      <c r="J950" s="118"/>
      <c r="K950" s="118"/>
      <c r="L950" s="118"/>
      <c r="M950" s="118"/>
      <c r="N950" s="118"/>
      <c r="O950" s="42"/>
      <c r="P950" s="42"/>
      <c r="Q950" s="42"/>
      <c r="R950" s="42"/>
      <c r="S950" s="121"/>
      <c r="T950" s="119"/>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row>
    <row r="951" spans="1:46" ht="15.75" customHeight="1" x14ac:dyDescent="0.2">
      <c r="A951" s="118"/>
      <c r="B951" s="118"/>
      <c r="C951" s="118"/>
      <c r="D951" s="118"/>
      <c r="E951" s="118"/>
      <c r="F951" s="118"/>
      <c r="G951" s="118"/>
      <c r="H951" s="118"/>
      <c r="I951" s="118"/>
      <c r="J951" s="118"/>
      <c r="K951" s="118"/>
      <c r="L951" s="118"/>
      <c r="M951" s="118"/>
      <c r="N951" s="118"/>
      <c r="O951" s="42"/>
      <c r="P951" s="42"/>
      <c r="Q951" s="42"/>
      <c r="R951" s="42"/>
      <c r="S951" s="121"/>
      <c r="T951" s="119"/>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row>
    <row r="952" spans="1:46" ht="15.75" customHeight="1" x14ac:dyDescent="0.2">
      <c r="A952" s="118"/>
      <c r="B952" s="118"/>
      <c r="C952" s="118"/>
      <c r="D952" s="118"/>
      <c r="E952" s="118"/>
      <c r="F952" s="118"/>
      <c r="G952" s="118"/>
      <c r="H952" s="118"/>
      <c r="I952" s="118"/>
      <c r="J952" s="118"/>
      <c r="K952" s="118"/>
      <c r="L952" s="118"/>
      <c r="M952" s="118"/>
      <c r="N952" s="118"/>
      <c r="O952" s="42"/>
      <c r="P952" s="42"/>
      <c r="Q952" s="42"/>
      <c r="R952" s="42"/>
      <c r="S952" s="121"/>
      <c r="T952" s="119"/>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row>
    <row r="953" spans="1:46" ht="15.75" customHeight="1" x14ac:dyDescent="0.2">
      <c r="A953" s="118"/>
      <c r="B953" s="118"/>
      <c r="C953" s="118"/>
      <c r="D953" s="118"/>
      <c r="E953" s="118"/>
      <c r="F953" s="118"/>
      <c r="G953" s="118"/>
      <c r="H953" s="118"/>
      <c r="I953" s="118"/>
      <c r="J953" s="118"/>
      <c r="K953" s="118"/>
      <c r="L953" s="118"/>
      <c r="M953" s="118"/>
      <c r="N953" s="118"/>
      <c r="O953" s="42"/>
      <c r="P953" s="42"/>
      <c r="Q953" s="42"/>
      <c r="R953" s="42"/>
      <c r="S953" s="121"/>
      <c r="T953" s="119"/>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row>
    <row r="954" spans="1:46" ht="15.75" customHeight="1" x14ac:dyDescent="0.2">
      <c r="A954" s="118"/>
      <c r="B954" s="118"/>
      <c r="C954" s="118"/>
      <c r="D954" s="118"/>
      <c r="E954" s="118"/>
      <c r="F954" s="118"/>
      <c r="G954" s="118"/>
      <c r="H954" s="118"/>
      <c r="I954" s="118"/>
      <c r="J954" s="118"/>
      <c r="K954" s="118"/>
      <c r="L954" s="118"/>
      <c r="M954" s="118"/>
      <c r="N954" s="118"/>
      <c r="O954" s="42"/>
      <c r="P954" s="42"/>
      <c r="Q954" s="42"/>
      <c r="R954" s="42"/>
      <c r="S954" s="121"/>
      <c r="T954" s="119"/>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row>
    <row r="955" spans="1:46" ht="15.75" customHeight="1" x14ac:dyDescent="0.2">
      <c r="A955" s="118"/>
      <c r="B955" s="118"/>
      <c r="C955" s="118"/>
      <c r="D955" s="118"/>
      <c r="E955" s="118"/>
      <c r="F955" s="118"/>
      <c r="G955" s="118"/>
      <c r="H955" s="118"/>
      <c r="I955" s="118"/>
      <c r="J955" s="118"/>
      <c r="K955" s="118"/>
      <c r="L955" s="118"/>
      <c r="M955" s="118"/>
      <c r="N955" s="118"/>
      <c r="O955" s="42"/>
      <c r="P955" s="42"/>
      <c r="Q955" s="42"/>
      <c r="R955" s="42"/>
      <c r="S955" s="121"/>
      <c r="T955" s="119"/>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row>
    <row r="956" spans="1:46" ht="15.75" customHeight="1" x14ac:dyDescent="0.2">
      <c r="A956" s="118"/>
      <c r="B956" s="118"/>
      <c r="C956" s="118"/>
      <c r="D956" s="118"/>
      <c r="E956" s="118"/>
      <c r="F956" s="118"/>
      <c r="G956" s="118"/>
      <c r="H956" s="118"/>
      <c r="I956" s="118"/>
      <c r="J956" s="118"/>
      <c r="K956" s="118"/>
      <c r="L956" s="118"/>
      <c r="M956" s="118"/>
      <c r="N956" s="118"/>
      <c r="O956" s="42"/>
      <c r="P956" s="42"/>
      <c r="Q956" s="42"/>
      <c r="R956" s="42"/>
      <c r="S956" s="121"/>
      <c r="T956" s="119"/>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row>
    <row r="957" spans="1:46" ht="15.75" customHeight="1" x14ac:dyDescent="0.2">
      <c r="A957" s="118"/>
      <c r="B957" s="118"/>
      <c r="C957" s="118"/>
      <c r="D957" s="118"/>
      <c r="E957" s="118"/>
      <c r="F957" s="118"/>
      <c r="G957" s="118"/>
      <c r="H957" s="118"/>
      <c r="I957" s="118"/>
      <c r="J957" s="118"/>
      <c r="K957" s="118"/>
      <c r="L957" s="118"/>
      <c r="M957" s="118"/>
      <c r="N957" s="118"/>
      <c r="O957" s="42"/>
      <c r="P957" s="42"/>
      <c r="Q957" s="42"/>
      <c r="R957" s="42"/>
      <c r="S957" s="121"/>
      <c r="T957" s="119"/>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row>
    <row r="958" spans="1:46" ht="15.75" customHeight="1" x14ac:dyDescent="0.2">
      <c r="A958" s="118"/>
      <c r="B958" s="118"/>
      <c r="C958" s="118"/>
      <c r="D958" s="118"/>
      <c r="E958" s="118"/>
      <c r="F958" s="118"/>
      <c r="G958" s="118"/>
      <c r="H958" s="118"/>
      <c r="I958" s="118"/>
      <c r="J958" s="118"/>
      <c r="K958" s="118"/>
      <c r="L958" s="118"/>
      <c r="M958" s="118"/>
      <c r="N958" s="118"/>
      <c r="O958" s="42"/>
      <c r="P958" s="42"/>
      <c r="Q958" s="42"/>
      <c r="R958" s="42"/>
      <c r="S958" s="121"/>
      <c r="T958" s="119"/>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row>
    <row r="959" spans="1:46" ht="15.75" customHeight="1" x14ac:dyDescent="0.2">
      <c r="A959" s="118"/>
      <c r="B959" s="118"/>
      <c r="C959" s="118"/>
      <c r="D959" s="118"/>
      <c r="E959" s="118"/>
      <c r="F959" s="118"/>
      <c r="G959" s="118"/>
      <c r="H959" s="118"/>
      <c r="I959" s="118"/>
      <c r="J959" s="118"/>
      <c r="K959" s="118"/>
      <c r="L959" s="118"/>
      <c r="M959" s="118"/>
      <c r="N959" s="118"/>
      <c r="O959" s="42"/>
      <c r="P959" s="42"/>
      <c r="Q959" s="42"/>
      <c r="R959" s="42"/>
      <c r="S959" s="121"/>
      <c r="T959" s="119"/>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row>
    <row r="960" spans="1:46" ht="15.75" customHeight="1" x14ac:dyDescent="0.2">
      <c r="A960" s="118"/>
      <c r="B960" s="118"/>
      <c r="C960" s="118"/>
      <c r="D960" s="118"/>
      <c r="E960" s="118"/>
      <c r="F960" s="118"/>
      <c r="G960" s="118"/>
      <c r="H960" s="118"/>
      <c r="I960" s="118"/>
      <c r="J960" s="118"/>
      <c r="K960" s="118"/>
      <c r="L960" s="118"/>
      <c r="M960" s="118"/>
      <c r="N960" s="118"/>
      <c r="O960" s="42"/>
      <c r="P960" s="42"/>
      <c r="Q960" s="42"/>
      <c r="R960" s="42"/>
      <c r="S960" s="121"/>
      <c r="T960" s="119"/>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row>
    <row r="961" spans="1:46" ht="15.75" customHeight="1" x14ac:dyDescent="0.2">
      <c r="A961" s="118"/>
      <c r="B961" s="118"/>
      <c r="C961" s="118"/>
      <c r="D961" s="118"/>
      <c r="E961" s="118"/>
      <c r="F961" s="118"/>
      <c r="G961" s="118"/>
      <c r="H961" s="118"/>
      <c r="I961" s="118"/>
      <c r="J961" s="118"/>
      <c r="K961" s="118"/>
      <c r="L961" s="118"/>
      <c r="M961" s="118"/>
      <c r="N961" s="118"/>
      <c r="O961" s="42"/>
      <c r="P961" s="42"/>
      <c r="Q961" s="42"/>
      <c r="R961" s="42"/>
      <c r="S961" s="121"/>
      <c r="T961" s="119"/>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row>
    <row r="962" spans="1:46" ht="15.75" customHeight="1" x14ac:dyDescent="0.2">
      <c r="A962" s="118"/>
      <c r="B962" s="118"/>
      <c r="C962" s="118"/>
      <c r="D962" s="118"/>
      <c r="E962" s="118"/>
      <c r="F962" s="118"/>
      <c r="G962" s="118"/>
      <c r="H962" s="118"/>
      <c r="I962" s="118"/>
      <c r="J962" s="118"/>
      <c r="K962" s="118"/>
      <c r="L962" s="118"/>
      <c r="M962" s="118"/>
      <c r="N962" s="118"/>
      <c r="O962" s="42"/>
      <c r="P962" s="42"/>
      <c r="Q962" s="42"/>
      <c r="R962" s="42"/>
      <c r="S962" s="121"/>
      <c r="T962" s="119"/>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row>
    <row r="963" spans="1:46" ht="15.75" customHeight="1" x14ac:dyDescent="0.2">
      <c r="A963" s="118"/>
      <c r="B963" s="118"/>
      <c r="C963" s="118"/>
      <c r="D963" s="118"/>
      <c r="E963" s="118"/>
      <c r="F963" s="118"/>
      <c r="G963" s="118"/>
      <c r="H963" s="118"/>
      <c r="I963" s="118"/>
      <c r="J963" s="118"/>
      <c r="K963" s="118"/>
      <c r="L963" s="118"/>
      <c r="M963" s="118"/>
      <c r="N963" s="118"/>
      <c r="O963" s="42"/>
      <c r="P963" s="42"/>
      <c r="Q963" s="42"/>
      <c r="R963" s="42"/>
      <c r="S963" s="121"/>
      <c r="T963" s="119"/>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row>
    <row r="964" spans="1:46" ht="15.75" customHeight="1" x14ac:dyDescent="0.2">
      <c r="A964" s="118"/>
      <c r="B964" s="118"/>
      <c r="C964" s="118"/>
      <c r="D964" s="118"/>
      <c r="E964" s="118"/>
      <c r="F964" s="118"/>
      <c r="G964" s="118"/>
      <c r="H964" s="118"/>
      <c r="I964" s="118"/>
      <c r="J964" s="118"/>
      <c r="K964" s="118"/>
      <c r="L964" s="118"/>
      <c r="M964" s="118"/>
      <c r="N964" s="118"/>
      <c r="O964" s="42"/>
      <c r="P964" s="42"/>
      <c r="Q964" s="42"/>
      <c r="R964" s="42"/>
      <c r="S964" s="121"/>
      <c r="T964" s="119"/>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row>
    <row r="965" spans="1:46" ht="15.75" customHeight="1" x14ac:dyDescent="0.2">
      <c r="A965" s="118"/>
      <c r="B965" s="118"/>
      <c r="C965" s="118"/>
      <c r="D965" s="118"/>
      <c r="E965" s="118"/>
      <c r="F965" s="118"/>
      <c r="G965" s="118"/>
      <c r="H965" s="118"/>
      <c r="I965" s="118"/>
      <c r="J965" s="118"/>
      <c r="K965" s="118"/>
      <c r="L965" s="118"/>
      <c r="M965" s="118"/>
      <c r="N965" s="118"/>
      <c r="O965" s="42"/>
      <c r="P965" s="42"/>
      <c r="Q965" s="42"/>
      <c r="R965" s="42"/>
      <c r="S965" s="121"/>
      <c r="T965" s="119"/>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row>
    <row r="966" spans="1:46" ht="15.75" customHeight="1" x14ac:dyDescent="0.2">
      <c r="A966" s="118"/>
      <c r="B966" s="118"/>
      <c r="C966" s="118"/>
      <c r="D966" s="118"/>
      <c r="E966" s="118"/>
      <c r="F966" s="118"/>
      <c r="G966" s="118"/>
      <c r="H966" s="118"/>
      <c r="I966" s="118"/>
      <c r="J966" s="118"/>
      <c r="K966" s="118"/>
      <c r="L966" s="118"/>
      <c r="M966" s="118"/>
      <c r="N966" s="118"/>
      <c r="O966" s="42"/>
      <c r="P966" s="42"/>
      <c r="Q966" s="42"/>
      <c r="R966" s="42"/>
      <c r="S966" s="121"/>
      <c r="T966" s="119"/>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row>
    <row r="967" spans="1:46" ht="15.75" customHeight="1" x14ac:dyDescent="0.2">
      <c r="A967" s="118"/>
      <c r="B967" s="118"/>
      <c r="C967" s="118"/>
      <c r="D967" s="118"/>
      <c r="E967" s="118"/>
      <c r="F967" s="118"/>
      <c r="G967" s="118"/>
      <c r="H967" s="118"/>
      <c r="I967" s="118"/>
      <c r="J967" s="118"/>
      <c r="K967" s="118"/>
      <c r="L967" s="118"/>
      <c r="M967" s="118"/>
      <c r="N967" s="118"/>
      <c r="O967" s="42"/>
      <c r="P967" s="42"/>
      <c r="Q967" s="42"/>
      <c r="R967" s="42"/>
      <c r="S967" s="121"/>
      <c r="T967" s="119"/>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row>
    <row r="968" spans="1:46" ht="15.75" customHeight="1" x14ac:dyDescent="0.2">
      <c r="A968" s="118"/>
      <c r="B968" s="118"/>
      <c r="C968" s="118"/>
      <c r="D968" s="118"/>
      <c r="E968" s="118"/>
      <c r="F968" s="118"/>
      <c r="G968" s="118"/>
      <c r="H968" s="118"/>
      <c r="I968" s="118"/>
      <c r="J968" s="118"/>
      <c r="K968" s="118"/>
      <c r="L968" s="118"/>
      <c r="M968" s="118"/>
      <c r="N968" s="118"/>
      <c r="O968" s="42"/>
      <c r="P968" s="42"/>
      <c r="Q968" s="42"/>
      <c r="R968" s="42"/>
      <c r="S968" s="121"/>
      <c r="T968" s="119"/>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row>
    <row r="969" spans="1:46" ht="15.75" customHeight="1" x14ac:dyDescent="0.2">
      <c r="A969" s="118"/>
      <c r="B969" s="118"/>
      <c r="C969" s="118"/>
      <c r="D969" s="118"/>
      <c r="E969" s="118"/>
      <c r="F969" s="118"/>
      <c r="G969" s="118"/>
      <c r="H969" s="118"/>
      <c r="I969" s="118"/>
      <c r="J969" s="118"/>
      <c r="K969" s="118"/>
      <c r="L969" s="118"/>
      <c r="M969" s="118"/>
      <c r="N969" s="118"/>
      <c r="O969" s="42"/>
      <c r="P969" s="42"/>
      <c r="Q969" s="42"/>
      <c r="R969" s="42"/>
      <c r="S969" s="121"/>
      <c r="T969" s="119"/>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row>
    <row r="970" spans="1:46" ht="15.75" customHeight="1" x14ac:dyDescent="0.2">
      <c r="A970" s="118"/>
      <c r="B970" s="118"/>
      <c r="C970" s="118"/>
      <c r="D970" s="118"/>
      <c r="E970" s="118"/>
      <c r="F970" s="118"/>
      <c r="G970" s="118"/>
      <c r="H970" s="118"/>
      <c r="I970" s="118"/>
      <c r="J970" s="118"/>
      <c r="K970" s="118"/>
      <c r="L970" s="118"/>
      <c r="M970" s="118"/>
      <c r="N970" s="118"/>
      <c r="O970" s="42"/>
      <c r="P970" s="42"/>
      <c r="Q970" s="42"/>
      <c r="R970" s="42"/>
      <c r="S970" s="121"/>
      <c r="T970" s="119"/>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row>
    <row r="971" spans="1:46" ht="15.75" customHeight="1" x14ac:dyDescent="0.2">
      <c r="A971" s="118"/>
      <c r="B971" s="118"/>
      <c r="C971" s="118"/>
      <c r="D971" s="118"/>
      <c r="E971" s="118"/>
      <c r="F971" s="118"/>
      <c r="G971" s="118"/>
      <c r="H971" s="118"/>
      <c r="I971" s="118"/>
      <c r="J971" s="118"/>
      <c r="K971" s="118"/>
      <c r="L971" s="118"/>
      <c r="M971" s="118"/>
      <c r="N971" s="118"/>
      <c r="O971" s="42"/>
      <c r="P971" s="42"/>
      <c r="Q971" s="42"/>
      <c r="R971" s="42"/>
      <c r="S971" s="121"/>
      <c r="T971" s="119"/>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row>
    <row r="972" spans="1:46" ht="15.75" customHeight="1" x14ac:dyDescent="0.2">
      <c r="A972" s="118"/>
      <c r="B972" s="118"/>
      <c r="C972" s="118"/>
      <c r="D972" s="118"/>
      <c r="E972" s="118"/>
      <c r="F972" s="118"/>
      <c r="G972" s="118"/>
      <c r="H972" s="118"/>
      <c r="I972" s="118"/>
      <c r="J972" s="118"/>
      <c r="K972" s="118"/>
      <c r="L972" s="118"/>
      <c r="M972" s="118"/>
      <c r="N972" s="118"/>
      <c r="O972" s="42"/>
      <c r="P972" s="42"/>
      <c r="Q972" s="42"/>
      <c r="R972" s="42"/>
      <c r="S972" s="121"/>
      <c r="T972" s="119"/>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row>
    <row r="973" spans="1:46" ht="15.75" customHeight="1" x14ac:dyDescent="0.2">
      <c r="A973" s="118"/>
      <c r="B973" s="118"/>
      <c r="C973" s="118"/>
      <c r="D973" s="118"/>
      <c r="E973" s="118"/>
      <c r="F973" s="118"/>
      <c r="G973" s="118"/>
      <c r="H973" s="118"/>
      <c r="I973" s="118"/>
      <c r="J973" s="118"/>
      <c r="K973" s="118"/>
      <c r="L973" s="118"/>
      <c r="M973" s="118"/>
      <c r="N973" s="118"/>
      <c r="O973" s="42"/>
      <c r="P973" s="42"/>
      <c r="Q973" s="42"/>
      <c r="R973" s="42"/>
      <c r="S973" s="121"/>
      <c r="T973" s="119"/>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row>
    <row r="974" spans="1:46" ht="15.75" customHeight="1" x14ac:dyDescent="0.2">
      <c r="A974" s="118"/>
      <c r="B974" s="118"/>
      <c r="C974" s="118"/>
      <c r="D974" s="118"/>
      <c r="E974" s="118"/>
      <c r="F974" s="118"/>
      <c r="G974" s="118"/>
      <c r="H974" s="118"/>
      <c r="I974" s="118"/>
      <c r="J974" s="118"/>
      <c r="K974" s="118"/>
      <c r="L974" s="118"/>
      <c r="M974" s="118"/>
      <c r="N974" s="118"/>
      <c r="O974" s="42"/>
      <c r="P974" s="42"/>
      <c r="Q974" s="42"/>
      <c r="R974" s="42"/>
      <c r="S974" s="121"/>
      <c r="T974" s="119"/>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row>
    <row r="975" spans="1:46" ht="15.75" customHeight="1" x14ac:dyDescent="0.2">
      <c r="A975" s="118"/>
      <c r="B975" s="118"/>
      <c r="C975" s="118"/>
      <c r="D975" s="118"/>
      <c r="E975" s="118"/>
      <c r="F975" s="118"/>
      <c r="G975" s="118"/>
      <c r="H975" s="118"/>
      <c r="I975" s="118"/>
      <c r="J975" s="118"/>
      <c r="K975" s="118"/>
      <c r="L975" s="118"/>
      <c r="M975" s="118"/>
      <c r="N975" s="118"/>
      <c r="O975" s="42"/>
      <c r="P975" s="42"/>
      <c r="Q975" s="42"/>
      <c r="R975" s="42"/>
      <c r="S975" s="121"/>
      <c r="T975" s="119"/>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row>
    <row r="976" spans="1:46" ht="15.75" customHeight="1" x14ac:dyDescent="0.2">
      <c r="A976" s="118"/>
      <c r="B976" s="118"/>
      <c r="C976" s="118"/>
      <c r="D976" s="118"/>
      <c r="E976" s="118"/>
      <c r="F976" s="118"/>
      <c r="G976" s="118"/>
      <c r="H976" s="118"/>
      <c r="I976" s="118"/>
      <c r="J976" s="118"/>
      <c r="K976" s="118"/>
      <c r="L976" s="118"/>
      <c r="M976" s="118"/>
      <c r="N976" s="118"/>
      <c r="O976" s="42"/>
      <c r="P976" s="42"/>
      <c r="Q976" s="42"/>
      <c r="R976" s="42"/>
      <c r="S976" s="121"/>
      <c r="T976" s="119"/>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row>
    <row r="977" spans="1:46" ht="15.75" customHeight="1" x14ac:dyDescent="0.2">
      <c r="A977" s="118"/>
      <c r="B977" s="118"/>
      <c r="C977" s="118"/>
      <c r="D977" s="118"/>
      <c r="E977" s="118"/>
      <c r="F977" s="118"/>
      <c r="G977" s="118"/>
      <c r="H977" s="118"/>
      <c r="I977" s="118"/>
      <c r="J977" s="118"/>
      <c r="K977" s="118"/>
      <c r="L977" s="118"/>
      <c r="M977" s="118"/>
      <c r="N977" s="118"/>
      <c r="O977" s="42"/>
      <c r="P977" s="42"/>
      <c r="Q977" s="42"/>
      <c r="R977" s="42"/>
      <c r="S977" s="121"/>
      <c r="T977" s="119"/>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row>
    <row r="978" spans="1:46" ht="15.75" customHeight="1" x14ac:dyDescent="0.2">
      <c r="A978" s="118"/>
      <c r="B978" s="118"/>
      <c r="C978" s="118"/>
      <c r="D978" s="118"/>
      <c r="E978" s="118"/>
      <c r="F978" s="118"/>
      <c r="G978" s="118"/>
      <c r="H978" s="118"/>
      <c r="I978" s="118"/>
      <c r="J978" s="118"/>
      <c r="K978" s="118"/>
      <c r="L978" s="118"/>
      <c r="M978" s="118"/>
      <c r="N978" s="118"/>
      <c r="O978" s="42"/>
      <c r="P978" s="42"/>
      <c r="Q978" s="42"/>
      <c r="R978" s="42"/>
      <c r="S978" s="121"/>
      <c r="T978" s="119"/>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row>
    <row r="979" spans="1:46" ht="15.75" customHeight="1" x14ac:dyDescent="0.2">
      <c r="A979" s="118"/>
      <c r="B979" s="118"/>
      <c r="C979" s="118"/>
      <c r="D979" s="118"/>
      <c r="E979" s="118"/>
      <c r="F979" s="118"/>
      <c r="G979" s="118"/>
      <c r="H979" s="118"/>
      <c r="I979" s="118"/>
      <c r="J979" s="118"/>
      <c r="K979" s="118"/>
      <c r="L979" s="118"/>
      <c r="M979" s="118"/>
      <c r="N979" s="118"/>
      <c r="O979" s="42"/>
      <c r="P979" s="42"/>
      <c r="Q979" s="42"/>
      <c r="R979" s="42"/>
      <c r="S979" s="121"/>
      <c r="T979" s="119"/>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row>
    <row r="980" spans="1:46" ht="15.75" customHeight="1" x14ac:dyDescent="0.2">
      <c r="A980" s="118"/>
      <c r="B980" s="118"/>
      <c r="C980" s="118"/>
      <c r="D980" s="118"/>
      <c r="E980" s="118"/>
      <c r="F980" s="118"/>
      <c r="G980" s="118"/>
      <c r="H980" s="118"/>
      <c r="I980" s="118"/>
      <c r="J980" s="118"/>
      <c r="K980" s="118"/>
      <c r="L980" s="118"/>
      <c r="M980" s="118"/>
      <c r="N980" s="118"/>
      <c r="O980" s="42"/>
      <c r="P980" s="42"/>
      <c r="Q980" s="42"/>
      <c r="R980" s="42"/>
      <c r="S980" s="121"/>
      <c r="T980" s="119"/>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row>
    <row r="981" spans="1:46" ht="15.75" customHeight="1" x14ac:dyDescent="0.2">
      <c r="A981" s="118"/>
      <c r="B981" s="118"/>
      <c r="C981" s="118"/>
      <c r="D981" s="118"/>
      <c r="E981" s="118"/>
      <c r="F981" s="118"/>
      <c r="G981" s="118"/>
      <c r="H981" s="118"/>
      <c r="I981" s="118"/>
      <c r="J981" s="118"/>
      <c r="K981" s="118"/>
      <c r="L981" s="118"/>
      <c r="M981" s="118"/>
      <c r="N981" s="118"/>
      <c r="O981" s="42"/>
      <c r="P981" s="42"/>
      <c r="Q981" s="42"/>
      <c r="R981" s="42"/>
      <c r="S981" s="121"/>
      <c r="T981" s="119"/>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row>
    <row r="982" spans="1:46" ht="15.75" customHeight="1" x14ac:dyDescent="0.2">
      <c r="A982" s="118"/>
      <c r="B982" s="118"/>
      <c r="C982" s="118"/>
      <c r="D982" s="118"/>
      <c r="E982" s="118"/>
      <c r="F982" s="118"/>
      <c r="G982" s="118"/>
      <c r="H982" s="118"/>
      <c r="I982" s="118"/>
      <c r="J982" s="118"/>
      <c r="K982" s="118"/>
      <c r="L982" s="118"/>
      <c r="M982" s="118"/>
      <c r="N982" s="118"/>
      <c r="O982" s="42"/>
      <c r="P982" s="42"/>
      <c r="Q982" s="42"/>
      <c r="R982" s="42"/>
      <c r="S982" s="121"/>
      <c r="T982" s="119"/>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row>
    <row r="983" spans="1:46" ht="15.75" customHeight="1" x14ac:dyDescent="0.2">
      <c r="A983" s="118"/>
      <c r="B983" s="118"/>
      <c r="C983" s="118"/>
      <c r="D983" s="118"/>
      <c r="E983" s="118"/>
      <c r="F983" s="118"/>
      <c r="G983" s="118"/>
      <c r="H983" s="118"/>
      <c r="I983" s="118"/>
      <c r="J983" s="118"/>
      <c r="K983" s="118"/>
      <c r="L983" s="118"/>
      <c r="M983" s="118"/>
      <c r="N983" s="118"/>
      <c r="O983" s="42"/>
      <c r="P983" s="42"/>
      <c r="Q983" s="42"/>
      <c r="R983" s="42"/>
      <c r="S983" s="121"/>
      <c r="T983" s="119"/>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row>
    <row r="984" spans="1:46" ht="15.75" customHeight="1" x14ac:dyDescent="0.2">
      <c r="A984" s="118"/>
      <c r="B984" s="118"/>
      <c r="C984" s="118"/>
      <c r="D984" s="118"/>
      <c r="E984" s="118"/>
      <c r="F984" s="118"/>
      <c r="G984" s="118"/>
      <c r="H984" s="118"/>
      <c r="I984" s="118"/>
      <c r="J984" s="118"/>
      <c r="K984" s="118"/>
      <c r="L984" s="118"/>
      <c r="M984" s="118"/>
      <c r="N984" s="118"/>
      <c r="O984" s="42"/>
      <c r="P984" s="42"/>
      <c r="Q984" s="42"/>
      <c r="R984" s="42"/>
      <c r="S984" s="121"/>
      <c r="T984" s="119"/>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row>
    <row r="985" spans="1:46" ht="15.75" customHeight="1" x14ac:dyDescent="0.2">
      <c r="A985" s="118"/>
      <c r="B985" s="118"/>
      <c r="C985" s="118"/>
      <c r="D985" s="118"/>
      <c r="E985" s="118"/>
      <c r="F985" s="118"/>
      <c r="G985" s="118"/>
      <c r="H985" s="118"/>
      <c r="I985" s="118"/>
      <c r="J985" s="118"/>
      <c r="K985" s="118"/>
      <c r="L985" s="118"/>
      <c r="M985" s="118"/>
      <c r="N985" s="118"/>
      <c r="O985" s="42"/>
      <c r="P985" s="42"/>
      <c r="Q985" s="42"/>
      <c r="R985" s="42"/>
      <c r="S985" s="121"/>
      <c r="T985" s="119"/>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row>
    <row r="986" spans="1:46" ht="15.75" customHeight="1" x14ac:dyDescent="0.2">
      <c r="A986" s="118"/>
      <c r="B986" s="118"/>
      <c r="C986" s="118"/>
      <c r="D986" s="118"/>
      <c r="E986" s="118"/>
      <c r="F986" s="118"/>
      <c r="G986" s="118"/>
      <c r="H986" s="118"/>
      <c r="I986" s="118"/>
      <c r="J986" s="118"/>
      <c r="K986" s="118"/>
      <c r="L986" s="118"/>
      <c r="M986" s="118"/>
      <c r="N986" s="118"/>
      <c r="O986" s="42"/>
      <c r="P986" s="42"/>
      <c r="Q986" s="42"/>
      <c r="R986" s="42"/>
      <c r="S986" s="121"/>
      <c r="T986" s="119"/>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row>
    <row r="987" spans="1:46" ht="15.75" customHeight="1" x14ac:dyDescent="0.2">
      <c r="A987" s="118"/>
      <c r="B987" s="118"/>
      <c r="C987" s="118"/>
      <c r="D987" s="118"/>
      <c r="E987" s="118"/>
      <c r="F987" s="118"/>
      <c r="G987" s="118"/>
      <c r="H987" s="118"/>
      <c r="I987" s="118"/>
      <c r="J987" s="118"/>
      <c r="K987" s="118"/>
      <c r="L987" s="118"/>
      <c r="M987" s="118"/>
      <c r="N987" s="118"/>
      <c r="O987" s="42"/>
      <c r="P987" s="42"/>
      <c r="Q987" s="42"/>
      <c r="R987" s="42"/>
      <c r="S987" s="121"/>
      <c r="T987" s="119"/>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row>
    <row r="988" spans="1:46" ht="15.75" customHeight="1" x14ac:dyDescent="0.2">
      <c r="A988" s="118"/>
      <c r="B988" s="118"/>
      <c r="C988" s="118"/>
      <c r="D988" s="118"/>
      <c r="E988" s="118"/>
      <c r="F988" s="118"/>
      <c r="G988" s="118"/>
      <c r="H988" s="118"/>
      <c r="I988" s="118"/>
      <c r="J988" s="118"/>
      <c r="K988" s="118"/>
      <c r="L988" s="118"/>
      <c r="M988" s="118"/>
      <c r="N988" s="118"/>
      <c r="O988" s="42"/>
      <c r="P988" s="42"/>
      <c r="Q988" s="42"/>
      <c r="R988" s="42"/>
      <c r="S988" s="121"/>
      <c r="T988" s="119"/>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row>
    <row r="989" spans="1:46" ht="15.75" customHeight="1" x14ac:dyDescent="0.2">
      <c r="A989" s="118"/>
      <c r="B989" s="118"/>
      <c r="C989" s="118"/>
      <c r="D989" s="118"/>
      <c r="E989" s="118"/>
      <c r="F989" s="118"/>
      <c r="G989" s="118"/>
      <c r="H989" s="118"/>
      <c r="I989" s="118"/>
      <c r="J989" s="118"/>
      <c r="K989" s="118"/>
      <c r="L989" s="118"/>
      <c r="M989" s="118"/>
      <c r="N989" s="118"/>
      <c r="O989" s="42"/>
      <c r="P989" s="42"/>
      <c r="Q989" s="42"/>
      <c r="R989" s="42"/>
      <c r="S989" s="121"/>
      <c r="T989" s="119"/>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row>
    <row r="990" spans="1:46" ht="15.75" customHeight="1" x14ac:dyDescent="0.2">
      <c r="A990" s="118"/>
      <c r="B990" s="118"/>
      <c r="C990" s="118"/>
      <c r="D990" s="118"/>
      <c r="E990" s="118"/>
      <c r="F990" s="118"/>
      <c r="G990" s="118"/>
      <c r="H990" s="118"/>
      <c r="I990" s="118"/>
      <c r="J990" s="118"/>
      <c r="K990" s="118"/>
      <c r="L990" s="118"/>
      <c r="M990" s="118"/>
      <c r="N990" s="118"/>
      <c r="O990" s="42"/>
      <c r="P990" s="42"/>
      <c r="Q990" s="42"/>
      <c r="R990" s="42"/>
      <c r="S990" s="121"/>
      <c r="T990" s="119"/>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row>
    <row r="991" spans="1:46" ht="15.75" customHeight="1" x14ac:dyDescent="0.2">
      <c r="A991" s="118"/>
      <c r="B991" s="118"/>
      <c r="C991" s="118"/>
      <c r="D991" s="118"/>
      <c r="E991" s="118"/>
      <c r="F991" s="118"/>
      <c r="G991" s="118"/>
      <c r="H991" s="118"/>
      <c r="I991" s="118"/>
      <c r="J991" s="118"/>
      <c r="K991" s="118"/>
      <c r="L991" s="118"/>
      <c r="M991" s="118"/>
      <c r="N991" s="118"/>
      <c r="O991" s="42"/>
      <c r="P991" s="42"/>
      <c r="Q991" s="42"/>
      <c r="R991" s="42"/>
      <c r="S991" s="121"/>
      <c r="T991" s="119"/>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row>
    <row r="992" spans="1:46" ht="15.75" customHeight="1" x14ac:dyDescent="0.2">
      <c r="A992" s="118"/>
      <c r="B992" s="118"/>
      <c r="C992" s="118"/>
      <c r="D992" s="118"/>
      <c r="E992" s="118"/>
      <c r="F992" s="118"/>
      <c r="G992" s="118"/>
      <c r="H992" s="118"/>
      <c r="I992" s="118"/>
      <c r="J992" s="118"/>
      <c r="K992" s="118"/>
      <c r="L992" s="118"/>
      <c r="M992" s="118"/>
      <c r="N992" s="118"/>
      <c r="O992" s="42"/>
      <c r="P992" s="42"/>
      <c r="Q992" s="42"/>
      <c r="R992" s="42"/>
      <c r="S992" s="121"/>
      <c r="T992" s="119"/>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row>
    <row r="993" spans="1:46" ht="15.75" customHeight="1" x14ac:dyDescent="0.2">
      <c r="A993" s="118"/>
      <c r="B993" s="118"/>
      <c r="C993" s="118"/>
      <c r="D993" s="118"/>
      <c r="E993" s="118"/>
      <c r="F993" s="118"/>
      <c r="G993" s="118"/>
      <c r="H993" s="118"/>
      <c r="I993" s="118"/>
      <c r="J993" s="118"/>
      <c r="K993" s="118"/>
      <c r="L993" s="118"/>
      <c r="M993" s="118"/>
      <c r="N993" s="118"/>
      <c r="O993" s="42"/>
      <c r="P993" s="42"/>
      <c r="Q993" s="42"/>
      <c r="R993" s="42"/>
      <c r="S993" s="121"/>
      <c r="T993" s="119"/>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row>
    <row r="994" spans="1:46" ht="15.75" customHeight="1" x14ac:dyDescent="0.2">
      <c r="A994" s="118"/>
      <c r="B994" s="118"/>
      <c r="C994" s="118"/>
      <c r="D994" s="118"/>
      <c r="E994" s="118"/>
      <c r="F994" s="118"/>
      <c r="G994" s="118"/>
      <c r="H994" s="118"/>
      <c r="I994" s="118"/>
      <c r="J994" s="118"/>
      <c r="K994" s="118"/>
      <c r="L994" s="118"/>
      <c r="M994" s="118"/>
      <c r="N994" s="118"/>
      <c r="O994" s="42"/>
      <c r="P994" s="42"/>
      <c r="Q994" s="42"/>
      <c r="R994" s="42"/>
      <c r="S994" s="121"/>
      <c r="T994" s="119"/>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row>
    <row r="995" spans="1:46" ht="15.75" customHeight="1" x14ac:dyDescent="0.2">
      <c r="A995" s="118"/>
      <c r="B995" s="118"/>
      <c r="C995" s="118"/>
      <c r="D995" s="118"/>
      <c r="E995" s="118"/>
      <c r="F995" s="118"/>
      <c r="G995" s="118"/>
      <c r="H995" s="118"/>
      <c r="I995" s="118"/>
      <c r="J995" s="118"/>
      <c r="K995" s="118"/>
      <c r="L995" s="118"/>
      <c r="M995" s="118"/>
      <c r="N995" s="118"/>
      <c r="O995" s="42"/>
      <c r="P995" s="42"/>
      <c r="Q995" s="42"/>
      <c r="R995" s="42"/>
      <c r="S995" s="121"/>
      <c r="T995" s="119"/>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row>
    <row r="996" spans="1:46" ht="15.75" customHeight="1" x14ac:dyDescent="0.2">
      <c r="A996" s="118"/>
      <c r="B996" s="118"/>
      <c r="C996" s="118"/>
      <c r="D996" s="118"/>
      <c r="E996" s="118"/>
      <c r="F996" s="118"/>
      <c r="G996" s="118"/>
      <c r="H996" s="118"/>
      <c r="I996" s="118"/>
      <c r="J996" s="118"/>
      <c r="K996" s="118"/>
      <c r="L996" s="118"/>
      <c r="M996" s="118"/>
      <c r="N996" s="118"/>
      <c r="O996" s="42"/>
      <c r="P996" s="42"/>
      <c r="Q996" s="42"/>
      <c r="R996" s="42"/>
      <c r="S996" s="121"/>
      <c r="T996" s="119"/>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row>
    <row r="997" spans="1:46" ht="15.75" customHeight="1" x14ac:dyDescent="0.2">
      <c r="A997" s="118"/>
      <c r="B997" s="118"/>
      <c r="C997" s="118"/>
      <c r="D997" s="118"/>
      <c r="E997" s="118"/>
      <c r="F997" s="118"/>
      <c r="G997" s="118"/>
      <c r="H997" s="118"/>
      <c r="I997" s="118"/>
      <c r="J997" s="118"/>
      <c r="K997" s="118"/>
      <c r="L997" s="118"/>
      <c r="M997" s="118"/>
      <c r="N997" s="118"/>
      <c r="O997" s="42"/>
      <c r="P997" s="42"/>
      <c r="Q997" s="42"/>
      <c r="R997" s="42"/>
      <c r="S997" s="121"/>
      <c r="T997" s="119"/>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row>
    <row r="998" spans="1:46" ht="15.75" customHeight="1" x14ac:dyDescent="0.2">
      <c r="A998" s="118"/>
      <c r="B998" s="118"/>
      <c r="C998" s="118"/>
      <c r="D998" s="118"/>
      <c r="E998" s="118"/>
      <c r="F998" s="118"/>
      <c r="G998" s="118"/>
      <c r="H998" s="118"/>
      <c r="I998" s="118"/>
      <c r="J998" s="118"/>
      <c r="K998" s="118"/>
      <c r="L998" s="118"/>
      <c r="M998" s="118"/>
      <c r="N998" s="118"/>
      <c r="O998" s="42"/>
      <c r="P998" s="42"/>
      <c r="Q998" s="42"/>
      <c r="R998" s="42"/>
      <c r="S998" s="121"/>
      <c r="T998" s="119"/>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row>
    <row r="999" spans="1:46" ht="15.75" customHeight="1" x14ac:dyDescent="0.2">
      <c r="A999" s="118"/>
      <c r="B999" s="118"/>
      <c r="C999" s="118"/>
      <c r="D999" s="118"/>
      <c r="E999" s="118"/>
      <c r="F999" s="118"/>
      <c r="G999" s="118"/>
      <c r="H999" s="118"/>
      <c r="I999" s="118"/>
      <c r="J999" s="118"/>
      <c r="K999" s="118"/>
      <c r="L999" s="118"/>
      <c r="M999" s="118"/>
      <c r="N999" s="118"/>
      <c r="O999" s="42"/>
      <c r="P999" s="42"/>
      <c r="Q999" s="42"/>
      <c r="R999" s="42"/>
      <c r="S999" s="121"/>
      <c r="T999" s="119"/>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row>
    <row r="1000" spans="1:46" ht="15.75" customHeight="1" x14ac:dyDescent="0.2">
      <c r="A1000" s="118"/>
      <c r="B1000" s="118"/>
      <c r="C1000" s="118"/>
      <c r="D1000" s="118"/>
      <c r="E1000" s="118"/>
      <c r="F1000" s="118"/>
      <c r="G1000" s="118"/>
      <c r="H1000" s="118"/>
      <c r="I1000" s="118"/>
      <c r="J1000" s="118"/>
      <c r="K1000" s="118"/>
      <c r="L1000" s="118"/>
      <c r="M1000" s="118"/>
      <c r="N1000" s="118"/>
      <c r="O1000" s="42"/>
      <c r="P1000" s="42"/>
      <c r="Q1000" s="42"/>
      <c r="R1000" s="42"/>
      <c r="S1000" s="121"/>
      <c r="T1000" s="119"/>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row>
  </sheetData>
  <sortState xmlns:xlrd2="http://schemas.microsoft.com/office/spreadsheetml/2017/richdata2" ref="A2:T180">
    <sortCondition ref="P2:P180"/>
  </sortState>
  <dataValidations count="2">
    <dataValidation type="list" allowBlank="1" showErrorMessage="1" sqref="P2:P1000 R2:R1000" xr:uid="{00000000-0002-0000-0300-000000000000}">
      <formula1>"Yes, Not, Probably"</formula1>
    </dataValidation>
    <dataValidation type="list" allowBlank="1" showInputMessage="1" showErrorMessage="1" sqref="S2:S1000" xr:uid="{8FE5753A-3FED-4046-9372-52FC1E9A97D5}">
      <formula1>"Yes, Not"</formula1>
    </dataValidation>
  </dataValidation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4733-B3B3-40C4-9CA0-97F915B717D9}">
  <dimension ref="A1:AP957"/>
  <sheetViews>
    <sheetView topLeftCell="A46" workbookViewId="0">
      <selection activeCell="O90" sqref="O90"/>
    </sheetView>
  </sheetViews>
  <sheetFormatPr baseColWidth="10" defaultColWidth="14.5" defaultRowHeight="15" x14ac:dyDescent="0.2"/>
  <cols>
    <col min="1" max="1" width="10.6640625" customWidth="1"/>
    <col min="2" max="2" width="12.83203125" customWidth="1"/>
    <col min="3" max="15" width="10.6640625" customWidth="1"/>
    <col min="16" max="16" width="15.5" customWidth="1"/>
    <col min="17" max="17" width="43.5" customWidth="1"/>
    <col min="18" max="20" width="10.6640625" customWidth="1"/>
  </cols>
  <sheetData>
    <row r="1" spans="1:42"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8" t="s">
        <v>31</v>
      </c>
      <c r="Q1" s="9" t="s">
        <v>32</v>
      </c>
      <c r="R1" s="2"/>
      <c r="S1" s="2"/>
      <c r="T1" s="2"/>
      <c r="U1" s="3"/>
      <c r="V1" s="3"/>
      <c r="W1" s="3"/>
      <c r="X1" s="3"/>
      <c r="Y1" s="3"/>
      <c r="Z1" s="3"/>
      <c r="AA1" s="3"/>
      <c r="AB1" s="3"/>
      <c r="AC1" s="3"/>
      <c r="AD1" s="3"/>
      <c r="AE1" s="3"/>
      <c r="AF1" s="3"/>
      <c r="AG1" s="3"/>
      <c r="AH1" s="3"/>
      <c r="AI1" s="3"/>
      <c r="AJ1" s="3"/>
      <c r="AK1" s="3"/>
      <c r="AL1" s="3"/>
      <c r="AM1" s="3"/>
      <c r="AN1" s="3"/>
      <c r="AO1" s="3"/>
      <c r="AP1" s="3"/>
    </row>
    <row r="2" spans="1:42" ht="14.25" customHeight="1" x14ac:dyDescent="0.2">
      <c r="A2" s="118">
        <v>0</v>
      </c>
      <c r="B2" s="118" t="s">
        <v>53</v>
      </c>
      <c r="C2" s="118" t="s">
        <v>54</v>
      </c>
      <c r="D2" s="118" t="s">
        <v>55</v>
      </c>
      <c r="E2" s="118" t="s">
        <v>56</v>
      </c>
      <c r="F2" s="118" t="s">
        <v>64</v>
      </c>
      <c r="G2" s="118" t="s">
        <v>57</v>
      </c>
      <c r="H2" s="118" t="s">
        <v>58</v>
      </c>
      <c r="I2" s="118" t="s">
        <v>59</v>
      </c>
      <c r="J2" s="118" t="s">
        <v>60</v>
      </c>
      <c r="K2" s="118" t="s">
        <v>61</v>
      </c>
      <c r="L2" s="118" t="s">
        <v>62</v>
      </c>
      <c r="M2" s="118" t="s">
        <v>12</v>
      </c>
      <c r="N2" s="11" t="s">
        <v>16</v>
      </c>
      <c r="O2" s="10"/>
      <c r="P2" s="42" t="s">
        <v>44</v>
      </c>
      <c r="Q2" s="116"/>
      <c r="R2" s="3"/>
      <c r="S2" s="3"/>
      <c r="T2" s="3"/>
      <c r="U2" s="3"/>
      <c r="V2" s="3"/>
      <c r="W2" s="3"/>
      <c r="X2" s="3"/>
      <c r="Y2" s="3"/>
      <c r="Z2" s="3"/>
      <c r="AA2" s="3"/>
      <c r="AB2" s="3"/>
      <c r="AC2" s="3"/>
      <c r="AD2" s="3"/>
      <c r="AE2" s="3"/>
      <c r="AF2" s="3"/>
      <c r="AG2" s="3"/>
      <c r="AH2" s="3"/>
      <c r="AI2" s="3"/>
      <c r="AJ2" s="3"/>
      <c r="AK2" s="3"/>
      <c r="AL2" s="3"/>
      <c r="AM2" s="3"/>
      <c r="AN2" s="3"/>
      <c r="AO2" s="3"/>
      <c r="AP2" s="3"/>
    </row>
    <row r="3" spans="1:42" ht="14.25" customHeight="1" x14ac:dyDescent="0.2">
      <c r="A3" s="118">
        <v>0</v>
      </c>
      <c r="B3" s="118" t="s">
        <v>0</v>
      </c>
      <c r="C3" s="118" t="s">
        <v>1</v>
      </c>
      <c r="D3" s="118" t="s">
        <v>2</v>
      </c>
      <c r="E3" s="118" t="s">
        <v>68</v>
      </c>
      <c r="F3" s="118" t="s">
        <v>4</v>
      </c>
      <c r="G3" s="118" t="s">
        <v>67</v>
      </c>
      <c r="H3" s="118" t="s">
        <v>65</v>
      </c>
      <c r="I3" s="118" t="s">
        <v>66</v>
      </c>
      <c r="J3" s="118" t="s">
        <v>8</v>
      </c>
      <c r="K3" s="118" t="s">
        <v>10</v>
      </c>
      <c r="L3" s="118" t="s">
        <v>71</v>
      </c>
      <c r="M3" s="118">
        <v>0</v>
      </c>
      <c r="N3" s="11" t="s">
        <v>16</v>
      </c>
      <c r="O3" s="12"/>
      <c r="P3" s="42" t="s">
        <v>44</v>
      </c>
      <c r="Q3" s="117"/>
      <c r="R3" s="3"/>
      <c r="S3" s="3"/>
      <c r="T3" s="3"/>
      <c r="U3" s="3"/>
      <c r="V3" s="3"/>
      <c r="W3" s="3"/>
      <c r="X3" s="3"/>
      <c r="Y3" s="3"/>
      <c r="Z3" s="3"/>
      <c r="AA3" s="3"/>
      <c r="AB3" s="3"/>
      <c r="AC3" s="3"/>
      <c r="AD3" s="3"/>
      <c r="AE3" s="3"/>
      <c r="AF3" s="3"/>
      <c r="AG3" s="3"/>
      <c r="AH3" s="3"/>
      <c r="AI3" s="3"/>
      <c r="AJ3" s="3"/>
      <c r="AK3" s="3"/>
      <c r="AL3" s="3"/>
      <c r="AM3" s="3"/>
      <c r="AN3" s="3"/>
      <c r="AO3" s="3"/>
      <c r="AP3" s="3"/>
    </row>
    <row r="4" spans="1:42" ht="14.25" customHeight="1" x14ac:dyDescent="0.2">
      <c r="A4" s="118">
        <v>0</v>
      </c>
      <c r="B4" s="118" t="s">
        <v>0</v>
      </c>
      <c r="C4" s="118" t="s">
        <v>1</v>
      </c>
      <c r="D4" s="118" t="s">
        <v>2</v>
      </c>
      <c r="E4" s="118" t="s">
        <v>3</v>
      </c>
      <c r="F4" s="118" t="s">
        <v>4</v>
      </c>
      <c r="G4" s="118" t="s">
        <v>5</v>
      </c>
      <c r="H4" s="118" t="s">
        <v>6</v>
      </c>
      <c r="I4" s="118" t="s">
        <v>7</v>
      </c>
      <c r="J4" s="118" t="s">
        <v>8</v>
      </c>
      <c r="K4" s="118" t="s">
        <v>10</v>
      </c>
      <c r="L4" s="118" t="s">
        <v>11</v>
      </c>
      <c r="M4" s="118">
        <v>0</v>
      </c>
      <c r="N4" s="11" t="s">
        <v>16</v>
      </c>
      <c r="O4" s="12"/>
      <c r="P4" s="42" t="s">
        <v>44</v>
      </c>
      <c r="Q4" s="116"/>
      <c r="R4" s="3"/>
      <c r="S4" s="3"/>
      <c r="T4" s="3"/>
      <c r="U4" s="3"/>
      <c r="V4" s="3"/>
      <c r="W4" s="3"/>
      <c r="X4" s="3"/>
      <c r="Y4" s="3"/>
      <c r="Z4" s="3"/>
      <c r="AA4" s="3"/>
      <c r="AB4" s="3"/>
      <c r="AC4" s="3"/>
      <c r="AD4" s="3"/>
      <c r="AE4" s="3"/>
      <c r="AF4" s="3"/>
      <c r="AG4" s="3"/>
      <c r="AH4" s="3"/>
      <c r="AI4" s="3"/>
      <c r="AJ4" s="3"/>
      <c r="AK4" s="3"/>
      <c r="AL4" s="3"/>
      <c r="AM4" s="3"/>
      <c r="AN4" s="3"/>
      <c r="AO4" s="3"/>
      <c r="AP4" s="3"/>
    </row>
    <row r="5" spans="1:42" ht="14.25" customHeight="1" x14ac:dyDescent="0.2">
      <c r="A5" s="118">
        <v>2</v>
      </c>
      <c r="B5" s="118" t="s">
        <v>217</v>
      </c>
      <c r="C5" s="118" t="s">
        <v>218</v>
      </c>
      <c r="D5" s="118">
        <v>2025</v>
      </c>
      <c r="E5" s="118" t="s">
        <v>219</v>
      </c>
      <c r="F5" s="118" t="s">
        <v>603</v>
      </c>
      <c r="G5" s="118" t="s">
        <v>221</v>
      </c>
      <c r="H5" s="118" t="s">
        <v>222</v>
      </c>
      <c r="I5" s="118" t="s">
        <v>15</v>
      </c>
      <c r="J5" s="118" t="s">
        <v>223</v>
      </c>
      <c r="K5" s="118" t="s">
        <v>220</v>
      </c>
      <c r="L5" s="118" t="s">
        <v>604</v>
      </c>
      <c r="M5" s="118">
        <v>0</v>
      </c>
      <c r="N5" s="11" t="s">
        <v>16</v>
      </c>
      <c r="O5" s="12"/>
      <c r="P5" s="42" t="s">
        <v>44</v>
      </c>
      <c r="Q5" s="117"/>
      <c r="R5" s="3"/>
      <c r="S5" s="3"/>
      <c r="T5" s="3"/>
      <c r="U5" s="3"/>
      <c r="V5" s="3"/>
      <c r="W5" s="3"/>
      <c r="X5" s="3"/>
      <c r="Y5" s="3"/>
      <c r="Z5" s="3"/>
      <c r="AA5" s="3"/>
      <c r="AB5" s="3"/>
      <c r="AC5" s="3"/>
      <c r="AD5" s="3"/>
      <c r="AE5" s="3"/>
      <c r="AF5" s="3"/>
      <c r="AG5" s="3"/>
      <c r="AH5" s="3"/>
      <c r="AI5" s="3"/>
      <c r="AJ5" s="3"/>
      <c r="AK5" s="3"/>
      <c r="AL5" s="3"/>
      <c r="AM5" s="3"/>
      <c r="AN5" s="3"/>
      <c r="AO5" s="3"/>
      <c r="AP5" s="3"/>
    </row>
    <row r="6" spans="1:42" ht="14.25" customHeight="1" x14ac:dyDescent="0.2">
      <c r="A6" s="118">
        <v>3</v>
      </c>
      <c r="B6" s="118" t="s">
        <v>224</v>
      </c>
      <c r="C6" s="118" t="s">
        <v>225</v>
      </c>
      <c r="D6" s="118">
        <v>2026</v>
      </c>
      <c r="E6" s="118" t="s">
        <v>226</v>
      </c>
      <c r="F6" s="118" t="s">
        <v>228</v>
      </c>
      <c r="G6" s="118">
        <v>0</v>
      </c>
      <c r="H6" s="118" t="s">
        <v>230</v>
      </c>
      <c r="I6" s="118" t="s">
        <v>15</v>
      </c>
      <c r="J6" s="118" t="s">
        <v>223</v>
      </c>
      <c r="K6" s="118" t="s">
        <v>227</v>
      </c>
      <c r="L6" s="118" t="s">
        <v>229</v>
      </c>
      <c r="M6" s="118">
        <v>0</v>
      </c>
      <c r="N6" s="11" t="s">
        <v>16</v>
      </c>
      <c r="O6" s="12"/>
      <c r="P6" s="42" t="s">
        <v>44</v>
      </c>
      <c r="Q6" s="116"/>
      <c r="R6" s="3"/>
      <c r="S6" s="3"/>
      <c r="T6" s="3"/>
      <c r="U6" s="3"/>
      <c r="V6" s="3"/>
      <c r="W6" s="3"/>
      <c r="X6" s="3"/>
      <c r="Y6" s="3"/>
      <c r="Z6" s="3"/>
      <c r="AA6" s="3"/>
      <c r="AB6" s="3"/>
      <c r="AC6" s="3"/>
      <c r="AD6" s="3"/>
      <c r="AE6" s="3"/>
      <c r="AF6" s="3"/>
      <c r="AG6" s="3"/>
      <c r="AH6" s="3"/>
      <c r="AI6" s="3"/>
      <c r="AJ6" s="3"/>
      <c r="AK6" s="3"/>
      <c r="AL6" s="3"/>
      <c r="AM6" s="3"/>
      <c r="AN6" s="3"/>
      <c r="AO6" s="3"/>
      <c r="AP6" s="3"/>
    </row>
    <row r="7" spans="1:42" ht="14.25" customHeight="1" x14ac:dyDescent="0.2">
      <c r="A7" s="118">
        <v>4</v>
      </c>
      <c r="B7" s="118" t="s">
        <v>231</v>
      </c>
      <c r="C7" s="118" t="s">
        <v>232</v>
      </c>
      <c r="D7" s="118">
        <v>2023</v>
      </c>
      <c r="E7" s="118" t="s">
        <v>233</v>
      </c>
      <c r="F7" s="118" t="s">
        <v>235</v>
      </c>
      <c r="G7" s="118" t="s">
        <v>236</v>
      </c>
      <c r="H7" s="118" t="s">
        <v>238</v>
      </c>
      <c r="I7" s="118" t="s">
        <v>15</v>
      </c>
      <c r="J7" s="118" t="s">
        <v>223</v>
      </c>
      <c r="K7" s="118" t="s">
        <v>234</v>
      </c>
      <c r="L7" s="118" t="s">
        <v>237</v>
      </c>
      <c r="M7" s="118">
        <v>0</v>
      </c>
      <c r="N7" s="11" t="s">
        <v>16</v>
      </c>
      <c r="O7" s="12"/>
      <c r="P7" s="42" t="s">
        <v>44</v>
      </c>
      <c r="Q7" s="117"/>
      <c r="R7" s="3"/>
      <c r="S7" s="3"/>
      <c r="T7" s="3"/>
      <c r="U7" s="3"/>
      <c r="V7" s="3"/>
      <c r="W7" s="3"/>
      <c r="X7" s="3"/>
      <c r="Y7" s="3"/>
      <c r="Z7" s="3"/>
      <c r="AA7" s="3"/>
      <c r="AB7" s="3"/>
      <c r="AC7" s="3"/>
      <c r="AD7" s="3"/>
      <c r="AE7" s="3"/>
      <c r="AF7" s="3"/>
      <c r="AG7" s="3"/>
      <c r="AH7" s="3"/>
      <c r="AI7" s="3"/>
      <c r="AJ7" s="3"/>
      <c r="AK7" s="3"/>
      <c r="AL7" s="3"/>
      <c r="AM7" s="3"/>
      <c r="AN7" s="3"/>
      <c r="AO7" s="3"/>
      <c r="AP7" s="3"/>
    </row>
    <row r="8" spans="1:42" ht="14.25" customHeight="1" x14ac:dyDescent="0.2">
      <c r="A8" s="118">
        <v>5</v>
      </c>
      <c r="B8" s="118" t="s">
        <v>239</v>
      </c>
      <c r="C8" s="118" t="s">
        <v>240</v>
      </c>
      <c r="D8" s="118">
        <v>2025</v>
      </c>
      <c r="E8" s="118" t="s">
        <v>241</v>
      </c>
      <c r="F8" s="118" t="s">
        <v>243</v>
      </c>
      <c r="G8" s="118" t="s">
        <v>244</v>
      </c>
      <c r="H8" s="118" t="s">
        <v>246</v>
      </c>
      <c r="I8" s="118" t="s">
        <v>15</v>
      </c>
      <c r="J8" s="118" t="s">
        <v>223</v>
      </c>
      <c r="K8" s="118" t="s">
        <v>242</v>
      </c>
      <c r="L8" s="118" t="s">
        <v>245</v>
      </c>
      <c r="M8" s="118">
        <v>0</v>
      </c>
      <c r="N8" s="11" t="s">
        <v>16</v>
      </c>
      <c r="O8" s="12"/>
      <c r="P8" s="42" t="s">
        <v>44</v>
      </c>
      <c r="Q8" s="116"/>
      <c r="R8" s="3"/>
      <c r="S8" s="3"/>
      <c r="T8" s="3"/>
      <c r="U8" s="3"/>
      <c r="V8" s="3"/>
      <c r="W8" s="3"/>
      <c r="X8" s="3"/>
      <c r="Y8" s="3"/>
      <c r="Z8" s="3"/>
      <c r="AA8" s="3"/>
      <c r="AB8" s="3"/>
      <c r="AC8" s="3"/>
      <c r="AD8" s="3"/>
      <c r="AE8" s="3"/>
      <c r="AF8" s="3"/>
      <c r="AG8" s="3"/>
      <c r="AH8" s="3"/>
      <c r="AI8" s="3"/>
      <c r="AJ8" s="3"/>
      <c r="AK8" s="3"/>
      <c r="AL8" s="3"/>
      <c r="AM8" s="3"/>
      <c r="AN8" s="3"/>
      <c r="AO8" s="3"/>
      <c r="AP8" s="3"/>
    </row>
    <row r="9" spans="1:42" ht="14.25" customHeight="1" x14ac:dyDescent="0.2">
      <c r="A9" s="118">
        <v>6</v>
      </c>
      <c r="B9" s="118" t="s">
        <v>247</v>
      </c>
      <c r="C9" s="118" t="s">
        <v>248</v>
      </c>
      <c r="D9" s="118">
        <v>2026</v>
      </c>
      <c r="E9" s="118" t="s">
        <v>233</v>
      </c>
      <c r="F9" s="118" t="s">
        <v>250</v>
      </c>
      <c r="G9" s="118" t="s">
        <v>251</v>
      </c>
      <c r="H9" s="118" t="s">
        <v>238</v>
      </c>
      <c r="I9" s="118" t="s">
        <v>15</v>
      </c>
      <c r="J9" s="118" t="s">
        <v>223</v>
      </c>
      <c r="K9" s="118" t="s">
        <v>249</v>
      </c>
      <c r="L9" s="118" t="s">
        <v>252</v>
      </c>
      <c r="M9" s="118">
        <v>0</v>
      </c>
      <c r="N9" s="11" t="s">
        <v>16</v>
      </c>
      <c r="O9" s="12"/>
      <c r="P9" s="42" t="s">
        <v>44</v>
      </c>
      <c r="Q9" s="117"/>
      <c r="R9" s="3"/>
      <c r="S9" s="3"/>
      <c r="T9" s="3"/>
      <c r="U9" s="3"/>
      <c r="V9" s="3"/>
      <c r="W9" s="3"/>
      <c r="X9" s="3"/>
      <c r="Y9" s="3"/>
      <c r="Z9" s="3"/>
      <c r="AA9" s="3"/>
      <c r="AB9" s="3"/>
      <c r="AC9" s="3"/>
      <c r="AD9" s="3"/>
      <c r="AE9" s="3"/>
      <c r="AF9" s="3"/>
      <c r="AG9" s="3"/>
      <c r="AH9" s="3"/>
      <c r="AI9" s="3"/>
      <c r="AJ9" s="3"/>
      <c r="AK9" s="3"/>
      <c r="AL9" s="3"/>
      <c r="AM9" s="3"/>
      <c r="AN9" s="3"/>
      <c r="AO9" s="3"/>
      <c r="AP9" s="3"/>
    </row>
    <row r="10" spans="1:42" ht="14.25" customHeight="1" x14ac:dyDescent="0.2">
      <c r="A10" s="118">
        <v>7</v>
      </c>
      <c r="B10" s="118" t="s">
        <v>253</v>
      </c>
      <c r="C10" s="118" t="s">
        <v>254</v>
      </c>
      <c r="D10" s="118">
        <v>2024</v>
      </c>
      <c r="E10" s="118" t="s">
        <v>226</v>
      </c>
      <c r="F10" s="118" t="s">
        <v>256</v>
      </c>
      <c r="G10" s="118">
        <v>0</v>
      </c>
      <c r="H10" s="118" t="s">
        <v>230</v>
      </c>
      <c r="I10" s="118" t="s">
        <v>15</v>
      </c>
      <c r="J10" s="118" t="s">
        <v>223</v>
      </c>
      <c r="K10" s="118" t="s">
        <v>255</v>
      </c>
      <c r="L10" s="118" t="s">
        <v>257</v>
      </c>
      <c r="M10" s="118">
        <v>0</v>
      </c>
      <c r="N10" s="11" t="s">
        <v>16</v>
      </c>
      <c r="O10" s="12"/>
      <c r="P10" s="42" t="s">
        <v>44</v>
      </c>
      <c r="Q10" s="116"/>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2" ht="14.25" customHeight="1" x14ac:dyDescent="0.2">
      <c r="A11" s="118">
        <v>8</v>
      </c>
      <c r="B11" s="118" t="s">
        <v>258</v>
      </c>
      <c r="C11" s="118" t="s">
        <v>259</v>
      </c>
      <c r="D11" s="118">
        <v>2025</v>
      </c>
      <c r="E11" s="118" t="s">
        <v>260</v>
      </c>
      <c r="F11" s="118" t="s">
        <v>262</v>
      </c>
      <c r="G11" s="118" t="s">
        <v>263</v>
      </c>
      <c r="H11" s="118" t="s">
        <v>246</v>
      </c>
      <c r="I11" s="118" t="s">
        <v>15</v>
      </c>
      <c r="J11" s="118" t="s">
        <v>223</v>
      </c>
      <c r="K11" s="118" t="s">
        <v>261</v>
      </c>
      <c r="L11" s="118" t="s">
        <v>605</v>
      </c>
      <c r="M11" s="118">
        <v>0</v>
      </c>
      <c r="N11" s="11" t="s">
        <v>16</v>
      </c>
      <c r="O11" s="12"/>
      <c r="P11" s="42" t="s">
        <v>44</v>
      </c>
      <c r="Q11" s="117"/>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2" ht="14.25" customHeight="1" x14ac:dyDescent="0.2">
      <c r="A12" s="118">
        <v>9</v>
      </c>
      <c r="B12" s="118" t="s">
        <v>264</v>
      </c>
      <c r="C12" s="118" t="s">
        <v>265</v>
      </c>
      <c r="D12" s="118">
        <v>2025</v>
      </c>
      <c r="E12" s="118" t="s">
        <v>260</v>
      </c>
      <c r="F12" s="118" t="s">
        <v>267</v>
      </c>
      <c r="G12" s="118" t="s">
        <v>268</v>
      </c>
      <c r="H12" s="118" t="s">
        <v>246</v>
      </c>
      <c r="I12" s="118" t="s">
        <v>15</v>
      </c>
      <c r="J12" s="118" t="s">
        <v>223</v>
      </c>
      <c r="K12" s="118" t="s">
        <v>266</v>
      </c>
      <c r="L12" s="118" t="s">
        <v>606</v>
      </c>
      <c r="M12" s="118">
        <v>0</v>
      </c>
      <c r="N12" s="11" t="s">
        <v>16</v>
      </c>
      <c r="O12" s="12"/>
      <c r="P12" s="42" t="s">
        <v>44</v>
      </c>
      <c r="Q12" s="116"/>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2" ht="14.25" customHeight="1" x14ac:dyDescent="0.2">
      <c r="A13" s="118">
        <v>10</v>
      </c>
      <c r="B13" s="118" t="s">
        <v>269</v>
      </c>
      <c r="C13" s="118" t="s">
        <v>270</v>
      </c>
      <c r="D13" s="118">
        <v>2025</v>
      </c>
      <c r="E13" s="118" t="s">
        <v>233</v>
      </c>
      <c r="F13" s="118" t="s">
        <v>272</v>
      </c>
      <c r="G13" s="118" t="s">
        <v>273</v>
      </c>
      <c r="H13" s="118" t="s">
        <v>238</v>
      </c>
      <c r="I13" s="118" t="s">
        <v>15</v>
      </c>
      <c r="J13" s="118" t="s">
        <v>223</v>
      </c>
      <c r="K13" s="118" t="s">
        <v>271</v>
      </c>
      <c r="L13" s="118" t="s">
        <v>274</v>
      </c>
      <c r="M13" s="118">
        <v>0</v>
      </c>
      <c r="N13" s="11" t="s">
        <v>16</v>
      </c>
      <c r="O13" s="12"/>
      <c r="P13" s="42" t="s">
        <v>44</v>
      </c>
      <c r="Q13" s="117"/>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2" ht="14.25" customHeight="1" x14ac:dyDescent="0.2">
      <c r="A14" s="118">
        <v>11</v>
      </c>
      <c r="B14" s="118" t="s">
        <v>275</v>
      </c>
      <c r="C14" s="118" t="s">
        <v>276</v>
      </c>
      <c r="D14" s="118">
        <v>2025</v>
      </c>
      <c r="E14" s="118" t="s">
        <v>219</v>
      </c>
      <c r="F14" s="118" t="s">
        <v>278</v>
      </c>
      <c r="G14" s="118" t="s">
        <v>279</v>
      </c>
      <c r="H14" s="118" t="s">
        <v>222</v>
      </c>
      <c r="I14" s="118" t="s">
        <v>15</v>
      </c>
      <c r="J14" s="118" t="s">
        <v>223</v>
      </c>
      <c r="K14" s="118" t="s">
        <v>277</v>
      </c>
      <c r="L14" s="118" t="s">
        <v>280</v>
      </c>
      <c r="M14" s="118">
        <v>0</v>
      </c>
      <c r="N14" s="11" t="s">
        <v>16</v>
      </c>
      <c r="O14" s="12"/>
      <c r="P14" s="42" t="s">
        <v>44</v>
      </c>
      <c r="Q14" s="116"/>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2" ht="14.25" customHeight="1" x14ac:dyDescent="0.2">
      <c r="A15" s="118">
        <v>12</v>
      </c>
      <c r="B15" s="118" t="s">
        <v>281</v>
      </c>
      <c r="C15" s="118" t="s">
        <v>282</v>
      </c>
      <c r="D15" s="118">
        <v>2023</v>
      </c>
      <c r="E15" s="118" t="s">
        <v>219</v>
      </c>
      <c r="F15" s="118" t="s">
        <v>284</v>
      </c>
      <c r="G15" s="118" t="s">
        <v>285</v>
      </c>
      <c r="H15" s="118" t="s">
        <v>222</v>
      </c>
      <c r="I15" s="118" t="s">
        <v>15</v>
      </c>
      <c r="J15" s="118" t="s">
        <v>223</v>
      </c>
      <c r="K15" s="118" t="s">
        <v>283</v>
      </c>
      <c r="L15" s="118" t="s">
        <v>286</v>
      </c>
      <c r="M15" s="118">
        <v>0</v>
      </c>
      <c r="N15" s="11" t="s">
        <v>16</v>
      </c>
      <c r="O15" s="12"/>
      <c r="P15" s="42" t="s">
        <v>44</v>
      </c>
      <c r="Q15" s="116"/>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2" ht="14.25" customHeight="1" x14ac:dyDescent="0.2">
      <c r="A16" s="118">
        <v>13</v>
      </c>
      <c r="B16" s="118" t="s">
        <v>287</v>
      </c>
      <c r="C16" s="118" t="s">
        <v>288</v>
      </c>
      <c r="D16" s="118">
        <v>2023</v>
      </c>
      <c r="E16" s="118" t="s">
        <v>219</v>
      </c>
      <c r="F16" s="118" t="s">
        <v>290</v>
      </c>
      <c r="G16" s="118" t="s">
        <v>291</v>
      </c>
      <c r="H16" s="118" t="s">
        <v>222</v>
      </c>
      <c r="I16" s="118" t="s">
        <v>15</v>
      </c>
      <c r="J16" s="118" t="s">
        <v>223</v>
      </c>
      <c r="K16" s="118" t="s">
        <v>289</v>
      </c>
      <c r="L16" s="118" t="s">
        <v>292</v>
      </c>
      <c r="M16" s="118">
        <v>0</v>
      </c>
      <c r="N16" s="11" t="s">
        <v>16</v>
      </c>
      <c r="O16" s="12"/>
      <c r="P16" s="42" t="s">
        <v>44</v>
      </c>
      <c r="Q16" s="117"/>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2" ht="14.25" customHeight="1" x14ac:dyDescent="0.2">
      <c r="A17" s="118">
        <v>14</v>
      </c>
      <c r="B17" s="118" t="s">
        <v>293</v>
      </c>
      <c r="C17" s="118" t="s">
        <v>294</v>
      </c>
      <c r="D17" s="118">
        <v>2021</v>
      </c>
      <c r="E17" s="118" t="s">
        <v>260</v>
      </c>
      <c r="F17" s="118" t="s">
        <v>296</v>
      </c>
      <c r="G17" s="118" t="s">
        <v>297</v>
      </c>
      <c r="H17" s="118" t="s">
        <v>246</v>
      </c>
      <c r="I17" s="118" t="s">
        <v>15</v>
      </c>
      <c r="J17" s="118" t="s">
        <v>223</v>
      </c>
      <c r="K17" s="118" t="s">
        <v>295</v>
      </c>
      <c r="L17" s="118" t="s">
        <v>607</v>
      </c>
      <c r="M17" s="118">
        <v>0</v>
      </c>
      <c r="N17" s="11" t="s">
        <v>16</v>
      </c>
      <c r="O17" s="12"/>
      <c r="P17" s="42" t="s">
        <v>44</v>
      </c>
      <c r="Q17" s="116"/>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2" ht="14.25" customHeight="1" x14ac:dyDescent="0.2">
      <c r="A18" s="118">
        <v>15</v>
      </c>
      <c r="B18" s="118" t="s">
        <v>298</v>
      </c>
      <c r="C18" s="118" t="s">
        <v>299</v>
      </c>
      <c r="D18" s="118">
        <v>2022</v>
      </c>
      <c r="E18" s="118" t="s">
        <v>226</v>
      </c>
      <c r="F18" s="118" t="s">
        <v>301</v>
      </c>
      <c r="G18" s="118">
        <v>0</v>
      </c>
      <c r="H18" s="118" t="s">
        <v>230</v>
      </c>
      <c r="I18" s="118" t="s">
        <v>15</v>
      </c>
      <c r="J18" s="118" t="s">
        <v>223</v>
      </c>
      <c r="K18" s="118" t="s">
        <v>300</v>
      </c>
      <c r="L18" s="118">
        <v>0</v>
      </c>
      <c r="M18" s="118">
        <v>0</v>
      </c>
      <c r="N18" s="11" t="s">
        <v>16</v>
      </c>
      <c r="O18" s="12"/>
      <c r="P18" s="42" t="s">
        <v>44</v>
      </c>
      <c r="Q18" s="117"/>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2" ht="14.25" customHeight="1" x14ac:dyDescent="0.2">
      <c r="A19" s="118">
        <v>16</v>
      </c>
      <c r="B19" s="118" t="s">
        <v>302</v>
      </c>
      <c r="C19" s="118" t="s">
        <v>303</v>
      </c>
      <c r="D19" s="118">
        <v>2025</v>
      </c>
      <c r="E19" s="118" t="s">
        <v>241</v>
      </c>
      <c r="F19" s="118" t="s">
        <v>305</v>
      </c>
      <c r="G19" s="118" t="s">
        <v>306</v>
      </c>
      <c r="H19" s="118" t="s">
        <v>246</v>
      </c>
      <c r="I19" s="118" t="s">
        <v>15</v>
      </c>
      <c r="J19" s="118" t="s">
        <v>223</v>
      </c>
      <c r="K19" s="118" t="s">
        <v>304</v>
      </c>
      <c r="L19" s="118" t="s">
        <v>307</v>
      </c>
      <c r="M19" s="118">
        <v>0</v>
      </c>
      <c r="N19" s="11" t="s">
        <v>16</v>
      </c>
      <c r="O19" s="12"/>
      <c r="P19" s="42" t="s">
        <v>44</v>
      </c>
      <c r="Q19" s="116"/>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2" ht="14.25" customHeight="1" x14ac:dyDescent="0.2">
      <c r="A20" s="118">
        <v>17</v>
      </c>
      <c r="B20" s="118" t="s">
        <v>308</v>
      </c>
      <c r="C20" s="118" t="s">
        <v>309</v>
      </c>
      <c r="D20" s="118">
        <v>2025</v>
      </c>
      <c r="E20" s="118" t="s">
        <v>241</v>
      </c>
      <c r="F20" s="118" t="s">
        <v>311</v>
      </c>
      <c r="G20" s="118" t="s">
        <v>312</v>
      </c>
      <c r="H20" s="118" t="s">
        <v>246</v>
      </c>
      <c r="I20" s="118" t="s">
        <v>15</v>
      </c>
      <c r="J20" s="118" t="s">
        <v>223</v>
      </c>
      <c r="K20" s="118" t="s">
        <v>310</v>
      </c>
      <c r="L20" s="118" t="s">
        <v>313</v>
      </c>
      <c r="M20" s="118">
        <v>0</v>
      </c>
      <c r="N20" s="11" t="s">
        <v>16</v>
      </c>
      <c r="O20" s="5"/>
      <c r="P20" s="42" t="s">
        <v>44</v>
      </c>
      <c r="Q20" s="117"/>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2" ht="14.25" customHeight="1" x14ac:dyDescent="0.2">
      <c r="A21" s="118">
        <v>18</v>
      </c>
      <c r="B21" s="118" t="s">
        <v>314</v>
      </c>
      <c r="C21" s="118" t="s">
        <v>315</v>
      </c>
      <c r="D21" s="118">
        <v>2025</v>
      </c>
      <c r="E21" s="118" t="s">
        <v>260</v>
      </c>
      <c r="F21" s="118" t="s">
        <v>317</v>
      </c>
      <c r="G21" s="118" t="s">
        <v>318</v>
      </c>
      <c r="H21" s="118" t="s">
        <v>246</v>
      </c>
      <c r="I21" s="118" t="s">
        <v>15</v>
      </c>
      <c r="J21" s="118" t="s">
        <v>223</v>
      </c>
      <c r="K21" s="118" t="s">
        <v>316</v>
      </c>
      <c r="L21" s="118" t="s">
        <v>319</v>
      </c>
      <c r="M21" s="118">
        <v>0</v>
      </c>
      <c r="N21" s="11" t="s">
        <v>16</v>
      </c>
      <c r="O21" s="5"/>
      <c r="P21" s="42" t="s">
        <v>44</v>
      </c>
      <c r="Q21" s="116"/>
      <c r="R21" s="3"/>
      <c r="S21" s="3"/>
      <c r="T21" s="3"/>
      <c r="U21" s="3"/>
      <c r="V21" s="3"/>
      <c r="W21" s="3"/>
      <c r="X21" s="3"/>
      <c r="Y21" s="3"/>
      <c r="Z21" s="3"/>
      <c r="AA21" s="3"/>
      <c r="AB21" s="3"/>
      <c r="AC21" s="3"/>
      <c r="AD21" s="3"/>
      <c r="AE21" s="3"/>
      <c r="AF21" s="3"/>
      <c r="AG21" s="3"/>
      <c r="AH21" s="3"/>
      <c r="AI21" s="3"/>
      <c r="AJ21" s="3"/>
      <c r="AK21" s="3"/>
      <c r="AL21" s="3"/>
      <c r="AM21" s="3"/>
      <c r="AN21" s="3"/>
      <c r="AO21" s="3"/>
      <c r="AP21" s="3"/>
    </row>
    <row r="22" spans="1:42" ht="14.25" customHeight="1" x14ac:dyDescent="0.2">
      <c r="A22" s="118">
        <v>19</v>
      </c>
      <c r="B22" s="118" t="s">
        <v>320</v>
      </c>
      <c r="C22" s="118" t="s">
        <v>321</v>
      </c>
      <c r="D22" s="118">
        <v>2023</v>
      </c>
      <c r="E22" s="118" t="s">
        <v>219</v>
      </c>
      <c r="F22" s="118" t="s">
        <v>323</v>
      </c>
      <c r="G22" s="118" t="s">
        <v>324</v>
      </c>
      <c r="H22" s="118" t="s">
        <v>222</v>
      </c>
      <c r="I22" s="118" t="s">
        <v>15</v>
      </c>
      <c r="J22" s="118" t="s">
        <v>223</v>
      </c>
      <c r="K22" s="118" t="s">
        <v>322</v>
      </c>
      <c r="L22" s="118" t="s">
        <v>325</v>
      </c>
      <c r="M22" s="118">
        <v>0</v>
      </c>
      <c r="N22" s="11" t="s">
        <v>16</v>
      </c>
      <c r="O22" s="5"/>
      <c r="P22" s="42" t="s">
        <v>44</v>
      </c>
      <c r="Q22" s="117"/>
      <c r="R22" s="3"/>
      <c r="S22" s="3"/>
      <c r="T22" s="3"/>
      <c r="U22" s="3"/>
      <c r="V22" s="3"/>
      <c r="W22" s="3"/>
      <c r="X22" s="3"/>
      <c r="Y22" s="3"/>
      <c r="Z22" s="3"/>
      <c r="AA22" s="3"/>
      <c r="AB22" s="3"/>
      <c r="AC22" s="3"/>
      <c r="AD22" s="3"/>
      <c r="AE22" s="3"/>
      <c r="AF22" s="3"/>
      <c r="AG22" s="3"/>
      <c r="AH22" s="3"/>
      <c r="AI22" s="3"/>
      <c r="AJ22" s="3"/>
      <c r="AK22" s="3"/>
      <c r="AL22" s="3"/>
      <c r="AM22" s="3"/>
      <c r="AN22" s="3"/>
      <c r="AO22" s="3"/>
      <c r="AP22" s="3"/>
    </row>
    <row r="23" spans="1:42" ht="14.25" customHeight="1" x14ac:dyDescent="0.2">
      <c r="A23" s="118">
        <v>20</v>
      </c>
      <c r="B23" s="118" t="s">
        <v>326</v>
      </c>
      <c r="C23" s="118" t="s">
        <v>327</v>
      </c>
      <c r="D23" s="118">
        <v>2025</v>
      </c>
      <c r="E23" s="118" t="s">
        <v>233</v>
      </c>
      <c r="F23" s="118" t="s">
        <v>329</v>
      </c>
      <c r="G23" s="118" t="s">
        <v>330</v>
      </c>
      <c r="H23" s="118" t="s">
        <v>238</v>
      </c>
      <c r="I23" s="118" t="s">
        <v>15</v>
      </c>
      <c r="J23" s="118" t="s">
        <v>223</v>
      </c>
      <c r="K23" s="118" t="s">
        <v>328</v>
      </c>
      <c r="L23" s="118" t="s">
        <v>331</v>
      </c>
      <c r="M23" s="118">
        <v>0</v>
      </c>
      <c r="N23" s="11" t="s">
        <v>16</v>
      </c>
      <c r="O23" s="5"/>
      <c r="P23" s="42" t="s">
        <v>44</v>
      </c>
      <c r="Q23" s="116"/>
      <c r="R23" s="3"/>
      <c r="S23" s="3"/>
      <c r="T23" s="3"/>
      <c r="U23" s="3"/>
      <c r="V23" s="3"/>
      <c r="W23" s="3"/>
      <c r="X23" s="3"/>
      <c r="Y23" s="3"/>
      <c r="Z23" s="3"/>
      <c r="AA23" s="3"/>
      <c r="AB23" s="3"/>
      <c r="AC23" s="3"/>
      <c r="AD23" s="3"/>
      <c r="AE23" s="3"/>
      <c r="AF23" s="3"/>
      <c r="AG23" s="3"/>
      <c r="AH23" s="3"/>
      <c r="AI23" s="3"/>
      <c r="AJ23" s="3"/>
      <c r="AK23" s="3"/>
      <c r="AL23" s="3"/>
      <c r="AM23" s="3"/>
      <c r="AN23" s="3"/>
      <c r="AO23" s="3"/>
      <c r="AP23" s="3"/>
    </row>
    <row r="24" spans="1:42" ht="14.25" customHeight="1" x14ac:dyDescent="0.2">
      <c r="A24" s="118">
        <v>21</v>
      </c>
      <c r="B24" s="118" t="s">
        <v>332</v>
      </c>
      <c r="C24" s="118" t="s">
        <v>333</v>
      </c>
      <c r="D24" s="118">
        <v>2022</v>
      </c>
      <c r="E24" s="118" t="s">
        <v>226</v>
      </c>
      <c r="F24" s="118" t="s">
        <v>335</v>
      </c>
      <c r="G24" s="118">
        <v>0</v>
      </c>
      <c r="H24" s="118" t="s">
        <v>230</v>
      </c>
      <c r="I24" s="118" t="s">
        <v>15</v>
      </c>
      <c r="J24" s="118" t="s">
        <v>223</v>
      </c>
      <c r="K24" s="118" t="s">
        <v>334</v>
      </c>
      <c r="L24" s="118" t="s">
        <v>336</v>
      </c>
      <c r="M24" s="118">
        <v>0</v>
      </c>
      <c r="N24" s="11" t="s">
        <v>16</v>
      </c>
      <c r="O24" s="5"/>
      <c r="P24" s="42" t="s">
        <v>44</v>
      </c>
      <c r="Q24" s="117"/>
      <c r="R24" s="3"/>
      <c r="S24" s="3"/>
      <c r="T24" s="3"/>
      <c r="U24" s="3"/>
      <c r="V24" s="3"/>
      <c r="W24" s="3"/>
      <c r="X24" s="3"/>
      <c r="Y24" s="3"/>
      <c r="Z24" s="3"/>
      <c r="AA24" s="3"/>
      <c r="AB24" s="3"/>
      <c r="AC24" s="3"/>
      <c r="AD24" s="3"/>
      <c r="AE24" s="3"/>
      <c r="AF24" s="3"/>
      <c r="AG24" s="3"/>
      <c r="AH24" s="3"/>
      <c r="AI24" s="3"/>
      <c r="AJ24" s="3"/>
      <c r="AK24" s="3"/>
      <c r="AL24" s="3"/>
      <c r="AM24" s="3"/>
      <c r="AN24" s="3"/>
      <c r="AO24" s="3"/>
      <c r="AP24" s="3"/>
    </row>
    <row r="25" spans="1:42" ht="14.25" customHeight="1" x14ac:dyDescent="0.2">
      <c r="A25" s="118">
        <v>22</v>
      </c>
      <c r="B25" s="118" t="s">
        <v>337</v>
      </c>
      <c r="C25" s="118" t="s">
        <v>338</v>
      </c>
      <c r="D25" s="118">
        <v>2021</v>
      </c>
      <c r="E25" s="118" t="s">
        <v>226</v>
      </c>
      <c r="F25" s="118" t="s">
        <v>340</v>
      </c>
      <c r="G25" s="118">
        <v>0</v>
      </c>
      <c r="H25" s="118" t="s">
        <v>230</v>
      </c>
      <c r="I25" s="118" t="s">
        <v>15</v>
      </c>
      <c r="J25" s="118" t="s">
        <v>223</v>
      </c>
      <c r="K25" s="118" t="s">
        <v>339</v>
      </c>
      <c r="L25" s="118" t="s">
        <v>341</v>
      </c>
      <c r="M25" s="118">
        <v>0</v>
      </c>
      <c r="N25" s="11" t="s">
        <v>16</v>
      </c>
      <c r="O25" s="5"/>
      <c r="P25" s="42" t="s">
        <v>44</v>
      </c>
      <c r="Q25" s="116"/>
      <c r="R25" s="3"/>
      <c r="S25" s="3"/>
      <c r="T25" s="3"/>
      <c r="U25" s="3"/>
      <c r="V25" s="3"/>
      <c r="W25" s="3"/>
      <c r="X25" s="3"/>
      <c r="Y25" s="3"/>
      <c r="Z25" s="3"/>
      <c r="AA25" s="3"/>
      <c r="AB25" s="3"/>
      <c r="AC25" s="3"/>
      <c r="AD25" s="3"/>
      <c r="AE25" s="3"/>
      <c r="AF25" s="3"/>
      <c r="AG25" s="3"/>
      <c r="AH25" s="3"/>
      <c r="AI25" s="3"/>
      <c r="AJ25" s="3"/>
      <c r="AK25" s="3"/>
      <c r="AL25" s="3"/>
      <c r="AM25" s="3"/>
      <c r="AN25" s="3"/>
      <c r="AO25" s="3"/>
      <c r="AP25" s="3"/>
    </row>
    <row r="26" spans="1:42" ht="14.25" customHeight="1" x14ac:dyDescent="0.2">
      <c r="A26" s="118">
        <v>23</v>
      </c>
      <c r="B26" s="118" t="s">
        <v>342</v>
      </c>
      <c r="C26" s="118" t="s">
        <v>343</v>
      </c>
      <c r="D26" s="118">
        <v>2024</v>
      </c>
      <c r="E26" s="118" t="s">
        <v>219</v>
      </c>
      <c r="F26" s="118" t="s">
        <v>345</v>
      </c>
      <c r="G26" s="118" t="s">
        <v>346</v>
      </c>
      <c r="H26" s="118" t="s">
        <v>222</v>
      </c>
      <c r="I26" s="118" t="s">
        <v>15</v>
      </c>
      <c r="J26" s="118" t="s">
        <v>223</v>
      </c>
      <c r="K26" s="118" t="s">
        <v>344</v>
      </c>
      <c r="L26" s="118" t="s">
        <v>347</v>
      </c>
      <c r="M26" s="118">
        <v>0</v>
      </c>
      <c r="N26" s="11" t="s">
        <v>16</v>
      </c>
      <c r="O26" s="5"/>
      <c r="P26" s="42" t="s">
        <v>44</v>
      </c>
      <c r="Q26" s="117"/>
      <c r="R26" s="3"/>
      <c r="S26" s="3"/>
      <c r="T26" s="3"/>
      <c r="U26" s="3"/>
      <c r="V26" s="3"/>
      <c r="W26" s="3"/>
      <c r="X26" s="3"/>
      <c r="Y26" s="3"/>
      <c r="Z26" s="3"/>
      <c r="AA26" s="3"/>
      <c r="AB26" s="3"/>
      <c r="AC26" s="3"/>
      <c r="AD26" s="3"/>
      <c r="AE26" s="3"/>
      <c r="AF26" s="3"/>
      <c r="AG26" s="3"/>
      <c r="AH26" s="3"/>
      <c r="AI26" s="3"/>
      <c r="AJ26" s="3"/>
      <c r="AK26" s="3"/>
      <c r="AL26" s="3"/>
      <c r="AM26" s="3"/>
      <c r="AN26" s="3"/>
      <c r="AO26" s="3"/>
      <c r="AP26" s="3"/>
    </row>
    <row r="27" spans="1:42" ht="14.25" customHeight="1" x14ac:dyDescent="0.2">
      <c r="A27" s="118">
        <v>24</v>
      </c>
      <c r="B27" s="118" t="s">
        <v>348</v>
      </c>
      <c r="C27" s="118" t="s">
        <v>349</v>
      </c>
      <c r="D27" s="118">
        <v>2022</v>
      </c>
      <c r="E27" s="118" t="s">
        <v>219</v>
      </c>
      <c r="F27" s="118" t="s">
        <v>351</v>
      </c>
      <c r="G27" s="118" t="s">
        <v>352</v>
      </c>
      <c r="H27" s="118" t="s">
        <v>222</v>
      </c>
      <c r="I27" s="118" t="s">
        <v>15</v>
      </c>
      <c r="J27" s="118" t="s">
        <v>223</v>
      </c>
      <c r="K27" s="118" t="s">
        <v>350</v>
      </c>
      <c r="L27" s="118" t="s">
        <v>353</v>
      </c>
      <c r="M27" s="118">
        <v>0</v>
      </c>
      <c r="N27" s="11" t="s">
        <v>16</v>
      </c>
      <c r="O27" s="5"/>
      <c r="P27" s="42" t="s">
        <v>44</v>
      </c>
      <c r="Q27" s="116"/>
      <c r="R27" s="3"/>
      <c r="S27" s="3"/>
      <c r="T27" s="3"/>
      <c r="U27" s="3"/>
      <c r="V27" s="3"/>
      <c r="W27" s="3"/>
      <c r="X27" s="3"/>
      <c r="Y27" s="3"/>
      <c r="Z27" s="3"/>
      <c r="AA27" s="3"/>
      <c r="AB27" s="3"/>
      <c r="AC27" s="3"/>
      <c r="AD27" s="3"/>
      <c r="AE27" s="3"/>
      <c r="AF27" s="3"/>
      <c r="AG27" s="3"/>
      <c r="AH27" s="3"/>
      <c r="AI27" s="3"/>
      <c r="AJ27" s="3"/>
      <c r="AK27" s="3"/>
      <c r="AL27" s="3"/>
      <c r="AM27" s="3"/>
      <c r="AN27" s="3"/>
      <c r="AO27" s="3"/>
      <c r="AP27" s="3"/>
    </row>
    <row r="28" spans="1:42" ht="14.25" customHeight="1" x14ac:dyDescent="0.2">
      <c r="A28" s="118">
        <v>25</v>
      </c>
      <c r="B28" s="118" t="s">
        <v>354</v>
      </c>
      <c r="C28" s="118" t="s">
        <v>355</v>
      </c>
      <c r="D28" s="118">
        <v>2023</v>
      </c>
      <c r="E28" s="118" t="s">
        <v>226</v>
      </c>
      <c r="F28" s="118" t="s">
        <v>608</v>
      </c>
      <c r="G28" s="118">
        <v>0</v>
      </c>
      <c r="H28" s="118" t="s">
        <v>230</v>
      </c>
      <c r="I28" s="118" t="s">
        <v>15</v>
      </c>
      <c r="J28" s="118" t="s">
        <v>223</v>
      </c>
      <c r="K28" s="118" t="s">
        <v>356</v>
      </c>
      <c r="L28" s="118" t="s">
        <v>357</v>
      </c>
      <c r="M28" s="118">
        <v>0</v>
      </c>
      <c r="N28" s="11" t="s">
        <v>16</v>
      </c>
      <c r="O28" s="5"/>
      <c r="P28" s="42" t="s">
        <v>44</v>
      </c>
      <c r="Q28" s="117"/>
      <c r="R28" s="3"/>
      <c r="S28" s="3"/>
      <c r="T28" s="3"/>
      <c r="U28" s="3"/>
      <c r="V28" s="3"/>
      <c r="W28" s="3"/>
      <c r="X28" s="3"/>
      <c r="Y28" s="3"/>
      <c r="Z28" s="3"/>
      <c r="AA28" s="3"/>
      <c r="AB28" s="3"/>
      <c r="AC28" s="3"/>
      <c r="AD28" s="3"/>
      <c r="AE28" s="3"/>
      <c r="AF28" s="3"/>
      <c r="AG28" s="3"/>
      <c r="AH28" s="3"/>
      <c r="AI28" s="3"/>
      <c r="AJ28" s="3"/>
      <c r="AK28" s="3"/>
      <c r="AL28" s="3"/>
      <c r="AM28" s="3"/>
      <c r="AN28" s="3"/>
      <c r="AO28" s="3"/>
      <c r="AP28" s="3"/>
    </row>
    <row r="29" spans="1:42" ht="14.25" customHeight="1" x14ac:dyDescent="0.2">
      <c r="A29" s="118">
        <v>26</v>
      </c>
      <c r="B29" s="118" t="s">
        <v>358</v>
      </c>
      <c r="C29" s="118" t="s">
        <v>359</v>
      </c>
      <c r="D29" s="118">
        <v>2025</v>
      </c>
      <c r="E29" s="118" t="s">
        <v>226</v>
      </c>
      <c r="F29" s="118" t="s">
        <v>361</v>
      </c>
      <c r="G29" s="118">
        <v>0</v>
      </c>
      <c r="H29" s="118" t="s">
        <v>230</v>
      </c>
      <c r="I29" s="118" t="s">
        <v>15</v>
      </c>
      <c r="J29" s="118" t="s">
        <v>223</v>
      </c>
      <c r="K29" s="118" t="s">
        <v>360</v>
      </c>
      <c r="L29" s="118" t="s">
        <v>362</v>
      </c>
      <c r="M29" s="118">
        <v>0</v>
      </c>
      <c r="N29" s="11" t="s">
        <v>16</v>
      </c>
      <c r="O29" s="5"/>
      <c r="P29" s="42" t="s">
        <v>44</v>
      </c>
      <c r="Q29" s="116"/>
      <c r="R29" s="3"/>
      <c r="S29" s="3"/>
      <c r="T29" s="3"/>
      <c r="U29" s="3"/>
      <c r="V29" s="3"/>
      <c r="W29" s="3"/>
      <c r="X29" s="3"/>
      <c r="Y29" s="3"/>
      <c r="Z29" s="3"/>
      <c r="AA29" s="3"/>
      <c r="AB29" s="3"/>
      <c r="AC29" s="3"/>
      <c r="AD29" s="3"/>
      <c r="AE29" s="3"/>
      <c r="AF29" s="3"/>
      <c r="AG29" s="3"/>
      <c r="AH29" s="3"/>
      <c r="AI29" s="3"/>
      <c r="AJ29" s="3"/>
      <c r="AK29" s="3"/>
      <c r="AL29" s="3"/>
      <c r="AM29" s="3"/>
      <c r="AN29" s="3"/>
      <c r="AO29" s="3"/>
      <c r="AP29" s="3"/>
    </row>
    <row r="30" spans="1:42" ht="14.25" customHeight="1" x14ac:dyDescent="0.2">
      <c r="A30" s="118">
        <v>27</v>
      </c>
      <c r="B30" s="118" t="s">
        <v>363</v>
      </c>
      <c r="C30" s="118" t="s">
        <v>364</v>
      </c>
      <c r="D30" s="118">
        <v>2025</v>
      </c>
      <c r="E30" s="118" t="s">
        <v>226</v>
      </c>
      <c r="F30" s="118" t="s">
        <v>366</v>
      </c>
      <c r="G30" s="118">
        <v>0</v>
      </c>
      <c r="H30" s="118" t="s">
        <v>230</v>
      </c>
      <c r="I30" s="118" t="s">
        <v>15</v>
      </c>
      <c r="J30" s="118" t="s">
        <v>223</v>
      </c>
      <c r="K30" s="118" t="s">
        <v>365</v>
      </c>
      <c r="L30" s="118" t="s">
        <v>367</v>
      </c>
      <c r="M30" s="118">
        <v>0</v>
      </c>
      <c r="N30" s="11" t="s">
        <v>16</v>
      </c>
      <c r="O30" s="5"/>
      <c r="P30" s="42" t="s">
        <v>44</v>
      </c>
      <c r="Q30" s="117"/>
      <c r="R30" s="3"/>
      <c r="S30" s="3"/>
      <c r="T30" s="3"/>
      <c r="U30" s="3"/>
      <c r="V30" s="3"/>
      <c r="W30" s="3"/>
      <c r="X30" s="3"/>
      <c r="Y30" s="3"/>
      <c r="Z30" s="3"/>
      <c r="AA30" s="3"/>
      <c r="AB30" s="3"/>
      <c r="AC30" s="3"/>
      <c r="AD30" s="3"/>
      <c r="AE30" s="3"/>
      <c r="AF30" s="3"/>
      <c r="AG30" s="3"/>
      <c r="AH30" s="3"/>
      <c r="AI30" s="3"/>
      <c r="AJ30" s="3"/>
      <c r="AK30" s="3"/>
      <c r="AL30" s="3"/>
      <c r="AM30" s="3"/>
      <c r="AN30" s="3"/>
      <c r="AO30" s="3"/>
      <c r="AP30" s="3"/>
    </row>
    <row r="31" spans="1:42" ht="14.25" customHeight="1" x14ac:dyDescent="0.2">
      <c r="A31" s="118">
        <v>28</v>
      </c>
      <c r="B31" s="118" t="s">
        <v>368</v>
      </c>
      <c r="C31" s="118" t="s">
        <v>369</v>
      </c>
      <c r="D31" s="118">
        <v>2023</v>
      </c>
      <c r="E31" s="118" t="s">
        <v>226</v>
      </c>
      <c r="F31" s="118" t="s">
        <v>371</v>
      </c>
      <c r="G31" s="118">
        <v>0</v>
      </c>
      <c r="H31" s="118" t="s">
        <v>230</v>
      </c>
      <c r="I31" s="118" t="s">
        <v>15</v>
      </c>
      <c r="J31" s="118" t="s">
        <v>223</v>
      </c>
      <c r="K31" s="118" t="s">
        <v>370</v>
      </c>
      <c r="L31" s="118" t="s">
        <v>372</v>
      </c>
      <c r="M31" s="118">
        <v>0</v>
      </c>
      <c r="N31" s="11" t="s">
        <v>16</v>
      </c>
      <c r="O31" s="5"/>
      <c r="P31" s="42" t="s">
        <v>44</v>
      </c>
      <c r="Q31" s="116"/>
      <c r="R31" s="3"/>
      <c r="S31" s="3"/>
      <c r="T31" s="3"/>
      <c r="U31" s="3"/>
      <c r="V31" s="3"/>
      <c r="W31" s="3"/>
      <c r="X31" s="3"/>
      <c r="Y31" s="3"/>
      <c r="Z31" s="3"/>
      <c r="AA31" s="3"/>
      <c r="AB31" s="3"/>
      <c r="AC31" s="3"/>
      <c r="AD31" s="3"/>
      <c r="AE31" s="3"/>
      <c r="AF31" s="3"/>
      <c r="AG31" s="3"/>
      <c r="AH31" s="3"/>
      <c r="AI31" s="3"/>
      <c r="AJ31" s="3"/>
      <c r="AK31" s="3"/>
      <c r="AL31" s="3"/>
      <c r="AM31" s="3"/>
      <c r="AN31" s="3"/>
      <c r="AO31" s="3"/>
      <c r="AP31" s="3"/>
    </row>
    <row r="32" spans="1:42" ht="14.25" customHeight="1" x14ac:dyDescent="0.2">
      <c r="A32" s="118">
        <v>29</v>
      </c>
      <c r="B32" s="118" t="s">
        <v>373</v>
      </c>
      <c r="C32" s="118" t="s">
        <v>374</v>
      </c>
      <c r="D32" s="118">
        <v>2024</v>
      </c>
      <c r="E32" s="118" t="s">
        <v>260</v>
      </c>
      <c r="F32" s="118" t="s">
        <v>376</v>
      </c>
      <c r="G32" s="118" t="s">
        <v>377</v>
      </c>
      <c r="H32" s="118" t="s">
        <v>246</v>
      </c>
      <c r="I32" s="118" t="s">
        <v>15</v>
      </c>
      <c r="J32" s="118" t="s">
        <v>223</v>
      </c>
      <c r="K32" s="118" t="s">
        <v>375</v>
      </c>
      <c r="L32" s="118">
        <v>0</v>
      </c>
      <c r="M32" s="118">
        <v>0</v>
      </c>
      <c r="N32" s="11" t="s">
        <v>16</v>
      </c>
      <c r="O32" s="5"/>
      <c r="P32" s="42" t="s">
        <v>44</v>
      </c>
      <c r="Q32" s="117"/>
      <c r="R32" s="3"/>
      <c r="S32" s="3"/>
      <c r="T32" s="3"/>
      <c r="U32" s="3"/>
      <c r="V32" s="3"/>
      <c r="W32" s="3"/>
      <c r="X32" s="3"/>
      <c r="Y32" s="3"/>
      <c r="Z32" s="3"/>
      <c r="AA32" s="3"/>
      <c r="AB32" s="3"/>
      <c r="AC32" s="3"/>
      <c r="AD32" s="3"/>
      <c r="AE32" s="3"/>
      <c r="AF32" s="3"/>
      <c r="AG32" s="3"/>
      <c r="AH32" s="3"/>
      <c r="AI32" s="3"/>
      <c r="AJ32" s="3"/>
      <c r="AK32" s="3"/>
      <c r="AL32" s="3"/>
      <c r="AM32" s="3"/>
      <c r="AN32" s="3"/>
      <c r="AO32" s="3"/>
      <c r="AP32" s="3"/>
    </row>
    <row r="33" spans="1:42" ht="14.25" customHeight="1" x14ac:dyDescent="0.2">
      <c r="A33" s="118">
        <v>30</v>
      </c>
      <c r="B33" s="118" t="s">
        <v>378</v>
      </c>
      <c r="C33" s="118" t="s">
        <v>379</v>
      </c>
      <c r="D33" s="118">
        <v>2025</v>
      </c>
      <c r="E33" s="118" t="s">
        <v>226</v>
      </c>
      <c r="F33" s="118" t="s">
        <v>381</v>
      </c>
      <c r="G33" s="118">
        <v>0</v>
      </c>
      <c r="H33" s="118" t="s">
        <v>230</v>
      </c>
      <c r="I33" s="118" t="s">
        <v>15</v>
      </c>
      <c r="J33" s="118" t="s">
        <v>223</v>
      </c>
      <c r="K33" s="118" t="s">
        <v>380</v>
      </c>
      <c r="L33" s="118" t="s">
        <v>382</v>
      </c>
      <c r="M33" s="118">
        <v>0</v>
      </c>
      <c r="N33" s="11" t="s">
        <v>16</v>
      </c>
      <c r="O33" s="4"/>
      <c r="P33" s="42" t="s">
        <v>44</v>
      </c>
      <c r="Q33" s="117"/>
      <c r="R33" s="3"/>
      <c r="S33" s="3"/>
      <c r="T33" s="3"/>
      <c r="U33" s="3"/>
      <c r="V33" s="3"/>
      <c r="W33" s="3"/>
      <c r="X33" s="3"/>
      <c r="Y33" s="3"/>
      <c r="Z33" s="3"/>
      <c r="AA33" s="3"/>
      <c r="AB33" s="3"/>
      <c r="AC33" s="3"/>
      <c r="AD33" s="3"/>
      <c r="AE33" s="3"/>
      <c r="AF33" s="3"/>
      <c r="AG33" s="3"/>
      <c r="AH33" s="3"/>
      <c r="AI33" s="3"/>
      <c r="AJ33" s="3"/>
      <c r="AK33" s="3"/>
      <c r="AL33" s="3"/>
      <c r="AM33" s="3"/>
      <c r="AN33" s="3"/>
      <c r="AO33" s="3"/>
      <c r="AP33" s="3"/>
    </row>
    <row r="34" spans="1:42" ht="14.25" customHeight="1" x14ac:dyDescent="0.2">
      <c r="A34" s="118">
        <v>31</v>
      </c>
      <c r="B34" s="118" t="s">
        <v>383</v>
      </c>
      <c r="C34" s="118" t="s">
        <v>384</v>
      </c>
      <c r="D34" s="118">
        <v>2022</v>
      </c>
      <c r="E34" s="118" t="s">
        <v>260</v>
      </c>
      <c r="F34" s="118" t="s">
        <v>386</v>
      </c>
      <c r="G34" s="118" t="s">
        <v>387</v>
      </c>
      <c r="H34" s="118" t="s">
        <v>246</v>
      </c>
      <c r="I34" s="118" t="s">
        <v>15</v>
      </c>
      <c r="J34" s="118" t="s">
        <v>223</v>
      </c>
      <c r="K34" s="118" t="s">
        <v>385</v>
      </c>
      <c r="L34" s="118" t="s">
        <v>388</v>
      </c>
      <c r="M34" s="118">
        <v>0</v>
      </c>
      <c r="N34" s="11" t="s">
        <v>16</v>
      </c>
      <c r="O34" s="5"/>
      <c r="P34" s="42" t="s">
        <v>44</v>
      </c>
      <c r="Q34" s="116"/>
      <c r="R34" s="3"/>
      <c r="S34" s="3"/>
      <c r="T34" s="3"/>
      <c r="U34" s="3"/>
      <c r="V34" s="3"/>
      <c r="W34" s="3"/>
      <c r="X34" s="3"/>
      <c r="Y34" s="3"/>
      <c r="Z34" s="3"/>
      <c r="AA34" s="3"/>
      <c r="AB34" s="3"/>
      <c r="AC34" s="3"/>
      <c r="AD34" s="3"/>
      <c r="AE34" s="3"/>
      <c r="AF34" s="3"/>
      <c r="AG34" s="3"/>
      <c r="AH34" s="3"/>
      <c r="AI34" s="3"/>
      <c r="AJ34" s="3"/>
      <c r="AK34" s="3"/>
      <c r="AL34" s="3"/>
      <c r="AM34" s="3"/>
      <c r="AN34" s="3"/>
      <c r="AO34" s="3"/>
      <c r="AP34" s="3"/>
    </row>
    <row r="35" spans="1:42" ht="14.25" customHeight="1" x14ac:dyDescent="0.2">
      <c r="A35" s="118">
        <v>32</v>
      </c>
      <c r="B35" s="118" t="s">
        <v>389</v>
      </c>
      <c r="C35" s="118" t="s">
        <v>390</v>
      </c>
      <c r="D35" s="118">
        <v>2022</v>
      </c>
      <c r="E35" s="118" t="s">
        <v>260</v>
      </c>
      <c r="F35" s="118" t="s">
        <v>392</v>
      </c>
      <c r="G35" s="118">
        <v>0</v>
      </c>
      <c r="H35" s="118" t="s">
        <v>246</v>
      </c>
      <c r="I35" s="118" t="s">
        <v>15</v>
      </c>
      <c r="J35" s="118" t="s">
        <v>223</v>
      </c>
      <c r="K35" s="118" t="s">
        <v>391</v>
      </c>
      <c r="L35" s="118" t="s">
        <v>393</v>
      </c>
      <c r="M35" s="118">
        <v>0</v>
      </c>
      <c r="N35" s="11" t="s">
        <v>16</v>
      </c>
      <c r="O35" s="5"/>
      <c r="P35" s="42" t="s">
        <v>44</v>
      </c>
      <c r="Q35" s="117"/>
      <c r="R35" s="3"/>
      <c r="S35" s="3"/>
      <c r="T35" s="3"/>
      <c r="U35" s="3"/>
      <c r="V35" s="3"/>
      <c r="W35" s="3"/>
      <c r="X35" s="3"/>
      <c r="Y35" s="3"/>
      <c r="Z35" s="3"/>
      <c r="AA35" s="3"/>
      <c r="AB35" s="3"/>
      <c r="AC35" s="3"/>
      <c r="AD35" s="3"/>
      <c r="AE35" s="3"/>
      <c r="AF35" s="3"/>
      <c r="AG35" s="3"/>
      <c r="AH35" s="3"/>
      <c r="AI35" s="3"/>
      <c r="AJ35" s="3"/>
      <c r="AK35" s="3"/>
      <c r="AL35" s="3"/>
      <c r="AM35" s="3"/>
      <c r="AN35" s="3"/>
      <c r="AO35" s="3"/>
      <c r="AP35" s="3"/>
    </row>
    <row r="36" spans="1:42" ht="14.25" customHeight="1" x14ac:dyDescent="0.2">
      <c r="A36" s="118">
        <v>33</v>
      </c>
      <c r="B36" s="118" t="s">
        <v>394</v>
      </c>
      <c r="C36" s="118" t="s">
        <v>395</v>
      </c>
      <c r="D36" s="118">
        <v>2024</v>
      </c>
      <c r="E36" s="118" t="s">
        <v>226</v>
      </c>
      <c r="F36" s="118" t="s">
        <v>397</v>
      </c>
      <c r="G36" s="118">
        <v>0</v>
      </c>
      <c r="H36" s="118" t="s">
        <v>230</v>
      </c>
      <c r="I36" s="118" t="s">
        <v>15</v>
      </c>
      <c r="J36" s="118" t="s">
        <v>223</v>
      </c>
      <c r="K36" s="118" t="s">
        <v>396</v>
      </c>
      <c r="L36" s="118" t="s">
        <v>398</v>
      </c>
      <c r="M36" s="118">
        <v>0</v>
      </c>
      <c r="N36" s="11" t="s">
        <v>16</v>
      </c>
      <c r="O36" s="5"/>
      <c r="P36" s="42" t="s">
        <v>44</v>
      </c>
      <c r="Q36" s="116"/>
      <c r="R36" s="3"/>
      <c r="S36" s="3"/>
      <c r="T36" s="3"/>
      <c r="U36" s="3"/>
      <c r="V36" s="3"/>
      <c r="W36" s="3"/>
      <c r="X36" s="3"/>
      <c r="Y36" s="3"/>
      <c r="Z36" s="3"/>
      <c r="AA36" s="3"/>
      <c r="AB36" s="3"/>
      <c r="AC36" s="3"/>
      <c r="AD36" s="3"/>
      <c r="AE36" s="3"/>
      <c r="AF36" s="3"/>
      <c r="AG36" s="3"/>
      <c r="AH36" s="3"/>
      <c r="AI36" s="3"/>
      <c r="AJ36" s="3"/>
      <c r="AK36" s="3"/>
      <c r="AL36" s="3"/>
      <c r="AM36" s="3"/>
      <c r="AN36" s="3"/>
      <c r="AO36" s="3"/>
      <c r="AP36" s="3"/>
    </row>
    <row r="37" spans="1:42" ht="14.25" customHeight="1" x14ac:dyDescent="0.2">
      <c r="A37" s="118">
        <v>34</v>
      </c>
      <c r="B37" s="118" t="s">
        <v>399</v>
      </c>
      <c r="C37" s="118" t="s">
        <v>400</v>
      </c>
      <c r="D37" s="118">
        <v>2022</v>
      </c>
      <c r="E37" s="118" t="s">
        <v>260</v>
      </c>
      <c r="F37" s="118" t="s">
        <v>402</v>
      </c>
      <c r="G37" s="118" t="s">
        <v>403</v>
      </c>
      <c r="H37" s="118" t="s">
        <v>246</v>
      </c>
      <c r="I37" s="118" t="s">
        <v>15</v>
      </c>
      <c r="J37" s="118" t="s">
        <v>223</v>
      </c>
      <c r="K37" s="118" t="s">
        <v>401</v>
      </c>
      <c r="L37" s="118" t="s">
        <v>609</v>
      </c>
      <c r="M37" s="118">
        <v>0</v>
      </c>
      <c r="N37" s="11" t="s">
        <v>16</v>
      </c>
      <c r="O37" s="5"/>
      <c r="P37" s="42" t="s">
        <v>44</v>
      </c>
      <c r="Q37" s="117"/>
      <c r="R37" s="3"/>
      <c r="S37" s="3"/>
      <c r="T37" s="3"/>
      <c r="U37" s="3"/>
      <c r="V37" s="3"/>
      <c r="W37" s="3"/>
      <c r="X37" s="3"/>
      <c r="Y37" s="3"/>
      <c r="Z37" s="3"/>
      <c r="AA37" s="3"/>
      <c r="AB37" s="3"/>
      <c r="AC37" s="3"/>
      <c r="AD37" s="3"/>
      <c r="AE37" s="3"/>
      <c r="AF37" s="3"/>
      <c r="AG37" s="3"/>
      <c r="AH37" s="3"/>
      <c r="AI37" s="3"/>
      <c r="AJ37" s="3"/>
      <c r="AK37" s="3"/>
      <c r="AL37" s="3"/>
      <c r="AM37" s="3"/>
      <c r="AN37" s="3"/>
      <c r="AO37" s="3"/>
      <c r="AP37" s="3"/>
    </row>
    <row r="38" spans="1:42" ht="14.25" customHeight="1" x14ac:dyDescent="0.2">
      <c r="A38" s="118">
        <v>35</v>
      </c>
      <c r="B38" s="118" t="s">
        <v>404</v>
      </c>
      <c r="C38" s="118" t="s">
        <v>405</v>
      </c>
      <c r="D38" s="118">
        <v>2022</v>
      </c>
      <c r="E38" s="118" t="s">
        <v>260</v>
      </c>
      <c r="F38" s="118" t="s">
        <v>407</v>
      </c>
      <c r="G38" s="118" t="s">
        <v>408</v>
      </c>
      <c r="H38" s="118" t="s">
        <v>246</v>
      </c>
      <c r="I38" s="118" t="s">
        <v>15</v>
      </c>
      <c r="J38" s="118" t="s">
        <v>223</v>
      </c>
      <c r="K38" s="118" t="s">
        <v>406</v>
      </c>
      <c r="L38" s="118" t="s">
        <v>610</v>
      </c>
      <c r="M38" s="118">
        <v>0</v>
      </c>
      <c r="N38" s="11" t="s">
        <v>16</v>
      </c>
      <c r="O38" s="4"/>
      <c r="P38" s="42" t="s">
        <v>44</v>
      </c>
      <c r="Q38" s="116"/>
      <c r="R38" s="3"/>
      <c r="S38" s="3"/>
      <c r="T38" s="3"/>
      <c r="U38" s="3"/>
      <c r="V38" s="3"/>
      <c r="W38" s="3"/>
      <c r="X38" s="3"/>
      <c r="Y38" s="3"/>
      <c r="Z38" s="3"/>
      <c r="AA38" s="3"/>
      <c r="AB38" s="3"/>
      <c r="AC38" s="3"/>
      <c r="AD38" s="3"/>
      <c r="AE38" s="3"/>
      <c r="AF38" s="3"/>
      <c r="AG38" s="3"/>
      <c r="AH38" s="3"/>
      <c r="AI38" s="3"/>
      <c r="AJ38" s="3"/>
      <c r="AK38" s="3"/>
      <c r="AL38" s="3"/>
      <c r="AM38" s="3"/>
      <c r="AN38" s="3"/>
      <c r="AO38" s="3"/>
      <c r="AP38" s="3"/>
    </row>
    <row r="39" spans="1:42" ht="14.25" customHeight="1" x14ac:dyDescent="0.2">
      <c r="A39" s="118">
        <v>36</v>
      </c>
      <c r="B39" s="118" t="s">
        <v>409</v>
      </c>
      <c r="C39" s="118" t="s">
        <v>410</v>
      </c>
      <c r="D39" s="118">
        <v>2025</v>
      </c>
      <c r="E39" s="118" t="s">
        <v>233</v>
      </c>
      <c r="F39" s="118" t="s">
        <v>412</v>
      </c>
      <c r="G39" s="118" t="s">
        <v>413</v>
      </c>
      <c r="H39" s="118" t="s">
        <v>238</v>
      </c>
      <c r="I39" s="118" t="s">
        <v>15</v>
      </c>
      <c r="J39" s="118" t="s">
        <v>223</v>
      </c>
      <c r="K39" s="118" t="s">
        <v>411</v>
      </c>
      <c r="L39" s="118" t="s">
        <v>414</v>
      </c>
      <c r="M39" s="118">
        <v>0</v>
      </c>
      <c r="N39" s="11" t="s">
        <v>16</v>
      </c>
      <c r="O39" s="5"/>
      <c r="P39" s="42" t="s">
        <v>45</v>
      </c>
      <c r="Q39" s="117"/>
      <c r="R39" s="3"/>
      <c r="S39" s="3"/>
      <c r="T39" s="3"/>
      <c r="U39" s="3"/>
      <c r="V39" s="3"/>
      <c r="W39" s="3"/>
      <c r="X39" s="3"/>
      <c r="Y39" s="3"/>
      <c r="Z39" s="3"/>
      <c r="AA39" s="3"/>
      <c r="AB39" s="3"/>
      <c r="AC39" s="3"/>
      <c r="AD39" s="3"/>
      <c r="AE39" s="3"/>
      <c r="AF39" s="3"/>
      <c r="AG39" s="3"/>
      <c r="AH39" s="3"/>
      <c r="AI39" s="3"/>
      <c r="AJ39" s="3"/>
      <c r="AK39" s="3"/>
      <c r="AL39" s="3"/>
      <c r="AM39" s="3"/>
      <c r="AN39" s="3"/>
      <c r="AO39" s="3"/>
      <c r="AP39" s="3"/>
    </row>
    <row r="40" spans="1:42" ht="14.25" customHeight="1" x14ac:dyDescent="0.2">
      <c r="A40" s="118">
        <v>37</v>
      </c>
      <c r="B40" s="118" t="s">
        <v>415</v>
      </c>
      <c r="C40" s="118" t="s">
        <v>416</v>
      </c>
      <c r="D40" s="118">
        <v>2026</v>
      </c>
      <c r="E40" s="118" t="s">
        <v>233</v>
      </c>
      <c r="F40" s="118" t="s">
        <v>418</v>
      </c>
      <c r="G40" s="118" t="s">
        <v>419</v>
      </c>
      <c r="H40" s="118" t="s">
        <v>238</v>
      </c>
      <c r="I40" s="118" t="s">
        <v>15</v>
      </c>
      <c r="J40" s="118" t="s">
        <v>223</v>
      </c>
      <c r="K40" s="118" t="s">
        <v>417</v>
      </c>
      <c r="L40" s="118" t="s">
        <v>420</v>
      </c>
      <c r="M40" s="118">
        <v>0</v>
      </c>
      <c r="N40" s="11" t="s">
        <v>16</v>
      </c>
      <c r="O40" s="5"/>
      <c r="P40" s="42" t="s">
        <v>44</v>
      </c>
      <c r="Q40" s="116"/>
      <c r="R40" s="3"/>
      <c r="S40" s="3"/>
      <c r="T40" s="3"/>
      <c r="U40" s="3"/>
      <c r="V40" s="3"/>
      <c r="W40" s="3"/>
      <c r="X40" s="3"/>
      <c r="Y40" s="3"/>
      <c r="Z40" s="3"/>
      <c r="AA40" s="3"/>
      <c r="AB40" s="3"/>
      <c r="AC40" s="3"/>
      <c r="AD40" s="3"/>
      <c r="AE40" s="3"/>
      <c r="AF40" s="3"/>
      <c r="AG40" s="3"/>
      <c r="AH40" s="3"/>
      <c r="AI40" s="3"/>
      <c r="AJ40" s="3"/>
      <c r="AK40" s="3"/>
      <c r="AL40" s="3"/>
      <c r="AM40" s="3"/>
      <c r="AN40" s="3"/>
      <c r="AO40" s="3"/>
      <c r="AP40" s="3"/>
    </row>
    <row r="41" spans="1:42" ht="14.25" customHeight="1" x14ac:dyDescent="0.2">
      <c r="A41" s="118">
        <v>38</v>
      </c>
      <c r="B41" s="118" t="s">
        <v>421</v>
      </c>
      <c r="C41" s="118" t="s">
        <v>422</v>
      </c>
      <c r="D41" s="118">
        <v>2024</v>
      </c>
      <c r="E41" s="118" t="s">
        <v>219</v>
      </c>
      <c r="F41" s="118" t="s">
        <v>424</v>
      </c>
      <c r="G41" s="118" t="s">
        <v>425</v>
      </c>
      <c r="H41" s="118" t="s">
        <v>222</v>
      </c>
      <c r="I41" s="118" t="s">
        <v>15</v>
      </c>
      <c r="J41" s="118" t="s">
        <v>223</v>
      </c>
      <c r="K41" s="118" t="s">
        <v>423</v>
      </c>
      <c r="L41" s="118" t="s">
        <v>426</v>
      </c>
      <c r="M41" s="118">
        <v>0</v>
      </c>
      <c r="N41" s="11" t="s">
        <v>16</v>
      </c>
      <c r="O41" s="5"/>
      <c r="P41" s="42" t="s">
        <v>44</v>
      </c>
      <c r="Q41" s="117"/>
      <c r="R41" s="3"/>
      <c r="S41" s="3"/>
      <c r="T41" s="3"/>
      <c r="U41" s="3"/>
      <c r="V41" s="3"/>
      <c r="W41" s="3"/>
      <c r="X41" s="3"/>
      <c r="Y41" s="3"/>
      <c r="Z41" s="3"/>
      <c r="AA41" s="3"/>
      <c r="AB41" s="3"/>
      <c r="AC41" s="3"/>
      <c r="AD41" s="3"/>
      <c r="AE41" s="3"/>
      <c r="AF41" s="3"/>
      <c r="AG41" s="3"/>
      <c r="AH41" s="3"/>
      <c r="AI41" s="3"/>
      <c r="AJ41" s="3"/>
      <c r="AK41" s="3"/>
      <c r="AL41" s="3"/>
      <c r="AM41" s="3"/>
      <c r="AN41" s="3"/>
      <c r="AO41" s="3"/>
      <c r="AP41" s="3"/>
    </row>
    <row r="42" spans="1:42" ht="14.25" customHeight="1" x14ac:dyDescent="0.2">
      <c r="A42" s="118">
        <v>39</v>
      </c>
      <c r="B42" s="118" t="s">
        <v>427</v>
      </c>
      <c r="C42" s="118" t="s">
        <v>428</v>
      </c>
      <c r="D42" s="118">
        <v>2022</v>
      </c>
      <c r="E42" s="118" t="s">
        <v>260</v>
      </c>
      <c r="F42" s="118" t="s">
        <v>430</v>
      </c>
      <c r="G42" s="118" t="s">
        <v>431</v>
      </c>
      <c r="H42" s="118" t="s">
        <v>246</v>
      </c>
      <c r="I42" s="118" t="s">
        <v>15</v>
      </c>
      <c r="J42" s="118" t="s">
        <v>223</v>
      </c>
      <c r="K42" s="118" t="s">
        <v>429</v>
      </c>
      <c r="L42" s="118" t="s">
        <v>432</v>
      </c>
      <c r="M42" s="118">
        <v>0</v>
      </c>
      <c r="N42" s="11" t="s">
        <v>16</v>
      </c>
      <c r="O42" s="5"/>
      <c r="P42" s="42" t="s">
        <v>44</v>
      </c>
      <c r="Q42" s="116"/>
      <c r="R42" s="3"/>
      <c r="S42" s="3"/>
      <c r="T42" s="3"/>
      <c r="U42" s="3"/>
      <c r="V42" s="3"/>
      <c r="W42" s="3"/>
      <c r="X42" s="3"/>
      <c r="Y42" s="3"/>
      <c r="Z42" s="3"/>
      <c r="AA42" s="3"/>
      <c r="AB42" s="3"/>
      <c r="AC42" s="3"/>
      <c r="AD42" s="3"/>
      <c r="AE42" s="3"/>
      <c r="AF42" s="3"/>
      <c r="AG42" s="3"/>
      <c r="AH42" s="3"/>
      <c r="AI42" s="3"/>
      <c r="AJ42" s="3"/>
      <c r="AK42" s="3"/>
      <c r="AL42" s="3"/>
      <c r="AM42" s="3"/>
      <c r="AN42" s="3"/>
      <c r="AO42" s="3"/>
      <c r="AP42" s="3"/>
    </row>
    <row r="43" spans="1:42" ht="14.25" customHeight="1" x14ac:dyDescent="0.2">
      <c r="A43" s="118">
        <v>40</v>
      </c>
      <c r="B43" s="118" t="s">
        <v>433</v>
      </c>
      <c r="C43" s="118" t="s">
        <v>434</v>
      </c>
      <c r="D43" s="118">
        <v>2022</v>
      </c>
      <c r="E43" s="118" t="s">
        <v>219</v>
      </c>
      <c r="F43" s="118" t="s">
        <v>436</v>
      </c>
      <c r="G43" s="118" t="s">
        <v>437</v>
      </c>
      <c r="H43" s="118" t="s">
        <v>222</v>
      </c>
      <c r="I43" s="118" t="s">
        <v>15</v>
      </c>
      <c r="J43" s="118" t="s">
        <v>223</v>
      </c>
      <c r="K43" s="118" t="s">
        <v>435</v>
      </c>
      <c r="L43" s="118" t="s">
        <v>438</v>
      </c>
      <c r="M43" s="118">
        <v>0</v>
      </c>
      <c r="N43" s="11" t="s">
        <v>16</v>
      </c>
      <c r="O43" s="5"/>
      <c r="P43" s="42" t="s">
        <v>44</v>
      </c>
      <c r="Q43" s="117"/>
      <c r="R43" s="3"/>
      <c r="S43" s="3"/>
      <c r="T43" s="3"/>
      <c r="U43" s="3"/>
      <c r="V43" s="3"/>
      <c r="W43" s="3"/>
      <c r="X43" s="3"/>
      <c r="Y43" s="3"/>
      <c r="Z43" s="3"/>
      <c r="AA43" s="3"/>
      <c r="AB43" s="3"/>
      <c r="AC43" s="3"/>
      <c r="AD43" s="3"/>
      <c r="AE43" s="3"/>
      <c r="AF43" s="3"/>
      <c r="AG43" s="3"/>
      <c r="AH43" s="3"/>
      <c r="AI43" s="3"/>
      <c r="AJ43" s="3"/>
      <c r="AK43" s="3"/>
      <c r="AL43" s="3"/>
      <c r="AM43" s="3"/>
      <c r="AN43" s="3"/>
      <c r="AO43" s="3"/>
      <c r="AP43" s="3"/>
    </row>
    <row r="44" spans="1:42" ht="14.25" customHeight="1" x14ac:dyDescent="0.2">
      <c r="A44" s="118">
        <v>41</v>
      </c>
      <c r="B44" s="118" t="s">
        <v>439</v>
      </c>
      <c r="C44" s="118" t="s">
        <v>440</v>
      </c>
      <c r="D44" s="118">
        <v>2026</v>
      </c>
      <c r="E44" s="118" t="s">
        <v>219</v>
      </c>
      <c r="F44" s="118" t="s">
        <v>442</v>
      </c>
      <c r="G44" s="118" t="s">
        <v>443</v>
      </c>
      <c r="H44" s="118" t="s">
        <v>222</v>
      </c>
      <c r="I44" s="118" t="s">
        <v>15</v>
      </c>
      <c r="J44" s="118" t="s">
        <v>223</v>
      </c>
      <c r="K44" s="118" t="s">
        <v>441</v>
      </c>
      <c r="L44" s="118" t="s">
        <v>444</v>
      </c>
      <c r="M44" s="118">
        <v>0</v>
      </c>
      <c r="N44" s="11" t="s">
        <v>16</v>
      </c>
      <c r="O44" s="5"/>
      <c r="P44" s="42" t="s">
        <v>44</v>
      </c>
      <c r="Q44" s="116"/>
      <c r="R44" s="3"/>
      <c r="S44" s="3"/>
      <c r="T44" s="3"/>
      <c r="U44" s="3"/>
      <c r="V44" s="3"/>
      <c r="W44" s="3"/>
      <c r="X44" s="3"/>
      <c r="Y44" s="3"/>
      <c r="Z44" s="3"/>
      <c r="AA44" s="3"/>
      <c r="AB44" s="3"/>
      <c r="AC44" s="3"/>
      <c r="AD44" s="3"/>
      <c r="AE44" s="3"/>
      <c r="AF44" s="3"/>
      <c r="AG44" s="3"/>
      <c r="AH44" s="3"/>
      <c r="AI44" s="3"/>
      <c r="AJ44" s="3"/>
      <c r="AK44" s="3"/>
      <c r="AL44" s="3"/>
      <c r="AM44" s="3"/>
      <c r="AN44" s="3"/>
      <c r="AO44" s="3"/>
      <c r="AP44" s="3"/>
    </row>
    <row r="45" spans="1:42" ht="14.25" customHeight="1" x14ac:dyDescent="0.2">
      <c r="A45" s="118">
        <v>42</v>
      </c>
      <c r="B45" s="118" t="s">
        <v>445</v>
      </c>
      <c r="C45" s="118" t="s">
        <v>446</v>
      </c>
      <c r="D45" s="118">
        <v>2023</v>
      </c>
      <c r="E45" s="118" t="s">
        <v>219</v>
      </c>
      <c r="F45" s="118" t="s">
        <v>448</v>
      </c>
      <c r="G45" s="118" t="s">
        <v>449</v>
      </c>
      <c r="H45" s="118" t="s">
        <v>222</v>
      </c>
      <c r="I45" s="118" t="s">
        <v>15</v>
      </c>
      <c r="J45" s="118" t="s">
        <v>223</v>
      </c>
      <c r="K45" s="118" t="s">
        <v>447</v>
      </c>
      <c r="L45" s="118" t="s">
        <v>450</v>
      </c>
      <c r="M45" s="118">
        <v>0</v>
      </c>
      <c r="N45" s="11" t="s">
        <v>16</v>
      </c>
      <c r="O45" s="5"/>
      <c r="P45" s="42" t="s">
        <v>44</v>
      </c>
      <c r="Q45" s="117"/>
      <c r="R45" s="3"/>
      <c r="S45" s="3"/>
      <c r="T45" s="3"/>
      <c r="U45" s="3"/>
      <c r="V45" s="3"/>
      <c r="W45" s="3"/>
      <c r="X45" s="3"/>
      <c r="Y45" s="3"/>
      <c r="Z45" s="3"/>
      <c r="AA45" s="3"/>
      <c r="AB45" s="3"/>
      <c r="AC45" s="3"/>
      <c r="AD45" s="3"/>
      <c r="AE45" s="3"/>
      <c r="AF45" s="3"/>
      <c r="AG45" s="3"/>
      <c r="AH45" s="3"/>
      <c r="AI45" s="3"/>
      <c r="AJ45" s="3"/>
      <c r="AK45" s="3"/>
      <c r="AL45" s="3"/>
      <c r="AM45" s="3"/>
      <c r="AN45" s="3"/>
      <c r="AO45" s="3"/>
      <c r="AP45" s="3"/>
    </row>
    <row r="46" spans="1:42" ht="14.25" customHeight="1" x14ac:dyDescent="0.2">
      <c r="A46" s="118">
        <v>43</v>
      </c>
      <c r="B46" s="118" t="s">
        <v>451</v>
      </c>
      <c r="C46" s="118" t="s">
        <v>452</v>
      </c>
      <c r="D46" s="118">
        <v>2026</v>
      </c>
      <c r="E46" s="118" t="s">
        <v>241</v>
      </c>
      <c r="F46" s="118" t="s">
        <v>454</v>
      </c>
      <c r="G46" s="118" t="s">
        <v>455</v>
      </c>
      <c r="H46" s="118" t="s">
        <v>246</v>
      </c>
      <c r="I46" s="118" t="s">
        <v>15</v>
      </c>
      <c r="J46" s="118" t="s">
        <v>223</v>
      </c>
      <c r="K46" s="118" t="s">
        <v>453</v>
      </c>
      <c r="L46" s="118" t="s">
        <v>456</v>
      </c>
      <c r="M46" s="118">
        <v>0</v>
      </c>
      <c r="N46" s="11" t="s">
        <v>16</v>
      </c>
      <c r="O46" s="5"/>
      <c r="P46" s="42" t="s">
        <v>44</v>
      </c>
      <c r="Q46" s="116"/>
      <c r="R46" s="3"/>
      <c r="S46" s="3"/>
      <c r="T46" s="3"/>
      <c r="U46" s="3"/>
      <c r="V46" s="3"/>
      <c r="W46" s="3"/>
      <c r="X46" s="3"/>
      <c r="Y46" s="3"/>
      <c r="Z46" s="3"/>
      <c r="AA46" s="3"/>
      <c r="AB46" s="3"/>
      <c r="AC46" s="3"/>
      <c r="AD46" s="3"/>
      <c r="AE46" s="3"/>
      <c r="AF46" s="3"/>
      <c r="AG46" s="3"/>
      <c r="AH46" s="3"/>
      <c r="AI46" s="3"/>
      <c r="AJ46" s="3"/>
      <c r="AK46" s="3"/>
      <c r="AL46" s="3"/>
      <c r="AM46" s="3"/>
      <c r="AN46" s="3"/>
      <c r="AO46" s="3"/>
      <c r="AP46" s="3"/>
    </row>
    <row r="47" spans="1:42" ht="14.25" customHeight="1" x14ac:dyDescent="0.2">
      <c r="A47" s="118">
        <v>44</v>
      </c>
      <c r="B47" s="118" t="s">
        <v>457</v>
      </c>
      <c r="C47" s="118" t="s">
        <v>458</v>
      </c>
      <c r="D47" s="118">
        <v>2021</v>
      </c>
      <c r="E47" s="118" t="s">
        <v>233</v>
      </c>
      <c r="F47" s="118" t="s">
        <v>460</v>
      </c>
      <c r="G47" s="118" t="s">
        <v>461</v>
      </c>
      <c r="H47" s="118" t="s">
        <v>238</v>
      </c>
      <c r="I47" s="118" t="s">
        <v>15</v>
      </c>
      <c r="J47" s="118" t="s">
        <v>223</v>
      </c>
      <c r="K47" s="118" t="s">
        <v>459</v>
      </c>
      <c r="L47" s="118" t="s">
        <v>462</v>
      </c>
      <c r="M47" s="118">
        <v>0</v>
      </c>
      <c r="N47" s="11" t="s">
        <v>16</v>
      </c>
      <c r="O47" s="5"/>
      <c r="P47" s="42" t="s">
        <v>44</v>
      </c>
      <c r="Q47" s="117"/>
      <c r="R47" s="3"/>
      <c r="S47" s="3"/>
      <c r="T47" s="3"/>
      <c r="U47" s="3"/>
      <c r="V47" s="3"/>
      <c r="W47" s="3"/>
      <c r="X47" s="3"/>
      <c r="Y47" s="3"/>
      <c r="Z47" s="3"/>
      <c r="AA47" s="3"/>
      <c r="AB47" s="3"/>
      <c r="AC47" s="3"/>
      <c r="AD47" s="3"/>
      <c r="AE47" s="3"/>
      <c r="AF47" s="3"/>
      <c r="AG47" s="3"/>
      <c r="AH47" s="3"/>
      <c r="AI47" s="3"/>
      <c r="AJ47" s="3"/>
      <c r="AK47" s="3"/>
      <c r="AL47" s="3"/>
      <c r="AM47" s="3"/>
      <c r="AN47" s="3"/>
      <c r="AO47" s="3"/>
      <c r="AP47" s="3"/>
    </row>
    <row r="48" spans="1:42" ht="14.25" customHeight="1" x14ac:dyDescent="0.2">
      <c r="A48" s="118">
        <v>45</v>
      </c>
      <c r="B48" s="118" t="s">
        <v>463</v>
      </c>
      <c r="C48" s="118" t="s">
        <v>464</v>
      </c>
      <c r="D48" s="118">
        <v>2025</v>
      </c>
      <c r="E48" s="118" t="s">
        <v>241</v>
      </c>
      <c r="F48" s="118" t="s">
        <v>466</v>
      </c>
      <c r="G48" s="118" t="s">
        <v>467</v>
      </c>
      <c r="H48" s="118" t="s">
        <v>246</v>
      </c>
      <c r="I48" s="118" t="s">
        <v>15</v>
      </c>
      <c r="J48" s="118" t="s">
        <v>223</v>
      </c>
      <c r="K48" s="118" t="s">
        <v>465</v>
      </c>
      <c r="L48" s="118" t="s">
        <v>468</v>
      </c>
      <c r="M48" s="118">
        <v>0</v>
      </c>
      <c r="N48" s="11" t="s">
        <v>16</v>
      </c>
      <c r="O48" s="5"/>
      <c r="P48" s="42" t="s">
        <v>44</v>
      </c>
      <c r="Q48" s="116"/>
      <c r="R48" s="3"/>
      <c r="S48" s="3"/>
      <c r="T48" s="3"/>
      <c r="U48" s="3"/>
      <c r="V48" s="3"/>
      <c r="W48" s="3"/>
      <c r="X48" s="3"/>
      <c r="Y48" s="3"/>
      <c r="Z48" s="3"/>
      <c r="AA48" s="3"/>
      <c r="AB48" s="3"/>
      <c r="AC48" s="3"/>
      <c r="AD48" s="3"/>
      <c r="AE48" s="3"/>
      <c r="AF48" s="3"/>
      <c r="AG48" s="3"/>
      <c r="AH48" s="3"/>
      <c r="AI48" s="3"/>
      <c r="AJ48" s="3"/>
      <c r="AK48" s="3"/>
      <c r="AL48" s="3"/>
      <c r="AM48" s="3"/>
      <c r="AN48" s="3"/>
      <c r="AO48" s="3"/>
      <c r="AP48" s="3"/>
    </row>
    <row r="49" spans="1:42" ht="14.25" customHeight="1" x14ac:dyDescent="0.2">
      <c r="A49" s="118">
        <v>46</v>
      </c>
      <c r="B49" s="118" t="s">
        <v>469</v>
      </c>
      <c r="C49" s="118" t="s">
        <v>470</v>
      </c>
      <c r="D49" s="118">
        <v>2022</v>
      </c>
      <c r="E49" s="118" t="s">
        <v>233</v>
      </c>
      <c r="F49" s="118" t="s">
        <v>472</v>
      </c>
      <c r="G49" s="118" t="s">
        <v>473</v>
      </c>
      <c r="H49" s="118" t="s">
        <v>238</v>
      </c>
      <c r="I49" s="118" t="s">
        <v>15</v>
      </c>
      <c r="J49" s="118" t="s">
        <v>223</v>
      </c>
      <c r="K49" s="118" t="s">
        <v>471</v>
      </c>
      <c r="L49" s="118" t="s">
        <v>611</v>
      </c>
      <c r="M49" s="118">
        <v>0</v>
      </c>
      <c r="N49" s="11" t="s">
        <v>16</v>
      </c>
      <c r="O49" s="5"/>
      <c r="P49" s="42" t="s">
        <v>44</v>
      </c>
      <c r="Q49" s="117"/>
      <c r="R49" s="3"/>
      <c r="S49" s="3"/>
      <c r="T49" s="3"/>
      <c r="U49" s="3"/>
      <c r="V49" s="3"/>
      <c r="W49" s="3"/>
      <c r="X49" s="3"/>
      <c r="Y49" s="3"/>
      <c r="Z49" s="3"/>
      <c r="AA49" s="3"/>
      <c r="AB49" s="3"/>
      <c r="AC49" s="3"/>
      <c r="AD49" s="3"/>
      <c r="AE49" s="3"/>
      <c r="AF49" s="3"/>
      <c r="AG49" s="3"/>
      <c r="AH49" s="3"/>
      <c r="AI49" s="3"/>
      <c r="AJ49" s="3"/>
      <c r="AK49" s="3"/>
      <c r="AL49" s="3"/>
      <c r="AM49" s="3"/>
      <c r="AN49" s="3"/>
      <c r="AO49" s="3"/>
      <c r="AP49" s="3"/>
    </row>
    <row r="50" spans="1:42" ht="14.25" customHeight="1" x14ac:dyDescent="0.2">
      <c r="A50" s="118">
        <v>47</v>
      </c>
      <c r="B50" s="118" t="s">
        <v>474</v>
      </c>
      <c r="C50" s="118" t="s">
        <v>475</v>
      </c>
      <c r="D50" s="118">
        <v>2024</v>
      </c>
      <c r="E50" s="118" t="s">
        <v>233</v>
      </c>
      <c r="F50" s="118" t="s">
        <v>477</v>
      </c>
      <c r="G50" s="118" t="s">
        <v>478</v>
      </c>
      <c r="H50" s="118" t="s">
        <v>238</v>
      </c>
      <c r="I50" s="118" t="s">
        <v>15</v>
      </c>
      <c r="J50" s="118" t="s">
        <v>223</v>
      </c>
      <c r="K50" s="118" t="s">
        <v>476</v>
      </c>
      <c r="L50" s="118" t="s">
        <v>479</v>
      </c>
      <c r="M50" s="118">
        <v>0</v>
      </c>
      <c r="N50" s="11" t="s">
        <v>16</v>
      </c>
      <c r="O50" s="5"/>
      <c r="P50" s="42" t="s">
        <v>44</v>
      </c>
      <c r="Q50" s="116"/>
      <c r="R50" s="3"/>
      <c r="S50" s="3"/>
      <c r="T50" s="3"/>
      <c r="U50" s="3"/>
      <c r="V50" s="3"/>
      <c r="W50" s="3"/>
      <c r="X50" s="3"/>
      <c r="Y50" s="3"/>
      <c r="Z50" s="3"/>
      <c r="AA50" s="3"/>
      <c r="AB50" s="3"/>
      <c r="AC50" s="3"/>
      <c r="AD50" s="3"/>
      <c r="AE50" s="3"/>
      <c r="AF50" s="3"/>
      <c r="AG50" s="3"/>
      <c r="AH50" s="3"/>
      <c r="AI50" s="3"/>
      <c r="AJ50" s="3"/>
      <c r="AK50" s="3"/>
      <c r="AL50" s="3"/>
      <c r="AM50" s="3"/>
      <c r="AN50" s="3"/>
      <c r="AO50" s="3"/>
      <c r="AP50" s="3"/>
    </row>
    <row r="51" spans="1:42" ht="14.25" customHeight="1" x14ac:dyDescent="0.2">
      <c r="A51" s="118">
        <v>48</v>
      </c>
      <c r="B51" s="118" t="s">
        <v>480</v>
      </c>
      <c r="C51" s="118" t="s">
        <v>481</v>
      </c>
      <c r="D51" s="118">
        <v>2026</v>
      </c>
      <c r="E51" s="118" t="s">
        <v>241</v>
      </c>
      <c r="F51" s="118" t="s">
        <v>483</v>
      </c>
      <c r="G51" s="118" t="s">
        <v>484</v>
      </c>
      <c r="H51" s="118" t="s">
        <v>246</v>
      </c>
      <c r="I51" s="118" t="s">
        <v>15</v>
      </c>
      <c r="J51" s="118" t="s">
        <v>223</v>
      </c>
      <c r="K51" s="118" t="s">
        <v>482</v>
      </c>
      <c r="L51" s="118" t="s">
        <v>485</v>
      </c>
      <c r="M51" s="118">
        <v>0</v>
      </c>
      <c r="N51" s="11" t="s">
        <v>16</v>
      </c>
      <c r="O51" s="5"/>
      <c r="P51" s="42" t="s">
        <v>44</v>
      </c>
      <c r="Q51" s="117"/>
      <c r="R51" s="3"/>
      <c r="S51" s="3"/>
      <c r="T51" s="3"/>
      <c r="U51" s="3"/>
      <c r="V51" s="3"/>
      <c r="W51" s="3"/>
      <c r="X51" s="3"/>
      <c r="Y51" s="3"/>
      <c r="Z51" s="3"/>
      <c r="AA51" s="3"/>
      <c r="AB51" s="3"/>
      <c r="AC51" s="3"/>
      <c r="AD51" s="3"/>
      <c r="AE51" s="3"/>
      <c r="AF51" s="3"/>
      <c r="AG51" s="3"/>
      <c r="AH51" s="3"/>
      <c r="AI51" s="3"/>
      <c r="AJ51" s="3"/>
      <c r="AK51" s="3"/>
      <c r="AL51" s="3"/>
      <c r="AM51" s="3"/>
      <c r="AN51" s="3"/>
      <c r="AO51" s="3"/>
      <c r="AP51" s="3"/>
    </row>
    <row r="52" spans="1:42" ht="14.25" customHeight="1" x14ac:dyDescent="0.2">
      <c r="A52" s="118">
        <v>49</v>
      </c>
      <c r="B52" s="118" t="s">
        <v>486</v>
      </c>
      <c r="C52" s="118" t="s">
        <v>487</v>
      </c>
      <c r="D52" s="118">
        <v>2025</v>
      </c>
      <c r="E52" s="118" t="s">
        <v>241</v>
      </c>
      <c r="F52" s="118" t="s">
        <v>489</v>
      </c>
      <c r="G52" s="118" t="s">
        <v>490</v>
      </c>
      <c r="H52" s="118" t="s">
        <v>246</v>
      </c>
      <c r="I52" s="118" t="s">
        <v>15</v>
      </c>
      <c r="J52" s="118" t="s">
        <v>223</v>
      </c>
      <c r="K52" s="118" t="s">
        <v>488</v>
      </c>
      <c r="L52" s="118" t="s">
        <v>491</v>
      </c>
      <c r="M52" s="118">
        <v>0</v>
      </c>
      <c r="N52" s="11" t="s">
        <v>16</v>
      </c>
      <c r="O52" s="5"/>
      <c r="P52" s="42" t="s">
        <v>45</v>
      </c>
      <c r="Q52" s="116"/>
      <c r="R52" s="3"/>
      <c r="S52" s="3"/>
      <c r="T52" s="3"/>
      <c r="U52" s="3"/>
      <c r="V52" s="3"/>
      <c r="W52" s="3"/>
      <c r="X52" s="3"/>
      <c r="Y52" s="3"/>
      <c r="Z52" s="3"/>
      <c r="AA52" s="3"/>
      <c r="AB52" s="3"/>
      <c r="AC52" s="3"/>
      <c r="AD52" s="3"/>
      <c r="AE52" s="3"/>
      <c r="AF52" s="3"/>
      <c r="AG52" s="3"/>
      <c r="AH52" s="3"/>
      <c r="AI52" s="3"/>
      <c r="AJ52" s="3"/>
      <c r="AK52" s="3"/>
      <c r="AL52" s="3"/>
      <c r="AM52" s="3"/>
      <c r="AN52" s="3"/>
      <c r="AO52" s="3"/>
      <c r="AP52" s="3"/>
    </row>
    <row r="53" spans="1:42" ht="14.25" customHeight="1" x14ac:dyDescent="0.2">
      <c r="A53" s="118">
        <v>50</v>
      </c>
      <c r="B53" s="118" t="s">
        <v>492</v>
      </c>
      <c r="C53" s="118" t="s">
        <v>493</v>
      </c>
      <c r="D53" s="118">
        <v>2023</v>
      </c>
      <c r="E53" s="118" t="s">
        <v>260</v>
      </c>
      <c r="F53" s="118" t="s">
        <v>495</v>
      </c>
      <c r="G53" s="118" t="s">
        <v>496</v>
      </c>
      <c r="H53" s="118" t="s">
        <v>246</v>
      </c>
      <c r="I53" s="118" t="s">
        <v>15</v>
      </c>
      <c r="J53" s="118" t="s">
        <v>223</v>
      </c>
      <c r="K53" s="118" t="s">
        <v>494</v>
      </c>
      <c r="L53" s="118" t="s">
        <v>497</v>
      </c>
      <c r="M53" s="118">
        <v>0</v>
      </c>
      <c r="N53" s="11" t="s">
        <v>16</v>
      </c>
      <c r="O53" s="5"/>
      <c r="P53" s="42" t="s">
        <v>44</v>
      </c>
      <c r="Q53" s="117"/>
      <c r="R53" s="3"/>
      <c r="S53" s="3"/>
      <c r="T53" s="3"/>
      <c r="U53" s="3"/>
      <c r="V53" s="3"/>
      <c r="W53" s="3"/>
      <c r="X53" s="3"/>
      <c r="Y53" s="3"/>
      <c r="Z53" s="3"/>
      <c r="AA53" s="3"/>
      <c r="AB53" s="3"/>
      <c r="AC53" s="3"/>
      <c r="AD53" s="3"/>
      <c r="AE53" s="3"/>
      <c r="AF53" s="3"/>
      <c r="AG53" s="3"/>
      <c r="AH53" s="3"/>
      <c r="AI53" s="3"/>
      <c r="AJ53" s="3"/>
      <c r="AK53" s="3"/>
      <c r="AL53" s="3"/>
      <c r="AM53" s="3"/>
      <c r="AN53" s="3"/>
      <c r="AO53" s="3"/>
      <c r="AP53" s="3"/>
    </row>
    <row r="54" spans="1:42" ht="14.25" customHeight="1" x14ac:dyDescent="0.2">
      <c r="A54" s="118">
        <v>51</v>
      </c>
      <c r="B54" s="118" t="s">
        <v>498</v>
      </c>
      <c r="C54" s="118" t="s">
        <v>499</v>
      </c>
      <c r="D54" s="118">
        <v>2025</v>
      </c>
      <c r="E54" s="118" t="s">
        <v>219</v>
      </c>
      <c r="F54" s="118" t="s">
        <v>612</v>
      </c>
      <c r="G54" s="118" t="s">
        <v>501</v>
      </c>
      <c r="H54" s="118" t="s">
        <v>222</v>
      </c>
      <c r="I54" s="118" t="s">
        <v>15</v>
      </c>
      <c r="J54" s="118" t="s">
        <v>223</v>
      </c>
      <c r="K54" s="118" t="s">
        <v>500</v>
      </c>
      <c r="L54" s="118" t="s">
        <v>502</v>
      </c>
      <c r="M54" s="118">
        <v>0</v>
      </c>
      <c r="N54" s="11" t="s">
        <v>16</v>
      </c>
      <c r="O54" s="5"/>
      <c r="P54" s="42" t="s">
        <v>44</v>
      </c>
      <c r="Q54" s="116"/>
      <c r="R54" s="3"/>
      <c r="S54" s="3"/>
      <c r="T54" s="3"/>
      <c r="U54" s="3"/>
      <c r="V54" s="3"/>
      <c r="W54" s="3"/>
      <c r="X54" s="3"/>
      <c r="Y54" s="3"/>
      <c r="Z54" s="3"/>
      <c r="AA54" s="3"/>
      <c r="AB54" s="3"/>
      <c r="AC54" s="3"/>
      <c r="AD54" s="3"/>
      <c r="AE54" s="3"/>
      <c r="AF54" s="3"/>
      <c r="AG54" s="3"/>
      <c r="AH54" s="3"/>
      <c r="AI54" s="3"/>
      <c r="AJ54" s="3"/>
      <c r="AK54" s="3"/>
      <c r="AL54" s="3"/>
      <c r="AM54" s="3"/>
      <c r="AN54" s="3"/>
      <c r="AO54" s="3"/>
      <c r="AP54" s="3"/>
    </row>
    <row r="55" spans="1:42" ht="14.25" customHeight="1" x14ac:dyDescent="0.2">
      <c r="A55" s="118">
        <v>52</v>
      </c>
      <c r="B55" s="118" t="s">
        <v>503</v>
      </c>
      <c r="C55" s="118" t="s">
        <v>504</v>
      </c>
      <c r="D55" s="118">
        <v>2025</v>
      </c>
      <c r="E55" s="118" t="s">
        <v>260</v>
      </c>
      <c r="F55" s="118" t="s">
        <v>506</v>
      </c>
      <c r="G55" s="118" t="s">
        <v>507</v>
      </c>
      <c r="H55" s="118" t="s">
        <v>246</v>
      </c>
      <c r="I55" s="118" t="s">
        <v>15</v>
      </c>
      <c r="J55" s="118" t="s">
        <v>223</v>
      </c>
      <c r="K55" s="118" t="s">
        <v>505</v>
      </c>
      <c r="L55" s="118" t="s">
        <v>508</v>
      </c>
      <c r="M55" s="118">
        <v>0</v>
      </c>
      <c r="N55" s="11" t="s">
        <v>16</v>
      </c>
      <c r="O55" s="5"/>
      <c r="P55" s="42" t="s">
        <v>44</v>
      </c>
      <c r="Q55" s="117"/>
      <c r="R55" s="3"/>
      <c r="S55" s="3"/>
      <c r="T55" s="3"/>
      <c r="U55" s="3"/>
      <c r="V55" s="3"/>
      <c r="W55" s="3"/>
      <c r="X55" s="3"/>
      <c r="Y55" s="3"/>
      <c r="Z55" s="3"/>
      <c r="AA55" s="3"/>
      <c r="AB55" s="3"/>
      <c r="AC55" s="3"/>
      <c r="AD55" s="3"/>
      <c r="AE55" s="3"/>
      <c r="AF55" s="3"/>
      <c r="AG55" s="3"/>
      <c r="AH55" s="3"/>
      <c r="AI55" s="3"/>
      <c r="AJ55" s="3"/>
      <c r="AK55" s="3"/>
      <c r="AL55" s="3"/>
      <c r="AM55" s="3"/>
      <c r="AN55" s="3"/>
      <c r="AO55" s="3"/>
      <c r="AP55" s="3"/>
    </row>
    <row r="56" spans="1:42" ht="14.25" customHeight="1" x14ac:dyDescent="0.2">
      <c r="A56" s="118">
        <v>53</v>
      </c>
      <c r="B56" s="118" t="s">
        <v>509</v>
      </c>
      <c r="C56" s="118" t="s">
        <v>510</v>
      </c>
      <c r="D56" s="118">
        <v>2023</v>
      </c>
      <c r="E56" s="118" t="s">
        <v>226</v>
      </c>
      <c r="F56" s="118" t="s">
        <v>512</v>
      </c>
      <c r="G56" s="118">
        <v>0</v>
      </c>
      <c r="H56" s="118" t="s">
        <v>230</v>
      </c>
      <c r="I56" s="118" t="s">
        <v>15</v>
      </c>
      <c r="J56" s="118" t="s">
        <v>223</v>
      </c>
      <c r="K56" s="118" t="s">
        <v>511</v>
      </c>
      <c r="L56" s="118" t="s">
        <v>613</v>
      </c>
      <c r="M56" s="118">
        <v>0</v>
      </c>
      <c r="N56" s="11" t="s">
        <v>16</v>
      </c>
      <c r="O56" s="4"/>
      <c r="P56" s="42" t="s">
        <v>44</v>
      </c>
      <c r="Q56" s="116"/>
      <c r="R56" s="3"/>
      <c r="S56" s="3"/>
      <c r="T56" s="3"/>
      <c r="U56" s="3"/>
      <c r="V56" s="3"/>
      <c r="W56" s="3"/>
      <c r="X56" s="3"/>
      <c r="Y56" s="3"/>
      <c r="Z56" s="3"/>
      <c r="AA56" s="3"/>
      <c r="AB56" s="3"/>
      <c r="AC56" s="3"/>
      <c r="AD56" s="3"/>
      <c r="AE56" s="3"/>
      <c r="AF56" s="3"/>
      <c r="AG56" s="3"/>
      <c r="AH56" s="3"/>
      <c r="AI56" s="3"/>
      <c r="AJ56" s="3"/>
      <c r="AK56" s="3"/>
      <c r="AL56" s="3"/>
      <c r="AM56" s="3"/>
      <c r="AN56" s="3"/>
      <c r="AO56" s="3"/>
      <c r="AP56" s="3"/>
    </row>
    <row r="57" spans="1:42" ht="14.25" customHeight="1" x14ac:dyDescent="0.2">
      <c r="A57" s="118">
        <v>54</v>
      </c>
      <c r="B57" s="118" t="s">
        <v>513</v>
      </c>
      <c r="C57" s="118" t="s">
        <v>514</v>
      </c>
      <c r="D57" s="118">
        <v>2026</v>
      </c>
      <c r="E57" s="118" t="s">
        <v>241</v>
      </c>
      <c r="F57" s="118" t="s">
        <v>516</v>
      </c>
      <c r="G57" s="118" t="s">
        <v>517</v>
      </c>
      <c r="H57" s="118" t="s">
        <v>246</v>
      </c>
      <c r="I57" s="118" t="s">
        <v>15</v>
      </c>
      <c r="J57" s="118" t="s">
        <v>223</v>
      </c>
      <c r="K57" s="118" t="s">
        <v>515</v>
      </c>
      <c r="L57" s="118" t="s">
        <v>518</v>
      </c>
      <c r="M57" s="118">
        <v>0</v>
      </c>
      <c r="N57" s="11" t="s">
        <v>16</v>
      </c>
      <c r="O57" s="5"/>
      <c r="P57" s="42" t="s">
        <v>44</v>
      </c>
      <c r="Q57" s="117"/>
      <c r="R57" s="3"/>
      <c r="S57" s="3"/>
      <c r="T57" s="3"/>
      <c r="U57" s="3"/>
      <c r="V57" s="3"/>
      <c r="W57" s="3"/>
      <c r="X57" s="3"/>
      <c r="Y57" s="3"/>
      <c r="Z57" s="3"/>
      <c r="AA57" s="3"/>
      <c r="AB57" s="3"/>
      <c r="AC57" s="3"/>
      <c r="AD57" s="3"/>
      <c r="AE57" s="3"/>
      <c r="AF57" s="3"/>
      <c r="AG57" s="3"/>
      <c r="AH57" s="3"/>
      <c r="AI57" s="3"/>
      <c r="AJ57" s="3"/>
      <c r="AK57" s="3"/>
      <c r="AL57" s="3"/>
      <c r="AM57" s="3"/>
      <c r="AN57" s="3"/>
      <c r="AO57" s="3"/>
      <c r="AP57" s="3"/>
    </row>
    <row r="58" spans="1:42" ht="14.25" customHeight="1" x14ac:dyDescent="0.2">
      <c r="A58" s="118">
        <v>55</v>
      </c>
      <c r="B58" s="118" t="s">
        <v>519</v>
      </c>
      <c r="C58" s="118" t="s">
        <v>520</v>
      </c>
      <c r="D58" s="118">
        <v>2023</v>
      </c>
      <c r="E58" s="118" t="s">
        <v>226</v>
      </c>
      <c r="F58" s="118" t="s">
        <v>522</v>
      </c>
      <c r="G58" s="118">
        <v>0</v>
      </c>
      <c r="H58" s="118" t="s">
        <v>230</v>
      </c>
      <c r="I58" s="118" t="s">
        <v>15</v>
      </c>
      <c r="J58" s="118" t="s">
        <v>223</v>
      </c>
      <c r="K58" s="118" t="s">
        <v>521</v>
      </c>
      <c r="L58" s="118" t="s">
        <v>614</v>
      </c>
      <c r="M58" s="118">
        <v>0</v>
      </c>
      <c r="N58" s="11" t="s">
        <v>16</v>
      </c>
      <c r="O58" s="4"/>
      <c r="P58" s="42" t="s">
        <v>44</v>
      </c>
      <c r="Q58" s="116"/>
      <c r="R58" s="3"/>
      <c r="S58" s="3"/>
      <c r="T58" s="3"/>
      <c r="U58" s="3"/>
      <c r="V58" s="3"/>
      <c r="W58" s="3"/>
      <c r="X58" s="3"/>
      <c r="Y58" s="3"/>
      <c r="Z58" s="3"/>
      <c r="AA58" s="3"/>
      <c r="AB58" s="3"/>
      <c r="AC58" s="3"/>
      <c r="AD58" s="3"/>
      <c r="AE58" s="3"/>
      <c r="AF58" s="3"/>
      <c r="AG58" s="3"/>
      <c r="AH58" s="3"/>
      <c r="AI58" s="3"/>
      <c r="AJ58" s="3"/>
      <c r="AK58" s="3"/>
      <c r="AL58" s="3"/>
      <c r="AM58" s="3"/>
      <c r="AN58" s="3"/>
      <c r="AO58" s="3"/>
      <c r="AP58" s="3"/>
    </row>
    <row r="59" spans="1:42" ht="14.25" customHeight="1" x14ac:dyDescent="0.2">
      <c r="A59" s="118">
        <v>56</v>
      </c>
      <c r="B59" s="118" t="s">
        <v>523</v>
      </c>
      <c r="C59" s="118" t="s">
        <v>524</v>
      </c>
      <c r="D59" s="118">
        <v>2023</v>
      </c>
      <c r="E59" s="118" t="s">
        <v>226</v>
      </c>
      <c r="F59" s="118" t="s">
        <v>526</v>
      </c>
      <c r="G59" s="118">
        <v>0</v>
      </c>
      <c r="H59" s="118" t="s">
        <v>230</v>
      </c>
      <c r="I59" s="118" t="s">
        <v>15</v>
      </c>
      <c r="J59" s="118" t="s">
        <v>223</v>
      </c>
      <c r="K59" s="118" t="s">
        <v>525</v>
      </c>
      <c r="L59" s="118" t="s">
        <v>527</v>
      </c>
      <c r="M59" s="118">
        <v>0</v>
      </c>
      <c r="N59" s="11" t="s">
        <v>16</v>
      </c>
      <c r="O59" s="5"/>
      <c r="P59" s="42" t="s">
        <v>44</v>
      </c>
      <c r="Q59" s="117"/>
      <c r="R59" s="3"/>
      <c r="S59" s="3"/>
      <c r="T59" s="3"/>
      <c r="U59" s="3"/>
      <c r="V59" s="3"/>
      <c r="W59" s="3"/>
      <c r="X59" s="3"/>
      <c r="Y59" s="3"/>
      <c r="Z59" s="3"/>
      <c r="AA59" s="3"/>
      <c r="AB59" s="3"/>
      <c r="AC59" s="3"/>
      <c r="AD59" s="3"/>
      <c r="AE59" s="3"/>
      <c r="AF59" s="3"/>
      <c r="AG59" s="3"/>
      <c r="AH59" s="3"/>
      <c r="AI59" s="3"/>
      <c r="AJ59" s="3"/>
      <c r="AK59" s="3"/>
      <c r="AL59" s="3"/>
      <c r="AM59" s="3"/>
      <c r="AN59" s="3"/>
      <c r="AO59" s="3"/>
      <c r="AP59" s="3"/>
    </row>
    <row r="60" spans="1:42" ht="14.25" customHeight="1" x14ac:dyDescent="0.2">
      <c r="A60" s="118">
        <v>57</v>
      </c>
      <c r="B60" s="118" t="s">
        <v>528</v>
      </c>
      <c r="C60" s="118" t="s">
        <v>529</v>
      </c>
      <c r="D60" s="118">
        <v>2021</v>
      </c>
      <c r="E60" s="118" t="s">
        <v>241</v>
      </c>
      <c r="F60" s="118" t="s">
        <v>531</v>
      </c>
      <c r="G60" s="118" t="s">
        <v>532</v>
      </c>
      <c r="H60" s="118" t="s">
        <v>246</v>
      </c>
      <c r="I60" s="118" t="s">
        <v>15</v>
      </c>
      <c r="J60" s="118" t="s">
        <v>223</v>
      </c>
      <c r="K60" s="118" t="s">
        <v>530</v>
      </c>
      <c r="L60" s="118" t="s">
        <v>533</v>
      </c>
      <c r="M60" s="118">
        <v>0</v>
      </c>
      <c r="N60" s="11" t="s">
        <v>16</v>
      </c>
      <c r="O60" s="4"/>
      <c r="P60" s="42" t="s">
        <v>44</v>
      </c>
      <c r="Q60" s="116"/>
      <c r="R60" s="3"/>
      <c r="S60" s="3"/>
      <c r="T60" s="3"/>
      <c r="U60" s="3"/>
      <c r="V60" s="3"/>
      <c r="W60" s="3"/>
      <c r="X60" s="3"/>
      <c r="Y60" s="3"/>
      <c r="Z60" s="3"/>
      <c r="AA60" s="3"/>
      <c r="AB60" s="3"/>
      <c r="AC60" s="3"/>
      <c r="AD60" s="3"/>
      <c r="AE60" s="3"/>
      <c r="AF60" s="3"/>
      <c r="AG60" s="3"/>
      <c r="AH60" s="3"/>
      <c r="AI60" s="3"/>
      <c r="AJ60" s="3"/>
      <c r="AK60" s="3"/>
      <c r="AL60" s="3"/>
      <c r="AM60" s="3"/>
      <c r="AN60" s="3"/>
      <c r="AO60" s="3"/>
      <c r="AP60" s="3"/>
    </row>
    <row r="61" spans="1:42" ht="14.25" customHeight="1" x14ac:dyDescent="0.2">
      <c r="A61" s="118">
        <v>58</v>
      </c>
      <c r="B61" s="118" t="s">
        <v>534</v>
      </c>
      <c r="C61" s="118" t="s">
        <v>535</v>
      </c>
      <c r="D61" s="118">
        <v>2025</v>
      </c>
      <c r="E61" s="118" t="s">
        <v>260</v>
      </c>
      <c r="F61" s="118" t="s">
        <v>537</v>
      </c>
      <c r="G61" s="118" t="s">
        <v>538</v>
      </c>
      <c r="H61" s="118" t="s">
        <v>246</v>
      </c>
      <c r="I61" s="118" t="s">
        <v>15</v>
      </c>
      <c r="J61" s="118" t="s">
        <v>223</v>
      </c>
      <c r="K61" s="118" t="s">
        <v>536</v>
      </c>
      <c r="L61" s="118" t="s">
        <v>539</v>
      </c>
      <c r="M61" s="118">
        <v>0</v>
      </c>
      <c r="N61" s="11" t="s">
        <v>16</v>
      </c>
      <c r="O61" s="5"/>
      <c r="P61" s="42" t="s">
        <v>44</v>
      </c>
      <c r="Q61" s="117"/>
      <c r="R61" s="3"/>
      <c r="S61" s="3"/>
      <c r="T61" s="3"/>
      <c r="U61" s="3"/>
      <c r="V61" s="3"/>
      <c r="W61" s="3"/>
      <c r="X61" s="3"/>
      <c r="Y61" s="3"/>
      <c r="Z61" s="3"/>
      <c r="AA61" s="3"/>
      <c r="AB61" s="3"/>
      <c r="AC61" s="3"/>
      <c r="AD61" s="3"/>
      <c r="AE61" s="3"/>
      <c r="AF61" s="3"/>
      <c r="AG61" s="3"/>
      <c r="AH61" s="3"/>
      <c r="AI61" s="3"/>
      <c r="AJ61" s="3"/>
      <c r="AK61" s="3"/>
      <c r="AL61" s="3"/>
      <c r="AM61" s="3"/>
      <c r="AN61" s="3"/>
      <c r="AO61" s="3"/>
      <c r="AP61" s="3"/>
    </row>
    <row r="62" spans="1:42" ht="14.25" customHeight="1" x14ac:dyDescent="0.2">
      <c r="A62" s="118">
        <v>59</v>
      </c>
      <c r="B62" s="118" t="s">
        <v>540</v>
      </c>
      <c r="C62" s="118" t="s">
        <v>541</v>
      </c>
      <c r="D62" s="118">
        <v>2025</v>
      </c>
      <c r="E62" s="118" t="s">
        <v>219</v>
      </c>
      <c r="F62" s="118" t="s">
        <v>543</v>
      </c>
      <c r="G62" s="118" t="s">
        <v>544</v>
      </c>
      <c r="H62" s="118" t="s">
        <v>222</v>
      </c>
      <c r="I62" s="118" t="s">
        <v>15</v>
      </c>
      <c r="J62" s="118" t="s">
        <v>223</v>
      </c>
      <c r="K62" s="118" t="s">
        <v>542</v>
      </c>
      <c r="L62" s="118" t="s">
        <v>545</v>
      </c>
      <c r="M62" s="118">
        <v>0</v>
      </c>
      <c r="N62" s="11" t="s">
        <v>16</v>
      </c>
      <c r="O62" s="5"/>
      <c r="P62" s="42" t="s">
        <v>44</v>
      </c>
      <c r="Q62" s="116"/>
      <c r="R62" s="3"/>
      <c r="S62" s="3"/>
      <c r="T62" s="3"/>
      <c r="U62" s="3"/>
      <c r="V62" s="3"/>
      <c r="W62" s="3"/>
      <c r="X62" s="3"/>
      <c r="Y62" s="3"/>
      <c r="Z62" s="3"/>
      <c r="AA62" s="3"/>
      <c r="AB62" s="3"/>
      <c r="AC62" s="3"/>
      <c r="AD62" s="3"/>
      <c r="AE62" s="3"/>
      <c r="AF62" s="3"/>
      <c r="AG62" s="3"/>
      <c r="AH62" s="3"/>
      <c r="AI62" s="3"/>
      <c r="AJ62" s="3"/>
      <c r="AK62" s="3"/>
      <c r="AL62" s="3"/>
      <c r="AM62" s="3"/>
      <c r="AN62" s="3"/>
      <c r="AO62" s="3"/>
      <c r="AP62" s="3"/>
    </row>
    <row r="63" spans="1:42" ht="14.25" customHeight="1" x14ac:dyDescent="0.2">
      <c r="A63" s="118">
        <v>60</v>
      </c>
      <c r="B63" s="118" t="s">
        <v>546</v>
      </c>
      <c r="C63" s="118" t="s">
        <v>547</v>
      </c>
      <c r="D63" s="118">
        <v>2024</v>
      </c>
      <c r="E63" s="118" t="s">
        <v>219</v>
      </c>
      <c r="F63" s="118" t="s">
        <v>549</v>
      </c>
      <c r="G63" s="118" t="s">
        <v>550</v>
      </c>
      <c r="H63" s="118" t="s">
        <v>222</v>
      </c>
      <c r="I63" s="118" t="s">
        <v>15</v>
      </c>
      <c r="J63" s="118" t="s">
        <v>223</v>
      </c>
      <c r="K63" s="118" t="s">
        <v>548</v>
      </c>
      <c r="L63" s="118" t="s">
        <v>551</v>
      </c>
      <c r="M63" s="118">
        <v>0</v>
      </c>
      <c r="N63" s="11" t="s">
        <v>16</v>
      </c>
      <c r="O63" s="5"/>
      <c r="P63" s="42" t="s">
        <v>44</v>
      </c>
      <c r="Q63" s="117"/>
      <c r="R63" s="3"/>
      <c r="S63" s="3"/>
      <c r="T63" s="3"/>
      <c r="U63" s="3"/>
      <c r="V63" s="3"/>
      <c r="W63" s="3"/>
      <c r="X63" s="3"/>
      <c r="Y63" s="3"/>
      <c r="Z63" s="3"/>
      <c r="AA63" s="3"/>
      <c r="AB63" s="3"/>
      <c r="AC63" s="3"/>
      <c r="AD63" s="3"/>
      <c r="AE63" s="3"/>
      <c r="AF63" s="3"/>
      <c r="AG63" s="3"/>
      <c r="AH63" s="3"/>
      <c r="AI63" s="3"/>
      <c r="AJ63" s="3"/>
      <c r="AK63" s="3"/>
      <c r="AL63" s="3"/>
      <c r="AM63" s="3"/>
      <c r="AN63" s="3"/>
      <c r="AO63" s="3"/>
      <c r="AP63" s="3"/>
    </row>
    <row r="64" spans="1:42" ht="14.25" customHeight="1" x14ac:dyDescent="0.2">
      <c r="A64" s="118">
        <v>61</v>
      </c>
      <c r="B64" s="118" t="s">
        <v>552</v>
      </c>
      <c r="C64" s="118" t="s">
        <v>553</v>
      </c>
      <c r="D64" s="118">
        <v>2023</v>
      </c>
      <c r="E64" s="118" t="s">
        <v>241</v>
      </c>
      <c r="F64" s="118" t="s">
        <v>555</v>
      </c>
      <c r="G64" s="118" t="s">
        <v>556</v>
      </c>
      <c r="H64" s="118" t="s">
        <v>246</v>
      </c>
      <c r="I64" s="118" t="s">
        <v>15</v>
      </c>
      <c r="J64" s="118" t="s">
        <v>223</v>
      </c>
      <c r="K64" s="118" t="s">
        <v>554</v>
      </c>
      <c r="L64" s="118" t="s">
        <v>557</v>
      </c>
      <c r="M64" s="118">
        <v>0</v>
      </c>
      <c r="N64" s="11" t="s">
        <v>16</v>
      </c>
      <c r="O64" s="4"/>
      <c r="P64" s="42" t="s">
        <v>44</v>
      </c>
      <c r="Q64" s="116"/>
      <c r="R64" s="3"/>
      <c r="S64" s="3"/>
      <c r="T64" s="3"/>
      <c r="U64" s="3"/>
      <c r="V64" s="3"/>
      <c r="W64" s="3"/>
      <c r="X64" s="3"/>
      <c r="Y64" s="3"/>
      <c r="Z64" s="3"/>
      <c r="AA64" s="3"/>
      <c r="AB64" s="3"/>
      <c r="AC64" s="3"/>
      <c r="AD64" s="3"/>
      <c r="AE64" s="3"/>
      <c r="AF64" s="3"/>
      <c r="AG64" s="3"/>
      <c r="AH64" s="3"/>
      <c r="AI64" s="3"/>
      <c r="AJ64" s="3"/>
      <c r="AK64" s="3"/>
      <c r="AL64" s="3"/>
      <c r="AM64" s="3"/>
      <c r="AN64" s="3"/>
      <c r="AO64" s="3"/>
      <c r="AP64" s="3"/>
    </row>
    <row r="65" spans="1:42" ht="14.25" customHeight="1" x14ac:dyDescent="0.2">
      <c r="A65" s="118">
        <v>62</v>
      </c>
      <c r="B65" s="118" t="s">
        <v>558</v>
      </c>
      <c r="C65" s="118" t="s">
        <v>559</v>
      </c>
      <c r="D65" s="118">
        <v>2025</v>
      </c>
      <c r="E65" s="118" t="s">
        <v>233</v>
      </c>
      <c r="F65" s="118" t="s">
        <v>561</v>
      </c>
      <c r="G65" s="118" t="s">
        <v>562</v>
      </c>
      <c r="H65" s="118" t="s">
        <v>238</v>
      </c>
      <c r="I65" s="118" t="s">
        <v>15</v>
      </c>
      <c r="J65" s="118" t="s">
        <v>223</v>
      </c>
      <c r="K65" s="118" t="s">
        <v>560</v>
      </c>
      <c r="L65" s="118" t="s">
        <v>563</v>
      </c>
      <c r="M65" s="118">
        <v>0</v>
      </c>
      <c r="N65" s="11" t="s">
        <v>16</v>
      </c>
      <c r="O65" s="5"/>
      <c r="P65" s="42" t="s">
        <v>44</v>
      </c>
      <c r="Q65" s="116"/>
      <c r="R65" s="3"/>
      <c r="S65" s="3"/>
      <c r="T65" s="3"/>
      <c r="U65" s="3"/>
      <c r="V65" s="3"/>
      <c r="W65" s="3"/>
      <c r="X65" s="3"/>
      <c r="Y65" s="3"/>
      <c r="Z65" s="3"/>
      <c r="AA65" s="3"/>
      <c r="AB65" s="3"/>
      <c r="AC65" s="3"/>
      <c r="AD65" s="3"/>
      <c r="AE65" s="3"/>
      <c r="AF65" s="3"/>
      <c r="AG65" s="3"/>
      <c r="AH65" s="3"/>
      <c r="AI65" s="3"/>
      <c r="AJ65" s="3"/>
      <c r="AK65" s="3"/>
      <c r="AL65" s="3"/>
      <c r="AM65" s="3"/>
      <c r="AN65" s="3"/>
      <c r="AO65" s="3"/>
      <c r="AP65" s="3"/>
    </row>
    <row r="66" spans="1:42" ht="14.25" customHeight="1" x14ac:dyDescent="0.2">
      <c r="A66" s="118">
        <v>63</v>
      </c>
      <c r="B66" s="118" t="s">
        <v>564</v>
      </c>
      <c r="C66" s="118" t="s">
        <v>565</v>
      </c>
      <c r="D66" s="118">
        <v>2023</v>
      </c>
      <c r="E66" s="118" t="s">
        <v>260</v>
      </c>
      <c r="F66" s="118" t="s">
        <v>567</v>
      </c>
      <c r="G66" s="118" t="s">
        <v>568</v>
      </c>
      <c r="H66" s="118" t="s">
        <v>246</v>
      </c>
      <c r="I66" s="118" t="s">
        <v>15</v>
      </c>
      <c r="J66" s="118" t="s">
        <v>223</v>
      </c>
      <c r="K66" s="118" t="s">
        <v>566</v>
      </c>
      <c r="L66" s="118" t="s">
        <v>615</v>
      </c>
      <c r="M66" s="118">
        <v>0</v>
      </c>
      <c r="N66" s="11" t="s">
        <v>16</v>
      </c>
      <c r="O66" s="5"/>
      <c r="P66" s="42" t="s">
        <v>44</v>
      </c>
      <c r="Q66" s="117"/>
      <c r="R66" s="3"/>
      <c r="S66" s="3"/>
      <c r="T66" s="3"/>
      <c r="U66" s="3"/>
      <c r="V66" s="3"/>
      <c r="W66" s="3"/>
      <c r="X66" s="3"/>
      <c r="Y66" s="3"/>
      <c r="Z66" s="3"/>
      <c r="AA66" s="3"/>
      <c r="AB66" s="3"/>
      <c r="AC66" s="3"/>
      <c r="AD66" s="3"/>
      <c r="AE66" s="3"/>
      <c r="AF66" s="3"/>
      <c r="AG66" s="3"/>
      <c r="AH66" s="3"/>
      <c r="AI66" s="3"/>
      <c r="AJ66" s="3"/>
      <c r="AK66" s="3"/>
      <c r="AL66" s="3"/>
      <c r="AM66" s="3"/>
      <c r="AN66" s="3"/>
      <c r="AO66" s="3"/>
      <c r="AP66" s="3"/>
    </row>
    <row r="67" spans="1:42" ht="14.25" customHeight="1" x14ac:dyDescent="0.2">
      <c r="A67" s="118">
        <v>64</v>
      </c>
      <c r="B67" s="118" t="s">
        <v>569</v>
      </c>
      <c r="C67" s="118" t="s">
        <v>570</v>
      </c>
      <c r="D67" s="118">
        <v>2026</v>
      </c>
      <c r="E67" s="118" t="s">
        <v>233</v>
      </c>
      <c r="F67" s="118" t="s">
        <v>572</v>
      </c>
      <c r="G67" s="118" t="s">
        <v>573</v>
      </c>
      <c r="H67" s="118" t="s">
        <v>238</v>
      </c>
      <c r="I67" s="118" t="s">
        <v>15</v>
      </c>
      <c r="J67" s="118" t="s">
        <v>223</v>
      </c>
      <c r="K67" s="118" t="s">
        <v>571</v>
      </c>
      <c r="L67" s="118" t="s">
        <v>574</v>
      </c>
      <c r="M67" s="118">
        <v>0</v>
      </c>
      <c r="N67" s="11" t="s">
        <v>16</v>
      </c>
      <c r="O67" s="5"/>
      <c r="P67" s="42" t="s">
        <v>44</v>
      </c>
      <c r="Q67" s="116"/>
      <c r="R67" s="3"/>
      <c r="S67" s="3"/>
      <c r="T67" s="3"/>
      <c r="U67" s="3"/>
      <c r="V67" s="3"/>
      <c r="W67" s="3"/>
      <c r="X67" s="3"/>
      <c r="Y67" s="3"/>
      <c r="Z67" s="3"/>
      <c r="AA67" s="3"/>
      <c r="AB67" s="3"/>
      <c r="AC67" s="3"/>
      <c r="AD67" s="3"/>
      <c r="AE67" s="3"/>
      <c r="AF67" s="3"/>
      <c r="AG67" s="3"/>
      <c r="AH67" s="3"/>
      <c r="AI67" s="3"/>
      <c r="AJ67" s="3"/>
      <c r="AK67" s="3"/>
      <c r="AL67" s="3"/>
      <c r="AM67" s="3"/>
      <c r="AN67" s="3"/>
      <c r="AO67" s="3"/>
      <c r="AP67" s="3"/>
    </row>
    <row r="68" spans="1:42" ht="14.25" customHeight="1" x14ac:dyDescent="0.2">
      <c r="A68" s="118">
        <v>65</v>
      </c>
      <c r="B68" s="118" t="s">
        <v>575</v>
      </c>
      <c r="C68" s="118" t="s">
        <v>576</v>
      </c>
      <c r="D68" s="118">
        <v>2025</v>
      </c>
      <c r="E68" s="118" t="s">
        <v>233</v>
      </c>
      <c r="F68" s="118" t="s">
        <v>578</v>
      </c>
      <c r="G68" s="118" t="s">
        <v>579</v>
      </c>
      <c r="H68" s="118" t="s">
        <v>238</v>
      </c>
      <c r="I68" s="118" t="s">
        <v>15</v>
      </c>
      <c r="J68" s="118" t="s">
        <v>223</v>
      </c>
      <c r="K68" s="118" t="s">
        <v>577</v>
      </c>
      <c r="L68" s="118" t="s">
        <v>580</v>
      </c>
      <c r="M68" s="118">
        <v>0</v>
      </c>
      <c r="N68" s="11" t="s">
        <v>16</v>
      </c>
      <c r="O68" s="5"/>
      <c r="P68" s="42" t="s">
        <v>44</v>
      </c>
      <c r="Q68" s="117"/>
      <c r="R68" s="3"/>
      <c r="S68" s="3"/>
      <c r="T68" s="3"/>
      <c r="U68" s="3"/>
      <c r="V68" s="3"/>
      <c r="W68" s="3"/>
      <c r="X68" s="3"/>
      <c r="Y68" s="3"/>
      <c r="Z68" s="3"/>
      <c r="AA68" s="3"/>
      <c r="AB68" s="3"/>
      <c r="AC68" s="3"/>
      <c r="AD68" s="3"/>
      <c r="AE68" s="3"/>
      <c r="AF68" s="3"/>
      <c r="AG68" s="3"/>
      <c r="AH68" s="3"/>
      <c r="AI68" s="3"/>
      <c r="AJ68" s="3"/>
      <c r="AK68" s="3"/>
      <c r="AL68" s="3"/>
      <c r="AM68" s="3"/>
      <c r="AN68" s="3"/>
      <c r="AO68" s="3"/>
      <c r="AP68" s="3"/>
    </row>
    <row r="69" spans="1:42" ht="14.25" customHeight="1" x14ac:dyDescent="0.2">
      <c r="A69" s="118">
        <v>66</v>
      </c>
      <c r="B69" s="118" t="s">
        <v>581</v>
      </c>
      <c r="C69" s="118" t="s">
        <v>582</v>
      </c>
      <c r="D69" s="118">
        <v>2025</v>
      </c>
      <c r="E69" s="118" t="s">
        <v>260</v>
      </c>
      <c r="F69" s="118" t="s">
        <v>584</v>
      </c>
      <c r="G69" s="118" t="s">
        <v>585</v>
      </c>
      <c r="H69" s="118" t="s">
        <v>246</v>
      </c>
      <c r="I69" s="118" t="s">
        <v>15</v>
      </c>
      <c r="J69" s="118" t="s">
        <v>223</v>
      </c>
      <c r="K69" s="118" t="s">
        <v>583</v>
      </c>
      <c r="L69" s="118" t="s">
        <v>586</v>
      </c>
      <c r="M69" s="118">
        <v>0</v>
      </c>
      <c r="N69" s="11" t="s">
        <v>16</v>
      </c>
      <c r="O69" s="5"/>
      <c r="P69" s="42" t="s">
        <v>44</v>
      </c>
      <c r="Q69" s="116"/>
      <c r="R69" s="3"/>
      <c r="S69" s="3"/>
      <c r="T69" s="3"/>
      <c r="U69" s="3"/>
      <c r="V69" s="3"/>
      <c r="W69" s="3"/>
      <c r="X69" s="3"/>
      <c r="Y69" s="3"/>
      <c r="Z69" s="3"/>
      <c r="AA69" s="3"/>
      <c r="AB69" s="3"/>
      <c r="AC69" s="3"/>
      <c r="AD69" s="3"/>
      <c r="AE69" s="3"/>
      <c r="AF69" s="3"/>
      <c r="AG69" s="3"/>
      <c r="AH69" s="3"/>
      <c r="AI69" s="3"/>
      <c r="AJ69" s="3"/>
      <c r="AK69" s="3"/>
      <c r="AL69" s="3"/>
      <c r="AM69" s="3"/>
      <c r="AN69" s="3"/>
      <c r="AO69" s="3"/>
      <c r="AP69" s="3"/>
    </row>
    <row r="70" spans="1:42" ht="14.25" customHeight="1" x14ac:dyDescent="0.2">
      <c r="A70" s="118">
        <v>67</v>
      </c>
      <c r="B70" s="118" t="s">
        <v>587</v>
      </c>
      <c r="C70" s="118" t="s">
        <v>588</v>
      </c>
      <c r="D70" s="118">
        <v>2025</v>
      </c>
      <c r="E70" s="118" t="s">
        <v>241</v>
      </c>
      <c r="F70" s="118" t="s">
        <v>590</v>
      </c>
      <c r="G70" s="118" t="s">
        <v>591</v>
      </c>
      <c r="H70" s="118" t="s">
        <v>246</v>
      </c>
      <c r="I70" s="118" t="s">
        <v>15</v>
      </c>
      <c r="J70" s="118" t="s">
        <v>223</v>
      </c>
      <c r="K70" s="118" t="s">
        <v>589</v>
      </c>
      <c r="L70" s="118" t="s">
        <v>592</v>
      </c>
      <c r="M70" s="118">
        <v>0</v>
      </c>
      <c r="N70" s="11" t="s">
        <v>16</v>
      </c>
      <c r="O70" s="5"/>
      <c r="P70" s="42" t="s">
        <v>44</v>
      </c>
      <c r="Q70" s="117"/>
      <c r="R70" s="3"/>
      <c r="S70" s="3"/>
      <c r="T70" s="3"/>
      <c r="U70" s="3"/>
      <c r="V70" s="3"/>
      <c r="W70" s="3"/>
      <c r="X70" s="3"/>
      <c r="Y70" s="3"/>
      <c r="Z70" s="3"/>
      <c r="AA70" s="3"/>
      <c r="AB70" s="3"/>
      <c r="AC70" s="3"/>
      <c r="AD70" s="3"/>
      <c r="AE70" s="3"/>
      <c r="AF70" s="3"/>
      <c r="AG70" s="3"/>
      <c r="AH70" s="3"/>
      <c r="AI70" s="3"/>
      <c r="AJ70" s="3"/>
      <c r="AK70" s="3"/>
      <c r="AL70" s="3"/>
      <c r="AM70" s="3"/>
      <c r="AN70" s="3"/>
      <c r="AO70" s="3"/>
      <c r="AP70" s="3"/>
    </row>
    <row r="71" spans="1:42" ht="14.25" customHeight="1" x14ac:dyDescent="0.2">
      <c r="A71" s="118">
        <v>68</v>
      </c>
      <c r="B71" s="118" t="s">
        <v>593</v>
      </c>
      <c r="C71" s="118" t="s">
        <v>594</v>
      </c>
      <c r="D71" s="118">
        <v>2026</v>
      </c>
      <c r="E71" s="118" t="s">
        <v>219</v>
      </c>
      <c r="F71" s="118" t="s">
        <v>596</v>
      </c>
      <c r="G71" s="118" t="s">
        <v>597</v>
      </c>
      <c r="H71" s="118" t="s">
        <v>222</v>
      </c>
      <c r="I71" s="118" t="s">
        <v>15</v>
      </c>
      <c r="J71" s="118" t="s">
        <v>223</v>
      </c>
      <c r="K71" s="118" t="s">
        <v>595</v>
      </c>
      <c r="L71" s="118" t="s">
        <v>598</v>
      </c>
      <c r="M71" s="118">
        <v>0</v>
      </c>
      <c r="N71" s="11" t="s">
        <v>16</v>
      </c>
      <c r="O71" s="5"/>
      <c r="P71" s="42" t="s">
        <v>44</v>
      </c>
      <c r="Q71" s="116"/>
      <c r="R71" s="3"/>
      <c r="S71" s="3"/>
      <c r="T71" s="3"/>
      <c r="U71" s="3"/>
      <c r="V71" s="3"/>
      <c r="W71" s="3"/>
      <c r="X71" s="3"/>
      <c r="Y71" s="3"/>
      <c r="Z71" s="3"/>
      <c r="AA71" s="3"/>
      <c r="AB71" s="3"/>
      <c r="AC71" s="3"/>
      <c r="AD71" s="3"/>
      <c r="AE71" s="3"/>
      <c r="AF71" s="3"/>
      <c r="AG71" s="3"/>
      <c r="AH71" s="3"/>
      <c r="AI71" s="3"/>
      <c r="AJ71" s="3"/>
      <c r="AK71" s="3"/>
      <c r="AL71" s="3"/>
      <c r="AM71" s="3"/>
      <c r="AN71" s="3"/>
      <c r="AO71" s="3"/>
      <c r="AP71" s="3"/>
    </row>
    <row r="72" spans="1:42" ht="14.25" customHeight="1" x14ac:dyDescent="0.2">
      <c r="A72" s="118">
        <v>69</v>
      </c>
      <c r="B72" s="118" t="s">
        <v>599</v>
      </c>
      <c r="C72" s="118" t="s">
        <v>600</v>
      </c>
      <c r="D72" s="118">
        <v>2025</v>
      </c>
      <c r="E72" s="118" t="s">
        <v>226</v>
      </c>
      <c r="F72" s="118" t="s">
        <v>602</v>
      </c>
      <c r="G72" s="118">
        <v>0</v>
      </c>
      <c r="H72" s="118" t="s">
        <v>230</v>
      </c>
      <c r="I72" s="118" t="s">
        <v>15</v>
      </c>
      <c r="J72" s="118" t="s">
        <v>223</v>
      </c>
      <c r="K72" s="118" t="s">
        <v>601</v>
      </c>
      <c r="L72" s="118" t="s">
        <v>616</v>
      </c>
      <c r="M72" s="118">
        <v>0</v>
      </c>
      <c r="N72" s="11" t="s">
        <v>16</v>
      </c>
      <c r="O72" s="5"/>
      <c r="P72" s="42" t="s">
        <v>44</v>
      </c>
      <c r="Q72" s="117"/>
      <c r="R72" s="3"/>
      <c r="S72" s="3"/>
      <c r="T72" s="3"/>
      <c r="U72" s="3"/>
      <c r="V72" s="3"/>
      <c r="W72" s="3"/>
      <c r="X72" s="3"/>
      <c r="Y72" s="3"/>
      <c r="Z72" s="3"/>
      <c r="AA72" s="3"/>
      <c r="AB72" s="3"/>
      <c r="AC72" s="3"/>
      <c r="AD72" s="3"/>
      <c r="AE72" s="3"/>
      <c r="AF72" s="3"/>
      <c r="AG72" s="3"/>
      <c r="AH72" s="3"/>
      <c r="AI72" s="3"/>
      <c r="AJ72" s="3"/>
      <c r="AK72" s="3"/>
      <c r="AL72" s="3"/>
      <c r="AM72" s="3"/>
      <c r="AN72" s="3"/>
      <c r="AO72" s="3"/>
      <c r="AP72" s="3"/>
    </row>
    <row r="73" spans="1:42" ht="14.25" customHeight="1" x14ac:dyDescent="0.2">
      <c r="A73" s="118"/>
      <c r="B73" s="118"/>
      <c r="C73" s="118"/>
      <c r="D73" s="118"/>
      <c r="E73" s="118"/>
      <c r="F73" s="118"/>
      <c r="G73" s="118"/>
      <c r="H73" s="118"/>
      <c r="I73" s="118"/>
      <c r="J73" s="118"/>
      <c r="K73" s="118"/>
      <c r="L73" s="118"/>
      <c r="M73" s="118"/>
      <c r="N73" s="11"/>
      <c r="O73" s="5"/>
      <c r="P73" s="42"/>
      <c r="Q73" s="116"/>
      <c r="R73" s="3"/>
      <c r="S73" s="3"/>
      <c r="T73" s="3"/>
      <c r="U73" s="3"/>
      <c r="V73" s="3"/>
      <c r="W73" s="3"/>
      <c r="X73" s="3"/>
      <c r="Y73" s="3"/>
      <c r="Z73" s="3"/>
      <c r="AA73" s="3"/>
      <c r="AB73" s="3"/>
      <c r="AC73" s="3"/>
      <c r="AD73" s="3"/>
      <c r="AE73" s="3"/>
      <c r="AF73" s="3"/>
      <c r="AG73" s="3"/>
      <c r="AH73" s="3"/>
      <c r="AI73" s="3"/>
      <c r="AJ73" s="3"/>
      <c r="AK73" s="3"/>
      <c r="AL73" s="3"/>
      <c r="AM73" s="3"/>
      <c r="AN73" s="3"/>
      <c r="AO73" s="3"/>
      <c r="AP73" s="3"/>
    </row>
    <row r="74" spans="1:42" ht="14.25" customHeight="1" x14ac:dyDescent="0.2">
      <c r="A74" s="118"/>
      <c r="B74" s="118"/>
      <c r="C74" s="118"/>
      <c r="D74" s="118"/>
      <c r="E74" s="118"/>
      <c r="F74" s="118"/>
      <c r="G74" s="118"/>
      <c r="H74" s="118"/>
      <c r="I74" s="118"/>
      <c r="J74" s="118"/>
      <c r="K74" s="118"/>
      <c r="L74" s="118"/>
      <c r="M74" s="118"/>
      <c r="N74" s="11"/>
      <c r="O74" s="5"/>
      <c r="P74" s="42"/>
      <c r="Q74" s="117"/>
      <c r="R74" s="3"/>
      <c r="S74" s="3"/>
      <c r="T74" s="3"/>
      <c r="U74" s="3"/>
      <c r="V74" s="3"/>
      <c r="W74" s="3"/>
      <c r="X74" s="3"/>
      <c r="Y74" s="3"/>
      <c r="Z74" s="3"/>
      <c r="AA74" s="3"/>
      <c r="AB74" s="3"/>
      <c r="AC74" s="3"/>
      <c r="AD74" s="3"/>
      <c r="AE74" s="3"/>
      <c r="AF74" s="3"/>
      <c r="AG74" s="3"/>
      <c r="AH74" s="3"/>
      <c r="AI74" s="3"/>
      <c r="AJ74" s="3"/>
      <c r="AK74" s="3"/>
      <c r="AL74" s="3"/>
      <c r="AM74" s="3"/>
      <c r="AN74" s="3"/>
      <c r="AO74" s="3"/>
      <c r="AP74" s="3"/>
    </row>
    <row r="75" spans="1:42" ht="14.25" customHeight="1" x14ac:dyDescent="0.2">
      <c r="A75" s="118"/>
      <c r="B75" s="118"/>
      <c r="C75" s="118"/>
      <c r="D75" s="118"/>
      <c r="E75" s="118"/>
      <c r="F75" s="118"/>
      <c r="G75" s="118"/>
      <c r="H75" s="118"/>
      <c r="I75" s="118"/>
      <c r="J75" s="118"/>
      <c r="K75" s="118"/>
      <c r="L75" s="118"/>
      <c r="M75" s="118"/>
      <c r="N75" s="11"/>
      <c r="O75" s="4"/>
      <c r="P75" s="42"/>
      <c r="Q75" s="116"/>
      <c r="R75" s="3"/>
      <c r="S75" s="3"/>
      <c r="T75" s="3"/>
      <c r="U75" s="3"/>
      <c r="V75" s="3"/>
      <c r="W75" s="3"/>
      <c r="X75" s="3"/>
      <c r="Y75" s="3"/>
      <c r="Z75" s="3"/>
      <c r="AA75" s="3"/>
      <c r="AB75" s="3"/>
      <c r="AC75" s="3"/>
      <c r="AD75" s="3"/>
      <c r="AE75" s="3"/>
      <c r="AF75" s="3"/>
      <c r="AG75" s="3"/>
      <c r="AH75" s="3"/>
      <c r="AI75" s="3"/>
      <c r="AJ75" s="3"/>
      <c r="AK75" s="3"/>
      <c r="AL75" s="3"/>
      <c r="AM75" s="3"/>
      <c r="AN75" s="3"/>
      <c r="AO75" s="3"/>
      <c r="AP75" s="3"/>
    </row>
    <row r="76" spans="1:42" ht="14.25" customHeight="1" x14ac:dyDescent="0.2">
      <c r="A76" s="118"/>
      <c r="B76" s="118"/>
      <c r="C76" s="118"/>
      <c r="D76" s="118"/>
      <c r="E76" s="118"/>
      <c r="F76" s="118"/>
      <c r="G76" s="118"/>
      <c r="H76" s="118"/>
      <c r="I76" s="118"/>
      <c r="J76" s="118"/>
      <c r="K76" s="118"/>
      <c r="L76" s="118"/>
      <c r="M76" s="118"/>
      <c r="N76" s="11"/>
      <c r="O76" s="5"/>
      <c r="P76" s="42"/>
      <c r="Q76" s="117"/>
      <c r="R76" s="3"/>
      <c r="S76" s="3"/>
      <c r="T76" s="3"/>
      <c r="U76" s="3"/>
      <c r="V76" s="3"/>
      <c r="W76" s="3"/>
      <c r="X76" s="3"/>
      <c r="Y76" s="3"/>
      <c r="Z76" s="3"/>
      <c r="AA76" s="3"/>
      <c r="AB76" s="3"/>
      <c r="AC76" s="3"/>
      <c r="AD76" s="3"/>
      <c r="AE76" s="3"/>
      <c r="AF76" s="3"/>
      <c r="AG76" s="3"/>
      <c r="AH76" s="3"/>
      <c r="AI76" s="3"/>
      <c r="AJ76" s="3"/>
      <c r="AK76" s="3"/>
      <c r="AL76" s="3"/>
      <c r="AM76" s="3"/>
      <c r="AN76" s="3"/>
      <c r="AO76" s="3"/>
      <c r="AP76" s="3"/>
    </row>
    <row r="77" spans="1:42" ht="14.25" customHeight="1" x14ac:dyDescent="0.2">
      <c r="A77" s="118"/>
      <c r="B77" s="118"/>
      <c r="C77" s="118"/>
      <c r="D77" s="118"/>
      <c r="E77" s="118"/>
      <c r="F77" s="118"/>
      <c r="G77" s="118"/>
      <c r="H77" s="118"/>
      <c r="I77" s="118"/>
      <c r="J77" s="118"/>
      <c r="K77" s="118"/>
      <c r="L77" s="118"/>
      <c r="M77" s="118"/>
      <c r="N77" s="11"/>
      <c r="O77" s="5"/>
      <c r="P77" s="42"/>
      <c r="Q77" s="116"/>
      <c r="R77" s="3"/>
      <c r="S77" s="3"/>
      <c r="T77" s="3"/>
      <c r="U77" s="3"/>
      <c r="V77" s="3"/>
      <c r="W77" s="3"/>
      <c r="X77" s="3"/>
      <c r="Y77" s="3"/>
      <c r="Z77" s="3"/>
      <c r="AA77" s="3"/>
      <c r="AB77" s="3"/>
      <c r="AC77" s="3"/>
      <c r="AD77" s="3"/>
      <c r="AE77" s="3"/>
      <c r="AF77" s="3"/>
      <c r="AG77" s="3"/>
      <c r="AH77" s="3"/>
      <c r="AI77" s="3"/>
      <c r="AJ77" s="3"/>
      <c r="AK77" s="3"/>
      <c r="AL77" s="3"/>
      <c r="AM77" s="3"/>
      <c r="AN77" s="3"/>
      <c r="AO77" s="3"/>
      <c r="AP77" s="3"/>
    </row>
    <row r="78" spans="1:42" ht="14.25" customHeight="1" x14ac:dyDescent="0.2">
      <c r="A78" s="118"/>
      <c r="B78" s="118"/>
      <c r="C78" s="118"/>
      <c r="D78" s="118"/>
      <c r="E78" s="118"/>
      <c r="F78" s="118"/>
      <c r="G78" s="118"/>
      <c r="H78" s="118"/>
      <c r="I78" s="118"/>
      <c r="J78" s="118"/>
      <c r="K78" s="118"/>
      <c r="L78" s="118"/>
      <c r="M78" s="118"/>
      <c r="N78" s="11"/>
      <c r="O78" s="5"/>
      <c r="P78" s="42"/>
      <c r="Q78" s="117"/>
      <c r="R78" s="3"/>
      <c r="S78" s="3"/>
      <c r="T78" s="3"/>
      <c r="U78" s="3"/>
      <c r="V78" s="3"/>
      <c r="W78" s="3"/>
      <c r="X78" s="3"/>
      <c r="Y78" s="3"/>
      <c r="Z78" s="3"/>
      <c r="AA78" s="3"/>
      <c r="AB78" s="3"/>
      <c r="AC78" s="3"/>
      <c r="AD78" s="3"/>
      <c r="AE78" s="3"/>
      <c r="AF78" s="3"/>
      <c r="AG78" s="3"/>
      <c r="AH78" s="3"/>
      <c r="AI78" s="3"/>
      <c r="AJ78" s="3"/>
      <c r="AK78" s="3"/>
      <c r="AL78" s="3"/>
      <c r="AM78" s="3"/>
      <c r="AN78" s="3"/>
      <c r="AO78" s="3"/>
      <c r="AP78" s="3"/>
    </row>
    <row r="79" spans="1:42" ht="14.25" customHeight="1" x14ac:dyDescent="0.2">
      <c r="A79" s="118"/>
      <c r="B79" s="118"/>
      <c r="C79" s="118"/>
      <c r="D79" s="118"/>
      <c r="E79" s="118"/>
      <c r="F79" s="118"/>
      <c r="G79" s="118"/>
      <c r="H79" s="118"/>
      <c r="I79" s="118"/>
      <c r="J79" s="118"/>
      <c r="K79" s="118"/>
      <c r="L79" s="118"/>
      <c r="M79" s="118"/>
      <c r="N79" s="11"/>
      <c r="O79" s="5"/>
      <c r="P79" s="42"/>
      <c r="Q79" s="116"/>
      <c r="R79" s="3"/>
      <c r="S79" s="3"/>
      <c r="T79" s="3"/>
      <c r="U79" s="3"/>
      <c r="V79" s="3"/>
      <c r="W79" s="3"/>
      <c r="X79" s="3"/>
      <c r="Y79" s="3"/>
      <c r="Z79" s="3"/>
      <c r="AA79" s="3"/>
      <c r="AB79" s="3"/>
      <c r="AC79" s="3"/>
      <c r="AD79" s="3"/>
      <c r="AE79" s="3"/>
      <c r="AF79" s="3"/>
      <c r="AG79" s="3"/>
      <c r="AH79" s="3"/>
      <c r="AI79" s="3"/>
      <c r="AJ79" s="3"/>
      <c r="AK79" s="3"/>
      <c r="AL79" s="3"/>
      <c r="AM79" s="3"/>
      <c r="AN79" s="3"/>
      <c r="AO79" s="3"/>
      <c r="AP79" s="3"/>
    </row>
    <row r="80" spans="1:42" ht="14.25" customHeight="1" x14ac:dyDescent="0.2">
      <c r="A80" s="118"/>
      <c r="B80" s="118"/>
      <c r="C80" s="118"/>
      <c r="D80" s="118"/>
      <c r="E80" s="118"/>
      <c r="F80" s="118"/>
      <c r="G80" s="118"/>
      <c r="H80" s="118"/>
      <c r="I80" s="118"/>
      <c r="J80" s="118"/>
      <c r="K80" s="118"/>
      <c r="L80" s="118"/>
      <c r="M80" s="118"/>
      <c r="N80" s="11"/>
      <c r="O80" s="5"/>
      <c r="P80" s="42"/>
      <c r="Q80" s="117"/>
      <c r="R80" s="3"/>
      <c r="S80" s="3"/>
      <c r="T80" s="3"/>
      <c r="U80" s="3"/>
      <c r="V80" s="3"/>
      <c r="W80" s="3"/>
      <c r="X80" s="3"/>
      <c r="Y80" s="3"/>
      <c r="Z80" s="3"/>
      <c r="AA80" s="3"/>
      <c r="AB80" s="3"/>
      <c r="AC80" s="3"/>
      <c r="AD80" s="3"/>
      <c r="AE80" s="3"/>
      <c r="AF80" s="3"/>
      <c r="AG80" s="3"/>
      <c r="AH80" s="3"/>
      <c r="AI80" s="3"/>
      <c r="AJ80" s="3"/>
      <c r="AK80" s="3"/>
      <c r="AL80" s="3"/>
      <c r="AM80" s="3"/>
      <c r="AN80" s="3"/>
      <c r="AO80" s="3"/>
      <c r="AP80" s="3"/>
    </row>
    <row r="81" spans="1:42" ht="14.25" customHeight="1" x14ac:dyDescent="0.2">
      <c r="A81" s="118"/>
      <c r="B81" s="118"/>
      <c r="C81" s="118"/>
      <c r="D81" s="118"/>
      <c r="E81" s="118"/>
      <c r="F81" s="118"/>
      <c r="G81" s="118"/>
      <c r="H81" s="118"/>
      <c r="I81" s="118"/>
      <c r="J81" s="118"/>
      <c r="K81" s="118"/>
      <c r="L81" s="118"/>
      <c r="M81" s="118"/>
      <c r="N81" s="11"/>
      <c r="O81" s="5"/>
      <c r="P81" s="42"/>
      <c r="Q81" s="116"/>
      <c r="R81" s="3"/>
      <c r="S81" s="3"/>
      <c r="T81" s="3"/>
      <c r="U81" s="3"/>
      <c r="V81" s="3"/>
      <c r="W81" s="3"/>
      <c r="X81" s="3"/>
      <c r="Y81" s="3"/>
      <c r="Z81" s="3"/>
      <c r="AA81" s="3"/>
      <c r="AB81" s="3"/>
      <c r="AC81" s="3"/>
      <c r="AD81" s="3"/>
      <c r="AE81" s="3"/>
      <c r="AF81" s="3"/>
      <c r="AG81" s="3"/>
      <c r="AH81" s="3"/>
      <c r="AI81" s="3"/>
      <c r="AJ81" s="3"/>
      <c r="AK81" s="3"/>
      <c r="AL81" s="3"/>
      <c r="AM81" s="3"/>
      <c r="AN81" s="3"/>
      <c r="AO81" s="3"/>
      <c r="AP81" s="3"/>
    </row>
    <row r="82" spans="1:42" ht="14.25" customHeight="1" x14ac:dyDescent="0.2">
      <c r="A82" s="118"/>
      <c r="B82" s="118"/>
      <c r="C82" s="118"/>
      <c r="D82" s="118"/>
      <c r="E82" s="118"/>
      <c r="F82" s="118"/>
      <c r="G82" s="118"/>
      <c r="H82" s="118"/>
      <c r="I82" s="118"/>
      <c r="J82" s="118"/>
      <c r="K82" s="118"/>
      <c r="L82" s="118"/>
      <c r="M82" s="118"/>
      <c r="N82" s="11"/>
      <c r="O82" s="5"/>
      <c r="P82" s="42"/>
      <c r="Q82" s="117"/>
      <c r="R82" s="3"/>
      <c r="S82" s="3"/>
      <c r="T82" s="3"/>
      <c r="U82" s="3"/>
      <c r="V82" s="3"/>
      <c r="W82" s="3"/>
      <c r="X82" s="3"/>
      <c r="Y82" s="3"/>
      <c r="Z82" s="3"/>
      <c r="AA82" s="3"/>
      <c r="AB82" s="3"/>
      <c r="AC82" s="3"/>
      <c r="AD82" s="3"/>
      <c r="AE82" s="3"/>
      <c r="AF82" s="3"/>
      <c r="AG82" s="3"/>
      <c r="AH82" s="3"/>
      <c r="AI82" s="3"/>
      <c r="AJ82" s="3"/>
      <c r="AK82" s="3"/>
      <c r="AL82" s="3"/>
      <c r="AM82" s="3"/>
      <c r="AN82" s="3"/>
      <c r="AO82" s="3"/>
      <c r="AP82" s="3"/>
    </row>
    <row r="83" spans="1:42" ht="14.25" customHeight="1" x14ac:dyDescent="0.2">
      <c r="A83" s="118"/>
      <c r="B83" s="118"/>
      <c r="C83" s="118"/>
      <c r="D83" s="118"/>
      <c r="E83" s="118"/>
      <c r="F83" s="118"/>
      <c r="G83" s="118"/>
      <c r="H83" s="118"/>
      <c r="I83" s="118"/>
      <c r="J83" s="118"/>
      <c r="K83" s="118"/>
      <c r="L83" s="118"/>
      <c r="M83" s="118"/>
      <c r="N83" s="11"/>
      <c r="O83" s="4"/>
      <c r="P83" s="42"/>
      <c r="Q83" s="117"/>
      <c r="R83" s="3"/>
      <c r="S83" s="3"/>
      <c r="T83" s="3"/>
      <c r="U83" s="3"/>
      <c r="V83" s="3"/>
      <c r="W83" s="3"/>
      <c r="X83" s="3"/>
      <c r="Y83" s="3"/>
      <c r="Z83" s="3"/>
      <c r="AA83" s="3"/>
      <c r="AB83" s="3"/>
      <c r="AC83" s="3"/>
      <c r="AD83" s="3"/>
      <c r="AE83" s="3"/>
      <c r="AF83" s="3"/>
      <c r="AG83" s="3"/>
      <c r="AH83" s="3"/>
      <c r="AI83" s="3"/>
      <c r="AJ83" s="3"/>
      <c r="AK83" s="3"/>
      <c r="AL83" s="3"/>
      <c r="AM83" s="3"/>
      <c r="AN83" s="3"/>
      <c r="AO83" s="3"/>
      <c r="AP83" s="3"/>
    </row>
    <row r="84" spans="1:42" ht="14.25" customHeight="1" x14ac:dyDescent="0.2">
      <c r="A84" s="118"/>
      <c r="B84" s="118"/>
      <c r="C84" s="118"/>
      <c r="D84" s="118"/>
      <c r="E84" s="118"/>
      <c r="F84" s="118"/>
      <c r="G84" s="118"/>
      <c r="H84" s="118"/>
      <c r="I84" s="118"/>
      <c r="J84" s="118"/>
      <c r="K84" s="118"/>
      <c r="L84" s="118"/>
      <c r="M84" s="118"/>
      <c r="N84" s="11"/>
      <c r="O84" s="5"/>
      <c r="P84" s="42"/>
      <c r="Q84" s="116"/>
      <c r="R84" s="3"/>
      <c r="S84" s="3"/>
      <c r="T84" s="3"/>
      <c r="U84" s="3"/>
      <c r="V84" s="3"/>
      <c r="W84" s="3"/>
      <c r="X84" s="3"/>
      <c r="Y84" s="3"/>
      <c r="Z84" s="3"/>
      <c r="AA84" s="3"/>
      <c r="AB84" s="3"/>
      <c r="AC84" s="3"/>
      <c r="AD84" s="3"/>
      <c r="AE84" s="3"/>
      <c r="AF84" s="3"/>
      <c r="AG84" s="3"/>
      <c r="AH84" s="3"/>
      <c r="AI84" s="3"/>
      <c r="AJ84" s="3"/>
      <c r="AK84" s="3"/>
      <c r="AL84" s="3"/>
      <c r="AM84" s="3"/>
      <c r="AN84" s="3"/>
      <c r="AO84" s="3"/>
      <c r="AP84" s="3"/>
    </row>
    <row r="85" spans="1:42" ht="14.25" customHeight="1" x14ac:dyDescent="0.2">
      <c r="A85" s="118"/>
      <c r="B85" s="118"/>
      <c r="C85" s="118"/>
      <c r="D85" s="118"/>
      <c r="E85" s="118"/>
      <c r="F85" s="118"/>
      <c r="G85" s="118"/>
      <c r="H85" s="118"/>
      <c r="I85" s="118"/>
      <c r="J85" s="118"/>
      <c r="K85" s="118"/>
      <c r="L85" s="118"/>
      <c r="M85" s="118"/>
      <c r="N85" s="11"/>
      <c r="O85" s="5"/>
      <c r="P85" s="42"/>
      <c r="Q85" s="117"/>
      <c r="R85" s="3"/>
      <c r="S85" s="3"/>
      <c r="T85" s="3"/>
      <c r="U85" s="3"/>
      <c r="V85" s="3"/>
      <c r="W85" s="3"/>
      <c r="X85" s="3"/>
      <c r="Y85" s="3"/>
      <c r="Z85" s="3"/>
      <c r="AA85" s="3"/>
      <c r="AB85" s="3"/>
      <c r="AC85" s="3"/>
      <c r="AD85" s="3"/>
      <c r="AE85" s="3"/>
      <c r="AF85" s="3"/>
      <c r="AG85" s="3"/>
      <c r="AH85" s="3"/>
      <c r="AI85" s="3"/>
      <c r="AJ85" s="3"/>
      <c r="AK85" s="3"/>
      <c r="AL85" s="3"/>
      <c r="AM85" s="3"/>
      <c r="AN85" s="3"/>
      <c r="AO85" s="3"/>
      <c r="AP85" s="3"/>
    </row>
    <row r="86" spans="1:42" ht="14.25" customHeight="1" x14ac:dyDescent="0.2">
      <c r="A86" s="118"/>
      <c r="B86" s="118"/>
      <c r="C86" s="118"/>
      <c r="D86" s="118"/>
      <c r="E86" s="118"/>
      <c r="F86" s="118"/>
      <c r="G86" s="118"/>
      <c r="H86" s="118"/>
      <c r="I86" s="118"/>
      <c r="J86" s="118"/>
      <c r="K86" s="118"/>
      <c r="L86" s="118"/>
      <c r="M86" s="118"/>
      <c r="N86" s="11"/>
      <c r="O86" s="5"/>
      <c r="P86" s="42"/>
      <c r="Q86" s="116"/>
      <c r="R86" s="3"/>
      <c r="S86" s="3"/>
      <c r="T86" s="3"/>
      <c r="U86" s="3"/>
      <c r="V86" s="3"/>
      <c r="W86" s="3"/>
      <c r="X86" s="3"/>
      <c r="Y86" s="3"/>
      <c r="Z86" s="3"/>
      <c r="AA86" s="3"/>
      <c r="AB86" s="3"/>
      <c r="AC86" s="3"/>
      <c r="AD86" s="3"/>
      <c r="AE86" s="3"/>
      <c r="AF86" s="3"/>
      <c r="AG86" s="3"/>
      <c r="AH86" s="3"/>
      <c r="AI86" s="3"/>
      <c r="AJ86" s="3"/>
      <c r="AK86" s="3"/>
      <c r="AL86" s="3"/>
      <c r="AM86" s="3"/>
      <c r="AN86" s="3"/>
      <c r="AO86" s="3"/>
      <c r="AP86" s="3"/>
    </row>
    <row r="87" spans="1:42" ht="14.25" customHeight="1" x14ac:dyDescent="0.2">
      <c r="A87" s="118"/>
      <c r="B87" s="118"/>
      <c r="C87" s="118"/>
      <c r="D87" s="118"/>
      <c r="E87" s="118"/>
      <c r="F87" s="118"/>
      <c r="G87" s="118"/>
      <c r="H87" s="118"/>
      <c r="I87" s="118"/>
      <c r="J87" s="118"/>
      <c r="K87" s="118"/>
      <c r="L87" s="118"/>
      <c r="M87" s="118"/>
      <c r="N87" s="11"/>
      <c r="O87" s="5"/>
      <c r="P87" s="42"/>
      <c r="Q87" s="117"/>
      <c r="R87" s="3"/>
      <c r="S87" s="3"/>
      <c r="T87" s="3"/>
      <c r="U87" s="3"/>
      <c r="V87" s="3"/>
      <c r="W87" s="3"/>
      <c r="X87" s="3"/>
      <c r="Y87" s="3"/>
      <c r="Z87" s="3"/>
      <c r="AA87" s="3"/>
      <c r="AB87" s="3"/>
      <c r="AC87" s="3"/>
      <c r="AD87" s="3"/>
      <c r="AE87" s="3"/>
      <c r="AF87" s="3"/>
      <c r="AG87" s="3"/>
      <c r="AH87" s="3"/>
      <c r="AI87" s="3"/>
      <c r="AJ87" s="3"/>
      <c r="AK87" s="3"/>
      <c r="AL87" s="3"/>
      <c r="AM87" s="3"/>
      <c r="AN87" s="3"/>
      <c r="AO87" s="3"/>
      <c r="AP87" s="3"/>
    </row>
    <row r="88" spans="1:42" ht="14.25" customHeight="1" x14ac:dyDescent="0.2">
      <c r="A88" s="118"/>
      <c r="B88" s="118"/>
      <c r="C88" s="118"/>
      <c r="D88" s="118"/>
      <c r="E88" s="118"/>
      <c r="F88" s="118"/>
      <c r="G88" s="118"/>
      <c r="H88" s="118"/>
      <c r="I88" s="118"/>
      <c r="J88" s="118"/>
      <c r="K88" s="118"/>
      <c r="L88" s="118"/>
      <c r="M88" s="118"/>
      <c r="N88" s="11"/>
      <c r="O88" s="5"/>
      <c r="P88" s="42"/>
      <c r="Q88" s="116"/>
      <c r="R88" s="3"/>
      <c r="S88" s="3"/>
      <c r="T88" s="3"/>
      <c r="U88" s="3"/>
      <c r="V88" s="3"/>
      <c r="W88" s="3"/>
      <c r="X88" s="3"/>
      <c r="Y88" s="3"/>
      <c r="Z88" s="3"/>
      <c r="AA88" s="3"/>
      <c r="AB88" s="3"/>
      <c r="AC88" s="3"/>
      <c r="AD88" s="3"/>
      <c r="AE88" s="3"/>
      <c r="AF88" s="3"/>
      <c r="AG88" s="3"/>
      <c r="AH88" s="3"/>
      <c r="AI88" s="3"/>
      <c r="AJ88" s="3"/>
      <c r="AK88" s="3"/>
      <c r="AL88" s="3"/>
      <c r="AM88" s="3"/>
      <c r="AN88" s="3"/>
      <c r="AO88" s="3"/>
      <c r="AP88" s="3"/>
    </row>
    <row r="89" spans="1:42" ht="14.25" customHeight="1" x14ac:dyDescent="0.2">
      <c r="A89" s="118"/>
      <c r="B89" s="118"/>
      <c r="C89" s="118"/>
      <c r="D89" s="118"/>
      <c r="E89" s="118"/>
      <c r="F89" s="118"/>
      <c r="G89" s="118"/>
      <c r="H89" s="118"/>
      <c r="I89" s="118"/>
      <c r="J89" s="118"/>
      <c r="K89" s="118"/>
      <c r="L89" s="118"/>
      <c r="M89" s="118"/>
      <c r="N89" s="11"/>
      <c r="O89" s="5"/>
      <c r="P89" s="42"/>
      <c r="Q89" s="117"/>
      <c r="R89" s="3"/>
      <c r="S89" s="3"/>
      <c r="T89" s="3"/>
      <c r="U89" s="3"/>
      <c r="V89" s="3"/>
      <c r="W89" s="3"/>
      <c r="X89" s="3"/>
      <c r="Y89" s="3"/>
      <c r="Z89" s="3"/>
      <c r="AA89" s="3"/>
      <c r="AB89" s="3"/>
      <c r="AC89" s="3"/>
      <c r="AD89" s="3"/>
      <c r="AE89" s="3"/>
      <c r="AF89" s="3"/>
      <c r="AG89" s="3"/>
      <c r="AH89" s="3"/>
      <c r="AI89" s="3"/>
      <c r="AJ89" s="3"/>
      <c r="AK89" s="3"/>
      <c r="AL89" s="3"/>
      <c r="AM89" s="3"/>
      <c r="AN89" s="3"/>
      <c r="AO89" s="3"/>
      <c r="AP89" s="3"/>
    </row>
    <row r="90" spans="1:42" ht="14.25" customHeight="1" x14ac:dyDescent="0.2">
      <c r="A90" s="118"/>
      <c r="B90" s="118"/>
      <c r="C90" s="118"/>
      <c r="D90" s="118"/>
      <c r="E90" s="118"/>
      <c r="F90" s="118"/>
      <c r="G90" s="118"/>
      <c r="H90" s="118"/>
      <c r="I90" s="118"/>
      <c r="J90" s="118"/>
      <c r="K90" s="118"/>
      <c r="L90" s="118"/>
      <c r="M90" s="118"/>
      <c r="N90" s="11"/>
      <c r="O90" s="5"/>
      <c r="P90" s="42"/>
      <c r="Q90" s="116"/>
      <c r="R90" s="3"/>
      <c r="S90" s="3"/>
      <c r="T90" s="3"/>
      <c r="U90" s="3"/>
      <c r="V90" s="3"/>
      <c r="W90" s="3"/>
      <c r="X90" s="3"/>
      <c r="Y90" s="3"/>
      <c r="Z90" s="3"/>
      <c r="AA90" s="3"/>
      <c r="AB90" s="3"/>
      <c r="AC90" s="3"/>
      <c r="AD90" s="3"/>
      <c r="AE90" s="3"/>
      <c r="AF90" s="3"/>
      <c r="AG90" s="3"/>
      <c r="AH90" s="3"/>
      <c r="AI90" s="3"/>
      <c r="AJ90" s="3"/>
      <c r="AK90" s="3"/>
      <c r="AL90" s="3"/>
      <c r="AM90" s="3"/>
      <c r="AN90" s="3"/>
      <c r="AO90" s="3"/>
      <c r="AP90" s="3"/>
    </row>
    <row r="91" spans="1:42" ht="14.25" customHeight="1" x14ac:dyDescent="0.2">
      <c r="A91" s="118"/>
      <c r="B91" s="118"/>
      <c r="C91" s="118"/>
      <c r="D91" s="118"/>
      <c r="E91" s="118"/>
      <c r="F91" s="118"/>
      <c r="G91" s="118"/>
      <c r="H91" s="118"/>
      <c r="I91" s="118"/>
      <c r="J91" s="118"/>
      <c r="K91" s="118"/>
      <c r="L91" s="118"/>
      <c r="M91" s="118"/>
      <c r="N91" s="11"/>
      <c r="O91" s="5"/>
      <c r="P91" s="42"/>
      <c r="Q91" s="117"/>
      <c r="R91" s="3"/>
      <c r="S91" s="3"/>
      <c r="T91" s="3"/>
      <c r="U91" s="3"/>
      <c r="V91" s="3"/>
      <c r="W91" s="3"/>
      <c r="X91" s="3"/>
      <c r="Y91" s="3"/>
      <c r="Z91" s="3"/>
      <c r="AA91" s="3"/>
      <c r="AB91" s="3"/>
      <c r="AC91" s="3"/>
      <c r="AD91" s="3"/>
      <c r="AE91" s="3"/>
      <c r="AF91" s="3"/>
      <c r="AG91" s="3"/>
      <c r="AH91" s="3"/>
      <c r="AI91" s="3"/>
      <c r="AJ91" s="3"/>
      <c r="AK91" s="3"/>
      <c r="AL91" s="3"/>
      <c r="AM91" s="3"/>
      <c r="AN91" s="3"/>
      <c r="AO91" s="3"/>
      <c r="AP91" s="3"/>
    </row>
    <row r="92" spans="1:42" ht="14.25" customHeight="1" x14ac:dyDescent="0.2">
      <c r="A92" s="118"/>
      <c r="B92" s="118"/>
      <c r="C92" s="118"/>
      <c r="D92" s="118"/>
      <c r="E92" s="118"/>
      <c r="F92" s="118"/>
      <c r="G92" s="118"/>
      <c r="H92" s="118"/>
      <c r="I92" s="118"/>
      <c r="J92" s="118"/>
      <c r="K92" s="118"/>
      <c r="L92" s="118"/>
      <c r="M92" s="118"/>
      <c r="N92" s="11"/>
      <c r="O92" s="4"/>
      <c r="P92" s="42"/>
      <c r="Q92" s="116"/>
      <c r="R92" s="3"/>
      <c r="S92" s="3"/>
      <c r="T92" s="3"/>
      <c r="U92" s="3"/>
      <c r="V92" s="3"/>
      <c r="W92" s="3"/>
      <c r="X92" s="3"/>
      <c r="Y92" s="3"/>
      <c r="Z92" s="3"/>
      <c r="AA92" s="3"/>
      <c r="AB92" s="3"/>
      <c r="AC92" s="3"/>
      <c r="AD92" s="3"/>
      <c r="AE92" s="3"/>
      <c r="AF92" s="3"/>
      <c r="AG92" s="3"/>
      <c r="AH92" s="3"/>
      <c r="AI92" s="3"/>
      <c r="AJ92" s="3"/>
      <c r="AK92" s="3"/>
      <c r="AL92" s="3"/>
      <c r="AM92" s="3"/>
      <c r="AN92" s="3"/>
      <c r="AO92" s="3"/>
      <c r="AP92" s="3"/>
    </row>
    <row r="93" spans="1:42" ht="14.25" customHeight="1" x14ac:dyDescent="0.2">
      <c r="A93" s="118"/>
      <c r="B93" s="118"/>
      <c r="C93" s="118"/>
      <c r="D93" s="118"/>
      <c r="E93" s="118"/>
      <c r="F93" s="118"/>
      <c r="G93" s="118"/>
      <c r="H93" s="118"/>
      <c r="I93" s="118"/>
      <c r="J93" s="118"/>
      <c r="K93" s="118"/>
      <c r="L93" s="118"/>
      <c r="M93" s="118"/>
      <c r="N93" s="11"/>
      <c r="O93" s="4"/>
      <c r="P93" s="42"/>
      <c r="Q93" s="117"/>
      <c r="R93" s="3"/>
      <c r="S93" s="3"/>
      <c r="T93" s="3"/>
      <c r="U93" s="3"/>
      <c r="V93" s="3"/>
      <c r="W93" s="3"/>
      <c r="X93" s="3"/>
      <c r="Y93" s="3"/>
      <c r="Z93" s="3"/>
      <c r="AA93" s="3"/>
      <c r="AB93" s="3"/>
      <c r="AC93" s="3"/>
      <c r="AD93" s="3"/>
      <c r="AE93" s="3"/>
      <c r="AF93" s="3"/>
      <c r="AG93" s="3"/>
      <c r="AH93" s="3"/>
      <c r="AI93" s="3"/>
      <c r="AJ93" s="3"/>
      <c r="AK93" s="3"/>
      <c r="AL93" s="3"/>
      <c r="AM93" s="3"/>
      <c r="AN93" s="3"/>
      <c r="AO93" s="3"/>
      <c r="AP93" s="3"/>
    </row>
    <row r="94" spans="1:42" ht="14.25" customHeight="1" x14ac:dyDescent="0.2">
      <c r="A94" s="118"/>
      <c r="B94" s="118"/>
      <c r="C94" s="118"/>
      <c r="D94" s="118"/>
      <c r="E94" s="118"/>
      <c r="F94" s="118"/>
      <c r="G94" s="118"/>
      <c r="H94" s="118"/>
      <c r="I94" s="118"/>
      <c r="J94" s="118"/>
      <c r="K94" s="118"/>
      <c r="L94" s="118"/>
      <c r="M94" s="118"/>
      <c r="N94" s="11"/>
      <c r="O94" s="5"/>
      <c r="P94" s="42"/>
      <c r="Q94" s="116"/>
      <c r="R94" s="3"/>
      <c r="S94" s="3"/>
      <c r="T94" s="3"/>
      <c r="U94" s="3"/>
      <c r="V94" s="3"/>
      <c r="W94" s="3"/>
      <c r="X94" s="3"/>
      <c r="Y94" s="3"/>
      <c r="Z94" s="3"/>
      <c r="AA94" s="3"/>
      <c r="AB94" s="3"/>
      <c r="AC94" s="3"/>
      <c r="AD94" s="3"/>
      <c r="AE94" s="3"/>
      <c r="AF94" s="3"/>
      <c r="AG94" s="3"/>
      <c r="AH94" s="3"/>
      <c r="AI94" s="3"/>
      <c r="AJ94" s="3"/>
      <c r="AK94" s="3"/>
      <c r="AL94" s="3"/>
      <c r="AM94" s="3"/>
      <c r="AN94" s="3"/>
      <c r="AO94" s="3"/>
      <c r="AP94" s="3"/>
    </row>
    <row r="95" spans="1:42" ht="14.25" customHeight="1" x14ac:dyDescent="0.2">
      <c r="A95" s="118"/>
      <c r="B95" s="118"/>
      <c r="C95" s="118"/>
      <c r="D95" s="118"/>
      <c r="E95" s="118"/>
      <c r="F95" s="118"/>
      <c r="G95" s="118"/>
      <c r="H95" s="118"/>
      <c r="I95" s="118"/>
      <c r="J95" s="118"/>
      <c r="K95" s="118"/>
      <c r="L95" s="118"/>
      <c r="M95" s="118"/>
      <c r="N95" s="11"/>
      <c r="O95" s="5"/>
      <c r="P95" s="42"/>
      <c r="Q95" s="117"/>
      <c r="R95" s="3"/>
      <c r="S95" s="3"/>
      <c r="T95" s="3"/>
      <c r="U95" s="3"/>
      <c r="V95" s="3"/>
      <c r="W95" s="3"/>
      <c r="X95" s="3"/>
      <c r="Y95" s="3"/>
      <c r="Z95" s="3"/>
      <c r="AA95" s="3"/>
      <c r="AB95" s="3"/>
      <c r="AC95" s="3"/>
      <c r="AD95" s="3"/>
      <c r="AE95" s="3"/>
      <c r="AF95" s="3"/>
      <c r="AG95" s="3"/>
      <c r="AH95" s="3"/>
      <c r="AI95" s="3"/>
      <c r="AJ95" s="3"/>
      <c r="AK95" s="3"/>
      <c r="AL95" s="3"/>
      <c r="AM95" s="3"/>
      <c r="AN95" s="3"/>
      <c r="AO95" s="3"/>
      <c r="AP95" s="3"/>
    </row>
    <row r="96" spans="1:42" ht="14.25" customHeight="1" x14ac:dyDescent="0.2">
      <c r="A96" s="118"/>
      <c r="B96" s="118"/>
      <c r="C96" s="118"/>
      <c r="D96" s="118"/>
      <c r="E96" s="118"/>
      <c r="F96" s="118"/>
      <c r="G96" s="118"/>
      <c r="H96" s="118"/>
      <c r="I96" s="118"/>
      <c r="J96" s="118"/>
      <c r="K96" s="118"/>
      <c r="L96" s="118"/>
      <c r="M96" s="118"/>
      <c r="N96" s="11"/>
      <c r="O96" s="5"/>
      <c r="P96" s="42"/>
      <c r="Q96" s="116"/>
      <c r="R96" s="3"/>
      <c r="S96" s="3"/>
      <c r="T96" s="3"/>
      <c r="U96" s="3"/>
      <c r="V96" s="3"/>
      <c r="W96" s="3"/>
      <c r="X96" s="3"/>
      <c r="Y96" s="3"/>
      <c r="Z96" s="3"/>
      <c r="AA96" s="3"/>
      <c r="AB96" s="3"/>
      <c r="AC96" s="3"/>
      <c r="AD96" s="3"/>
      <c r="AE96" s="3"/>
      <c r="AF96" s="3"/>
      <c r="AG96" s="3"/>
      <c r="AH96" s="3"/>
      <c r="AI96" s="3"/>
      <c r="AJ96" s="3"/>
      <c r="AK96" s="3"/>
      <c r="AL96" s="3"/>
      <c r="AM96" s="3"/>
      <c r="AN96" s="3"/>
      <c r="AO96" s="3"/>
      <c r="AP96" s="3"/>
    </row>
    <row r="97" spans="1:42" ht="14.25" customHeight="1" x14ac:dyDescent="0.2">
      <c r="A97" s="118"/>
      <c r="B97" s="118"/>
      <c r="C97" s="118"/>
      <c r="D97" s="118"/>
      <c r="E97" s="118"/>
      <c r="F97" s="118"/>
      <c r="G97" s="118"/>
      <c r="H97" s="118"/>
      <c r="I97" s="118"/>
      <c r="J97" s="118"/>
      <c r="K97" s="118"/>
      <c r="L97" s="118"/>
      <c r="M97" s="118"/>
      <c r="N97" s="11"/>
      <c r="O97" s="5"/>
      <c r="P97" s="42"/>
      <c r="Q97" s="117"/>
      <c r="R97" s="3"/>
      <c r="S97" s="3"/>
      <c r="T97" s="3"/>
      <c r="U97" s="3"/>
      <c r="V97" s="3"/>
      <c r="W97" s="3"/>
      <c r="X97" s="3"/>
      <c r="Y97" s="3"/>
      <c r="Z97" s="3"/>
      <c r="AA97" s="3"/>
      <c r="AB97" s="3"/>
      <c r="AC97" s="3"/>
      <c r="AD97" s="3"/>
      <c r="AE97" s="3"/>
      <c r="AF97" s="3"/>
      <c r="AG97" s="3"/>
      <c r="AH97" s="3"/>
      <c r="AI97" s="3"/>
      <c r="AJ97" s="3"/>
      <c r="AK97" s="3"/>
      <c r="AL97" s="3"/>
      <c r="AM97" s="3"/>
      <c r="AN97" s="3"/>
      <c r="AO97" s="3"/>
      <c r="AP97" s="3"/>
    </row>
    <row r="98" spans="1:42" ht="14.25" customHeight="1" x14ac:dyDescent="0.2">
      <c r="A98" s="118"/>
      <c r="B98" s="118"/>
      <c r="C98" s="118"/>
      <c r="D98" s="118"/>
      <c r="E98" s="118"/>
      <c r="F98" s="118"/>
      <c r="G98" s="118"/>
      <c r="H98" s="118"/>
      <c r="I98" s="118"/>
      <c r="J98" s="118"/>
      <c r="K98" s="118"/>
      <c r="L98" s="118"/>
      <c r="M98" s="118"/>
      <c r="N98" s="11"/>
      <c r="O98" s="5"/>
      <c r="P98" s="42"/>
      <c r="Q98" s="116"/>
      <c r="R98" s="3"/>
      <c r="S98" s="3"/>
      <c r="T98" s="3"/>
      <c r="U98" s="3"/>
      <c r="V98" s="3"/>
      <c r="W98" s="3"/>
      <c r="X98" s="3"/>
      <c r="Y98" s="3"/>
      <c r="Z98" s="3"/>
      <c r="AA98" s="3"/>
      <c r="AB98" s="3"/>
      <c r="AC98" s="3"/>
      <c r="AD98" s="3"/>
      <c r="AE98" s="3"/>
      <c r="AF98" s="3"/>
      <c r="AG98" s="3"/>
      <c r="AH98" s="3"/>
      <c r="AI98" s="3"/>
      <c r="AJ98" s="3"/>
      <c r="AK98" s="3"/>
      <c r="AL98" s="3"/>
      <c r="AM98" s="3"/>
      <c r="AN98" s="3"/>
      <c r="AO98" s="3"/>
      <c r="AP98" s="3"/>
    </row>
    <row r="99" spans="1:42" ht="14.25" customHeight="1" x14ac:dyDescent="0.2">
      <c r="A99" s="118"/>
      <c r="B99" s="118"/>
      <c r="C99" s="118"/>
      <c r="D99" s="118"/>
      <c r="E99" s="118"/>
      <c r="F99" s="118"/>
      <c r="G99" s="118"/>
      <c r="H99" s="118"/>
      <c r="I99" s="118"/>
      <c r="J99" s="118"/>
      <c r="K99" s="118"/>
      <c r="L99" s="118"/>
      <c r="M99" s="118"/>
      <c r="N99" s="11"/>
      <c r="O99" s="5"/>
      <c r="P99" s="42"/>
      <c r="Q99" s="117"/>
      <c r="R99" s="3"/>
      <c r="S99" s="3"/>
      <c r="T99" s="3"/>
      <c r="U99" s="3"/>
      <c r="V99" s="3"/>
      <c r="W99" s="3"/>
      <c r="X99" s="3"/>
      <c r="Y99" s="3"/>
      <c r="Z99" s="3"/>
      <c r="AA99" s="3"/>
      <c r="AB99" s="3"/>
      <c r="AC99" s="3"/>
      <c r="AD99" s="3"/>
      <c r="AE99" s="3"/>
      <c r="AF99" s="3"/>
      <c r="AG99" s="3"/>
      <c r="AH99" s="3"/>
      <c r="AI99" s="3"/>
      <c r="AJ99" s="3"/>
      <c r="AK99" s="3"/>
      <c r="AL99" s="3"/>
      <c r="AM99" s="3"/>
      <c r="AN99" s="3"/>
      <c r="AO99" s="3"/>
      <c r="AP99" s="3"/>
    </row>
    <row r="100" spans="1:42" ht="14.25" customHeight="1" x14ac:dyDescent="0.2">
      <c r="A100" s="118"/>
      <c r="B100" s="118"/>
      <c r="C100" s="118"/>
      <c r="D100" s="118"/>
      <c r="E100" s="118"/>
      <c r="F100" s="118"/>
      <c r="G100" s="118"/>
      <c r="H100" s="118"/>
      <c r="I100" s="118"/>
      <c r="J100" s="118"/>
      <c r="K100" s="118"/>
      <c r="L100" s="118"/>
      <c r="M100" s="118"/>
      <c r="N100" s="11"/>
      <c r="O100" s="5"/>
      <c r="P100" s="42"/>
      <c r="Q100" s="116"/>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row>
    <row r="101" spans="1:42" ht="14.25" customHeight="1" x14ac:dyDescent="0.2">
      <c r="A101" s="118"/>
      <c r="B101" s="118"/>
      <c r="C101" s="118"/>
      <c r="D101" s="118"/>
      <c r="E101" s="118"/>
      <c r="F101" s="118"/>
      <c r="G101" s="118"/>
      <c r="H101" s="118"/>
      <c r="I101" s="118"/>
      <c r="J101" s="118"/>
      <c r="K101" s="118"/>
      <c r="L101" s="118"/>
      <c r="M101" s="118"/>
      <c r="N101" s="11"/>
      <c r="O101" s="5"/>
      <c r="P101" s="42"/>
      <c r="Q101" s="117"/>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row>
    <row r="102" spans="1:42" ht="14.25" customHeight="1" x14ac:dyDescent="0.2">
      <c r="A102" s="118"/>
      <c r="B102" s="118"/>
      <c r="C102" s="118"/>
      <c r="D102" s="118"/>
      <c r="E102" s="118"/>
      <c r="F102" s="118"/>
      <c r="G102" s="118"/>
      <c r="H102" s="118"/>
      <c r="I102" s="118"/>
      <c r="J102" s="118"/>
      <c r="K102" s="118"/>
      <c r="L102" s="118"/>
      <c r="M102" s="118"/>
      <c r="N102" s="3"/>
      <c r="O102" s="4"/>
      <c r="P102" s="42"/>
      <c r="Q102" s="116"/>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row>
    <row r="103" spans="1:42" ht="14.25" customHeight="1" x14ac:dyDescent="0.2">
      <c r="A103" s="118"/>
      <c r="B103" s="118"/>
      <c r="C103" s="118"/>
      <c r="D103" s="118"/>
      <c r="E103" s="118"/>
      <c r="F103" s="118"/>
      <c r="G103" s="118"/>
      <c r="H103" s="118"/>
      <c r="I103" s="118"/>
      <c r="J103" s="118"/>
      <c r="K103" s="118"/>
      <c r="L103" s="118"/>
      <c r="M103" s="118"/>
      <c r="N103" s="4"/>
      <c r="O103" s="4"/>
      <c r="P103" s="42"/>
      <c r="Q103" s="117"/>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row>
    <row r="104" spans="1:42" ht="14.25" customHeight="1" x14ac:dyDescent="0.2">
      <c r="A104" s="118"/>
      <c r="B104" s="118"/>
      <c r="C104" s="118"/>
      <c r="D104" s="118"/>
      <c r="E104" s="118"/>
      <c r="F104" s="118"/>
      <c r="G104" s="118"/>
      <c r="H104" s="118"/>
      <c r="I104" s="118"/>
      <c r="J104" s="118"/>
      <c r="K104" s="118"/>
      <c r="L104" s="118"/>
      <c r="M104" s="118"/>
      <c r="N104" s="4"/>
      <c r="O104" s="4"/>
      <c r="P104" s="42"/>
      <c r="Q104" s="116"/>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row>
    <row r="105" spans="1:42" ht="14.25" customHeight="1" x14ac:dyDescent="0.2">
      <c r="A105" s="118"/>
      <c r="B105" s="118"/>
      <c r="C105" s="118"/>
      <c r="D105" s="118"/>
      <c r="E105" s="118"/>
      <c r="F105" s="118"/>
      <c r="G105" s="118"/>
      <c r="H105" s="118"/>
      <c r="I105" s="118"/>
      <c r="J105" s="118"/>
      <c r="K105" s="118"/>
      <c r="L105" s="118"/>
      <c r="M105" s="118"/>
      <c r="N105" s="4"/>
      <c r="O105" s="4"/>
      <c r="P105" s="42"/>
      <c r="Q105" s="117"/>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row>
    <row r="106" spans="1:42" ht="14.25" customHeight="1" x14ac:dyDescent="0.2">
      <c r="A106" s="118"/>
      <c r="B106" s="118"/>
      <c r="C106" s="118"/>
      <c r="D106" s="118"/>
      <c r="E106" s="118"/>
      <c r="F106" s="118"/>
      <c r="G106" s="118"/>
      <c r="H106" s="118"/>
      <c r="I106" s="118"/>
      <c r="J106" s="118"/>
      <c r="K106" s="118"/>
      <c r="L106" s="118"/>
      <c r="M106" s="118"/>
      <c r="N106" s="4"/>
      <c r="O106" s="4"/>
      <c r="P106" s="42"/>
      <c r="Q106" s="116"/>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row>
    <row r="107" spans="1:42" ht="14.25" customHeight="1" x14ac:dyDescent="0.2">
      <c r="A107" s="118"/>
      <c r="B107" s="118"/>
      <c r="C107" s="118"/>
      <c r="D107" s="118"/>
      <c r="E107" s="118"/>
      <c r="F107" s="118"/>
      <c r="G107" s="118"/>
      <c r="H107" s="118"/>
      <c r="I107" s="118"/>
      <c r="J107" s="118"/>
      <c r="K107" s="118"/>
      <c r="L107" s="118"/>
      <c r="M107" s="118"/>
      <c r="N107" s="4"/>
      <c r="O107" s="4"/>
      <c r="P107" s="42"/>
      <c r="Q107" s="117"/>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row>
    <row r="108" spans="1:42" ht="14.25" customHeight="1" x14ac:dyDescent="0.2">
      <c r="A108" s="118"/>
      <c r="B108" s="118"/>
      <c r="C108" s="118"/>
      <c r="D108" s="118"/>
      <c r="E108" s="118"/>
      <c r="F108" s="118"/>
      <c r="G108" s="118"/>
      <c r="H108" s="118"/>
      <c r="I108" s="118"/>
      <c r="J108" s="118"/>
      <c r="K108" s="118"/>
      <c r="L108" s="118"/>
      <c r="M108" s="118"/>
      <c r="N108" s="4"/>
      <c r="O108" s="4"/>
      <c r="P108" s="42"/>
      <c r="Q108" s="116"/>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row>
    <row r="109" spans="1:42" ht="14.25" customHeight="1" x14ac:dyDescent="0.2">
      <c r="A109" s="118"/>
      <c r="B109" s="118"/>
      <c r="C109" s="118"/>
      <c r="D109" s="118"/>
      <c r="E109" s="118"/>
      <c r="F109" s="118"/>
      <c r="G109" s="118"/>
      <c r="H109" s="118"/>
      <c r="I109" s="118"/>
      <c r="J109" s="118"/>
      <c r="K109" s="118"/>
      <c r="L109" s="118"/>
      <c r="M109" s="118"/>
      <c r="N109" s="4"/>
      <c r="O109" s="4"/>
      <c r="P109" s="42"/>
      <c r="Q109" s="117"/>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row>
    <row r="110" spans="1:42" ht="14.25" customHeight="1" x14ac:dyDescent="0.2">
      <c r="A110" s="118"/>
      <c r="B110" s="118"/>
      <c r="C110" s="118"/>
      <c r="D110" s="118"/>
      <c r="E110" s="118"/>
      <c r="F110" s="118"/>
      <c r="G110" s="118"/>
      <c r="H110" s="118"/>
      <c r="I110" s="118"/>
      <c r="J110" s="118"/>
      <c r="K110" s="118"/>
      <c r="L110" s="118"/>
      <c r="M110" s="118"/>
      <c r="N110" s="4"/>
      <c r="O110" s="4"/>
      <c r="P110" s="42"/>
      <c r="Q110" s="116"/>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row>
    <row r="111" spans="1:42" ht="14.25" customHeight="1" x14ac:dyDescent="0.2">
      <c r="A111" s="118"/>
      <c r="B111" s="118"/>
      <c r="C111" s="118"/>
      <c r="D111" s="118"/>
      <c r="E111" s="118"/>
      <c r="F111" s="118"/>
      <c r="G111" s="118"/>
      <c r="H111" s="118"/>
      <c r="I111" s="118"/>
      <c r="J111" s="118"/>
      <c r="K111" s="118"/>
      <c r="L111" s="118"/>
      <c r="M111" s="118"/>
      <c r="N111" s="4"/>
      <c r="O111" s="4"/>
      <c r="P111" s="42"/>
      <c r="Q111" s="117"/>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row>
    <row r="112" spans="1:42" ht="14.25" customHeight="1" x14ac:dyDescent="0.2">
      <c r="A112" s="118"/>
      <c r="B112" s="118"/>
      <c r="C112" s="118"/>
      <c r="D112" s="118"/>
      <c r="E112" s="118"/>
      <c r="F112" s="118"/>
      <c r="G112" s="118"/>
      <c r="H112" s="118"/>
      <c r="I112" s="118"/>
      <c r="J112" s="118"/>
      <c r="K112" s="118"/>
      <c r="L112" s="118"/>
      <c r="M112" s="118"/>
      <c r="N112" s="4"/>
      <c r="O112" s="4"/>
      <c r="P112" s="42"/>
      <c r="Q112" s="116"/>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row>
    <row r="113" spans="1:42" ht="14.25" customHeight="1" x14ac:dyDescent="0.2">
      <c r="A113" s="118"/>
      <c r="B113" s="118"/>
      <c r="C113" s="118"/>
      <c r="D113" s="118"/>
      <c r="E113" s="118"/>
      <c r="F113" s="118"/>
      <c r="G113" s="118"/>
      <c r="H113" s="118"/>
      <c r="I113" s="118"/>
      <c r="J113" s="118"/>
      <c r="K113" s="118"/>
      <c r="L113" s="118"/>
      <c r="M113" s="118"/>
      <c r="N113" s="4"/>
      <c r="O113" s="4"/>
      <c r="P113" s="42"/>
      <c r="Q113" s="117"/>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row>
    <row r="114" spans="1:42" ht="14.25" customHeight="1" x14ac:dyDescent="0.2">
      <c r="A114" s="118"/>
      <c r="B114" s="118"/>
      <c r="C114" s="118"/>
      <c r="D114" s="118"/>
      <c r="E114" s="118"/>
      <c r="F114" s="118"/>
      <c r="G114" s="118"/>
      <c r="H114" s="118"/>
      <c r="I114" s="118"/>
      <c r="J114" s="118"/>
      <c r="K114" s="118"/>
      <c r="L114" s="118"/>
      <c r="M114" s="118"/>
      <c r="N114" s="4"/>
      <c r="O114" s="4"/>
      <c r="P114" s="42"/>
      <c r="Q114" s="116"/>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row>
    <row r="115" spans="1:42" ht="14.25" customHeight="1" x14ac:dyDescent="0.2">
      <c r="A115" s="118"/>
      <c r="B115" s="118"/>
      <c r="C115" s="118"/>
      <c r="D115" s="118"/>
      <c r="E115" s="118"/>
      <c r="F115" s="118"/>
      <c r="G115" s="118"/>
      <c r="H115" s="118"/>
      <c r="I115" s="118"/>
      <c r="J115" s="118"/>
      <c r="K115" s="118"/>
      <c r="L115" s="118"/>
      <c r="M115" s="118"/>
      <c r="N115" s="4"/>
      <c r="O115" s="4"/>
      <c r="P115" s="42"/>
      <c r="Q115" s="116"/>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row>
    <row r="116" spans="1:42" ht="14.25" customHeight="1" x14ac:dyDescent="0.2">
      <c r="A116" s="118"/>
      <c r="B116" s="118"/>
      <c r="C116" s="118"/>
      <c r="D116" s="118"/>
      <c r="E116" s="118"/>
      <c r="F116" s="118"/>
      <c r="G116" s="118"/>
      <c r="H116" s="118"/>
      <c r="I116" s="118"/>
      <c r="J116" s="118"/>
      <c r="K116" s="118"/>
      <c r="L116" s="118"/>
      <c r="M116" s="118"/>
      <c r="N116" s="4"/>
      <c r="O116" s="4"/>
      <c r="P116" s="42"/>
      <c r="Q116" s="117"/>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row>
    <row r="117" spans="1:42" ht="14.25" customHeight="1" x14ac:dyDescent="0.2">
      <c r="A117" s="118"/>
      <c r="B117" s="118"/>
      <c r="C117" s="118"/>
      <c r="D117" s="118"/>
      <c r="E117" s="118"/>
      <c r="F117" s="118"/>
      <c r="G117" s="118"/>
      <c r="H117" s="118"/>
      <c r="I117" s="118"/>
      <c r="J117" s="118"/>
      <c r="K117" s="118"/>
      <c r="L117" s="118"/>
      <c r="M117" s="118"/>
      <c r="N117" s="3"/>
      <c r="O117" s="4"/>
      <c r="P117" s="42"/>
      <c r="Q117" s="116"/>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row>
    <row r="118" spans="1:42" ht="14.25" customHeight="1" x14ac:dyDescent="0.2">
      <c r="A118" s="118"/>
      <c r="B118" s="118"/>
      <c r="C118" s="118"/>
      <c r="D118" s="118"/>
      <c r="E118" s="118"/>
      <c r="F118" s="118"/>
      <c r="G118" s="118"/>
      <c r="H118" s="118"/>
      <c r="I118" s="118"/>
      <c r="J118" s="118"/>
      <c r="K118" s="118"/>
      <c r="L118" s="118"/>
      <c r="M118" s="118"/>
      <c r="N118" s="4"/>
      <c r="O118" s="4"/>
      <c r="P118" s="42"/>
      <c r="Q118" s="117"/>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row>
    <row r="119" spans="1:42" ht="14.25" customHeight="1" x14ac:dyDescent="0.2">
      <c r="A119" s="118"/>
      <c r="B119" s="118"/>
      <c r="C119" s="118"/>
      <c r="D119" s="118"/>
      <c r="E119" s="118"/>
      <c r="F119" s="118"/>
      <c r="G119" s="118"/>
      <c r="H119" s="118"/>
      <c r="I119" s="118"/>
      <c r="J119" s="118"/>
      <c r="K119" s="118"/>
      <c r="L119" s="118"/>
      <c r="M119" s="118"/>
      <c r="N119" s="4"/>
      <c r="O119" s="4"/>
      <c r="P119" s="42"/>
      <c r="Q119" s="116"/>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row>
    <row r="120" spans="1:42" ht="14.25" customHeight="1" x14ac:dyDescent="0.2">
      <c r="A120" s="118"/>
      <c r="B120" s="118"/>
      <c r="C120" s="118"/>
      <c r="D120" s="118"/>
      <c r="E120" s="118"/>
      <c r="F120" s="118"/>
      <c r="G120" s="118"/>
      <c r="H120" s="118"/>
      <c r="I120" s="118"/>
      <c r="J120" s="118"/>
      <c r="K120" s="118"/>
      <c r="L120" s="118"/>
      <c r="M120" s="118"/>
      <c r="N120" s="3"/>
      <c r="O120" s="4"/>
      <c r="P120" s="42"/>
      <c r="Q120" s="117"/>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row>
    <row r="121" spans="1:42" ht="14.25" customHeight="1" x14ac:dyDescent="0.2">
      <c r="A121" s="118"/>
      <c r="B121" s="118"/>
      <c r="C121" s="118"/>
      <c r="D121" s="118"/>
      <c r="E121" s="118"/>
      <c r="F121" s="118"/>
      <c r="G121" s="118"/>
      <c r="H121" s="118"/>
      <c r="I121" s="118"/>
      <c r="J121" s="118"/>
      <c r="K121" s="118"/>
      <c r="L121" s="118"/>
      <c r="M121" s="118"/>
      <c r="N121" s="4"/>
      <c r="O121" s="4"/>
      <c r="P121" s="42"/>
      <c r="Q121" s="116"/>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row>
    <row r="122" spans="1:42" ht="14.25" customHeight="1" x14ac:dyDescent="0.2">
      <c r="A122" s="118"/>
      <c r="B122" s="118"/>
      <c r="C122" s="118"/>
      <c r="D122" s="118"/>
      <c r="E122" s="118"/>
      <c r="F122" s="118"/>
      <c r="G122" s="118"/>
      <c r="H122" s="118"/>
      <c r="I122" s="118"/>
      <c r="J122" s="118"/>
      <c r="K122" s="118"/>
      <c r="L122" s="118"/>
      <c r="M122" s="118"/>
      <c r="N122" s="4"/>
      <c r="O122" s="4"/>
      <c r="P122" s="42"/>
      <c r="Q122" s="117"/>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row>
    <row r="123" spans="1:42" ht="14.25" customHeight="1" x14ac:dyDescent="0.2">
      <c r="A123" s="118"/>
      <c r="B123" s="118"/>
      <c r="C123" s="118"/>
      <c r="D123" s="118"/>
      <c r="E123" s="118"/>
      <c r="F123" s="118"/>
      <c r="G123" s="118"/>
      <c r="H123" s="118"/>
      <c r="I123" s="118"/>
      <c r="J123" s="118"/>
      <c r="K123" s="118"/>
      <c r="L123" s="118"/>
      <c r="M123" s="118"/>
      <c r="N123" s="4"/>
      <c r="O123" s="4"/>
      <c r="P123" s="42"/>
      <c r="Q123" s="116"/>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row>
    <row r="124" spans="1:42" ht="14.25" customHeight="1" x14ac:dyDescent="0.2">
      <c r="A124" s="118"/>
      <c r="B124" s="118"/>
      <c r="C124" s="118"/>
      <c r="D124" s="118"/>
      <c r="E124" s="118"/>
      <c r="F124" s="118"/>
      <c r="G124" s="118"/>
      <c r="H124" s="118"/>
      <c r="I124" s="118"/>
      <c r="J124" s="118"/>
      <c r="K124" s="118"/>
      <c r="L124" s="118"/>
      <c r="M124" s="118"/>
      <c r="N124" s="4"/>
      <c r="O124" s="4"/>
      <c r="P124" s="42"/>
      <c r="Q124" s="117"/>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row>
    <row r="125" spans="1:42" ht="14.25" customHeight="1" x14ac:dyDescent="0.2">
      <c r="A125" s="118"/>
      <c r="B125" s="118"/>
      <c r="C125" s="118"/>
      <c r="D125" s="118"/>
      <c r="E125" s="118"/>
      <c r="F125" s="118"/>
      <c r="G125" s="118"/>
      <c r="H125" s="118"/>
      <c r="I125" s="118"/>
      <c r="J125" s="118"/>
      <c r="K125" s="118"/>
      <c r="L125" s="118"/>
      <c r="M125" s="118"/>
      <c r="N125" s="4"/>
      <c r="O125" s="4"/>
      <c r="P125" s="42"/>
      <c r="Q125" s="116"/>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row>
    <row r="126" spans="1:42" ht="14.25" customHeight="1" x14ac:dyDescent="0.2">
      <c r="A126" s="118"/>
      <c r="B126" s="118"/>
      <c r="C126" s="118"/>
      <c r="D126" s="118"/>
      <c r="E126" s="118"/>
      <c r="F126" s="118"/>
      <c r="G126" s="118"/>
      <c r="H126" s="118"/>
      <c r="I126" s="118"/>
      <c r="J126" s="118"/>
      <c r="K126" s="118"/>
      <c r="L126" s="118"/>
      <c r="M126" s="118"/>
      <c r="N126" s="4"/>
      <c r="O126" s="4"/>
      <c r="P126" s="42"/>
      <c r="Q126" s="117"/>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row>
    <row r="127" spans="1:42" ht="14.25" customHeight="1" x14ac:dyDescent="0.2">
      <c r="A127" s="118"/>
      <c r="B127" s="118"/>
      <c r="C127" s="118"/>
      <c r="D127" s="118"/>
      <c r="E127" s="118"/>
      <c r="F127" s="118"/>
      <c r="G127" s="118"/>
      <c r="H127" s="118"/>
      <c r="I127" s="118"/>
      <c r="J127" s="118"/>
      <c r="K127" s="118"/>
      <c r="L127" s="118"/>
      <c r="M127" s="118"/>
      <c r="N127" s="4"/>
      <c r="O127" s="4"/>
      <c r="P127" s="42"/>
      <c r="Q127" s="116"/>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row>
    <row r="128" spans="1:42" ht="14.25" customHeight="1" x14ac:dyDescent="0.2">
      <c r="A128" s="118"/>
      <c r="B128" s="118"/>
      <c r="C128" s="118"/>
      <c r="D128" s="118"/>
      <c r="E128" s="118"/>
      <c r="F128" s="118"/>
      <c r="G128" s="118"/>
      <c r="H128" s="118"/>
      <c r="I128" s="118"/>
      <c r="J128" s="118"/>
      <c r="K128" s="118"/>
      <c r="L128" s="118"/>
      <c r="M128" s="118"/>
      <c r="N128" s="4"/>
      <c r="O128" s="4"/>
      <c r="P128" s="42"/>
      <c r="Q128" s="117"/>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row>
    <row r="129" spans="1:42" ht="14.25" customHeight="1" x14ac:dyDescent="0.2">
      <c r="A129" s="118"/>
      <c r="B129" s="118"/>
      <c r="C129" s="118"/>
      <c r="D129" s="118"/>
      <c r="E129" s="118"/>
      <c r="F129" s="118"/>
      <c r="G129" s="118"/>
      <c r="H129" s="118"/>
      <c r="I129" s="118"/>
      <c r="J129" s="118"/>
      <c r="K129" s="118"/>
      <c r="L129" s="118"/>
      <c r="M129" s="118"/>
      <c r="N129" s="4"/>
      <c r="O129" s="4"/>
      <c r="P129" s="42"/>
      <c r="Q129" s="116"/>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row>
    <row r="130" spans="1:42" ht="14.25" customHeight="1" x14ac:dyDescent="0.2">
      <c r="A130" s="118"/>
      <c r="B130" s="118"/>
      <c r="C130" s="118"/>
      <c r="D130" s="118"/>
      <c r="E130" s="118"/>
      <c r="F130" s="118"/>
      <c r="G130" s="118"/>
      <c r="H130" s="118"/>
      <c r="I130" s="118"/>
      <c r="J130" s="118"/>
      <c r="K130" s="118"/>
      <c r="L130" s="118"/>
      <c r="M130" s="118"/>
      <c r="N130" s="4"/>
      <c r="O130" s="4"/>
      <c r="P130" s="42"/>
      <c r="Q130" s="117"/>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row>
    <row r="131" spans="1:42" ht="14.25" customHeight="1" x14ac:dyDescent="0.2">
      <c r="A131" s="118"/>
      <c r="B131" s="118"/>
      <c r="C131" s="118"/>
      <c r="D131" s="118"/>
      <c r="E131" s="118"/>
      <c r="F131" s="118"/>
      <c r="G131" s="118"/>
      <c r="H131" s="118"/>
      <c r="I131" s="118"/>
      <c r="J131" s="118"/>
      <c r="K131" s="118"/>
      <c r="L131" s="118"/>
      <c r="M131" s="118"/>
      <c r="N131" s="4"/>
      <c r="O131" s="4"/>
      <c r="P131" s="42"/>
      <c r="Q131" s="116"/>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row>
    <row r="132" spans="1:42" ht="14.25" customHeight="1" x14ac:dyDescent="0.2">
      <c r="A132" s="118"/>
      <c r="B132" s="118"/>
      <c r="C132" s="118"/>
      <c r="D132" s="118"/>
      <c r="E132" s="118"/>
      <c r="F132" s="118"/>
      <c r="G132" s="118"/>
      <c r="H132" s="118"/>
      <c r="I132" s="118"/>
      <c r="J132" s="118"/>
      <c r="K132" s="118"/>
      <c r="L132" s="118"/>
      <c r="M132" s="118"/>
      <c r="N132" s="4"/>
      <c r="O132" s="4"/>
      <c r="P132" s="42"/>
      <c r="Q132" s="117"/>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row>
    <row r="133" spans="1:42" ht="14.25" customHeight="1" x14ac:dyDescent="0.2">
      <c r="A133" s="118"/>
      <c r="B133" s="118"/>
      <c r="C133" s="118"/>
      <c r="D133" s="118"/>
      <c r="E133" s="118"/>
      <c r="F133" s="118"/>
      <c r="G133" s="118"/>
      <c r="H133" s="118"/>
      <c r="I133" s="118"/>
      <c r="J133" s="118"/>
      <c r="K133" s="118"/>
      <c r="L133" s="118"/>
      <c r="M133" s="118"/>
      <c r="N133" s="4"/>
      <c r="O133" s="4"/>
      <c r="P133" s="42"/>
      <c r="Q133" s="117"/>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row>
    <row r="134" spans="1:42" ht="14.25" customHeight="1" x14ac:dyDescent="0.2">
      <c r="A134" s="118"/>
      <c r="B134" s="118"/>
      <c r="C134" s="118"/>
      <c r="D134" s="118"/>
      <c r="E134" s="118"/>
      <c r="F134" s="118"/>
      <c r="G134" s="118"/>
      <c r="H134" s="118"/>
      <c r="I134" s="118"/>
      <c r="J134" s="118"/>
      <c r="K134" s="118"/>
      <c r="L134" s="118"/>
      <c r="M134" s="118"/>
      <c r="N134" s="4"/>
      <c r="O134" s="4"/>
      <c r="P134" s="42"/>
      <c r="Q134" s="116"/>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row>
    <row r="135" spans="1:42" ht="14.25" customHeight="1" x14ac:dyDescent="0.2">
      <c r="A135" s="118"/>
      <c r="B135" s="118"/>
      <c r="C135" s="118"/>
      <c r="D135" s="118"/>
      <c r="E135" s="118"/>
      <c r="F135" s="118"/>
      <c r="G135" s="118"/>
      <c r="H135" s="118"/>
      <c r="I135" s="118"/>
      <c r="J135" s="118"/>
      <c r="K135" s="118"/>
      <c r="L135" s="118"/>
      <c r="M135" s="118"/>
      <c r="N135" s="4"/>
      <c r="O135" s="4"/>
      <c r="P135" s="42"/>
      <c r="Q135" s="117"/>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row>
    <row r="136" spans="1:42" ht="14.25" customHeight="1" x14ac:dyDescent="0.2">
      <c r="A136" s="118"/>
      <c r="B136" s="118"/>
      <c r="C136" s="118"/>
      <c r="D136" s="118"/>
      <c r="E136" s="118"/>
      <c r="F136" s="118"/>
      <c r="G136" s="118"/>
      <c r="H136" s="118"/>
      <c r="I136" s="118"/>
      <c r="J136" s="118"/>
      <c r="K136" s="118"/>
      <c r="L136" s="118"/>
      <c r="M136" s="118"/>
      <c r="N136" s="4"/>
      <c r="O136" s="4"/>
      <c r="P136" s="42"/>
      <c r="Q136" s="116"/>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row>
    <row r="137" spans="1:42" ht="14.25" customHeight="1" x14ac:dyDescent="0.2">
      <c r="A137" s="118"/>
      <c r="B137" s="118"/>
      <c r="C137" s="118"/>
      <c r="D137" s="118"/>
      <c r="E137" s="118"/>
      <c r="F137" s="118"/>
      <c r="G137" s="118"/>
      <c r="H137" s="118"/>
      <c r="I137" s="118"/>
      <c r="J137" s="118"/>
      <c r="K137" s="118"/>
      <c r="L137" s="118"/>
      <c r="M137" s="118"/>
      <c r="N137" s="4"/>
      <c r="O137" s="4"/>
      <c r="P137" s="42"/>
      <c r="Q137" s="117"/>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row>
    <row r="138" spans="1:42" ht="14.25" customHeight="1" x14ac:dyDescent="0.2">
      <c r="A138" s="118"/>
      <c r="B138" s="118"/>
      <c r="C138" s="118"/>
      <c r="D138" s="118"/>
      <c r="E138" s="118"/>
      <c r="F138" s="118"/>
      <c r="G138" s="118"/>
      <c r="H138" s="118"/>
      <c r="I138" s="118"/>
      <c r="J138" s="118"/>
      <c r="K138" s="118"/>
      <c r="L138" s="118"/>
      <c r="M138" s="118"/>
      <c r="N138" s="4"/>
      <c r="O138" s="4"/>
      <c r="P138" s="42"/>
      <c r="Q138" s="116"/>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row>
    <row r="139" spans="1:42" ht="14.25" customHeight="1" x14ac:dyDescent="0.2">
      <c r="A139" s="118"/>
      <c r="B139" s="118"/>
      <c r="C139" s="118"/>
      <c r="D139" s="118"/>
      <c r="E139" s="118"/>
      <c r="F139" s="118"/>
      <c r="G139" s="118"/>
      <c r="H139" s="118"/>
      <c r="I139" s="118"/>
      <c r="J139" s="118"/>
      <c r="K139" s="118"/>
      <c r="L139" s="118"/>
      <c r="M139" s="118"/>
      <c r="N139" s="3"/>
      <c r="O139" s="4"/>
      <c r="P139" s="42"/>
      <c r="Q139" s="117"/>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row>
    <row r="140" spans="1:42" ht="14.25" customHeight="1" x14ac:dyDescent="0.2">
      <c r="A140" s="118"/>
      <c r="B140" s="118"/>
      <c r="C140" s="118"/>
      <c r="D140" s="118"/>
      <c r="E140" s="118"/>
      <c r="F140" s="118"/>
      <c r="G140" s="118"/>
      <c r="H140" s="118"/>
      <c r="I140" s="118"/>
      <c r="J140" s="118"/>
      <c r="K140" s="118"/>
      <c r="L140" s="118"/>
      <c r="M140" s="118"/>
      <c r="N140" s="3"/>
      <c r="O140" s="4"/>
      <c r="P140" s="42"/>
      <c r="Q140" s="116"/>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row>
    <row r="141" spans="1:42" ht="14.25" customHeight="1" x14ac:dyDescent="0.2">
      <c r="A141" s="118"/>
      <c r="B141" s="118"/>
      <c r="C141" s="118"/>
      <c r="D141" s="118"/>
      <c r="E141" s="118"/>
      <c r="F141" s="118"/>
      <c r="G141" s="118"/>
      <c r="H141" s="118"/>
      <c r="I141" s="118"/>
      <c r="J141" s="118"/>
      <c r="K141" s="118"/>
      <c r="L141" s="118"/>
      <c r="M141" s="118"/>
      <c r="N141" s="4"/>
      <c r="O141" s="4"/>
      <c r="P141" s="42"/>
      <c r="Q141" s="117"/>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row>
    <row r="142" spans="1:42" ht="14.25" customHeight="1" x14ac:dyDescent="0.2">
      <c r="A142" s="118"/>
      <c r="B142" s="118"/>
      <c r="C142" s="118"/>
      <c r="D142" s="118"/>
      <c r="E142" s="118"/>
      <c r="F142" s="118"/>
      <c r="G142" s="118"/>
      <c r="H142" s="118"/>
      <c r="I142" s="118"/>
      <c r="J142" s="118"/>
      <c r="K142" s="118"/>
      <c r="L142" s="118"/>
      <c r="M142" s="118"/>
      <c r="N142" s="4"/>
      <c r="O142" s="4"/>
      <c r="P142" s="42"/>
      <c r="Q142" s="116"/>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row>
    <row r="143" spans="1:42" ht="14.25" customHeight="1" x14ac:dyDescent="0.2">
      <c r="A143" s="118"/>
      <c r="B143" s="118"/>
      <c r="C143" s="118"/>
      <c r="D143" s="118"/>
      <c r="E143" s="118"/>
      <c r="F143" s="118"/>
      <c r="G143" s="118"/>
      <c r="H143" s="118"/>
      <c r="I143" s="118"/>
      <c r="J143" s="118"/>
      <c r="K143" s="118"/>
      <c r="L143" s="118"/>
      <c r="M143" s="118"/>
      <c r="N143" s="3"/>
      <c r="O143" s="4"/>
      <c r="P143" s="42"/>
      <c r="Q143" s="117"/>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row>
    <row r="144" spans="1:42" ht="14.25" customHeight="1" x14ac:dyDescent="0.2">
      <c r="A144" s="118"/>
      <c r="B144" s="118"/>
      <c r="C144" s="118"/>
      <c r="D144" s="118"/>
      <c r="E144" s="118"/>
      <c r="F144" s="118"/>
      <c r="G144" s="118"/>
      <c r="H144" s="118"/>
      <c r="I144" s="118"/>
      <c r="J144" s="118"/>
      <c r="K144" s="118"/>
      <c r="L144" s="118"/>
      <c r="M144" s="118"/>
      <c r="N144" s="4"/>
      <c r="O144" s="4"/>
      <c r="P144" s="42"/>
      <c r="Q144" s="116"/>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row>
    <row r="145" spans="1:42" ht="14.25" customHeight="1" x14ac:dyDescent="0.2">
      <c r="A145" s="118"/>
      <c r="B145" s="118"/>
      <c r="C145" s="118"/>
      <c r="D145" s="118"/>
      <c r="E145" s="118"/>
      <c r="F145" s="118"/>
      <c r="G145" s="118"/>
      <c r="H145" s="118"/>
      <c r="I145" s="118"/>
      <c r="J145" s="118"/>
      <c r="K145" s="118"/>
      <c r="L145" s="118"/>
      <c r="M145" s="118"/>
      <c r="N145" s="4"/>
      <c r="O145" s="4"/>
      <c r="P145" s="42"/>
      <c r="Q145" s="117"/>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row>
    <row r="146" spans="1:42" ht="14.25" customHeight="1" x14ac:dyDescent="0.2">
      <c r="A146" s="118"/>
      <c r="B146" s="118"/>
      <c r="C146" s="118"/>
      <c r="D146" s="118"/>
      <c r="E146" s="118"/>
      <c r="F146" s="118"/>
      <c r="G146" s="118"/>
      <c r="H146" s="118"/>
      <c r="I146" s="118"/>
      <c r="J146" s="118"/>
      <c r="K146" s="118"/>
      <c r="L146" s="118"/>
      <c r="M146" s="118"/>
      <c r="N146" s="4"/>
      <c r="O146" s="4"/>
      <c r="P146" s="42"/>
      <c r="Q146" s="116"/>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row>
    <row r="147" spans="1:42" ht="14.25" customHeight="1" x14ac:dyDescent="0.2">
      <c r="A147" s="118"/>
      <c r="B147" s="118"/>
      <c r="C147" s="118"/>
      <c r="D147" s="118"/>
      <c r="E147" s="118"/>
      <c r="F147" s="118"/>
      <c r="G147" s="118"/>
      <c r="H147" s="118"/>
      <c r="I147" s="118"/>
      <c r="J147" s="118"/>
      <c r="K147" s="118"/>
      <c r="L147" s="118"/>
      <c r="M147" s="118"/>
      <c r="N147" s="4"/>
      <c r="O147" s="4"/>
      <c r="P147" s="42"/>
      <c r="Q147" s="117"/>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row>
    <row r="148" spans="1:42" ht="14.25" customHeight="1" x14ac:dyDescent="0.2">
      <c r="A148" s="118"/>
      <c r="B148" s="118"/>
      <c r="C148" s="118"/>
      <c r="D148" s="118"/>
      <c r="E148" s="118"/>
      <c r="F148" s="118"/>
      <c r="G148" s="118"/>
      <c r="H148" s="118"/>
      <c r="I148" s="118"/>
      <c r="J148" s="118"/>
      <c r="K148" s="118"/>
      <c r="L148" s="118"/>
      <c r="M148" s="118"/>
      <c r="N148" s="4"/>
      <c r="O148" s="4"/>
      <c r="P148" s="42"/>
      <c r="Q148" s="116"/>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row>
    <row r="149" spans="1:42" ht="14.25" customHeight="1" x14ac:dyDescent="0.2">
      <c r="A149" s="118"/>
      <c r="B149" s="118"/>
      <c r="C149" s="118"/>
      <c r="D149" s="118"/>
      <c r="E149" s="118"/>
      <c r="F149" s="118"/>
      <c r="G149" s="118"/>
      <c r="H149" s="118"/>
      <c r="I149" s="118"/>
      <c r="J149" s="118"/>
      <c r="K149" s="118"/>
      <c r="L149" s="118"/>
      <c r="M149" s="118"/>
      <c r="N149" s="3"/>
      <c r="O149" s="4"/>
      <c r="P149" s="42"/>
      <c r="Q149" s="117"/>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row>
    <row r="150" spans="1:42" ht="14.25" customHeight="1" x14ac:dyDescent="0.2">
      <c r="A150" s="118"/>
      <c r="B150" s="118"/>
      <c r="C150" s="118"/>
      <c r="D150" s="118"/>
      <c r="E150" s="118"/>
      <c r="F150" s="118"/>
      <c r="G150" s="118"/>
      <c r="H150" s="118"/>
      <c r="I150" s="118"/>
      <c r="J150" s="118"/>
      <c r="K150" s="118"/>
      <c r="L150" s="118"/>
      <c r="M150" s="118"/>
      <c r="N150" s="4"/>
      <c r="O150" s="4"/>
      <c r="P150" s="42"/>
      <c r="Q150" s="116"/>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row>
    <row r="151" spans="1:42" ht="14.25" customHeight="1" x14ac:dyDescent="0.2">
      <c r="A151" s="118"/>
      <c r="B151" s="118"/>
      <c r="C151" s="118"/>
      <c r="D151" s="118"/>
      <c r="E151" s="118"/>
      <c r="F151" s="118"/>
      <c r="G151" s="118"/>
      <c r="H151" s="118"/>
      <c r="I151" s="118"/>
      <c r="J151" s="118"/>
      <c r="K151" s="118"/>
      <c r="L151" s="118"/>
      <c r="M151" s="118"/>
      <c r="N151" s="4"/>
      <c r="O151" s="4"/>
      <c r="P151" s="42"/>
      <c r="Q151" s="117"/>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row>
    <row r="152" spans="1:42" ht="14.25" customHeight="1" x14ac:dyDescent="0.2">
      <c r="A152" s="118"/>
      <c r="B152" s="118"/>
      <c r="C152" s="118"/>
      <c r="D152" s="118"/>
      <c r="E152" s="118"/>
      <c r="F152" s="118"/>
      <c r="G152" s="118"/>
      <c r="H152" s="118"/>
      <c r="I152" s="118"/>
      <c r="J152" s="118"/>
      <c r="K152" s="118"/>
      <c r="L152" s="118"/>
      <c r="M152" s="118"/>
      <c r="N152" s="4"/>
      <c r="O152" s="4"/>
      <c r="P152" s="42"/>
      <c r="Q152" s="116"/>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row>
    <row r="153" spans="1:42" ht="14.25" customHeight="1" x14ac:dyDescent="0.2">
      <c r="A153" s="118"/>
      <c r="B153" s="118"/>
      <c r="C153" s="118"/>
      <c r="D153" s="118"/>
      <c r="E153" s="118"/>
      <c r="F153" s="118"/>
      <c r="G153" s="118"/>
      <c r="H153" s="118"/>
      <c r="I153" s="118"/>
      <c r="J153" s="118"/>
      <c r="K153" s="118"/>
      <c r="L153" s="118"/>
      <c r="M153" s="118"/>
      <c r="N153" s="4"/>
      <c r="O153" s="4"/>
      <c r="P153" s="42"/>
      <c r="Q153" s="117"/>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row>
    <row r="154" spans="1:42" ht="14.25" customHeight="1" x14ac:dyDescent="0.2">
      <c r="A154" s="118"/>
      <c r="B154" s="118"/>
      <c r="C154" s="118"/>
      <c r="D154" s="118"/>
      <c r="E154" s="118"/>
      <c r="F154" s="118"/>
      <c r="G154" s="118"/>
      <c r="H154" s="118"/>
      <c r="I154" s="118"/>
      <c r="J154" s="118"/>
      <c r="K154" s="118"/>
      <c r="L154" s="118"/>
      <c r="M154" s="118"/>
      <c r="N154" s="4"/>
      <c r="O154" s="4"/>
      <c r="P154" s="42"/>
      <c r="Q154" s="116"/>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row>
    <row r="155" spans="1:42" ht="14.25" customHeight="1" x14ac:dyDescent="0.2">
      <c r="A155" s="118"/>
      <c r="B155" s="118"/>
      <c r="C155" s="118"/>
      <c r="D155" s="118"/>
      <c r="E155" s="118"/>
      <c r="F155" s="118"/>
      <c r="G155" s="118"/>
      <c r="H155" s="118"/>
      <c r="I155" s="118"/>
      <c r="J155" s="118"/>
      <c r="K155" s="118"/>
      <c r="L155" s="118"/>
      <c r="M155" s="118"/>
      <c r="N155" s="4"/>
      <c r="O155" s="4"/>
      <c r="P155" s="42"/>
      <c r="Q155" s="117"/>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row>
    <row r="156" spans="1:42" ht="14.25" customHeight="1" x14ac:dyDescent="0.2">
      <c r="A156" s="118"/>
      <c r="B156" s="118"/>
      <c r="C156" s="118"/>
      <c r="D156" s="118"/>
      <c r="E156" s="118"/>
      <c r="F156" s="118"/>
      <c r="G156" s="118"/>
      <c r="H156" s="118"/>
      <c r="I156" s="118"/>
      <c r="J156" s="118"/>
      <c r="K156" s="118"/>
      <c r="L156" s="118"/>
      <c r="M156" s="118"/>
      <c r="N156" s="4"/>
      <c r="O156" s="4"/>
      <c r="P156" s="42"/>
      <c r="Q156" s="116"/>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row>
    <row r="157" spans="1:42" ht="14.25" customHeight="1" x14ac:dyDescent="0.2">
      <c r="A157" s="118"/>
      <c r="B157" s="118"/>
      <c r="C157" s="118"/>
      <c r="D157" s="118"/>
      <c r="E157" s="118"/>
      <c r="F157" s="118"/>
      <c r="G157" s="118"/>
      <c r="H157" s="118"/>
      <c r="I157" s="118"/>
      <c r="J157" s="118"/>
      <c r="K157" s="118"/>
      <c r="L157" s="118"/>
      <c r="M157" s="118"/>
      <c r="N157" s="4"/>
      <c r="O157" s="4"/>
      <c r="P157" s="42"/>
      <c r="Q157" s="117"/>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row>
    <row r="158" spans="1:42" ht="14.25" customHeight="1" x14ac:dyDescent="0.2">
      <c r="A158" s="118"/>
      <c r="B158" s="118"/>
      <c r="C158" s="118"/>
      <c r="D158" s="118"/>
      <c r="E158" s="118"/>
      <c r="F158" s="118"/>
      <c r="G158" s="118"/>
      <c r="H158" s="118"/>
      <c r="I158" s="118"/>
      <c r="J158" s="118"/>
      <c r="K158" s="118"/>
      <c r="L158" s="118"/>
      <c r="M158" s="118"/>
      <c r="N158" s="4"/>
      <c r="O158" s="4"/>
      <c r="P158" s="42"/>
      <c r="Q158" s="116"/>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row>
    <row r="159" spans="1:42" ht="14.25" customHeight="1" x14ac:dyDescent="0.2">
      <c r="A159" s="118"/>
      <c r="B159" s="118"/>
      <c r="C159" s="118"/>
      <c r="D159" s="118"/>
      <c r="E159" s="118"/>
      <c r="F159" s="118"/>
      <c r="G159" s="118"/>
      <c r="H159" s="118"/>
      <c r="I159" s="118"/>
      <c r="J159" s="118"/>
      <c r="K159" s="118"/>
      <c r="L159" s="118"/>
      <c r="M159" s="118"/>
      <c r="N159" s="3"/>
      <c r="O159" s="4"/>
      <c r="P159" s="42"/>
      <c r="Q159" s="117"/>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row>
    <row r="160" spans="1:42" ht="14.25" customHeight="1" x14ac:dyDescent="0.2">
      <c r="A160" s="118"/>
      <c r="B160" s="118"/>
      <c r="C160" s="118"/>
      <c r="D160" s="118"/>
      <c r="E160" s="118"/>
      <c r="F160" s="118"/>
      <c r="G160" s="118"/>
      <c r="H160" s="118"/>
      <c r="I160" s="118"/>
      <c r="J160" s="118"/>
      <c r="K160" s="118"/>
      <c r="L160" s="118"/>
      <c r="M160" s="118"/>
      <c r="N160" s="3"/>
      <c r="O160" s="4"/>
      <c r="P160" s="42"/>
      <c r="Q160" s="116"/>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row>
    <row r="161" spans="1:42" ht="14.25" customHeight="1" x14ac:dyDescent="0.2">
      <c r="A161" s="118"/>
      <c r="B161" s="118"/>
      <c r="C161" s="118"/>
      <c r="D161" s="118"/>
      <c r="E161" s="118"/>
      <c r="F161" s="118"/>
      <c r="G161" s="118"/>
      <c r="H161" s="118"/>
      <c r="I161" s="118"/>
      <c r="J161" s="118"/>
      <c r="K161" s="118"/>
      <c r="L161" s="118"/>
      <c r="M161" s="118"/>
      <c r="N161" s="4"/>
      <c r="O161" s="4"/>
      <c r="P161" s="42"/>
      <c r="Q161" s="117"/>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row>
    <row r="162" spans="1:42" ht="14.25" customHeight="1" x14ac:dyDescent="0.2">
      <c r="A162" s="118"/>
      <c r="B162" s="118"/>
      <c r="C162" s="118"/>
      <c r="D162" s="118"/>
      <c r="E162" s="118"/>
      <c r="F162" s="118"/>
      <c r="G162" s="118"/>
      <c r="H162" s="118"/>
      <c r="I162" s="118"/>
      <c r="J162" s="118"/>
      <c r="K162" s="118"/>
      <c r="L162" s="118"/>
      <c r="M162" s="118"/>
      <c r="N162" s="3"/>
      <c r="O162" s="4"/>
      <c r="P162" s="42"/>
      <c r="Q162" s="116"/>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row>
    <row r="163" spans="1:42" ht="14.25" customHeight="1" x14ac:dyDescent="0.2">
      <c r="A163" s="118"/>
      <c r="B163" s="118"/>
      <c r="C163" s="118"/>
      <c r="D163" s="118"/>
      <c r="E163" s="118"/>
      <c r="F163" s="118"/>
      <c r="G163" s="118"/>
      <c r="H163" s="118"/>
      <c r="I163" s="118"/>
      <c r="J163" s="118"/>
      <c r="K163" s="118"/>
      <c r="L163" s="118"/>
      <c r="M163" s="118"/>
      <c r="N163" s="4"/>
      <c r="O163" s="4"/>
      <c r="P163" s="42"/>
      <c r="Q163" s="117"/>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row>
    <row r="164" spans="1:42" ht="14.25" customHeight="1" x14ac:dyDescent="0.2">
      <c r="A164" s="118"/>
      <c r="B164" s="118"/>
      <c r="C164" s="118"/>
      <c r="D164" s="118"/>
      <c r="E164" s="118"/>
      <c r="F164" s="118"/>
      <c r="G164" s="118"/>
      <c r="H164" s="118"/>
      <c r="I164" s="118"/>
      <c r="J164" s="118"/>
      <c r="K164" s="118"/>
      <c r="L164" s="118"/>
      <c r="M164" s="118"/>
      <c r="N164" s="4"/>
      <c r="O164" s="4"/>
      <c r="P164" s="42"/>
      <c r="Q164" s="116"/>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row>
    <row r="165" spans="1:42" ht="14.25" customHeight="1" x14ac:dyDescent="0.2">
      <c r="A165" s="118"/>
      <c r="B165" s="118"/>
      <c r="C165" s="118"/>
      <c r="D165" s="118"/>
      <c r="E165" s="118"/>
      <c r="F165" s="118"/>
      <c r="G165" s="118"/>
      <c r="H165" s="118"/>
      <c r="I165" s="118"/>
      <c r="J165" s="118"/>
      <c r="K165" s="118"/>
      <c r="L165" s="118"/>
      <c r="M165" s="118"/>
      <c r="N165" s="3"/>
      <c r="O165" s="4"/>
      <c r="P165" s="42"/>
      <c r="Q165" s="116"/>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row>
    <row r="166" spans="1:42" ht="14.25" customHeight="1" x14ac:dyDescent="0.2">
      <c r="A166" s="118"/>
      <c r="B166" s="118"/>
      <c r="C166" s="118"/>
      <c r="D166" s="118"/>
      <c r="E166" s="118"/>
      <c r="F166" s="118"/>
      <c r="G166" s="118"/>
      <c r="H166" s="118"/>
      <c r="I166" s="118"/>
      <c r="J166" s="118"/>
      <c r="K166" s="118"/>
      <c r="L166" s="118"/>
      <c r="M166" s="118"/>
      <c r="N166" s="4"/>
      <c r="O166" s="4"/>
      <c r="P166" s="42"/>
      <c r="Q166" s="117"/>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row>
    <row r="167" spans="1:42" ht="14.25" customHeight="1" x14ac:dyDescent="0.2">
      <c r="A167" s="118"/>
      <c r="B167" s="118"/>
      <c r="C167" s="118"/>
      <c r="D167" s="118"/>
      <c r="E167" s="118"/>
      <c r="F167" s="118"/>
      <c r="G167" s="118"/>
      <c r="H167" s="118"/>
      <c r="I167" s="118"/>
      <c r="J167" s="118"/>
      <c r="K167" s="118"/>
      <c r="L167" s="118"/>
      <c r="M167" s="118"/>
      <c r="N167" s="4"/>
      <c r="O167" s="4"/>
      <c r="P167" s="42"/>
      <c r="Q167" s="116"/>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row>
    <row r="168" spans="1:42" ht="14.25" customHeight="1" x14ac:dyDescent="0.2">
      <c r="A168" s="118"/>
      <c r="B168" s="118"/>
      <c r="C168" s="118"/>
      <c r="D168" s="118"/>
      <c r="E168" s="118"/>
      <c r="F168" s="118"/>
      <c r="G168" s="118"/>
      <c r="H168" s="118"/>
      <c r="I168" s="118"/>
      <c r="J168" s="118"/>
      <c r="K168" s="118"/>
      <c r="L168" s="118"/>
      <c r="M168" s="118"/>
      <c r="N168" s="4"/>
      <c r="O168" s="4"/>
      <c r="P168" s="42"/>
      <c r="Q168" s="117"/>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row>
    <row r="169" spans="1:42" ht="14.25" customHeight="1" x14ac:dyDescent="0.2">
      <c r="A169" s="118"/>
      <c r="B169" s="118"/>
      <c r="C169" s="118"/>
      <c r="D169" s="118"/>
      <c r="E169" s="118"/>
      <c r="F169" s="118"/>
      <c r="G169" s="118"/>
      <c r="H169" s="118"/>
      <c r="I169" s="118"/>
      <c r="J169" s="118"/>
      <c r="K169" s="118"/>
      <c r="L169" s="118"/>
      <c r="M169" s="118"/>
      <c r="N169" s="3"/>
      <c r="O169" s="4"/>
      <c r="P169" s="42"/>
      <c r="Q169" s="116"/>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row>
    <row r="170" spans="1:42" ht="14.25" customHeight="1" x14ac:dyDescent="0.2">
      <c r="A170" s="118"/>
      <c r="B170" s="118"/>
      <c r="C170" s="118"/>
      <c r="D170" s="118"/>
      <c r="E170" s="118"/>
      <c r="F170" s="118"/>
      <c r="G170" s="118"/>
      <c r="H170" s="118"/>
      <c r="I170" s="118"/>
      <c r="J170" s="118"/>
      <c r="K170" s="118"/>
      <c r="L170" s="118"/>
      <c r="M170" s="118"/>
      <c r="N170" s="4"/>
      <c r="O170" s="4"/>
      <c r="P170" s="42"/>
      <c r="Q170" s="117"/>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row>
    <row r="171" spans="1:42" ht="14.25" customHeight="1" x14ac:dyDescent="0.2">
      <c r="A171" s="118"/>
      <c r="B171" s="118"/>
      <c r="C171" s="118"/>
      <c r="D171" s="118"/>
      <c r="E171" s="118"/>
      <c r="F171" s="118"/>
      <c r="G171" s="118"/>
      <c r="H171" s="118"/>
      <c r="I171" s="118"/>
      <c r="J171" s="118"/>
      <c r="K171" s="118"/>
      <c r="L171" s="118"/>
      <c r="M171" s="118"/>
      <c r="N171" s="4"/>
      <c r="O171" s="4"/>
      <c r="P171" s="42"/>
      <c r="Q171" s="116"/>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row>
    <row r="172" spans="1:42" ht="14.25" customHeight="1" x14ac:dyDescent="0.2">
      <c r="A172" s="118"/>
      <c r="B172" s="118"/>
      <c r="C172" s="118"/>
      <c r="D172" s="118"/>
      <c r="E172" s="118"/>
      <c r="F172" s="118"/>
      <c r="G172" s="118"/>
      <c r="H172" s="118"/>
      <c r="I172" s="118"/>
      <c r="J172" s="118"/>
      <c r="K172" s="118"/>
      <c r="L172" s="118"/>
      <c r="M172" s="118"/>
      <c r="N172" s="3"/>
      <c r="O172" s="4"/>
      <c r="P172" s="42"/>
      <c r="Q172" s="117"/>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row>
    <row r="173" spans="1:42" ht="14.25" customHeight="1" x14ac:dyDescent="0.2">
      <c r="A173" s="118"/>
      <c r="B173" s="118"/>
      <c r="C173" s="118"/>
      <c r="D173" s="118"/>
      <c r="E173" s="118"/>
      <c r="F173" s="118"/>
      <c r="G173" s="118"/>
      <c r="H173" s="118"/>
      <c r="I173" s="118"/>
      <c r="J173" s="118"/>
      <c r="K173" s="118"/>
      <c r="L173" s="118"/>
      <c r="M173" s="118"/>
      <c r="N173" s="4"/>
      <c r="O173" s="4"/>
      <c r="P173" s="42"/>
      <c r="Q173" s="116"/>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row>
    <row r="174" spans="1:42" ht="14.25" customHeight="1" x14ac:dyDescent="0.2">
      <c r="A174" s="118"/>
      <c r="B174" s="118"/>
      <c r="C174" s="118"/>
      <c r="D174" s="118"/>
      <c r="E174" s="118"/>
      <c r="F174" s="118"/>
      <c r="G174" s="118"/>
      <c r="H174" s="118"/>
      <c r="I174" s="118"/>
      <c r="J174" s="118"/>
      <c r="K174" s="118"/>
      <c r="L174" s="118"/>
      <c r="M174" s="118"/>
      <c r="N174" s="4"/>
      <c r="O174" s="4"/>
      <c r="P174" s="42"/>
      <c r="Q174" s="117"/>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row>
    <row r="175" spans="1:42" ht="14.25" customHeight="1" x14ac:dyDescent="0.2">
      <c r="A175" s="118"/>
      <c r="B175" s="118"/>
      <c r="C175" s="118"/>
      <c r="D175" s="118"/>
      <c r="E175" s="118"/>
      <c r="F175" s="118"/>
      <c r="G175" s="118"/>
      <c r="H175" s="118"/>
      <c r="I175" s="118"/>
      <c r="J175" s="118"/>
      <c r="K175" s="118"/>
      <c r="L175" s="118"/>
      <c r="M175" s="118"/>
      <c r="N175" s="3"/>
      <c r="O175" s="4"/>
      <c r="P175" s="42"/>
      <c r="Q175" s="116"/>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row>
    <row r="176" spans="1:42" ht="14.25" customHeight="1" x14ac:dyDescent="0.2">
      <c r="A176" s="118"/>
      <c r="B176" s="118"/>
      <c r="C176" s="118"/>
      <c r="D176" s="118"/>
      <c r="E176" s="118"/>
      <c r="F176" s="118"/>
      <c r="G176" s="118"/>
      <c r="H176" s="118"/>
      <c r="I176" s="118"/>
      <c r="J176" s="118"/>
      <c r="K176" s="118"/>
      <c r="L176" s="118"/>
      <c r="M176" s="118"/>
      <c r="N176" s="4"/>
      <c r="O176" s="4"/>
      <c r="P176" s="42"/>
      <c r="Q176" s="117"/>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row>
    <row r="177" spans="1:42" ht="14.25" customHeight="1" x14ac:dyDescent="0.2">
      <c r="A177" s="118"/>
      <c r="B177" s="118"/>
      <c r="C177" s="118"/>
      <c r="D177" s="118"/>
      <c r="E177" s="118"/>
      <c r="F177" s="118"/>
      <c r="G177" s="118"/>
      <c r="H177" s="118"/>
      <c r="I177" s="118"/>
      <c r="J177" s="118"/>
      <c r="K177" s="118"/>
      <c r="L177" s="118"/>
      <c r="M177" s="118"/>
      <c r="N177" s="4"/>
      <c r="O177" s="4"/>
      <c r="P177" s="42"/>
      <c r="Q177" s="116"/>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row>
    <row r="178" spans="1:42" ht="14.25" customHeight="1" x14ac:dyDescent="0.2">
      <c r="A178" s="118"/>
      <c r="B178" s="118"/>
      <c r="C178" s="118"/>
      <c r="D178" s="118"/>
      <c r="E178" s="118"/>
      <c r="F178" s="118"/>
      <c r="G178" s="118"/>
      <c r="H178" s="118"/>
      <c r="I178" s="118"/>
      <c r="J178" s="118"/>
      <c r="K178" s="118"/>
      <c r="L178" s="118"/>
      <c r="M178" s="118"/>
      <c r="N178" s="4"/>
      <c r="O178" s="4"/>
      <c r="P178" s="42"/>
      <c r="Q178" s="117"/>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row>
    <row r="179" spans="1:42" ht="14.25" customHeight="1" x14ac:dyDescent="0.2">
      <c r="A179" s="118"/>
      <c r="B179" s="118"/>
      <c r="C179" s="118"/>
      <c r="D179" s="118"/>
      <c r="E179" s="118"/>
      <c r="F179" s="118"/>
      <c r="G179" s="118"/>
      <c r="H179" s="118"/>
      <c r="I179" s="118"/>
      <c r="J179" s="118"/>
      <c r="K179" s="118"/>
      <c r="L179" s="118"/>
      <c r="M179" s="118"/>
      <c r="N179" s="4"/>
      <c r="O179" s="4"/>
      <c r="P179" s="42"/>
      <c r="Q179" s="116"/>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row>
    <row r="180" spans="1:42" ht="14.25" customHeight="1" x14ac:dyDescent="0.2">
      <c r="A180" s="118"/>
      <c r="B180" s="118"/>
      <c r="C180" s="118"/>
      <c r="D180" s="118"/>
      <c r="E180" s="118"/>
      <c r="F180" s="118"/>
      <c r="G180" s="118"/>
      <c r="H180" s="118"/>
      <c r="I180" s="118"/>
      <c r="J180" s="118"/>
      <c r="K180" s="118"/>
      <c r="L180" s="118"/>
      <c r="M180" s="118"/>
      <c r="N180" s="3"/>
      <c r="O180" s="4"/>
      <c r="P180" s="42"/>
      <c r="Q180" s="117"/>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row>
    <row r="181" spans="1:42" ht="14.25" customHeight="1" x14ac:dyDescent="0.2">
      <c r="A181" s="118"/>
      <c r="B181" s="118"/>
      <c r="C181" s="118"/>
      <c r="D181" s="118"/>
      <c r="E181" s="118"/>
      <c r="F181" s="118"/>
      <c r="G181" s="118"/>
      <c r="H181" s="118"/>
      <c r="I181" s="118"/>
      <c r="J181" s="118"/>
      <c r="K181" s="118"/>
      <c r="L181" s="118"/>
      <c r="M181" s="118"/>
      <c r="N181" s="4"/>
      <c r="O181" s="4"/>
      <c r="P181" s="42"/>
      <c r="Q181" s="116"/>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row>
    <row r="182" spans="1:42" ht="14.25" customHeight="1" x14ac:dyDescent="0.2">
      <c r="A182" s="118"/>
      <c r="B182" s="118"/>
      <c r="C182" s="118"/>
      <c r="D182" s="118"/>
      <c r="E182" s="118"/>
      <c r="F182" s="118"/>
      <c r="G182" s="118"/>
      <c r="H182" s="118"/>
      <c r="I182" s="118"/>
      <c r="J182" s="118"/>
      <c r="K182" s="118"/>
      <c r="L182" s="118"/>
      <c r="M182" s="118"/>
      <c r="N182" s="3"/>
      <c r="O182" s="4"/>
      <c r="P182" s="42"/>
      <c r="Q182" s="117"/>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row>
    <row r="183" spans="1:42" ht="14.25" customHeight="1" x14ac:dyDescent="0.2">
      <c r="A183" s="118"/>
      <c r="B183" s="118"/>
      <c r="C183" s="118"/>
      <c r="D183" s="118"/>
      <c r="E183" s="118"/>
      <c r="F183" s="118"/>
      <c r="G183" s="118"/>
      <c r="H183" s="118"/>
      <c r="I183" s="118"/>
      <c r="J183" s="118"/>
      <c r="K183" s="118"/>
      <c r="L183" s="118"/>
      <c r="M183" s="118"/>
      <c r="N183" s="4"/>
      <c r="O183" s="4"/>
      <c r="P183" s="42"/>
      <c r="Q183" s="117"/>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row>
    <row r="184" spans="1:42" ht="14.25" customHeight="1" x14ac:dyDescent="0.2">
      <c r="A184" s="118"/>
      <c r="B184" s="118"/>
      <c r="C184" s="118"/>
      <c r="D184" s="118"/>
      <c r="E184" s="118"/>
      <c r="F184" s="118"/>
      <c r="G184" s="118"/>
      <c r="H184" s="118"/>
      <c r="I184" s="118"/>
      <c r="J184" s="118"/>
      <c r="K184" s="118"/>
      <c r="L184" s="118"/>
      <c r="M184" s="118"/>
      <c r="N184" s="3"/>
      <c r="O184" s="4"/>
      <c r="P184" s="42"/>
      <c r="Q184" s="116"/>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row>
    <row r="185" spans="1:42" ht="14.25" customHeight="1" x14ac:dyDescent="0.2">
      <c r="A185" s="118"/>
      <c r="B185" s="118"/>
      <c r="C185" s="118"/>
      <c r="D185" s="118"/>
      <c r="E185" s="118"/>
      <c r="F185" s="118"/>
      <c r="G185" s="118"/>
      <c r="H185" s="118"/>
      <c r="I185" s="118"/>
      <c r="J185" s="118"/>
      <c r="K185" s="118"/>
      <c r="L185" s="118"/>
      <c r="M185" s="118"/>
      <c r="N185" s="3"/>
      <c r="O185" s="4"/>
      <c r="P185" s="42"/>
      <c r="Q185" s="117"/>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row>
    <row r="186" spans="1:42" ht="14.25" customHeight="1" x14ac:dyDescent="0.2">
      <c r="A186" s="118"/>
      <c r="B186" s="118"/>
      <c r="C186" s="118"/>
      <c r="D186" s="118"/>
      <c r="E186" s="118"/>
      <c r="F186" s="118"/>
      <c r="G186" s="118"/>
      <c r="H186" s="118"/>
      <c r="I186" s="118"/>
      <c r="J186" s="118"/>
      <c r="K186" s="118"/>
      <c r="L186" s="118"/>
      <c r="M186" s="118"/>
      <c r="N186" s="4"/>
      <c r="O186" s="4"/>
      <c r="P186" s="42"/>
      <c r="Q186" s="116"/>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row>
    <row r="187" spans="1:42" ht="14.25" customHeight="1" x14ac:dyDescent="0.2">
      <c r="A187" s="118"/>
      <c r="B187" s="118"/>
      <c r="C187" s="118"/>
      <c r="D187" s="118"/>
      <c r="E187" s="118"/>
      <c r="F187" s="118"/>
      <c r="G187" s="118"/>
      <c r="H187" s="118"/>
      <c r="I187" s="118"/>
      <c r="J187" s="118"/>
      <c r="K187" s="118"/>
      <c r="L187" s="118"/>
      <c r="M187" s="118"/>
      <c r="N187" s="4"/>
      <c r="O187" s="4"/>
      <c r="P187" s="42"/>
      <c r="Q187" s="117"/>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row>
    <row r="188" spans="1:42" ht="14.25" customHeight="1" x14ac:dyDescent="0.2">
      <c r="A188" s="118"/>
      <c r="B188" s="118"/>
      <c r="C188" s="118"/>
      <c r="D188" s="118"/>
      <c r="E188" s="118"/>
      <c r="F188" s="118"/>
      <c r="G188" s="118"/>
      <c r="H188" s="118"/>
      <c r="I188" s="118"/>
      <c r="J188" s="118"/>
      <c r="K188" s="118"/>
      <c r="L188" s="118"/>
      <c r="M188" s="118"/>
      <c r="N188" s="4"/>
      <c r="O188" s="4"/>
      <c r="P188" s="42"/>
      <c r="Q188" s="116"/>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row>
    <row r="189" spans="1:42" ht="14.25" customHeight="1" x14ac:dyDescent="0.2">
      <c r="A189" s="118"/>
      <c r="B189" s="118"/>
      <c r="C189" s="118"/>
      <c r="D189" s="118"/>
      <c r="E189" s="118"/>
      <c r="F189" s="118"/>
      <c r="G189" s="118"/>
      <c r="H189" s="118"/>
      <c r="I189" s="118"/>
      <c r="J189" s="118"/>
      <c r="K189" s="118"/>
      <c r="L189" s="118"/>
      <c r="M189" s="118"/>
      <c r="N189" s="4"/>
      <c r="O189" s="4"/>
      <c r="P189" s="42"/>
      <c r="Q189" s="117"/>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row>
    <row r="190" spans="1:42" ht="14.25" customHeight="1" x14ac:dyDescent="0.2">
      <c r="A190" s="118"/>
      <c r="B190" s="118"/>
      <c r="C190" s="118"/>
      <c r="D190" s="118"/>
      <c r="E190" s="118"/>
      <c r="F190" s="118"/>
      <c r="G190" s="118"/>
      <c r="H190" s="118"/>
      <c r="I190" s="118"/>
      <c r="J190" s="118"/>
      <c r="K190" s="118"/>
      <c r="L190" s="118"/>
      <c r="M190" s="118"/>
      <c r="N190" s="3"/>
      <c r="O190" s="4"/>
      <c r="P190" s="42"/>
      <c r="Q190" s="116"/>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row>
    <row r="191" spans="1:42" ht="14.25" customHeight="1" x14ac:dyDescent="0.2">
      <c r="A191" s="118"/>
      <c r="B191" s="118"/>
      <c r="C191" s="118"/>
      <c r="D191" s="118"/>
      <c r="E191" s="118"/>
      <c r="F191" s="118"/>
      <c r="G191" s="118"/>
      <c r="H191" s="118"/>
      <c r="I191" s="118"/>
      <c r="J191" s="118"/>
      <c r="K191" s="118"/>
      <c r="L191" s="118"/>
      <c r="M191" s="118"/>
      <c r="N191" s="4"/>
      <c r="O191" s="4"/>
      <c r="P191" s="42"/>
      <c r="Q191" s="117"/>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row>
    <row r="192" spans="1:42" ht="14.25" customHeight="1" x14ac:dyDescent="0.2">
      <c r="A192" s="118"/>
      <c r="B192" s="118"/>
      <c r="C192" s="118"/>
      <c r="D192" s="118"/>
      <c r="E192" s="118"/>
      <c r="F192" s="118"/>
      <c r="G192" s="118"/>
      <c r="H192" s="118"/>
      <c r="I192" s="118"/>
      <c r="J192" s="118"/>
      <c r="K192" s="118"/>
      <c r="L192" s="118"/>
      <c r="M192" s="118"/>
      <c r="N192" s="4"/>
      <c r="O192" s="4"/>
      <c r="P192" s="42"/>
      <c r="Q192" s="116"/>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row>
    <row r="193" spans="1:42" ht="14.25" customHeight="1" x14ac:dyDescent="0.2">
      <c r="A193" s="118"/>
      <c r="B193" s="118"/>
      <c r="C193" s="118"/>
      <c r="D193" s="118"/>
      <c r="E193" s="118"/>
      <c r="F193" s="118"/>
      <c r="G193" s="118"/>
      <c r="H193" s="118"/>
      <c r="I193" s="118"/>
      <c r="J193" s="118"/>
      <c r="K193" s="118"/>
      <c r="L193" s="118"/>
      <c r="M193" s="118"/>
      <c r="N193" s="4"/>
      <c r="O193" s="4"/>
      <c r="P193" s="42"/>
      <c r="Q193" s="117"/>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row>
    <row r="194" spans="1:42" ht="14.25" customHeight="1" x14ac:dyDescent="0.2">
      <c r="A194" s="118"/>
      <c r="B194" s="118"/>
      <c r="C194" s="118"/>
      <c r="D194" s="118"/>
      <c r="E194" s="118"/>
      <c r="F194" s="118"/>
      <c r="G194" s="118"/>
      <c r="H194" s="118"/>
      <c r="I194" s="118"/>
      <c r="J194" s="118"/>
      <c r="K194" s="118"/>
      <c r="L194" s="118"/>
      <c r="M194" s="118"/>
      <c r="N194" s="4"/>
      <c r="O194" s="4"/>
      <c r="P194" s="42"/>
      <c r="Q194" s="116"/>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row>
    <row r="195" spans="1:42" ht="14.25" customHeight="1" x14ac:dyDescent="0.2">
      <c r="A195" s="118"/>
      <c r="B195" s="118"/>
      <c r="C195" s="118"/>
      <c r="D195" s="118"/>
      <c r="E195" s="118"/>
      <c r="F195" s="118"/>
      <c r="G195" s="118"/>
      <c r="H195" s="118"/>
      <c r="I195" s="118"/>
      <c r="J195" s="118"/>
      <c r="K195" s="118"/>
      <c r="L195" s="118"/>
      <c r="M195" s="118"/>
      <c r="N195" s="4"/>
      <c r="O195" s="4"/>
      <c r="P195" s="42"/>
      <c r="Q195" s="117"/>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row>
    <row r="196" spans="1:42" ht="14.25" customHeight="1" x14ac:dyDescent="0.2">
      <c r="A196" s="118"/>
      <c r="B196" s="118"/>
      <c r="C196" s="118"/>
      <c r="D196" s="118"/>
      <c r="E196" s="118"/>
      <c r="F196" s="118"/>
      <c r="G196" s="118"/>
      <c r="H196" s="118"/>
      <c r="I196" s="118"/>
      <c r="J196" s="118"/>
      <c r="K196" s="118"/>
      <c r="L196" s="118"/>
      <c r="M196" s="118"/>
      <c r="N196" s="4"/>
      <c r="O196" s="4"/>
      <c r="P196" s="42"/>
      <c r="Q196" s="116"/>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row>
    <row r="197" spans="1:42" ht="14.25" customHeight="1" x14ac:dyDescent="0.2">
      <c r="A197" s="118"/>
      <c r="B197" s="118"/>
      <c r="C197" s="118"/>
      <c r="D197" s="118"/>
      <c r="E197" s="118"/>
      <c r="F197" s="118"/>
      <c r="G197" s="118"/>
      <c r="H197" s="118"/>
      <c r="I197" s="118"/>
      <c r="J197" s="118"/>
      <c r="K197" s="118"/>
      <c r="L197" s="118"/>
      <c r="M197" s="118"/>
      <c r="N197" s="4"/>
      <c r="O197" s="4"/>
      <c r="P197" s="42"/>
      <c r="Q197" s="117"/>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row>
    <row r="198" spans="1:42" ht="14.25" customHeight="1" x14ac:dyDescent="0.2">
      <c r="A198" s="118"/>
      <c r="B198" s="118"/>
      <c r="C198" s="118"/>
      <c r="D198" s="118"/>
      <c r="E198" s="118"/>
      <c r="F198" s="118"/>
      <c r="G198" s="118"/>
      <c r="H198" s="118"/>
      <c r="I198" s="118"/>
      <c r="J198" s="118"/>
      <c r="K198" s="118"/>
      <c r="L198" s="118"/>
      <c r="M198" s="118"/>
      <c r="N198" s="4"/>
      <c r="O198" s="4"/>
      <c r="P198" s="42"/>
      <c r="Q198" s="116"/>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row>
    <row r="199" spans="1:42" ht="14.25" customHeight="1" x14ac:dyDescent="0.2">
      <c r="A199" s="118"/>
      <c r="B199" s="118"/>
      <c r="C199" s="118"/>
      <c r="D199" s="118"/>
      <c r="E199" s="118"/>
      <c r="F199" s="118"/>
      <c r="G199" s="118"/>
      <c r="H199" s="118"/>
      <c r="I199" s="118"/>
      <c r="J199" s="118"/>
      <c r="K199" s="118"/>
      <c r="L199" s="118"/>
      <c r="M199" s="118"/>
      <c r="N199" s="3"/>
      <c r="O199" s="4"/>
      <c r="P199" s="42"/>
      <c r="Q199" s="117"/>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row>
    <row r="200" spans="1:42" ht="14.25" customHeight="1" x14ac:dyDescent="0.2">
      <c r="A200" s="118"/>
      <c r="B200" s="118"/>
      <c r="C200" s="118"/>
      <c r="D200" s="118"/>
      <c r="E200" s="118"/>
      <c r="F200" s="118"/>
      <c r="G200" s="118"/>
      <c r="H200" s="118"/>
      <c r="I200" s="118"/>
      <c r="J200" s="118"/>
      <c r="K200" s="118"/>
      <c r="L200" s="118"/>
      <c r="M200" s="118"/>
      <c r="N200" s="4"/>
      <c r="O200" s="4"/>
      <c r="P200" s="42"/>
      <c r="Q200" s="116"/>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row>
    <row r="201" spans="1:42" ht="14.25" customHeight="1" x14ac:dyDescent="0.2">
      <c r="A201" s="3"/>
      <c r="B201" s="3"/>
      <c r="C201" s="3"/>
      <c r="D201" s="3"/>
      <c r="E201" s="3"/>
      <c r="F201" s="3"/>
      <c r="G201" s="3"/>
      <c r="H201" s="3"/>
      <c r="I201" s="3"/>
      <c r="J201" s="3"/>
      <c r="K201" s="3"/>
      <c r="L201" s="3"/>
      <c r="M201" s="3"/>
      <c r="N201" s="4"/>
      <c r="O201" s="3"/>
      <c r="P201" s="4"/>
      <c r="Q201" s="117"/>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row>
    <row r="202" spans="1:42" ht="14.25" customHeight="1" x14ac:dyDescent="0.2">
      <c r="A202" s="3"/>
      <c r="B202" s="3"/>
      <c r="C202" s="3"/>
      <c r="D202" s="3"/>
      <c r="E202" s="3"/>
      <c r="F202" s="3"/>
      <c r="G202" s="3"/>
      <c r="H202" s="3"/>
      <c r="I202" s="3"/>
      <c r="J202" s="3"/>
      <c r="K202" s="3"/>
      <c r="L202" s="3"/>
      <c r="M202" s="3"/>
      <c r="N202" s="4"/>
      <c r="O202" s="3"/>
      <c r="P202" s="4"/>
      <c r="Q202" s="1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row>
    <row r="203" spans="1:42" ht="14.25" customHeight="1" x14ac:dyDescent="0.2">
      <c r="A203" s="3"/>
      <c r="B203" s="3"/>
      <c r="C203" s="3"/>
      <c r="D203" s="3"/>
      <c r="E203" s="3"/>
      <c r="F203" s="3"/>
      <c r="G203" s="3"/>
      <c r="H203" s="3"/>
      <c r="I203" s="3"/>
      <c r="J203" s="3"/>
      <c r="K203" s="3"/>
      <c r="L203" s="3"/>
      <c r="M203" s="3"/>
      <c r="N203" s="4"/>
      <c r="O203" s="3"/>
      <c r="P203" s="4"/>
      <c r="Q203" s="1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row>
    <row r="204" spans="1:42" ht="14.25" customHeight="1" x14ac:dyDescent="0.2">
      <c r="A204" s="3"/>
      <c r="B204" s="3"/>
      <c r="C204" s="3"/>
      <c r="D204" s="3"/>
      <c r="E204" s="3"/>
      <c r="F204" s="3"/>
      <c r="G204" s="3"/>
      <c r="H204" s="3"/>
      <c r="I204" s="3"/>
      <c r="J204" s="3"/>
      <c r="K204" s="3"/>
      <c r="L204" s="3"/>
      <c r="M204" s="3"/>
      <c r="N204" s="4"/>
      <c r="O204" s="3"/>
      <c r="P204" s="4"/>
      <c r="Q204" s="4"/>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row>
    <row r="205" spans="1:42" ht="14.25" customHeight="1" x14ac:dyDescent="0.2">
      <c r="A205" s="3"/>
      <c r="B205" s="3"/>
      <c r="C205" s="3"/>
      <c r="D205" s="3"/>
      <c r="E205" s="3"/>
      <c r="F205" s="3"/>
      <c r="G205" s="3"/>
      <c r="H205" s="3"/>
      <c r="I205" s="3"/>
      <c r="J205" s="3"/>
      <c r="K205" s="3"/>
      <c r="L205" s="3"/>
      <c r="M205" s="3"/>
      <c r="N205" s="4"/>
      <c r="O205" s="3"/>
      <c r="P205" s="4"/>
      <c r="Q205" s="4"/>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row>
    <row r="206" spans="1:42" ht="14.25" customHeight="1" x14ac:dyDescent="0.2">
      <c r="A206" s="3"/>
      <c r="B206" s="3"/>
      <c r="C206" s="3"/>
      <c r="D206" s="3"/>
      <c r="E206" s="3"/>
      <c r="F206" s="3"/>
      <c r="G206" s="3"/>
      <c r="H206" s="3"/>
      <c r="I206" s="3"/>
      <c r="J206" s="3"/>
      <c r="K206" s="3"/>
      <c r="L206" s="3"/>
      <c r="M206" s="3"/>
      <c r="N206" s="3"/>
      <c r="O206" s="4"/>
      <c r="P206" s="4"/>
      <c r="Q206" s="4"/>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row>
    <row r="207" spans="1:42" ht="14.25" customHeight="1" x14ac:dyDescent="0.2">
      <c r="A207" s="3"/>
      <c r="B207" s="3"/>
      <c r="C207" s="3"/>
      <c r="D207" s="3"/>
      <c r="E207" s="3"/>
      <c r="F207" s="3"/>
      <c r="G207" s="3"/>
      <c r="H207" s="3"/>
      <c r="I207" s="3"/>
      <c r="J207" s="3"/>
      <c r="K207" s="3"/>
      <c r="L207" s="3"/>
      <c r="M207" s="3"/>
      <c r="N207" s="4"/>
      <c r="O207" s="3"/>
      <c r="P207" s="4"/>
      <c r="Q207" s="4"/>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row>
    <row r="208" spans="1:42" ht="14.25" customHeight="1" x14ac:dyDescent="0.2">
      <c r="A208" s="3"/>
      <c r="B208" s="3"/>
      <c r="C208" s="3"/>
      <c r="D208" s="3"/>
      <c r="E208" s="3"/>
      <c r="F208" s="3"/>
      <c r="G208" s="3"/>
      <c r="H208" s="3"/>
      <c r="I208" s="3"/>
      <c r="J208" s="3"/>
      <c r="K208" s="3"/>
      <c r="L208" s="3"/>
      <c r="M208" s="3"/>
      <c r="N208" s="4"/>
      <c r="O208" s="3"/>
      <c r="P208" s="4"/>
      <c r="Q208" s="4"/>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row>
    <row r="209" spans="1:42" ht="14.25" customHeight="1" x14ac:dyDescent="0.2">
      <c r="A209" s="3"/>
      <c r="B209" s="3"/>
      <c r="C209" s="3"/>
      <c r="D209" s="3"/>
      <c r="E209" s="3"/>
      <c r="F209" s="3"/>
      <c r="G209" s="3"/>
      <c r="H209" s="3"/>
      <c r="I209" s="3"/>
      <c r="J209" s="3"/>
      <c r="K209" s="3"/>
      <c r="L209" s="3"/>
      <c r="M209" s="3"/>
      <c r="N209" s="3"/>
      <c r="O209" s="4"/>
      <c r="P209" s="4"/>
      <c r="Q209" s="4"/>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row>
    <row r="210" spans="1:42" ht="14.25" customHeight="1" x14ac:dyDescent="0.2">
      <c r="A210" s="3"/>
      <c r="B210" s="3"/>
      <c r="C210" s="3"/>
      <c r="D210" s="3"/>
      <c r="E210" s="3"/>
      <c r="F210" s="3"/>
      <c r="G210" s="3"/>
      <c r="H210" s="3"/>
      <c r="I210" s="3"/>
      <c r="J210" s="3"/>
      <c r="K210" s="3"/>
      <c r="L210" s="3"/>
      <c r="M210" s="3"/>
      <c r="N210" s="4"/>
      <c r="O210" s="3"/>
      <c r="P210" s="4"/>
      <c r="Q210" s="4"/>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row>
    <row r="211" spans="1:42" ht="14.25" customHeight="1" x14ac:dyDescent="0.2">
      <c r="A211" s="3"/>
      <c r="B211" s="3"/>
      <c r="C211" s="3"/>
      <c r="D211" s="3"/>
      <c r="E211" s="3"/>
      <c r="F211" s="3"/>
      <c r="G211" s="3"/>
      <c r="H211" s="3"/>
      <c r="I211" s="3"/>
      <c r="J211" s="3"/>
      <c r="K211" s="3"/>
      <c r="L211" s="3"/>
      <c r="M211" s="3"/>
      <c r="N211" s="4"/>
      <c r="O211" s="3"/>
      <c r="P211" s="4"/>
      <c r="Q211" s="4"/>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row>
    <row r="212" spans="1:42" ht="14.25" customHeight="1" x14ac:dyDescent="0.2">
      <c r="A212" s="3"/>
      <c r="B212" s="3"/>
      <c r="C212" s="3"/>
      <c r="D212" s="3"/>
      <c r="E212" s="3"/>
      <c r="F212" s="3"/>
      <c r="G212" s="3"/>
      <c r="H212" s="3"/>
      <c r="I212" s="3"/>
      <c r="J212" s="3"/>
      <c r="K212" s="3"/>
      <c r="L212" s="3"/>
      <c r="M212" s="3"/>
      <c r="N212" s="4"/>
      <c r="O212" s="3"/>
      <c r="P212" s="4"/>
      <c r="Q212" s="4"/>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row>
    <row r="213" spans="1:42" ht="14.25" customHeight="1" x14ac:dyDescent="0.2">
      <c r="A213" s="3"/>
      <c r="B213" s="3"/>
      <c r="C213" s="3"/>
      <c r="D213" s="3"/>
      <c r="E213" s="3"/>
      <c r="F213" s="3"/>
      <c r="G213" s="3"/>
      <c r="H213" s="3"/>
      <c r="I213" s="3"/>
      <c r="J213" s="3"/>
      <c r="K213" s="3"/>
      <c r="L213" s="3"/>
      <c r="M213" s="3"/>
      <c r="N213" s="4"/>
      <c r="O213" s="3"/>
      <c r="P213" s="4"/>
      <c r="Q213" s="4"/>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row>
    <row r="214" spans="1:42" ht="14.25" customHeight="1" x14ac:dyDescent="0.2">
      <c r="A214" s="3"/>
      <c r="B214" s="3"/>
      <c r="C214" s="3"/>
      <c r="D214" s="3"/>
      <c r="E214" s="3"/>
      <c r="F214" s="3"/>
      <c r="G214" s="3"/>
      <c r="H214" s="3"/>
      <c r="I214" s="3"/>
      <c r="J214" s="3"/>
      <c r="K214" s="3"/>
      <c r="L214" s="3"/>
      <c r="M214" s="3"/>
      <c r="N214" s="3"/>
      <c r="O214" s="4"/>
      <c r="P214" s="4"/>
      <c r="Q214" s="4"/>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row>
    <row r="215" spans="1:42" ht="14.25" customHeight="1" x14ac:dyDescent="0.2">
      <c r="A215" s="3"/>
      <c r="B215" s="3"/>
      <c r="C215" s="3"/>
      <c r="D215" s="3"/>
      <c r="E215" s="3"/>
      <c r="F215" s="3"/>
      <c r="G215" s="3"/>
      <c r="H215" s="3"/>
      <c r="I215" s="3"/>
      <c r="J215" s="3"/>
      <c r="K215" s="3"/>
      <c r="L215" s="3"/>
      <c r="M215" s="3"/>
      <c r="N215" s="3"/>
      <c r="O215" s="4"/>
      <c r="P215" s="4"/>
      <c r="Q215" s="4"/>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row>
    <row r="216" spans="1:42" ht="14.25" customHeight="1" x14ac:dyDescent="0.2">
      <c r="A216" s="3"/>
      <c r="B216" s="3"/>
      <c r="C216" s="3"/>
      <c r="D216" s="3"/>
      <c r="E216" s="3"/>
      <c r="F216" s="3"/>
      <c r="G216" s="3"/>
      <c r="H216" s="3"/>
      <c r="I216" s="3"/>
      <c r="J216" s="3"/>
      <c r="K216" s="3"/>
      <c r="L216" s="3"/>
      <c r="M216" s="3"/>
      <c r="N216" s="4"/>
      <c r="O216" s="3"/>
      <c r="P216" s="4"/>
      <c r="Q216" s="4"/>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row>
    <row r="217" spans="1:42" ht="14.25" customHeight="1" x14ac:dyDescent="0.2">
      <c r="A217" s="3"/>
      <c r="B217" s="3"/>
      <c r="C217" s="3"/>
      <c r="D217" s="3"/>
      <c r="E217" s="3"/>
      <c r="F217" s="3"/>
      <c r="G217" s="3"/>
      <c r="H217" s="3"/>
      <c r="I217" s="3"/>
      <c r="J217" s="3"/>
      <c r="K217" s="3"/>
      <c r="L217" s="3"/>
      <c r="M217" s="3"/>
      <c r="N217" s="4"/>
      <c r="O217" s="3"/>
      <c r="P217" s="4"/>
      <c r="Q217" s="4"/>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row>
    <row r="218" spans="1:42" ht="14.25" customHeight="1" x14ac:dyDescent="0.2">
      <c r="A218" s="3"/>
      <c r="B218" s="3"/>
      <c r="C218" s="3"/>
      <c r="D218" s="3"/>
      <c r="E218" s="3"/>
      <c r="F218" s="3"/>
      <c r="G218" s="3"/>
      <c r="H218" s="3"/>
      <c r="I218" s="3"/>
      <c r="J218" s="3"/>
      <c r="K218" s="3"/>
      <c r="L218" s="3"/>
      <c r="M218" s="3"/>
      <c r="N218" s="4"/>
      <c r="O218" s="3"/>
      <c r="P218" s="4"/>
      <c r="Q218" s="4"/>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row>
    <row r="219" spans="1:42" ht="14.25" customHeight="1" x14ac:dyDescent="0.2">
      <c r="A219" s="3"/>
      <c r="B219" s="3"/>
      <c r="C219" s="3"/>
      <c r="D219" s="3"/>
      <c r="E219" s="3"/>
      <c r="F219" s="3"/>
      <c r="G219" s="3"/>
      <c r="H219" s="3"/>
      <c r="I219" s="3"/>
      <c r="J219" s="3"/>
      <c r="K219" s="3"/>
      <c r="L219" s="3"/>
      <c r="M219" s="3"/>
      <c r="N219" s="4"/>
      <c r="O219" s="3"/>
      <c r="P219" s="4"/>
      <c r="Q219" s="4"/>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row>
    <row r="220" spans="1:42" ht="14.25" customHeight="1" x14ac:dyDescent="0.2">
      <c r="A220" s="3"/>
      <c r="B220" s="3"/>
      <c r="C220" s="3"/>
      <c r="D220" s="3"/>
      <c r="E220" s="3"/>
      <c r="F220" s="3"/>
      <c r="G220" s="3"/>
      <c r="H220" s="3"/>
      <c r="I220" s="3"/>
      <c r="J220" s="3"/>
      <c r="K220" s="3"/>
      <c r="L220" s="3"/>
      <c r="M220" s="3"/>
      <c r="N220" s="4"/>
      <c r="O220" s="3"/>
      <c r="P220" s="4"/>
      <c r="Q220" s="4"/>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row>
    <row r="221" spans="1:42" ht="14.25" customHeight="1" x14ac:dyDescent="0.2">
      <c r="A221" s="3"/>
      <c r="B221" s="3"/>
      <c r="C221" s="3"/>
      <c r="D221" s="3"/>
      <c r="E221" s="3"/>
      <c r="F221" s="3"/>
      <c r="G221" s="3"/>
      <c r="H221" s="3"/>
      <c r="I221" s="3"/>
      <c r="J221" s="3"/>
      <c r="K221" s="3"/>
      <c r="L221" s="3"/>
      <c r="M221" s="3"/>
      <c r="N221" s="4"/>
      <c r="O221" s="3"/>
      <c r="P221" s="4"/>
      <c r="Q221" s="4"/>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row>
    <row r="222" spans="1:42" ht="14.25" customHeight="1" x14ac:dyDescent="0.2">
      <c r="A222" s="3"/>
      <c r="B222" s="3"/>
      <c r="C222" s="3"/>
      <c r="D222" s="3"/>
      <c r="E222" s="3"/>
      <c r="F222" s="3"/>
      <c r="G222" s="3"/>
      <c r="H222" s="3"/>
      <c r="I222" s="3"/>
      <c r="J222" s="3"/>
      <c r="K222" s="3"/>
      <c r="L222" s="3"/>
      <c r="M222" s="3"/>
      <c r="N222" s="4"/>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row>
    <row r="223" spans="1:42" ht="14.25" customHeight="1" x14ac:dyDescent="0.2">
      <c r="A223" s="3"/>
      <c r="B223" s="3"/>
      <c r="C223" s="3"/>
      <c r="D223" s="3"/>
      <c r="E223" s="3"/>
      <c r="F223" s="3"/>
      <c r="G223" s="3"/>
      <c r="H223" s="3"/>
      <c r="I223" s="3"/>
      <c r="J223" s="3"/>
      <c r="K223" s="3"/>
      <c r="L223" s="3"/>
      <c r="M223" s="3"/>
      <c r="N223" s="4"/>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row>
    <row r="224" spans="1:42" ht="14.25" customHeight="1" x14ac:dyDescent="0.2">
      <c r="A224" s="3"/>
      <c r="B224" s="3"/>
      <c r="C224" s="3"/>
      <c r="D224" s="3"/>
      <c r="E224" s="3"/>
      <c r="F224" s="3"/>
      <c r="G224" s="3"/>
      <c r="H224" s="3"/>
      <c r="I224" s="3"/>
      <c r="J224" s="3"/>
      <c r="K224" s="3"/>
      <c r="L224" s="3"/>
      <c r="M224" s="3"/>
      <c r="N224" s="4"/>
      <c r="O224" s="3"/>
      <c r="P224" s="4"/>
      <c r="Q224" s="4"/>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row>
    <row r="225" spans="1:42" ht="14.25" customHeight="1" x14ac:dyDescent="0.2">
      <c r="A225" s="3"/>
      <c r="B225" s="3"/>
      <c r="C225" s="3"/>
      <c r="D225" s="3"/>
      <c r="E225" s="3"/>
      <c r="F225" s="3"/>
      <c r="G225" s="3"/>
      <c r="H225" s="3"/>
      <c r="I225" s="3"/>
      <c r="J225" s="3"/>
      <c r="K225" s="3"/>
      <c r="L225" s="3"/>
      <c r="M225" s="3"/>
      <c r="N225" s="4"/>
      <c r="O225" s="3"/>
      <c r="P225" s="4"/>
      <c r="Q225" s="4"/>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row>
    <row r="226" spans="1:42" ht="14.25" customHeight="1" x14ac:dyDescent="0.2">
      <c r="A226" s="3"/>
      <c r="B226" s="3"/>
      <c r="C226" s="3"/>
      <c r="D226" s="3"/>
      <c r="E226" s="3"/>
      <c r="F226" s="3"/>
      <c r="G226" s="3"/>
      <c r="H226" s="3"/>
      <c r="I226" s="3"/>
      <c r="J226" s="3"/>
      <c r="K226" s="3"/>
      <c r="L226" s="3"/>
      <c r="M226" s="3"/>
      <c r="N226" s="4"/>
      <c r="O226" s="3"/>
      <c r="P226" s="4"/>
      <c r="Q226" s="4"/>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row>
    <row r="227" spans="1:42" ht="14.25" customHeight="1" x14ac:dyDescent="0.2">
      <c r="A227" s="3"/>
      <c r="B227" s="3"/>
      <c r="C227" s="3"/>
      <c r="D227" s="3"/>
      <c r="E227" s="3"/>
      <c r="F227" s="3"/>
      <c r="G227" s="3"/>
      <c r="H227" s="3"/>
      <c r="I227" s="3"/>
      <c r="J227" s="3"/>
      <c r="K227" s="3"/>
      <c r="L227" s="3"/>
      <c r="M227" s="3"/>
      <c r="N227" s="4"/>
      <c r="O227" s="3"/>
      <c r="P227" s="4"/>
      <c r="Q227" s="4"/>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row>
    <row r="228" spans="1:42" ht="14.25" customHeight="1" x14ac:dyDescent="0.2">
      <c r="A228" s="3"/>
      <c r="B228" s="3"/>
      <c r="C228" s="3"/>
      <c r="D228" s="3"/>
      <c r="E228" s="3"/>
      <c r="F228" s="3"/>
      <c r="G228" s="3"/>
      <c r="H228" s="3"/>
      <c r="I228" s="3"/>
      <c r="J228" s="3"/>
      <c r="K228" s="3"/>
      <c r="L228" s="3"/>
      <c r="M228" s="3"/>
      <c r="N228" s="4"/>
      <c r="O228" s="3"/>
      <c r="P228" s="4"/>
      <c r="Q228" s="4"/>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row>
    <row r="229" spans="1:42" ht="14.25" customHeight="1" x14ac:dyDescent="0.2">
      <c r="A229" s="3"/>
      <c r="B229" s="3"/>
      <c r="C229" s="3"/>
      <c r="D229" s="3"/>
      <c r="E229" s="3"/>
      <c r="F229" s="3"/>
      <c r="G229" s="3"/>
      <c r="H229" s="3"/>
      <c r="I229" s="3"/>
      <c r="J229" s="3"/>
      <c r="K229" s="3"/>
      <c r="L229" s="3"/>
      <c r="M229" s="3"/>
      <c r="N229" s="4"/>
      <c r="O229" s="3"/>
      <c r="P229" s="4"/>
      <c r="Q229" s="4"/>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row>
    <row r="230" spans="1:42" ht="14.25" customHeight="1" x14ac:dyDescent="0.2">
      <c r="A230" s="3"/>
      <c r="B230" s="3"/>
      <c r="C230" s="3"/>
      <c r="D230" s="3"/>
      <c r="E230" s="3"/>
      <c r="F230" s="3"/>
      <c r="G230" s="3"/>
      <c r="H230" s="3"/>
      <c r="I230" s="3"/>
      <c r="J230" s="3"/>
      <c r="K230" s="3"/>
      <c r="L230" s="3"/>
      <c r="M230" s="3"/>
      <c r="N230" s="4"/>
      <c r="O230" s="3"/>
      <c r="P230" s="4"/>
      <c r="Q230" s="4"/>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row>
    <row r="231" spans="1:42" ht="14.25" customHeight="1" x14ac:dyDescent="0.2">
      <c r="A231" s="3"/>
      <c r="B231" s="3"/>
      <c r="C231" s="3"/>
      <c r="D231" s="3"/>
      <c r="E231" s="3"/>
      <c r="F231" s="3"/>
      <c r="G231" s="3"/>
      <c r="H231" s="3"/>
      <c r="I231" s="3"/>
      <c r="J231" s="3"/>
      <c r="K231" s="3"/>
      <c r="L231" s="3"/>
      <c r="M231" s="3"/>
      <c r="N231" s="4"/>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row>
    <row r="232" spans="1:42" ht="14.25" customHeight="1" x14ac:dyDescent="0.2">
      <c r="A232" s="3"/>
      <c r="B232" s="3"/>
      <c r="C232" s="3"/>
      <c r="D232" s="3"/>
      <c r="E232" s="3"/>
      <c r="F232" s="3"/>
      <c r="G232" s="3"/>
      <c r="H232" s="3"/>
      <c r="I232" s="3"/>
      <c r="J232" s="3"/>
      <c r="K232" s="3"/>
      <c r="L232" s="3"/>
      <c r="M232" s="3"/>
      <c r="N232" s="4"/>
      <c r="O232" s="3"/>
      <c r="P232" s="4"/>
      <c r="Q232" s="4"/>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row>
    <row r="233" spans="1:42" ht="14.25" customHeight="1" x14ac:dyDescent="0.2">
      <c r="A233" s="3"/>
      <c r="B233" s="3"/>
      <c r="C233" s="3"/>
      <c r="D233" s="3"/>
      <c r="E233" s="3"/>
      <c r="F233" s="3"/>
      <c r="G233" s="3"/>
      <c r="H233" s="3"/>
      <c r="I233" s="3"/>
      <c r="J233" s="3"/>
      <c r="K233" s="3"/>
      <c r="L233" s="3"/>
      <c r="M233" s="3"/>
      <c r="N233" s="4"/>
      <c r="O233" s="3"/>
      <c r="P233" s="4"/>
      <c r="Q233" s="4"/>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row>
    <row r="234" spans="1:42" ht="14.25" customHeight="1" x14ac:dyDescent="0.2">
      <c r="A234" s="3"/>
      <c r="B234" s="3"/>
      <c r="C234" s="3"/>
      <c r="D234" s="3"/>
      <c r="E234" s="3"/>
      <c r="F234" s="3"/>
      <c r="G234" s="3"/>
      <c r="H234" s="3"/>
      <c r="I234" s="3"/>
      <c r="J234" s="3"/>
      <c r="K234" s="3"/>
      <c r="L234" s="3"/>
      <c r="M234" s="3"/>
      <c r="N234" s="4"/>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row>
    <row r="235" spans="1:42" ht="14.25" customHeight="1" x14ac:dyDescent="0.2">
      <c r="A235" s="3"/>
      <c r="B235" s="3"/>
      <c r="C235" s="3"/>
      <c r="D235" s="3"/>
      <c r="E235" s="3"/>
      <c r="F235" s="3"/>
      <c r="G235" s="3"/>
      <c r="H235" s="3"/>
      <c r="I235" s="3"/>
      <c r="J235" s="3"/>
      <c r="K235" s="3"/>
      <c r="L235" s="3"/>
      <c r="M235" s="3"/>
      <c r="N235" s="3"/>
      <c r="O235" s="4"/>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row>
    <row r="236" spans="1:42" ht="14.25" customHeight="1" x14ac:dyDescent="0.2">
      <c r="A236" s="3"/>
      <c r="B236" s="3"/>
      <c r="C236" s="3"/>
      <c r="D236" s="3"/>
      <c r="E236" s="3"/>
      <c r="F236" s="3"/>
      <c r="G236" s="3"/>
      <c r="H236" s="3"/>
      <c r="I236" s="3"/>
      <c r="J236" s="3"/>
      <c r="K236" s="3"/>
      <c r="L236" s="3"/>
      <c r="M236" s="3"/>
      <c r="N236" s="3"/>
      <c r="O236" s="4"/>
      <c r="P236" s="4"/>
      <c r="Q236" s="4"/>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row>
    <row r="237" spans="1:42" ht="14.25" customHeight="1" x14ac:dyDescent="0.2">
      <c r="A237" s="3"/>
      <c r="B237" s="3"/>
      <c r="C237" s="3"/>
      <c r="D237" s="3"/>
      <c r="E237" s="3"/>
      <c r="F237" s="3"/>
      <c r="G237" s="3"/>
      <c r="H237" s="3"/>
      <c r="I237" s="3"/>
      <c r="J237" s="3"/>
      <c r="K237" s="3"/>
      <c r="L237" s="3"/>
      <c r="M237" s="3"/>
      <c r="N237" s="3"/>
      <c r="O237" s="4"/>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row>
    <row r="238" spans="1:42" ht="14.25" customHeight="1" x14ac:dyDescent="0.2">
      <c r="A238" s="3"/>
      <c r="B238" s="3"/>
      <c r="C238" s="3"/>
      <c r="D238" s="3"/>
      <c r="E238" s="3"/>
      <c r="F238" s="3"/>
      <c r="G238" s="3"/>
      <c r="H238" s="3"/>
      <c r="I238" s="3"/>
      <c r="J238" s="3"/>
      <c r="K238" s="3"/>
      <c r="L238" s="3"/>
      <c r="M238" s="3"/>
      <c r="N238" s="3"/>
      <c r="O238" s="4"/>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row>
    <row r="239" spans="1:42" ht="14.25" customHeight="1" x14ac:dyDescent="0.2">
      <c r="A239" s="3"/>
      <c r="B239" s="3"/>
      <c r="C239" s="3"/>
      <c r="D239" s="3"/>
      <c r="E239" s="3"/>
      <c r="F239" s="3"/>
      <c r="G239" s="3"/>
      <c r="H239" s="3"/>
      <c r="I239" s="3"/>
      <c r="J239" s="3"/>
      <c r="K239" s="3"/>
      <c r="L239" s="3"/>
      <c r="M239" s="3"/>
      <c r="N239" s="3"/>
      <c r="O239" s="4"/>
      <c r="P239" s="4"/>
      <c r="Q239" s="4"/>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row>
    <row r="240" spans="1:42" ht="14.25" customHeight="1" x14ac:dyDescent="0.2">
      <c r="A240" s="3"/>
      <c r="B240" s="3"/>
      <c r="C240" s="3"/>
      <c r="D240" s="3"/>
      <c r="E240" s="3"/>
      <c r="F240" s="3"/>
      <c r="G240" s="3"/>
      <c r="H240" s="3"/>
      <c r="I240" s="3"/>
      <c r="J240" s="3"/>
      <c r="K240" s="3"/>
      <c r="L240" s="3"/>
      <c r="M240" s="3"/>
      <c r="N240" s="3"/>
      <c r="O240" s="4"/>
      <c r="P240" s="4"/>
      <c r="Q240" s="4"/>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row>
    <row r="241" spans="1:42" ht="14.25" customHeight="1" x14ac:dyDescent="0.2">
      <c r="A241" s="3"/>
      <c r="B241" s="3"/>
      <c r="C241" s="3"/>
      <c r="D241" s="3"/>
      <c r="E241" s="3"/>
      <c r="F241" s="3"/>
      <c r="G241" s="3"/>
      <c r="H241" s="3"/>
      <c r="I241" s="3"/>
      <c r="J241" s="3"/>
      <c r="K241" s="3"/>
      <c r="L241" s="3"/>
      <c r="M241" s="3"/>
      <c r="N241" s="3"/>
      <c r="O241" s="4"/>
      <c r="P241" s="4"/>
      <c r="Q241" s="4"/>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row>
    <row r="242" spans="1:42" ht="14.25" customHeight="1" x14ac:dyDescent="0.2">
      <c r="A242" s="3"/>
      <c r="B242" s="3"/>
      <c r="C242" s="3"/>
      <c r="D242" s="3"/>
      <c r="E242" s="3"/>
      <c r="F242" s="3"/>
      <c r="G242" s="3"/>
      <c r="H242" s="3"/>
      <c r="I242" s="3"/>
      <c r="J242" s="3"/>
      <c r="K242" s="3"/>
      <c r="L242" s="3"/>
      <c r="M242" s="3"/>
      <c r="N242" s="3"/>
      <c r="O242" s="4"/>
      <c r="P242" s="4"/>
      <c r="Q242" s="4"/>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row>
    <row r="243" spans="1:42" ht="14.25" customHeight="1" x14ac:dyDescent="0.2">
      <c r="A243" s="3"/>
      <c r="B243" s="3"/>
      <c r="C243" s="3"/>
      <c r="D243" s="3"/>
      <c r="E243" s="3"/>
      <c r="F243" s="3"/>
      <c r="G243" s="3"/>
      <c r="H243" s="3"/>
      <c r="I243" s="3"/>
      <c r="J243" s="3"/>
      <c r="K243" s="3"/>
      <c r="L243" s="3"/>
      <c r="M243" s="3"/>
      <c r="N243" s="3"/>
      <c r="O243" s="4"/>
      <c r="P243" s="4"/>
      <c r="Q243" s="4"/>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row>
    <row r="244" spans="1:42" ht="14.25" customHeight="1" x14ac:dyDescent="0.2">
      <c r="A244" s="3"/>
      <c r="B244" s="3"/>
      <c r="C244" s="3"/>
      <c r="D244" s="3"/>
      <c r="E244" s="3"/>
      <c r="F244" s="3"/>
      <c r="G244" s="3"/>
      <c r="H244" s="3"/>
      <c r="I244" s="3"/>
      <c r="J244" s="3"/>
      <c r="K244" s="3"/>
      <c r="L244" s="3"/>
      <c r="M244" s="3"/>
      <c r="N244" s="4"/>
      <c r="O244" s="3"/>
      <c r="P244" s="4"/>
      <c r="Q244" s="4"/>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row>
    <row r="245" spans="1:42" ht="14.25" customHeight="1" x14ac:dyDescent="0.2">
      <c r="A245" s="3"/>
      <c r="B245" s="3"/>
      <c r="C245" s="3"/>
      <c r="D245" s="3"/>
      <c r="E245" s="3"/>
      <c r="F245" s="3"/>
      <c r="G245" s="3"/>
      <c r="H245" s="3"/>
      <c r="I245" s="3"/>
      <c r="J245" s="3"/>
      <c r="K245" s="3"/>
      <c r="L245" s="3"/>
      <c r="M245" s="3"/>
      <c r="N245" s="3"/>
      <c r="O245" s="4"/>
      <c r="P245" s="4"/>
      <c r="Q245" s="4"/>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row>
    <row r="246" spans="1:42" ht="14.25" customHeight="1" x14ac:dyDescent="0.2">
      <c r="A246" s="3"/>
      <c r="B246" s="3"/>
      <c r="C246" s="3"/>
      <c r="D246" s="3"/>
      <c r="E246" s="3"/>
      <c r="F246" s="3"/>
      <c r="G246" s="3"/>
      <c r="H246" s="3"/>
      <c r="I246" s="3"/>
      <c r="J246" s="3"/>
      <c r="K246" s="3"/>
      <c r="L246" s="3"/>
      <c r="M246" s="3"/>
      <c r="N246" s="4"/>
      <c r="O246" s="3"/>
      <c r="P246" s="4"/>
      <c r="Q246" s="4"/>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row>
    <row r="247" spans="1:42" ht="14.25" customHeight="1" x14ac:dyDescent="0.2">
      <c r="A247" s="3"/>
      <c r="B247" s="3"/>
      <c r="C247" s="3"/>
      <c r="D247" s="3"/>
      <c r="E247" s="3"/>
      <c r="F247" s="3"/>
      <c r="G247" s="3"/>
      <c r="H247" s="3"/>
      <c r="I247" s="3"/>
      <c r="J247" s="3"/>
      <c r="K247" s="3"/>
      <c r="L247" s="3"/>
      <c r="M247" s="3"/>
      <c r="N247" s="4"/>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row>
    <row r="248" spans="1:42" ht="14.25" customHeight="1" x14ac:dyDescent="0.2">
      <c r="A248" s="3"/>
      <c r="B248" s="3"/>
      <c r="C248" s="3"/>
      <c r="D248" s="3"/>
      <c r="E248" s="3"/>
      <c r="F248" s="3"/>
      <c r="G248" s="3"/>
      <c r="H248" s="3"/>
      <c r="I248" s="3"/>
      <c r="J248" s="3"/>
      <c r="K248" s="3"/>
      <c r="L248" s="3"/>
      <c r="M248" s="3"/>
      <c r="N248" s="4"/>
      <c r="O248" s="3"/>
      <c r="P248" s="4"/>
      <c r="Q248" s="4"/>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row>
    <row r="249" spans="1:42" ht="14.25" customHeight="1" x14ac:dyDescent="0.2">
      <c r="A249" s="3"/>
      <c r="B249" s="3"/>
      <c r="C249" s="3"/>
      <c r="D249" s="3"/>
      <c r="E249" s="3"/>
      <c r="F249" s="3"/>
      <c r="G249" s="3"/>
      <c r="H249" s="3"/>
      <c r="I249" s="3"/>
      <c r="J249" s="3"/>
      <c r="K249" s="3"/>
      <c r="L249" s="3"/>
      <c r="M249" s="3"/>
      <c r="N249" s="3"/>
      <c r="O249" s="4"/>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row>
    <row r="250" spans="1:42" ht="14.25" customHeight="1" x14ac:dyDescent="0.2">
      <c r="A250" s="3"/>
      <c r="B250" s="3"/>
      <c r="C250" s="3"/>
      <c r="D250" s="3"/>
      <c r="E250" s="3"/>
      <c r="F250" s="3"/>
      <c r="G250" s="3"/>
      <c r="H250" s="3"/>
      <c r="I250" s="3"/>
      <c r="J250" s="3"/>
      <c r="K250" s="3"/>
      <c r="L250" s="3"/>
      <c r="M250" s="3"/>
      <c r="N250" s="3"/>
      <c r="O250" s="4"/>
      <c r="P250" s="4"/>
      <c r="Q250" s="4"/>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row>
    <row r="251" spans="1:42" ht="14.25" customHeight="1" x14ac:dyDescent="0.2">
      <c r="A251" s="3"/>
      <c r="B251" s="3"/>
      <c r="C251" s="3"/>
      <c r="D251" s="3"/>
      <c r="E251" s="3"/>
      <c r="F251" s="3"/>
      <c r="G251" s="3"/>
      <c r="H251" s="3"/>
      <c r="I251" s="3"/>
      <c r="J251" s="3"/>
      <c r="K251" s="3"/>
      <c r="L251" s="3"/>
      <c r="M251" s="3"/>
      <c r="N251" s="4"/>
      <c r="O251" s="3"/>
      <c r="P251" s="4"/>
      <c r="Q251" s="4"/>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row>
    <row r="252" spans="1:42" ht="14.25" customHeight="1" x14ac:dyDescent="0.2">
      <c r="A252" s="3"/>
      <c r="B252" s="3"/>
      <c r="C252" s="3"/>
      <c r="D252" s="3"/>
      <c r="E252" s="3"/>
      <c r="F252" s="3"/>
      <c r="G252" s="3"/>
      <c r="H252" s="3"/>
      <c r="I252" s="3"/>
      <c r="J252" s="3"/>
      <c r="K252" s="3"/>
      <c r="L252" s="3"/>
      <c r="M252" s="3"/>
      <c r="N252" s="4"/>
      <c r="O252" s="3"/>
      <c r="P252" s="4"/>
      <c r="Q252" s="4"/>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row>
    <row r="253" spans="1:42" ht="14.25" customHeight="1" x14ac:dyDescent="0.2">
      <c r="A253" s="3"/>
      <c r="B253" s="3"/>
      <c r="C253" s="3"/>
      <c r="D253" s="3"/>
      <c r="E253" s="3"/>
      <c r="F253" s="3"/>
      <c r="G253" s="3"/>
      <c r="H253" s="3"/>
      <c r="I253" s="3"/>
      <c r="J253" s="3"/>
      <c r="K253" s="3"/>
      <c r="L253" s="3"/>
      <c r="M253" s="3"/>
      <c r="N253" s="4"/>
      <c r="O253" s="3"/>
      <c r="P253" s="4"/>
      <c r="Q253" s="4"/>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row>
    <row r="254" spans="1:42" ht="14.25" customHeight="1" x14ac:dyDescent="0.2">
      <c r="A254" s="3"/>
      <c r="B254" s="3"/>
      <c r="C254" s="3"/>
      <c r="D254" s="3"/>
      <c r="E254" s="3"/>
      <c r="F254" s="3"/>
      <c r="G254" s="3"/>
      <c r="H254" s="3"/>
      <c r="I254" s="3"/>
      <c r="J254" s="3"/>
      <c r="K254" s="3"/>
      <c r="L254" s="3"/>
      <c r="M254" s="3"/>
      <c r="N254" s="3"/>
      <c r="O254" s="4"/>
      <c r="P254" s="4"/>
      <c r="Q254" s="4"/>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row>
    <row r="255" spans="1:42" ht="14.25" customHeight="1" x14ac:dyDescent="0.2">
      <c r="A255" s="3"/>
      <c r="B255" s="3"/>
      <c r="C255" s="3"/>
      <c r="D255" s="3"/>
      <c r="E255" s="3"/>
      <c r="F255" s="3"/>
      <c r="G255" s="3"/>
      <c r="H255" s="3"/>
      <c r="I255" s="3"/>
      <c r="J255" s="3"/>
      <c r="K255" s="3"/>
      <c r="L255" s="3"/>
      <c r="M255" s="3"/>
      <c r="N255" s="3"/>
      <c r="O255" s="4"/>
      <c r="P255" s="4"/>
      <c r="Q255" s="4"/>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row>
    <row r="256" spans="1:42" ht="14.25" customHeight="1" x14ac:dyDescent="0.2">
      <c r="A256" s="3"/>
      <c r="B256" s="3"/>
      <c r="C256" s="3"/>
      <c r="D256" s="3"/>
      <c r="E256" s="3"/>
      <c r="F256" s="3"/>
      <c r="G256" s="3"/>
      <c r="H256" s="3"/>
      <c r="I256" s="3"/>
      <c r="J256" s="3"/>
      <c r="K256" s="3"/>
      <c r="L256" s="3"/>
      <c r="M256" s="3"/>
      <c r="N256" s="4"/>
      <c r="O256" s="3"/>
      <c r="P256" s="4"/>
      <c r="Q256" s="4"/>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row>
    <row r="257" spans="1:42" ht="14.25" customHeight="1" x14ac:dyDescent="0.2">
      <c r="A257" s="3"/>
      <c r="B257" s="3"/>
      <c r="C257" s="3"/>
      <c r="D257" s="3"/>
      <c r="E257" s="3"/>
      <c r="F257" s="3"/>
      <c r="G257" s="3"/>
      <c r="H257" s="3"/>
      <c r="I257" s="3"/>
      <c r="J257" s="3"/>
      <c r="K257" s="3"/>
      <c r="L257" s="3"/>
      <c r="M257" s="3"/>
      <c r="N257" s="4"/>
      <c r="O257" s="3"/>
      <c r="P257" s="4"/>
      <c r="Q257" s="4"/>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row>
    <row r="258" spans="1:42" ht="14.25" customHeight="1" x14ac:dyDescent="0.2">
      <c r="A258" s="3"/>
      <c r="B258" s="3"/>
      <c r="C258" s="3"/>
      <c r="D258" s="3"/>
      <c r="E258" s="3"/>
      <c r="F258" s="3"/>
      <c r="G258" s="3"/>
      <c r="H258" s="3"/>
      <c r="I258" s="3"/>
      <c r="J258" s="3"/>
      <c r="K258" s="3"/>
      <c r="L258" s="3"/>
      <c r="M258" s="3"/>
      <c r="N258" s="4"/>
      <c r="O258" s="3"/>
      <c r="P258" s="4"/>
      <c r="Q258" s="4"/>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row>
    <row r="259" spans="1:42" ht="14.25" customHeight="1" x14ac:dyDescent="0.2">
      <c r="A259" s="3"/>
      <c r="B259" s="3"/>
      <c r="C259" s="3"/>
      <c r="D259" s="3"/>
      <c r="E259" s="3"/>
      <c r="F259" s="3"/>
      <c r="G259" s="3"/>
      <c r="H259" s="3"/>
      <c r="I259" s="3"/>
      <c r="J259" s="3"/>
      <c r="K259" s="3"/>
      <c r="L259" s="3"/>
      <c r="M259" s="3"/>
      <c r="N259" s="3"/>
      <c r="O259" s="4"/>
      <c r="P259" s="4"/>
      <c r="Q259" s="4"/>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row>
    <row r="260" spans="1:42" ht="14.25" customHeight="1" x14ac:dyDescent="0.2">
      <c r="A260" s="3"/>
      <c r="B260" s="3"/>
      <c r="C260" s="3"/>
      <c r="D260" s="3"/>
      <c r="E260" s="3"/>
      <c r="F260" s="3"/>
      <c r="G260" s="3"/>
      <c r="H260" s="3"/>
      <c r="I260" s="3"/>
      <c r="J260" s="3"/>
      <c r="K260" s="3"/>
      <c r="L260" s="3"/>
      <c r="M260" s="3"/>
      <c r="N260" s="4"/>
      <c r="O260" s="3"/>
      <c r="P260" s="4"/>
      <c r="Q260" s="4"/>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row>
    <row r="261" spans="1:42" ht="14.25" customHeight="1" x14ac:dyDescent="0.2">
      <c r="A261" s="3"/>
      <c r="B261" s="3"/>
      <c r="C261" s="3"/>
      <c r="D261" s="3"/>
      <c r="E261" s="3"/>
      <c r="F261" s="3"/>
      <c r="G261" s="3"/>
      <c r="H261" s="3"/>
      <c r="I261" s="3"/>
      <c r="J261" s="3"/>
      <c r="K261" s="3"/>
      <c r="L261" s="3"/>
      <c r="M261" s="3"/>
      <c r="N261" s="3"/>
      <c r="O261" s="4"/>
      <c r="P261" s="4"/>
      <c r="Q261" s="4"/>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row>
    <row r="262" spans="1:42" ht="14.25" customHeight="1" x14ac:dyDescent="0.2">
      <c r="A262" s="3"/>
      <c r="B262" s="3"/>
      <c r="C262" s="3"/>
      <c r="D262" s="3"/>
      <c r="E262" s="3"/>
      <c r="F262" s="3"/>
      <c r="G262" s="3"/>
      <c r="H262" s="3"/>
      <c r="I262" s="3"/>
      <c r="J262" s="3"/>
      <c r="K262" s="3"/>
      <c r="L262" s="3"/>
      <c r="M262" s="3"/>
      <c r="N262" s="4"/>
      <c r="O262" s="3"/>
      <c r="P262" s="4"/>
      <c r="Q262" s="4"/>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row>
    <row r="263" spans="1:42" ht="14.25" customHeight="1" x14ac:dyDescent="0.2">
      <c r="A263" s="3"/>
      <c r="B263" s="3"/>
      <c r="C263" s="3"/>
      <c r="D263" s="3"/>
      <c r="E263" s="3"/>
      <c r="F263" s="3"/>
      <c r="G263" s="3"/>
      <c r="H263" s="3"/>
      <c r="I263" s="3"/>
      <c r="J263" s="3"/>
      <c r="K263" s="3"/>
      <c r="L263" s="3"/>
      <c r="M263" s="3"/>
      <c r="N263" s="4"/>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row>
    <row r="264" spans="1:42" ht="14.25" customHeight="1" x14ac:dyDescent="0.2">
      <c r="A264" s="3"/>
      <c r="B264" s="3"/>
      <c r="C264" s="3"/>
      <c r="D264" s="3"/>
      <c r="E264" s="3"/>
      <c r="F264" s="3"/>
      <c r="G264" s="3"/>
      <c r="H264" s="3"/>
      <c r="I264" s="3"/>
      <c r="J264" s="3"/>
      <c r="K264" s="3"/>
      <c r="L264" s="3"/>
      <c r="M264" s="3"/>
      <c r="N264" s="3"/>
      <c r="O264" s="4"/>
      <c r="P264" s="4"/>
      <c r="Q264" s="4"/>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row>
    <row r="265" spans="1:42" ht="14.25" customHeight="1" x14ac:dyDescent="0.2">
      <c r="A265" s="3"/>
      <c r="B265" s="3"/>
      <c r="C265" s="3"/>
      <c r="D265" s="3"/>
      <c r="E265" s="3"/>
      <c r="F265" s="3"/>
      <c r="G265" s="3"/>
      <c r="H265" s="3"/>
      <c r="I265" s="3"/>
      <c r="J265" s="3"/>
      <c r="K265" s="3"/>
      <c r="L265" s="3"/>
      <c r="M265" s="3"/>
      <c r="N265" s="4"/>
      <c r="O265" s="3"/>
      <c r="P265" s="4"/>
      <c r="Q265" s="4"/>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row>
    <row r="266" spans="1:42" ht="14.25" customHeight="1" x14ac:dyDescent="0.2">
      <c r="A266" s="3"/>
      <c r="B266" s="3"/>
      <c r="C266" s="3"/>
      <c r="D266" s="3"/>
      <c r="E266" s="3"/>
      <c r="F266" s="3"/>
      <c r="G266" s="3"/>
      <c r="H266" s="3"/>
      <c r="I266" s="3"/>
      <c r="J266" s="3"/>
      <c r="K266" s="3"/>
      <c r="L266" s="3"/>
      <c r="M266" s="3"/>
      <c r="N266" s="3"/>
      <c r="O266" s="4"/>
      <c r="P266" s="4"/>
      <c r="Q266" s="4"/>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row>
    <row r="267" spans="1:42" ht="14.25" customHeight="1" x14ac:dyDescent="0.2">
      <c r="A267" s="3"/>
      <c r="B267" s="3"/>
      <c r="C267" s="3"/>
      <c r="D267" s="3"/>
      <c r="E267" s="3"/>
      <c r="F267" s="3"/>
      <c r="G267" s="3"/>
      <c r="H267" s="3"/>
      <c r="I267" s="3"/>
      <c r="J267" s="3"/>
      <c r="K267" s="3"/>
      <c r="L267" s="3"/>
      <c r="M267" s="3"/>
      <c r="N267" s="4"/>
      <c r="O267" s="3"/>
      <c r="P267" s="4"/>
      <c r="Q267" s="4"/>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row>
    <row r="268" spans="1:42" ht="14.25" customHeight="1" x14ac:dyDescent="0.2">
      <c r="A268" s="3"/>
      <c r="B268" s="3"/>
      <c r="C268" s="3"/>
      <c r="D268" s="3"/>
      <c r="E268" s="3"/>
      <c r="F268" s="3"/>
      <c r="G268" s="3"/>
      <c r="H268" s="3"/>
      <c r="I268" s="3"/>
      <c r="J268" s="3"/>
      <c r="K268" s="3"/>
      <c r="L268" s="3"/>
      <c r="M268" s="3"/>
      <c r="N268" s="4"/>
      <c r="O268" s="3"/>
      <c r="P268" s="4"/>
      <c r="Q268" s="4"/>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row>
    <row r="269" spans="1:42" ht="14.25" customHeight="1" x14ac:dyDescent="0.2">
      <c r="A269" s="3"/>
      <c r="B269" s="3"/>
      <c r="C269" s="3"/>
      <c r="D269" s="3"/>
      <c r="E269" s="3"/>
      <c r="F269" s="3"/>
      <c r="G269" s="3"/>
      <c r="H269" s="3"/>
      <c r="I269" s="3"/>
      <c r="J269" s="3"/>
      <c r="K269" s="3"/>
      <c r="L269" s="3"/>
      <c r="M269" s="3"/>
      <c r="N269" s="3"/>
      <c r="O269" s="4"/>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row>
    <row r="270" spans="1:42" ht="14.25" customHeight="1" x14ac:dyDescent="0.2">
      <c r="A270" s="3"/>
      <c r="B270" s="3"/>
      <c r="C270" s="3"/>
      <c r="D270" s="3"/>
      <c r="E270" s="3"/>
      <c r="F270" s="3"/>
      <c r="G270" s="3"/>
      <c r="H270" s="3"/>
      <c r="I270" s="3"/>
      <c r="J270" s="3"/>
      <c r="K270" s="3"/>
      <c r="L270" s="3"/>
      <c r="M270" s="3"/>
      <c r="N270" s="4"/>
      <c r="O270" s="3"/>
      <c r="P270" s="4"/>
      <c r="Q270" s="4"/>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row>
    <row r="271" spans="1:42" ht="14.25" customHeight="1" x14ac:dyDescent="0.2">
      <c r="A271" s="3"/>
      <c r="B271" s="3"/>
      <c r="C271" s="3"/>
      <c r="D271" s="3"/>
      <c r="E271" s="3"/>
      <c r="F271" s="3"/>
      <c r="G271" s="3"/>
      <c r="H271" s="3"/>
      <c r="I271" s="3"/>
      <c r="J271" s="3"/>
      <c r="K271" s="3"/>
      <c r="L271" s="3"/>
      <c r="M271" s="3"/>
      <c r="N271" s="4"/>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row>
    <row r="272" spans="1:42" ht="14.25" customHeight="1" x14ac:dyDescent="0.2">
      <c r="A272" s="3"/>
      <c r="B272" s="3"/>
      <c r="C272" s="3"/>
      <c r="D272" s="3"/>
      <c r="E272" s="3"/>
      <c r="F272" s="3"/>
      <c r="G272" s="3"/>
      <c r="H272" s="3"/>
      <c r="I272" s="3"/>
      <c r="J272" s="3"/>
      <c r="K272" s="3"/>
      <c r="L272" s="3"/>
      <c r="M272" s="3"/>
      <c r="N272" s="4"/>
      <c r="O272" s="3"/>
      <c r="P272" s="4"/>
      <c r="Q272" s="4"/>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row>
    <row r="273" spans="1:42" ht="14.25" customHeight="1" x14ac:dyDescent="0.2">
      <c r="A273" s="3"/>
      <c r="B273" s="3"/>
      <c r="C273" s="3"/>
      <c r="D273" s="3"/>
      <c r="E273" s="3"/>
      <c r="F273" s="3"/>
      <c r="G273" s="3"/>
      <c r="H273" s="3"/>
      <c r="I273" s="3"/>
      <c r="J273" s="3"/>
      <c r="K273" s="3"/>
      <c r="L273" s="3"/>
      <c r="M273" s="3"/>
      <c r="N273" s="4"/>
      <c r="O273" s="3"/>
      <c r="P273" s="4"/>
      <c r="Q273" s="4"/>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row>
    <row r="274" spans="1:42" ht="14.25" customHeight="1" x14ac:dyDescent="0.2">
      <c r="A274" s="3"/>
      <c r="B274" s="3"/>
      <c r="C274" s="3"/>
      <c r="D274" s="3"/>
      <c r="E274" s="3"/>
      <c r="F274" s="3"/>
      <c r="G274" s="3"/>
      <c r="H274" s="3"/>
      <c r="I274" s="3"/>
      <c r="J274" s="3"/>
      <c r="K274" s="3"/>
      <c r="L274" s="3"/>
      <c r="M274" s="3"/>
      <c r="N274" s="3"/>
      <c r="O274" s="4"/>
      <c r="P274" s="4"/>
      <c r="Q274" s="4"/>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row>
    <row r="275" spans="1:42" ht="14.25" customHeight="1" x14ac:dyDescent="0.2">
      <c r="A275" s="3"/>
      <c r="B275" s="3"/>
      <c r="C275" s="3"/>
      <c r="D275" s="3"/>
      <c r="E275" s="3"/>
      <c r="F275" s="3"/>
      <c r="G275" s="3"/>
      <c r="H275" s="3"/>
      <c r="I275" s="3"/>
      <c r="J275" s="3"/>
      <c r="K275" s="3"/>
      <c r="L275" s="3"/>
      <c r="M275" s="3"/>
      <c r="N275" s="3"/>
      <c r="O275" s="4"/>
      <c r="P275" s="4"/>
      <c r="Q275" s="4"/>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row>
    <row r="276" spans="1:42" ht="14.25" customHeight="1" x14ac:dyDescent="0.2">
      <c r="A276" s="3"/>
      <c r="B276" s="3"/>
      <c r="C276" s="3"/>
      <c r="D276" s="3"/>
      <c r="E276" s="3"/>
      <c r="F276" s="3"/>
      <c r="G276" s="3"/>
      <c r="H276" s="3"/>
      <c r="I276" s="3"/>
      <c r="J276" s="3"/>
      <c r="K276" s="3"/>
      <c r="L276" s="3"/>
      <c r="M276" s="3"/>
      <c r="N276" s="4"/>
      <c r="O276" s="3"/>
      <c r="P276" s="4"/>
      <c r="Q276" s="4"/>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row>
    <row r="277" spans="1:42" ht="14.25" customHeight="1" x14ac:dyDescent="0.2">
      <c r="A277" s="3"/>
      <c r="B277" s="3"/>
      <c r="C277" s="3"/>
      <c r="D277" s="3"/>
      <c r="E277" s="3"/>
      <c r="F277" s="3"/>
      <c r="G277" s="3"/>
      <c r="H277" s="3"/>
      <c r="I277" s="3"/>
      <c r="J277" s="3"/>
      <c r="K277" s="3"/>
      <c r="L277" s="3"/>
      <c r="M277" s="3"/>
      <c r="N277" s="4"/>
      <c r="O277" s="3"/>
      <c r="P277" s="4"/>
      <c r="Q277" s="4"/>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row>
    <row r="278" spans="1:42" ht="14.25" customHeight="1" x14ac:dyDescent="0.2">
      <c r="A278" s="3"/>
      <c r="B278" s="3"/>
      <c r="C278" s="3"/>
      <c r="D278" s="3"/>
      <c r="E278" s="3"/>
      <c r="F278" s="3"/>
      <c r="G278" s="3"/>
      <c r="H278" s="3"/>
      <c r="I278" s="3"/>
      <c r="J278" s="3"/>
      <c r="K278" s="3"/>
      <c r="L278" s="3"/>
      <c r="M278" s="3"/>
      <c r="N278" s="4"/>
      <c r="O278" s="3"/>
      <c r="P278" s="4"/>
      <c r="Q278" s="4"/>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row>
    <row r="279" spans="1:42" ht="14.25" customHeight="1" x14ac:dyDescent="0.2">
      <c r="A279" s="3"/>
      <c r="B279" s="3"/>
      <c r="C279" s="3"/>
      <c r="D279" s="3"/>
      <c r="E279" s="3"/>
      <c r="F279" s="3"/>
      <c r="G279" s="3"/>
      <c r="H279" s="3"/>
      <c r="I279" s="3"/>
      <c r="J279" s="3"/>
      <c r="K279" s="3"/>
      <c r="L279" s="3"/>
      <c r="M279" s="3"/>
      <c r="N279" s="4"/>
      <c r="O279" s="3"/>
      <c r="P279" s="4"/>
      <c r="Q279" s="4"/>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row>
    <row r="280" spans="1:42" ht="14.25" customHeight="1" x14ac:dyDescent="0.2">
      <c r="A280" s="3"/>
      <c r="B280" s="3"/>
      <c r="C280" s="3"/>
      <c r="D280" s="3"/>
      <c r="E280" s="3"/>
      <c r="F280" s="3"/>
      <c r="G280" s="3"/>
      <c r="H280" s="3"/>
      <c r="I280" s="3"/>
      <c r="J280" s="3"/>
      <c r="K280" s="3"/>
      <c r="L280" s="3"/>
      <c r="M280" s="3"/>
      <c r="N280" s="3"/>
      <c r="O280" s="4"/>
      <c r="P280" s="4"/>
      <c r="Q280" s="4"/>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row>
    <row r="281" spans="1:42" ht="14.25" customHeight="1" x14ac:dyDescent="0.2">
      <c r="A281" s="3"/>
      <c r="B281" s="3"/>
      <c r="C281" s="3"/>
      <c r="D281" s="3"/>
      <c r="E281" s="3"/>
      <c r="F281" s="3"/>
      <c r="G281" s="3"/>
      <c r="H281" s="3"/>
      <c r="I281" s="3"/>
      <c r="J281" s="3"/>
      <c r="K281" s="3"/>
      <c r="L281" s="3"/>
      <c r="M281" s="3"/>
      <c r="N281" s="4"/>
      <c r="O281" s="3"/>
      <c r="P281" s="4"/>
      <c r="Q281" s="4"/>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row>
    <row r="282" spans="1:42" ht="14.25" customHeight="1" x14ac:dyDescent="0.2">
      <c r="A282" s="3"/>
      <c r="B282" s="3"/>
      <c r="C282" s="3"/>
      <c r="D282" s="3"/>
      <c r="E282" s="3"/>
      <c r="F282" s="3"/>
      <c r="G282" s="3"/>
      <c r="H282" s="3"/>
      <c r="I282" s="3"/>
      <c r="J282" s="3"/>
      <c r="K282" s="3"/>
      <c r="L282" s="3"/>
      <c r="M282" s="3"/>
      <c r="N282" s="4"/>
      <c r="O282" s="3"/>
      <c r="P282" s="4"/>
      <c r="Q282" s="4"/>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row>
    <row r="283" spans="1:42" ht="14.25" customHeight="1" x14ac:dyDescent="0.2">
      <c r="A283" s="3"/>
      <c r="B283" s="3"/>
      <c r="C283" s="3"/>
      <c r="D283" s="3"/>
      <c r="E283" s="3"/>
      <c r="F283" s="3"/>
      <c r="G283" s="3"/>
      <c r="H283" s="3"/>
      <c r="I283" s="3"/>
      <c r="J283" s="3"/>
      <c r="K283" s="3"/>
      <c r="L283" s="3"/>
      <c r="M283" s="3"/>
      <c r="N283" s="4"/>
      <c r="O283" s="3"/>
      <c r="P283" s="4"/>
      <c r="Q283" s="4"/>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row>
    <row r="284" spans="1:42" ht="14.25" customHeight="1" x14ac:dyDescent="0.2">
      <c r="A284" s="3"/>
      <c r="B284" s="3"/>
      <c r="C284" s="3"/>
      <c r="D284" s="3"/>
      <c r="E284" s="3"/>
      <c r="F284" s="3"/>
      <c r="G284" s="3"/>
      <c r="H284" s="3"/>
      <c r="I284" s="3"/>
      <c r="J284" s="3"/>
      <c r="K284" s="3"/>
      <c r="L284" s="3"/>
      <c r="M284" s="3"/>
      <c r="N284" s="4"/>
      <c r="O284" s="3"/>
      <c r="P284" s="4"/>
      <c r="Q284" s="4"/>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row>
    <row r="285" spans="1:42" ht="14.25" customHeight="1" x14ac:dyDescent="0.2">
      <c r="A285" s="3"/>
      <c r="B285" s="3"/>
      <c r="C285" s="3"/>
      <c r="D285" s="3"/>
      <c r="E285" s="3"/>
      <c r="F285" s="3"/>
      <c r="G285" s="3"/>
      <c r="H285" s="3"/>
      <c r="I285" s="3"/>
      <c r="J285" s="3"/>
      <c r="K285" s="3"/>
      <c r="L285" s="3"/>
      <c r="M285" s="3"/>
      <c r="N285" s="3"/>
      <c r="O285" s="4"/>
      <c r="P285" s="4"/>
      <c r="Q285" s="4"/>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row>
    <row r="286" spans="1:42" ht="14.25" customHeight="1" x14ac:dyDescent="0.2">
      <c r="A286" s="3"/>
      <c r="B286" s="3"/>
      <c r="C286" s="3"/>
      <c r="D286" s="3"/>
      <c r="E286" s="3"/>
      <c r="F286" s="3"/>
      <c r="G286" s="3"/>
      <c r="H286" s="3"/>
      <c r="I286" s="3"/>
      <c r="J286" s="3"/>
      <c r="K286" s="3"/>
      <c r="L286" s="3"/>
      <c r="M286" s="3"/>
      <c r="N286" s="4"/>
      <c r="O286" s="3"/>
      <c r="P286" s="4"/>
      <c r="Q286" s="4"/>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row>
    <row r="287" spans="1:42" ht="14.25" customHeight="1" x14ac:dyDescent="0.2">
      <c r="A287" s="3"/>
      <c r="B287" s="3"/>
      <c r="C287" s="3"/>
      <c r="D287" s="3"/>
      <c r="E287" s="3"/>
      <c r="F287" s="3"/>
      <c r="G287" s="3"/>
      <c r="H287" s="3"/>
      <c r="I287" s="3"/>
      <c r="J287" s="3"/>
      <c r="K287" s="3"/>
      <c r="L287" s="3"/>
      <c r="M287" s="3"/>
      <c r="N287" s="3"/>
      <c r="O287" s="4"/>
      <c r="P287" s="4"/>
      <c r="Q287" s="4"/>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row>
    <row r="288" spans="1:42" ht="14.25" customHeight="1" x14ac:dyDescent="0.2">
      <c r="A288" s="3"/>
      <c r="B288" s="3"/>
      <c r="C288" s="3"/>
      <c r="D288" s="3"/>
      <c r="E288" s="3"/>
      <c r="F288" s="3"/>
      <c r="G288" s="3"/>
      <c r="H288" s="3"/>
      <c r="I288" s="3"/>
      <c r="J288" s="3"/>
      <c r="K288" s="3"/>
      <c r="L288" s="3"/>
      <c r="M288" s="3"/>
      <c r="N288" s="4"/>
      <c r="O288" s="3"/>
      <c r="P288" s="4"/>
      <c r="Q288" s="4"/>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row>
    <row r="289" spans="1:42" ht="14.25" customHeight="1" x14ac:dyDescent="0.2">
      <c r="A289" s="3"/>
      <c r="B289" s="3"/>
      <c r="C289" s="3"/>
      <c r="D289" s="3"/>
      <c r="E289" s="3"/>
      <c r="F289" s="3"/>
      <c r="G289" s="3"/>
      <c r="H289" s="3"/>
      <c r="I289" s="3"/>
      <c r="J289" s="3"/>
      <c r="K289" s="3"/>
      <c r="L289" s="3"/>
      <c r="M289" s="3"/>
      <c r="N289" s="4"/>
      <c r="O289" s="3"/>
      <c r="P289" s="4"/>
      <c r="Q289" s="4"/>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row>
    <row r="290" spans="1:42" ht="14.25" customHeight="1" x14ac:dyDescent="0.2">
      <c r="A290" s="3"/>
      <c r="B290" s="3"/>
      <c r="C290" s="3"/>
      <c r="D290" s="3"/>
      <c r="E290" s="3"/>
      <c r="F290" s="3"/>
      <c r="G290" s="3"/>
      <c r="H290" s="3"/>
      <c r="I290" s="3"/>
      <c r="J290" s="3"/>
      <c r="K290" s="3"/>
      <c r="L290" s="3"/>
      <c r="M290" s="3"/>
      <c r="N290" s="3"/>
      <c r="O290" s="4"/>
      <c r="P290" s="4"/>
      <c r="Q290" s="4"/>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row>
    <row r="291" spans="1:42" ht="14.25" customHeight="1" x14ac:dyDescent="0.2">
      <c r="A291" s="3"/>
      <c r="B291" s="3"/>
      <c r="C291" s="3"/>
      <c r="D291" s="3"/>
      <c r="E291" s="3"/>
      <c r="F291" s="3"/>
      <c r="G291" s="3"/>
      <c r="H291" s="3"/>
      <c r="I291" s="3"/>
      <c r="J291" s="3"/>
      <c r="K291" s="3"/>
      <c r="L291" s="3"/>
      <c r="M291" s="3"/>
      <c r="N291" s="4"/>
      <c r="O291" s="3"/>
      <c r="P291" s="4"/>
      <c r="Q291" s="4"/>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row>
    <row r="292" spans="1:42" ht="14.25" customHeight="1" x14ac:dyDescent="0.2">
      <c r="A292" s="3"/>
      <c r="B292" s="3"/>
      <c r="C292" s="3"/>
      <c r="D292" s="3"/>
      <c r="E292" s="3"/>
      <c r="F292" s="3"/>
      <c r="G292" s="3"/>
      <c r="H292" s="3"/>
      <c r="I292" s="3"/>
      <c r="J292" s="3"/>
      <c r="K292" s="3"/>
      <c r="L292" s="3"/>
      <c r="M292" s="3"/>
      <c r="N292" s="3"/>
      <c r="O292" s="4"/>
      <c r="P292" s="4"/>
      <c r="Q292" s="4"/>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row>
    <row r="293" spans="1:42" ht="14.25" customHeight="1" x14ac:dyDescent="0.2">
      <c r="A293" s="3"/>
      <c r="B293" s="3"/>
      <c r="C293" s="3"/>
      <c r="D293" s="3"/>
      <c r="E293" s="3"/>
      <c r="F293" s="3"/>
      <c r="G293" s="3"/>
      <c r="H293" s="3"/>
      <c r="I293" s="3"/>
      <c r="J293" s="3"/>
      <c r="K293" s="3"/>
      <c r="L293" s="3"/>
      <c r="M293" s="3"/>
      <c r="N293" s="4"/>
      <c r="O293" s="3"/>
      <c r="P293" s="4"/>
      <c r="Q293" s="4"/>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row>
    <row r="294" spans="1:42" ht="14.25" customHeight="1" x14ac:dyDescent="0.2">
      <c r="A294" s="3"/>
      <c r="B294" s="3"/>
      <c r="C294" s="3"/>
      <c r="D294" s="3"/>
      <c r="E294" s="3"/>
      <c r="F294" s="3"/>
      <c r="G294" s="3"/>
      <c r="H294" s="3"/>
      <c r="I294" s="3"/>
      <c r="J294" s="3"/>
      <c r="K294" s="3"/>
      <c r="L294" s="3"/>
      <c r="M294" s="3"/>
      <c r="N294" s="3"/>
      <c r="O294" s="4"/>
      <c r="P294" s="4"/>
      <c r="Q294" s="4"/>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row>
    <row r="295" spans="1:42" ht="14.25" customHeight="1" x14ac:dyDescent="0.2">
      <c r="A295" s="3"/>
      <c r="B295" s="3"/>
      <c r="C295" s="3"/>
      <c r="D295" s="3"/>
      <c r="E295" s="3"/>
      <c r="F295" s="3"/>
      <c r="G295" s="3"/>
      <c r="H295" s="3"/>
      <c r="I295" s="3"/>
      <c r="J295" s="3"/>
      <c r="K295" s="3"/>
      <c r="L295" s="3"/>
      <c r="M295" s="3"/>
      <c r="N295" s="4"/>
      <c r="O295" s="3"/>
      <c r="P295" s="4"/>
      <c r="Q295" s="4"/>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row>
    <row r="296" spans="1:42" ht="14.25" customHeight="1" x14ac:dyDescent="0.2">
      <c r="A296" s="3"/>
      <c r="B296" s="3"/>
      <c r="C296" s="3"/>
      <c r="D296" s="3"/>
      <c r="E296" s="3"/>
      <c r="F296" s="3"/>
      <c r="G296" s="3"/>
      <c r="H296" s="3"/>
      <c r="I296" s="3"/>
      <c r="J296" s="3"/>
      <c r="K296" s="3"/>
      <c r="L296" s="3"/>
      <c r="M296" s="3"/>
      <c r="N296" s="4"/>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row>
    <row r="297" spans="1:42" ht="14.25" customHeight="1" x14ac:dyDescent="0.2">
      <c r="A297" s="3"/>
      <c r="B297" s="3"/>
      <c r="C297" s="3"/>
      <c r="D297" s="3"/>
      <c r="E297" s="3"/>
      <c r="F297" s="3"/>
      <c r="G297" s="3"/>
      <c r="H297" s="3"/>
      <c r="I297" s="3"/>
      <c r="J297" s="3"/>
      <c r="K297" s="3"/>
      <c r="L297" s="3"/>
      <c r="M297" s="3"/>
      <c r="N297" s="4"/>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row>
    <row r="298" spans="1:42" ht="14.25" customHeight="1" x14ac:dyDescent="0.2">
      <c r="A298" s="3"/>
      <c r="B298" s="3"/>
      <c r="C298" s="3"/>
      <c r="D298" s="3"/>
      <c r="E298" s="3"/>
      <c r="F298" s="3"/>
      <c r="G298" s="3"/>
      <c r="H298" s="3"/>
      <c r="I298" s="3"/>
      <c r="J298" s="3"/>
      <c r="K298" s="3"/>
      <c r="L298" s="3"/>
      <c r="M298" s="3"/>
      <c r="N298" s="4"/>
      <c r="O298" s="3"/>
      <c r="P298" s="4"/>
      <c r="Q298" s="4"/>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row>
    <row r="299" spans="1:42" ht="14.25" customHeight="1" x14ac:dyDescent="0.2">
      <c r="A299" s="3"/>
      <c r="B299" s="3"/>
      <c r="C299" s="3"/>
      <c r="D299" s="3"/>
      <c r="E299" s="3"/>
      <c r="F299" s="3"/>
      <c r="G299" s="3"/>
      <c r="H299" s="3"/>
      <c r="I299" s="3"/>
      <c r="J299" s="3"/>
      <c r="K299" s="3"/>
      <c r="L299" s="3"/>
      <c r="M299" s="3"/>
      <c r="N299" s="4"/>
      <c r="O299" s="3"/>
      <c r="P299" s="4"/>
      <c r="Q299" s="4"/>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row>
    <row r="300" spans="1:42" ht="14.25" customHeight="1" x14ac:dyDescent="0.2">
      <c r="A300" s="3"/>
      <c r="B300" s="3"/>
      <c r="C300" s="3"/>
      <c r="D300" s="3"/>
      <c r="E300" s="3"/>
      <c r="F300" s="3"/>
      <c r="G300" s="3"/>
      <c r="H300" s="3"/>
      <c r="I300" s="3"/>
      <c r="J300" s="3"/>
      <c r="K300" s="3"/>
      <c r="L300" s="3"/>
      <c r="M300" s="3"/>
      <c r="N300" s="4"/>
      <c r="O300" s="3"/>
      <c r="P300" s="4"/>
      <c r="Q300" s="4"/>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row>
    <row r="301" spans="1:42" ht="14.25" customHeight="1" x14ac:dyDescent="0.2">
      <c r="A301" s="3"/>
      <c r="B301" s="3"/>
      <c r="C301" s="3"/>
      <c r="D301" s="3"/>
      <c r="E301" s="3"/>
      <c r="F301" s="3"/>
      <c r="G301" s="3"/>
      <c r="H301" s="3"/>
      <c r="I301" s="3"/>
      <c r="J301" s="3"/>
      <c r="K301" s="3"/>
      <c r="L301" s="3"/>
      <c r="M301" s="3"/>
      <c r="N301" s="3"/>
      <c r="O301" s="4"/>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row>
    <row r="302" spans="1:42" ht="14.25" customHeight="1" x14ac:dyDescent="0.2">
      <c r="A302" s="3"/>
      <c r="B302" s="3"/>
      <c r="C302" s="3"/>
      <c r="D302" s="3"/>
      <c r="E302" s="3"/>
      <c r="F302" s="3"/>
      <c r="G302" s="3"/>
      <c r="H302" s="3"/>
      <c r="I302" s="3"/>
      <c r="J302" s="3"/>
      <c r="K302" s="3"/>
      <c r="L302" s="3"/>
      <c r="M302" s="3"/>
      <c r="N302" s="4"/>
      <c r="O302" s="3"/>
      <c r="P302" s="4"/>
      <c r="Q302" s="4"/>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row>
    <row r="303" spans="1:42" ht="14.25" customHeight="1" x14ac:dyDescent="0.2">
      <c r="A303" s="3"/>
      <c r="B303" s="3"/>
      <c r="C303" s="3"/>
      <c r="D303" s="3"/>
      <c r="E303" s="3"/>
      <c r="F303" s="3"/>
      <c r="G303" s="3"/>
      <c r="H303" s="3"/>
      <c r="I303" s="3"/>
      <c r="J303" s="3"/>
      <c r="K303" s="3"/>
      <c r="L303" s="3"/>
      <c r="M303" s="3"/>
      <c r="N303" s="4"/>
      <c r="O303" s="3"/>
      <c r="P303" s="4"/>
      <c r="Q303" s="4"/>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row>
    <row r="304" spans="1:42" ht="14.25" customHeight="1" x14ac:dyDescent="0.2">
      <c r="A304" s="3"/>
      <c r="B304" s="3"/>
      <c r="C304" s="3"/>
      <c r="D304" s="3"/>
      <c r="E304" s="3"/>
      <c r="F304" s="3"/>
      <c r="G304" s="3"/>
      <c r="H304" s="3"/>
      <c r="I304" s="3"/>
      <c r="J304" s="3"/>
      <c r="K304" s="3"/>
      <c r="L304" s="3"/>
      <c r="M304" s="3"/>
      <c r="N304" s="4"/>
      <c r="O304" s="3"/>
      <c r="P304" s="4"/>
      <c r="Q304" s="4"/>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row>
    <row r="305" spans="1:42" ht="14.25" customHeight="1" x14ac:dyDescent="0.2">
      <c r="A305" s="3"/>
      <c r="B305" s="3"/>
      <c r="C305" s="3"/>
      <c r="D305" s="3"/>
      <c r="E305" s="3"/>
      <c r="F305" s="3"/>
      <c r="G305" s="3"/>
      <c r="H305" s="3"/>
      <c r="I305" s="3"/>
      <c r="J305" s="3"/>
      <c r="K305" s="3"/>
      <c r="L305" s="3"/>
      <c r="M305" s="3"/>
      <c r="N305" s="4"/>
      <c r="O305" s="3"/>
      <c r="P305" s="4"/>
      <c r="Q305" s="4"/>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row>
    <row r="306" spans="1:42" ht="14.25" customHeight="1" x14ac:dyDescent="0.2">
      <c r="A306" s="3"/>
      <c r="B306" s="3"/>
      <c r="C306" s="3"/>
      <c r="D306" s="3"/>
      <c r="E306" s="3"/>
      <c r="F306" s="3"/>
      <c r="G306" s="3"/>
      <c r="H306" s="3"/>
      <c r="I306" s="3"/>
      <c r="J306" s="3"/>
      <c r="K306" s="3"/>
      <c r="L306" s="3"/>
      <c r="M306" s="3"/>
      <c r="N306" s="4"/>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row>
    <row r="307" spans="1:42" ht="14.25" customHeight="1" x14ac:dyDescent="0.2">
      <c r="A307" s="3"/>
      <c r="B307" s="3"/>
      <c r="C307" s="3"/>
      <c r="D307" s="3"/>
      <c r="E307" s="3"/>
      <c r="F307" s="3"/>
      <c r="G307" s="3"/>
      <c r="H307" s="3"/>
      <c r="I307" s="3"/>
      <c r="J307" s="3"/>
      <c r="K307" s="3"/>
      <c r="L307" s="3"/>
      <c r="M307" s="3"/>
      <c r="N307" s="4"/>
      <c r="O307" s="3"/>
      <c r="P307" s="4"/>
      <c r="Q307" s="4"/>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row>
    <row r="308" spans="1:42" ht="14.25" customHeight="1" x14ac:dyDescent="0.2">
      <c r="A308" s="3"/>
      <c r="B308" s="3"/>
      <c r="C308" s="3"/>
      <c r="D308" s="3"/>
      <c r="E308" s="3"/>
      <c r="F308" s="3"/>
      <c r="G308" s="3"/>
      <c r="H308" s="3"/>
      <c r="I308" s="3"/>
      <c r="J308" s="3"/>
      <c r="K308" s="3"/>
      <c r="L308" s="3"/>
      <c r="M308" s="3"/>
      <c r="N308" s="4"/>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row>
    <row r="309" spans="1:42" ht="14.25" customHeight="1" x14ac:dyDescent="0.2">
      <c r="A309" s="3"/>
      <c r="B309" s="3"/>
      <c r="C309" s="3"/>
      <c r="D309" s="3"/>
      <c r="E309" s="3"/>
      <c r="F309" s="3"/>
      <c r="G309" s="3"/>
      <c r="H309" s="3"/>
      <c r="I309" s="3"/>
      <c r="J309" s="3"/>
      <c r="K309" s="3"/>
      <c r="L309" s="3"/>
      <c r="M309" s="3"/>
      <c r="N309" s="3"/>
      <c r="O309" s="4"/>
      <c r="P309" s="4"/>
      <c r="Q309" s="4"/>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row>
    <row r="310" spans="1:42" ht="14.25" customHeight="1" x14ac:dyDescent="0.2">
      <c r="A310" s="3"/>
      <c r="B310" s="3"/>
      <c r="C310" s="3"/>
      <c r="D310" s="3"/>
      <c r="E310" s="3"/>
      <c r="F310" s="3"/>
      <c r="G310" s="3"/>
      <c r="H310" s="3"/>
      <c r="I310" s="3"/>
      <c r="J310" s="3"/>
      <c r="K310" s="3"/>
      <c r="L310" s="3"/>
      <c r="M310" s="3"/>
      <c r="N310" s="4"/>
      <c r="O310" s="3"/>
      <c r="P310" s="4"/>
      <c r="Q310" s="4"/>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row>
    <row r="311" spans="1:42" ht="14.25" customHeight="1" x14ac:dyDescent="0.2">
      <c r="A311" s="3"/>
      <c r="B311" s="3"/>
      <c r="C311" s="3"/>
      <c r="D311" s="3"/>
      <c r="E311" s="3"/>
      <c r="F311" s="3"/>
      <c r="G311" s="3"/>
      <c r="H311" s="3"/>
      <c r="I311" s="3"/>
      <c r="J311" s="3"/>
      <c r="K311" s="3"/>
      <c r="L311" s="3"/>
      <c r="M311" s="3"/>
      <c r="N311" s="4"/>
      <c r="O311" s="3"/>
      <c r="P311" s="4"/>
      <c r="Q311" s="4"/>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row>
    <row r="312" spans="1:42" ht="14.25" customHeight="1" x14ac:dyDescent="0.2">
      <c r="A312" s="3"/>
      <c r="B312" s="3"/>
      <c r="C312" s="3"/>
      <c r="D312" s="3"/>
      <c r="E312" s="3"/>
      <c r="F312" s="3"/>
      <c r="G312" s="3"/>
      <c r="H312" s="3"/>
      <c r="I312" s="3"/>
      <c r="J312" s="3"/>
      <c r="K312" s="3"/>
      <c r="L312" s="3"/>
      <c r="M312" s="3"/>
      <c r="N312" s="4"/>
      <c r="O312" s="3"/>
      <c r="P312" s="4"/>
      <c r="Q312" s="4"/>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row>
    <row r="313" spans="1:42" ht="14.25" customHeight="1" x14ac:dyDescent="0.2">
      <c r="A313" s="3"/>
      <c r="B313" s="3"/>
      <c r="C313" s="3"/>
      <c r="D313" s="3"/>
      <c r="E313" s="3"/>
      <c r="F313" s="3"/>
      <c r="G313" s="3"/>
      <c r="H313" s="3"/>
      <c r="I313" s="3"/>
      <c r="J313" s="3"/>
      <c r="K313" s="3"/>
      <c r="L313" s="3"/>
      <c r="M313" s="3"/>
      <c r="N313" s="4"/>
      <c r="O313" s="3"/>
      <c r="P313" s="4"/>
      <c r="Q313" s="4"/>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row>
    <row r="314" spans="1:42" ht="14.25" customHeight="1" x14ac:dyDescent="0.2">
      <c r="A314" s="3"/>
      <c r="B314" s="3"/>
      <c r="C314" s="3"/>
      <c r="D314" s="3"/>
      <c r="E314" s="3"/>
      <c r="F314" s="3"/>
      <c r="G314" s="3"/>
      <c r="H314" s="3"/>
      <c r="I314" s="3"/>
      <c r="J314" s="3"/>
      <c r="K314" s="3"/>
      <c r="L314" s="3"/>
      <c r="M314" s="3"/>
      <c r="N314" s="4"/>
      <c r="O314" s="3"/>
      <c r="P314" s="4"/>
      <c r="Q314" s="4"/>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row>
    <row r="315" spans="1:42" ht="14.25" customHeight="1" x14ac:dyDescent="0.2">
      <c r="A315" s="3"/>
      <c r="B315" s="3"/>
      <c r="C315" s="3"/>
      <c r="D315" s="3"/>
      <c r="E315" s="3"/>
      <c r="F315" s="3"/>
      <c r="G315" s="3"/>
      <c r="H315" s="3"/>
      <c r="I315" s="3"/>
      <c r="J315" s="3"/>
      <c r="K315" s="3"/>
      <c r="L315" s="3"/>
      <c r="M315" s="3"/>
      <c r="N315" s="4"/>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row>
    <row r="316" spans="1:42" ht="14.25" customHeight="1" x14ac:dyDescent="0.2">
      <c r="A316" s="3"/>
      <c r="B316" s="3"/>
      <c r="C316" s="3"/>
      <c r="D316" s="3"/>
      <c r="E316" s="3"/>
      <c r="F316" s="3"/>
      <c r="G316" s="3"/>
      <c r="H316" s="3"/>
      <c r="I316" s="3"/>
      <c r="J316" s="3"/>
      <c r="K316" s="3"/>
      <c r="L316" s="3"/>
      <c r="M316" s="3"/>
      <c r="N316" s="4"/>
      <c r="O316" s="3"/>
      <c r="P316" s="4"/>
      <c r="Q316" s="4"/>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row>
    <row r="317" spans="1:42" ht="14.25" customHeight="1" x14ac:dyDescent="0.2">
      <c r="A317" s="3"/>
      <c r="B317" s="3"/>
      <c r="C317" s="3"/>
      <c r="D317" s="3"/>
      <c r="E317" s="3"/>
      <c r="F317" s="3"/>
      <c r="G317" s="3"/>
      <c r="H317" s="3"/>
      <c r="I317" s="3"/>
      <c r="J317" s="3"/>
      <c r="K317" s="3"/>
      <c r="L317" s="3"/>
      <c r="M317" s="3"/>
      <c r="N317" s="3"/>
      <c r="O317" s="4"/>
      <c r="P317" s="4"/>
      <c r="Q317" s="4"/>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row>
    <row r="318" spans="1:42" ht="14.25" customHeight="1" x14ac:dyDescent="0.2">
      <c r="A318" s="3"/>
      <c r="B318" s="3"/>
      <c r="C318" s="3"/>
      <c r="D318" s="3"/>
      <c r="E318" s="3"/>
      <c r="F318" s="3"/>
      <c r="G318" s="3"/>
      <c r="H318" s="3"/>
      <c r="I318" s="3"/>
      <c r="J318" s="3"/>
      <c r="K318" s="3"/>
      <c r="L318" s="3"/>
      <c r="M318" s="3"/>
      <c r="N318" s="3"/>
      <c r="O318" s="4"/>
      <c r="P318" s="4"/>
      <c r="Q318" s="4"/>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row>
    <row r="319" spans="1:42" ht="14.25" customHeight="1" x14ac:dyDescent="0.2">
      <c r="A319" s="3"/>
      <c r="B319" s="3"/>
      <c r="C319" s="3"/>
      <c r="D319" s="3"/>
      <c r="E319" s="3"/>
      <c r="F319" s="3"/>
      <c r="G319" s="3"/>
      <c r="H319" s="3"/>
      <c r="I319" s="3"/>
      <c r="J319" s="3"/>
      <c r="K319" s="3"/>
      <c r="L319" s="3"/>
      <c r="M319" s="3"/>
      <c r="N319" s="4"/>
      <c r="O319" s="3"/>
      <c r="P319" s="4"/>
      <c r="Q319" s="4"/>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row>
    <row r="320" spans="1:42" ht="14.25" customHeight="1" x14ac:dyDescent="0.2">
      <c r="A320" s="3"/>
      <c r="B320" s="3"/>
      <c r="C320" s="3"/>
      <c r="D320" s="3"/>
      <c r="E320" s="3"/>
      <c r="F320" s="3"/>
      <c r="G320" s="3"/>
      <c r="H320" s="3"/>
      <c r="I320" s="3"/>
      <c r="J320" s="3"/>
      <c r="K320" s="3"/>
      <c r="L320" s="3"/>
      <c r="M320" s="3"/>
      <c r="N320" s="4"/>
      <c r="O320" s="3"/>
      <c r="P320" s="4"/>
      <c r="Q320" s="4"/>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row>
    <row r="321" spans="1:42" ht="14.25" customHeight="1" x14ac:dyDescent="0.2">
      <c r="A321" s="3"/>
      <c r="B321" s="3"/>
      <c r="C321" s="3"/>
      <c r="D321" s="3"/>
      <c r="E321" s="3"/>
      <c r="F321" s="3"/>
      <c r="G321" s="3"/>
      <c r="H321" s="3"/>
      <c r="I321" s="3"/>
      <c r="J321" s="3"/>
      <c r="K321" s="3"/>
      <c r="L321" s="3"/>
      <c r="M321" s="3"/>
      <c r="N321" s="3"/>
      <c r="O321" s="4"/>
      <c r="P321" s="4"/>
      <c r="Q321" s="4"/>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row>
    <row r="322" spans="1:42" ht="14.25" customHeight="1" x14ac:dyDescent="0.2">
      <c r="A322" s="3"/>
      <c r="B322" s="3"/>
      <c r="C322" s="3"/>
      <c r="D322" s="3"/>
      <c r="E322" s="3"/>
      <c r="F322" s="3"/>
      <c r="G322" s="3"/>
      <c r="H322" s="3"/>
      <c r="I322" s="3"/>
      <c r="J322" s="3"/>
      <c r="K322" s="3"/>
      <c r="L322" s="3"/>
      <c r="M322" s="3"/>
      <c r="N322" s="4"/>
      <c r="O322" s="3"/>
      <c r="P322" s="4"/>
      <c r="Q322" s="4"/>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row>
    <row r="323" spans="1:42" ht="14.25" customHeight="1" x14ac:dyDescent="0.2">
      <c r="A323" s="3"/>
      <c r="B323" s="3"/>
      <c r="C323" s="3"/>
      <c r="D323" s="3"/>
      <c r="E323" s="3"/>
      <c r="F323" s="3"/>
      <c r="G323" s="3"/>
      <c r="H323" s="3"/>
      <c r="I323" s="3"/>
      <c r="J323" s="3"/>
      <c r="K323" s="3"/>
      <c r="L323" s="3"/>
      <c r="M323" s="3"/>
      <c r="N323" s="4"/>
      <c r="O323" s="3"/>
      <c r="P323" s="4"/>
      <c r="Q323" s="4"/>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row>
    <row r="324" spans="1:42" ht="14.25" customHeight="1" x14ac:dyDescent="0.2">
      <c r="A324" s="3"/>
      <c r="B324" s="3"/>
      <c r="C324" s="3"/>
      <c r="D324" s="3"/>
      <c r="E324" s="3"/>
      <c r="F324" s="3"/>
      <c r="G324" s="3"/>
      <c r="H324" s="3"/>
      <c r="I324" s="3"/>
      <c r="J324" s="3"/>
      <c r="K324" s="3"/>
      <c r="L324" s="3"/>
      <c r="M324" s="3"/>
      <c r="N324" s="3"/>
      <c r="O324" s="4"/>
      <c r="P324" s="4"/>
      <c r="Q324" s="4"/>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row>
    <row r="325" spans="1:42" ht="14.25" customHeight="1" x14ac:dyDescent="0.2">
      <c r="A325" s="3"/>
      <c r="B325" s="3"/>
      <c r="C325" s="3"/>
      <c r="D325" s="3"/>
      <c r="E325" s="3"/>
      <c r="F325" s="3"/>
      <c r="G325" s="3"/>
      <c r="H325" s="3"/>
      <c r="I325" s="3"/>
      <c r="J325" s="3"/>
      <c r="K325" s="3"/>
      <c r="L325" s="3"/>
      <c r="M325" s="3"/>
      <c r="N325" s="4"/>
      <c r="O325" s="3"/>
      <c r="P325" s="4"/>
      <c r="Q325" s="4"/>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row>
    <row r="326" spans="1:42" ht="14.25" customHeight="1" x14ac:dyDescent="0.2">
      <c r="A326" s="3"/>
      <c r="B326" s="3"/>
      <c r="C326" s="3"/>
      <c r="D326" s="3"/>
      <c r="E326" s="3"/>
      <c r="F326" s="3"/>
      <c r="G326" s="3"/>
      <c r="H326" s="3"/>
      <c r="I326" s="3"/>
      <c r="J326" s="3"/>
      <c r="K326" s="3"/>
      <c r="L326" s="3"/>
      <c r="M326" s="3"/>
      <c r="N326" s="4"/>
      <c r="O326" s="3"/>
      <c r="P326" s="4"/>
      <c r="Q326" s="4"/>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row>
    <row r="327" spans="1:42" ht="14.25" customHeight="1" x14ac:dyDescent="0.2">
      <c r="A327" s="3"/>
      <c r="B327" s="3"/>
      <c r="C327" s="3"/>
      <c r="D327" s="3"/>
      <c r="E327" s="3"/>
      <c r="F327" s="3"/>
      <c r="G327" s="3"/>
      <c r="H327" s="3"/>
      <c r="I327" s="3"/>
      <c r="J327" s="3"/>
      <c r="K327" s="3"/>
      <c r="L327" s="3"/>
      <c r="M327" s="3"/>
      <c r="N327" s="4"/>
      <c r="O327" s="3"/>
      <c r="P327" s="4"/>
      <c r="Q327" s="4"/>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row>
    <row r="328" spans="1:42" ht="14.25" customHeight="1" x14ac:dyDescent="0.2">
      <c r="A328" s="3"/>
      <c r="B328" s="3"/>
      <c r="C328" s="3"/>
      <c r="D328" s="3"/>
      <c r="E328" s="3"/>
      <c r="F328" s="3"/>
      <c r="G328" s="3"/>
      <c r="H328" s="3"/>
      <c r="I328" s="3"/>
      <c r="J328" s="3"/>
      <c r="K328" s="3"/>
      <c r="L328" s="3"/>
      <c r="M328" s="3"/>
      <c r="N328" s="3"/>
      <c r="O328" s="4"/>
      <c r="P328" s="4"/>
      <c r="Q328" s="4"/>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row>
    <row r="329" spans="1:42" ht="14.25" customHeight="1" x14ac:dyDescent="0.2">
      <c r="A329" s="3"/>
      <c r="B329" s="3"/>
      <c r="C329" s="3"/>
      <c r="D329" s="3"/>
      <c r="E329" s="3"/>
      <c r="F329" s="3"/>
      <c r="G329" s="3"/>
      <c r="H329" s="3"/>
      <c r="I329" s="3"/>
      <c r="J329" s="3"/>
      <c r="K329" s="3"/>
      <c r="L329" s="3"/>
      <c r="M329" s="3"/>
      <c r="N329" s="4"/>
      <c r="O329" s="3"/>
      <c r="P329" s="4"/>
      <c r="Q329" s="4"/>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row>
    <row r="330" spans="1:42" ht="14.25" customHeight="1" x14ac:dyDescent="0.2">
      <c r="A330" s="3"/>
      <c r="B330" s="3"/>
      <c r="C330" s="3"/>
      <c r="D330" s="3"/>
      <c r="E330" s="3"/>
      <c r="F330" s="3"/>
      <c r="G330" s="3"/>
      <c r="H330" s="3"/>
      <c r="I330" s="3"/>
      <c r="J330" s="3"/>
      <c r="K330" s="3"/>
      <c r="L330" s="3"/>
      <c r="M330" s="3"/>
      <c r="N330" s="4"/>
      <c r="O330" s="3"/>
      <c r="P330" s="4"/>
      <c r="Q330" s="4"/>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row>
    <row r="331" spans="1:42" ht="14.25" customHeight="1" x14ac:dyDescent="0.2">
      <c r="A331" s="3"/>
      <c r="B331" s="3"/>
      <c r="C331" s="3"/>
      <c r="D331" s="3"/>
      <c r="E331" s="3"/>
      <c r="F331" s="3"/>
      <c r="G331" s="3"/>
      <c r="H331" s="3"/>
      <c r="I331" s="3"/>
      <c r="J331" s="3"/>
      <c r="K331" s="3"/>
      <c r="L331" s="3"/>
      <c r="M331" s="3"/>
      <c r="N331" s="4"/>
      <c r="O331" s="3"/>
      <c r="P331" s="4"/>
      <c r="Q331" s="4"/>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row>
    <row r="332" spans="1:42" ht="14.25" customHeight="1" x14ac:dyDescent="0.2">
      <c r="A332" s="3"/>
      <c r="B332" s="3"/>
      <c r="C332" s="3"/>
      <c r="D332" s="3"/>
      <c r="E332" s="3"/>
      <c r="F332" s="3"/>
      <c r="G332" s="3"/>
      <c r="H332" s="3"/>
      <c r="I332" s="3"/>
      <c r="J332" s="3"/>
      <c r="K332" s="3"/>
      <c r="L332" s="3"/>
      <c r="M332" s="3"/>
      <c r="N332" s="4"/>
      <c r="O332" s="3"/>
      <c r="P332" s="4"/>
      <c r="Q332" s="4"/>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row>
    <row r="333" spans="1:42" ht="14.25" customHeight="1" x14ac:dyDescent="0.2">
      <c r="A333" s="3"/>
      <c r="B333" s="3"/>
      <c r="C333" s="3"/>
      <c r="D333" s="3"/>
      <c r="E333" s="3"/>
      <c r="F333" s="3"/>
      <c r="G333" s="3"/>
      <c r="H333" s="3"/>
      <c r="I333" s="3"/>
      <c r="J333" s="3"/>
      <c r="K333" s="3"/>
      <c r="L333" s="3"/>
      <c r="M333" s="3"/>
      <c r="N333" s="3"/>
      <c r="O333" s="4"/>
      <c r="P333" s="4"/>
      <c r="Q333" s="4"/>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row>
    <row r="334" spans="1:42" ht="14.25" customHeight="1" x14ac:dyDescent="0.2">
      <c r="A334" s="3"/>
      <c r="B334" s="3"/>
      <c r="C334" s="3"/>
      <c r="D334" s="3"/>
      <c r="E334" s="3"/>
      <c r="F334" s="3"/>
      <c r="G334" s="3"/>
      <c r="H334" s="3"/>
      <c r="I334" s="3"/>
      <c r="J334" s="3"/>
      <c r="K334" s="3"/>
      <c r="L334" s="3"/>
      <c r="M334" s="3"/>
      <c r="N334" s="4"/>
      <c r="O334" s="3"/>
      <c r="P334" s="4"/>
      <c r="Q334" s="4"/>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row>
    <row r="335" spans="1:42" ht="14.25" customHeight="1" x14ac:dyDescent="0.2">
      <c r="A335" s="3"/>
      <c r="B335" s="3"/>
      <c r="C335" s="3"/>
      <c r="D335" s="3"/>
      <c r="E335" s="3"/>
      <c r="F335" s="3"/>
      <c r="G335" s="3"/>
      <c r="H335" s="3"/>
      <c r="I335" s="3"/>
      <c r="J335" s="3"/>
      <c r="K335" s="3"/>
      <c r="L335" s="3"/>
      <c r="M335" s="3"/>
      <c r="N335" s="3"/>
      <c r="O335" s="4"/>
      <c r="P335" s="4"/>
      <c r="Q335" s="4"/>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row>
    <row r="336" spans="1:42" ht="14.25" customHeight="1" x14ac:dyDescent="0.2">
      <c r="A336" s="3"/>
      <c r="B336" s="3"/>
      <c r="C336" s="3"/>
      <c r="D336" s="3"/>
      <c r="E336" s="3"/>
      <c r="F336" s="3"/>
      <c r="G336" s="3"/>
      <c r="H336" s="3"/>
      <c r="I336" s="3"/>
      <c r="J336" s="3"/>
      <c r="K336" s="3"/>
      <c r="L336" s="3"/>
      <c r="M336" s="3"/>
      <c r="N336" s="4"/>
      <c r="O336" s="3"/>
      <c r="P336" s="4"/>
      <c r="Q336" s="4"/>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row>
    <row r="337" spans="1:42" ht="14.25" customHeight="1" x14ac:dyDescent="0.2">
      <c r="A337" s="3"/>
      <c r="B337" s="3"/>
      <c r="C337" s="3"/>
      <c r="D337" s="3"/>
      <c r="E337" s="3"/>
      <c r="F337" s="3"/>
      <c r="G337" s="3"/>
      <c r="H337" s="3"/>
      <c r="I337" s="3"/>
      <c r="J337" s="3"/>
      <c r="K337" s="3"/>
      <c r="L337" s="3"/>
      <c r="M337" s="3"/>
      <c r="N337" s="4"/>
      <c r="O337" s="3"/>
      <c r="P337" s="4"/>
      <c r="Q337" s="4"/>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row>
    <row r="338" spans="1:42" ht="14.25" customHeight="1" x14ac:dyDescent="0.2">
      <c r="A338" s="3"/>
      <c r="B338" s="3"/>
      <c r="C338" s="3"/>
      <c r="D338" s="3"/>
      <c r="E338" s="3"/>
      <c r="F338" s="3"/>
      <c r="G338" s="3"/>
      <c r="H338" s="3"/>
      <c r="I338" s="3"/>
      <c r="J338" s="3"/>
      <c r="K338" s="3"/>
      <c r="L338" s="3"/>
      <c r="M338" s="3"/>
      <c r="N338" s="4"/>
      <c r="O338" s="3"/>
      <c r="P338" s="4"/>
      <c r="Q338" s="4"/>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row>
    <row r="339" spans="1:42" ht="14.25" customHeight="1" x14ac:dyDescent="0.2">
      <c r="A339" s="3"/>
      <c r="B339" s="3"/>
      <c r="C339" s="3"/>
      <c r="D339" s="3"/>
      <c r="E339" s="3"/>
      <c r="F339" s="3"/>
      <c r="G339" s="3"/>
      <c r="H339" s="3"/>
      <c r="I339" s="3"/>
      <c r="J339" s="3"/>
      <c r="K339" s="3"/>
      <c r="L339" s="3"/>
      <c r="M339" s="3"/>
      <c r="N339" s="4"/>
      <c r="O339" s="3"/>
      <c r="P339" s="4"/>
      <c r="Q339" s="4"/>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row>
    <row r="340" spans="1:42" ht="14.25" customHeight="1" x14ac:dyDescent="0.2">
      <c r="A340" s="3"/>
      <c r="B340" s="3"/>
      <c r="C340" s="3"/>
      <c r="D340" s="3"/>
      <c r="E340" s="3"/>
      <c r="F340" s="3"/>
      <c r="G340" s="3"/>
      <c r="H340" s="3"/>
      <c r="I340" s="3"/>
      <c r="J340" s="3"/>
      <c r="K340" s="3"/>
      <c r="L340" s="3"/>
      <c r="M340" s="3"/>
      <c r="N340" s="4"/>
      <c r="O340" s="3"/>
      <c r="P340" s="4"/>
      <c r="Q340" s="4"/>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row>
    <row r="341" spans="1:42" ht="14.25" customHeight="1" x14ac:dyDescent="0.2">
      <c r="A341" s="3"/>
      <c r="B341" s="3"/>
      <c r="C341" s="3"/>
      <c r="D341" s="3"/>
      <c r="E341" s="3"/>
      <c r="F341" s="3"/>
      <c r="G341" s="3"/>
      <c r="H341" s="3"/>
      <c r="I341" s="3"/>
      <c r="J341" s="3"/>
      <c r="K341" s="3"/>
      <c r="L341" s="3"/>
      <c r="M341" s="3"/>
      <c r="N341" s="4"/>
      <c r="O341" s="3"/>
      <c r="P341" s="4"/>
      <c r="Q341" s="4"/>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row>
    <row r="342" spans="1:42" ht="14.25" customHeight="1" x14ac:dyDescent="0.2">
      <c r="A342" s="3"/>
      <c r="B342" s="3"/>
      <c r="C342" s="3"/>
      <c r="D342" s="3"/>
      <c r="E342" s="3"/>
      <c r="F342" s="3"/>
      <c r="G342" s="3"/>
      <c r="H342" s="3"/>
      <c r="I342" s="3"/>
      <c r="J342" s="3"/>
      <c r="K342" s="3"/>
      <c r="L342" s="3"/>
      <c r="M342" s="3"/>
      <c r="N342" s="4"/>
      <c r="O342" s="3"/>
      <c r="P342" s="4"/>
      <c r="Q342" s="4"/>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row>
    <row r="343" spans="1:42"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row>
    <row r="344" spans="1:42"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row>
    <row r="345" spans="1:42"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row>
    <row r="346" spans="1:42"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row>
    <row r="347" spans="1:42"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row>
    <row r="348" spans="1:42"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row>
    <row r="349" spans="1:42"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row>
    <row r="350" spans="1:42"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row>
    <row r="351" spans="1:42"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row>
    <row r="352" spans="1:42"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row>
    <row r="353" spans="1:42"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row>
    <row r="354" spans="1:42"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row>
    <row r="355" spans="1:42"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row>
    <row r="356" spans="1:42"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row>
    <row r="357" spans="1:42"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row>
    <row r="358" spans="1:42"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row>
    <row r="359" spans="1:42"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row>
    <row r="360" spans="1:42"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row>
    <row r="361" spans="1:42"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row>
    <row r="362" spans="1:42"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row>
    <row r="363" spans="1:42"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row>
    <row r="364" spans="1:42"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row>
    <row r="365" spans="1:42"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row>
    <row r="366" spans="1:42"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row>
    <row r="367" spans="1:42"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row>
    <row r="368" spans="1:42"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row>
    <row r="369" spans="1:42"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row>
    <row r="370" spans="1:42"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row>
    <row r="371" spans="1:42"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row>
    <row r="372" spans="1:42"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row>
    <row r="373" spans="1:42"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row>
    <row r="374" spans="1:42"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row>
    <row r="375" spans="1:42"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row>
    <row r="376" spans="1:42"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row>
    <row r="377" spans="1:42"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row>
    <row r="378" spans="1:42"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row>
    <row r="379" spans="1:42"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row>
    <row r="380" spans="1:42"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row>
    <row r="381" spans="1:42"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row>
    <row r="382" spans="1:42"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row>
    <row r="383" spans="1:42"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row>
    <row r="384" spans="1:42"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row>
    <row r="385" spans="1:42"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row>
    <row r="386" spans="1:42"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row>
    <row r="387" spans="1:42"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row>
    <row r="388" spans="1:42"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row>
    <row r="389" spans="1:42"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row>
    <row r="390" spans="1:42"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row>
    <row r="391" spans="1:42"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row>
    <row r="392" spans="1:42"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row>
    <row r="393" spans="1:42"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row>
    <row r="394" spans="1:42"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row>
    <row r="395" spans="1:42"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row>
    <row r="396" spans="1:42"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row>
    <row r="397" spans="1:42"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row>
    <row r="398" spans="1:42"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row>
    <row r="399" spans="1:42"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row>
    <row r="400" spans="1:42"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row>
    <row r="401" spans="1:42"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row>
    <row r="402" spans="1:42"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row>
    <row r="403" spans="1:42"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row>
    <row r="404" spans="1:42"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row>
    <row r="405" spans="1:42"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row>
    <row r="406" spans="1:42"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row>
    <row r="407" spans="1:42"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row>
    <row r="408" spans="1:42"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row>
    <row r="409" spans="1:42"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row>
    <row r="410" spans="1:42"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row>
    <row r="411" spans="1:42"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row>
    <row r="412" spans="1:42"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row>
    <row r="413" spans="1:42"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row>
    <row r="414" spans="1:42"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row>
    <row r="415" spans="1:42"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row>
    <row r="416" spans="1:42"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row>
    <row r="417" spans="1:42"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row>
    <row r="418" spans="1:42"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row>
    <row r="419" spans="1:42"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row>
    <row r="420" spans="1:42"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row>
    <row r="421" spans="1:42"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row>
    <row r="422" spans="1:42"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row>
    <row r="423" spans="1:42"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row>
    <row r="424" spans="1:42"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row>
    <row r="425" spans="1:42"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row>
    <row r="426" spans="1:42"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row>
    <row r="427" spans="1:42"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row>
    <row r="428" spans="1:42"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row>
    <row r="429" spans="1:42"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row>
    <row r="430" spans="1:42"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row>
    <row r="431" spans="1:42"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row>
    <row r="432" spans="1:42"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row>
    <row r="433" spans="1:42"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row>
    <row r="434" spans="1:42"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row>
    <row r="435" spans="1:42"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row>
    <row r="436" spans="1:42"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row>
    <row r="437" spans="1:42"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row>
    <row r="438" spans="1:42"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row>
    <row r="439" spans="1:42"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row>
    <row r="440" spans="1:42"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row>
    <row r="441" spans="1:42"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row>
    <row r="442" spans="1:42"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row>
    <row r="443" spans="1:42"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row>
    <row r="444" spans="1:42"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row>
    <row r="445" spans="1:42"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row>
    <row r="446" spans="1:42"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row>
    <row r="447" spans="1:42"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row>
    <row r="448" spans="1:42"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row>
    <row r="449" spans="1:42"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row>
    <row r="450" spans="1:42"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row>
    <row r="451" spans="1:42"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row>
    <row r="452" spans="1:42"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row>
    <row r="453" spans="1:42"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row>
    <row r="454" spans="1:42"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row>
    <row r="455" spans="1:42"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row>
    <row r="456" spans="1:42"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row>
    <row r="457" spans="1:42"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row>
    <row r="458" spans="1:42"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row>
    <row r="459" spans="1:42"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row>
    <row r="460" spans="1:42"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row>
    <row r="461" spans="1:42"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row>
    <row r="462" spans="1:42"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row>
    <row r="463" spans="1:42"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row>
    <row r="464" spans="1:42"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row>
    <row r="465" spans="1:42"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row>
    <row r="466" spans="1:42"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row>
    <row r="467" spans="1:42"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row>
    <row r="468" spans="1:42"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row>
    <row r="469" spans="1:42"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row>
    <row r="470" spans="1:42"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row>
    <row r="471" spans="1:42"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row>
    <row r="472" spans="1:42"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row>
    <row r="473" spans="1:42"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row>
    <row r="474" spans="1:42"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row>
    <row r="475" spans="1:42"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row>
    <row r="476" spans="1:42"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row>
    <row r="477" spans="1:42"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row>
    <row r="478" spans="1:42"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row>
    <row r="479" spans="1:42"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row>
    <row r="480" spans="1:42"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row>
    <row r="481" spans="1:42"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row>
    <row r="482" spans="1:42"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row>
    <row r="483" spans="1:42"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row>
    <row r="484" spans="1:42"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row>
    <row r="485" spans="1:42"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row>
    <row r="486" spans="1:42"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row>
    <row r="487" spans="1:42"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row>
    <row r="488" spans="1:42"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row>
    <row r="489" spans="1:42"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row>
    <row r="490" spans="1:42"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row>
    <row r="491" spans="1:42"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row>
    <row r="492" spans="1:42"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row>
    <row r="493" spans="1:42"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row>
    <row r="494" spans="1:42"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row>
    <row r="495" spans="1:42"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row>
    <row r="496" spans="1:42"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row>
    <row r="497" spans="1:42"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row>
    <row r="498" spans="1:42"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row>
    <row r="499" spans="1:42"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row>
    <row r="500" spans="1:42"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row>
    <row r="501" spans="1:42"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row>
    <row r="502" spans="1:42"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row>
    <row r="503" spans="1:42"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row>
    <row r="504" spans="1:42"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row>
    <row r="505" spans="1:42"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row>
    <row r="506" spans="1:42"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row>
    <row r="507" spans="1:42"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row>
    <row r="508" spans="1:42"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row>
    <row r="509" spans="1:42"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row>
    <row r="510" spans="1:42"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row>
    <row r="511" spans="1:42"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row>
    <row r="512" spans="1:42"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row>
    <row r="513" spans="1:42"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row>
    <row r="514" spans="1:42"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row>
    <row r="515" spans="1:42"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row>
    <row r="516" spans="1:42"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row>
    <row r="517" spans="1:42"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row>
    <row r="518" spans="1:42"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row>
    <row r="519" spans="1:42"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row>
    <row r="520" spans="1:42"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row>
    <row r="521" spans="1:42"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row>
    <row r="522" spans="1:42"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row>
    <row r="523" spans="1:42"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row>
    <row r="524" spans="1:42"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row>
    <row r="525" spans="1:42"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row>
    <row r="526" spans="1:42"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row>
    <row r="527" spans="1:42"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row>
    <row r="528" spans="1:42"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row>
    <row r="529" spans="1:42"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row>
    <row r="530" spans="1:42"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row>
    <row r="531" spans="1:42"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row>
    <row r="532" spans="1:42"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row>
    <row r="533" spans="1:42"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row>
    <row r="534" spans="1:42"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row>
    <row r="535" spans="1:42"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row>
    <row r="536" spans="1:42"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row>
    <row r="537" spans="1:42"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row>
    <row r="538" spans="1:42"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row>
    <row r="539" spans="1:42"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row>
    <row r="540" spans="1:42"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row>
    <row r="541" spans="1:42"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row>
    <row r="542" spans="1:42"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row>
    <row r="543" spans="1:42"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row>
    <row r="544" spans="1:42"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row>
    <row r="545" spans="1:42"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row>
    <row r="546" spans="1:42"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row>
    <row r="547" spans="1:42"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row>
    <row r="548" spans="1:42"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row>
    <row r="549" spans="1:42"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row>
    <row r="550" spans="1:42"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row>
    <row r="551" spans="1:42"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row>
    <row r="552" spans="1:42"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row>
    <row r="553" spans="1:42"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row>
    <row r="554" spans="1:42"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row>
    <row r="555" spans="1:42"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row>
    <row r="556" spans="1:42"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row>
    <row r="557" spans="1:42"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row>
    <row r="558" spans="1:42"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row>
    <row r="559" spans="1:42"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row>
    <row r="560" spans="1:42"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row>
    <row r="561" spans="1:42"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row>
    <row r="562" spans="1:42"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row>
    <row r="563" spans="1:42"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row>
    <row r="564" spans="1:42"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row>
    <row r="565" spans="1:42"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row>
    <row r="566" spans="1:42"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row>
    <row r="567" spans="1:42"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row>
    <row r="568" spans="1:42"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row>
    <row r="569" spans="1:42"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row>
    <row r="570" spans="1:42"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row>
    <row r="571" spans="1:42"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row>
    <row r="572" spans="1:42"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row>
    <row r="573" spans="1:42"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row>
    <row r="574" spans="1:42"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row>
    <row r="575" spans="1:42"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row>
    <row r="576" spans="1:42"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row>
    <row r="577" spans="1:42"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row>
    <row r="578" spans="1:42"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row>
    <row r="579" spans="1:42"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row>
    <row r="580" spans="1:42"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row>
    <row r="581" spans="1:42"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row>
    <row r="582" spans="1:42"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row>
    <row r="583" spans="1:42"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row>
    <row r="584" spans="1:42"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row>
    <row r="585" spans="1:42"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row>
    <row r="586" spans="1:42"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row>
    <row r="587" spans="1:42"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row>
    <row r="588" spans="1:42"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row>
    <row r="589" spans="1:42"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row>
    <row r="590" spans="1:42"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row>
    <row r="591" spans="1:42"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row>
    <row r="592" spans="1:42"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row>
    <row r="593" spans="1:42"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row>
    <row r="594" spans="1:42"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row>
    <row r="595" spans="1:42"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row>
    <row r="596" spans="1:42"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row>
    <row r="597" spans="1:42"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row>
    <row r="598" spans="1:42"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row>
    <row r="599" spans="1:42"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row>
    <row r="600" spans="1:42"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row>
    <row r="601" spans="1:42"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row>
    <row r="602" spans="1:42"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row>
    <row r="603" spans="1:42"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row>
    <row r="604" spans="1:42"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row>
    <row r="605" spans="1:42"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row>
    <row r="606" spans="1:42"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row>
    <row r="607" spans="1:42"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row>
    <row r="608" spans="1:42"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row>
    <row r="609" spans="1:42"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row>
    <row r="610" spans="1:42"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row>
    <row r="611" spans="1:42"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row>
    <row r="612" spans="1:42"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row>
    <row r="613" spans="1:42"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row>
    <row r="614" spans="1:42"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row>
    <row r="615" spans="1:42"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row>
    <row r="616" spans="1:42"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row>
    <row r="617" spans="1:42"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row>
    <row r="618" spans="1:42"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row>
    <row r="619" spans="1:42"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row>
    <row r="620" spans="1:42"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row>
    <row r="621" spans="1:42"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row>
    <row r="622" spans="1:42"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row>
    <row r="623" spans="1:42"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row>
    <row r="624" spans="1:42"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row>
    <row r="625" spans="1:42"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row>
    <row r="626" spans="1:42"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row>
    <row r="627" spans="1:42"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row>
    <row r="628" spans="1:42"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row>
    <row r="629" spans="1:42"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row>
    <row r="630" spans="1:42"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row>
    <row r="631" spans="1:42"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row>
    <row r="632" spans="1:42"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row>
    <row r="633" spans="1:42"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row>
    <row r="634" spans="1:42"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row>
    <row r="635" spans="1:42"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row>
    <row r="636" spans="1:42"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row>
    <row r="637" spans="1:42"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row>
    <row r="638" spans="1:42"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row>
    <row r="639" spans="1:42"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row>
    <row r="640" spans="1:42"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row>
    <row r="641" spans="1:42"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row>
    <row r="642" spans="1:42"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row>
    <row r="643" spans="1:42"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row>
    <row r="644" spans="1:42"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row>
    <row r="645" spans="1:42"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row>
    <row r="646" spans="1:42"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row>
    <row r="647" spans="1:42"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row>
    <row r="648" spans="1:42"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row>
    <row r="649" spans="1:42"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row>
    <row r="650" spans="1:42"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row>
    <row r="651" spans="1:42"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row>
    <row r="652" spans="1:42"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row>
    <row r="653" spans="1:42"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row>
    <row r="654" spans="1:42"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row>
    <row r="655" spans="1:42"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row>
    <row r="656" spans="1:42"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row>
    <row r="657" spans="1:42"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row>
    <row r="658" spans="1:42"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row>
    <row r="659" spans="1:42"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row>
    <row r="660" spans="1:42"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row>
    <row r="661" spans="1:42"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row>
    <row r="662" spans="1:42"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row>
    <row r="663" spans="1:42"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row>
    <row r="664" spans="1:42"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row>
    <row r="665" spans="1:42"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row>
    <row r="666" spans="1:42"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row>
    <row r="667" spans="1:42"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row>
    <row r="668" spans="1:42"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row>
    <row r="669" spans="1:42"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row>
    <row r="670" spans="1:42"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row>
    <row r="671" spans="1:42"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row>
    <row r="672" spans="1:42"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row>
    <row r="673" spans="1:42"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row>
    <row r="674" spans="1:42"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row>
    <row r="675" spans="1:42"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row>
    <row r="676" spans="1:42"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row>
    <row r="677" spans="1:42"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row>
    <row r="678" spans="1:42"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row>
    <row r="679" spans="1:42"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row>
    <row r="680" spans="1:42"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row>
    <row r="681" spans="1:42"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row>
    <row r="682" spans="1:42"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row>
    <row r="683" spans="1:42"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row>
    <row r="684" spans="1:42"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row>
    <row r="685" spans="1:42"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row>
    <row r="686" spans="1:42" ht="15.75" customHeight="1" x14ac:dyDescent="0.2">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row>
    <row r="687" spans="1:42" ht="15.75" customHeight="1" x14ac:dyDescent="0.2">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row>
    <row r="688" spans="1:42" ht="15.75" customHeight="1" x14ac:dyDescent="0.2">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row>
    <row r="689" spans="18:42" ht="15.75" customHeight="1" x14ac:dyDescent="0.2">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row>
    <row r="690" spans="18:42" ht="15.75" customHeight="1" x14ac:dyDescent="0.2">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row>
    <row r="691" spans="18:42" ht="15.75" customHeight="1" x14ac:dyDescent="0.2">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row>
    <row r="692" spans="18:42" ht="15.75" customHeight="1" x14ac:dyDescent="0.2">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row>
    <row r="693" spans="18:42" ht="15.75" customHeight="1" x14ac:dyDescent="0.2">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row>
    <row r="694" spans="18:42" ht="15.75" customHeight="1" x14ac:dyDescent="0.2">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row>
    <row r="695" spans="18:42" ht="15.75" customHeight="1" x14ac:dyDescent="0.2">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row>
    <row r="696" spans="18:42" ht="15.75" customHeight="1" x14ac:dyDescent="0.2">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row>
    <row r="697" spans="18:42" ht="15.75" customHeight="1" x14ac:dyDescent="0.2">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row>
    <row r="698" spans="18:42" ht="15.75" customHeight="1" x14ac:dyDescent="0.2">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row>
    <row r="699" spans="18:42" ht="15.75" customHeight="1" x14ac:dyDescent="0.2">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row>
    <row r="700" spans="18:42" ht="15.75" customHeight="1" x14ac:dyDescent="0.2">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row>
    <row r="701" spans="18:42" ht="15.75" customHeight="1" x14ac:dyDescent="0.2">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row>
    <row r="702" spans="18:42" ht="15.75" customHeight="1" x14ac:dyDescent="0.2">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row>
    <row r="703" spans="18:42" ht="15.75" customHeight="1" x14ac:dyDescent="0.2">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row>
    <row r="704" spans="18:42" ht="15.75" customHeight="1" x14ac:dyDescent="0.2">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row>
    <row r="705" spans="18:42" ht="15.75" customHeight="1" x14ac:dyDescent="0.2">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row>
    <row r="706" spans="18:42" ht="15.75" customHeight="1" x14ac:dyDescent="0.2">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row>
    <row r="707" spans="18:42" ht="15.75" customHeight="1" x14ac:dyDescent="0.2">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row>
    <row r="708" spans="18:42" ht="15.75" customHeight="1" x14ac:dyDescent="0.2">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row>
    <row r="709" spans="18:42" ht="15.75" customHeight="1" x14ac:dyDescent="0.2">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row>
    <row r="710" spans="18:42" ht="15.75" customHeight="1" x14ac:dyDescent="0.2">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row>
    <row r="711" spans="18:42" ht="15.75" customHeight="1" x14ac:dyDescent="0.2">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row>
    <row r="712" spans="18:42" ht="15.75" customHeight="1" x14ac:dyDescent="0.2">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row>
    <row r="713" spans="18:42" ht="15.75" customHeight="1" x14ac:dyDescent="0.2">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row>
    <row r="714" spans="18:42" ht="15.75" customHeight="1" x14ac:dyDescent="0.2">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row>
    <row r="715" spans="18:42" ht="15.75" customHeight="1" x14ac:dyDescent="0.2">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row>
    <row r="716" spans="18:42" ht="15.75" customHeight="1" x14ac:dyDescent="0.2">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row>
    <row r="717" spans="18:42" ht="15.75" customHeight="1" x14ac:dyDescent="0.2">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row>
    <row r="718" spans="18:42" ht="15.75" customHeight="1" x14ac:dyDescent="0.2">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row>
    <row r="719" spans="18:42" ht="15.75" customHeight="1" x14ac:dyDescent="0.2">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row>
    <row r="720" spans="18:42" ht="15.75" customHeight="1" x14ac:dyDescent="0.2">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row>
    <row r="721" spans="18:42" ht="15.75" customHeight="1" x14ac:dyDescent="0.2">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row>
    <row r="722" spans="18:42" ht="15.75" customHeight="1" x14ac:dyDescent="0.2">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row>
    <row r="723" spans="18:42" ht="15.75" customHeight="1" x14ac:dyDescent="0.2">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row>
    <row r="724" spans="18:42" ht="15.75" customHeight="1" x14ac:dyDescent="0.2">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row>
    <row r="725" spans="18:42" ht="15.75" customHeight="1" x14ac:dyDescent="0.2">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row>
    <row r="726" spans="18:42" ht="15.75" customHeight="1" x14ac:dyDescent="0.2">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row>
    <row r="727" spans="18:42" ht="15.75" customHeight="1" x14ac:dyDescent="0.2">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row>
    <row r="728" spans="18:42" ht="15.75" customHeight="1" x14ac:dyDescent="0.2">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row>
    <row r="729" spans="18:42" ht="15.75" customHeight="1" x14ac:dyDescent="0.2">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row>
    <row r="730" spans="18:42" ht="15.75" customHeight="1" x14ac:dyDescent="0.2">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row>
    <row r="731" spans="18:42" ht="15.75" customHeight="1" x14ac:dyDescent="0.2">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row>
    <row r="732" spans="18:42" ht="15.75" customHeight="1" x14ac:dyDescent="0.2">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row>
    <row r="733" spans="18:42" ht="15.75" customHeight="1" x14ac:dyDescent="0.2">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row>
    <row r="734" spans="18:42" ht="15.75" customHeight="1" x14ac:dyDescent="0.2">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row>
    <row r="735" spans="18:42" ht="15.75" customHeight="1" x14ac:dyDescent="0.2">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row>
    <row r="736" spans="18:42" ht="15.75" customHeight="1" x14ac:dyDescent="0.2">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row>
    <row r="737" spans="18:42" ht="15.75" customHeight="1" x14ac:dyDescent="0.2">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row>
    <row r="738" spans="18:42" ht="15.75" customHeight="1" x14ac:dyDescent="0.2">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row>
    <row r="739" spans="18:42" ht="15.75" customHeight="1" x14ac:dyDescent="0.2">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row>
    <row r="740" spans="18:42" ht="15.75" customHeight="1" x14ac:dyDescent="0.2">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row>
    <row r="741" spans="18:42" ht="15.75" customHeight="1" x14ac:dyDescent="0.2">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row>
    <row r="742" spans="18:42" ht="15.75" customHeight="1" x14ac:dyDescent="0.2">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row>
    <row r="743" spans="18:42" ht="15.75" customHeight="1" x14ac:dyDescent="0.2">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row>
    <row r="744" spans="18:42" ht="15.75" customHeight="1" x14ac:dyDescent="0.2">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row>
    <row r="745" spans="18:42" ht="15.75" customHeight="1" x14ac:dyDescent="0.2">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row>
    <row r="746" spans="18:42" ht="15.75" customHeight="1" x14ac:dyDescent="0.2">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row>
    <row r="747" spans="18:42" ht="15.75" customHeight="1" x14ac:dyDescent="0.2">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row>
    <row r="748" spans="18:42" ht="15.75" customHeight="1" x14ac:dyDescent="0.2">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row>
    <row r="749" spans="18:42" ht="15.75" customHeight="1" x14ac:dyDescent="0.2">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row>
    <row r="750" spans="18:42" ht="15.75" customHeight="1" x14ac:dyDescent="0.2">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row>
    <row r="751" spans="18:42" ht="15.75" customHeight="1" x14ac:dyDescent="0.2">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row>
    <row r="752" spans="18:42" ht="15.75" customHeight="1" x14ac:dyDescent="0.2">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row>
    <row r="753" spans="18:42" ht="15.75" customHeight="1" x14ac:dyDescent="0.2">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row>
    <row r="754" spans="18:42" ht="15.75" customHeight="1" x14ac:dyDescent="0.2">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row>
    <row r="755" spans="18:42" ht="15.75" customHeight="1" x14ac:dyDescent="0.2">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row>
    <row r="756" spans="18:42" ht="15.75" customHeight="1" x14ac:dyDescent="0.2">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row>
    <row r="757" spans="18:42" ht="15.75" customHeight="1" x14ac:dyDescent="0.2">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row>
    <row r="758" spans="18:42" ht="15.75" customHeight="1" x14ac:dyDescent="0.2">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row>
    <row r="759" spans="18:42" ht="15.75" customHeight="1" x14ac:dyDescent="0.2">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row>
    <row r="760" spans="18:42" ht="15.75" customHeight="1" x14ac:dyDescent="0.2">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row>
    <row r="761" spans="18:42" ht="15.75" customHeight="1" x14ac:dyDescent="0.2">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row>
    <row r="762" spans="18:42" ht="15.75" customHeight="1" x14ac:dyDescent="0.2">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row>
    <row r="763" spans="18:42" ht="15.75" customHeight="1" x14ac:dyDescent="0.2">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row>
    <row r="764" spans="18:42" ht="15.75" customHeight="1" x14ac:dyDescent="0.2">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row>
    <row r="765" spans="18:42" ht="15.75" customHeight="1" x14ac:dyDescent="0.2">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row>
    <row r="766" spans="18:42" ht="15.75" customHeight="1" x14ac:dyDescent="0.2">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row>
    <row r="767" spans="18:42" ht="15.75" customHeight="1" x14ac:dyDescent="0.2">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row>
    <row r="768" spans="18:42" ht="15.75" customHeight="1" x14ac:dyDescent="0.2">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row>
    <row r="769" spans="18:42" ht="15.75" customHeight="1" x14ac:dyDescent="0.2">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row>
    <row r="770" spans="18:42" ht="15.75" customHeight="1" x14ac:dyDescent="0.2">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row>
    <row r="771" spans="18:42" ht="15.75" customHeight="1" x14ac:dyDescent="0.2">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row>
    <row r="772" spans="18:42" ht="15.75" customHeight="1" x14ac:dyDescent="0.2">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row>
    <row r="773" spans="18:42" ht="15.75" customHeight="1" x14ac:dyDescent="0.2">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row>
    <row r="774" spans="18:42" ht="15.75" customHeight="1" x14ac:dyDescent="0.2">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row>
    <row r="775" spans="18:42" ht="15.75" customHeight="1" x14ac:dyDescent="0.2">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row>
    <row r="776" spans="18:42" ht="15.75" customHeight="1" x14ac:dyDescent="0.2">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row>
    <row r="777" spans="18:42" ht="15.75" customHeight="1" x14ac:dyDescent="0.2">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row>
    <row r="778" spans="18:42" ht="15.75" customHeight="1" x14ac:dyDescent="0.2">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row>
    <row r="779" spans="18:42" ht="15.75" customHeight="1" x14ac:dyDescent="0.2">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row>
    <row r="780" spans="18:42" ht="15.75" customHeight="1" x14ac:dyDescent="0.2">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row>
    <row r="781" spans="18:42" ht="15.75" customHeight="1" x14ac:dyDescent="0.2">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row>
    <row r="782" spans="18:42" ht="15.75" customHeight="1" x14ac:dyDescent="0.2">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row>
    <row r="783" spans="18:42" ht="15.75" customHeight="1" x14ac:dyDescent="0.2">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row>
    <row r="784" spans="18:42" ht="15.75" customHeight="1" x14ac:dyDescent="0.2">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row>
    <row r="785" spans="18:42" ht="15.75" customHeight="1" x14ac:dyDescent="0.2">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row>
    <row r="786" spans="18:42" ht="15.75" customHeight="1" x14ac:dyDescent="0.2">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row>
    <row r="787" spans="18:42" ht="15.75" customHeight="1" x14ac:dyDescent="0.2">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row>
    <row r="788" spans="18:42" ht="15.75" customHeight="1" x14ac:dyDescent="0.2">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row>
    <row r="789" spans="18:42" ht="15.75" customHeight="1" x14ac:dyDescent="0.2">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row>
    <row r="790" spans="18:42" ht="15.75" customHeight="1" x14ac:dyDescent="0.2">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row>
    <row r="791" spans="18:42" ht="15.75" customHeight="1" x14ac:dyDescent="0.2">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row>
    <row r="792" spans="18:42" ht="15.75" customHeight="1" x14ac:dyDescent="0.2">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row>
    <row r="793" spans="18:42" ht="15.75" customHeight="1" x14ac:dyDescent="0.2">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row>
    <row r="794" spans="18:42" ht="15.75" customHeight="1" x14ac:dyDescent="0.2">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row>
    <row r="795" spans="18:42" ht="15.75" customHeight="1" x14ac:dyDescent="0.2">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row>
    <row r="796" spans="18:42" ht="15.75" customHeight="1" x14ac:dyDescent="0.2">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row>
    <row r="797" spans="18:42" ht="15.75" customHeight="1" x14ac:dyDescent="0.2">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row>
    <row r="798" spans="18:42" ht="15.75" customHeight="1" x14ac:dyDescent="0.2">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row>
    <row r="799" spans="18:42" ht="15.75" customHeight="1" x14ac:dyDescent="0.2">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row>
    <row r="800" spans="18:42" ht="15.75" customHeight="1" x14ac:dyDescent="0.2">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row>
    <row r="801" spans="18:42" ht="15.75" customHeight="1" x14ac:dyDescent="0.2">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row>
    <row r="802" spans="18:42" ht="15.75" customHeight="1" x14ac:dyDescent="0.2">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row>
    <row r="803" spans="18:42" ht="15.75" customHeight="1" x14ac:dyDescent="0.2">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row>
    <row r="804" spans="18:42" ht="15.75" customHeight="1" x14ac:dyDescent="0.2">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row>
    <row r="805" spans="18:42" ht="15.75" customHeight="1" x14ac:dyDescent="0.2">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row>
    <row r="806" spans="18:42" ht="15.75" customHeight="1" x14ac:dyDescent="0.2">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row>
    <row r="807" spans="18:42" ht="15.75" customHeight="1" x14ac:dyDescent="0.2">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row>
    <row r="808" spans="18:42" ht="15.75" customHeight="1" x14ac:dyDescent="0.2">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row>
    <row r="809" spans="18:42" ht="15.75" customHeight="1" x14ac:dyDescent="0.2">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row>
    <row r="810" spans="18:42" ht="15.75" customHeight="1" x14ac:dyDescent="0.2">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row>
    <row r="811" spans="18:42" ht="15.75" customHeight="1" x14ac:dyDescent="0.2">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row>
    <row r="812" spans="18:42" ht="15.75" customHeight="1" x14ac:dyDescent="0.2">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row>
    <row r="813" spans="18:42" ht="15.75" customHeight="1" x14ac:dyDescent="0.2">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row>
    <row r="814" spans="18:42" ht="15.75" customHeight="1" x14ac:dyDescent="0.2">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row>
    <row r="815" spans="18:42" ht="15.75" customHeight="1" x14ac:dyDescent="0.2">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row>
    <row r="816" spans="18:42" ht="15.75" customHeight="1" x14ac:dyDescent="0.2">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row>
    <row r="817" spans="18:42" ht="15.75" customHeight="1" x14ac:dyDescent="0.2">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row>
    <row r="818" spans="18:42" ht="15.75" customHeight="1" x14ac:dyDescent="0.2">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row>
    <row r="819" spans="18:42" ht="15.75" customHeight="1" x14ac:dyDescent="0.2">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row>
    <row r="820" spans="18:42" ht="15.75" customHeight="1" x14ac:dyDescent="0.2">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row>
    <row r="821" spans="18:42" ht="15.75" customHeight="1" x14ac:dyDescent="0.2">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row>
    <row r="822" spans="18:42" ht="15.75" customHeight="1" x14ac:dyDescent="0.2">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row>
    <row r="823" spans="18:42" ht="15.75" customHeight="1" x14ac:dyDescent="0.2">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row>
    <row r="824" spans="18:42" ht="15.75" customHeight="1" x14ac:dyDescent="0.2">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row>
    <row r="825" spans="18:42" ht="15.75" customHeight="1" x14ac:dyDescent="0.2">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row>
    <row r="826" spans="18:42" ht="15.75" customHeight="1" x14ac:dyDescent="0.2">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row>
    <row r="827" spans="18:42" ht="15.75" customHeight="1" x14ac:dyDescent="0.2">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row>
    <row r="828" spans="18:42" ht="15.75" customHeight="1" x14ac:dyDescent="0.2">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row>
    <row r="829" spans="18:42" ht="15.75" customHeight="1" x14ac:dyDescent="0.2">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row>
    <row r="830" spans="18:42" ht="15.75" customHeight="1" x14ac:dyDescent="0.2">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row>
    <row r="831" spans="18:42" ht="15.75" customHeight="1" x14ac:dyDescent="0.2">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row>
    <row r="832" spans="18:42" ht="15.75" customHeight="1" x14ac:dyDescent="0.2">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row>
    <row r="833" spans="18:42" ht="15.75" customHeight="1" x14ac:dyDescent="0.2">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row>
    <row r="834" spans="18:42" ht="15.75" customHeight="1" x14ac:dyDescent="0.2">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row>
    <row r="835" spans="18:42" ht="15.75" customHeight="1" x14ac:dyDescent="0.2">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row>
    <row r="836" spans="18:42" ht="15.75" customHeight="1" x14ac:dyDescent="0.2">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row>
    <row r="837" spans="18:42" ht="15.75" customHeight="1" x14ac:dyDescent="0.2">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row>
    <row r="838" spans="18:42" ht="15.75" customHeight="1" x14ac:dyDescent="0.2">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row>
    <row r="839" spans="18:42" ht="15.75" customHeight="1" x14ac:dyDescent="0.2">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row>
    <row r="840" spans="18:42" ht="15.75" customHeight="1" x14ac:dyDescent="0.2">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row>
    <row r="841" spans="18:42" ht="15.75" customHeight="1" x14ac:dyDescent="0.2">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row>
    <row r="842" spans="18:42" ht="15.75" customHeight="1" x14ac:dyDescent="0.2">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row>
    <row r="843" spans="18:42" ht="15.75" customHeight="1" x14ac:dyDescent="0.2">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row>
    <row r="844" spans="18:42" ht="15.75" customHeight="1" x14ac:dyDescent="0.2">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row>
    <row r="845" spans="18:42" ht="15.75" customHeight="1" x14ac:dyDescent="0.2">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row>
    <row r="846" spans="18:42" ht="15.75" customHeight="1" x14ac:dyDescent="0.2">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row>
    <row r="847" spans="18:42" ht="15.75" customHeight="1" x14ac:dyDescent="0.2">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row>
    <row r="848" spans="18:42" ht="15.75" customHeight="1" x14ac:dyDescent="0.2">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row>
    <row r="849" spans="18:42" ht="15.75" customHeight="1" x14ac:dyDescent="0.2">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row>
    <row r="850" spans="18:42" ht="15.75" customHeight="1" x14ac:dyDescent="0.2">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row>
    <row r="851" spans="18:42" ht="15.75" customHeight="1" x14ac:dyDescent="0.2">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row>
    <row r="852" spans="18:42" ht="15.75" customHeight="1" x14ac:dyDescent="0.2">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row>
    <row r="853" spans="18:42" ht="15.75" customHeight="1" x14ac:dyDescent="0.2">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row>
    <row r="854" spans="18:42" ht="15.75" customHeight="1" x14ac:dyDescent="0.2">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row>
    <row r="855" spans="18:42" ht="15.75" customHeight="1" x14ac:dyDescent="0.2">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row>
    <row r="856" spans="18:42" ht="15.75" customHeight="1" x14ac:dyDescent="0.2">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row>
    <row r="857" spans="18:42" ht="15.75" customHeight="1" x14ac:dyDescent="0.2">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row>
    <row r="858" spans="18:42" ht="15.75" customHeight="1" x14ac:dyDescent="0.2">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row>
    <row r="859" spans="18:42" ht="15.75" customHeight="1" x14ac:dyDescent="0.2">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row>
    <row r="860" spans="18:42" ht="15.75" customHeight="1" x14ac:dyDescent="0.2">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row>
    <row r="861" spans="18:42" ht="15.75" customHeight="1" x14ac:dyDescent="0.2">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row>
    <row r="862" spans="18:42" ht="15.75" customHeight="1" x14ac:dyDescent="0.2">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row>
    <row r="863" spans="18:42" ht="15.75" customHeight="1" x14ac:dyDescent="0.2">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row>
    <row r="864" spans="18:42" ht="15.75" customHeight="1" x14ac:dyDescent="0.2">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row>
    <row r="865" spans="18:42" ht="15.75" customHeight="1" x14ac:dyDescent="0.2">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row>
    <row r="866" spans="18:42" ht="15.75" customHeight="1" x14ac:dyDescent="0.2">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row>
    <row r="867" spans="18:42" ht="15.75" customHeight="1" x14ac:dyDescent="0.2">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row>
    <row r="868" spans="18:42" ht="15.75" customHeight="1" x14ac:dyDescent="0.2">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row>
    <row r="869" spans="18:42" ht="15.75" customHeight="1" x14ac:dyDescent="0.2">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row>
    <row r="870" spans="18:42" ht="15.75" customHeight="1" x14ac:dyDescent="0.2">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row>
    <row r="871" spans="18:42" ht="15.75" customHeight="1" x14ac:dyDescent="0.2">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row>
    <row r="872" spans="18:42" ht="15.75" customHeight="1" x14ac:dyDescent="0.2">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row>
    <row r="873" spans="18:42" ht="15.75" customHeight="1" x14ac:dyDescent="0.2">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row>
    <row r="874" spans="18:42" ht="15.75" customHeight="1" x14ac:dyDescent="0.2">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row>
    <row r="875" spans="18:42" ht="15.75" customHeight="1" x14ac:dyDescent="0.2">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row>
    <row r="876" spans="18:42" ht="15.75" customHeight="1" x14ac:dyDescent="0.2">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row>
    <row r="877" spans="18:42" ht="15.75" customHeight="1" x14ac:dyDescent="0.2">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row>
    <row r="878" spans="18:42" ht="15.75" customHeight="1" x14ac:dyDescent="0.2">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row>
    <row r="879" spans="18:42" ht="15.75" customHeight="1" x14ac:dyDescent="0.2">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row>
    <row r="880" spans="18:42" ht="15.75" customHeight="1" x14ac:dyDescent="0.2">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row>
    <row r="881" spans="18:42" ht="15.75" customHeight="1" x14ac:dyDescent="0.2">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row>
    <row r="882" spans="18:42" ht="15.75" customHeight="1" x14ac:dyDescent="0.2">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row>
    <row r="883" spans="18:42" ht="15.75" customHeight="1" x14ac:dyDescent="0.2">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row>
    <row r="884" spans="18:42" ht="15.75" customHeight="1" x14ac:dyDescent="0.2">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row>
    <row r="885" spans="18:42" ht="15.75" customHeight="1" x14ac:dyDescent="0.2">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row>
    <row r="886" spans="18:42" ht="15.75" customHeight="1" x14ac:dyDescent="0.2">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row>
    <row r="887" spans="18:42" ht="15.75" customHeight="1" x14ac:dyDescent="0.2">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row>
    <row r="888" spans="18:42" ht="15.75" customHeight="1" x14ac:dyDescent="0.2">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row>
    <row r="889" spans="18:42" ht="15.75" customHeight="1" x14ac:dyDescent="0.2">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row>
    <row r="890" spans="18:42" ht="15.75" customHeight="1" x14ac:dyDescent="0.2">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row>
    <row r="891" spans="18:42" ht="15.75" customHeight="1" x14ac:dyDescent="0.2">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row>
    <row r="892" spans="18:42" ht="15.75" customHeight="1" x14ac:dyDescent="0.2">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row>
    <row r="893" spans="18:42" ht="15.75" customHeight="1" x14ac:dyDescent="0.2">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row>
    <row r="894" spans="18:42" ht="15.75" customHeight="1" x14ac:dyDescent="0.2">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row>
    <row r="895" spans="18:42" ht="15.75" customHeight="1" x14ac:dyDescent="0.2">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row>
    <row r="896" spans="18:42" ht="15.75" customHeight="1" x14ac:dyDescent="0.2">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row>
    <row r="897" spans="18:42" ht="15.75" customHeight="1" x14ac:dyDescent="0.2">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row>
    <row r="898" spans="18:42" ht="15.75" customHeight="1" x14ac:dyDescent="0.2">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row>
    <row r="899" spans="18:42" ht="15.75" customHeight="1" x14ac:dyDescent="0.2">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row>
    <row r="900" spans="18:42" ht="15.75" customHeight="1" x14ac:dyDescent="0.2">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row>
    <row r="901" spans="18:42" ht="15.75" customHeight="1" x14ac:dyDescent="0.2">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row>
    <row r="902" spans="18:42" ht="15.75" customHeight="1" x14ac:dyDescent="0.2">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row>
    <row r="903" spans="18:42" ht="15.75" customHeight="1" x14ac:dyDescent="0.2">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row>
    <row r="904" spans="18:42" ht="15.75" customHeight="1" x14ac:dyDescent="0.2">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row>
    <row r="905" spans="18:42" ht="15.75" customHeight="1" x14ac:dyDescent="0.2">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row>
    <row r="906" spans="18:42" ht="15.75" customHeight="1" x14ac:dyDescent="0.2">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row>
    <row r="907" spans="18:42" ht="15.75" customHeight="1" x14ac:dyDescent="0.2">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row>
    <row r="908" spans="18:42" ht="15.75" customHeight="1" x14ac:dyDescent="0.2">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row>
    <row r="909" spans="18:42" ht="15.75" customHeight="1" x14ac:dyDescent="0.2">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row>
    <row r="910" spans="18:42" ht="15.75" customHeight="1" x14ac:dyDescent="0.2">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row>
    <row r="911" spans="18:42" ht="15.75" customHeight="1" x14ac:dyDescent="0.2">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row>
    <row r="912" spans="18:42" ht="15.75" customHeight="1" x14ac:dyDescent="0.2">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row>
    <row r="913" spans="18:42" ht="15.75" customHeight="1" x14ac:dyDescent="0.2">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row>
    <row r="914" spans="18:42" ht="15.75" customHeight="1" x14ac:dyDescent="0.2">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row>
    <row r="915" spans="18:42" ht="15.75" customHeight="1" x14ac:dyDescent="0.2">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row>
    <row r="916" spans="18:42" ht="15.75" customHeight="1" x14ac:dyDescent="0.2">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row>
    <row r="917" spans="18:42" ht="15.75" customHeight="1" x14ac:dyDescent="0.2">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row>
    <row r="918" spans="18:42" ht="15.75" customHeight="1" x14ac:dyDescent="0.2">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row>
    <row r="919" spans="18:42" ht="15.75" customHeight="1" x14ac:dyDescent="0.2">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row>
    <row r="920" spans="18:42" ht="15.75" customHeight="1" x14ac:dyDescent="0.2">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row>
    <row r="921" spans="18:42" ht="15.75" customHeight="1" x14ac:dyDescent="0.2">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row>
    <row r="922" spans="18:42" ht="15.75" customHeight="1" x14ac:dyDescent="0.2">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row>
    <row r="923" spans="18:42" ht="15.75" customHeight="1" x14ac:dyDescent="0.2">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row>
    <row r="924" spans="18:42" ht="15.75" customHeight="1" x14ac:dyDescent="0.2">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row>
    <row r="925" spans="18:42" ht="15.75" customHeight="1" x14ac:dyDescent="0.2">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row>
    <row r="926" spans="18:42" ht="15.75" customHeight="1" x14ac:dyDescent="0.2">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row>
    <row r="927" spans="18:42" ht="15.75" customHeight="1" x14ac:dyDescent="0.2">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row>
    <row r="928" spans="18:42" ht="15.75" customHeight="1" x14ac:dyDescent="0.2">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row>
    <row r="929" spans="18:42" ht="15.75" customHeight="1" x14ac:dyDescent="0.2">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row>
    <row r="930" spans="18:42" ht="15.75" customHeight="1" x14ac:dyDescent="0.2">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row>
    <row r="931" spans="18:42" ht="15.75" customHeight="1" x14ac:dyDescent="0.2">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row>
    <row r="932" spans="18:42" ht="15.75" customHeight="1" x14ac:dyDescent="0.2">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row>
    <row r="933" spans="18:42" ht="15.75" customHeight="1" x14ac:dyDescent="0.2">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row>
    <row r="934" spans="18:42" ht="15.75" customHeight="1" x14ac:dyDescent="0.2">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row>
    <row r="935" spans="18:42" ht="15.75" customHeight="1" x14ac:dyDescent="0.2">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row>
    <row r="936" spans="18:42" ht="15.75" customHeight="1" x14ac:dyDescent="0.2">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row>
    <row r="937" spans="18:42" ht="15.75" customHeight="1" x14ac:dyDescent="0.2">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row>
    <row r="938" spans="18:42" ht="15.75" customHeight="1" x14ac:dyDescent="0.2">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row>
    <row r="939" spans="18:42" ht="15.75" customHeight="1" x14ac:dyDescent="0.2">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row>
    <row r="940" spans="18:42" ht="15.75" customHeight="1" x14ac:dyDescent="0.2">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row>
    <row r="941" spans="18:42" ht="15.75" customHeight="1" x14ac:dyDescent="0.2">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row>
    <row r="942" spans="18:42" ht="15.75" customHeight="1" x14ac:dyDescent="0.2">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row>
    <row r="943" spans="18:42" ht="15.75" customHeight="1" x14ac:dyDescent="0.2">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row>
    <row r="944" spans="18:42" ht="15.75" customHeight="1" x14ac:dyDescent="0.2">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row>
    <row r="945" spans="18:42" ht="15.75" customHeight="1" x14ac:dyDescent="0.2">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row>
    <row r="946" spans="18:42" ht="15.75" customHeight="1" x14ac:dyDescent="0.2">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row>
    <row r="947" spans="18:42" ht="15.75" customHeight="1" x14ac:dyDescent="0.2">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row>
    <row r="948" spans="18:42" ht="15.75" customHeight="1" x14ac:dyDescent="0.2">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row>
    <row r="949" spans="18:42" ht="15.75" customHeight="1" x14ac:dyDescent="0.2">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row>
    <row r="950" spans="18:42" ht="15.75" customHeight="1" x14ac:dyDescent="0.2">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row>
    <row r="951" spans="18:42" ht="15.75" customHeight="1" x14ac:dyDescent="0.2">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row>
    <row r="952" spans="18:42" ht="15.75" customHeight="1" x14ac:dyDescent="0.2">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row>
    <row r="953" spans="18:42" ht="15.75" customHeight="1" x14ac:dyDescent="0.2">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row>
    <row r="954" spans="18:42" ht="15.75" customHeight="1" x14ac:dyDescent="0.2">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row>
    <row r="955" spans="18:42" ht="15.75" customHeight="1" x14ac:dyDescent="0.2">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row>
    <row r="956" spans="18:42" ht="15.75" customHeight="1" x14ac:dyDescent="0.2">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row>
    <row r="957" spans="18:42" ht="15.75" customHeight="1" x14ac:dyDescent="0.2">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row>
  </sheetData>
  <dataValidations count="2">
    <dataValidation type="list" allowBlank="1" showErrorMessage="1" sqref="Q202:Q203" xr:uid="{B5BE4DA0-628B-4038-AB32-F08A5A288759}">
      <formula1>"No se tiene acceso al artículo/revista/editorial, Es un preprint o la publicación está incompleta, El documento tiene un alto costo, El documento está embargado"</formula1>
    </dataValidation>
    <dataValidation type="list" allowBlank="1" showErrorMessage="1" sqref="P2:P200" xr:uid="{D6C506CB-E3AC-4EE2-A779-75D59C69B9CD}">
      <formula1>"Yes, Not"</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E1000"/>
  <sheetViews>
    <sheetView topLeftCell="A63" workbookViewId="0">
      <selection activeCell="G79" sqref="G79"/>
    </sheetView>
  </sheetViews>
  <sheetFormatPr baseColWidth="10" defaultColWidth="14.5" defaultRowHeight="15" customHeight="1" x14ac:dyDescent="0.2"/>
  <cols>
    <col min="7" max="7" width="17.83203125" customWidth="1"/>
    <col min="12" max="12" width="16.33203125" customWidth="1"/>
    <col min="26" max="26" width="25" customWidth="1"/>
  </cols>
  <sheetData>
    <row r="1" spans="1:57" ht="88.5" customHeight="1"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6" t="s">
        <v>43</v>
      </c>
      <c r="Q1" s="17" t="s">
        <v>35</v>
      </c>
      <c r="R1" s="18" t="s">
        <v>42</v>
      </c>
      <c r="S1" s="19" t="s">
        <v>36</v>
      </c>
      <c r="T1" s="20" t="s">
        <v>37</v>
      </c>
      <c r="U1" s="22" t="s">
        <v>48</v>
      </c>
      <c r="V1" s="6" t="s">
        <v>51</v>
      </c>
      <c r="W1" s="22" t="s">
        <v>49</v>
      </c>
      <c r="X1" s="6" t="s">
        <v>51</v>
      </c>
      <c r="Y1" s="43" t="s">
        <v>50</v>
      </c>
      <c r="Z1" s="21" t="s">
        <v>38</v>
      </c>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row>
    <row r="2" spans="1:57" ht="36" customHeight="1" x14ac:dyDescent="0.2">
      <c r="A2" s="122">
        <v>0</v>
      </c>
      <c r="B2" s="122" t="s">
        <v>53</v>
      </c>
      <c r="C2" s="122" t="s">
        <v>54</v>
      </c>
      <c r="D2" s="122" t="s">
        <v>55</v>
      </c>
      <c r="E2" s="122" t="s">
        <v>56</v>
      </c>
      <c r="F2" s="122" t="s">
        <v>64</v>
      </c>
      <c r="G2" s="122" t="s">
        <v>57</v>
      </c>
      <c r="H2" s="122" t="s">
        <v>58</v>
      </c>
      <c r="I2" s="122" t="s">
        <v>59</v>
      </c>
      <c r="J2" s="123"/>
      <c r="K2" s="124" t="s">
        <v>60</v>
      </c>
      <c r="L2" s="124"/>
      <c r="M2" s="124"/>
      <c r="N2" s="123" t="s">
        <v>16</v>
      </c>
      <c r="O2" s="123"/>
      <c r="P2" s="33" t="s">
        <v>34</v>
      </c>
      <c r="Q2" s="33" t="s">
        <v>34</v>
      </c>
      <c r="R2" s="33" t="s">
        <v>34</v>
      </c>
      <c r="S2" s="33" t="s">
        <v>34</v>
      </c>
      <c r="T2" s="33" t="s">
        <v>34</v>
      </c>
      <c r="U2" s="23"/>
      <c r="V2" s="33" t="s">
        <v>34</v>
      </c>
      <c r="W2" s="23"/>
      <c r="X2" s="33" t="s">
        <v>34</v>
      </c>
      <c r="Y2" s="33" t="s">
        <v>34</v>
      </c>
      <c r="Z2" s="23"/>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row>
    <row r="3" spans="1:57" ht="36" customHeight="1" x14ac:dyDescent="0.2">
      <c r="A3" s="122">
        <v>0</v>
      </c>
      <c r="B3" s="122" t="s">
        <v>0</v>
      </c>
      <c r="C3" s="122" t="s">
        <v>1</v>
      </c>
      <c r="D3" s="122" t="s">
        <v>2</v>
      </c>
      <c r="E3" s="122" t="s">
        <v>68</v>
      </c>
      <c r="F3" s="122" t="s">
        <v>4</v>
      </c>
      <c r="G3" s="122" t="s">
        <v>67</v>
      </c>
      <c r="H3" s="122" t="s">
        <v>65</v>
      </c>
      <c r="I3" s="122" t="s">
        <v>66</v>
      </c>
      <c r="J3" s="123"/>
      <c r="K3" s="124" t="s">
        <v>8</v>
      </c>
      <c r="L3" s="124"/>
      <c r="M3" s="124"/>
      <c r="N3" s="123" t="s">
        <v>16</v>
      </c>
      <c r="O3" s="123"/>
      <c r="P3" s="33" t="s">
        <v>34</v>
      </c>
      <c r="Q3" s="33" t="s">
        <v>34</v>
      </c>
      <c r="R3" s="33" t="s">
        <v>34</v>
      </c>
      <c r="S3" s="33" t="s">
        <v>34</v>
      </c>
      <c r="T3" s="33" t="s">
        <v>34</v>
      </c>
      <c r="U3" s="23"/>
      <c r="V3" s="33" t="s">
        <v>34</v>
      </c>
      <c r="W3" s="23"/>
      <c r="X3" s="33" t="s">
        <v>34</v>
      </c>
      <c r="Y3" s="33" t="s">
        <v>34</v>
      </c>
      <c r="Z3" s="23"/>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row>
    <row r="4" spans="1:57" ht="36" customHeight="1" x14ac:dyDescent="0.2">
      <c r="A4" s="122">
        <v>0</v>
      </c>
      <c r="B4" s="122" t="s">
        <v>0</v>
      </c>
      <c r="C4" s="122" t="s">
        <v>1</v>
      </c>
      <c r="D4" s="122" t="s">
        <v>2</v>
      </c>
      <c r="E4" s="122" t="s">
        <v>3</v>
      </c>
      <c r="F4" s="122" t="s">
        <v>4</v>
      </c>
      <c r="G4" s="122" t="s">
        <v>5</v>
      </c>
      <c r="H4" s="122" t="s">
        <v>6</v>
      </c>
      <c r="I4" s="122" t="s">
        <v>7</v>
      </c>
      <c r="J4" s="123"/>
      <c r="K4" s="124" t="s">
        <v>8</v>
      </c>
      <c r="L4" s="124" t="s">
        <v>22</v>
      </c>
      <c r="M4" s="124"/>
      <c r="N4" s="123" t="s">
        <v>16</v>
      </c>
      <c r="O4" s="123" t="s">
        <v>16</v>
      </c>
      <c r="P4" s="33" t="s">
        <v>34</v>
      </c>
      <c r="Q4" s="33" t="s">
        <v>34</v>
      </c>
      <c r="R4" s="33" t="s">
        <v>34</v>
      </c>
      <c r="S4" s="33" t="s">
        <v>34</v>
      </c>
      <c r="T4" s="33" t="s">
        <v>34</v>
      </c>
      <c r="U4" s="23"/>
      <c r="V4" s="33" t="s">
        <v>34</v>
      </c>
      <c r="W4" s="23"/>
      <c r="X4" s="33" t="s">
        <v>34</v>
      </c>
      <c r="Y4" s="33" t="s">
        <v>34</v>
      </c>
      <c r="Z4" s="23"/>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row>
    <row r="5" spans="1:57" ht="36" customHeight="1" x14ac:dyDescent="0.2">
      <c r="A5" s="122">
        <v>2</v>
      </c>
      <c r="B5" s="122" t="s">
        <v>217</v>
      </c>
      <c r="C5" s="122" t="s">
        <v>218</v>
      </c>
      <c r="D5" s="122">
        <v>2025</v>
      </c>
      <c r="E5" s="122" t="s">
        <v>219</v>
      </c>
      <c r="F5" s="122" t="s">
        <v>603</v>
      </c>
      <c r="G5" s="122" t="s">
        <v>221</v>
      </c>
      <c r="H5" s="122" t="s">
        <v>222</v>
      </c>
      <c r="I5" s="122" t="s">
        <v>15</v>
      </c>
      <c r="J5" s="123"/>
      <c r="K5" s="124" t="s">
        <v>223</v>
      </c>
      <c r="L5" s="124" t="s">
        <v>17</v>
      </c>
      <c r="M5" s="124"/>
      <c r="N5" s="124"/>
      <c r="O5" s="123" t="s">
        <v>16</v>
      </c>
      <c r="P5" s="33" t="s">
        <v>34</v>
      </c>
      <c r="Q5" s="33" t="s">
        <v>34</v>
      </c>
      <c r="R5" s="33" t="s">
        <v>34</v>
      </c>
      <c r="S5" s="33" t="s">
        <v>34</v>
      </c>
      <c r="T5" s="33" t="s">
        <v>34</v>
      </c>
      <c r="U5" s="23"/>
      <c r="V5" s="33" t="s">
        <v>34</v>
      </c>
      <c r="W5" s="23"/>
      <c r="X5" s="33" t="s">
        <v>34</v>
      </c>
      <c r="Y5" s="33" t="s">
        <v>34</v>
      </c>
      <c r="Z5" s="23"/>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row>
    <row r="6" spans="1:57" ht="36" customHeight="1" x14ac:dyDescent="0.2">
      <c r="A6" s="122">
        <v>3</v>
      </c>
      <c r="B6" s="122" t="s">
        <v>224</v>
      </c>
      <c r="C6" s="122" t="s">
        <v>225</v>
      </c>
      <c r="D6" s="122">
        <v>2026</v>
      </c>
      <c r="E6" s="122" t="s">
        <v>226</v>
      </c>
      <c r="F6" s="122" t="s">
        <v>228</v>
      </c>
      <c r="G6" s="122">
        <v>0</v>
      </c>
      <c r="H6" s="122" t="s">
        <v>230</v>
      </c>
      <c r="I6" s="122" t="s">
        <v>15</v>
      </c>
      <c r="J6" s="123"/>
      <c r="K6" s="124" t="s">
        <v>223</v>
      </c>
      <c r="L6" s="124"/>
      <c r="M6" s="124"/>
      <c r="N6" s="123" t="s">
        <v>16</v>
      </c>
      <c r="O6" s="123"/>
      <c r="P6" s="33" t="s">
        <v>34</v>
      </c>
      <c r="Q6" s="33" t="s">
        <v>34</v>
      </c>
      <c r="R6" s="33" t="s">
        <v>34</v>
      </c>
      <c r="S6" s="33" t="s">
        <v>34</v>
      </c>
      <c r="T6" s="33" t="s">
        <v>34</v>
      </c>
      <c r="U6" s="23"/>
      <c r="V6" s="33" t="s">
        <v>34</v>
      </c>
      <c r="W6" s="23"/>
      <c r="X6" s="33" t="s">
        <v>34</v>
      </c>
      <c r="Y6" s="33" t="s">
        <v>34</v>
      </c>
      <c r="Z6" s="23"/>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row>
    <row r="7" spans="1:57" ht="36" customHeight="1" x14ac:dyDescent="0.2">
      <c r="A7" s="122">
        <v>4</v>
      </c>
      <c r="B7" s="122" t="s">
        <v>231</v>
      </c>
      <c r="C7" s="122" t="s">
        <v>232</v>
      </c>
      <c r="D7" s="122">
        <v>2023</v>
      </c>
      <c r="E7" s="122" t="s">
        <v>233</v>
      </c>
      <c r="F7" s="122" t="s">
        <v>235</v>
      </c>
      <c r="G7" s="122" t="s">
        <v>236</v>
      </c>
      <c r="H7" s="122" t="s">
        <v>238</v>
      </c>
      <c r="I7" s="122" t="s">
        <v>15</v>
      </c>
      <c r="J7" s="123"/>
      <c r="K7" s="124" t="s">
        <v>223</v>
      </c>
      <c r="L7" s="124"/>
      <c r="M7" s="124"/>
      <c r="N7" s="123" t="s">
        <v>16</v>
      </c>
      <c r="O7" s="123"/>
      <c r="P7" s="33" t="s">
        <v>34</v>
      </c>
      <c r="Q7" s="33" t="s">
        <v>34</v>
      </c>
      <c r="R7" s="33" t="s">
        <v>34</v>
      </c>
      <c r="S7" s="33" t="s">
        <v>34</v>
      </c>
      <c r="T7" s="33" t="s">
        <v>34</v>
      </c>
      <c r="U7" s="23"/>
      <c r="V7" s="33" t="s">
        <v>34</v>
      </c>
      <c r="W7" s="23"/>
      <c r="X7" s="33" t="s">
        <v>34</v>
      </c>
      <c r="Y7" s="33" t="s">
        <v>34</v>
      </c>
      <c r="Z7" s="23"/>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row>
    <row r="8" spans="1:57" ht="36" customHeight="1" x14ac:dyDescent="0.2">
      <c r="A8" s="122">
        <v>5</v>
      </c>
      <c r="B8" s="122" t="s">
        <v>239</v>
      </c>
      <c r="C8" s="122" t="s">
        <v>240</v>
      </c>
      <c r="D8" s="122">
        <v>2025</v>
      </c>
      <c r="E8" s="122" t="s">
        <v>241</v>
      </c>
      <c r="F8" s="122" t="s">
        <v>243</v>
      </c>
      <c r="G8" s="122" t="s">
        <v>244</v>
      </c>
      <c r="H8" s="122" t="s">
        <v>246</v>
      </c>
      <c r="I8" s="122" t="s">
        <v>15</v>
      </c>
      <c r="J8" s="123"/>
      <c r="K8" s="124" t="s">
        <v>223</v>
      </c>
      <c r="L8" s="124" t="s">
        <v>25</v>
      </c>
      <c r="M8" s="124"/>
      <c r="N8" s="123" t="s">
        <v>16</v>
      </c>
      <c r="O8" s="123" t="s">
        <v>16</v>
      </c>
      <c r="P8" s="33" t="s">
        <v>34</v>
      </c>
      <c r="Q8" s="33" t="s">
        <v>34</v>
      </c>
      <c r="R8" s="33" t="s">
        <v>34</v>
      </c>
      <c r="S8" s="33" t="s">
        <v>34</v>
      </c>
      <c r="T8" s="33" t="s">
        <v>34</v>
      </c>
      <c r="U8" s="23"/>
      <c r="V8" s="33" t="s">
        <v>34</v>
      </c>
      <c r="W8" s="23"/>
      <c r="X8" s="33" t="s">
        <v>34</v>
      </c>
      <c r="Y8" s="33" t="s">
        <v>34</v>
      </c>
      <c r="Z8" s="2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row>
    <row r="9" spans="1:57" ht="36" customHeight="1" x14ac:dyDescent="0.2">
      <c r="A9" s="122">
        <v>6</v>
      </c>
      <c r="B9" s="122" t="s">
        <v>247</v>
      </c>
      <c r="C9" s="122" t="s">
        <v>248</v>
      </c>
      <c r="D9" s="122">
        <v>2026</v>
      </c>
      <c r="E9" s="122" t="s">
        <v>233</v>
      </c>
      <c r="F9" s="122" t="s">
        <v>250</v>
      </c>
      <c r="G9" s="122" t="s">
        <v>251</v>
      </c>
      <c r="H9" s="122" t="s">
        <v>238</v>
      </c>
      <c r="I9" s="122" t="s">
        <v>15</v>
      </c>
      <c r="J9" s="123"/>
      <c r="K9" s="124" t="s">
        <v>223</v>
      </c>
      <c r="L9" s="124"/>
      <c r="M9" s="124"/>
      <c r="N9" s="123" t="s">
        <v>16</v>
      </c>
      <c r="O9" s="123"/>
      <c r="P9" s="33" t="s">
        <v>34</v>
      </c>
      <c r="Q9" s="33" t="s">
        <v>34</v>
      </c>
      <c r="R9" s="33" t="s">
        <v>34</v>
      </c>
      <c r="S9" s="33" t="s">
        <v>34</v>
      </c>
      <c r="T9" s="33" t="s">
        <v>34</v>
      </c>
      <c r="U9" s="23"/>
      <c r="V9" s="33" t="s">
        <v>34</v>
      </c>
      <c r="W9" s="23"/>
      <c r="X9" s="33" t="s">
        <v>34</v>
      </c>
      <c r="Y9" s="33" t="s">
        <v>34</v>
      </c>
      <c r="Z9" s="2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row>
    <row r="10" spans="1:57" ht="36" customHeight="1" x14ac:dyDescent="0.2">
      <c r="A10" s="122">
        <v>7</v>
      </c>
      <c r="B10" s="122" t="s">
        <v>253</v>
      </c>
      <c r="C10" s="122" t="s">
        <v>254</v>
      </c>
      <c r="D10" s="122">
        <v>2024</v>
      </c>
      <c r="E10" s="122" t="s">
        <v>226</v>
      </c>
      <c r="F10" s="122" t="s">
        <v>256</v>
      </c>
      <c r="G10" s="122">
        <v>0</v>
      </c>
      <c r="H10" s="122" t="s">
        <v>230</v>
      </c>
      <c r="I10" s="122" t="s">
        <v>15</v>
      </c>
      <c r="J10" s="123"/>
      <c r="K10" s="124" t="s">
        <v>223</v>
      </c>
      <c r="L10" s="124" t="s">
        <v>20</v>
      </c>
      <c r="M10" s="124"/>
      <c r="N10" s="123" t="s">
        <v>16</v>
      </c>
      <c r="O10" s="123" t="s">
        <v>16</v>
      </c>
      <c r="P10" s="33" t="s">
        <v>34</v>
      </c>
      <c r="Q10" s="33" t="s">
        <v>34</v>
      </c>
      <c r="R10" s="33" t="s">
        <v>34</v>
      </c>
      <c r="S10" s="33" t="s">
        <v>34</v>
      </c>
      <c r="T10" s="33" t="s">
        <v>34</v>
      </c>
      <c r="U10" s="23"/>
      <c r="V10" s="33" t="s">
        <v>34</v>
      </c>
      <c r="W10" s="23"/>
      <c r="X10" s="33" t="s">
        <v>34</v>
      </c>
      <c r="Y10" s="33" t="s">
        <v>34</v>
      </c>
      <c r="Z10" s="2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row>
    <row r="11" spans="1:57" ht="36" customHeight="1" x14ac:dyDescent="0.2">
      <c r="A11" s="122">
        <v>8</v>
      </c>
      <c r="B11" s="122" t="s">
        <v>258</v>
      </c>
      <c r="C11" s="122" t="s">
        <v>259</v>
      </c>
      <c r="D11" s="122">
        <v>2025</v>
      </c>
      <c r="E11" s="122" t="s">
        <v>260</v>
      </c>
      <c r="F11" s="122" t="s">
        <v>262</v>
      </c>
      <c r="G11" s="122" t="s">
        <v>263</v>
      </c>
      <c r="H11" s="122" t="s">
        <v>246</v>
      </c>
      <c r="I11" s="122" t="s">
        <v>15</v>
      </c>
      <c r="J11" s="123"/>
      <c r="K11" s="124" t="s">
        <v>223</v>
      </c>
      <c r="L11" s="124"/>
      <c r="M11" s="124"/>
      <c r="N11" s="123" t="s">
        <v>16</v>
      </c>
      <c r="O11" s="123"/>
      <c r="P11" s="33" t="s">
        <v>34</v>
      </c>
      <c r="Q11" s="33" t="s">
        <v>34</v>
      </c>
      <c r="R11" s="33" t="s">
        <v>34</v>
      </c>
      <c r="S11" s="33" t="s">
        <v>34</v>
      </c>
      <c r="T11" s="33" t="s">
        <v>34</v>
      </c>
      <c r="U11" s="23"/>
      <c r="V11" s="33" t="s">
        <v>34</v>
      </c>
      <c r="W11" s="23"/>
      <c r="X11" s="33" t="s">
        <v>34</v>
      </c>
      <c r="Y11" s="33" t="s">
        <v>34</v>
      </c>
      <c r="Z11" s="23"/>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row>
    <row r="12" spans="1:57" ht="36" customHeight="1" x14ac:dyDescent="0.2">
      <c r="A12" s="122">
        <v>9</v>
      </c>
      <c r="B12" s="122" t="s">
        <v>264</v>
      </c>
      <c r="C12" s="122" t="s">
        <v>265</v>
      </c>
      <c r="D12" s="122">
        <v>2025</v>
      </c>
      <c r="E12" s="122" t="s">
        <v>260</v>
      </c>
      <c r="F12" s="122" t="s">
        <v>267</v>
      </c>
      <c r="G12" s="122" t="s">
        <v>268</v>
      </c>
      <c r="H12" s="122" t="s">
        <v>246</v>
      </c>
      <c r="I12" s="122" t="s">
        <v>15</v>
      </c>
      <c r="J12" s="123"/>
      <c r="K12" s="124" t="s">
        <v>223</v>
      </c>
      <c r="L12" s="124" t="s">
        <v>24</v>
      </c>
      <c r="M12" s="124"/>
      <c r="N12" s="124"/>
      <c r="O12" s="123" t="s">
        <v>16</v>
      </c>
      <c r="P12" s="33" t="s">
        <v>34</v>
      </c>
      <c r="Q12" s="33" t="s">
        <v>34</v>
      </c>
      <c r="R12" s="33" t="s">
        <v>34</v>
      </c>
      <c r="S12" s="33" t="s">
        <v>34</v>
      </c>
      <c r="T12" s="33" t="s">
        <v>34</v>
      </c>
      <c r="U12" s="23"/>
      <c r="V12" s="33" t="s">
        <v>34</v>
      </c>
      <c r="W12" s="23"/>
      <c r="X12" s="33" t="s">
        <v>34</v>
      </c>
      <c r="Y12" s="33" t="s">
        <v>34</v>
      </c>
      <c r="Z12" s="2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row>
    <row r="13" spans="1:57" ht="36" customHeight="1" x14ac:dyDescent="0.2">
      <c r="A13" s="122">
        <v>10</v>
      </c>
      <c r="B13" s="122" t="s">
        <v>269</v>
      </c>
      <c r="C13" s="122" t="s">
        <v>270</v>
      </c>
      <c r="D13" s="122">
        <v>2025</v>
      </c>
      <c r="E13" s="122" t="s">
        <v>233</v>
      </c>
      <c r="F13" s="122" t="s">
        <v>272</v>
      </c>
      <c r="G13" s="122" t="s">
        <v>273</v>
      </c>
      <c r="H13" s="122" t="s">
        <v>238</v>
      </c>
      <c r="I13" s="122" t="s">
        <v>15</v>
      </c>
      <c r="J13" s="123"/>
      <c r="K13" s="124" t="s">
        <v>223</v>
      </c>
      <c r="L13" s="124"/>
      <c r="M13" s="124"/>
      <c r="N13" s="123" t="s">
        <v>16</v>
      </c>
      <c r="O13" s="123"/>
      <c r="P13" s="33" t="s">
        <v>34</v>
      </c>
      <c r="Q13" s="33" t="s">
        <v>34</v>
      </c>
      <c r="R13" s="33" t="s">
        <v>34</v>
      </c>
      <c r="S13" s="33" t="s">
        <v>34</v>
      </c>
      <c r="T13" s="33" t="s">
        <v>34</v>
      </c>
      <c r="U13" s="23"/>
      <c r="V13" s="33" t="s">
        <v>34</v>
      </c>
      <c r="W13" s="23"/>
      <c r="X13" s="33" t="s">
        <v>34</v>
      </c>
      <c r="Y13" s="33" t="s">
        <v>34</v>
      </c>
      <c r="Z13" s="2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row>
    <row r="14" spans="1:57" ht="36" customHeight="1" x14ac:dyDescent="0.2">
      <c r="A14" s="122">
        <v>11</v>
      </c>
      <c r="B14" s="122" t="s">
        <v>275</v>
      </c>
      <c r="C14" s="122" t="s">
        <v>276</v>
      </c>
      <c r="D14" s="122">
        <v>2025</v>
      </c>
      <c r="E14" s="122" t="s">
        <v>219</v>
      </c>
      <c r="F14" s="122" t="s">
        <v>278</v>
      </c>
      <c r="G14" s="122" t="s">
        <v>279</v>
      </c>
      <c r="H14" s="122" t="s">
        <v>222</v>
      </c>
      <c r="I14" s="122" t="s">
        <v>15</v>
      </c>
      <c r="J14" s="123"/>
      <c r="K14" s="124" t="s">
        <v>223</v>
      </c>
      <c r="L14" s="124"/>
      <c r="M14" s="124"/>
      <c r="N14" s="123" t="s">
        <v>16</v>
      </c>
      <c r="O14" s="123"/>
      <c r="P14" s="33" t="s">
        <v>34</v>
      </c>
      <c r="Q14" s="33" t="s">
        <v>34</v>
      </c>
      <c r="R14" s="33" t="s">
        <v>34</v>
      </c>
      <c r="S14" s="33" t="s">
        <v>34</v>
      </c>
      <c r="T14" s="33" t="s">
        <v>34</v>
      </c>
      <c r="U14" s="23"/>
      <c r="V14" s="33" t="s">
        <v>34</v>
      </c>
      <c r="W14" s="23"/>
      <c r="X14" s="33" t="s">
        <v>34</v>
      </c>
      <c r="Y14" s="33" t="s">
        <v>34</v>
      </c>
      <c r="Z14" s="2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row>
    <row r="15" spans="1:57" ht="36" customHeight="1" x14ac:dyDescent="0.2">
      <c r="A15" s="122">
        <v>12</v>
      </c>
      <c r="B15" s="122" t="s">
        <v>281</v>
      </c>
      <c r="C15" s="122" t="s">
        <v>282</v>
      </c>
      <c r="D15" s="122">
        <v>2023</v>
      </c>
      <c r="E15" s="122" t="s">
        <v>219</v>
      </c>
      <c r="F15" s="122" t="s">
        <v>284</v>
      </c>
      <c r="G15" s="122" t="s">
        <v>285</v>
      </c>
      <c r="H15" s="122" t="s">
        <v>222</v>
      </c>
      <c r="I15" s="122" t="s">
        <v>15</v>
      </c>
      <c r="J15" s="123"/>
      <c r="K15" s="124" t="s">
        <v>223</v>
      </c>
      <c r="L15" s="124"/>
      <c r="M15" s="124"/>
      <c r="N15" s="123" t="s">
        <v>16</v>
      </c>
      <c r="O15" s="123" t="s">
        <v>16</v>
      </c>
      <c r="P15" s="33" t="s">
        <v>34</v>
      </c>
      <c r="Q15" s="33" t="s">
        <v>34</v>
      </c>
      <c r="R15" s="33" t="s">
        <v>34</v>
      </c>
      <c r="S15" s="33" t="s">
        <v>34</v>
      </c>
      <c r="T15" s="33" t="s">
        <v>34</v>
      </c>
      <c r="U15" s="23"/>
      <c r="V15" s="33" t="s">
        <v>34</v>
      </c>
      <c r="W15" s="23"/>
      <c r="X15" s="33" t="s">
        <v>34</v>
      </c>
      <c r="Y15" s="33" t="s">
        <v>34</v>
      </c>
      <c r="Z15" s="2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row>
    <row r="16" spans="1:57" ht="36" customHeight="1" x14ac:dyDescent="0.2">
      <c r="A16" s="122">
        <v>13</v>
      </c>
      <c r="B16" s="122" t="s">
        <v>287</v>
      </c>
      <c r="C16" s="122" t="s">
        <v>288</v>
      </c>
      <c r="D16" s="122">
        <v>2023</v>
      </c>
      <c r="E16" s="122" t="s">
        <v>219</v>
      </c>
      <c r="F16" s="122" t="s">
        <v>290</v>
      </c>
      <c r="G16" s="122" t="s">
        <v>291</v>
      </c>
      <c r="H16" s="122" t="s">
        <v>222</v>
      </c>
      <c r="I16" s="122" t="s">
        <v>15</v>
      </c>
      <c r="J16" s="123"/>
      <c r="K16" s="124" t="s">
        <v>223</v>
      </c>
      <c r="L16" s="124" t="s">
        <v>23</v>
      </c>
      <c r="M16" s="124"/>
      <c r="N16" s="124"/>
      <c r="O16" s="123" t="s">
        <v>16</v>
      </c>
      <c r="P16" s="33" t="s">
        <v>34</v>
      </c>
      <c r="Q16" s="33" t="s">
        <v>34</v>
      </c>
      <c r="R16" s="33" t="s">
        <v>34</v>
      </c>
      <c r="S16" s="33" t="s">
        <v>34</v>
      </c>
      <c r="T16" s="33" t="s">
        <v>34</v>
      </c>
      <c r="U16" s="23"/>
      <c r="V16" s="33" t="s">
        <v>34</v>
      </c>
      <c r="W16" s="23"/>
      <c r="X16" s="33" t="s">
        <v>34</v>
      </c>
      <c r="Y16" s="33" t="s">
        <v>34</v>
      </c>
      <c r="Z16" s="2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row>
    <row r="17" spans="1:57" ht="36" customHeight="1" x14ac:dyDescent="0.2">
      <c r="A17" s="122">
        <v>14</v>
      </c>
      <c r="B17" s="122" t="s">
        <v>293</v>
      </c>
      <c r="C17" s="122" t="s">
        <v>294</v>
      </c>
      <c r="D17" s="122">
        <v>2021</v>
      </c>
      <c r="E17" s="122" t="s">
        <v>260</v>
      </c>
      <c r="F17" s="122" t="s">
        <v>296</v>
      </c>
      <c r="G17" s="122" t="s">
        <v>297</v>
      </c>
      <c r="H17" s="122" t="s">
        <v>246</v>
      </c>
      <c r="I17" s="122" t="s">
        <v>15</v>
      </c>
      <c r="J17" s="123"/>
      <c r="K17" s="124" t="s">
        <v>223</v>
      </c>
      <c r="L17" s="124"/>
      <c r="M17" s="124"/>
      <c r="N17" s="123" t="s">
        <v>16</v>
      </c>
      <c r="O17" s="123"/>
      <c r="P17" s="33" t="s">
        <v>34</v>
      </c>
      <c r="Q17" s="33" t="s">
        <v>34</v>
      </c>
      <c r="R17" s="33" t="s">
        <v>34</v>
      </c>
      <c r="S17" s="33" t="s">
        <v>34</v>
      </c>
      <c r="T17" s="33" t="s">
        <v>34</v>
      </c>
      <c r="U17" s="23"/>
      <c r="V17" s="33" t="s">
        <v>34</v>
      </c>
      <c r="W17" s="23"/>
      <c r="X17" s="33" t="s">
        <v>34</v>
      </c>
      <c r="Y17" s="33" t="s">
        <v>34</v>
      </c>
      <c r="Z17" s="23"/>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row>
    <row r="18" spans="1:57" ht="36" customHeight="1" x14ac:dyDescent="0.2">
      <c r="A18" s="122">
        <v>15</v>
      </c>
      <c r="B18" s="122" t="s">
        <v>298</v>
      </c>
      <c r="C18" s="122" t="s">
        <v>299</v>
      </c>
      <c r="D18" s="122">
        <v>2022</v>
      </c>
      <c r="E18" s="122" t="s">
        <v>226</v>
      </c>
      <c r="F18" s="122" t="s">
        <v>301</v>
      </c>
      <c r="G18" s="122">
        <v>0</v>
      </c>
      <c r="H18" s="122" t="s">
        <v>230</v>
      </c>
      <c r="I18" s="122" t="s">
        <v>15</v>
      </c>
      <c r="J18" s="123"/>
      <c r="K18" s="124" t="s">
        <v>223</v>
      </c>
      <c r="L18" s="124"/>
      <c r="M18" s="124"/>
      <c r="N18" s="123" t="s">
        <v>16</v>
      </c>
      <c r="O18" s="123"/>
      <c r="P18" s="33" t="s">
        <v>34</v>
      </c>
      <c r="Q18" s="33" t="s">
        <v>34</v>
      </c>
      <c r="R18" s="33" t="s">
        <v>34</v>
      </c>
      <c r="S18" s="33" t="s">
        <v>34</v>
      </c>
      <c r="T18" s="33" t="s">
        <v>34</v>
      </c>
      <c r="U18" s="23"/>
      <c r="V18" s="33" t="s">
        <v>34</v>
      </c>
      <c r="W18" s="23"/>
      <c r="X18" s="33" t="s">
        <v>34</v>
      </c>
      <c r="Y18" s="33" t="s">
        <v>34</v>
      </c>
      <c r="Z18" s="2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row>
    <row r="19" spans="1:57" ht="36" customHeight="1" x14ac:dyDescent="0.2">
      <c r="A19" s="122">
        <v>16</v>
      </c>
      <c r="B19" s="122" t="s">
        <v>302</v>
      </c>
      <c r="C19" s="122" t="s">
        <v>303</v>
      </c>
      <c r="D19" s="122">
        <v>2025</v>
      </c>
      <c r="E19" s="122" t="s">
        <v>241</v>
      </c>
      <c r="F19" s="122" t="s">
        <v>305</v>
      </c>
      <c r="G19" s="122" t="s">
        <v>306</v>
      </c>
      <c r="H19" s="122" t="s">
        <v>246</v>
      </c>
      <c r="I19" s="122" t="s">
        <v>15</v>
      </c>
      <c r="J19" s="123"/>
      <c r="K19" s="124" t="s">
        <v>223</v>
      </c>
      <c r="L19" s="124"/>
      <c r="M19" s="124"/>
      <c r="N19" s="123" t="s">
        <v>16</v>
      </c>
      <c r="O19" s="123"/>
      <c r="P19" s="33" t="s">
        <v>34</v>
      </c>
      <c r="Q19" s="33" t="s">
        <v>34</v>
      </c>
      <c r="R19" s="33" t="s">
        <v>34</v>
      </c>
      <c r="S19" s="33" t="s">
        <v>34</v>
      </c>
      <c r="T19" s="33" t="s">
        <v>34</v>
      </c>
      <c r="U19" s="23"/>
      <c r="V19" s="33" t="s">
        <v>34</v>
      </c>
      <c r="W19" s="23"/>
      <c r="X19" s="33" t="s">
        <v>34</v>
      </c>
      <c r="Y19" s="33" t="s">
        <v>34</v>
      </c>
      <c r="Z19" s="2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row>
    <row r="20" spans="1:57" ht="36" customHeight="1" x14ac:dyDescent="0.2">
      <c r="A20" s="122">
        <v>17</v>
      </c>
      <c r="B20" s="122" t="s">
        <v>308</v>
      </c>
      <c r="C20" s="122" t="s">
        <v>309</v>
      </c>
      <c r="D20" s="122">
        <v>2025</v>
      </c>
      <c r="E20" s="122" t="s">
        <v>241</v>
      </c>
      <c r="F20" s="122" t="s">
        <v>311</v>
      </c>
      <c r="G20" s="122" t="s">
        <v>312</v>
      </c>
      <c r="H20" s="122" t="s">
        <v>246</v>
      </c>
      <c r="I20" s="122" t="s">
        <v>15</v>
      </c>
      <c r="J20" s="123"/>
      <c r="K20" s="124" t="s">
        <v>223</v>
      </c>
      <c r="L20" s="124" t="s">
        <v>27</v>
      </c>
      <c r="M20" s="124"/>
      <c r="N20" s="124"/>
      <c r="O20" s="123" t="s">
        <v>16</v>
      </c>
      <c r="P20" s="33" t="s">
        <v>34</v>
      </c>
      <c r="Q20" s="33" t="s">
        <v>34</v>
      </c>
      <c r="R20" s="33" t="s">
        <v>34</v>
      </c>
      <c r="S20" s="33" t="s">
        <v>34</v>
      </c>
      <c r="T20" s="33" t="s">
        <v>34</v>
      </c>
      <c r="U20" s="23"/>
      <c r="V20" s="33" t="s">
        <v>34</v>
      </c>
      <c r="W20" s="23"/>
      <c r="X20" s="33" t="s">
        <v>34</v>
      </c>
      <c r="Y20" s="33" t="s">
        <v>34</v>
      </c>
      <c r="Z20" s="2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row>
    <row r="21" spans="1:57" ht="36" customHeight="1" x14ac:dyDescent="0.2">
      <c r="A21" s="122">
        <v>18</v>
      </c>
      <c r="B21" s="122" t="s">
        <v>314</v>
      </c>
      <c r="C21" s="122" t="s">
        <v>315</v>
      </c>
      <c r="D21" s="122">
        <v>2025</v>
      </c>
      <c r="E21" s="122" t="s">
        <v>260</v>
      </c>
      <c r="F21" s="122" t="s">
        <v>317</v>
      </c>
      <c r="G21" s="122" t="s">
        <v>318</v>
      </c>
      <c r="H21" s="122" t="s">
        <v>246</v>
      </c>
      <c r="I21" s="122" t="s">
        <v>15</v>
      </c>
      <c r="J21" s="123"/>
      <c r="K21" s="124" t="s">
        <v>223</v>
      </c>
      <c r="L21" s="124"/>
      <c r="M21" s="124"/>
      <c r="N21" s="123" t="s">
        <v>16</v>
      </c>
      <c r="O21" s="123"/>
      <c r="P21" s="33" t="s">
        <v>34</v>
      </c>
      <c r="Q21" s="33" t="s">
        <v>34</v>
      </c>
      <c r="R21" s="33" t="s">
        <v>34</v>
      </c>
      <c r="S21" s="33" t="s">
        <v>34</v>
      </c>
      <c r="T21" s="33" t="s">
        <v>34</v>
      </c>
      <c r="U21" s="23"/>
      <c r="V21" s="33" t="s">
        <v>34</v>
      </c>
      <c r="W21" s="23"/>
      <c r="X21" s="33" t="s">
        <v>34</v>
      </c>
      <c r="Y21" s="33" t="s">
        <v>34</v>
      </c>
      <c r="Z21" s="23"/>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row>
    <row r="22" spans="1:57" ht="36" customHeight="1" x14ac:dyDescent="0.2">
      <c r="A22" s="122">
        <v>19</v>
      </c>
      <c r="B22" s="122" t="s">
        <v>320</v>
      </c>
      <c r="C22" s="122" t="s">
        <v>321</v>
      </c>
      <c r="D22" s="122">
        <v>2023</v>
      </c>
      <c r="E22" s="122" t="s">
        <v>219</v>
      </c>
      <c r="F22" s="122" t="s">
        <v>323</v>
      </c>
      <c r="G22" s="122" t="s">
        <v>324</v>
      </c>
      <c r="H22" s="122" t="s">
        <v>222</v>
      </c>
      <c r="I22" s="122" t="s">
        <v>15</v>
      </c>
      <c r="J22" s="123"/>
      <c r="K22" s="124" t="s">
        <v>223</v>
      </c>
      <c r="L22" s="124"/>
      <c r="M22" s="124"/>
      <c r="N22" s="123" t="s">
        <v>16</v>
      </c>
      <c r="O22" s="123"/>
      <c r="P22" s="33" t="s">
        <v>34</v>
      </c>
      <c r="Q22" s="33" t="s">
        <v>34</v>
      </c>
      <c r="R22" s="33" t="s">
        <v>34</v>
      </c>
      <c r="S22" s="33" t="s">
        <v>34</v>
      </c>
      <c r="T22" s="33" t="s">
        <v>34</v>
      </c>
      <c r="U22" s="23"/>
      <c r="V22" s="33" t="s">
        <v>34</v>
      </c>
      <c r="W22" s="23"/>
      <c r="X22" s="33" t="s">
        <v>34</v>
      </c>
      <c r="Y22" s="33" t="s">
        <v>34</v>
      </c>
      <c r="Z22" s="23"/>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row>
    <row r="23" spans="1:57" ht="36" customHeight="1" x14ac:dyDescent="0.2">
      <c r="A23" s="122">
        <v>20</v>
      </c>
      <c r="B23" s="122" t="s">
        <v>326</v>
      </c>
      <c r="C23" s="122" t="s">
        <v>327</v>
      </c>
      <c r="D23" s="122">
        <v>2025</v>
      </c>
      <c r="E23" s="122" t="s">
        <v>233</v>
      </c>
      <c r="F23" s="122" t="s">
        <v>329</v>
      </c>
      <c r="G23" s="122" t="s">
        <v>330</v>
      </c>
      <c r="H23" s="122" t="s">
        <v>238</v>
      </c>
      <c r="I23" s="122" t="s">
        <v>15</v>
      </c>
      <c r="J23" s="123"/>
      <c r="K23" s="124" t="s">
        <v>223</v>
      </c>
      <c r="L23" s="124" t="s">
        <v>19</v>
      </c>
      <c r="M23" s="124"/>
      <c r="N23" s="123" t="s">
        <v>16</v>
      </c>
      <c r="O23" s="123" t="s">
        <v>16</v>
      </c>
      <c r="P23" s="33" t="s">
        <v>34</v>
      </c>
      <c r="Q23" s="33" t="s">
        <v>34</v>
      </c>
      <c r="R23" s="33" t="s">
        <v>34</v>
      </c>
      <c r="S23" s="33" t="s">
        <v>34</v>
      </c>
      <c r="T23" s="33" t="s">
        <v>34</v>
      </c>
      <c r="U23" s="23"/>
      <c r="V23" s="33" t="s">
        <v>34</v>
      </c>
      <c r="W23" s="23"/>
      <c r="X23" s="33" t="s">
        <v>34</v>
      </c>
      <c r="Y23" s="33" t="s">
        <v>34</v>
      </c>
      <c r="Z23" s="23"/>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row>
    <row r="24" spans="1:57" ht="36" customHeight="1" x14ac:dyDescent="0.2">
      <c r="A24" s="122">
        <v>21</v>
      </c>
      <c r="B24" s="122" t="s">
        <v>332</v>
      </c>
      <c r="C24" s="122" t="s">
        <v>333</v>
      </c>
      <c r="D24" s="122">
        <v>2022</v>
      </c>
      <c r="E24" s="122" t="s">
        <v>226</v>
      </c>
      <c r="F24" s="122" t="s">
        <v>335</v>
      </c>
      <c r="G24" s="122">
        <v>0</v>
      </c>
      <c r="H24" s="122" t="s">
        <v>230</v>
      </c>
      <c r="I24" s="122" t="s">
        <v>15</v>
      </c>
      <c r="J24" s="123"/>
      <c r="K24" s="124" t="s">
        <v>223</v>
      </c>
      <c r="L24" s="124"/>
      <c r="M24" s="124"/>
      <c r="N24" s="123" t="s">
        <v>16</v>
      </c>
      <c r="O24" s="123"/>
      <c r="P24" s="33" t="s">
        <v>34</v>
      </c>
      <c r="Q24" s="33" t="s">
        <v>34</v>
      </c>
      <c r="R24" s="33" t="s">
        <v>34</v>
      </c>
      <c r="S24" s="33" t="s">
        <v>34</v>
      </c>
      <c r="T24" s="33" t="s">
        <v>34</v>
      </c>
      <c r="U24" s="23"/>
      <c r="V24" s="33" t="s">
        <v>34</v>
      </c>
      <c r="W24" s="23"/>
      <c r="X24" s="33" t="s">
        <v>34</v>
      </c>
      <c r="Y24" s="33" t="s">
        <v>34</v>
      </c>
      <c r="Z24" s="2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row>
    <row r="25" spans="1:57" ht="36" customHeight="1" x14ac:dyDescent="0.2">
      <c r="A25" s="122">
        <v>22</v>
      </c>
      <c r="B25" s="122" t="s">
        <v>337</v>
      </c>
      <c r="C25" s="122" t="s">
        <v>338</v>
      </c>
      <c r="D25" s="122">
        <v>2021</v>
      </c>
      <c r="E25" s="122" t="s">
        <v>226</v>
      </c>
      <c r="F25" s="122" t="s">
        <v>340</v>
      </c>
      <c r="G25" s="122">
        <v>0</v>
      </c>
      <c r="H25" s="122" t="s">
        <v>230</v>
      </c>
      <c r="I25" s="122" t="s">
        <v>15</v>
      </c>
      <c r="J25" s="123"/>
      <c r="K25" s="124" t="s">
        <v>223</v>
      </c>
      <c r="L25" s="124"/>
      <c r="M25" s="124"/>
      <c r="N25" s="123" t="s">
        <v>16</v>
      </c>
      <c r="O25" s="123"/>
      <c r="P25" s="33" t="s">
        <v>34</v>
      </c>
      <c r="Q25" s="33" t="s">
        <v>34</v>
      </c>
      <c r="R25" s="33" t="s">
        <v>34</v>
      </c>
      <c r="S25" s="33" t="s">
        <v>34</v>
      </c>
      <c r="T25" s="33" t="s">
        <v>34</v>
      </c>
      <c r="U25" s="23"/>
      <c r="V25" s="33" t="s">
        <v>34</v>
      </c>
      <c r="W25" s="23"/>
      <c r="X25" s="33" t="s">
        <v>34</v>
      </c>
      <c r="Y25" s="33" t="s">
        <v>34</v>
      </c>
      <c r="Z25" s="2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row>
    <row r="26" spans="1:57" ht="36" customHeight="1" x14ac:dyDescent="0.2">
      <c r="A26" s="122">
        <v>23</v>
      </c>
      <c r="B26" s="122" t="s">
        <v>342</v>
      </c>
      <c r="C26" s="122" t="s">
        <v>343</v>
      </c>
      <c r="D26" s="122">
        <v>2024</v>
      </c>
      <c r="E26" s="122" t="s">
        <v>219</v>
      </c>
      <c r="F26" s="122" t="s">
        <v>345</v>
      </c>
      <c r="G26" s="122" t="s">
        <v>346</v>
      </c>
      <c r="H26" s="122" t="s">
        <v>222</v>
      </c>
      <c r="I26" s="122" t="s">
        <v>15</v>
      </c>
      <c r="J26" s="123"/>
      <c r="K26" s="124" t="s">
        <v>223</v>
      </c>
      <c r="L26" s="124" t="s">
        <v>22</v>
      </c>
      <c r="M26" s="124"/>
      <c r="N26" s="124"/>
      <c r="O26" s="123" t="s">
        <v>16</v>
      </c>
      <c r="P26" s="33" t="s">
        <v>33</v>
      </c>
      <c r="Q26" s="33" t="s">
        <v>33</v>
      </c>
      <c r="R26" s="33" t="s">
        <v>34</v>
      </c>
      <c r="S26" s="33" t="s">
        <v>33</v>
      </c>
      <c r="T26" s="33" t="s">
        <v>33</v>
      </c>
      <c r="U26" s="25"/>
      <c r="V26" s="33" t="s">
        <v>34</v>
      </c>
      <c r="W26" s="25"/>
      <c r="X26" s="33" t="s">
        <v>34</v>
      </c>
      <c r="Y26" s="33" t="s">
        <v>34</v>
      </c>
      <c r="Z26" s="25"/>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row>
    <row r="27" spans="1:57" ht="36" customHeight="1" x14ac:dyDescent="0.2">
      <c r="A27" s="122">
        <v>24</v>
      </c>
      <c r="B27" s="122" t="s">
        <v>348</v>
      </c>
      <c r="C27" s="122" t="s">
        <v>349</v>
      </c>
      <c r="D27" s="122">
        <v>2022</v>
      </c>
      <c r="E27" s="122" t="s">
        <v>219</v>
      </c>
      <c r="F27" s="122" t="s">
        <v>351</v>
      </c>
      <c r="G27" s="122" t="s">
        <v>352</v>
      </c>
      <c r="H27" s="122" t="s">
        <v>222</v>
      </c>
      <c r="I27" s="122" t="s">
        <v>15</v>
      </c>
      <c r="J27" s="123"/>
      <c r="K27" s="124" t="s">
        <v>223</v>
      </c>
      <c r="L27" s="124" t="s">
        <v>17</v>
      </c>
      <c r="M27" s="124"/>
      <c r="N27" s="124"/>
      <c r="O27" s="123" t="s">
        <v>16</v>
      </c>
      <c r="P27" s="33" t="s">
        <v>34</v>
      </c>
      <c r="Q27" s="33" t="s">
        <v>34</v>
      </c>
      <c r="R27" s="33" t="s">
        <v>34</v>
      </c>
      <c r="S27" s="33" t="s">
        <v>34</v>
      </c>
      <c r="T27" s="33" t="s">
        <v>34</v>
      </c>
      <c r="U27" s="25"/>
      <c r="V27" s="33" t="s">
        <v>34</v>
      </c>
      <c r="W27" s="25"/>
      <c r="X27" s="33" t="s">
        <v>34</v>
      </c>
      <c r="Y27" s="33" t="s">
        <v>34</v>
      </c>
      <c r="Z27" s="25"/>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row>
    <row r="28" spans="1:57" ht="36" customHeight="1" x14ac:dyDescent="0.2">
      <c r="A28" s="122">
        <v>25</v>
      </c>
      <c r="B28" s="122" t="s">
        <v>354</v>
      </c>
      <c r="C28" s="122" t="s">
        <v>355</v>
      </c>
      <c r="D28" s="122">
        <v>2023</v>
      </c>
      <c r="E28" s="122" t="s">
        <v>226</v>
      </c>
      <c r="F28" s="122" t="s">
        <v>608</v>
      </c>
      <c r="G28" s="122">
        <v>0</v>
      </c>
      <c r="H28" s="122" t="s">
        <v>230</v>
      </c>
      <c r="I28" s="122" t="s">
        <v>15</v>
      </c>
      <c r="J28" s="123"/>
      <c r="K28" s="124" t="s">
        <v>223</v>
      </c>
      <c r="L28" s="124"/>
      <c r="M28" s="124"/>
      <c r="N28" s="123" t="s">
        <v>16</v>
      </c>
      <c r="O28" s="123"/>
      <c r="P28" s="33" t="s">
        <v>33</v>
      </c>
      <c r="Q28" s="33" t="s">
        <v>33</v>
      </c>
      <c r="R28" s="33" t="s">
        <v>34</v>
      </c>
      <c r="S28" s="33" t="s">
        <v>33</v>
      </c>
      <c r="T28" s="33" t="s">
        <v>33</v>
      </c>
      <c r="U28" s="25"/>
      <c r="V28" s="33" t="s">
        <v>34</v>
      </c>
      <c r="W28" s="25"/>
      <c r="X28" s="33" t="s">
        <v>34</v>
      </c>
      <c r="Y28" s="33" t="s">
        <v>34</v>
      </c>
      <c r="Z28" s="25"/>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row>
    <row r="29" spans="1:57" ht="36" customHeight="1" x14ac:dyDescent="0.2">
      <c r="A29" s="122">
        <v>26</v>
      </c>
      <c r="B29" s="122" t="s">
        <v>358</v>
      </c>
      <c r="C29" s="122" t="s">
        <v>359</v>
      </c>
      <c r="D29" s="122">
        <v>2025</v>
      </c>
      <c r="E29" s="122" t="s">
        <v>226</v>
      </c>
      <c r="F29" s="122" t="s">
        <v>361</v>
      </c>
      <c r="G29" s="122">
        <v>0</v>
      </c>
      <c r="H29" s="122" t="s">
        <v>230</v>
      </c>
      <c r="I29" s="122" t="s">
        <v>15</v>
      </c>
      <c r="J29" s="123"/>
      <c r="K29" s="124" t="s">
        <v>223</v>
      </c>
      <c r="L29" s="124" t="s">
        <v>22</v>
      </c>
      <c r="M29" s="124"/>
      <c r="N29" s="123" t="s">
        <v>16</v>
      </c>
      <c r="O29" s="123" t="s">
        <v>16</v>
      </c>
      <c r="P29" s="33" t="s">
        <v>34</v>
      </c>
      <c r="Q29" s="33" t="s">
        <v>34</v>
      </c>
      <c r="R29" s="33" t="s">
        <v>34</v>
      </c>
      <c r="S29" s="33" t="s">
        <v>34</v>
      </c>
      <c r="T29" s="33" t="s">
        <v>34</v>
      </c>
      <c r="U29" s="26"/>
      <c r="V29" s="33" t="s">
        <v>34</v>
      </c>
      <c r="W29" s="26"/>
      <c r="X29" s="33" t="s">
        <v>34</v>
      </c>
      <c r="Y29" s="33" t="s">
        <v>34</v>
      </c>
      <c r="Z29" s="26"/>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row>
    <row r="30" spans="1:57" ht="36" customHeight="1" x14ac:dyDescent="0.2">
      <c r="A30" s="122">
        <v>27</v>
      </c>
      <c r="B30" s="122" t="s">
        <v>363</v>
      </c>
      <c r="C30" s="122" t="s">
        <v>364</v>
      </c>
      <c r="D30" s="122">
        <v>2025</v>
      </c>
      <c r="E30" s="122" t="s">
        <v>226</v>
      </c>
      <c r="F30" s="122" t="s">
        <v>366</v>
      </c>
      <c r="G30" s="122">
        <v>0</v>
      </c>
      <c r="H30" s="122" t="s">
        <v>230</v>
      </c>
      <c r="I30" s="122" t="s">
        <v>15</v>
      </c>
      <c r="J30" s="123"/>
      <c r="K30" s="124" t="s">
        <v>223</v>
      </c>
      <c r="L30" s="124"/>
      <c r="M30" s="124"/>
      <c r="N30" s="123" t="s">
        <v>16</v>
      </c>
      <c r="O30" s="123"/>
      <c r="P30" s="33" t="s">
        <v>34</v>
      </c>
      <c r="Q30" s="33" t="s">
        <v>34</v>
      </c>
      <c r="R30" s="33" t="s">
        <v>34</v>
      </c>
      <c r="S30" s="33" t="s">
        <v>34</v>
      </c>
      <c r="T30" s="33" t="s">
        <v>34</v>
      </c>
      <c r="U30" s="26"/>
      <c r="V30" s="33" t="s">
        <v>34</v>
      </c>
      <c r="W30" s="26"/>
      <c r="X30" s="33" t="s">
        <v>34</v>
      </c>
      <c r="Y30" s="33" t="s">
        <v>34</v>
      </c>
      <c r="Z30" s="27"/>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row>
    <row r="31" spans="1:57" ht="36" customHeight="1" x14ac:dyDescent="0.2">
      <c r="A31" s="122">
        <v>28</v>
      </c>
      <c r="B31" s="122" t="s">
        <v>368</v>
      </c>
      <c r="C31" s="122" t="s">
        <v>369</v>
      </c>
      <c r="D31" s="122">
        <v>2023</v>
      </c>
      <c r="E31" s="122" t="s">
        <v>226</v>
      </c>
      <c r="F31" s="122" t="s">
        <v>371</v>
      </c>
      <c r="G31" s="122">
        <v>0</v>
      </c>
      <c r="H31" s="122" t="s">
        <v>230</v>
      </c>
      <c r="I31" s="122" t="s">
        <v>15</v>
      </c>
      <c r="J31" s="123"/>
      <c r="K31" s="124" t="s">
        <v>223</v>
      </c>
      <c r="L31" s="124"/>
      <c r="M31" s="124"/>
      <c r="N31" s="123" t="s">
        <v>16</v>
      </c>
      <c r="O31" s="123"/>
      <c r="P31" s="33" t="s">
        <v>34</v>
      </c>
      <c r="Q31" s="33" t="s">
        <v>34</v>
      </c>
      <c r="R31" s="33" t="s">
        <v>34</v>
      </c>
      <c r="S31" s="33" t="s">
        <v>34</v>
      </c>
      <c r="T31" s="33" t="s">
        <v>34</v>
      </c>
      <c r="U31" s="26"/>
      <c r="V31" s="33" t="s">
        <v>34</v>
      </c>
      <c r="W31" s="26"/>
      <c r="X31" s="33" t="s">
        <v>34</v>
      </c>
      <c r="Y31" s="33" t="s">
        <v>34</v>
      </c>
      <c r="Z31" s="27"/>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row>
    <row r="32" spans="1:57" ht="36" customHeight="1" x14ac:dyDescent="0.2">
      <c r="A32" s="122">
        <v>29</v>
      </c>
      <c r="B32" s="122" t="s">
        <v>373</v>
      </c>
      <c r="C32" s="122" t="s">
        <v>374</v>
      </c>
      <c r="D32" s="122">
        <v>2024</v>
      </c>
      <c r="E32" s="122" t="s">
        <v>260</v>
      </c>
      <c r="F32" s="122" t="s">
        <v>376</v>
      </c>
      <c r="G32" s="122" t="s">
        <v>377</v>
      </c>
      <c r="H32" s="122" t="s">
        <v>246</v>
      </c>
      <c r="I32" s="122" t="s">
        <v>15</v>
      </c>
      <c r="J32" s="123"/>
      <c r="K32" s="124" t="s">
        <v>223</v>
      </c>
      <c r="L32" s="124"/>
      <c r="M32" s="124"/>
      <c r="N32" s="123" t="s">
        <v>16</v>
      </c>
      <c r="O32" s="123"/>
      <c r="P32" s="33" t="s">
        <v>34</v>
      </c>
      <c r="Q32" s="26" t="s">
        <v>34</v>
      </c>
      <c r="R32" s="33" t="s">
        <v>34</v>
      </c>
      <c r="S32" s="26" t="s">
        <v>33</v>
      </c>
      <c r="T32" s="26" t="s">
        <v>34</v>
      </c>
      <c r="U32" s="26"/>
      <c r="V32" s="33" t="s">
        <v>34</v>
      </c>
      <c r="W32" s="26"/>
      <c r="X32" s="26"/>
      <c r="Y32" s="33" t="s">
        <v>52</v>
      </c>
      <c r="Z32" s="26"/>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row>
    <row r="33" spans="1:57" ht="36" customHeight="1" x14ac:dyDescent="0.2">
      <c r="A33" s="122">
        <v>30</v>
      </c>
      <c r="B33" s="122" t="s">
        <v>378</v>
      </c>
      <c r="C33" s="122" t="s">
        <v>379</v>
      </c>
      <c r="D33" s="122">
        <v>2025</v>
      </c>
      <c r="E33" s="122" t="s">
        <v>226</v>
      </c>
      <c r="F33" s="122" t="s">
        <v>381</v>
      </c>
      <c r="G33" s="122">
        <v>0</v>
      </c>
      <c r="H33" s="122" t="s">
        <v>230</v>
      </c>
      <c r="I33" s="122" t="s">
        <v>15</v>
      </c>
      <c r="J33" s="123"/>
      <c r="K33" s="124" t="s">
        <v>223</v>
      </c>
      <c r="L33" s="124"/>
      <c r="M33" s="124"/>
      <c r="N33" s="123" t="s">
        <v>16</v>
      </c>
      <c r="O33" s="123"/>
      <c r="P33" s="33" t="s">
        <v>34</v>
      </c>
      <c r="Q33" s="29" t="s">
        <v>34</v>
      </c>
      <c r="R33" s="33" t="s">
        <v>34</v>
      </c>
      <c r="S33" s="29" t="s">
        <v>33</v>
      </c>
      <c r="T33" s="29" t="s">
        <v>33</v>
      </c>
      <c r="U33" s="28"/>
      <c r="V33" s="33" t="s">
        <v>34</v>
      </c>
      <c r="W33" s="28"/>
      <c r="X33" s="29"/>
      <c r="Y33" s="33" t="s">
        <v>52</v>
      </c>
      <c r="Z33" s="29"/>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row>
    <row r="34" spans="1:57" ht="36" customHeight="1" x14ac:dyDescent="0.2">
      <c r="A34" s="122">
        <v>31</v>
      </c>
      <c r="B34" s="122" t="s">
        <v>383</v>
      </c>
      <c r="C34" s="122" t="s">
        <v>384</v>
      </c>
      <c r="D34" s="122">
        <v>2022</v>
      </c>
      <c r="E34" s="122" t="s">
        <v>260</v>
      </c>
      <c r="F34" s="122" t="s">
        <v>386</v>
      </c>
      <c r="G34" s="122" t="s">
        <v>387</v>
      </c>
      <c r="H34" s="122" t="s">
        <v>246</v>
      </c>
      <c r="I34" s="122" t="s">
        <v>15</v>
      </c>
      <c r="J34" s="123"/>
      <c r="K34" s="124" t="s">
        <v>223</v>
      </c>
      <c r="L34" s="124" t="s">
        <v>19</v>
      </c>
      <c r="M34" s="124"/>
      <c r="N34" s="124" t="s">
        <v>16</v>
      </c>
      <c r="O34" s="123" t="s">
        <v>16</v>
      </c>
      <c r="P34" s="29" t="s">
        <v>34</v>
      </c>
      <c r="Q34" s="29" t="s">
        <v>34</v>
      </c>
      <c r="R34" s="33" t="s">
        <v>34</v>
      </c>
      <c r="S34" s="29" t="s">
        <v>33</v>
      </c>
      <c r="T34" s="29" t="s">
        <v>33</v>
      </c>
      <c r="U34" s="28"/>
      <c r="V34" s="33" t="s">
        <v>34</v>
      </c>
      <c r="W34" s="28"/>
      <c r="X34" s="29"/>
      <c r="Y34" s="33" t="s">
        <v>52</v>
      </c>
      <c r="Z34" s="29"/>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row>
    <row r="35" spans="1:57" ht="36" customHeight="1" x14ac:dyDescent="0.2">
      <c r="A35" s="122">
        <v>32</v>
      </c>
      <c r="B35" s="122" t="s">
        <v>389</v>
      </c>
      <c r="C35" s="122" t="s">
        <v>390</v>
      </c>
      <c r="D35" s="122">
        <v>2022</v>
      </c>
      <c r="E35" s="122" t="s">
        <v>260</v>
      </c>
      <c r="F35" s="122" t="s">
        <v>392</v>
      </c>
      <c r="G35" s="122">
        <v>0</v>
      </c>
      <c r="H35" s="122" t="s">
        <v>246</v>
      </c>
      <c r="I35" s="122" t="s">
        <v>15</v>
      </c>
      <c r="J35" s="123"/>
      <c r="K35" s="124" t="s">
        <v>223</v>
      </c>
      <c r="L35" s="124" t="s">
        <v>17</v>
      </c>
      <c r="M35" s="124"/>
      <c r="N35" s="123" t="s">
        <v>16</v>
      </c>
      <c r="O35" s="123" t="s">
        <v>16</v>
      </c>
      <c r="P35" s="28" t="s">
        <v>34</v>
      </c>
      <c r="Q35" s="28" t="s">
        <v>34</v>
      </c>
      <c r="R35" s="33" t="s">
        <v>34</v>
      </c>
      <c r="S35" s="28" t="s">
        <v>33</v>
      </c>
      <c r="T35" s="28" t="s">
        <v>33</v>
      </c>
      <c r="U35" s="28"/>
      <c r="V35" s="33" t="s">
        <v>34</v>
      </c>
      <c r="W35" s="28"/>
      <c r="X35" s="28"/>
      <c r="Y35" s="33" t="s">
        <v>52</v>
      </c>
      <c r="Z35" s="28"/>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row>
    <row r="36" spans="1:57" ht="36" customHeight="1" x14ac:dyDescent="0.2">
      <c r="A36" s="122">
        <v>33</v>
      </c>
      <c r="B36" s="122" t="s">
        <v>394</v>
      </c>
      <c r="C36" s="122" t="s">
        <v>395</v>
      </c>
      <c r="D36" s="122">
        <v>2024</v>
      </c>
      <c r="E36" s="122" t="s">
        <v>226</v>
      </c>
      <c r="F36" s="122" t="s">
        <v>397</v>
      </c>
      <c r="G36" s="122">
        <v>0</v>
      </c>
      <c r="H36" s="122" t="s">
        <v>230</v>
      </c>
      <c r="I36" s="122" t="s">
        <v>15</v>
      </c>
      <c r="J36" s="123"/>
      <c r="K36" s="124" t="s">
        <v>223</v>
      </c>
      <c r="L36" s="124"/>
      <c r="M36" s="124"/>
      <c r="N36" s="123" t="s">
        <v>16</v>
      </c>
      <c r="O36" s="123"/>
      <c r="P36" s="28" t="s">
        <v>34</v>
      </c>
      <c r="Q36" s="28" t="s">
        <v>34</v>
      </c>
      <c r="R36" s="28" t="s">
        <v>34</v>
      </c>
      <c r="S36" s="28" t="s">
        <v>33</v>
      </c>
      <c r="T36" s="28" t="s">
        <v>33</v>
      </c>
      <c r="U36" s="28"/>
      <c r="V36" s="33" t="s">
        <v>52</v>
      </c>
      <c r="W36" s="28"/>
      <c r="X36" s="28"/>
      <c r="Y36" s="33" t="s">
        <v>52</v>
      </c>
      <c r="Z36" s="28"/>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row>
    <row r="37" spans="1:57" ht="36" customHeight="1" x14ac:dyDescent="0.2">
      <c r="A37" s="122">
        <v>34</v>
      </c>
      <c r="B37" s="122" t="s">
        <v>399</v>
      </c>
      <c r="C37" s="122" t="s">
        <v>400</v>
      </c>
      <c r="D37" s="122">
        <v>2022</v>
      </c>
      <c r="E37" s="122" t="s">
        <v>260</v>
      </c>
      <c r="F37" s="122" t="s">
        <v>402</v>
      </c>
      <c r="G37" s="122" t="s">
        <v>403</v>
      </c>
      <c r="H37" s="122" t="s">
        <v>246</v>
      </c>
      <c r="I37" s="122" t="s">
        <v>15</v>
      </c>
      <c r="J37" s="123"/>
      <c r="K37" s="124" t="s">
        <v>223</v>
      </c>
      <c r="L37" s="124"/>
      <c r="M37" s="124"/>
      <c r="N37" s="123" t="s">
        <v>16</v>
      </c>
      <c r="O37" s="123"/>
      <c r="P37" s="28" t="s">
        <v>34</v>
      </c>
      <c r="Q37" s="28" t="s">
        <v>34</v>
      </c>
      <c r="R37" s="28" t="s">
        <v>34</v>
      </c>
      <c r="S37" s="28" t="s">
        <v>33</v>
      </c>
      <c r="T37" s="28" t="s">
        <v>33</v>
      </c>
      <c r="U37" s="28"/>
      <c r="V37" s="33" t="s">
        <v>52</v>
      </c>
      <c r="W37" s="28"/>
      <c r="X37" s="28"/>
      <c r="Y37" s="33" t="s">
        <v>52</v>
      </c>
      <c r="Z37" s="28"/>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row>
    <row r="38" spans="1:57" ht="36" customHeight="1" x14ac:dyDescent="0.2">
      <c r="A38" s="122">
        <v>35</v>
      </c>
      <c r="B38" s="122" t="s">
        <v>404</v>
      </c>
      <c r="C38" s="122" t="s">
        <v>405</v>
      </c>
      <c r="D38" s="122">
        <v>2022</v>
      </c>
      <c r="E38" s="122" t="s">
        <v>260</v>
      </c>
      <c r="F38" s="122" t="s">
        <v>407</v>
      </c>
      <c r="G38" s="122" t="s">
        <v>408</v>
      </c>
      <c r="H38" s="122" t="s">
        <v>246</v>
      </c>
      <c r="I38" s="122" t="s">
        <v>15</v>
      </c>
      <c r="J38" s="123"/>
      <c r="K38" s="124" t="s">
        <v>223</v>
      </c>
      <c r="L38" s="124"/>
      <c r="M38" s="124"/>
      <c r="N38" s="123" t="s">
        <v>16</v>
      </c>
      <c r="O38" s="123"/>
      <c r="P38" s="29" t="s">
        <v>34</v>
      </c>
      <c r="Q38" s="29" t="s">
        <v>34</v>
      </c>
      <c r="R38" s="29" t="s">
        <v>34</v>
      </c>
      <c r="S38" s="29" t="s">
        <v>33</v>
      </c>
      <c r="T38" s="29" t="s">
        <v>33</v>
      </c>
      <c r="U38" s="28"/>
      <c r="V38" s="33" t="s">
        <v>52</v>
      </c>
      <c r="W38" s="28"/>
      <c r="X38" s="29"/>
      <c r="Y38" s="33" t="s">
        <v>52</v>
      </c>
      <c r="Z38" s="30"/>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row>
    <row r="39" spans="1:57" ht="36" customHeight="1" x14ac:dyDescent="0.2">
      <c r="A39" s="122">
        <v>36</v>
      </c>
      <c r="B39" s="122" t="s">
        <v>409</v>
      </c>
      <c r="C39" s="122" t="s">
        <v>410</v>
      </c>
      <c r="D39" s="122">
        <v>2025</v>
      </c>
      <c r="E39" s="122" t="s">
        <v>233</v>
      </c>
      <c r="F39" s="122" t="s">
        <v>412</v>
      </c>
      <c r="G39" s="122" t="s">
        <v>413</v>
      </c>
      <c r="H39" s="122" t="s">
        <v>238</v>
      </c>
      <c r="I39" s="122" t="s">
        <v>15</v>
      </c>
      <c r="J39" s="123"/>
      <c r="K39" s="124" t="s">
        <v>223</v>
      </c>
      <c r="L39" s="124"/>
      <c r="M39" s="124"/>
      <c r="N39" s="123" t="s">
        <v>16</v>
      </c>
      <c r="O39" s="123"/>
      <c r="P39" s="29" t="s">
        <v>34</v>
      </c>
      <c r="Q39" s="29" t="s">
        <v>34</v>
      </c>
      <c r="R39" s="29" t="s">
        <v>34</v>
      </c>
      <c r="S39" s="29" t="s">
        <v>33</v>
      </c>
      <c r="T39" s="29" t="s">
        <v>33</v>
      </c>
      <c r="U39" s="28"/>
      <c r="V39" s="33" t="s">
        <v>52</v>
      </c>
      <c r="W39" s="28"/>
      <c r="X39" s="29"/>
      <c r="Y39" s="33" t="s">
        <v>52</v>
      </c>
      <c r="Z39" s="29"/>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row>
    <row r="40" spans="1:57" ht="36" customHeight="1" x14ac:dyDescent="0.2">
      <c r="A40" s="122">
        <v>37</v>
      </c>
      <c r="B40" s="122" t="s">
        <v>415</v>
      </c>
      <c r="C40" s="122" t="s">
        <v>416</v>
      </c>
      <c r="D40" s="122">
        <v>2026</v>
      </c>
      <c r="E40" s="122" t="s">
        <v>233</v>
      </c>
      <c r="F40" s="122" t="s">
        <v>418</v>
      </c>
      <c r="G40" s="122" t="s">
        <v>419</v>
      </c>
      <c r="H40" s="122" t="s">
        <v>238</v>
      </c>
      <c r="I40" s="122" t="s">
        <v>15</v>
      </c>
      <c r="J40" s="123"/>
      <c r="K40" s="124" t="s">
        <v>223</v>
      </c>
      <c r="L40" s="124"/>
      <c r="M40" s="124"/>
      <c r="N40" s="123" t="s">
        <v>16</v>
      </c>
      <c r="O40" s="123"/>
      <c r="P40" s="31" t="s">
        <v>34</v>
      </c>
      <c r="Q40" s="31" t="s">
        <v>34</v>
      </c>
      <c r="R40" s="31" t="s">
        <v>34</v>
      </c>
      <c r="S40" s="31" t="s">
        <v>34</v>
      </c>
      <c r="T40" s="31" t="s">
        <v>33</v>
      </c>
      <c r="U40" s="31"/>
      <c r="V40" s="33" t="s">
        <v>52</v>
      </c>
      <c r="W40" s="31"/>
      <c r="X40" s="31"/>
      <c r="Y40" s="33" t="s">
        <v>52</v>
      </c>
      <c r="Z40" s="31"/>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row>
    <row r="41" spans="1:57" ht="36" customHeight="1" x14ac:dyDescent="0.2">
      <c r="A41" s="122">
        <v>38</v>
      </c>
      <c r="B41" s="122" t="s">
        <v>421</v>
      </c>
      <c r="C41" s="122" t="s">
        <v>422</v>
      </c>
      <c r="D41" s="122">
        <v>2024</v>
      </c>
      <c r="E41" s="122" t="s">
        <v>219</v>
      </c>
      <c r="F41" s="122" t="s">
        <v>424</v>
      </c>
      <c r="G41" s="122" t="s">
        <v>425</v>
      </c>
      <c r="H41" s="122" t="s">
        <v>222</v>
      </c>
      <c r="I41" s="122" t="s">
        <v>15</v>
      </c>
      <c r="J41" s="123"/>
      <c r="K41" s="124" t="s">
        <v>223</v>
      </c>
      <c r="L41" s="124" t="s">
        <v>28</v>
      </c>
      <c r="M41" s="124"/>
      <c r="N41" s="124"/>
      <c r="O41" s="123" t="s">
        <v>16</v>
      </c>
      <c r="P41" s="31" t="s">
        <v>34</v>
      </c>
      <c r="Q41" s="31" t="s">
        <v>34</v>
      </c>
      <c r="R41" s="31" t="s">
        <v>34</v>
      </c>
      <c r="S41" s="31" t="s">
        <v>34</v>
      </c>
      <c r="T41" s="31" t="s">
        <v>33</v>
      </c>
      <c r="U41" s="31"/>
      <c r="V41" s="33" t="s">
        <v>52</v>
      </c>
      <c r="W41" s="31"/>
      <c r="X41" s="31"/>
      <c r="Y41" s="33" t="s">
        <v>52</v>
      </c>
      <c r="Z41" s="31"/>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row>
    <row r="42" spans="1:57" ht="36" customHeight="1" x14ac:dyDescent="0.2">
      <c r="A42" s="122">
        <v>39</v>
      </c>
      <c r="B42" s="122" t="s">
        <v>427</v>
      </c>
      <c r="C42" s="122" t="s">
        <v>428</v>
      </c>
      <c r="D42" s="122">
        <v>2022</v>
      </c>
      <c r="E42" s="122" t="s">
        <v>260</v>
      </c>
      <c r="F42" s="122" t="s">
        <v>430</v>
      </c>
      <c r="G42" s="122" t="s">
        <v>431</v>
      </c>
      <c r="H42" s="122" t="s">
        <v>246</v>
      </c>
      <c r="I42" s="122" t="s">
        <v>15</v>
      </c>
      <c r="J42" s="123"/>
      <c r="K42" s="124" t="s">
        <v>223</v>
      </c>
      <c r="L42" s="124"/>
      <c r="M42" s="124"/>
      <c r="N42" s="123" t="s">
        <v>16</v>
      </c>
      <c r="O42" s="123"/>
      <c r="P42" s="31" t="s">
        <v>34</v>
      </c>
      <c r="Q42" s="31" t="s">
        <v>34</v>
      </c>
      <c r="R42" s="31" t="s">
        <v>34</v>
      </c>
      <c r="S42" s="31" t="s">
        <v>34</v>
      </c>
      <c r="T42" s="31" t="s">
        <v>33</v>
      </c>
      <c r="U42" s="31"/>
      <c r="V42" s="33" t="s">
        <v>52</v>
      </c>
      <c r="W42" s="31"/>
      <c r="X42" s="31"/>
      <c r="Y42" s="33" t="s">
        <v>52</v>
      </c>
      <c r="Z42" s="31"/>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row>
    <row r="43" spans="1:57" ht="36" customHeight="1" x14ac:dyDescent="0.2">
      <c r="A43" s="122">
        <v>40</v>
      </c>
      <c r="B43" s="122" t="s">
        <v>433</v>
      </c>
      <c r="C43" s="122" t="s">
        <v>434</v>
      </c>
      <c r="D43" s="122">
        <v>2022</v>
      </c>
      <c r="E43" s="122" t="s">
        <v>219</v>
      </c>
      <c r="F43" s="122" t="s">
        <v>436</v>
      </c>
      <c r="G43" s="122" t="s">
        <v>437</v>
      </c>
      <c r="H43" s="122" t="s">
        <v>222</v>
      </c>
      <c r="I43" s="122" t="s">
        <v>15</v>
      </c>
      <c r="J43" s="123"/>
      <c r="K43" s="124" t="s">
        <v>223</v>
      </c>
      <c r="L43" s="124"/>
      <c r="M43" s="124"/>
      <c r="N43" s="123" t="s">
        <v>16</v>
      </c>
      <c r="O43" s="123"/>
      <c r="P43" s="31" t="s">
        <v>34</v>
      </c>
      <c r="Q43" s="31" t="s">
        <v>34</v>
      </c>
      <c r="R43" s="31" t="s">
        <v>34</v>
      </c>
      <c r="S43" s="31" t="s">
        <v>34</v>
      </c>
      <c r="T43" s="31" t="s">
        <v>33</v>
      </c>
      <c r="U43" s="31"/>
      <c r="V43" s="33" t="s">
        <v>52</v>
      </c>
      <c r="W43" s="31"/>
      <c r="X43" s="31"/>
      <c r="Y43" s="33" t="s">
        <v>52</v>
      </c>
      <c r="Z43" s="31"/>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row>
    <row r="44" spans="1:57" ht="36" customHeight="1" x14ac:dyDescent="0.2">
      <c r="A44" s="122">
        <v>41</v>
      </c>
      <c r="B44" s="122" t="s">
        <v>439</v>
      </c>
      <c r="C44" s="122" t="s">
        <v>440</v>
      </c>
      <c r="D44" s="122">
        <v>2026</v>
      </c>
      <c r="E44" s="122" t="s">
        <v>219</v>
      </c>
      <c r="F44" s="122" t="s">
        <v>442</v>
      </c>
      <c r="G44" s="122" t="s">
        <v>443</v>
      </c>
      <c r="H44" s="122" t="s">
        <v>222</v>
      </c>
      <c r="I44" s="122" t="s">
        <v>15</v>
      </c>
      <c r="J44" s="33"/>
      <c r="K44" s="124" t="s">
        <v>223</v>
      </c>
      <c r="L44" s="34"/>
      <c r="M44" s="34"/>
      <c r="N44" s="33" t="s">
        <v>16</v>
      </c>
      <c r="O44" s="33"/>
      <c r="P44" s="33" t="s">
        <v>34</v>
      </c>
      <c r="Q44" s="33" t="s">
        <v>34</v>
      </c>
      <c r="R44" s="33" t="s">
        <v>34</v>
      </c>
      <c r="S44" s="33" t="s">
        <v>34</v>
      </c>
      <c r="T44" s="33" t="s">
        <v>34</v>
      </c>
      <c r="U44" s="33"/>
      <c r="V44" s="33" t="s">
        <v>52</v>
      </c>
      <c r="W44" s="33"/>
      <c r="X44" s="33" t="s">
        <v>52</v>
      </c>
      <c r="Y44" s="33" t="s">
        <v>52</v>
      </c>
      <c r="Z44" s="33"/>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row>
    <row r="45" spans="1:57" ht="36" customHeight="1" x14ac:dyDescent="0.2">
      <c r="A45" s="122">
        <v>42</v>
      </c>
      <c r="B45" s="122" t="s">
        <v>445</v>
      </c>
      <c r="C45" s="122" t="s">
        <v>446</v>
      </c>
      <c r="D45" s="122">
        <v>2023</v>
      </c>
      <c r="E45" s="122" t="s">
        <v>219</v>
      </c>
      <c r="F45" s="122" t="s">
        <v>448</v>
      </c>
      <c r="G45" s="122" t="s">
        <v>449</v>
      </c>
      <c r="H45" s="122" t="s">
        <v>222</v>
      </c>
      <c r="I45" s="122" t="s">
        <v>15</v>
      </c>
      <c r="J45" s="33"/>
      <c r="K45" s="124" t="s">
        <v>223</v>
      </c>
      <c r="L45" s="34" t="s">
        <v>19</v>
      </c>
      <c r="M45" s="34"/>
      <c r="N45" s="33" t="s">
        <v>16</v>
      </c>
      <c r="O45" s="33" t="s">
        <v>16</v>
      </c>
      <c r="P45" s="33" t="s">
        <v>34</v>
      </c>
      <c r="Q45" s="33" t="s">
        <v>34</v>
      </c>
      <c r="R45" s="33" t="s">
        <v>34</v>
      </c>
      <c r="S45" s="33" t="s">
        <v>34</v>
      </c>
      <c r="T45" s="33" t="s">
        <v>34</v>
      </c>
      <c r="U45" s="33"/>
      <c r="V45" s="33" t="s">
        <v>52</v>
      </c>
      <c r="W45" s="33"/>
      <c r="X45" s="33" t="s">
        <v>52</v>
      </c>
      <c r="Y45" s="33" t="s">
        <v>52</v>
      </c>
      <c r="Z45" s="33"/>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row>
    <row r="46" spans="1:57" ht="36" customHeight="1" x14ac:dyDescent="0.2">
      <c r="A46" s="122">
        <v>43</v>
      </c>
      <c r="B46" s="122" t="s">
        <v>451</v>
      </c>
      <c r="C46" s="122" t="s">
        <v>452</v>
      </c>
      <c r="D46" s="122">
        <v>2026</v>
      </c>
      <c r="E46" s="122" t="s">
        <v>241</v>
      </c>
      <c r="F46" s="122" t="s">
        <v>454</v>
      </c>
      <c r="G46" s="122" t="s">
        <v>455</v>
      </c>
      <c r="H46" s="122" t="s">
        <v>246</v>
      </c>
      <c r="I46" s="122" t="s">
        <v>15</v>
      </c>
      <c r="J46" s="33"/>
      <c r="K46" s="124" t="s">
        <v>223</v>
      </c>
      <c r="L46" s="34"/>
      <c r="M46" s="34"/>
      <c r="N46" s="33" t="s">
        <v>16</v>
      </c>
      <c r="O46" s="33"/>
      <c r="P46" s="33" t="s">
        <v>34</v>
      </c>
      <c r="Q46" s="33" t="s">
        <v>34</v>
      </c>
      <c r="R46" s="33" t="s">
        <v>34</v>
      </c>
      <c r="S46" s="33" t="s">
        <v>34</v>
      </c>
      <c r="T46" s="33" t="s">
        <v>34</v>
      </c>
      <c r="U46" s="33"/>
      <c r="V46" s="33" t="s">
        <v>52</v>
      </c>
      <c r="W46" s="33"/>
      <c r="X46" s="33" t="s">
        <v>52</v>
      </c>
      <c r="Y46" s="33" t="s">
        <v>52</v>
      </c>
      <c r="Z46" s="33"/>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row>
    <row r="47" spans="1:57" ht="36" customHeight="1" x14ac:dyDescent="0.2">
      <c r="A47" s="122">
        <v>44</v>
      </c>
      <c r="B47" s="122" t="s">
        <v>457</v>
      </c>
      <c r="C47" s="122" t="s">
        <v>458</v>
      </c>
      <c r="D47" s="122">
        <v>2021</v>
      </c>
      <c r="E47" s="122" t="s">
        <v>233</v>
      </c>
      <c r="F47" s="122" t="s">
        <v>460</v>
      </c>
      <c r="G47" s="122" t="s">
        <v>461</v>
      </c>
      <c r="H47" s="122" t="s">
        <v>238</v>
      </c>
      <c r="I47" s="122" t="s">
        <v>15</v>
      </c>
      <c r="J47" s="33"/>
      <c r="K47" s="124" t="s">
        <v>223</v>
      </c>
      <c r="L47" s="34" t="s">
        <v>19</v>
      </c>
      <c r="M47" s="34"/>
      <c r="N47" s="33" t="s">
        <v>16</v>
      </c>
      <c r="O47" s="33" t="s">
        <v>16</v>
      </c>
      <c r="P47" s="33" t="s">
        <v>34</v>
      </c>
      <c r="Q47" s="33" t="s">
        <v>34</v>
      </c>
      <c r="R47" s="33" t="s">
        <v>34</v>
      </c>
      <c r="S47" s="33" t="s">
        <v>34</v>
      </c>
      <c r="T47" s="33" t="s">
        <v>34</v>
      </c>
      <c r="U47" s="33"/>
      <c r="V47" s="33" t="s">
        <v>52</v>
      </c>
      <c r="W47" s="33"/>
      <c r="X47" s="33" t="s">
        <v>34</v>
      </c>
      <c r="Y47" s="33" t="s">
        <v>52</v>
      </c>
      <c r="Z47" s="33"/>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row>
    <row r="48" spans="1:57" ht="36" customHeight="1" x14ac:dyDescent="0.2">
      <c r="A48" s="122">
        <v>45</v>
      </c>
      <c r="B48" s="122" t="s">
        <v>463</v>
      </c>
      <c r="C48" s="122" t="s">
        <v>464</v>
      </c>
      <c r="D48" s="122">
        <v>2025</v>
      </c>
      <c r="E48" s="122" t="s">
        <v>241</v>
      </c>
      <c r="F48" s="122" t="s">
        <v>466</v>
      </c>
      <c r="G48" s="122" t="s">
        <v>467</v>
      </c>
      <c r="H48" s="122" t="s">
        <v>246</v>
      </c>
      <c r="I48" s="122" t="s">
        <v>15</v>
      </c>
      <c r="J48" s="33"/>
      <c r="K48" s="124" t="s">
        <v>223</v>
      </c>
      <c r="L48" s="34"/>
      <c r="M48" s="34"/>
      <c r="N48" s="33" t="s">
        <v>16</v>
      </c>
      <c r="O48" s="33" t="s">
        <v>16</v>
      </c>
      <c r="P48" s="33" t="s">
        <v>34</v>
      </c>
      <c r="Q48" s="33" t="s">
        <v>34</v>
      </c>
      <c r="R48" s="33" t="s">
        <v>34</v>
      </c>
      <c r="S48" s="33" t="s">
        <v>34</v>
      </c>
      <c r="T48" s="33" t="s">
        <v>34</v>
      </c>
      <c r="U48" s="33"/>
      <c r="V48" s="33" t="s">
        <v>52</v>
      </c>
      <c r="W48" s="33"/>
      <c r="X48" s="33" t="s">
        <v>34</v>
      </c>
      <c r="Y48" s="33" t="s">
        <v>52</v>
      </c>
      <c r="Z48" s="33"/>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row>
    <row r="49" spans="1:57" ht="36" customHeight="1" x14ac:dyDescent="0.2">
      <c r="A49" s="122">
        <v>46</v>
      </c>
      <c r="B49" s="122" t="s">
        <v>469</v>
      </c>
      <c r="C49" s="122" t="s">
        <v>470</v>
      </c>
      <c r="D49" s="122">
        <v>2022</v>
      </c>
      <c r="E49" s="122" t="s">
        <v>233</v>
      </c>
      <c r="F49" s="122" t="s">
        <v>472</v>
      </c>
      <c r="G49" s="122" t="s">
        <v>473</v>
      </c>
      <c r="H49" s="122" t="s">
        <v>238</v>
      </c>
      <c r="I49" s="122" t="s">
        <v>15</v>
      </c>
      <c r="J49" s="33"/>
      <c r="K49" s="124" t="s">
        <v>223</v>
      </c>
      <c r="L49" s="34" t="s">
        <v>29</v>
      </c>
      <c r="M49" s="34"/>
      <c r="N49" s="33" t="s">
        <v>16</v>
      </c>
      <c r="O49" s="33" t="s">
        <v>16</v>
      </c>
      <c r="P49" s="33" t="s">
        <v>34</v>
      </c>
      <c r="Q49" s="33" t="s">
        <v>34</v>
      </c>
      <c r="R49" s="33" t="s">
        <v>34</v>
      </c>
      <c r="S49" s="33" t="s">
        <v>34</v>
      </c>
      <c r="T49" s="33" t="s">
        <v>34</v>
      </c>
      <c r="U49" s="33"/>
      <c r="V49" s="33" t="s">
        <v>52</v>
      </c>
      <c r="W49" s="33"/>
      <c r="X49" s="33" t="s">
        <v>34</v>
      </c>
      <c r="Y49" s="33" t="s">
        <v>52</v>
      </c>
      <c r="Z49" s="33"/>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row>
    <row r="50" spans="1:57" ht="36" customHeight="1" x14ac:dyDescent="0.2">
      <c r="A50" s="122">
        <v>47</v>
      </c>
      <c r="B50" s="122" t="s">
        <v>474</v>
      </c>
      <c r="C50" s="122" t="s">
        <v>475</v>
      </c>
      <c r="D50" s="122">
        <v>2024</v>
      </c>
      <c r="E50" s="122" t="s">
        <v>233</v>
      </c>
      <c r="F50" s="122" t="s">
        <v>477</v>
      </c>
      <c r="G50" s="122" t="s">
        <v>478</v>
      </c>
      <c r="H50" s="122" t="s">
        <v>238</v>
      </c>
      <c r="I50" s="122" t="s">
        <v>15</v>
      </c>
      <c r="J50" s="33"/>
      <c r="K50" s="124" t="s">
        <v>223</v>
      </c>
      <c r="L50" s="34"/>
      <c r="M50" s="34"/>
      <c r="N50" s="33" t="s">
        <v>16</v>
      </c>
      <c r="O50" s="33"/>
      <c r="P50" s="33" t="s">
        <v>34</v>
      </c>
      <c r="Q50" s="33" t="s">
        <v>34</v>
      </c>
      <c r="R50" s="33" t="s">
        <v>34</v>
      </c>
      <c r="S50" s="33" t="s">
        <v>34</v>
      </c>
      <c r="T50" s="33" t="s">
        <v>34</v>
      </c>
      <c r="U50" s="33"/>
      <c r="V50" s="33" t="s">
        <v>52</v>
      </c>
      <c r="W50" s="33"/>
      <c r="X50" s="33" t="s">
        <v>34</v>
      </c>
      <c r="Y50" s="33" t="s">
        <v>52</v>
      </c>
      <c r="Z50" s="33"/>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row>
    <row r="51" spans="1:57" ht="36" customHeight="1" x14ac:dyDescent="0.2">
      <c r="A51" s="122">
        <v>48</v>
      </c>
      <c r="B51" s="122" t="s">
        <v>480</v>
      </c>
      <c r="C51" s="122" t="s">
        <v>481</v>
      </c>
      <c r="D51" s="122">
        <v>2026</v>
      </c>
      <c r="E51" s="122" t="s">
        <v>241</v>
      </c>
      <c r="F51" s="122" t="s">
        <v>483</v>
      </c>
      <c r="G51" s="122" t="s">
        <v>484</v>
      </c>
      <c r="H51" s="122" t="s">
        <v>246</v>
      </c>
      <c r="I51" s="122" t="s">
        <v>15</v>
      </c>
      <c r="J51" s="33"/>
      <c r="K51" s="124" t="s">
        <v>223</v>
      </c>
      <c r="L51" s="34"/>
      <c r="M51" s="34"/>
      <c r="N51" s="33" t="s">
        <v>16</v>
      </c>
      <c r="O51" s="33"/>
      <c r="P51" s="33" t="s">
        <v>34</v>
      </c>
      <c r="Q51" s="33" t="s">
        <v>34</v>
      </c>
      <c r="R51" s="33" t="s">
        <v>34</v>
      </c>
      <c r="S51" s="33" t="s">
        <v>34</v>
      </c>
      <c r="T51" s="33" t="s">
        <v>34</v>
      </c>
      <c r="U51" s="33"/>
      <c r="V51" s="33" t="s">
        <v>52</v>
      </c>
      <c r="W51" s="33"/>
      <c r="X51" s="33" t="s">
        <v>34</v>
      </c>
      <c r="Y51" s="33" t="s">
        <v>52</v>
      </c>
      <c r="Z51" s="33"/>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row>
    <row r="52" spans="1:57" ht="36" customHeight="1" x14ac:dyDescent="0.2">
      <c r="A52" s="122">
        <v>49</v>
      </c>
      <c r="B52" s="122" t="s">
        <v>486</v>
      </c>
      <c r="C52" s="122" t="s">
        <v>487</v>
      </c>
      <c r="D52" s="122">
        <v>2025</v>
      </c>
      <c r="E52" s="122" t="s">
        <v>241</v>
      </c>
      <c r="F52" s="122" t="s">
        <v>489</v>
      </c>
      <c r="G52" s="122" t="s">
        <v>490</v>
      </c>
      <c r="H52" s="122" t="s">
        <v>246</v>
      </c>
      <c r="I52" s="122" t="s">
        <v>15</v>
      </c>
      <c r="J52" s="33"/>
      <c r="K52" s="124" t="s">
        <v>223</v>
      </c>
      <c r="L52" s="34"/>
      <c r="M52" s="34"/>
      <c r="N52" s="33" t="s">
        <v>16</v>
      </c>
      <c r="O52" s="33"/>
      <c r="P52" s="33" t="s">
        <v>34</v>
      </c>
      <c r="Q52" s="33" t="s">
        <v>34</v>
      </c>
      <c r="R52" s="33" t="s">
        <v>34</v>
      </c>
      <c r="S52" s="33" t="s">
        <v>34</v>
      </c>
      <c r="T52" s="33" t="s">
        <v>34</v>
      </c>
      <c r="U52" s="33"/>
      <c r="V52" s="33" t="s">
        <v>52</v>
      </c>
      <c r="W52" s="33"/>
      <c r="X52" s="33" t="s">
        <v>34</v>
      </c>
      <c r="Y52" s="33" t="s">
        <v>52</v>
      </c>
      <c r="Z52" s="33"/>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row>
    <row r="53" spans="1:57" ht="36" customHeight="1" x14ac:dyDescent="0.2">
      <c r="A53" s="122">
        <v>50</v>
      </c>
      <c r="B53" s="122" t="s">
        <v>492</v>
      </c>
      <c r="C53" s="122" t="s">
        <v>493</v>
      </c>
      <c r="D53" s="122">
        <v>2023</v>
      </c>
      <c r="E53" s="122" t="s">
        <v>260</v>
      </c>
      <c r="F53" s="122" t="s">
        <v>495</v>
      </c>
      <c r="G53" s="122" t="s">
        <v>496</v>
      </c>
      <c r="H53" s="122" t="s">
        <v>246</v>
      </c>
      <c r="I53" s="122" t="s">
        <v>15</v>
      </c>
      <c r="J53" s="33"/>
      <c r="K53" s="124" t="s">
        <v>223</v>
      </c>
      <c r="L53" s="34"/>
      <c r="M53" s="34"/>
      <c r="N53" s="33" t="s">
        <v>16</v>
      </c>
      <c r="O53" s="33"/>
      <c r="P53" s="33" t="s">
        <v>34</v>
      </c>
      <c r="Q53" s="33" t="s">
        <v>34</v>
      </c>
      <c r="R53" s="33" t="s">
        <v>34</v>
      </c>
      <c r="S53" s="33" t="s">
        <v>34</v>
      </c>
      <c r="T53" s="33" t="s">
        <v>34</v>
      </c>
      <c r="U53" s="33"/>
      <c r="V53" s="33" t="s">
        <v>52</v>
      </c>
      <c r="W53" s="33"/>
      <c r="X53" s="33" t="s">
        <v>34</v>
      </c>
      <c r="Y53" s="33" t="s">
        <v>52</v>
      </c>
      <c r="Z53" s="33"/>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row>
    <row r="54" spans="1:57" ht="36" customHeight="1" x14ac:dyDescent="0.2">
      <c r="A54" s="122">
        <v>51</v>
      </c>
      <c r="B54" s="122" t="s">
        <v>498</v>
      </c>
      <c r="C54" s="122" t="s">
        <v>499</v>
      </c>
      <c r="D54" s="122">
        <v>2025</v>
      </c>
      <c r="E54" s="122" t="s">
        <v>219</v>
      </c>
      <c r="F54" s="122" t="s">
        <v>612</v>
      </c>
      <c r="G54" s="122" t="s">
        <v>501</v>
      </c>
      <c r="H54" s="122" t="s">
        <v>222</v>
      </c>
      <c r="I54" s="122" t="s">
        <v>15</v>
      </c>
      <c r="J54" s="33"/>
      <c r="K54" s="124" t="s">
        <v>223</v>
      </c>
      <c r="L54" s="34" t="s">
        <v>21</v>
      </c>
      <c r="M54" s="34"/>
      <c r="N54" s="33" t="s">
        <v>16</v>
      </c>
      <c r="O54" s="33" t="s">
        <v>16</v>
      </c>
      <c r="P54" s="33" t="s">
        <v>34</v>
      </c>
      <c r="Q54" s="33" t="s">
        <v>34</v>
      </c>
      <c r="R54" s="33" t="s">
        <v>34</v>
      </c>
      <c r="S54" s="33" t="s">
        <v>34</v>
      </c>
      <c r="T54" s="33" t="s">
        <v>34</v>
      </c>
      <c r="U54" s="33"/>
      <c r="V54" s="33" t="s">
        <v>52</v>
      </c>
      <c r="W54" s="33"/>
      <c r="X54" s="33" t="s">
        <v>34</v>
      </c>
      <c r="Y54" s="33" t="s">
        <v>52</v>
      </c>
      <c r="Z54" s="33"/>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row>
    <row r="55" spans="1:57" ht="36" customHeight="1" x14ac:dyDescent="0.2">
      <c r="A55" s="122">
        <v>52</v>
      </c>
      <c r="B55" s="122" t="s">
        <v>503</v>
      </c>
      <c r="C55" s="122" t="s">
        <v>504</v>
      </c>
      <c r="D55" s="122">
        <v>2025</v>
      </c>
      <c r="E55" s="122" t="s">
        <v>260</v>
      </c>
      <c r="F55" s="122" t="s">
        <v>506</v>
      </c>
      <c r="G55" s="122" t="s">
        <v>507</v>
      </c>
      <c r="H55" s="122" t="s">
        <v>246</v>
      </c>
      <c r="I55" s="122" t="s">
        <v>15</v>
      </c>
      <c r="J55" s="33"/>
      <c r="K55" s="124" t="s">
        <v>223</v>
      </c>
      <c r="L55" s="34"/>
      <c r="M55" s="34"/>
      <c r="N55" s="33" t="s">
        <v>16</v>
      </c>
      <c r="O55" s="33"/>
      <c r="P55" s="33" t="s">
        <v>34</v>
      </c>
      <c r="Q55" s="33" t="s">
        <v>34</v>
      </c>
      <c r="R55" s="33" t="s">
        <v>34</v>
      </c>
      <c r="S55" s="33" t="s">
        <v>34</v>
      </c>
      <c r="T55" s="33" t="s">
        <v>34</v>
      </c>
      <c r="U55" s="33"/>
      <c r="V55" s="33" t="s">
        <v>52</v>
      </c>
      <c r="W55" s="33"/>
      <c r="X55" s="33" t="s">
        <v>33</v>
      </c>
      <c r="Y55" s="33" t="s">
        <v>52</v>
      </c>
      <c r="Z55" s="33"/>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row>
    <row r="56" spans="1:57" ht="36" customHeight="1" x14ac:dyDescent="0.2">
      <c r="A56" s="122">
        <v>53</v>
      </c>
      <c r="B56" s="122" t="s">
        <v>509</v>
      </c>
      <c r="C56" s="122" t="s">
        <v>510</v>
      </c>
      <c r="D56" s="122">
        <v>2023</v>
      </c>
      <c r="E56" s="122" t="s">
        <v>226</v>
      </c>
      <c r="F56" s="122" t="s">
        <v>512</v>
      </c>
      <c r="G56" s="122">
        <v>0</v>
      </c>
      <c r="H56" s="122" t="s">
        <v>230</v>
      </c>
      <c r="I56" s="122" t="s">
        <v>15</v>
      </c>
      <c r="J56" s="33"/>
      <c r="K56" s="124" t="s">
        <v>223</v>
      </c>
      <c r="L56" s="34" t="s">
        <v>18</v>
      </c>
      <c r="M56" s="34"/>
      <c r="N56" s="34"/>
      <c r="O56" s="33" t="s">
        <v>16</v>
      </c>
      <c r="P56" s="33" t="s">
        <v>34</v>
      </c>
      <c r="Q56" s="33" t="s">
        <v>34</v>
      </c>
      <c r="R56" s="33" t="s">
        <v>34</v>
      </c>
      <c r="S56" s="33" t="s">
        <v>34</v>
      </c>
      <c r="T56" s="33" t="s">
        <v>34</v>
      </c>
      <c r="U56" s="33"/>
      <c r="V56" s="33" t="s">
        <v>52</v>
      </c>
      <c r="W56" s="33"/>
      <c r="X56" s="33" t="s">
        <v>33</v>
      </c>
      <c r="Y56" s="33" t="s">
        <v>52</v>
      </c>
      <c r="Z56" s="33"/>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row>
    <row r="57" spans="1:57" ht="36" customHeight="1" x14ac:dyDescent="0.2">
      <c r="A57" s="122">
        <v>54</v>
      </c>
      <c r="B57" s="122" t="s">
        <v>513</v>
      </c>
      <c r="C57" s="122" t="s">
        <v>514</v>
      </c>
      <c r="D57" s="122">
        <v>2026</v>
      </c>
      <c r="E57" s="122" t="s">
        <v>241</v>
      </c>
      <c r="F57" s="122" t="s">
        <v>516</v>
      </c>
      <c r="G57" s="122" t="s">
        <v>517</v>
      </c>
      <c r="H57" s="122" t="s">
        <v>246</v>
      </c>
      <c r="I57" s="122" t="s">
        <v>15</v>
      </c>
      <c r="J57" s="33"/>
      <c r="K57" s="124" t="s">
        <v>223</v>
      </c>
      <c r="L57" s="34"/>
      <c r="M57" s="34"/>
      <c r="N57" s="33" t="s">
        <v>16</v>
      </c>
      <c r="O57" s="33"/>
      <c r="P57" s="33" t="s">
        <v>34</v>
      </c>
      <c r="Q57" s="33" t="s">
        <v>34</v>
      </c>
      <c r="R57" s="33" t="s">
        <v>34</v>
      </c>
      <c r="S57" s="33" t="s">
        <v>34</v>
      </c>
      <c r="T57" s="33" t="s">
        <v>34</v>
      </c>
      <c r="U57" s="33"/>
      <c r="V57" s="33" t="s">
        <v>52</v>
      </c>
      <c r="W57" s="33"/>
      <c r="X57" s="33" t="s">
        <v>34</v>
      </c>
      <c r="Y57" s="33" t="s">
        <v>52</v>
      </c>
      <c r="Z57" s="33"/>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row>
    <row r="58" spans="1:57" ht="36" customHeight="1" x14ac:dyDescent="0.2">
      <c r="A58" s="122">
        <v>55</v>
      </c>
      <c r="B58" s="122" t="s">
        <v>519</v>
      </c>
      <c r="C58" s="122" t="s">
        <v>520</v>
      </c>
      <c r="D58" s="122">
        <v>2023</v>
      </c>
      <c r="E58" s="122" t="s">
        <v>226</v>
      </c>
      <c r="F58" s="122" t="s">
        <v>522</v>
      </c>
      <c r="G58" s="122">
        <v>0</v>
      </c>
      <c r="H58" s="122" t="s">
        <v>230</v>
      </c>
      <c r="I58" s="122" t="s">
        <v>15</v>
      </c>
      <c r="J58" s="33"/>
      <c r="K58" s="124" t="s">
        <v>223</v>
      </c>
      <c r="L58" s="34"/>
      <c r="M58" s="34"/>
      <c r="N58" s="33" t="s">
        <v>16</v>
      </c>
      <c r="O58" s="33"/>
      <c r="P58" s="33" t="s">
        <v>34</v>
      </c>
      <c r="Q58" s="33" t="s">
        <v>34</v>
      </c>
      <c r="R58" s="33" t="s">
        <v>34</v>
      </c>
      <c r="S58" s="33" t="s">
        <v>34</v>
      </c>
      <c r="T58" s="33" t="s">
        <v>34</v>
      </c>
      <c r="U58" s="33"/>
      <c r="V58" s="33" t="s">
        <v>52</v>
      </c>
      <c r="W58" s="33"/>
      <c r="X58" s="33" t="s">
        <v>34</v>
      </c>
      <c r="Y58" s="33" t="s">
        <v>52</v>
      </c>
      <c r="Z58" s="33"/>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row>
    <row r="59" spans="1:57" ht="36" customHeight="1" x14ac:dyDescent="0.2">
      <c r="A59" s="122">
        <v>56</v>
      </c>
      <c r="B59" s="122" t="s">
        <v>523</v>
      </c>
      <c r="C59" s="122" t="s">
        <v>524</v>
      </c>
      <c r="D59" s="122">
        <v>2023</v>
      </c>
      <c r="E59" s="122" t="s">
        <v>226</v>
      </c>
      <c r="F59" s="122" t="s">
        <v>526</v>
      </c>
      <c r="G59" s="122">
        <v>0</v>
      </c>
      <c r="H59" s="122" t="s">
        <v>230</v>
      </c>
      <c r="I59" s="122" t="s">
        <v>15</v>
      </c>
      <c r="J59" s="33"/>
      <c r="K59" s="124" t="s">
        <v>223</v>
      </c>
      <c r="L59" s="34"/>
      <c r="M59" s="34"/>
      <c r="N59" s="33" t="s">
        <v>16</v>
      </c>
      <c r="O59" s="33"/>
      <c r="P59" s="33" t="s">
        <v>34</v>
      </c>
      <c r="Q59" s="33" t="s">
        <v>34</v>
      </c>
      <c r="R59" s="33" t="s">
        <v>34</v>
      </c>
      <c r="S59" s="33" t="s">
        <v>34</v>
      </c>
      <c r="T59" s="33" t="s">
        <v>34</v>
      </c>
      <c r="U59" s="33"/>
      <c r="V59" s="33" t="s">
        <v>52</v>
      </c>
      <c r="W59" s="33"/>
      <c r="X59" s="33" t="s">
        <v>33</v>
      </c>
      <c r="Y59" s="33" t="s">
        <v>52</v>
      </c>
      <c r="Z59" s="33"/>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row>
    <row r="60" spans="1:57" ht="36" customHeight="1" x14ac:dyDescent="0.2">
      <c r="A60" s="122">
        <v>57</v>
      </c>
      <c r="B60" s="122" t="s">
        <v>528</v>
      </c>
      <c r="C60" s="122" t="s">
        <v>529</v>
      </c>
      <c r="D60" s="122">
        <v>2021</v>
      </c>
      <c r="E60" s="122" t="s">
        <v>241</v>
      </c>
      <c r="F60" s="122" t="s">
        <v>531</v>
      </c>
      <c r="G60" s="122" t="s">
        <v>532</v>
      </c>
      <c r="H60" s="122" t="s">
        <v>246</v>
      </c>
      <c r="I60" s="122" t="s">
        <v>15</v>
      </c>
      <c r="J60" s="33"/>
      <c r="K60" s="124" t="s">
        <v>223</v>
      </c>
      <c r="L60" s="34" t="s">
        <v>26</v>
      </c>
      <c r="M60" s="34"/>
      <c r="N60" s="34"/>
      <c r="O60" s="33" t="s">
        <v>16</v>
      </c>
      <c r="P60" s="33" t="s">
        <v>34</v>
      </c>
      <c r="Q60" s="33" t="s">
        <v>34</v>
      </c>
      <c r="R60" s="33" t="s">
        <v>34</v>
      </c>
      <c r="S60" s="33" t="s">
        <v>34</v>
      </c>
      <c r="T60" s="33" t="s">
        <v>34</v>
      </c>
      <c r="U60" s="33"/>
      <c r="V60" s="33" t="s">
        <v>52</v>
      </c>
      <c r="W60" s="33"/>
      <c r="X60" s="33" t="s">
        <v>34</v>
      </c>
      <c r="Y60" s="33" t="s">
        <v>52</v>
      </c>
      <c r="Z60" s="33"/>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row>
    <row r="61" spans="1:57" ht="36" customHeight="1" x14ac:dyDescent="0.2">
      <c r="A61" s="122">
        <v>58</v>
      </c>
      <c r="B61" s="122" t="s">
        <v>534</v>
      </c>
      <c r="C61" s="122" t="s">
        <v>535</v>
      </c>
      <c r="D61" s="122">
        <v>2025</v>
      </c>
      <c r="E61" s="122" t="s">
        <v>260</v>
      </c>
      <c r="F61" s="122" t="s">
        <v>537</v>
      </c>
      <c r="G61" s="122" t="s">
        <v>538</v>
      </c>
      <c r="H61" s="122" t="s">
        <v>246</v>
      </c>
      <c r="I61" s="122" t="s">
        <v>15</v>
      </c>
      <c r="J61" s="33"/>
      <c r="K61" s="124" t="s">
        <v>223</v>
      </c>
      <c r="L61" s="34"/>
      <c r="M61" s="34"/>
      <c r="N61" s="33" t="s">
        <v>16</v>
      </c>
      <c r="O61" s="33"/>
      <c r="P61" s="33" t="s">
        <v>34</v>
      </c>
      <c r="Q61" s="33" t="s">
        <v>34</v>
      </c>
      <c r="R61" s="33" t="s">
        <v>34</v>
      </c>
      <c r="S61" s="33" t="s">
        <v>34</v>
      </c>
      <c r="T61" s="33" t="s">
        <v>34</v>
      </c>
      <c r="U61" s="33"/>
      <c r="V61" s="33" t="s">
        <v>52</v>
      </c>
      <c r="W61" s="33"/>
      <c r="X61" s="33" t="s">
        <v>34</v>
      </c>
      <c r="Y61" s="33" t="s">
        <v>52</v>
      </c>
      <c r="Z61" s="33"/>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row>
    <row r="62" spans="1:57" ht="36" customHeight="1" x14ac:dyDescent="0.2">
      <c r="A62" s="122">
        <v>59</v>
      </c>
      <c r="B62" s="122" t="s">
        <v>540</v>
      </c>
      <c r="C62" s="122" t="s">
        <v>541</v>
      </c>
      <c r="D62" s="122">
        <v>2025</v>
      </c>
      <c r="E62" s="122" t="s">
        <v>219</v>
      </c>
      <c r="F62" s="122" t="s">
        <v>543</v>
      </c>
      <c r="G62" s="122" t="s">
        <v>544</v>
      </c>
      <c r="H62" s="122" t="s">
        <v>222</v>
      </c>
      <c r="I62" s="122" t="s">
        <v>15</v>
      </c>
      <c r="J62" s="33"/>
      <c r="K62" s="124" t="s">
        <v>223</v>
      </c>
      <c r="L62" s="34" t="s">
        <v>19</v>
      </c>
      <c r="M62" s="34"/>
      <c r="N62" s="33" t="s">
        <v>16</v>
      </c>
      <c r="O62" s="33" t="s">
        <v>16</v>
      </c>
      <c r="P62" s="33" t="s">
        <v>34</v>
      </c>
      <c r="Q62" s="33" t="s">
        <v>34</v>
      </c>
      <c r="R62" s="33" t="s">
        <v>34</v>
      </c>
      <c r="S62" s="33" t="s">
        <v>34</v>
      </c>
      <c r="T62" s="33" t="s">
        <v>34</v>
      </c>
      <c r="U62" s="33"/>
      <c r="V62" s="33" t="s">
        <v>52</v>
      </c>
      <c r="W62" s="33"/>
      <c r="X62" s="33" t="s">
        <v>33</v>
      </c>
      <c r="Y62" s="33" t="s">
        <v>52</v>
      </c>
      <c r="Z62" s="33"/>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row>
    <row r="63" spans="1:57" ht="36" customHeight="1" x14ac:dyDescent="0.2">
      <c r="A63" s="122">
        <v>60</v>
      </c>
      <c r="B63" s="122" t="s">
        <v>546</v>
      </c>
      <c r="C63" s="122" t="s">
        <v>547</v>
      </c>
      <c r="D63" s="122">
        <v>2024</v>
      </c>
      <c r="E63" s="122" t="s">
        <v>219</v>
      </c>
      <c r="F63" s="122" t="s">
        <v>549</v>
      </c>
      <c r="G63" s="122" t="s">
        <v>550</v>
      </c>
      <c r="H63" s="122" t="s">
        <v>222</v>
      </c>
      <c r="I63" s="122" t="s">
        <v>15</v>
      </c>
      <c r="J63" s="33"/>
      <c r="K63" s="124" t="s">
        <v>223</v>
      </c>
      <c r="L63" s="34"/>
      <c r="M63" s="34"/>
      <c r="N63" s="33" t="s">
        <v>16</v>
      </c>
      <c r="O63" s="33"/>
      <c r="P63" s="33" t="s">
        <v>34</v>
      </c>
      <c r="Q63" s="33" t="s">
        <v>34</v>
      </c>
      <c r="R63" s="33" t="s">
        <v>34</v>
      </c>
      <c r="S63" s="33" t="s">
        <v>34</v>
      </c>
      <c r="T63" s="33" t="s">
        <v>34</v>
      </c>
      <c r="U63" s="33"/>
      <c r="V63" s="33" t="s">
        <v>52</v>
      </c>
      <c r="W63" s="33"/>
      <c r="X63" s="33" t="s">
        <v>34</v>
      </c>
      <c r="Y63" s="33" t="s">
        <v>52</v>
      </c>
      <c r="Z63" s="33"/>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row>
    <row r="64" spans="1:57" ht="36" customHeight="1" x14ac:dyDescent="0.2">
      <c r="A64" s="122">
        <v>61</v>
      </c>
      <c r="B64" s="122" t="s">
        <v>552</v>
      </c>
      <c r="C64" s="122" t="s">
        <v>553</v>
      </c>
      <c r="D64" s="122">
        <v>2023</v>
      </c>
      <c r="E64" s="122" t="s">
        <v>241</v>
      </c>
      <c r="F64" s="122" t="s">
        <v>555</v>
      </c>
      <c r="G64" s="122" t="s">
        <v>556</v>
      </c>
      <c r="H64" s="122" t="s">
        <v>246</v>
      </c>
      <c r="I64" s="122" t="s">
        <v>15</v>
      </c>
      <c r="J64" s="33"/>
      <c r="K64" s="124" t="s">
        <v>223</v>
      </c>
      <c r="L64" s="34"/>
      <c r="M64" s="34"/>
      <c r="N64" s="33" t="s">
        <v>16</v>
      </c>
      <c r="O64" s="33"/>
      <c r="P64" s="33" t="s">
        <v>34</v>
      </c>
      <c r="Q64" s="33" t="s">
        <v>34</v>
      </c>
      <c r="R64" s="33" t="s">
        <v>34</v>
      </c>
      <c r="S64" s="33" t="s">
        <v>34</v>
      </c>
      <c r="T64" s="33" t="s">
        <v>34</v>
      </c>
      <c r="U64" s="33"/>
      <c r="V64" s="33" t="s">
        <v>52</v>
      </c>
      <c r="W64" s="33"/>
      <c r="X64" s="33" t="s">
        <v>34</v>
      </c>
      <c r="Y64" s="33" t="s">
        <v>52</v>
      </c>
      <c r="Z64" s="33"/>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row>
    <row r="65" spans="1:57" ht="36" customHeight="1" x14ac:dyDescent="0.2">
      <c r="A65" s="122">
        <v>62</v>
      </c>
      <c r="B65" s="122" t="s">
        <v>558</v>
      </c>
      <c r="C65" s="122" t="s">
        <v>559</v>
      </c>
      <c r="D65" s="122">
        <v>2025</v>
      </c>
      <c r="E65" s="122" t="s">
        <v>233</v>
      </c>
      <c r="F65" s="122" t="s">
        <v>561</v>
      </c>
      <c r="G65" s="122" t="s">
        <v>562</v>
      </c>
      <c r="H65" s="122" t="s">
        <v>238</v>
      </c>
      <c r="I65" s="122" t="s">
        <v>15</v>
      </c>
      <c r="J65" s="33"/>
      <c r="K65" s="124" t="s">
        <v>223</v>
      </c>
      <c r="L65" s="34"/>
      <c r="M65" s="34"/>
      <c r="N65" s="33" t="s">
        <v>16</v>
      </c>
      <c r="O65" s="33"/>
      <c r="P65" s="33" t="s">
        <v>34</v>
      </c>
      <c r="Q65" s="33" t="s">
        <v>34</v>
      </c>
      <c r="R65" s="33" t="s">
        <v>34</v>
      </c>
      <c r="S65" s="33" t="s">
        <v>34</v>
      </c>
      <c r="T65" s="33" t="s">
        <v>34</v>
      </c>
      <c r="U65" s="33"/>
      <c r="V65" s="33" t="s">
        <v>52</v>
      </c>
      <c r="W65" s="33"/>
      <c r="X65" s="33" t="s">
        <v>34</v>
      </c>
      <c r="Y65" s="33" t="s">
        <v>52</v>
      </c>
      <c r="Z65" s="33"/>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row>
    <row r="66" spans="1:57" ht="36" customHeight="1" x14ac:dyDescent="0.2">
      <c r="A66" s="122">
        <v>63</v>
      </c>
      <c r="B66" s="122" t="s">
        <v>564</v>
      </c>
      <c r="C66" s="122" t="s">
        <v>565</v>
      </c>
      <c r="D66" s="122">
        <v>2023</v>
      </c>
      <c r="E66" s="122" t="s">
        <v>260</v>
      </c>
      <c r="F66" s="122" t="s">
        <v>567</v>
      </c>
      <c r="G66" s="122" t="s">
        <v>568</v>
      </c>
      <c r="H66" s="122" t="s">
        <v>246</v>
      </c>
      <c r="I66" s="122" t="s">
        <v>15</v>
      </c>
      <c r="J66" s="33"/>
      <c r="K66" s="124" t="s">
        <v>223</v>
      </c>
      <c r="L66" s="34"/>
      <c r="M66" s="34"/>
      <c r="N66" s="33" t="s">
        <v>16</v>
      </c>
      <c r="O66" s="33"/>
      <c r="P66" s="33" t="s">
        <v>34</v>
      </c>
      <c r="Q66" s="33" t="s">
        <v>34</v>
      </c>
      <c r="R66" s="33" t="s">
        <v>34</v>
      </c>
      <c r="S66" s="33" t="s">
        <v>34</v>
      </c>
      <c r="T66" s="33" t="s">
        <v>34</v>
      </c>
      <c r="U66" s="33"/>
      <c r="V66" s="33" t="s">
        <v>52</v>
      </c>
      <c r="W66" s="33"/>
      <c r="X66" s="33" t="s">
        <v>34</v>
      </c>
      <c r="Y66" s="33" t="s">
        <v>52</v>
      </c>
      <c r="Z66" s="33"/>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row>
    <row r="67" spans="1:57" ht="36" customHeight="1" x14ac:dyDescent="0.2">
      <c r="A67" s="122">
        <v>64</v>
      </c>
      <c r="B67" s="122" t="s">
        <v>569</v>
      </c>
      <c r="C67" s="122" t="s">
        <v>570</v>
      </c>
      <c r="D67" s="122">
        <v>2026</v>
      </c>
      <c r="E67" s="122" t="s">
        <v>233</v>
      </c>
      <c r="F67" s="122" t="s">
        <v>572</v>
      </c>
      <c r="G67" s="122" t="s">
        <v>573</v>
      </c>
      <c r="H67" s="122" t="s">
        <v>238</v>
      </c>
      <c r="I67" s="122" t="s">
        <v>15</v>
      </c>
      <c r="J67" s="33"/>
      <c r="K67" s="124" t="s">
        <v>223</v>
      </c>
      <c r="L67" s="34"/>
      <c r="M67" s="34"/>
      <c r="N67" s="33" t="s">
        <v>16</v>
      </c>
      <c r="O67" s="33"/>
      <c r="P67" s="33" t="s">
        <v>34</v>
      </c>
      <c r="Q67" s="33" t="s">
        <v>34</v>
      </c>
      <c r="R67" s="33" t="s">
        <v>34</v>
      </c>
      <c r="S67" s="33" t="s">
        <v>34</v>
      </c>
      <c r="T67" s="33" t="s">
        <v>34</v>
      </c>
      <c r="U67" s="33"/>
      <c r="V67" s="33" t="s">
        <v>52</v>
      </c>
      <c r="W67" s="33"/>
      <c r="X67" s="33" t="s">
        <v>33</v>
      </c>
      <c r="Y67" s="33" t="s">
        <v>52</v>
      </c>
      <c r="Z67" s="33"/>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row>
    <row r="68" spans="1:57" ht="36" customHeight="1" x14ac:dyDescent="0.2">
      <c r="A68" s="122">
        <v>65</v>
      </c>
      <c r="B68" s="122" t="s">
        <v>575</v>
      </c>
      <c r="C68" s="122" t="s">
        <v>576</v>
      </c>
      <c r="D68" s="122">
        <v>2025</v>
      </c>
      <c r="E68" s="122" t="s">
        <v>233</v>
      </c>
      <c r="F68" s="122" t="s">
        <v>578</v>
      </c>
      <c r="G68" s="122" t="s">
        <v>579</v>
      </c>
      <c r="H68" s="122" t="s">
        <v>238</v>
      </c>
      <c r="I68" s="122" t="s">
        <v>15</v>
      </c>
      <c r="J68" s="33"/>
      <c r="K68" s="124" t="s">
        <v>223</v>
      </c>
      <c r="L68" s="34"/>
      <c r="M68" s="34"/>
      <c r="N68" s="33" t="s">
        <v>16</v>
      </c>
      <c r="O68" s="33"/>
      <c r="P68" s="33" t="s">
        <v>34</v>
      </c>
      <c r="Q68" s="33" t="s">
        <v>34</v>
      </c>
      <c r="R68" s="33" t="s">
        <v>34</v>
      </c>
      <c r="S68" s="33" t="s">
        <v>34</v>
      </c>
      <c r="T68" s="33" t="s">
        <v>34</v>
      </c>
      <c r="U68" s="33"/>
      <c r="V68" s="33" t="s">
        <v>52</v>
      </c>
      <c r="W68" s="33"/>
      <c r="X68" s="33" t="s">
        <v>34</v>
      </c>
      <c r="Y68" s="33" t="s">
        <v>52</v>
      </c>
      <c r="Z68" s="33"/>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row>
    <row r="69" spans="1:57" ht="36" customHeight="1" x14ac:dyDescent="0.2">
      <c r="A69" s="122">
        <v>66</v>
      </c>
      <c r="B69" s="122" t="s">
        <v>581</v>
      </c>
      <c r="C69" s="122" t="s">
        <v>582</v>
      </c>
      <c r="D69" s="122">
        <v>2025</v>
      </c>
      <c r="E69" s="122" t="s">
        <v>260</v>
      </c>
      <c r="F69" s="122" t="s">
        <v>584</v>
      </c>
      <c r="G69" s="122" t="s">
        <v>585</v>
      </c>
      <c r="H69" s="122" t="s">
        <v>246</v>
      </c>
      <c r="I69" s="122" t="s">
        <v>15</v>
      </c>
      <c r="J69" s="33"/>
      <c r="K69" s="124" t="s">
        <v>223</v>
      </c>
      <c r="L69" s="34" t="s">
        <v>21</v>
      </c>
      <c r="M69" s="34"/>
      <c r="N69" s="33" t="s">
        <v>16</v>
      </c>
      <c r="O69" s="33" t="s">
        <v>16</v>
      </c>
      <c r="P69" s="33" t="s">
        <v>34</v>
      </c>
      <c r="Q69" s="33" t="s">
        <v>34</v>
      </c>
      <c r="R69" s="33" t="s">
        <v>34</v>
      </c>
      <c r="S69" s="33" t="s">
        <v>34</v>
      </c>
      <c r="T69" s="33" t="s">
        <v>34</v>
      </c>
      <c r="U69" s="33"/>
      <c r="V69" s="33" t="s">
        <v>52</v>
      </c>
      <c r="W69" s="33"/>
      <c r="X69" s="33" t="s">
        <v>34</v>
      </c>
      <c r="Y69" s="33" t="s">
        <v>52</v>
      </c>
      <c r="Z69" s="33"/>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row>
    <row r="70" spans="1:57" ht="36" customHeight="1" x14ac:dyDescent="0.2">
      <c r="A70" s="122">
        <v>67</v>
      </c>
      <c r="B70" s="122" t="s">
        <v>587</v>
      </c>
      <c r="C70" s="122" t="s">
        <v>588</v>
      </c>
      <c r="D70" s="122">
        <v>2025</v>
      </c>
      <c r="E70" s="122" t="s">
        <v>241</v>
      </c>
      <c r="F70" s="122" t="s">
        <v>590</v>
      </c>
      <c r="G70" s="122" t="s">
        <v>591</v>
      </c>
      <c r="H70" s="122" t="s">
        <v>246</v>
      </c>
      <c r="I70" s="122" t="s">
        <v>15</v>
      </c>
      <c r="J70" s="33"/>
      <c r="K70" s="124" t="s">
        <v>223</v>
      </c>
      <c r="L70" s="34"/>
      <c r="M70" s="34"/>
      <c r="N70" s="33" t="s">
        <v>16</v>
      </c>
      <c r="O70" s="33" t="s">
        <v>16</v>
      </c>
      <c r="P70" s="33" t="s">
        <v>34</v>
      </c>
      <c r="Q70" s="33" t="s">
        <v>34</v>
      </c>
      <c r="R70" s="33" t="s">
        <v>34</v>
      </c>
      <c r="S70" s="33" t="s">
        <v>34</v>
      </c>
      <c r="T70" s="33" t="s">
        <v>34</v>
      </c>
      <c r="U70" s="33"/>
      <c r="V70" s="33" t="s">
        <v>52</v>
      </c>
      <c r="W70" s="33"/>
      <c r="X70" s="33" t="s">
        <v>33</v>
      </c>
      <c r="Y70" s="33" t="s">
        <v>52</v>
      </c>
      <c r="Z70" s="33"/>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row>
    <row r="71" spans="1:57" ht="36" customHeight="1" x14ac:dyDescent="0.2">
      <c r="A71" s="122">
        <v>68</v>
      </c>
      <c r="B71" s="122" t="s">
        <v>593</v>
      </c>
      <c r="C71" s="122" t="s">
        <v>594</v>
      </c>
      <c r="D71" s="122">
        <v>2026</v>
      </c>
      <c r="E71" s="122" t="s">
        <v>219</v>
      </c>
      <c r="F71" s="122" t="s">
        <v>596</v>
      </c>
      <c r="G71" s="122" t="s">
        <v>597</v>
      </c>
      <c r="H71" s="122" t="s">
        <v>222</v>
      </c>
      <c r="I71" s="122" t="s">
        <v>15</v>
      </c>
      <c r="J71" s="33"/>
      <c r="K71" s="124" t="s">
        <v>223</v>
      </c>
      <c r="L71" s="34"/>
      <c r="M71" s="34"/>
      <c r="N71" s="33" t="s">
        <v>16</v>
      </c>
      <c r="O71" s="33"/>
      <c r="P71" s="33" t="s">
        <v>34</v>
      </c>
      <c r="Q71" s="33" t="s">
        <v>34</v>
      </c>
      <c r="R71" s="33" t="s">
        <v>34</v>
      </c>
      <c r="S71" s="33" t="s">
        <v>34</v>
      </c>
      <c r="T71" s="33" t="s">
        <v>34</v>
      </c>
      <c r="U71" s="33"/>
      <c r="V71" s="33" t="s">
        <v>52</v>
      </c>
      <c r="W71" s="33"/>
      <c r="X71" s="33" t="s">
        <v>34</v>
      </c>
      <c r="Y71" s="33" t="s">
        <v>52</v>
      </c>
      <c r="Z71" s="33"/>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row>
    <row r="72" spans="1:57" ht="36" customHeight="1" x14ac:dyDescent="0.2">
      <c r="A72" s="122">
        <v>69</v>
      </c>
      <c r="B72" s="122" t="s">
        <v>599</v>
      </c>
      <c r="C72" s="122" t="s">
        <v>600</v>
      </c>
      <c r="D72" s="122">
        <v>2025</v>
      </c>
      <c r="E72" s="122" t="s">
        <v>226</v>
      </c>
      <c r="F72" s="122" t="s">
        <v>602</v>
      </c>
      <c r="G72" s="122">
        <v>0</v>
      </c>
      <c r="H72" s="122" t="s">
        <v>230</v>
      </c>
      <c r="I72" s="122" t="s">
        <v>15</v>
      </c>
      <c r="J72" s="33"/>
      <c r="K72" s="124" t="s">
        <v>223</v>
      </c>
      <c r="L72" s="34"/>
      <c r="M72" s="34"/>
      <c r="N72" s="33" t="s">
        <v>16</v>
      </c>
      <c r="O72" s="33"/>
      <c r="P72" s="33" t="s">
        <v>34</v>
      </c>
      <c r="Q72" s="33" t="s">
        <v>34</v>
      </c>
      <c r="R72" s="33" t="s">
        <v>34</v>
      </c>
      <c r="S72" s="33" t="s">
        <v>34</v>
      </c>
      <c r="T72" s="33" t="s">
        <v>34</v>
      </c>
      <c r="U72" s="33"/>
      <c r="V72" s="33" t="s">
        <v>52</v>
      </c>
      <c r="W72" s="33"/>
      <c r="X72" s="33" t="s">
        <v>33</v>
      </c>
      <c r="Y72" s="33" t="s">
        <v>52</v>
      </c>
      <c r="Z72" s="33"/>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row>
    <row r="73" spans="1:57" ht="36" customHeight="1" x14ac:dyDescent="0.2">
      <c r="A73" s="122"/>
      <c r="B73" s="122"/>
      <c r="C73" s="122"/>
      <c r="D73" s="122"/>
      <c r="E73" s="122"/>
      <c r="F73" s="122"/>
      <c r="G73" s="122"/>
      <c r="H73" s="122"/>
      <c r="I73" s="122"/>
      <c r="J73" s="33"/>
      <c r="K73" s="124"/>
      <c r="L73" s="34"/>
      <c r="M73" s="34"/>
      <c r="N73" s="33"/>
      <c r="O73" s="33"/>
      <c r="P73" s="33"/>
      <c r="Q73" s="33"/>
      <c r="R73" s="33"/>
      <c r="S73" s="33"/>
      <c r="T73" s="33"/>
      <c r="U73" s="33"/>
      <c r="V73" s="33"/>
      <c r="W73" s="33"/>
      <c r="X73" s="33"/>
      <c r="Y73" s="33"/>
      <c r="Z73" s="33"/>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row>
    <row r="74" spans="1:57" ht="36" customHeight="1" x14ac:dyDescent="0.2">
      <c r="A74" s="122"/>
      <c r="B74" s="122"/>
      <c r="C74" s="122"/>
      <c r="D74" s="122"/>
      <c r="E74" s="122"/>
      <c r="F74" s="122"/>
      <c r="G74" s="122"/>
      <c r="H74" s="122"/>
      <c r="I74" s="122"/>
      <c r="J74" s="33"/>
      <c r="K74" s="124"/>
      <c r="L74" s="34"/>
      <c r="M74" s="34"/>
      <c r="N74" s="33"/>
      <c r="O74" s="33"/>
      <c r="P74" s="33"/>
      <c r="Q74" s="33"/>
      <c r="R74" s="33"/>
      <c r="S74" s="33"/>
      <c r="T74" s="33"/>
      <c r="U74" s="33"/>
      <c r="V74" s="33"/>
      <c r="W74" s="33"/>
      <c r="X74" s="33"/>
      <c r="Y74" s="33"/>
      <c r="Z74" s="35"/>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row>
    <row r="75" spans="1:57" ht="36" customHeight="1" x14ac:dyDescent="0.2">
      <c r="A75" s="122"/>
      <c r="B75" s="122"/>
      <c r="C75" s="122"/>
      <c r="D75" s="122"/>
      <c r="E75" s="122"/>
      <c r="F75" s="122"/>
      <c r="G75" s="122"/>
      <c r="H75" s="122"/>
      <c r="I75" s="122"/>
      <c r="J75" s="33"/>
      <c r="K75" s="124"/>
      <c r="L75" s="34"/>
      <c r="M75" s="34"/>
      <c r="N75" s="33"/>
      <c r="O75" s="33"/>
      <c r="P75" s="33"/>
      <c r="Q75" s="33"/>
      <c r="R75" s="33"/>
      <c r="S75" s="33"/>
      <c r="T75" s="33"/>
      <c r="U75" s="33"/>
      <c r="V75" s="33"/>
      <c r="W75" s="33"/>
      <c r="X75" s="33"/>
      <c r="Y75" s="33"/>
      <c r="Z75" s="33"/>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row>
    <row r="76" spans="1:57" ht="36" customHeight="1" x14ac:dyDescent="0.2">
      <c r="A76" s="122"/>
      <c r="B76" s="122"/>
      <c r="C76" s="122"/>
      <c r="D76" s="122"/>
      <c r="E76" s="122"/>
      <c r="F76" s="122"/>
      <c r="G76" s="122"/>
      <c r="H76" s="122"/>
      <c r="I76" s="122"/>
      <c r="J76" s="33"/>
      <c r="K76" s="124"/>
      <c r="L76" s="125"/>
      <c r="M76" s="125"/>
      <c r="N76" s="33"/>
      <c r="O76" s="33"/>
      <c r="P76" s="33"/>
      <c r="Q76" s="33"/>
      <c r="R76" s="33"/>
      <c r="S76" s="33"/>
      <c r="T76" s="33"/>
      <c r="U76" s="33"/>
      <c r="V76" s="33"/>
      <c r="W76" s="33"/>
      <c r="X76" s="33"/>
      <c r="Y76" s="33"/>
      <c r="Z76" s="33"/>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row>
    <row r="77" spans="1:57" ht="36" customHeight="1" x14ac:dyDescent="0.2">
      <c r="A77" s="122"/>
      <c r="B77" s="122"/>
      <c r="C77" s="122"/>
      <c r="D77" s="122"/>
      <c r="E77" s="122"/>
      <c r="F77" s="122"/>
      <c r="G77" s="122"/>
      <c r="H77" s="122"/>
      <c r="I77" s="122"/>
      <c r="J77" s="33"/>
      <c r="K77" s="124"/>
      <c r="L77" s="34"/>
      <c r="M77" s="34"/>
      <c r="N77" s="33"/>
      <c r="O77" s="33"/>
      <c r="P77" s="33"/>
      <c r="Q77" s="33"/>
      <c r="R77" s="33"/>
      <c r="S77" s="33"/>
      <c r="T77" s="33"/>
      <c r="U77" s="33"/>
      <c r="V77" s="33"/>
      <c r="W77" s="33"/>
      <c r="X77" s="33"/>
      <c r="Y77" s="33"/>
      <c r="Z77" s="33"/>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row>
    <row r="78" spans="1:57" ht="36" customHeight="1" x14ac:dyDescent="0.2">
      <c r="A78" s="122"/>
      <c r="B78" s="122"/>
      <c r="C78" s="122"/>
      <c r="D78" s="122"/>
      <c r="E78" s="122"/>
      <c r="F78" s="122"/>
      <c r="G78" s="122"/>
      <c r="H78" s="122"/>
      <c r="I78" s="122"/>
      <c r="J78" s="33"/>
      <c r="K78" s="124"/>
      <c r="L78" s="34"/>
      <c r="M78" s="34"/>
      <c r="N78" s="33"/>
      <c r="O78" s="33"/>
      <c r="P78" s="33"/>
      <c r="Q78" s="33"/>
      <c r="R78" s="33"/>
      <c r="S78" s="33"/>
      <c r="T78" s="33"/>
      <c r="U78" s="33"/>
      <c r="V78" s="33"/>
      <c r="W78" s="33"/>
      <c r="X78" s="33"/>
      <c r="Y78" s="33"/>
      <c r="Z78" s="33"/>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row>
    <row r="79" spans="1:57" ht="36" customHeight="1" x14ac:dyDescent="0.2">
      <c r="A79" s="122"/>
      <c r="B79" s="122"/>
      <c r="C79" s="122"/>
      <c r="D79" s="122"/>
      <c r="E79" s="122"/>
      <c r="F79" s="122"/>
      <c r="G79" s="122"/>
      <c r="H79" s="122"/>
      <c r="I79" s="122"/>
      <c r="J79" s="33"/>
      <c r="K79" s="124"/>
      <c r="L79" s="34"/>
      <c r="M79" s="34"/>
      <c r="N79" s="33"/>
      <c r="O79" s="33"/>
      <c r="P79" s="33"/>
      <c r="Q79" s="33"/>
      <c r="R79" s="33"/>
      <c r="S79" s="33"/>
      <c r="T79" s="33"/>
      <c r="U79" s="33"/>
      <c r="V79" s="33"/>
      <c r="W79" s="33"/>
      <c r="X79" s="33"/>
      <c r="Y79" s="33"/>
      <c r="Z79" s="33"/>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row>
    <row r="80" spans="1:57" ht="36" customHeight="1" x14ac:dyDescent="0.2">
      <c r="A80" s="122"/>
      <c r="B80" s="122"/>
      <c r="C80" s="122"/>
      <c r="D80" s="122"/>
      <c r="E80" s="122"/>
      <c r="F80" s="122"/>
      <c r="G80" s="122"/>
      <c r="H80" s="122"/>
      <c r="I80" s="122"/>
      <c r="J80" s="33"/>
      <c r="K80" s="124"/>
      <c r="L80" s="34"/>
      <c r="M80" s="34"/>
      <c r="N80" s="33"/>
      <c r="O80" s="33"/>
      <c r="P80" s="33"/>
      <c r="Q80" s="33"/>
      <c r="R80" s="33"/>
      <c r="S80" s="33"/>
      <c r="T80" s="33"/>
      <c r="U80" s="33"/>
      <c r="V80" s="33"/>
      <c r="W80" s="33"/>
      <c r="X80" s="33"/>
      <c r="Y80" s="33"/>
      <c r="Z80" s="33"/>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row>
    <row r="81" spans="1:57" ht="36" customHeight="1" x14ac:dyDescent="0.2">
      <c r="A81" s="122"/>
      <c r="B81" s="122"/>
      <c r="C81" s="122"/>
      <c r="D81" s="122"/>
      <c r="E81" s="122"/>
      <c r="F81" s="122"/>
      <c r="G81" s="122"/>
      <c r="H81" s="122"/>
      <c r="I81" s="122"/>
      <c r="J81" s="33"/>
      <c r="K81" s="124"/>
      <c r="L81" s="34"/>
      <c r="M81" s="34"/>
      <c r="N81" s="33"/>
      <c r="O81" s="33"/>
      <c r="P81" s="33"/>
      <c r="Q81" s="33"/>
      <c r="R81" s="33"/>
      <c r="S81" s="33"/>
      <c r="T81" s="33"/>
      <c r="U81" s="33"/>
      <c r="V81" s="33"/>
      <c r="W81" s="33"/>
      <c r="X81" s="33"/>
      <c r="Y81" s="33"/>
      <c r="Z81" s="33"/>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row>
    <row r="82" spans="1:57" ht="36" customHeight="1" x14ac:dyDescent="0.2">
      <c r="A82" s="122"/>
      <c r="B82" s="122"/>
      <c r="C82" s="122"/>
      <c r="D82" s="122"/>
      <c r="E82" s="122"/>
      <c r="F82" s="122"/>
      <c r="G82" s="122"/>
      <c r="H82" s="122"/>
      <c r="I82" s="122"/>
      <c r="J82" s="33"/>
      <c r="K82" s="124"/>
      <c r="L82" s="34"/>
      <c r="M82" s="34"/>
      <c r="N82" s="33"/>
      <c r="O82" s="33"/>
      <c r="P82" s="33"/>
      <c r="Q82" s="33"/>
      <c r="R82" s="33"/>
      <c r="S82" s="33"/>
      <c r="T82" s="33"/>
      <c r="U82" s="33"/>
      <c r="V82" s="33"/>
      <c r="W82" s="33"/>
      <c r="X82" s="33"/>
      <c r="Y82" s="33"/>
      <c r="Z82" s="33"/>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row>
    <row r="83" spans="1:57" ht="36" customHeight="1" x14ac:dyDescent="0.2">
      <c r="A83" s="122"/>
      <c r="B83" s="122"/>
      <c r="C83" s="122"/>
      <c r="D83" s="122"/>
      <c r="E83" s="122"/>
      <c r="F83" s="122"/>
      <c r="G83" s="122"/>
      <c r="H83" s="122"/>
      <c r="I83" s="122"/>
      <c r="J83" s="33"/>
      <c r="K83" s="124"/>
      <c r="L83" s="34"/>
      <c r="M83" s="34"/>
      <c r="N83" s="33"/>
      <c r="O83" s="33"/>
      <c r="P83" s="33"/>
      <c r="Q83" s="33"/>
      <c r="R83" s="33"/>
      <c r="S83" s="33"/>
      <c r="T83" s="33"/>
      <c r="U83" s="33"/>
      <c r="V83" s="33"/>
      <c r="W83" s="33"/>
      <c r="X83" s="33"/>
      <c r="Y83" s="33"/>
      <c r="Z83" s="33"/>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row>
    <row r="84" spans="1:57" ht="36" customHeight="1" x14ac:dyDescent="0.2">
      <c r="A84" s="122"/>
      <c r="B84" s="122"/>
      <c r="C84" s="122"/>
      <c r="D84" s="122"/>
      <c r="E84" s="122"/>
      <c r="F84" s="122"/>
      <c r="G84" s="122"/>
      <c r="H84" s="122"/>
      <c r="I84" s="122"/>
      <c r="J84" s="33"/>
      <c r="K84" s="124"/>
      <c r="L84" s="34"/>
      <c r="M84" s="34"/>
      <c r="N84" s="34"/>
      <c r="O84" s="33"/>
      <c r="P84" s="36"/>
      <c r="Q84" s="36"/>
      <c r="R84" s="36"/>
      <c r="S84" s="36"/>
      <c r="T84" s="36"/>
      <c r="U84" s="33"/>
      <c r="V84" s="33"/>
      <c r="W84" s="33"/>
      <c r="X84" s="33"/>
      <c r="Y84" s="33"/>
      <c r="Z84" s="36"/>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row>
    <row r="85" spans="1:57" ht="36" customHeight="1" x14ac:dyDescent="0.2">
      <c r="A85" s="122"/>
      <c r="B85" s="122"/>
      <c r="C85" s="122"/>
      <c r="D85" s="122"/>
      <c r="E85" s="122"/>
      <c r="F85" s="122"/>
      <c r="G85" s="122"/>
      <c r="H85" s="122"/>
      <c r="I85" s="122"/>
      <c r="J85" s="33"/>
      <c r="K85" s="124"/>
      <c r="L85" s="34"/>
      <c r="M85" s="34"/>
      <c r="N85" s="33"/>
      <c r="O85" s="33"/>
      <c r="P85" s="36"/>
      <c r="Q85" s="36"/>
      <c r="R85" s="36"/>
      <c r="S85" s="36"/>
      <c r="T85" s="36"/>
      <c r="U85" s="33"/>
      <c r="V85" s="33"/>
      <c r="W85" s="33"/>
      <c r="X85" s="33"/>
      <c r="Y85" s="33"/>
      <c r="Z85" s="36"/>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row>
    <row r="86" spans="1:57" ht="36" customHeight="1" x14ac:dyDescent="0.2">
      <c r="A86" s="122"/>
      <c r="B86" s="122"/>
      <c r="C86" s="122"/>
      <c r="D86" s="122"/>
      <c r="E86" s="122"/>
      <c r="F86" s="122"/>
      <c r="G86" s="122"/>
      <c r="H86" s="122"/>
      <c r="I86" s="122"/>
      <c r="J86" s="33"/>
      <c r="K86" s="124"/>
      <c r="L86" s="34"/>
      <c r="M86" s="34"/>
      <c r="N86" s="33"/>
      <c r="O86" s="33"/>
      <c r="P86" s="36"/>
      <c r="Q86" s="36"/>
      <c r="R86" s="36"/>
      <c r="S86" s="36"/>
      <c r="T86" s="36"/>
      <c r="U86" s="33"/>
      <c r="V86" s="33"/>
      <c r="W86" s="33"/>
      <c r="X86" s="33"/>
      <c r="Y86" s="33"/>
      <c r="Z86" s="36"/>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row>
    <row r="87" spans="1:57" ht="36" customHeight="1" x14ac:dyDescent="0.2">
      <c r="A87" s="122"/>
      <c r="B87" s="122"/>
      <c r="C87" s="122"/>
      <c r="D87" s="122"/>
      <c r="E87" s="122"/>
      <c r="F87" s="122"/>
      <c r="G87" s="122"/>
      <c r="H87" s="122"/>
      <c r="I87" s="122"/>
      <c r="J87" s="33"/>
      <c r="K87" s="124"/>
      <c r="L87" s="34"/>
      <c r="M87" s="34"/>
      <c r="N87" s="33"/>
      <c r="O87" s="33"/>
      <c r="P87" s="36"/>
      <c r="Q87" s="36"/>
      <c r="R87" s="36"/>
      <c r="S87" s="36"/>
      <c r="T87" s="36"/>
      <c r="U87" s="33"/>
      <c r="V87" s="33"/>
      <c r="W87" s="33"/>
      <c r="X87" s="33"/>
      <c r="Y87" s="33"/>
      <c r="Z87" s="36"/>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row>
    <row r="88" spans="1:57" ht="36" customHeight="1" x14ac:dyDescent="0.2">
      <c r="A88" s="122"/>
      <c r="B88" s="122"/>
      <c r="C88" s="122"/>
      <c r="D88" s="122"/>
      <c r="E88" s="122"/>
      <c r="F88" s="122"/>
      <c r="G88" s="122"/>
      <c r="H88" s="122"/>
      <c r="I88" s="122"/>
      <c r="J88" s="33"/>
      <c r="K88" s="124"/>
      <c r="L88" s="34"/>
      <c r="M88" s="34"/>
      <c r="N88" s="33"/>
      <c r="O88" s="33"/>
      <c r="P88" s="36"/>
      <c r="Q88" s="36"/>
      <c r="R88" s="36"/>
      <c r="S88" s="36"/>
      <c r="T88" s="36"/>
      <c r="U88" s="33"/>
      <c r="V88" s="33"/>
      <c r="W88" s="33"/>
      <c r="X88" s="33"/>
      <c r="Y88" s="33"/>
      <c r="Z88" s="36"/>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row>
    <row r="89" spans="1:57" ht="36" customHeight="1" x14ac:dyDescent="0.2">
      <c r="A89" s="122"/>
      <c r="B89" s="122"/>
      <c r="C89" s="122"/>
      <c r="D89" s="122"/>
      <c r="E89" s="122"/>
      <c r="F89" s="122"/>
      <c r="G89" s="122"/>
      <c r="H89" s="122"/>
      <c r="I89" s="122"/>
      <c r="J89" s="33"/>
      <c r="K89" s="124"/>
      <c r="L89" s="34"/>
      <c r="M89" s="34"/>
      <c r="N89" s="33"/>
      <c r="O89" s="33"/>
      <c r="P89" s="36"/>
      <c r="Q89" s="36"/>
      <c r="R89" s="36"/>
      <c r="S89" s="36"/>
      <c r="T89" s="36"/>
      <c r="U89" s="33"/>
      <c r="V89" s="33"/>
      <c r="W89" s="33"/>
      <c r="X89" s="33"/>
      <c r="Y89" s="33"/>
      <c r="Z89" s="36"/>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row>
    <row r="90" spans="1:57" ht="36" customHeight="1" x14ac:dyDescent="0.2">
      <c r="A90" s="122"/>
      <c r="B90" s="122"/>
      <c r="C90" s="122"/>
      <c r="D90" s="122"/>
      <c r="E90" s="122"/>
      <c r="F90" s="122"/>
      <c r="G90" s="122"/>
      <c r="H90" s="122"/>
      <c r="I90" s="122"/>
      <c r="J90" s="33"/>
      <c r="K90" s="124"/>
      <c r="L90" s="34"/>
      <c r="M90" s="34"/>
      <c r="N90" s="33"/>
      <c r="O90" s="33"/>
      <c r="P90" s="36"/>
      <c r="Q90" s="36"/>
      <c r="R90" s="36"/>
      <c r="S90" s="36"/>
      <c r="T90" s="36"/>
      <c r="U90" s="33"/>
      <c r="V90" s="33"/>
      <c r="W90" s="33"/>
      <c r="X90" s="33"/>
      <c r="Y90" s="33"/>
      <c r="Z90" s="36"/>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row>
    <row r="91" spans="1:57" ht="36" customHeight="1" x14ac:dyDescent="0.2">
      <c r="A91" s="122"/>
      <c r="B91" s="122"/>
      <c r="C91" s="122"/>
      <c r="D91" s="122"/>
      <c r="E91" s="122"/>
      <c r="F91" s="122"/>
      <c r="G91" s="122"/>
      <c r="H91" s="122"/>
      <c r="I91" s="122"/>
      <c r="J91" s="33"/>
      <c r="K91" s="124"/>
      <c r="L91" s="34"/>
      <c r="M91" s="34"/>
      <c r="N91" s="33"/>
      <c r="O91" s="33"/>
      <c r="P91" s="36"/>
      <c r="Q91" s="36"/>
      <c r="R91" s="36"/>
      <c r="S91" s="36"/>
      <c r="T91" s="36"/>
      <c r="U91" s="33"/>
      <c r="V91" s="33"/>
      <c r="W91" s="33"/>
      <c r="X91" s="33"/>
      <c r="Y91" s="33"/>
      <c r="Z91" s="36"/>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row>
    <row r="92" spans="1:57" ht="36" customHeight="1" x14ac:dyDescent="0.2">
      <c r="A92" s="122"/>
      <c r="B92" s="122"/>
      <c r="C92" s="122"/>
      <c r="D92" s="122"/>
      <c r="E92" s="122"/>
      <c r="F92" s="122"/>
      <c r="G92" s="122"/>
      <c r="H92" s="122"/>
      <c r="I92" s="122"/>
      <c r="J92" s="33"/>
      <c r="K92" s="124"/>
      <c r="L92" s="34"/>
      <c r="M92" s="34"/>
      <c r="N92" s="34"/>
      <c r="O92" s="33"/>
      <c r="P92" s="36"/>
      <c r="Q92" s="36"/>
      <c r="R92" s="36"/>
      <c r="S92" s="36"/>
      <c r="T92" s="36"/>
      <c r="U92" s="33"/>
      <c r="V92" s="33"/>
      <c r="W92" s="33"/>
      <c r="X92" s="33"/>
      <c r="Y92" s="33"/>
      <c r="Z92" s="36"/>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row>
    <row r="93" spans="1:57" ht="36" customHeight="1" x14ac:dyDescent="0.2">
      <c r="A93" s="122"/>
      <c r="B93" s="122"/>
      <c r="C93" s="122"/>
      <c r="D93" s="122"/>
      <c r="E93" s="122"/>
      <c r="F93" s="122"/>
      <c r="G93" s="122"/>
      <c r="H93" s="122"/>
      <c r="I93" s="122"/>
      <c r="J93" s="33"/>
      <c r="K93" s="124"/>
      <c r="L93" s="34"/>
      <c r="M93" s="34"/>
      <c r="N93" s="33"/>
      <c r="O93" s="33"/>
      <c r="P93" s="36"/>
      <c r="Q93" s="36"/>
      <c r="R93" s="36"/>
      <c r="S93" s="36"/>
      <c r="T93" s="36"/>
      <c r="U93" s="33"/>
      <c r="V93" s="33"/>
      <c r="W93" s="33"/>
      <c r="X93" s="33"/>
      <c r="Y93" s="33"/>
      <c r="Z93" s="36"/>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row>
    <row r="94" spans="1:57" ht="36" customHeight="1" x14ac:dyDescent="0.2">
      <c r="A94" s="122"/>
      <c r="B94" s="122"/>
      <c r="C94" s="122"/>
      <c r="D94" s="122"/>
      <c r="E94" s="122"/>
      <c r="F94" s="122"/>
      <c r="G94" s="122"/>
      <c r="H94" s="122"/>
      <c r="I94" s="122"/>
      <c r="J94" s="33"/>
      <c r="K94" s="124"/>
      <c r="L94" s="34"/>
      <c r="M94" s="34"/>
      <c r="N94" s="33"/>
      <c r="O94" s="33"/>
      <c r="P94" s="36"/>
      <c r="Q94" s="36"/>
      <c r="R94" s="36"/>
      <c r="S94" s="36"/>
      <c r="T94" s="36"/>
      <c r="U94" s="33"/>
      <c r="V94" s="33"/>
      <c r="W94" s="33"/>
      <c r="X94" s="33"/>
      <c r="Y94" s="33"/>
      <c r="Z94" s="36"/>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row>
    <row r="95" spans="1:57" ht="36" customHeight="1" x14ac:dyDescent="0.2">
      <c r="A95" s="122"/>
      <c r="B95" s="122"/>
      <c r="C95" s="122"/>
      <c r="D95" s="122"/>
      <c r="E95" s="122"/>
      <c r="F95" s="122"/>
      <c r="G95" s="122"/>
      <c r="H95" s="122"/>
      <c r="I95" s="122"/>
      <c r="J95" s="33"/>
      <c r="K95" s="124"/>
      <c r="L95" s="34"/>
      <c r="M95" s="34"/>
      <c r="N95" s="33"/>
      <c r="O95" s="33"/>
      <c r="P95" s="36"/>
      <c r="Q95" s="36"/>
      <c r="R95" s="36"/>
      <c r="S95" s="36"/>
      <c r="T95" s="36"/>
      <c r="U95" s="33"/>
      <c r="V95" s="33"/>
      <c r="W95" s="33"/>
      <c r="X95" s="33"/>
      <c r="Y95" s="33"/>
      <c r="Z95" s="37"/>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row>
    <row r="96" spans="1:57" ht="36" customHeight="1" x14ac:dyDescent="0.2">
      <c r="A96" s="122"/>
      <c r="B96" s="122"/>
      <c r="C96" s="122"/>
      <c r="D96" s="122"/>
      <c r="E96" s="122"/>
      <c r="F96" s="122"/>
      <c r="G96" s="122"/>
      <c r="H96" s="122"/>
      <c r="I96" s="122"/>
      <c r="J96" s="33"/>
      <c r="K96" s="124"/>
      <c r="L96" s="34"/>
      <c r="M96" s="34"/>
      <c r="N96" s="33"/>
      <c r="O96" s="33"/>
      <c r="P96" s="36"/>
      <c r="Q96" s="36"/>
      <c r="R96" s="36"/>
      <c r="S96" s="36"/>
      <c r="T96" s="36"/>
      <c r="U96" s="33"/>
      <c r="V96" s="33"/>
      <c r="W96" s="33"/>
      <c r="X96" s="33"/>
      <c r="Y96" s="33"/>
      <c r="Z96" s="36"/>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row>
    <row r="97" spans="1:57" ht="36" customHeight="1" x14ac:dyDescent="0.2">
      <c r="A97" s="122"/>
      <c r="B97" s="122"/>
      <c r="C97" s="122"/>
      <c r="D97" s="122"/>
      <c r="E97" s="122"/>
      <c r="F97" s="122"/>
      <c r="G97" s="122"/>
      <c r="H97" s="122"/>
      <c r="I97" s="122"/>
      <c r="J97" s="33"/>
      <c r="K97" s="124"/>
      <c r="L97" s="34"/>
      <c r="M97" s="34"/>
      <c r="N97" s="34"/>
      <c r="O97" s="33"/>
      <c r="P97" s="36"/>
      <c r="Q97" s="36"/>
      <c r="R97" s="36"/>
      <c r="S97" s="36"/>
      <c r="T97" s="36"/>
      <c r="U97" s="33"/>
      <c r="V97" s="33"/>
      <c r="W97" s="33"/>
      <c r="X97" s="33"/>
      <c r="Y97" s="33"/>
      <c r="Z97" s="36"/>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row>
    <row r="98" spans="1:57" ht="36" customHeight="1" x14ac:dyDescent="0.2">
      <c r="A98" s="122"/>
      <c r="B98" s="122"/>
      <c r="C98" s="122"/>
      <c r="D98" s="122"/>
      <c r="E98" s="122"/>
      <c r="F98" s="122"/>
      <c r="G98" s="122"/>
      <c r="H98" s="122"/>
      <c r="I98" s="122"/>
      <c r="J98" s="33"/>
      <c r="K98" s="124"/>
      <c r="L98" s="34"/>
      <c r="M98" s="34"/>
      <c r="N98" s="33"/>
      <c r="O98" s="33"/>
      <c r="P98" s="36"/>
      <c r="Q98" s="36"/>
      <c r="R98" s="36"/>
      <c r="S98" s="36"/>
      <c r="T98" s="36"/>
      <c r="U98" s="33"/>
      <c r="V98" s="33"/>
      <c r="W98" s="33"/>
      <c r="X98" s="33"/>
      <c r="Y98" s="33"/>
      <c r="Z98" s="36"/>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row>
    <row r="99" spans="1:57" ht="36" customHeight="1" x14ac:dyDescent="0.2">
      <c r="A99" s="122"/>
      <c r="B99" s="122"/>
      <c r="C99" s="122"/>
      <c r="D99" s="122"/>
      <c r="E99" s="122"/>
      <c r="F99" s="122"/>
      <c r="G99" s="122"/>
      <c r="H99" s="122"/>
      <c r="I99" s="122"/>
      <c r="J99" s="33"/>
      <c r="K99" s="124"/>
      <c r="L99" s="34"/>
      <c r="M99" s="34"/>
      <c r="N99" s="33"/>
      <c r="O99" s="33"/>
      <c r="P99" s="36"/>
      <c r="Q99" s="36"/>
      <c r="R99" s="36"/>
      <c r="S99" s="36"/>
      <c r="T99" s="36"/>
      <c r="U99" s="33"/>
      <c r="V99" s="33"/>
      <c r="W99" s="33"/>
      <c r="X99" s="33"/>
      <c r="Y99" s="33"/>
      <c r="Z99" s="38"/>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row>
    <row r="100" spans="1:57" ht="36" customHeight="1" x14ac:dyDescent="0.2">
      <c r="A100" s="122"/>
      <c r="B100" s="122"/>
      <c r="C100" s="122"/>
      <c r="D100" s="122"/>
      <c r="E100" s="122"/>
      <c r="F100" s="122"/>
      <c r="G100" s="122"/>
      <c r="H100" s="122"/>
      <c r="I100" s="122"/>
      <c r="J100" s="33"/>
      <c r="K100" s="124"/>
      <c r="L100" s="34"/>
      <c r="M100" s="34"/>
      <c r="N100" s="33"/>
      <c r="O100" s="33"/>
      <c r="P100" s="36"/>
      <c r="Q100" s="36"/>
      <c r="R100" s="36"/>
      <c r="S100" s="36"/>
      <c r="T100" s="36"/>
      <c r="U100" s="33"/>
      <c r="V100" s="33"/>
      <c r="W100" s="33"/>
      <c r="X100" s="33"/>
      <c r="Y100" s="33"/>
      <c r="Z100" s="36"/>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row>
    <row r="101" spans="1:57" ht="36" customHeight="1" x14ac:dyDescent="0.2">
      <c r="A101" s="122"/>
      <c r="B101" s="122"/>
      <c r="C101" s="122"/>
      <c r="D101" s="122"/>
      <c r="E101" s="122"/>
      <c r="F101" s="122"/>
      <c r="G101" s="122"/>
      <c r="H101" s="122"/>
      <c r="I101" s="122"/>
      <c r="J101" s="33"/>
      <c r="K101" s="124"/>
      <c r="L101" s="34"/>
      <c r="M101" s="34"/>
      <c r="N101" s="33"/>
      <c r="O101" s="33"/>
      <c r="P101" s="36"/>
      <c r="Q101" s="36"/>
      <c r="R101" s="36"/>
      <c r="S101" s="36"/>
      <c r="T101" s="36"/>
      <c r="U101" s="33"/>
      <c r="V101" s="33"/>
      <c r="W101" s="33"/>
      <c r="X101" s="33"/>
      <c r="Y101" s="33"/>
      <c r="Z101" s="36"/>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row>
    <row r="102" spans="1:57" ht="36" customHeight="1" x14ac:dyDescent="0.2">
      <c r="A102" s="122"/>
      <c r="B102" s="122"/>
      <c r="C102" s="122"/>
      <c r="D102" s="122"/>
      <c r="E102" s="122"/>
      <c r="F102" s="122"/>
      <c r="G102" s="122"/>
      <c r="H102" s="122"/>
      <c r="I102" s="122"/>
      <c r="J102" s="33"/>
      <c r="K102" s="124"/>
      <c r="L102" s="34"/>
      <c r="M102" s="34"/>
      <c r="N102" s="33"/>
      <c r="O102" s="33"/>
      <c r="P102" s="36"/>
      <c r="Q102" s="36"/>
      <c r="R102" s="36"/>
      <c r="S102" s="36"/>
      <c r="T102" s="36"/>
      <c r="U102" s="33"/>
      <c r="V102" s="33"/>
      <c r="W102" s="33"/>
      <c r="X102" s="33"/>
      <c r="Y102" s="33"/>
      <c r="Z102" s="36"/>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row>
    <row r="103" spans="1:57" ht="36" customHeight="1" x14ac:dyDescent="0.2">
      <c r="A103" s="122"/>
      <c r="B103" s="122"/>
      <c r="C103" s="122"/>
      <c r="D103" s="122"/>
      <c r="E103" s="122"/>
      <c r="F103" s="122"/>
      <c r="G103" s="122"/>
      <c r="H103" s="122"/>
      <c r="I103" s="122"/>
      <c r="J103" s="33"/>
      <c r="K103" s="124"/>
      <c r="L103" s="34"/>
      <c r="M103" s="34"/>
      <c r="N103" s="33"/>
      <c r="O103" s="33"/>
      <c r="P103" s="36"/>
      <c r="Q103" s="36"/>
      <c r="R103" s="36"/>
      <c r="S103" s="36"/>
      <c r="T103" s="36"/>
      <c r="U103" s="33"/>
      <c r="V103" s="33"/>
      <c r="W103" s="33"/>
      <c r="X103" s="33"/>
      <c r="Y103" s="33"/>
      <c r="Z103" s="36"/>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row>
    <row r="104" spans="1:57" ht="36" customHeight="1" x14ac:dyDescent="0.2">
      <c r="A104" s="122"/>
      <c r="B104" s="122"/>
      <c r="C104" s="122"/>
      <c r="D104" s="122"/>
      <c r="E104" s="122"/>
      <c r="F104" s="122"/>
      <c r="G104" s="122"/>
      <c r="H104" s="122"/>
      <c r="I104" s="122"/>
      <c r="J104" s="33"/>
      <c r="K104" s="124"/>
      <c r="L104" s="34"/>
      <c r="M104" s="34"/>
      <c r="N104" s="33"/>
      <c r="O104" s="33"/>
      <c r="P104" s="36"/>
      <c r="Q104" s="36"/>
      <c r="R104" s="36"/>
      <c r="S104" s="36"/>
      <c r="T104" s="36"/>
      <c r="U104" s="33"/>
      <c r="V104" s="33"/>
      <c r="W104" s="33"/>
      <c r="X104" s="33"/>
      <c r="Y104" s="33"/>
      <c r="Z104" s="36"/>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row>
    <row r="105" spans="1:57" ht="36" customHeight="1" x14ac:dyDescent="0.2">
      <c r="A105" s="122"/>
      <c r="B105" s="122"/>
      <c r="C105" s="122"/>
      <c r="D105" s="122"/>
      <c r="E105" s="122"/>
      <c r="F105" s="122"/>
      <c r="G105" s="122"/>
      <c r="H105" s="122"/>
      <c r="I105" s="122"/>
      <c r="J105" s="33"/>
      <c r="K105" s="124"/>
      <c r="L105" s="34"/>
      <c r="M105" s="34"/>
      <c r="N105" s="33"/>
      <c r="O105" s="33"/>
      <c r="P105" s="36"/>
      <c r="Q105" s="36"/>
      <c r="R105" s="36"/>
      <c r="S105" s="36"/>
      <c r="T105" s="36"/>
      <c r="U105" s="33"/>
      <c r="V105" s="33"/>
      <c r="W105" s="33"/>
      <c r="X105" s="33"/>
      <c r="Y105" s="33"/>
      <c r="Z105" s="36"/>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row>
    <row r="106" spans="1:57" ht="36" customHeight="1" x14ac:dyDescent="0.2">
      <c r="A106" s="122"/>
      <c r="B106" s="122"/>
      <c r="C106" s="122"/>
      <c r="D106" s="122"/>
      <c r="E106" s="122"/>
      <c r="F106" s="122"/>
      <c r="G106" s="122"/>
      <c r="H106" s="122"/>
      <c r="I106" s="122"/>
      <c r="J106" s="33"/>
      <c r="K106" s="124"/>
      <c r="L106" s="34"/>
      <c r="M106" s="34"/>
      <c r="N106" s="33"/>
      <c r="O106" s="33"/>
      <c r="P106" s="36"/>
      <c r="Q106" s="36"/>
      <c r="R106" s="36"/>
      <c r="S106" s="36"/>
      <c r="T106" s="36"/>
      <c r="U106" s="33"/>
      <c r="V106" s="33"/>
      <c r="W106" s="33"/>
      <c r="X106" s="33"/>
      <c r="Y106" s="33"/>
      <c r="Z106" s="36"/>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row>
    <row r="107" spans="1:57" ht="36" customHeight="1" x14ac:dyDescent="0.2">
      <c r="A107" s="122"/>
      <c r="B107" s="122"/>
      <c r="C107" s="122"/>
      <c r="D107" s="122"/>
      <c r="E107" s="122"/>
      <c r="F107" s="122"/>
      <c r="G107" s="122"/>
      <c r="H107" s="122"/>
      <c r="I107" s="122"/>
      <c r="J107" s="33"/>
      <c r="K107" s="124"/>
      <c r="L107" s="34"/>
      <c r="M107" s="34"/>
      <c r="N107" s="33"/>
      <c r="O107" s="33"/>
      <c r="P107" s="36"/>
      <c r="Q107" s="36"/>
      <c r="R107" s="36"/>
      <c r="S107" s="36"/>
      <c r="T107" s="36"/>
      <c r="U107" s="33"/>
      <c r="V107" s="33"/>
      <c r="W107" s="33"/>
      <c r="X107" s="33"/>
      <c r="Y107" s="33"/>
      <c r="Z107" s="36"/>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row>
    <row r="108" spans="1:57" ht="36" customHeight="1" x14ac:dyDescent="0.2">
      <c r="A108" s="122"/>
      <c r="B108" s="122"/>
      <c r="C108" s="122"/>
      <c r="D108" s="122"/>
      <c r="E108" s="122"/>
      <c r="F108" s="122"/>
      <c r="G108" s="122"/>
      <c r="H108" s="122"/>
      <c r="I108" s="122"/>
      <c r="J108" s="33"/>
      <c r="K108" s="124"/>
      <c r="L108" s="34"/>
      <c r="M108" s="34"/>
      <c r="N108" s="33"/>
      <c r="O108" s="33"/>
      <c r="P108" s="36"/>
      <c r="Q108" s="36"/>
      <c r="R108" s="36"/>
      <c r="S108" s="36"/>
      <c r="T108" s="36"/>
      <c r="U108" s="33"/>
      <c r="V108" s="33"/>
      <c r="W108" s="33"/>
      <c r="X108" s="33"/>
      <c r="Y108" s="33"/>
      <c r="Z108" s="36"/>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row>
    <row r="109" spans="1:57" ht="36" customHeight="1" x14ac:dyDescent="0.2">
      <c r="A109" s="122"/>
      <c r="B109" s="122"/>
      <c r="C109" s="122"/>
      <c r="D109" s="122"/>
      <c r="E109" s="122"/>
      <c r="F109" s="122"/>
      <c r="G109" s="122"/>
      <c r="H109" s="122"/>
      <c r="I109" s="122"/>
      <c r="J109" s="33"/>
      <c r="K109" s="124"/>
      <c r="L109" s="34"/>
      <c r="M109" s="34"/>
      <c r="N109" s="33"/>
      <c r="O109" s="33"/>
      <c r="P109" s="33"/>
      <c r="Q109" s="33"/>
      <c r="R109" s="33"/>
      <c r="S109" s="33"/>
      <c r="T109" s="33"/>
      <c r="U109" s="33"/>
      <c r="V109" s="33"/>
      <c r="W109" s="33"/>
      <c r="X109" s="33"/>
      <c r="Y109" s="33"/>
      <c r="Z109" s="33"/>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row>
    <row r="110" spans="1:57" ht="36" customHeight="1" x14ac:dyDescent="0.2">
      <c r="A110" s="122"/>
      <c r="B110" s="122"/>
      <c r="C110" s="122"/>
      <c r="D110" s="122"/>
      <c r="E110" s="122"/>
      <c r="F110" s="122"/>
      <c r="G110" s="122"/>
      <c r="H110" s="122"/>
      <c r="I110" s="122"/>
      <c r="J110" s="33"/>
      <c r="K110" s="124"/>
      <c r="L110" s="34"/>
      <c r="M110" s="34"/>
      <c r="N110" s="33"/>
      <c r="O110" s="33"/>
      <c r="P110" s="33"/>
      <c r="Q110" s="33"/>
      <c r="R110" s="33"/>
      <c r="S110" s="33"/>
      <c r="T110" s="33"/>
      <c r="U110" s="33"/>
      <c r="V110" s="33"/>
      <c r="W110" s="33"/>
      <c r="X110" s="33"/>
      <c r="Y110" s="33"/>
      <c r="Z110" s="33"/>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row>
    <row r="111" spans="1:57" ht="36" customHeight="1" x14ac:dyDescent="0.2">
      <c r="A111" s="122"/>
      <c r="B111" s="122"/>
      <c r="C111" s="122"/>
      <c r="D111" s="122"/>
      <c r="E111" s="122"/>
      <c r="F111" s="122"/>
      <c r="G111" s="122"/>
      <c r="H111" s="122"/>
      <c r="I111" s="122"/>
      <c r="J111" s="33"/>
      <c r="K111" s="124"/>
      <c r="L111" s="34"/>
      <c r="M111" s="34"/>
      <c r="N111" s="33"/>
      <c r="O111" s="33"/>
      <c r="P111" s="33"/>
      <c r="Q111" s="33"/>
      <c r="R111" s="33"/>
      <c r="S111" s="33"/>
      <c r="T111" s="33"/>
      <c r="U111" s="33"/>
      <c r="V111" s="33"/>
      <c r="W111" s="33"/>
      <c r="X111" s="33"/>
      <c r="Y111" s="33"/>
      <c r="Z111" s="33"/>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row>
    <row r="112" spans="1:57" ht="36" customHeight="1" x14ac:dyDescent="0.2">
      <c r="A112" s="122"/>
      <c r="B112" s="122"/>
      <c r="C112" s="122"/>
      <c r="D112" s="122"/>
      <c r="E112" s="122"/>
      <c r="F112" s="122"/>
      <c r="G112" s="122"/>
      <c r="H112" s="122"/>
      <c r="I112" s="122"/>
      <c r="J112" s="33"/>
      <c r="K112" s="124"/>
      <c r="L112" s="34"/>
      <c r="M112" s="34"/>
      <c r="N112" s="33"/>
      <c r="O112" s="33"/>
      <c r="P112" s="33"/>
      <c r="Q112" s="33"/>
      <c r="R112" s="33"/>
      <c r="S112" s="33"/>
      <c r="T112" s="33"/>
      <c r="U112" s="33"/>
      <c r="V112" s="33"/>
      <c r="W112" s="33"/>
      <c r="X112" s="33"/>
      <c r="Y112" s="33"/>
      <c r="Z112" s="33"/>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row>
    <row r="113" spans="1:57" ht="36" customHeight="1" x14ac:dyDescent="0.2">
      <c r="A113" s="122"/>
      <c r="B113" s="122"/>
      <c r="C113" s="122"/>
      <c r="D113" s="122"/>
      <c r="E113" s="122"/>
      <c r="F113" s="122"/>
      <c r="G113" s="122"/>
      <c r="H113" s="122"/>
      <c r="I113" s="122"/>
      <c r="J113" s="33"/>
      <c r="K113" s="124"/>
      <c r="L113" s="34"/>
      <c r="M113" s="34"/>
      <c r="N113" s="33"/>
      <c r="O113" s="33"/>
      <c r="P113" s="33"/>
      <c r="Q113" s="33"/>
      <c r="R113" s="33"/>
      <c r="S113" s="33"/>
      <c r="T113" s="33"/>
      <c r="U113" s="33"/>
      <c r="V113" s="33"/>
      <c r="W113" s="33"/>
      <c r="X113" s="33"/>
      <c r="Y113" s="33"/>
      <c r="Z113" s="33"/>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row>
    <row r="114" spans="1:57" ht="36" customHeight="1" x14ac:dyDescent="0.2">
      <c r="A114" s="122"/>
      <c r="B114" s="122"/>
      <c r="C114" s="122"/>
      <c r="D114" s="122"/>
      <c r="E114" s="122"/>
      <c r="F114" s="122"/>
      <c r="G114" s="122"/>
      <c r="H114" s="122"/>
      <c r="I114" s="122"/>
      <c r="J114" s="33"/>
      <c r="K114" s="124"/>
      <c r="L114" s="34"/>
      <c r="M114" s="34"/>
      <c r="N114" s="33"/>
      <c r="O114" s="33"/>
      <c r="P114" s="33"/>
      <c r="Q114" s="33"/>
      <c r="R114" s="33"/>
      <c r="S114" s="33"/>
      <c r="T114" s="33"/>
      <c r="U114" s="33"/>
      <c r="V114" s="33"/>
      <c r="W114" s="33"/>
      <c r="X114" s="33"/>
      <c r="Y114" s="33"/>
      <c r="Z114" s="33"/>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row>
    <row r="115" spans="1:57" ht="36" customHeight="1" x14ac:dyDescent="0.2">
      <c r="A115" s="122"/>
      <c r="B115" s="122"/>
      <c r="C115" s="122"/>
      <c r="D115" s="122"/>
      <c r="E115" s="122"/>
      <c r="F115" s="122"/>
      <c r="G115" s="122"/>
      <c r="H115" s="122"/>
      <c r="I115" s="122"/>
      <c r="J115" s="33"/>
      <c r="K115" s="124"/>
      <c r="L115" s="34"/>
      <c r="M115" s="34"/>
      <c r="N115" s="33"/>
      <c r="O115" s="33"/>
      <c r="P115" s="33"/>
      <c r="Q115" s="33"/>
      <c r="R115" s="33"/>
      <c r="S115" s="33"/>
      <c r="T115" s="33"/>
      <c r="U115" s="33"/>
      <c r="V115" s="33"/>
      <c r="W115" s="33"/>
      <c r="X115" s="33"/>
      <c r="Y115" s="33"/>
      <c r="Z115" s="33"/>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row>
    <row r="116" spans="1:57" ht="36" customHeight="1" x14ac:dyDescent="0.2">
      <c r="A116" s="122"/>
      <c r="B116" s="122"/>
      <c r="C116" s="122"/>
      <c r="D116" s="122"/>
      <c r="E116" s="122"/>
      <c r="F116" s="122"/>
      <c r="G116" s="122"/>
      <c r="H116" s="122"/>
      <c r="I116" s="122"/>
      <c r="J116" s="33"/>
      <c r="K116" s="124"/>
      <c r="L116" s="34"/>
      <c r="M116" s="34"/>
      <c r="N116" s="33"/>
      <c r="O116" s="33"/>
      <c r="P116" s="33"/>
      <c r="Q116" s="33"/>
      <c r="R116" s="33"/>
      <c r="S116" s="33"/>
      <c r="T116" s="33"/>
      <c r="U116" s="33"/>
      <c r="V116" s="33"/>
      <c r="W116" s="33"/>
      <c r="X116" s="33"/>
      <c r="Y116" s="33"/>
      <c r="Z116" s="33"/>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row>
    <row r="117" spans="1:57" ht="36" customHeight="1" x14ac:dyDescent="0.2">
      <c r="A117" s="122"/>
      <c r="B117" s="122"/>
      <c r="C117" s="122"/>
      <c r="D117" s="122"/>
      <c r="E117" s="122"/>
      <c r="F117" s="122"/>
      <c r="G117" s="122"/>
      <c r="H117" s="122"/>
      <c r="I117" s="122"/>
      <c r="J117" s="33"/>
      <c r="K117" s="124"/>
      <c r="L117" s="34"/>
      <c r="M117" s="34"/>
      <c r="N117" s="33"/>
      <c r="O117" s="33"/>
      <c r="P117" s="33"/>
      <c r="Q117" s="33"/>
      <c r="R117" s="33"/>
      <c r="S117" s="33"/>
      <c r="T117" s="33"/>
      <c r="U117" s="33"/>
      <c r="V117" s="33"/>
      <c r="W117" s="33"/>
      <c r="X117" s="33"/>
      <c r="Y117" s="33"/>
      <c r="Z117" s="33"/>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row>
    <row r="118" spans="1:57" ht="36" customHeight="1" x14ac:dyDescent="0.2">
      <c r="A118" s="122"/>
      <c r="B118" s="122"/>
      <c r="C118" s="122"/>
      <c r="D118" s="122"/>
      <c r="E118" s="122"/>
      <c r="F118" s="122"/>
      <c r="G118" s="122"/>
      <c r="H118" s="122"/>
      <c r="I118" s="122"/>
      <c r="J118" s="33"/>
      <c r="K118" s="124"/>
      <c r="L118" s="34"/>
      <c r="M118" s="34"/>
      <c r="N118" s="33"/>
      <c r="O118" s="33"/>
      <c r="P118" s="33"/>
      <c r="Q118" s="33"/>
      <c r="R118" s="33"/>
      <c r="S118" s="33"/>
      <c r="T118" s="33"/>
      <c r="U118" s="33"/>
      <c r="V118" s="33"/>
      <c r="W118" s="33"/>
      <c r="X118" s="33"/>
      <c r="Y118" s="33"/>
      <c r="Z118" s="33"/>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row>
    <row r="119" spans="1:57" ht="36" customHeight="1" x14ac:dyDescent="0.2">
      <c r="A119" s="122"/>
      <c r="B119" s="122"/>
      <c r="C119" s="122"/>
      <c r="D119" s="122"/>
      <c r="E119" s="122"/>
      <c r="F119" s="122"/>
      <c r="G119" s="122"/>
      <c r="H119" s="122"/>
      <c r="I119" s="122"/>
      <c r="J119" s="33"/>
      <c r="K119" s="124"/>
      <c r="L119" s="34"/>
      <c r="M119" s="34"/>
      <c r="N119" s="33"/>
      <c r="O119" s="33"/>
      <c r="P119" s="33"/>
      <c r="Q119" s="33"/>
      <c r="R119" s="33"/>
      <c r="S119" s="33"/>
      <c r="T119" s="33"/>
      <c r="U119" s="33"/>
      <c r="V119" s="33"/>
      <c r="W119" s="33"/>
      <c r="X119" s="33"/>
      <c r="Y119" s="33"/>
      <c r="Z119" s="33"/>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row>
    <row r="120" spans="1:57" ht="14.25" customHeight="1" x14ac:dyDescent="0.2">
      <c r="A120" s="122"/>
      <c r="B120" s="122"/>
      <c r="C120" s="122"/>
      <c r="D120" s="122"/>
      <c r="E120" s="122"/>
      <c r="F120" s="122"/>
      <c r="G120" s="122"/>
      <c r="H120" s="122"/>
      <c r="I120" s="122"/>
      <c r="J120" s="33"/>
      <c r="K120" s="124"/>
      <c r="L120" s="34"/>
      <c r="M120" s="34"/>
      <c r="N120" s="33"/>
      <c r="O120" s="33"/>
      <c r="P120" s="33"/>
      <c r="Q120" s="33"/>
      <c r="R120" s="33"/>
      <c r="S120" s="33"/>
      <c r="T120" s="33"/>
      <c r="U120" s="33"/>
      <c r="V120" s="33"/>
      <c r="W120" s="33"/>
      <c r="X120" s="33"/>
      <c r="Y120" s="33"/>
      <c r="Z120" s="3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row>
    <row r="121" spans="1:57" ht="14.25" customHeight="1" x14ac:dyDescent="0.2">
      <c r="A121" s="122"/>
      <c r="B121" s="122"/>
      <c r="C121" s="122"/>
      <c r="D121" s="122"/>
      <c r="E121" s="122"/>
      <c r="F121" s="122"/>
      <c r="G121" s="122"/>
      <c r="H121" s="122"/>
      <c r="I121" s="122"/>
      <c r="J121" s="33"/>
      <c r="K121" s="124"/>
      <c r="L121" s="34"/>
      <c r="M121" s="34"/>
      <c r="N121" s="33"/>
      <c r="O121" s="33"/>
      <c r="P121" s="33"/>
      <c r="Q121" s="33"/>
      <c r="R121" s="33"/>
      <c r="S121" s="33"/>
      <c r="T121" s="33"/>
      <c r="U121" s="33"/>
      <c r="V121" s="33"/>
      <c r="W121" s="33"/>
      <c r="X121" s="33"/>
      <c r="Y121" s="33"/>
      <c r="Z121" s="3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row>
    <row r="122" spans="1:57" ht="14.25" customHeight="1" x14ac:dyDescent="0.2">
      <c r="A122" s="122"/>
      <c r="B122" s="122"/>
      <c r="C122" s="122"/>
      <c r="D122" s="122"/>
      <c r="E122" s="122"/>
      <c r="F122" s="122"/>
      <c r="G122" s="122"/>
      <c r="H122" s="122"/>
      <c r="I122" s="122"/>
      <c r="J122" s="33"/>
      <c r="K122" s="124"/>
      <c r="L122" s="34"/>
      <c r="M122" s="34"/>
      <c r="N122" s="33"/>
      <c r="O122" s="33"/>
      <c r="P122" s="33"/>
      <c r="Q122" s="33"/>
      <c r="R122" s="33"/>
      <c r="S122" s="33"/>
      <c r="T122" s="33"/>
      <c r="U122" s="33"/>
      <c r="V122" s="33"/>
      <c r="W122" s="33"/>
      <c r="X122" s="33"/>
      <c r="Y122" s="33"/>
      <c r="Z122" s="3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row>
    <row r="123" spans="1:57" ht="14.25" customHeight="1" x14ac:dyDescent="0.2">
      <c r="A123" s="122"/>
      <c r="B123" s="122"/>
      <c r="C123" s="122"/>
      <c r="D123" s="122"/>
      <c r="E123" s="122"/>
      <c r="F123" s="122"/>
      <c r="G123" s="122"/>
      <c r="H123" s="122"/>
      <c r="I123" s="122"/>
      <c r="J123" s="33"/>
      <c r="K123" s="124"/>
      <c r="L123" s="34"/>
      <c r="M123" s="34"/>
      <c r="N123" s="33"/>
      <c r="O123" s="33"/>
      <c r="P123" s="33"/>
      <c r="Q123" s="33"/>
      <c r="R123" s="33"/>
      <c r="S123" s="33"/>
      <c r="T123" s="33"/>
      <c r="U123" s="33"/>
      <c r="V123" s="33"/>
      <c r="W123" s="33"/>
      <c r="X123" s="33"/>
      <c r="Y123" s="33"/>
      <c r="Z123" s="3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row>
    <row r="124" spans="1:57" ht="14.25" customHeight="1" x14ac:dyDescent="0.2">
      <c r="A124" s="122"/>
      <c r="B124" s="122"/>
      <c r="C124" s="122"/>
      <c r="D124" s="122"/>
      <c r="E124" s="122"/>
      <c r="F124" s="122"/>
      <c r="G124" s="122"/>
      <c r="H124" s="122"/>
      <c r="I124" s="122"/>
      <c r="J124" s="33"/>
      <c r="K124" s="124"/>
      <c r="L124" s="34"/>
      <c r="M124" s="34"/>
      <c r="N124" s="33"/>
      <c r="O124" s="33"/>
      <c r="P124" s="33"/>
      <c r="Q124" s="33"/>
      <c r="R124" s="33"/>
      <c r="S124" s="33"/>
      <c r="T124" s="33"/>
      <c r="U124" s="33"/>
      <c r="V124" s="33"/>
      <c r="W124" s="33"/>
      <c r="X124" s="33"/>
      <c r="Y124" s="33"/>
      <c r="Z124" s="33"/>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row>
    <row r="125" spans="1:57" ht="14.25" customHeight="1" x14ac:dyDescent="0.2">
      <c r="A125" s="122"/>
      <c r="B125" s="122"/>
      <c r="C125" s="122"/>
      <c r="D125" s="122"/>
      <c r="E125" s="122"/>
      <c r="F125" s="122"/>
      <c r="G125" s="122"/>
      <c r="H125" s="122"/>
      <c r="I125" s="122"/>
      <c r="J125" s="33"/>
      <c r="K125" s="124"/>
      <c r="L125" s="34"/>
      <c r="M125" s="34"/>
      <c r="N125" s="33"/>
      <c r="O125" s="33"/>
      <c r="P125" s="33"/>
      <c r="Q125" s="33"/>
      <c r="R125" s="33"/>
      <c r="S125" s="33"/>
      <c r="T125" s="33"/>
      <c r="U125" s="33"/>
      <c r="V125" s="33"/>
      <c r="W125" s="33"/>
      <c r="X125" s="33"/>
      <c r="Y125" s="33"/>
      <c r="Z125" s="33"/>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row>
    <row r="126" spans="1:57" ht="14.25" customHeight="1" x14ac:dyDescent="0.2">
      <c r="A126" s="122"/>
      <c r="B126" s="122"/>
      <c r="C126" s="122"/>
      <c r="D126" s="122"/>
      <c r="E126" s="122"/>
      <c r="F126" s="122"/>
      <c r="G126" s="122"/>
      <c r="H126" s="122"/>
      <c r="I126" s="122"/>
      <c r="J126" s="33"/>
      <c r="K126" s="124"/>
      <c r="L126" s="34"/>
      <c r="M126" s="34"/>
      <c r="N126" s="33"/>
      <c r="O126" s="33"/>
      <c r="P126" s="33"/>
      <c r="Q126" s="33"/>
      <c r="R126" s="33"/>
      <c r="S126" s="33"/>
      <c r="T126" s="33"/>
      <c r="U126" s="33"/>
      <c r="V126" s="33"/>
      <c r="W126" s="33"/>
      <c r="X126" s="33"/>
      <c r="Y126" s="33"/>
      <c r="Z126" s="3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row>
    <row r="127" spans="1:57" ht="14.25" customHeight="1" x14ac:dyDescent="0.2">
      <c r="A127" s="122"/>
      <c r="B127" s="122"/>
      <c r="C127" s="122"/>
      <c r="D127" s="122"/>
      <c r="E127" s="122"/>
      <c r="F127" s="122"/>
      <c r="G127" s="122"/>
      <c r="H127" s="122"/>
      <c r="I127" s="122"/>
      <c r="J127" s="33"/>
      <c r="K127" s="124"/>
      <c r="L127" s="34"/>
      <c r="M127" s="34"/>
      <c r="N127" s="33"/>
      <c r="O127" s="33"/>
      <c r="P127" s="33"/>
      <c r="Q127" s="33"/>
      <c r="R127" s="33"/>
      <c r="S127" s="33"/>
      <c r="T127" s="33"/>
      <c r="U127" s="33"/>
      <c r="V127" s="33"/>
      <c r="W127" s="33"/>
      <c r="X127" s="33"/>
      <c r="Y127" s="33"/>
      <c r="Z127" s="33"/>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row>
    <row r="128" spans="1:57" ht="14.25" customHeight="1" x14ac:dyDescent="0.2">
      <c r="A128" s="122"/>
      <c r="B128" s="122"/>
      <c r="C128" s="122"/>
      <c r="D128" s="122"/>
      <c r="E128" s="122"/>
      <c r="F128" s="122"/>
      <c r="G128" s="122"/>
      <c r="H128" s="122"/>
      <c r="I128" s="122"/>
      <c r="J128" s="33"/>
      <c r="K128" s="124"/>
      <c r="L128" s="34"/>
      <c r="M128" s="34"/>
      <c r="N128" s="33"/>
      <c r="O128" s="33"/>
      <c r="P128" s="33"/>
      <c r="Q128" s="33"/>
      <c r="R128" s="33"/>
      <c r="S128" s="33"/>
      <c r="T128" s="33"/>
      <c r="U128" s="33"/>
      <c r="V128" s="33"/>
      <c r="W128" s="33"/>
      <c r="X128" s="33"/>
      <c r="Y128" s="33"/>
      <c r="Z128" s="33"/>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row>
    <row r="129" spans="1:57" ht="14.25" customHeight="1" x14ac:dyDescent="0.2">
      <c r="A129" s="122"/>
      <c r="B129" s="122"/>
      <c r="C129" s="122"/>
      <c r="D129" s="122"/>
      <c r="E129" s="122"/>
      <c r="F129" s="122"/>
      <c r="G129" s="122"/>
      <c r="H129" s="122"/>
      <c r="I129" s="122"/>
      <c r="J129" s="33"/>
      <c r="K129" s="124"/>
      <c r="L129" s="34"/>
      <c r="M129" s="34"/>
      <c r="N129" s="33"/>
      <c r="O129" s="33"/>
      <c r="P129" s="33"/>
      <c r="Q129" s="33"/>
      <c r="R129" s="33"/>
      <c r="S129" s="33"/>
      <c r="T129" s="33"/>
      <c r="U129" s="33"/>
      <c r="V129" s="33"/>
      <c r="W129" s="33"/>
      <c r="X129" s="33"/>
      <c r="Y129" s="33"/>
      <c r="Z129" s="3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row>
    <row r="130" spans="1:57" ht="14.25" customHeight="1" x14ac:dyDescent="0.2">
      <c r="A130" s="122"/>
      <c r="B130" s="122"/>
      <c r="C130" s="122"/>
      <c r="D130" s="122"/>
      <c r="E130" s="122"/>
      <c r="F130" s="122"/>
      <c r="G130" s="122"/>
      <c r="H130" s="122"/>
      <c r="I130" s="122"/>
      <c r="J130" s="33"/>
      <c r="K130" s="124"/>
      <c r="L130" s="34"/>
      <c r="M130" s="34"/>
      <c r="N130" s="33"/>
      <c r="O130" s="33"/>
      <c r="P130" s="33"/>
      <c r="Q130" s="33"/>
      <c r="R130" s="33"/>
      <c r="S130" s="33"/>
      <c r="T130" s="33"/>
      <c r="U130" s="33"/>
      <c r="V130" s="33"/>
      <c r="W130" s="33"/>
      <c r="X130" s="33"/>
      <c r="Y130" s="33"/>
      <c r="Z130" s="3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row>
    <row r="131" spans="1:57" ht="14.25" customHeight="1" x14ac:dyDescent="0.2">
      <c r="A131" s="122"/>
      <c r="B131" s="122"/>
      <c r="C131" s="122"/>
      <c r="D131" s="122"/>
      <c r="E131" s="122"/>
      <c r="F131" s="122"/>
      <c r="G131" s="122"/>
      <c r="H131" s="122"/>
      <c r="I131" s="122"/>
      <c r="J131" s="33"/>
      <c r="K131" s="124"/>
      <c r="L131" s="34"/>
      <c r="M131" s="34"/>
      <c r="N131" s="33"/>
      <c r="O131" s="33"/>
      <c r="P131" s="33"/>
      <c r="Q131" s="33"/>
      <c r="R131" s="33"/>
      <c r="S131" s="33"/>
      <c r="T131" s="33"/>
      <c r="U131" s="33"/>
      <c r="V131" s="33"/>
      <c r="W131" s="33"/>
      <c r="X131" s="33"/>
      <c r="Y131" s="33"/>
      <c r="Z131" s="3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row>
    <row r="132" spans="1:57" ht="14.25" customHeight="1" x14ac:dyDescent="0.2">
      <c r="A132" s="122"/>
      <c r="B132" s="122"/>
      <c r="C132" s="122"/>
      <c r="D132" s="122"/>
      <c r="E132" s="122"/>
      <c r="F132" s="122"/>
      <c r="G132" s="122"/>
      <c r="H132" s="122"/>
      <c r="I132" s="122"/>
      <c r="J132" s="33"/>
      <c r="K132" s="124"/>
      <c r="L132" s="34"/>
      <c r="M132" s="34"/>
      <c r="N132" s="34"/>
      <c r="O132" s="33"/>
      <c r="P132" s="33"/>
      <c r="Q132" s="33"/>
      <c r="R132" s="33"/>
      <c r="S132" s="33"/>
      <c r="T132" s="33"/>
      <c r="U132" s="33"/>
      <c r="V132" s="33"/>
      <c r="W132" s="33"/>
      <c r="X132" s="33"/>
      <c r="Y132" s="33"/>
      <c r="Z132" s="3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row>
    <row r="133" spans="1:57" ht="14.25" customHeight="1" x14ac:dyDescent="0.2">
      <c r="A133" s="122"/>
      <c r="B133" s="122"/>
      <c r="C133" s="122"/>
      <c r="D133" s="122"/>
      <c r="E133" s="122"/>
      <c r="F133" s="122"/>
      <c r="G133" s="122"/>
      <c r="H133" s="122"/>
      <c r="I133" s="122"/>
      <c r="J133" s="33"/>
      <c r="K133" s="124"/>
      <c r="L133" s="34"/>
      <c r="M133" s="34"/>
      <c r="N133" s="33"/>
      <c r="O133" s="33"/>
      <c r="P133" s="33"/>
      <c r="Q133" s="33"/>
      <c r="R133" s="33"/>
      <c r="S133" s="33"/>
      <c r="T133" s="33"/>
      <c r="U133" s="33"/>
      <c r="V133" s="33"/>
      <c r="W133" s="33"/>
      <c r="X133" s="33"/>
      <c r="Y133" s="33"/>
      <c r="Z133" s="3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row>
    <row r="134" spans="1:57" ht="14.25" customHeight="1" x14ac:dyDescent="0.2">
      <c r="A134" s="122"/>
      <c r="B134" s="122"/>
      <c r="C134" s="122"/>
      <c r="D134" s="122"/>
      <c r="E134" s="122"/>
      <c r="F134" s="122"/>
      <c r="G134" s="122"/>
      <c r="H134" s="122"/>
      <c r="I134" s="122"/>
      <c r="J134" s="33"/>
      <c r="K134" s="124"/>
      <c r="L134" s="34"/>
      <c r="M134" s="34"/>
      <c r="N134" s="33"/>
      <c r="O134" s="33"/>
      <c r="P134" s="33"/>
      <c r="Q134" s="33"/>
      <c r="R134" s="33"/>
      <c r="S134" s="33"/>
      <c r="T134" s="33"/>
      <c r="U134" s="33"/>
      <c r="V134" s="33"/>
      <c r="W134" s="33"/>
      <c r="X134" s="33"/>
      <c r="Y134" s="33"/>
      <c r="Z134" s="3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row>
    <row r="135" spans="1:57" ht="14.25" customHeight="1" x14ac:dyDescent="0.2">
      <c r="A135" s="122"/>
      <c r="B135" s="122"/>
      <c r="C135" s="122"/>
      <c r="D135" s="122"/>
      <c r="E135" s="122"/>
      <c r="F135" s="122"/>
      <c r="G135" s="122"/>
      <c r="H135" s="122"/>
      <c r="I135" s="122"/>
      <c r="J135" s="33"/>
      <c r="K135" s="124"/>
      <c r="L135" s="34"/>
      <c r="M135" s="34"/>
      <c r="N135" s="33"/>
      <c r="O135" s="33"/>
      <c r="P135" s="33"/>
      <c r="Q135" s="33"/>
      <c r="R135" s="33"/>
      <c r="S135" s="33"/>
      <c r="T135" s="33"/>
      <c r="U135" s="33"/>
      <c r="V135" s="33"/>
      <c r="W135" s="33"/>
      <c r="X135" s="33"/>
      <c r="Y135" s="33"/>
      <c r="Z135" s="3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row>
    <row r="136" spans="1:57" ht="14.25" customHeight="1" x14ac:dyDescent="0.2">
      <c r="A136" s="122"/>
      <c r="B136" s="122"/>
      <c r="C136" s="122"/>
      <c r="D136" s="122"/>
      <c r="E136" s="122"/>
      <c r="F136" s="122"/>
      <c r="G136" s="122"/>
      <c r="H136" s="122"/>
      <c r="I136" s="122"/>
      <c r="J136" s="33"/>
      <c r="K136" s="124"/>
      <c r="L136" s="34"/>
      <c r="M136" s="34"/>
      <c r="N136" s="34"/>
      <c r="O136" s="33"/>
      <c r="P136" s="33"/>
      <c r="Q136" s="33"/>
      <c r="R136" s="33"/>
      <c r="S136" s="33"/>
      <c r="T136" s="33"/>
      <c r="U136" s="33"/>
      <c r="V136" s="33"/>
      <c r="W136" s="33"/>
      <c r="X136" s="33"/>
      <c r="Y136" s="33"/>
      <c r="Z136" s="3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row>
    <row r="137" spans="1:57" ht="14.25" customHeight="1" x14ac:dyDescent="0.2">
      <c r="A137" s="122"/>
      <c r="B137" s="122"/>
      <c r="C137" s="122"/>
      <c r="D137" s="122"/>
      <c r="E137" s="122"/>
      <c r="F137" s="122"/>
      <c r="G137" s="122"/>
      <c r="H137" s="122"/>
      <c r="I137" s="122"/>
      <c r="J137" s="33"/>
      <c r="K137" s="124"/>
      <c r="L137" s="34"/>
      <c r="M137" s="34"/>
      <c r="N137" s="33"/>
      <c r="O137" s="33"/>
      <c r="P137" s="33"/>
      <c r="Q137" s="33"/>
      <c r="R137" s="33"/>
      <c r="S137" s="33"/>
      <c r="T137" s="33"/>
      <c r="U137" s="33"/>
      <c r="V137" s="33"/>
      <c r="W137" s="33"/>
      <c r="X137" s="33"/>
      <c r="Y137" s="33"/>
      <c r="Z137" s="33"/>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row>
    <row r="138" spans="1:57" ht="14.25" customHeight="1" x14ac:dyDescent="0.2">
      <c r="A138" s="122"/>
      <c r="B138" s="122"/>
      <c r="C138" s="122"/>
      <c r="D138" s="122"/>
      <c r="E138" s="122"/>
      <c r="F138" s="122"/>
      <c r="G138" s="122"/>
      <c r="H138" s="122"/>
      <c r="I138" s="122"/>
      <c r="J138" s="33"/>
      <c r="K138" s="124"/>
      <c r="L138" s="34"/>
      <c r="M138" s="34"/>
      <c r="N138" s="33"/>
      <c r="O138" s="33"/>
      <c r="P138" s="33"/>
      <c r="Q138" s="33"/>
      <c r="R138" s="33"/>
      <c r="S138" s="33"/>
      <c r="T138" s="33"/>
      <c r="U138" s="33"/>
      <c r="V138" s="33"/>
      <c r="W138" s="33"/>
      <c r="X138" s="33"/>
      <c r="Y138" s="33"/>
      <c r="Z138" s="33"/>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row>
    <row r="139" spans="1:57" ht="14.25" customHeight="1" x14ac:dyDescent="0.2">
      <c r="A139" s="122"/>
      <c r="B139" s="122"/>
      <c r="C139" s="122"/>
      <c r="D139" s="122"/>
      <c r="E139" s="122"/>
      <c r="F139" s="122"/>
      <c r="G139" s="122"/>
      <c r="H139" s="122"/>
      <c r="I139" s="122"/>
      <c r="J139" s="33"/>
      <c r="K139" s="124"/>
      <c r="L139" s="34"/>
      <c r="M139" s="34"/>
      <c r="N139" s="33"/>
      <c r="O139" s="33"/>
      <c r="P139" s="33"/>
      <c r="Q139" s="33"/>
      <c r="R139" s="33"/>
      <c r="S139" s="33"/>
      <c r="T139" s="33"/>
      <c r="U139" s="33"/>
      <c r="V139" s="33"/>
      <c r="W139" s="33"/>
      <c r="X139" s="33"/>
      <c r="Y139" s="33"/>
      <c r="Z139" s="3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row>
    <row r="140" spans="1:57" ht="14.25" customHeight="1" x14ac:dyDescent="0.2">
      <c r="A140" s="122"/>
      <c r="B140" s="122"/>
      <c r="C140" s="122"/>
      <c r="D140" s="122"/>
      <c r="E140" s="122"/>
      <c r="F140" s="122"/>
      <c r="G140" s="122"/>
      <c r="H140" s="122"/>
      <c r="I140" s="122"/>
      <c r="J140" s="33"/>
      <c r="K140" s="124"/>
      <c r="L140" s="34"/>
      <c r="M140" s="34"/>
      <c r="N140" s="33"/>
      <c r="O140" s="33"/>
      <c r="P140" s="33"/>
      <c r="Q140" s="33"/>
      <c r="R140" s="33"/>
      <c r="S140" s="33"/>
      <c r="T140" s="33"/>
      <c r="U140" s="33"/>
      <c r="V140" s="33"/>
      <c r="W140" s="33"/>
      <c r="X140" s="33"/>
      <c r="Y140" s="33"/>
      <c r="Z140" s="3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row>
    <row r="141" spans="1:57" ht="14.25" customHeight="1" x14ac:dyDescent="0.2">
      <c r="A141" s="122"/>
      <c r="B141" s="122"/>
      <c r="C141" s="122"/>
      <c r="D141" s="122"/>
      <c r="E141" s="122"/>
      <c r="F141" s="122"/>
      <c r="G141" s="122"/>
      <c r="H141" s="122"/>
      <c r="I141" s="122"/>
      <c r="J141" s="33"/>
      <c r="K141" s="124"/>
      <c r="L141" s="34"/>
      <c r="M141" s="34"/>
      <c r="N141" s="33"/>
      <c r="O141" s="33"/>
      <c r="P141" s="33"/>
      <c r="Q141" s="33"/>
      <c r="R141" s="33"/>
      <c r="S141" s="33"/>
      <c r="T141" s="33"/>
      <c r="U141" s="33"/>
      <c r="V141" s="33"/>
      <c r="W141" s="33"/>
      <c r="X141" s="33"/>
      <c r="Y141" s="33"/>
      <c r="Z141" s="3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row>
    <row r="142" spans="1:57" ht="14.25" customHeight="1" x14ac:dyDescent="0.2">
      <c r="A142" s="122"/>
      <c r="B142" s="122"/>
      <c r="C142" s="122"/>
      <c r="D142" s="122"/>
      <c r="E142" s="122"/>
      <c r="F142" s="122"/>
      <c r="G142" s="122"/>
      <c r="H142" s="122"/>
      <c r="I142" s="122"/>
      <c r="J142" s="33"/>
      <c r="K142" s="124"/>
      <c r="L142" s="34"/>
      <c r="M142" s="34"/>
      <c r="N142" s="33"/>
      <c r="O142" s="33"/>
      <c r="P142" s="33"/>
      <c r="Q142" s="33"/>
      <c r="R142" s="33"/>
      <c r="S142" s="33"/>
      <c r="T142" s="33"/>
      <c r="U142" s="33"/>
      <c r="V142" s="33"/>
      <c r="W142" s="33"/>
      <c r="X142" s="33"/>
      <c r="Y142" s="33"/>
      <c r="Z142" s="3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row>
    <row r="143" spans="1:57" ht="14.25" customHeight="1" x14ac:dyDescent="0.2">
      <c r="A143" s="122"/>
      <c r="B143" s="122"/>
      <c r="C143" s="122"/>
      <c r="D143" s="122"/>
      <c r="E143" s="122"/>
      <c r="F143" s="122"/>
      <c r="G143" s="122"/>
      <c r="H143" s="122"/>
      <c r="I143" s="122"/>
      <c r="J143" s="33"/>
      <c r="K143" s="124"/>
      <c r="L143" s="34"/>
      <c r="M143" s="34"/>
      <c r="N143" s="33"/>
      <c r="O143" s="33"/>
      <c r="P143" s="33"/>
      <c r="Q143" s="33"/>
      <c r="R143" s="33"/>
      <c r="S143" s="33"/>
      <c r="T143" s="33"/>
      <c r="U143" s="33"/>
      <c r="V143" s="33"/>
      <c r="W143" s="33"/>
      <c r="X143" s="33"/>
      <c r="Y143" s="33"/>
      <c r="Z143" s="3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row>
    <row r="144" spans="1:57" ht="14.25" customHeight="1" x14ac:dyDescent="0.2">
      <c r="A144" s="122"/>
      <c r="B144" s="122"/>
      <c r="C144" s="122"/>
      <c r="D144" s="122"/>
      <c r="E144" s="122"/>
      <c r="F144" s="122"/>
      <c r="G144" s="122"/>
      <c r="H144" s="122"/>
      <c r="I144" s="122"/>
      <c r="J144" s="33"/>
      <c r="K144" s="124"/>
      <c r="L144" s="34"/>
      <c r="M144" s="34"/>
      <c r="N144" s="33"/>
      <c r="O144" s="33"/>
      <c r="P144" s="33"/>
      <c r="Q144" s="33"/>
      <c r="R144" s="33"/>
      <c r="S144" s="33"/>
      <c r="T144" s="33"/>
      <c r="U144" s="33"/>
      <c r="V144" s="33"/>
      <c r="W144" s="33"/>
      <c r="X144" s="33"/>
      <c r="Y144" s="33"/>
      <c r="Z144" s="3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row>
    <row r="145" spans="1:57" ht="14.25" customHeight="1" x14ac:dyDescent="0.2">
      <c r="A145" s="122"/>
      <c r="B145" s="122"/>
      <c r="C145" s="122"/>
      <c r="D145" s="122"/>
      <c r="E145" s="122"/>
      <c r="F145" s="122"/>
      <c r="G145" s="122"/>
      <c r="H145" s="122"/>
      <c r="I145" s="122"/>
      <c r="J145" s="33"/>
      <c r="K145" s="124"/>
      <c r="L145" s="34"/>
      <c r="M145" s="34"/>
      <c r="N145" s="33"/>
      <c r="O145" s="33"/>
      <c r="P145" s="33"/>
      <c r="Q145" s="33"/>
      <c r="R145" s="33"/>
      <c r="S145" s="33"/>
      <c r="T145" s="33"/>
      <c r="U145" s="33"/>
      <c r="V145" s="33"/>
      <c r="W145" s="33"/>
      <c r="X145" s="33"/>
      <c r="Y145" s="33"/>
      <c r="Z145" s="33"/>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row>
    <row r="146" spans="1:57" ht="14.25" customHeight="1" x14ac:dyDescent="0.2">
      <c r="A146" s="122"/>
      <c r="B146" s="122"/>
      <c r="C146" s="122"/>
      <c r="D146" s="122"/>
      <c r="E146" s="122"/>
      <c r="F146" s="122"/>
      <c r="G146" s="122"/>
      <c r="H146" s="122"/>
      <c r="I146" s="122"/>
      <c r="J146" s="33"/>
      <c r="K146" s="124"/>
      <c r="L146" s="34"/>
      <c r="M146" s="34"/>
      <c r="N146" s="33"/>
      <c r="O146" s="33"/>
      <c r="P146" s="33"/>
      <c r="Q146" s="33"/>
      <c r="R146" s="33"/>
      <c r="S146" s="33"/>
      <c r="T146" s="33"/>
      <c r="U146" s="33"/>
      <c r="V146" s="33"/>
      <c r="W146" s="33"/>
      <c r="X146" s="33"/>
      <c r="Y146" s="33"/>
      <c r="Z146" s="33"/>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row>
    <row r="147" spans="1:57" ht="14.25" customHeight="1" x14ac:dyDescent="0.2">
      <c r="A147" s="122"/>
      <c r="B147" s="122"/>
      <c r="C147" s="122"/>
      <c r="D147" s="122"/>
      <c r="E147" s="122"/>
      <c r="F147" s="122"/>
      <c r="G147" s="122"/>
      <c r="H147" s="122"/>
      <c r="I147" s="122"/>
      <c r="J147" s="33"/>
      <c r="K147" s="124"/>
      <c r="L147" s="34"/>
      <c r="M147" s="34"/>
      <c r="N147" s="33"/>
      <c r="O147" s="33"/>
      <c r="P147" s="33"/>
      <c r="Q147" s="33"/>
      <c r="R147" s="33"/>
      <c r="S147" s="33"/>
      <c r="T147" s="33"/>
      <c r="U147" s="33"/>
      <c r="V147" s="33"/>
      <c r="W147" s="33"/>
      <c r="X147" s="33"/>
      <c r="Y147" s="33"/>
      <c r="Z147" s="33"/>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row>
    <row r="148" spans="1:57" ht="14.25" customHeight="1" x14ac:dyDescent="0.2">
      <c r="A148" s="122"/>
      <c r="B148" s="122"/>
      <c r="C148" s="122"/>
      <c r="D148" s="122"/>
      <c r="E148" s="122"/>
      <c r="F148" s="122"/>
      <c r="G148" s="122"/>
      <c r="H148" s="122"/>
      <c r="I148" s="122"/>
      <c r="J148" s="33"/>
      <c r="K148" s="124"/>
      <c r="L148" s="34"/>
      <c r="M148" s="34"/>
      <c r="N148" s="33"/>
      <c r="O148" s="33"/>
      <c r="P148" s="33"/>
      <c r="Q148" s="33"/>
      <c r="R148" s="33"/>
      <c r="S148" s="33"/>
      <c r="T148" s="33"/>
      <c r="U148" s="33"/>
      <c r="V148" s="33"/>
      <c r="W148" s="33"/>
      <c r="X148" s="33"/>
      <c r="Y148" s="33"/>
      <c r="Z148" s="3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row>
    <row r="149" spans="1:57" ht="14.25" customHeight="1" x14ac:dyDescent="0.2">
      <c r="A149" s="122"/>
      <c r="B149" s="122"/>
      <c r="C149" s="122"/>
      <c r="D149" s="122"/>
      <c r="E149" s="122"/>
      <c r="F149" s="122"/>
      <c r="G149" s="122"/>
      <c r="H149" s="122"/>
      <c r="I149" s="122"/>
      <c r="J149" s="33"/>
      <c r="K149" s="124"/>
      <c r="L149" s="34"/>
      <c r="M149" s="34"/>
      <c r="N149" s="33"/>
      <c r="O149" s="33"/>
      <c r="P149" s="33"/>
      <c r="Q149" s="33"/>
      <c r="R149" s="33"/>
      <c r="S149" s="33"/>
      <c r="T149" s="33"/>
      <c r="U149" s="33"/>
      <c r="V149" s="33"/>
      <c r="W149" s="33"/>
      <c r="X149" s="33"/>
      <c r="Y149" s="33"/>
      <c r="Z149" s="3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row>
    <row r="150" spans="1:57" ht="14.25" customHeight="1" x14ac:dyDescent="0.2">
      <c r="A150" s="122"/>
      <c r="B150" s="122"/>
      <c r="C150" s="122"/>
      <c r="D150" s="122"/>
      <c r="E150" s="122"/>
      <c r="F150" s="122"/>
      <c r="G150" s="122"/>
      <c r="H150" s="122"/>
      <c r="I150" s="122"/>
      <c r="J150" s="33"/>
      <c r="K150" s="124"/>
      <c r="L150" s="34"/>
      <c r="M150" s="34"/>
      <c r="N150" s="33"/>
      <c r="O150" s="33"/>
      <c r="P150" s="33"/>
      <c r="Q150" s="33"/>
      <c r="R150" s="33"/>
      <c r="S150" s="33"/>
      <c r="T150" s="33"/>
      <c r="U150" s="33"/>
      <c r="V150" s="33"/>
      <c r="W150" s="33"/>
      <c r="X150" s="33"/>
      <c r="Y150" s="33"/>
      <c r="Z150" s="3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row>
    <row r="151" spans="1:57" ht="14.25" customHeight="1" x14ac:dyDescent="0.2">
      <c r="A151" s="122"/>
      <c r="B151" s="122"/>
      <c r="C151" s="122"/>
      <c r="D151" s="122"/>
      <c r="E151" s="122"/>
      <c r="F151" s="122"/>
      <c r="G151" s="122"/>
      <c r="H151" s="122"/>
      <c r="I151" s="122"/>
      <c r="J151" s="33"/>
      <c r="K151" s="124"/>
      <c r="L151" s="34"/>
      <c r="M151" s="34"/>
      <c r="N151" s="33"/>
      <c r="O151" s="33"/>
      <c r="P151" s="33"/>
      <c r="Q151" s="33"/>
      <c r="R151" s="33"/>
      <c r="S151" s="33"/>
      <c r="T151" s="33"/>
      <c r="U151" s="33"/>
      <c r="V151" s="33"/>
      <c r="W151" s="33"/>
      <c r="X151" s="33"/>
      <c r="Y151" s="33"/>
      <c r="Z151" s="3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row>
    <row r="152" spans="1:57" ht="14.25" customHeight="1" x14ac:dyDescent="0.2">
      <c r="A152" s="122"/>
      <c r="B152" s="122"/>
      <c r="C152" s="122"/>
      <c r="D152" s="122"/>
      <c r="E152" s="122"/>
      <c r="F152" s="122"/>
      <c r="G152" s="122"/>
      <c r="H152" s="122"/>
      <c r="I152" s="122"/>
      <c r="J152" s="33"/>
      <c r="K152" s="124"/>
      <c r="L152" s="34"/>
      <c r="M152" s="34"/>
      <c r="N152" s="33"/>
      <c r="O152" s="33"/>
      <c r="P152" s="33"/>
      <c r="Q152" s="33"/>
      <c r="R152" s="33"/>
      <c r="S152" s="33"/>
      <c r="T152" s="33"/>
      <c r="U152" s="33"/>
      <c r="V152" s="33"/>
      <c r="W152" s="33"/>
      <c r="X152" s="33"/>
      <c r="Y152" s="33"/>
      <c r="Z152" s="33"/>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row>
    <row r="153" spans="1:57" ht="14.25" customHeight="1" x14ac:dyDescent="0.2">
      <c r="A153" s="122"/>
      <c r="B153" s="122"/>
      <c r="C153" s="122"/>
      <c r="D153" s="122"/>
      <c r="E153" s="122"/>
      <c r="F153" s="122"/>
      <c r="G153" s="122"/>
      <c r="H153" s="122"/>
      <c r="I153" s="122"/>
      <c r="J153" s="33"/>
      <c r="K153" s="124"/>
      <c r="L153" s="34"/>
      <c r="M153" s="34"/>
      <c r="N153" s="33"/>
      <c r="O153" s="33"/>
      <c r="P153" s="33"/>
      <c r="Q153" s="33"/>
      <c r="R153" s="33"/>
      <c r="S153" s="33"/>
      <c r="T153" s="33"/>
      <c r="U153" s="33"/>
      <c r="V153" s="33"/>
      <c r="W153" s="33"/>
      <c r="X153" s="33"/>
      <c r="Y153" s="33"/>
      <c r="Z153" s="33"/>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row>
    <row r="154" spans="1:57" ht="14.25" customHeight="1" x14ac:dyDescent="0.2">
      <c r="A154" s="122"/>
      <c r="B154" s="122"/>
      <c r="C154" s="122"/>
      <c r="D154" s="122"/>
      <c r="E154" s="122"/>
      <c r="F154" s="122"/>
      <c r="G154" s="122"/>
      <c r="H154" s="122"/>
      <c r="I154" s="122"/>
      <c r="J154" s="33"/>
      <c r="K154" s="124"/>
      <c r="L154" s="34"/>
      <c r="M154" s="34"/>
      <c r="N154" s="33"/>
      <c r="O154" s="33"/>
      <c r="P154" s="33"/>
      <c r="Q154" s="33"/>
      <c r="R154" s="33"/>
      <c r="S154" s="33"/>
      <c r="T154" s="33"/>
      <c r="U154" s="33"/>
      <c r="V154" s="33"/>
      <c r="W154" s="33"/>
      <c r="X154" s="33"/>
      <c r="Y154" s="33"/>
      <c r="Z154" s="33"/>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row>
    <row r="155" spans="1:57" ht="14.25" customHeight="1" x14ac:dyDescent="0.2">
      <c r="A155" s="122"/>
      <c r="B155" s="122"/>
      <c r="C155" s="122"/>
      <c r="D155" s="122"/>
      <c r="E155" s="122"/>
      <c r="F155" s="122"/>
      <c r="G155" s="122"/>
      <c r="H155" s="122"/>
      <c r="I155" s="122"/>
      <c r="J155" s="33"/>
      <c r="K155" s="124"/>
      <c r="L155" s="34"/>
      <c r="M155" s="34"/>
      <c r="N155" s="33"/>
      <c r="O155" s="33"/>
      <c r="P155" s="33"/>
      <c r="Q155" s="33"/>
      <c r="R155" s="33"/>
      <c r="S155" s="33"/>
      <c r="T155" s="33"/>
      <c r="U155" s="33"/>
      <c r="V155" s="33"/>
      <c r="W155" s="33"/>
      <c r="X155" s="33"/>
      <c r="Y155" s="33"/>
      <c r="Z155" s="33"/>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row>
    <row r="156" spans="1:57" ht="14.25" customHeight="1" x14ac:dyDescent="0.2">
      <c r="A156" s="122"/>
      <c r="B156" s="122"/>
      <c r="C156" s="122"/>
      <c r="D156" s="122"/>
      <c r="E156" s="122"/>
      <c r="F156" s="122"/>
      <c r="G156" s="122"/>
      <c r="H156" s="122"/>
      <c r="I156" s="122"/>
      <c r="J156" s="33"/>
      <c r="K156" s="124"/>
      <c r="L156" s="34"/>
      <c r="M156" s="34"/>
      <c r="N156" s="33"/>
      <c r="O156" s="33"/>
      <c r="P156" s="33"/>
      <c r="Q156" s="33"/>
      <c r="R156" s="33"/>
      <c r="S156" s="33"/>
      <c r="T156" s="33"/>
      <c r="U156" s="33"/>
      <c r="V156" s="33"/>
      <c r="W156" s="33"/>
      <c r="X156" s="33"/>
      <c r="Y156" s="33"/>
      <c r="Z156" s="3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row>
    <row r="157" spans="1:57" ht="14.25" customHeight="1" x14ac:dyDescent="0.2">
      <c r="A157" s="122"/>
      <c r="B157" s="122"/>
      <c r="C157" s="122"/>
      <c r="D157" s="122"/>
      <c r="E157" s="122"/>
      <c r="F157" s="122"/>
      <c r="G157" s="122"/>
      <c r="H157" s="122"/>
      <c r="I157" s="122"/>
      <c r="J157" s="33"/>
      <c r="K157" s="124"/>
      <c r="L157" s="34"/>
      <c r="M157" s="34"/>
      <c r="N157" s="33"/>
      <c r="O157" s="33"/>
      <c r="P157" s="33"/>
      <c r="Q157" s="33"/>
      <c r="R157" s="33"/>
      <c r="S157" s="33"/>
      <c r="T157" s="33"/>
      <c r="U157" s="33"/>
      <c r="V157" s="33"/>
      <c r="W157" s="33"/>
      <c r="X157" s="33"/>
      <c r="Y157" s="33"/>
      <c r="Z157" s="33"/>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row>
    <row r="158" spans="1:57" ht="14.25" customHeight="1" x14ac:dyDescent="0.2">
      <c r="A158" s="122"/>
      <c r="B158" s="122"/>
      <c r="C158" s="122"/>
      <c r="D158" s="122"/>
      <c r="E158" s="122"/>
      <c r="F158" s="122"/>
      <c r="G158" s="122"/>
      <c r="H158" s="122"/>
      <c r="I158" s="122"/>
      <c r="J158" s="33"/>
      <c r="K158" s="124"/>
      <c r="L158" s="34"/>
      <c r="M158" s="34"/>
      <c r="N158" s="33"/>
      <c r="O158" s="33"/>
      <c r="P158" s="33"/>
      <c r="Q158" s="33"/>
      <c r="R158" s="33"/>
      <c r="S158" s="33"/>
      <c r="T158" s="33"/>
      <c r="U158" s="33"/>
      <c r="V158" s="33"/>
      <c r="W158" s="33"/>
      <c r="X158" s="33"/>
      <c r="Y158" s="33"/>
      <c r="Z158" s="3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row>
    <row r="159" spans="1:57" ht="14.25" customHeight="1" x14ac:dyDescent="0.2">
      <c r="A159" s="122"/>
      <c r="B159" s="122"/>
      <c r="C159" s="122"/>
      <c r="D159" s="122"/>
      <c r="E159" s="122"/>
      <c r="F159" s="122"/>
      <c r="G159" s="122"/>
      <c r="H159" s="122"/>
      <c r="I159" s="122"/>
      <c r="J159" s="33"/>
      <c r="K159" s="124"/>
      <c r="L159" s="34"/>
      <c r="M159" s="34"/>
      <c r="N159" s="33"/>
      <c r="O159" s="33"/>
      <c r="P159" s="33"/>
      <c r="Q159" s="33"/>
      <c r="R159" s="33"/>
      <c r="S159" s="33"/>
      <c r="T159" s="33"/>
      <c r="U159" s="33"/>
      <c r="V159" s="33"/>
      <c r="W159" s="33"/>
      <c r="X159" s="33"/>
      <c r="Y159" s="33"/>
      <c r="Z159" s="3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row>
    <row r="160" spans="1:57" ht="14.25" customHeight="1" x14ac:dyDescent="0.2">
      <c r="A160" s="122"/>
      <c r="B160" s="122"/>
      <c r="C160" s="122"/>
      <c r="D160" s="122"/>
      <c r="E160" s="122"/>
      <c r="F160" s="122"/>
      <c r="G160" s="122"/>
      <c r="H160" s="122"/>
      <c r="I160" s="122"/>
      <c r="J160" s="33"/>
      <c r="K160" s="124"/>
      <c r="L160" s="34"/>
      <c r="M160" s="34"/>
      <c r="N160" s="34"/>
      <c r="O160" s="33"/>
      <c r="P160" s="36"/>
      <c r="Q160" s="36"/>
      <c r="R160" s="36"/>
      <c r="S160" s="36"/>
      <c r="T160" s="36"/>
      <c r="U160" s="33"/>
      <c r="V160" s="33"/>
      <c r="W160" s="33"/>
      <c r="X160" s="33"/>
      <c r="Y160" s="33"/>
      <c r="Z160" s="3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row>
    <row r="161" spans="1:57" ht="14.25" customHeight="1" x14ac:dyDescent="0.2">
      <c r="A161" s="122"/>
      <c r="B161" s="122"/>
      <c r="C161" s="122"/>
      <c r="D161" s="122"/>
      <c r="E161" s="122"/>
      <c r="F161" s="122"/>
      <c r="G161" s="122"/>
      <c r="H161" s="122"/>
      <c r="I161" s="122"/>
      <c r="J161" s="33"/>
      <c r="K161" s="124"/>
      <c r="L161" s="34"/>
      <c r="M161" s="34"/>
      <c r="N161" s="33"/>
      <c r="O161" s="33"/>
      <c r="P161" s="36"/>
      <c r="Q161" s="36"/>
      <c r="R161" s="36"/>
      <c r="S161" s="36"/>
      <c r="T161" s="36"/>
      <c r="U161" s="33"/>
      <c r="V161" s="33"/>
      <c r="W161" s="33"/>
      <c r="X161" s="33"/>
      <c r="Y161" s="33"/>
      <c r="Z161" s="3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row>
    <row r="162" spans="1:57" ht="14.25" customHeight="1" x14ac:dyDescent="0.2">
      <c r="A162" s="122"/>
      <c r="B162" s="122"/>
      <c r="C162" s="122"/>
      <c r="D162" s="122"/>
      <c r="E162" s="122"/>
      <c r="F162" s="122"/>
      <c r="G162" s="122"/>
      <c r="H162" s="122"/>
      <c r="I162" s="122"/>
      <c r="J162" s="33"/>
      <c r="K162" s="124"/>
      <c r="L162" s="34"/>
      <c r="M162" s="34"/>
      <c r="N162" s="33"/>
      <c r="O162" s="33"/>
      <c r="P162" s="36"/>
      <c r="Q162" s="36"/>
      <c r="R162" s="36"/>
      <c r="S162" s="36"/>
      <c r="T162" s="36"/>
      <c r="U162" s="33"/>
      <c r="V162" s="33"/>
      <c r="W162" s="33"/>
      <c r="X162" s="33"/>
      <c r="Y162" s="33"/>
      <c r="Z162" s="3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row>
    <row r="163" spans="1:57" ht="14.25" customHeight="1" x14ac:dyDescent="0.2">
      <c r="A163" s="122"/>
      <c r="B163" s="122"/>
      <c r="C163" s="122"/>
      <c r="D163" s="122"/>
      <c r="E163" s="122"/>
      <c r="F163" s="122"/>
      <c r="G163" s="122"/>
      <c r="H163" s="122"/>
      <c r="I163" s="122"/>
      <c r="J163" s="33"/>
      <c r="K163" s="124"/>
      <c r="L163" s="34"/>
      <c r="M163" s="34"/>
      <c r="N163" s="33"/>
      <c r="O163" s="33"/>
      <c r="P163" s="36"/>
      <c r="Q163" s="36"/>
      <c r="R163" s="36"/>
      <c r="S163" s="36"/>
      <c r="T163" s="36"/>
      <c r="U163" s="33"/>
      <c r="V163" s="33"/>
      <c r="W163" s="33"/>
      <c r="X163" s="33"/>
      <c r="Y163" s="33"/>
      <c r="Z163" s="3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row>
    <row r="164" spans="1:57" ht="14.25" customHeight="1" x14ac:dyDescent="0.2">
      <c r="A164" s="122"/>
      <c r="B164" s="122"/>
      <c r="C164" s="122"/>
      <c r="D164" s="122"/>
      <c r="E164" s="122"/>
      <c r="F164" s="122"/>
      <c r="G164" s="122"/>
      <c r="H164" s="122"/>
      <c r="I164" s="122"/>
      <c r="J164" s="33"/>
      <c r="K164" s="124"/>
      <c r="L164" s="34"/>
      <c r="M164" s="34"/>
      <c r="N164" s="33"/>
      <c r="O164" s="33"/>
      <c r="P164" s="36"/>
      <c r="Q164" s="36"/>
      <c r="R164" s="36"/>
      <c r="S164" s="36"/>
      <c r="T164" s="36"/>
      <c r="U164" s="33"/>
      <c r="V164" s="33"/>
      <c r="W164" s="33"/>
      <c r="X164" s="33"/>
      <c r="Y164" s="33"/>
      <c r="Z164" s="33"/>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row>
    <row r="165" spans="1:57" ht="14.25" customHeight="1" x14ac:dyDescent="0.2">
      <c r="A165" s="122"/>
      <c r="B165" s="122"/>
      <c r="C165" s="122"/>
      <c r="D165" s="122"/>
      <c r="E165" s="122"/>
      <c r="F165" s="122"/>
      <c r="G165" s="122"/>
      <c r="H165" s="122"/>
      <c r="I165" s="122"/>
      <c r="J165" s="33"/>
      <c r="K165" s="124"/>
      <c r="L165" s="34"/>
      <c r="M165" s="34"/>
      <c r="N165" s="33"/>
      <c r="O165" s="33"/>
      <c r="P165" s="36"/>
      <c r="Q165" s="36"/>
      <c r="R165" s="36"/>
      <c r="S165" s="36"/>
      <c r="T165" s="36"/>
      <c r="U165" s="33"/>
      <c r="V165" s="33"/>
      <c r="W165" s="33"/>
      <c r="X165" s="33"/>
      <c r="Y165" s="33"/>
      <c r="Z165" s="3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row>
    <row r="166" spans="1:57" ht="14.25" customHeight="1" x14ac:dyDescent="0.2">
      <c r="A166" s="122"/>
      <c r="B166" s="122"/>
      <c r="C166" s="122"/>
      <c r="D166" s="122"/>
      <c r="E166" s="122"/>
      <c r="F166" s="122"/>
      <c r="G166" s="122"/>
      <c r="H166" s="122"/>
      <c r="I166" s="122"/>
      <c r="J166" s="33"/>
      <c r="K166" s="124"/>
      <c r="L166" s="34"/>
      <c r="M166" s="34"/>
      <c r="N166" s="33"/>
      <c r="O166" s="33"/>
      <c r="P166" s="36"/>
      <c r="Q166" s="36"/>
      <c r="R166" s="36"/>
      <c r="S166" s="36"/>
      <c r="T166" s="36"/>
      <c r="U166" s="33"/>
      <c r="V166" s="33"/>
      <c r="W166" s="33"/>
      <c r="X166" s="33"/>
      <c r="Y166" s="33"/>
      <c r="Z166" s="3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row>
    <row r="167" spans="1:57" ht="14.25" customHeight="1" x14ac:dyDescent="0.2">
      <c r="A167" s="122"/>
      <c r="B167" s="122"/>
      <c r="C167" s="122"/>
      <c r="D167" s="122"/>
      <c r="E167" s="122"/>
      <c r="F167" s="122"/>
      <c r="G167" s="122"/>
      <c r="H167" s="122"/>
      <c r="I167" s="122"/>
      <c r="J167" s="33"/>
      <c r="K167" s="124"/>
      <c r="L167" s="34"/>
      <c r="M167" s="34"/>
      <c r="N167" s="33"/>
      <c r="O167" s="33"/>
      <c r="P167" s="36"/>
      <c r="Q167" s="36"/>
      <c r="R167" s="36"/>
      <c r="S167" s="36"/>
      <c r="T167" s="36"/>
      <c r="U167" s="33"/>
      <c r="V167" s="33"/>
      <c r="W167" s="33"/>
      <c r="X167" s="33"/>
      <c r="Y167" s="33"/>
      <c r="Z167" s="3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row>
    <row r="168" spans="1:57" ht="14.25" customHeight="1" x14ac:dyDescent="0.2">
      <c r="A168" s="122"/>
      <c r="B168" s="122"/>
      <c r="C168" s="122"/>
      <c r="D168" s="122"/>
      <c r="E168" s="122"/>
      <c r="F168" s="122"/>
      <c r="G168" s="122"/>
      <c r="H168" s="122"/>
      <c r="I168" s="122"/>
      <c r="J168" s="33"/>
      <c r="K168" s="124"/>
      <c r="L168" s="34"/>
      <c r="M168" s="34"/>
      <c r="N168" s="34"/>
      <c r="O168" s="33"/>
      <c r="P168" s="36"/>
      <c r="Q168" s="36"/>
      <c r="R168" s="36"/>
      <c r="S168" s="36"/>
      <c r="T168" s="36"/>
      <c r="U168" s="33"/>
      <c r="V168" s="33"/>
      <c r="W168" s="33"/>
      <c r="X168" s="33"/>
      <c r="Y168" s="33"/>
      <c r="Z168" s="3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row>
    <row r="169" spans="1:57" ht="14.25" customHeight="1" x14ac:dyDescent="0.2">
      <c r="A169" s="122"/>
      <c r="B169" s="122"/>
      <c r="C169" s="122"/>
      <c r="D169" s="122"/>
      <c r="E169" s="122"/>
      <c r="F169" s="122"/>
      <c r="G169" s="122"/>
      <c r="H169" s="122"/>
      <c r="I169" s="122"/>
      <c r="J169" s="33"/>
      <c r="K169" s="124"/>
      <c r="L169" s="34"/>
      <c r="M169" s="34"/>
      <c r="N169" s="33"/>
      <c r="O169" s="33"/>
      <c r="P169" s="36"/>
      <c r="Q169" s="36"/>
      <c r="R169" s="36"/>
      <c r="S169" s="36"/>
      <c r="T169" s="36"/>
      <c r="U169" s="33"/>
      <c r="V169" s="33"/>
      <c r="W169" s="33"/>
      <c r="X169" s="33"/>
      <c r="Y169" s="33"/>
      <c r="Z169" s="33"/>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row>
    <row r="170" spans="1:57" ht="14.25" customHeight="1" x14ac:dyDescent="0.2">
      <c r="A170" s="122"/>
      <c r="B170" s="122"/>
      <c r="C170" s="122"/>
      <c r="D170" s="122"/>
      <c r="E170" s="122"/>
      <c r="F170" s="122"/>
      <c r="G170" s="122"/>
      <c r="H170" s="122"/>
      <c r="I170" s="122"/>
      <c r="J170" s="33"/>
      <c r="K170" s="124"/>
      <c r="L170" s="34"/>
      <c r="M170" s="34"/>
      <c r="N170" s="33"/>
      <c r="O170" s="33"/>
      <c r="P170" s="36"/>
      <c r="Q170" s="36"/>
      <c r="R170" s="36"/>
      <c r="S170" s="36"/>
      <c r="T170" s="36"/>
      <c r="U170" s="33"/>
      <c r="V170" s="33"/>
      <c r="W170" s="33"/>
      <c r="X170" s="33"/>
      <c r="Y170" s="33"/>
      <c r="Z170" s="3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row>
    <row r="171" spans="1:57" ht="14.25" customHeight="1" x14ac:dyDescent="0.2">
      <c r="A171" s="122"/>
      <c r="B171" s="122"/>
      <c r="C171" s="122"/>
      <c r="D171" s="122"/>
      <c r="E171" s="122"/>
      <c r="F171" s="122"/>
      <c r="G171" s="122"/>
      <c r="H171" s="122"/>
      <c r="I171" s="122"/>
      <c r="J171" s="33"/>
      <c r="K171" s="124"/>
      <c r="L171" s="34"/>
      <c r="M171" s="34"/>
      <c r="N171" s="33"/>
      <c r="O171" s="33"/>
      <c r="P171" s="36"/>
      <c r="Q171" s="36"/>
      <c r="R171" s="36"/>
      <c r="S171" s="36"/>
      <c r="T171" s="36"/>
      <c r="U171" s="33"/>
      <c r="V171" s="33"/>
      <c r="W171" s="33"/>
      <c r="X171" s="33"/>
      <c r="Y171" s="33"/>
      <c r="Z171" s="33"/>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row>
    <row r="172" spans="1:57" ht="14.25" customHeight="1" x14ac:dyDescent="0.2">
      <c r="A172" s="122"/>
      <c r="B172" s="122"/>
      <c r="C172" s="122"/>
      <c r="D172" s="122"/>
      <c r="E172" s="122"/>
      <c r="F172" s="122"/>
      <c r="G172" s="122"/>
      <c r="H172" s="122"/>
      <c r="I172" s="122"/>
      <c r="J172" s="33"/>
      <c r="K172" s="124"/>
      <c r="L172" s="34"/>
      <c r="M172" s="34"/>
      <c r="N172" s="33"/>
      <c r="O172" s="33"/>
      <c r="P172" s="36"/>
      <c r="Q172" s="36"/>
      <c r="R172" s="36"/>
      <c r="S172" s="36"/>
      <c r="T172" s="36"/>
      <c r="U172" s="33"/>
      <c r="V172" s="33"/>
      <c r="W172" s="33"/>
      <c r="X172" s="33"/>
      <c r="Y172" s="33"/>
      <c r="Z172" s="33"/>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row>
    <row r="173" spans="1:57" ht="14.25" customHeight="1" x14ac:dyDescent="0.2">
      <c r="A173" s="122"/>
      <c r="B173" s="122"/>
      <c r="C173" s="122"/>
      <c r="D173" s="122"/>
      <c r="E173" s="122"/>
      <c r="F173" s="122"/>
      <c r="G173" s="122"/>
      <c r="H173" s="122"/>
      <c r="I173" s="122"/>
      <c r="J173" s="33"/>
      <c r="K173" s="124"/>
      <c r="L173" s="34"/>
      <c r="M173" s="34"/>
      <c r="N173" s="34"/>
      <c r="O173" s="33"/>
      <c r="P173" s="36"/>
      <c r="Q173" s="36"/>
      <c r="R173" s="36"/>
      <c r="S173" s="36"/>
      <c r="T173" s="36"/>
      <c r="U173" s="33"/>
      <c r="V173" s="33"/>
      <c r="W173" s="33"/>
      <c r="X173" s="33"/>
      <c r="Y173" s="33"/>
      <c r="Z173" s="3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row>
    <row r="174" spans="1:57" ht="14.25" customHeight="1" x14ac:dyDescent="0.2">
      <c r="A174" s="122"/>
      <c r="B174" s="122"/>
      <c r="C174" s="122"/>
      <c r="D174" s="122"/>
      <c r="E174" s="122"/>
      <c r="F174" s="122"/>
      <c r="G174" s="122"/>
      <c r="H174" s="122"/>
      <c r="I174" s="122"/>
      <c r="J174" s="33"/>
      <c r="K174" s="124"/>
      <c r="L174" s="34"/>
      <c r="M174" s="34"/>
      <c r="N174" s="33"/>
      <c r="O174" s="33"/>
      <c r="P174" s="36"/>
      <c r="Q174" s="36"/>
      <c r="R174" s="36"/>
      <c r="S174" s="36"/>
      <c r="T174" s="36"/>
      <c r="U174" s="33"/>
      <c r="V174" s="33"/>
      <c r="W174" s="33"/>
      <c r="X174" s="33"/>
      <c r="Y174" s="33"/>
      <c r="Z174" s="3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row>
    <row r="175" spans="1:57" ht="14.25" customHeight="1" x14ac:dyDescent="0.2">
      <c r="A175" s="122"/>
      <c r="B175" s="122"/>
      <c r="C175" s="122"/>
      <c r="D175" s="122"/>
      <c r="E175" s="122"/>
      <c r="F175" s="122"/>
      <c r="G175" s="122"/>
      <c r="H175" s="122"/>
      <c r="I175" s="122"/>
      <c r="J175" s="33"/>
      <c r="K175" s="124"/>
      <c r="L175" s="34"/>
      <c r="M175" s="34"/>
      <c r="N175" s="33"/>
      <c r="O175" s="33"/>
      <c r="P175" s="36"/>
      <c r="Q175" s="36"/>
      <c r="R175" s="36"/>
      <c r="S175" s="36"/>
      <c r="T175" s="36"/>
      <c r="U175" s="33"/>
      <c r="V175" s="33"/>
      <c r="W175" s="33"/>
      <c r="X175" s="33"/>
      <c r="Y175" s="33"/>
      <c r="Z175" s="33"/>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row>
    <row r="176" spans="1:57" ht="14.25" customHeight="1" x14ac:dyDescent="0.2">
      <c r="A176" s="122"/>
      <c r="B176" s="122"/>
      <c r="C176" s="122"/>
      <c r="D176" s="122"/>
      <c r="E176" s="122"/>
      <c r="F176" s="122"/>
      <c r="G176" s="122"/>
      <c r="H176" s="122"/>
      <c r="I176" s="122"/>
      <c r="J176" s="33"/>
      <c r="K176" s="124"/>
      <c r="L176" s="34"/>
      <c r="M176" s="34"/>
      <c r="N176" s="33"/>
      <c r="O176" s="33"/>
      <c r="P176" s="36"/>
      <c r="Q176" s="36"/>
      <c r="R176" s="36"/>
      <c r="S176" s="36"/>
      <c r="T176" s="36"/>
      <c r="U176" s="33"/>
      <c r="V176" s="33"/>
      <c r="W176" s="33"/>
      <c r="X176" s="33"/>
      <c r="Y176" s="33"/>
      <c r="Z176" s="3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row>
    <row r="177" spans="1:57" ht="14.25" customHeight="1" x14ac:dyDescent="0.2">
      <c r="A177" s="122"/>
      <c r="B177" s="122"/>
      <c r="C177" s="122"/>
      <c r="D177" s="122"/>
      <c r="E177" s="122"/>
      <c r="F177" s="122"/>
      <c r="G177" s="122"/>
      <c r="H177" s="122"/>
      <c r="I177" s="122"/>
      <c r="J177" s="33"/>
      <c r="K177" s="124"/>
      <c r="L177" s="34"/>
      <c r="M177" s="34"/>
      <c r="N177" s="33"/>
      <c r="O177" s="33"/>
      <c r="P177" s="36"/>
      <c r="Q177" s="36"/>
      <c r="R177" s="36"/>
      <c r="S177" s="36"/>
      <c r="T177" s="36"/>
      <c r="U177" s="33"/>
      <c r="V177" s="33"/>
      <c r="W177" s="33"/>
      <c r="X177" s="33"/>
      <c r="Y177" s="33"/>
      <c r="Z177" s="3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row>
    <row r="178" spans="1:57" ht="14.25" customHeight="1" x14ac:dyDescent="0.2">
      <c r="A178" s="122"/>
      <c r="B178" s="122"/>
      <c r="C178" s="122"/>
      <c r="D178" s="122"/>
      <c r="E178" s="122"/>
      <c r="F178" s="122"/>
      <c r="G178" s="122"/>
      <c r="H178" s="122"/>
      <c r="I178" s="122"/>
      <c r="J178" s="33"/>
      <c r="K178" s="124"/>
      <c r="L178" s="34"/>
      <c r="M178" s="34"/>
      <c r="N178" s="33"/>
      <c r="O178" s="33"/>
      <c r="P178" s="36"/>
      <c r="Q178" s="36"/>
      <c r="R178" s="36"/>
      <c r="S178" s="36"/>
      <c r="T178" s="36"/>
      <c r="U178" s="33"/>
      <c r="V178" s="33"/>
      <c r="W178" s="33"/>
      <c r="X178" s="33"/>
      <c r="Y178" s="33"/>
      <c r="Z178" s="3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row>
    <row r="179" spans="1:57" ht="14.25" customHeight="1" x14ac:dyDescent="0.2">
      <c r="A179" s="122"/>
      <c r="B179" s="122"/>
      <c r="C179" s="122"/>
      <c r="D179" s="122"/>
      <c r="E179" s="122"/>
      <c r="F179" s="122"/>
      <c r="G179" s="122"/>
      <c r="H179" s="122"/>
      <c r="I179" s="122"/>
      <c r="J179" s="33"/>
      <c r="K179" s="124"/>
      <c r="L179" s="34"/>
      <c r="M179" s="34"/>
      <c r="N179" s="33"/>
      <c r="O179" s="33"/>
      <c r="P179" s="36"/>
      <c r="Q179" s="36"/>
      <c r="R179" s="36"/>
      <c r="S179" s="36"/>
      <c r="T179" s="36"/>
      <c r="U179" s="33"/>
      <c r="V179" s="33"/>
      <c r="W179" s="33"/>
      <c r="X179" s="33"/>
      <c r="Y179" s="33"/>
      <c r="Z179" s="3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row>
    <row r="180" spans="1:57" ht="14.25" customHeight="1" x14ac:dyDescent="0.2">
      <c r="A180" s="122"/>
      <c r="B180" s="122"/>
      <c r="C180" s="122"/>
      <c r="D180" s="122"/>
      <c r="E180" s="122"/>
      <c r="F180" s="122"/>
      <c r="G180" s="122"/>
      <c r="H180" s="122"/>
      <c r="I180" s="122"/>
      <c r="J180" s="33"/>
      <c r="K180" s="124"/>
      <c r="L180" s="34"/>
      <c r="M180" s="34"/>
      <c r="N180" s="33"/>
      <c r="O180" s="33"/>
      <c r="P180" s="36"/>
      <c r="Q180" s="36"/>
      <c r="R180" s="36"/>
      <c r="S180" s="36"/>
      <c r="T180" s="36"/>
      <c r="U180" s="33"/>
      <c r="V180" s="33"/>
      <c r="W180" s="33"/>
      <c r="X180" s="33"/>
      <c r="Y180" s="33"/>
      <c r="Z180" s="3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row>
    <row r="181" spans="1:57" ht="14.25" customHeight="1" x14ac:dyDescent="0.2">
      <c r="A181" s="122"/>
      <c r="B181" s="122"/>
      <c r="C181" s="122"/>
      <c r="D181" s="122"/>
      <c r="E181" s="122"/>
      <c r="F181" s="122"/>
      <c r="G181" s="122"/>
      <c r="H181" s="122"/>
      <c r="I181" s="122"/>
      <c r="J181" s="33"/>
      <c r="K181" s="124"/>
      <c r="L181" s="34"/>
      <c r="M181" s="34"/>
      <c r="N181" s="33"/>
      <c r="O181" s="33"/>
      <c r="P181" s="36"/>
      <c r="Q181" s="36"/>
      <c r="R181" s="36"/>
      <c r="S181" s="36"/>
      <c r="T181" s="36"/>
      <c r="U181" s="33"/>
      <c r="V181" s="33"/>
      <c r="W181" s="33"/>
      <c r="X181" s="33"/>
      <c r="Y181" s="33"/>
      <c r="Z181" s="33"/>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row>
    <row r="182" spans="1:57" ht="14.25" customHeight="1" x14ac:dyDescent="0.2">
      <c r="A182" s="122"/>
      <c r="B182" s="122"/>
      <c r="C182" s="122"/>
      <c r="D182" s="122"/>
      <c r="E182" s="122"/>
      <c r="F182" s="122"/>
      <c r="G182" s="122"/>
      <c r="H182" s="122"/>
      <c r="I182" s="122"/>
      <c r="J182" s="33"/>
      <c r="K182" s="124"/>
      <c r="L182" s="34"/>
      <c r="M182" s="34"/>
      <c r="N182" s="33"/>
      <c r="O182" s="33"/>
      <c r="P182" s="36"/>
      <c r="Q182" s="36"/>
      <c r="R182" s="36"/>
      <c r="S182" s="36"/>
      <c r="T182" s="36"/>
      <c r="U182" s="33"/>
      <c r="V182" s="33"/>
      <c r="W182" s="33"/>
      <c r="X182" s="33"/>
      <c r="Y182" s="33"/>
      <c r="Z182" s="3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row>
    <row r="183" spans="1:57" ht="14.25" customHeight="1" x14ac:dyDescent="0.2">
      <c r="A183" s="122"/>
      <c r="B183" s="122"/>
      <c r="C183" s="122"/>
      <c r="D183" s="122"/>
      <c r="E183" s="122"/>
      <c r="F183" s="122"/>
      <c r="G183" s="122"/>
      <c r="H183" s="122"/>
      <c r="I183" s="122"/>
      <c r="J183" s="33"/>
      <c r="K183" s="124"/>
      <c r="L183" s="34"/>
      <c r="M183" s="34"/>
      <c r="N183" s="33"/>
      <c r="O183" s="33"/>
      <c r="P183" s="36"/>
      <c r="Q183" s="36"/>
      <c r="R183" s="36"/>
      <c r="S183" s="36"/>
      <c r="T183" s="36"/>
      <c r="U183" s="33"/>
      <c r="V183" s="33"/>
      <c r="W183" s="33"/>
      <c r="X183" s="33"/>
      <c r="Y183" s="33"/>
      <c r="Z183" s="3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row>
    <row r="184" spans="1:57" ht="14.25" customHeight="1" x14ac:dyDescent="0.2">
      <c r="A184" s="122"/>
      <c r="B184" s="122"/>
      <c r="C184" s="122"/>
      <c r="D184" s="122"/>
      <c r="E184" s="122"/>
      <c r="F184" s="122"/>
      <c r="G184" s="122"/>
      <c r="H184" s="122"/>
      <c r="I184" s="122"/>
      <c r="J184" s="33"/>
      <c r="K184" s="124"/>
      <c r="L184" s="34"/>
      <c r="M184" s="34"/>
      <c r="N184" s="33"/>
      <c r="O184" s="33"/>
      <c r="P184" s="36"/>
      <c r="Q184" s="36"/>
      <c r="R184" s="36"/>
      <c r="S184" s="36"/>
      <c r="T184" s="36"/>
      <c r="U184" s="33"/>
      <c r="V184" s="33"/>
      <c r="W184" s="33"/>
      <c r="X184" s="33"/>
      <c r="Y184" s="33"/>
      <c r="Z184" s="3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row>
    <row r="185" spans="1:57" ht="14.25" customHeight="1" x14ac:dyDescent="0.2">
      <c r="A185" s="122"/>
      <c r="B185" s="122"/>
      <c r="C185" s="122"/>
      <c r="D185" s="122"/>
      <c r="E185" s="122"/>
      <c r="F185" s="122"/>
      <c r="G185" s="122"/>
      <c r="H185" s="122"/>
      <c r="I185" s="122"/>
      <c r="J185" s="33"/>
      <c r="K185" s="124"/>
      <c r="L185" s="34"/>
      <c r="M185" s="34"/>
      <c r="N185" s="33"/>
      <c r="O185" s="33"/>
      <c r="P185" s="33"/>
      <c r="Q185" s="33"/>
      <c r="R185" s="33"/>
      <c r="S185" s="33"/>
      <c r="T185" s="33"/>
      <c r="U185" s="33"/>
      <c r="V185" s="33"/>
      <c r="W185" s="33"/>
      <c r="X185" s="33"/>
      <c r="Y185" s="33"/>
      <c r="Z185" s="3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row>
    <row r="186" spans="1:57" ht="14.25" customHeight="1" x14ac:dyDescent="0.2">
      <c r="A186" s="122"/>
      <c r="B186" s="122"/>
      <c r="C186" s="122"/>
      <c r="D186" s="122"/>
      <c r="E186" s="122"/>
      <c r="F186" s="122"/>
      <c r="G186" s="122"/>
      <c r="H186" s="122"/>
      <c r="I186" s="122"/>
      <c r="J186" s="33"/>
      <c r="K186" s="124"/>
      <c r="L186" s="34"/>
      <c r="M186" s="34"/>
      <c r="N186" s="33"/>
      <c r="O186" s="33"/>
      <c r="P186" s="33"/>
      <c r="Q186" s="33"/>
      <c r="R186" s="33"/>
      <c r="S186" s="33"/>
      <c r="T186" s="33"/>
      <c r="U186" s="33"/>
      <c r="V186" s="33"/>
      <c r="W186" s="33"/>
      <c r="X186" s="33"/>
      <c r="Y186" s="33"/>
      <c r="Z186" s="3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row>
    <row r="187" spans="1:57" ht="14.25" customHeight="1" x14ac:dyDescent="0.2">
      <c r="A187" s="122"/>
      <c r="B187" s="122"/>
      <c r="C187" s="122"/>
      <c r="D187" s="122"/>
      <c r="E187" s="122"/>
      <c r="F187" s="122"/>
      <c r="G187" s="122"/>
      <c r="H187" s="122"/>
      <c r="I187" s="122"/>
      <c r="J187" s="33"/>
      <c r="K187" s="124"/>
      <c r="L187" s="34"/>
      <c r="M187" s="34"/>
      <c r="N187" s="33"/>
      <c r="O187" s="33"/>
      <c r="P187" s="33"/>
      <c r="Q187" s="33"/>
      <c r="R187" s="33"/>
      <c r="S187" s="33"/>
      <c r="T187" s="33"/>
      <c r="U187" s="33"/>
      <c r="V187" s="33"/>
      <c r="W187" s="33"/>
      <c r="X187" s="33"/>
      <c r="Y187" s="33"/>
      <c r="Z187" s="3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row>
    <row r="188" spans="1:57" ht="14.25" customHeight="1" x14ac:dyDescent="0.2">
      <c r="A188" s="122"/>
      <c r="B188" s="122"/>
      <c r="C188" s="122"/>
      <c r="D188" s="122"/>
      <c r="E188" s="122"/>
      <c r="F188" s="122"/>
      <c r="G188" s="122"/>
      <c r="H188" s="122"/>
      <c r="I188" s="122"/>
      <c r="J188" s="33"/>
      <c r="K188" s="124"/>
      <c r="L188" s="34"/>
      <c r="M188" s="34"/>
      <c r="N188" s="33"/>
      <c r="O188" s="33"/>
      <c r="P188" s="33"/>
      <c r="Q188" s="33"/>
      <c r="R188" s="33"/>
      <c r="S188" s="33"/>
      <c r="T188" s="33"/>
      <c r="U188" s="33"/>
      <c r="V188" s="33"/>
      <c r="W188" s="33"/>
      <c r="X188" s="33"/>
      <c r="Y188" s="33"/>
      <c r="Z188" s="3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row>
    <row r="189" spans="1:57" ht="14.25" customHeight="1" x14ac:dyDescent="0.2">
      <c r="A189" s="122"/>
      <c r="B189" s="122"/>
      <c r="C189" s="122"/>
      <c r="D189" s="122"/>
      <c r="E189" s="122"/>
      <c r="F189" s="122"/>
      <c r="G189" s="122"/>
      <c r="H189" s="122"/>
      <c r="I189" s="122"/>
      <c r="J189" s="33"/>
      <c r="K189" s="124"/>
      <c r="L189" s="34"/>
      <c r="M189" s="34"/>
      <c r="N189" s="33"/>
      <c r="O189" s="33"/>
      <c r="P189" s="36"/>
      <c r="Q189" s="36"/>
      <c r="R189" s="36"/>
      <c r="S189" s="36"/>
      <c r="T189" s="36"/>
      <c r="U189" s="33"/>
      <c r="V189" s="33"/>
      <c r="W189" s="33"/>
      <c r="X189" s="33"/>
      <c r="Y189" s="33"/>
      <c r="Z189" s="3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row>
    <row r="190" spans="1:57" ht="14.25" customHeight="1" x14ac:dyDescent="0.2">
      <c r="A190" s="122"/>
      <c r="B190" s="122"/>
      <c r="C190" s="122"/>
      <c r="D190" s="122"/>
      <c r="E190" s="122"/>
      <c r="F190" s="122"/>
      <c r="G190" s="122"/>
      <c r="H190" s="122"/>
      <c r="I190" s="122"/>
      <c r="J190" s="33"/>
      <c r="K190" s="124"/>
      <c r="L190" s="34"/>
      <c r="M190" s="34"/>
      <c r="N190" s="33"/>
      <c r="O190" s="33"/>
      <c r="P190" s="36"/>
      <c r="Q190" s="36"/>
      <c r="R190" s="36"/>
      <c r="S190" s="36"/>
      <c r="T190" s="36"/>
      <c r="U190" s="33"/>
      <c r="V190" s="33"/>
      <c r="W190" s="33"/>
      <c r="X190" s="33"/>
      <c r="Y190" s="33"/>
      <c r="Z190" s="3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row>
    <row r="191" spans="1:57" ht="14.25" customHeight="1" x14ac:dyDescent="0.2">
      <c r="A191" s="122"/>
      <c r="B191" s="122"/>
      <c r="C191" s="122"/>
      <c r="D191" s="122"/>
      <c r="E191" s="122"/>
      <c r="F191" s="122"/>
      <c r="G191" s="122"/>
      <c r="H191" s="122"/>
      <c r="I191" s="122"/>
      <c r="J191" s="33"/>
      <c r="K191" s="124"/>
      <c r="L191" s="34"/>
      <c r="M191" s="34"/>
      <c r="N191" s="33"/>
      <c r="O191" s="33"/>
      <c r="P191" s="36"/>
      <c r="Q191" s="36"/>
      <c r="R191" s="36"/>
      <c r="S191" s="36"/>
      <c r="T191" s="36"/>
      <c r="U191" s="33"/>
      <c r="V191" s="33"/>
      <c r="W191" s="33"/>
      <c r="X191" s="33"/>
      <c r="Y191" s="33"/>
      <c r="Z191" s="33"/>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row>
    <row r="192" spans="1:57" ht="14.25" customHeight="1" x14ac:dyDescent="0.2">
      <c r="A192" s="122"/>
      <c r="B192" s="122"/>
      <c r="C192" s="122"/>
      <c r="D192" s="122"/>
      <c r="E192" s="122"/>
      <c r="F192" s="122"/>
      <c r="G192" s="122"/>
      <c r="H192" s="122"/>
      <c r="I192" s="122"/>
      <c r="J192" s="33"/>
      <c r="K192" s="124"/>
      <c r="L192" s="34"/>
      <c r="M192" s="34"/>
      <c r="N192" s="33"/>
      <c r="O192" s="33"/>
      <c r="P192" s="36"/>
      <c r="Q192" s="36"/>
      <c r="R192" s="36"/>
      <c r="S192" s="36"/>
      <c r="T192" s="36"/>
      <c r="U192" s="33"/>
      <c r="V192" s="33"/>
      <c r="W192" s="33"/>
      <c r="X192" s="33"/>
      <c r="Y192" s="33"/>
      <c r="Z192" s="33"/>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row>
    <row r="193" spans="1:57" ht="14.25" customHeight="1" x14ac:dyDescent="0.2">
      <c r="A193" s="122"/>
      <c r="B193" s="122"/>
      <c r="C193" s="122"/>
      <c r="D193" s="122"/>
      <c r="E193" s="122"/>
      <c r="F193" s="122"/>
      <c r="G193" s="122"/>
      <c r="H193" s="122"/>
      <c r="I193" s="122"/>
      <c r="J193" s="33"/>
      <c r="K193" s="124"/>
      <c r="L193" s="34"/>
      <c r="M193" s="34"/>
      <c r="N193" s="33"/>
      <c r="O193" s="33"/>
      <c r="P193" s="36"/>
      <c r="Q193" s="36"/>
      <c r="R193" s="36"/>
      <c r="S193" s="36"/>
      <c r="T193" s="36"/>
      <c r="U193" s="33"/>
      <c r="V193" s="33"/>
      <c r="W193" s="33"/>
      <c r="X193" s="33"/>
      <c r="Y193" s="33"/>
      <c r="Z193" s="3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row>
    <row r="194" spans="1:57" ht="14.25" customHeight="1" x14ac:dyDescent="0.2">
      <c r="A194" s="122"/>
      <c r="B194" s="122"/>
      <c r="C194" s="122"/>
      <c r="D194" s="122"/>
      <c r="E194" s="122"/>
      <c r="F194" s="122"/>
      <c r="G194" s="122"/>
      <c r="H194" s="122"/>
      <c r="I194" s="122"/>
      <c r="J194" s="33"/>
      <c r="K194" s="124"/>
      <c r="L194" s="34"/>
      <c r="M194" s="34"/>
      <c r="N194" s="33"/>
      <c r="O194" s="33"/>
      <c r="P194" s="33"/>
      <c r="Q194" s="33"/>
      <c r="R194" s="33"/>
      <c r="S194" s="33"/>
      <c r="T194" s="33"/>
      <c r="U194" s="33"/>
      <c r="V194" s="33"/>
      <c r="W194" s="33"/>
      <c r="X194" s="33"/>
      <c r="Y194" s="33"/>
      <c r="Z194" s="33"/>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row>
    <row r="195" spans="1:57" ht="14.25" customHeight="1" x14ac:dyDescent="0.2">
      <c r="A195" s="122"/>
      <c r="B195" s="122"/>
      <c r="C195" s="122"/>
      <c r="D195" s="122"/>
      <c r="E195" s="122"/>
      <c r="F195" s="122"/>
      <c r="G195" s="122"/>
      <c r="H195" s="122"/>
      <c r="I195" s="122"/>
      <c r="J195" s="33"/>
      <c r="K195" s="124"/>
      <c r="L195" s="34"/>
      <c r="M195" s="34"/>
      <c r="N195" s="33"/>
      <c r="O195" s="33"/>
      <c r="P195" s="33"/>
      <c r="Q195" s="33"/>
      <c r="R195" s="33"/>
      <c r="S195" s="33"/>
      <c r="T195" s="33"/>
      <c r="U195" s="33"/>
      <c r="V195" s="33"/>
      <c r="W195" s="33"/>
      <c r="X195" s="33"/>
      <c r="Y195" s="33"/>
      <c r="Z195" s="3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row>
    <row r="196" spans="1:57" ht="14.25" customHeight="1" x14ac:dyDescent="0.2">
      <c r="A196" s="122"/>
      <c r="B196" s="122"/>
      <c r="C196" s="122"/>
      <c r="D196" s="122"/>
      <c r="E196" s="122"/>
      <c r="F196" s="122"/>
      <c r="G196" s="122"/>
      <c r="H196" s="122"/>
      <c r="I196" s="122"/>
      <c r="J196" s="33"/>
      <c r="K196" s="124"/>
      <c r="L196" s="34"/>
      <c r="M196" s="34"/>
      <c r="N196" s="33"/>
      <c r="O196" s="33"/>
      <c r="P196" s="33"/>
      <c r="Q196" s="33"/>
      <c r="R196" s="33"/>
      <c r="S196" s="33"/>
      <c r="T196" s="33"/>
      <c r="U196" s="33"/>
      <c r="V196" s="33"/>
      <c r="W196" s="33"/>
      <c r="X196" s="33"/>
      <c r="Y196" s="33"/>
      <c r="Z196" s="3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row>
    <row r="197" spans="1:57" ht="14.25" customHeight="1" x14ac:dyDescent="0.2">
      <c r="A197" s="122"/>
      <c r="B197" s="122"/>
      <c r="C197" s="122"/>
      <c r="D197" s="122"/>
      <c r="E197" s="122"/>
      <c r="F197" s="122"/>
      <c r="G197" s="122"/>
      <c r="H197" s="122"/>
      <c r="I197" s="122"/>
      <c r="J197" s="33"/>
      <c r="K197" s="124"/>
      <c r="L197" s="34"/>
      <c r="M197" s="34"/>
      <c r="N197" s="33"/>
      <c r="O197" s="33"/>
      <c r="P197" s="33"/>
      <c r="Q197" s="33"/>
      <c r="R197" s="33"/>
      <c r="S197" s="33"/>
      <c r="T197" s="33"/>
      <c r="U197" s="33"/>
      <c r="V197" s="33"/>
      <c r="W197" s="33"/>
      <c r="X197" s="33"/>
      <c r="Y197" s="33"/>
      <c r="Z197" s="33"/>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row>
    <row r="198" spans="1:57" ht="14.25" customHeight="1" x14ac:dyDescent="0.2">
      <c r="A198" s="122"/>
      <c r="B198" s="122"/>
      <c r="C198" s="122"/>
      <c r="D198" s="122"/>
      <c r="E198" s="122"/>
      <c r="F198" s="122"/>
      <c r="G198" s="122"/>
      <c r="H198" s="122"/>
      <c r="I198" s="122"/>
      <c r="J198" s="33"/>
      <c r="K198" s="124"/>
      <c r="L198" s="34"/>
      <c r="M198" s="34"/>
      <c r="N198" s="33"/>
      <c r="O198" s="34"/>
      <c r="P198" s="34"/>
      <c r="Q198" s="34"/>
      <c r="R198" s="34"/>
      <c r="S198" s="34"/>
      <c r="T198" s="34"/>
      <c r="U198" s="34"/>
      <c r="V198" s="34"/>
      <c r="W198" s="34"/>
      <c r="X198" s="34"/>
      <c r="Y198" s="34"/>
      <c r="Z198" s="3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row>
    <row r="199" spans="1:57" ht="14.25" customHeight="1" x14ac:dyDescent="0.2">
      <c r="A199" s="122"/>
      <c r="B199" s="122"/>
      <c r="C199" s="122"/>
      <c r="D199" s="122"/>
      <c r="E199" s="122"/>
      <c r="F199" s="122"/>
      <c r="G199" s="122"/>
      <c r="H199" s="122"/>
      <c r="I199" s="122"/>
      <c r="J199" s="33"/>
      <c r="K199" s="124"/>
      <c r="L199" s="34"/>
      <c r="M199" s="34"/>
      <c r="N199" s="33"/>
      <c r="O199" s="34"/>
      <c r="P199" s="34"/>
      <c r="Q199" s="34"/>
      <c r="R199" s="34"/>
      <c r="S199" s="34"/>
      <c r="T199" s="34"/>
      <c r="U199" s="34"/>
      <c r="V199" s="34"/>
      <c r="W199" s="34"/>
      <c r="X199" s="34"/>
      <c r="Y199" s="34"/>
      <c r="Z199" s="3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row>
    <row r="200" spans="1:57" ht="14.25" customHeight="1" x14ac:dyDescent="0.2">
      <c r="A200" s="122"/>
      <c r="B200" s="122"/>
      <c r="C200" s="122"/>
      <c r="D200" s="122"/>
      <c r="E200" s="122"/>
      <c r="F200" s="122"/>
      <c r="G200" s="122"/>
      <c r="H200" s="122"/>
      <c r="I200" s="122"/>
      <c r="J200" s="33"/>
      <c r="K200" s="124"/>
      <c r="L200" s="34"/>
      <c r="M200" s="34"/>
      <c r="N200" s="33"/>
      <c r="O200" s="34"/>
      <c r="P200" s="34"/>
      <c r="Q200" s="34"/>
      <c r="R200" s="34"/>
      <c r="S200" s="34"/>
      <c r="T200" s="34"/>
      <c r="U200" s="34"/>
      <c r="V200" s="34"/>
      <c r="W200" s="34"/>
      <c r="X200" s="34"/>
      <c r="Y200" s="34"/>
      <c r="Z200" s="3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row>
    <row r="201" spans="1:57" ht="14.25" customHeight="1" x14ac:dyDescent="0.2">
      <c r="A201" s="34"/>
      <c r="B201" s="34"/>
      <c r="C201" s="33"/>
      <c r="D201" s="34"/>
      <c r="E201" s="34"/>
      <c r="F201" s="34"/>
      <c r="G201" s="34"/>
      <c r="H201" s="33"/>
      <c r="I201" s="33"/>
      <c r="J201" s="33"/>
      <c r="K201" s="34"/>
      <c r="L201" s="34"/>
      <c r="M201" s="34"/>
      <c r="N201" s="34"/>
      <c r="O201" s="33"/>
      <c r="P201" s="33"/>
      <c r="Q201" s="33"/>
      <c r="R201" s="33"/>
      <c r="S201" s="33"/>
      <c r="T201" s="33"/>
      <c r="U201" s="33"/>
      <c r="V201" s="33"/>
      <c r="W201" s="33"/>
      <c r="X201" s="33"/>
      <c r="Y201" s="33"/>
      <c r="Z201" s="33"/>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row>
    <row r="202" spans="1:57" ht="14.25" customHeight="1" x14ac:dyDescent="0.2">
      <c r="A202" s="34"/>
      <c r="B202" s="34"/>
      <c r="C202" s="33"/>
      <c r="D202" s="34"/>
      <c r="E202" s="34"/>
      <c r="F202" s="34"/>
      <c r="G202" s="34"/>
      <c r="H202" s="33"/>
      <c r="I202" s="33"/>
      <c r="J202" s="33"/>
      <c r="K202" s="34"/>
      <c r="L202" s="34"/>
      <c r="M202" s="34"/>
      <c r="N202" s="33"/>
      <c r="O202" s="34"/>
      <c r="P202" s="34"/>
      <c r="Q202" s="34"/>
      <c r="R202" s="34"/>
      <c r="S202" s="34"/>
      <c r="T202" s="34"/>
      <c r="U202" s="34"/>
      <c r="V202" s="34"/>
      <c r="W202" s="34"/>
      <c r="X202" s="34"/>
      <c r="Y202" s="34"/>
      <c r="Z202" s="3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row>
    <row r="203" spans="1:57" ht="14.25" customHeight="1" x14ac:dyDescent="0.2">
      <c r="A203" s="34"/>
      <c r="B203" s="34"/>
      <c r="C203" s="33"/>
      <c r="D203" s="34"/>
      <c r="E203" s="34"/>
      <c r="F203" s="34"/>
      <c r="G203" s="34"/>
      <c r="H203" s="33"/>
      <c r="I203" s="33"/>
      <c r="J203" s="33"/>
      <c r="K203" s="34"/>
      <c r="L203" s="34"/>
      <c r="M203" s="34"/>
      <c r="N203" s="33"/>
      <c r="O203" s="34"/>
      <c r="P203" s="34"/>
      <c r="Q203" s="34"/>
      <c r="R203" s="34"/>
      <c r="S203" s="34"/>
      <c r="T203" s="34"/>
      <c r="U203" s="34"/>
      <c r="V203" s="34"/>
      <c r="W203" s="34"/>
      <c r="X203" s="34"/>
      <c r="Y203" s="34"/>
      <c r="Z203" s="3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row>
    <row r="204" spans="1:57" ht="14.25" customHeight="1" x14ac:dyDescent="0.2">
      <c r="A204" s="34"/>
      <c r="B204" s="34"/>
      <c r="C204" s="33"/>
      <c r="D204" s="34"/>
      <c r="E204" s="34"/>
      <c r="F204" s="34"/>
      <c r="G204" s="34"/>
      <c r="H204" s="33"/>
      <c r="I204" s="33"/>
      <c r="J204" s="33"/>
      <c r="K204" s="34"/>
      <c r="L204" s="34"/>
      <c r="M204" s="34"/>
      <c r="N204" s="34"/>
      <c r="O204" s="33"/>
      <c r="P204" s="33"/>
      <c r="Q204" s="33"/>
      <c r="R204" s="33"/>
      <c r="S204" s="33"/>
      <c r="T204" s="33"/>
      <c r="U204" s="33"/>
      <c r="V204" s="33"/>
      <c r="W204" s="33"/>
      <c r="X204" s="33"/>
      <c r="Y204" s="33"/>
      <c r="Z204" s="33"/>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row>
    <row r="205" spans="1:57" ht="14.25" customHeight="1" x14ac:dyDescent="0.2">
      <c r="A205" s="34"/>
      <c r="B205" s="34"/>
      <c r="C205" s="33"/>
      <c r="D205" s="34"/>
      <c r="E205" s="34"/>
      <c r="F205" s="34"/>
      <c r="G205" s="34"/>
      <c r="H205" s="33"/>
      <c r="I205" s="33"/>
      <c r="J205" s="33"/>
      <c r="K205" s="34"/>
      <c r="L205" s="34"/>
      <c r="M205" s="34"/>
      <c r="N205" s="33"/>
      <c r="O205" s="34"/>
      <c r="P205" s="34"/>
      <c r="Q205" s="34"/>
      <c r="R205" s="34"/>
      <c r="S205" s="34"/>
      <c r="T205" s="34"/>
      <c r="U205" s="34"/>
      <c r="V205" s="34"/>
      <c r="W205" s="34"/>
      <c r="X205" s="34"/>
      <c r="Y205" s="34"/>
      <c r="Z205" s="3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row>
    <row r="206" spans="1:57" ht="14.25" customHeight="1" x14ac:dyDescent="0.2">
      <c r="A206" s="34"/>
      <c r="B206" s="34"/>
      <c r="C206" s="33"/>
      <c r="D206" s="34"/>
      <c r="E206" s="34"/>
      <c r="F206" s="34"/>
      <c r="G206" s="34"/>
      <c r="H206" s="33"/>
      <c r="I206" s="33"/>
      <c r="J206" s="33"/>
      <c r="K206" s="34"/>
      <c r="L206" s="34"/>
      <c r="M206" s="34"/>
      <c r="N206" s="33"/>
      <c r="O206" s="34"/>
      <c r="P206" s="34"/>
      <c r="Q206" s="34"/>
      <c r="R206" s="34"/>
      <c r="S206" s="34"/>
      <c r="T206" s="34"/>
      <c r="U206" s="34"/>
      <c r="V206" s="34"/>
      <c r="W206" s="34"/>
      <c r="X206" s="34"/>
      <c r="Y206" s="34"/>
      <c r="Z206" s="3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row>
    <row r="207" spans="1:57" ht="14.25" customHeight="1" x14ac:dyDescent="0.2">
      <c r="A207" s="34"/>
      <c r="B207" s="34"/>
      <c r="C207" s="33"/>
      <c r="D207" s="34"/>
      <c r="E207" s="34"/>
      <c r="F207" s="34"/>
      <c r="G207" s="34"/>
      <c r="H207" s="33"/>
      <c r="I207" s="33"/>
      <c r="J207" s="33"/>
      <c r="K207" s="34"/>
      <c r="L207" s="34"/>
      <c r="M207" s="34"/>
      <c r="N207" s="34"/>
      <c r="O207" s="33"/>
      <c r="P207" s="33"/>
      <c r="Q207" s="33"/>
      <c r="R207" s="33"/>
      <c r="S207" s="33"/>
      <c r="T207" s="33"/>
      <c r="U207" s="33"/>
      <c r="V207" s="33"/>
      <c r="W207" s="33"/>
      <c r="X207" s="33"/>
      <c r="Y207" s="33"/>
      <c r="Z207" s="33"/>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row>
    <row r="208" spans="1:57" ht="14.25" customHeight="1" x14ac:dyDescent="0.2">
      <c r="A208" s="34"/>
      <c r="B208" s="34"/>
      <c r="C208" s="33"/>
      <c r="D208" s="34"/>
      <c r="E208" s="34"/>
      <c r="F208" s="34"/>
      <c r="G208" s="34"/>
      <c r="H208" s="33"/>
      <c r="I208" s="33"/>
      <c r="J208" s="33"/>
      <c r="K208" s="34"/>
      <c r="L208" s="34"/>
      <c r="M208" s="34"/>
      <c r="N208" s="33"/>
      <c r="O208" s="34"/>
      <c r="P208" s="34"/>
      <c r="Q208" s="34"/>
      <c r="R208" s="34"/>
      <c r="S208" s="34"/>
      <c r="T208" s="34"/>
      <c r="U208" s="34"/>
      <c r="V208" s="34"/>
      <c r="W208" s="34"/>
      <c r="X208" s="34"/>
      <c r="Y208" s="34"/>
      <c r="Z208" s="3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row>
    <row r="209" spans="1:57" ht="14.25" customHeight="1" x14ac:dyDescent="0.2">
      <c r="A209" s="34"/>
      <c r="B209" s="34"/>
      <c r="C209" s="33"/>
      <c r="D209" s="34"/>
      <c r="E209" s="34"/>
      <c r="F209" s="34"/>
      <c r="G209" s="34"/>
      <c r="H209" s="33"/>
      <c r="I209" s="33"/>
      <c r="J209" s="33"/>
      <c r="K209" s="34"/>
      <c r="L209" s="34"/>
      <c r="M209" s="34"/>
      <c r="N209" s="33"/>
      <c r="O209" s="34"/>
      <c r="P209" s="34"/>
      <c r="Q209" s="34"/>
      <c r="R209" s="34"/>
      <c r="S209" s="34"/>
      <c r="T209" s="34"/>
      <c r="U209" s="34"/>
      <c r="V209" s="34"/>
      <c r="W209" s="34"/>
      <c r="X209" s="34"/>
      <c r="Y209" s="34"/>
      <c r="Z209" s="3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row>
    <row r="210" spans="1:57" ht="14.25" customHeight="1" x14ac:dyDescent="0.2">
      <c r="A210" s="34"/>
      <c r="B210" s="34"/>
      <c r="C210" s="33"/>
      <c r="D210" s="34"/>
      <c r="E210" s="34"/>
      <c r="F210" s="34"/>
      <c r="G210" s="34"/>
      <c r="H210" s="33"/>
      <c r="I210" s="33"/>
      <c r="J210" s="33"/>
      <c r="K210" s="34"/>
      <c r="L210" s="34"/>
      <c r="M210" s="34"/>
      <c r="N210" s="33"/>
      <c r="O210" s="34"/>
      <c r="P210" s="34"/>
      <c r="Q210" s="34"/>
      <c r="R210" s="34"/>
      <c r="S210" s="34"/>
      <c r="T210" s="34"/>
      <c r="U210" s="34"/>
      <c r="V210" s="34"/>
      <c r="W210" s="34"/>
      <c r="X210" s="34"/>
      <c r="Y210" s="34"/>
      <c r="Z210" s="3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row>
    <row r="211" spans="1:57" ht="14.25" customHeight="1" x14ac:dyDescent="0.2">
      <c r="A211" s="34"/>
      <c r="B211" s="34"/>
      <c r="C211" s="33"/>
      <c r="D211" s="34"/>
      <c r="E211" s="34"/>
      <c r="F211" s="34"/>
      <c r="G211" s="34"/>
      <c r="H211" s="33"/>
      <c r="I211" s="33"/>
      <c r="J211" s="33"/>
      <c r="K211" s="34"/>
      <c r="L211" s="34"/>
      <c r="M211" s="34"/>
      <c r="N211" s="33"/>
      <c r="O211" s="34"/>
      <c r="P211" s="34"/>
      <c r="Q211" s="34"/>
      <c r="R211" s="34"/>
      <c r="S211" s="34"/>
      <c r="T211" s="34"/>
      <c r="U211" s="34"/>
      <c r="V211" s="34"/>
      <c r="W211" s="34"/>
      <c r="X211" s="34"/>
      <c r="Y211" s="34"/>
      <c r="Z211" s="3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row>
    <row r="212" spans="1:57" ht="14.25" customHeight="1" x14ac:dyDescent="0.2">
      <c r="A212" s="34"/>
      <c r="B212" s="34"/>
      <c r="C212" s="33"/>
      <c r="D212" s="34"/>
      <c r="E212" s="34"/>
      <c r="F212" s="34"/>
      <c r="G212" s="34"/>
      <c r="H212" s="33"/>
      <c r="I212" s="33"/>
      <c r="J212" s="33"/>
      <c r="K212" s="34"/>
      <c r="L212" s="34"/>
      <c r="M212" s="34"/>
      <c r="N212" s="34"/>
      <c r="O212" s="33"/>
      <c r="P212" s="33"/>
      <c r="Q212" s="33"/>
      <c r="R212" s="33"/>
      <c r="S212" s="33"/>
      <c r="T212" s="33"/>
      <c r="U212" s="33"/>
      <c r="V212" s="33"/>
      <c r="W212" s="33"/>
      <c r="X212" s="33"/>
      <c r="Y212" s="33"/>
      <c r="Z212" s="33"/>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row>
    <row r="213" spans="1:57" ht="14.25" customHeight="1" x14ac:dyDescent="0.2">
      <c r="A213" s="34"/>
      <c r="B213" s="34"/>
      <c r="C213" s="33"/>
      <c r="D213" s="34"/>
      <c r="E213" s="34"/>
      <c r="F213" s="34"/>
      <c r="G213" s="34"/>
      <c r="H213" s="33"/>
      <c r="I213" s="33"/>
      <c r="J213" s="33"/>
      <c r="K213" s="34"/>
      <c r="L213" s="34"/>
      <c r="M213" s="34"/>
      <c r="N213" s="33"/>
      <c r="O213" s="34"/>
      <c r="P213" s="34"/>
      <c r="Q213" s="34"/>
      <c r="R213" s="34"/>
      <c r="S213" s="34"/>
      <c r="T213" s="34"/>
      <c r="U213" s="34"/>
      <c r="V213" s="34"/>
      <c r="W213" s="34"/>
      <c r="X213" s="34"/>
      <c r="Y213" s="34"/>
      <c r="Z213" s="3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row>
    <row r="214" spans="1:57" ht="14.25" customHeight="1" x14ac:dyDescent="0.2">
      <c r="A214" s="34"/>
      <c r="B214" s="34"/>
      <c r="C214" s="33"/>
      <c r="D214" s="34"/>
      <c r="E214" s="34"/>
      <c r="F214" s="34"/>
      <c r="G214" s="34"/>
      <c r="H214" s="33"/>
      <c r="I214" s="33"/>
      <c r="J214" s="33"/>
      <c r="K214" s="34"/>
      <c r="L214" s="34"/>
      <c r="M214" s="34"/>
      <c r="N214" s="34"/>
      <c r="O214" s="33"/>
      <c r="P214" s="33"/>
      <c r="Q214" s="33"/>
      <c r="R214" s="33"/>
      <c r="S214" s="33"/>
      <c r="T214" s="33"/>
      <c r="U214" s="33"/>
      <c r="V214" s="33"/>
      <c r="W214" s="33"/>
      <c r="X214" s="33"/>
      <c r="Y214" s="33"/>
      <c r="Z214" s="33"/>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row>
    <row r="215" spans="1:57" ht="14.25" customHeight="1" x14ac:dyDescent="0.2">
      <c r="A215" s="34"/>
      <c r="B215" s="34"/>
      <c r="C215" s="33"/>
      <c r="D215" s="34"/>
      <c r="E215" s="34"/>
      <c r="F215" s="34"/>
      <c r="G215" s="34"/>
      <c r="H215" s="33"/>
      <c r="I215" s="33"/>
      <c r="J215" s="33"/>
      <c r="K215" s="34"/>
      <c r="L215" s="34"/>
      <c r="M215" s="34"/>
      <c r="N215" s="33"/>
      <c r="O215" s="34"/>
      <c r="P215" s="34"/>
      <c r="Q215" s="34"/>
      <c r="R215" s="34"/>
      <c r="S215" s="34"/>
      <c r="T215" s="34"/>
      <c r="U215" s="34"/>
      <c r="V215" s="34"/>
      <c r="W215" s="34"/>
      <c r="X215" s="34"/>
      <c r="Y215" s="34"/>
      <c r="Z215" s="3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row>
    <row r="216" spans="1:57" ht="14.25" customHeight="1" x14ac:dyDescent="0.2">
      <c r="A216" s="34"/>
      <c r="B216" s="34"/>
      <c r="C216" s="33"/>
      <c r="D216" s="34"/>
      <c r="E216" s="34"/>
      <c r="F216" s="34"/>
      <c r="G216" s="34"/>
      <c r="H216" s="33"/>
      <c r="I216" s="33"/>
      <c r="J216" s="33"/>
      <c r="K216" s="34"/>
      <c r="L216" s="34"/>
      <c r="M216" s="34"/>
      <c r="N216" s="34"/>
      <c r="O216" s="33"/>
      <c r="P216" s="33"/>
      <c r="Q216" s="33"/>
      <c r="R216" s="33"/>
      <c r="S216" s="33"/>
      <c r="T216" s="33"/>
      <c r="U216" s="33"/>
      <c r="V216" s="33"/>
      <c r="W216" s="33"/>
      <c r="X216" s="33"/>
      <c r="Y216" s="33"/>
      <c r="Z216" s="33"/>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row>
    <row r="217" spans="1:57" ht="14.25" customHeight="1" x14ac:dyDescent="0.2">
      <c r="A217" s="34"/>
      <c r="B217" s="34"/>
      <c r="C217" s="33"/>
      <c r="D217" s="34"/>
      <c r="E217" s="34"/>
      <c r="F217" s="34"/>
      <c r="G217" s="34"/>
      <c r="H217" s="33"/>
      <c r="I217" s="33"/>
      <c r="J217" s="33"/>
      <c r="K217" s="34"/>
      <c r="L217" s="34"/>
      <c r="M217" s="34"/>
      <c r="N217" s="34"/>
      <c r="O217" s="33"/>
      <c r="P217" s="33"/>
      <c r="Q217" s="33"/>
      <c r="R217" s="33"/>
      <c r="S217" s="33"/>
      <c r="T217" s="33"/>
      <c r="U217" s="33"/>
      <c r="V217" s="33"/>
      <c r="W217" s="33"/>
      <c r="X217" s="33"/>
      <c r="Y217" s="33"/>
      <c r="Z217" s="33"/>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row>
    <row r="218" spans="1:57" ht="14.25" customHeight="1" x14ac:dyDescent="0.2">
      <c r="A218" s="34"/>
      <c r="B218" s="34"/>
      <c r="C218" s="33"/>
      <c r="D218" s="34"/>
      <c r="E218" s="34"/>
      <c r="F218" s="34"/>
      <c r="G218" s="34"/>
      <c r="H218" s="33"/>
      <c r="I218" s="33"/>
      <c r="J218" s="33"/>
      <c r="K218" s="34"/>
      <c r="L218" s="34"/>
      <c r="M218" s="34"/>
      <c r="N218" s="33"/>
      <c r="O218" s="34"/>
      <c r="P218" s="34"/>
      <c r="Q218" s="34"/>
      <c r="R218" s="34"/>
      <c r="S218" s="34"/>
      <c r="T218" s="34"/>
      <c r="U218" s="34"/>
      <c r="V218" s="34"/>
      <c r="W218" s="34"/>
      <c r="X218" s="34"/>
      <c r="Y218" s="34"/>
      <c r="Z218" s="3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row>
    <row r="219" spans="1:57" ht="14.25" customHeight="1" x14ac:dyDescent="0.2">
      <c r="A219" s="34"/>
      <c r="B219" s="34"/>
      <c r="C219" s="33"/>
      <c r="D219" s="34"/>
      <c r="E219" s="34"/>
      <c r="F219" s="34"/>
      <c r="G219" s="34"/>
      <c r="H219" s="33"/>
      <c r="I219" s="33"/>
      <c r="J219" s="33"/>
      <c r="K219" s="34"/>
      <c r="L219" s="34"/>
      <c r="M219" s="34"/>
      <c r="N219" s="33"/>
      <c r="O219" s="34"/>
      <c r="P219" s="34"/>
      <c r="Q219" s="34"/>
      <c r="R219" s="34"/>
      <c r="S219" s="34"/>
      <c r="T219" s="34"/>
      <c r="U219" s="34"/>
      <c r="V219" s="34"/>
      <c r="W219" s="34"/>
      <c r="X219" s="34"/>
      <c r="Y219" s="34"/>
      <c r="Z219" s="3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row>
    <row r="220" spans="1:57" ht="14.25" customHeight="1" x14ac:dyDescent="0.2">
      <c r="A220" s="34"/>
      <c r="B220" s="34"/>
      <c r="C220" s="33"/>
      <c r="D220" s="34"/>
      <c r="E220" s="34"/>
      <c r="F220" s="34"/>
      <c r="G220" s="34"/>
      <c r="H220" s="33"/>
      <c r="I220" s="33"/>
      <c r="J220" s="33"/>
      <c r="K220" s="34"/>
      <c r="L220" s="34"/>
      <c r="M220" s="34"/>
      <c r="N220" s="33"/>
      <c r="O220" s="34"/>
      <c r="P220" s="34"/>
      <c r="Q220" s="34"/>
      <c r="R220" s="34"/>
      <c r="S220" s="34"/>
      <c r="T220" s="34"/>
      <c r="U220" s="34"/>
      <c r="V220" s="34"/>
      <c r="W220" s="34"/>
      <c r="X220" s="34"/>
      <c r="Y220" s="34"/>
      <c r="Z220" s="3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row>
    <row r="221" spans="1:57" ht="14.25" customHeight="1" x14ac:dyDescent="0.2">
      <c r="A221" s="34"/>
      <c r="B221" s="34"/>
      <c r="C221" s="33"/>
      <c r="D221" s="34"/>
      <c r="E221" s="34"/>
      <c r="F221" s="34"/>
      <c r="G221" s="34"/>
      <c r="H221" s="33"/>
      <c r="I221" s="33"/>
      <c r="J221" s="33"/>
      <c r="K221" s="34"/>
      <c r="L221" s="34"/>
      <c r="M221" s="34"/>
      <c r="N221" s="33"/>
      <c r="O221" s="34"/>
      <c r="P221" s="34"/>
      <c r="Q221" s="34"/>
      <c r="R221" s="34"/>
      <c r="S221" s="34"/>
      <c r="T221" s="34"/>
      <c r="U221" s="34"/>
      <c r="V221" s="34"/>
      <c r="W221" s="34"/>
      <c r="X221" s="34"/>
      <c r="Y221" s="34"/>
      <c r="Z221" s="3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row>
    <row r="222" spans="1:57" ht="14.25" customHeight="1" x14ac:dyDescent="0.2">
      <c r="A222" s="34"/>
      <c r="B222" s="34"/>
      <c r="C222" s="33"/>
      <c r="D222" s="34"/>
      <c r="E222" s="34"/>
      <c r="F222" s="34"/>
      <c r="G222" s="34"/>
      <c r="H222" s="33"/>
      <c r="I222" s="33"/>
      <c r="J222" s="33"/>
      <c r="K222" s="34"/>
      <c r="L222" s="34"/>
      <c r="M222" s="34"/>
      <c r="N222" s="34"/>
      <c r="O222" s="33"/>
      <c r="P222" s="33"/>
      <c r="Q222" s="33"/>
      <c r="R222" s="33"/>
      <c r="S222" s="33"/>
      <c r="T222" s="33"/>
      <c r="U222" s="33"/>
      <c r="V222" s="33"/>
      <c r="W222" s="33"/>
      <c r="X222" s="33"/>
      <c r="Y222" s="33"/>
      <c r="Z222" s="33"/>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row>
    <row r="223" spans="1:57" ht="14.25" customHeight="1" x14ac:dyDescent="0.2">
      <c r="A223" s="34"/>
      <c r="B223" s="34"/>
      <c r="C223" s="33"/>
      <c r="D223" s="34"/>
      <c r="E223" s="34"/>
      <c r="F223" s="34"/>
      <c r="G223" s="34"/>
      <c r="H223" s="33"/>
      <c r="I223" s="33"/>
      <c r="J223" s="33"/>
      <c r="K223" s="34"/>
      <c r="L223" s="34"/>
      <c r="M223" s="34"/>
      <c r="N223" s="33"/>
      <c r="O223" s="34"/>
      <c r="P223" s="34"/>
      <c r="Q223" s="34"/>
      <c r="R223" s="34"/>
      <c r="S223" s="34"/>
      <c r="T223" s="34"/>
      <c r="U223" s="34"/>
      <c r="V223" s="34"/>
      <c r="W223" s="34"/>
      <c r="X223" s="34"/>
      <c r="Y223" s="34"/>
      <c r="Z223" s="3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row>
    <row r="224" spans="1:57" ht="14.25" customHeight="1" x14ac:dyDescent="0.2">
      <c r="A224" s="34"/>
      <c r="B224" s="34"/>
      <c r="C224" s="33"/>
      <c r="D224" s="34"/>
      <c r="E224" s="34"/>
      <c r="F224" s="34"/>
      <c r="G224" s="34"/>
      <c r="H224" s="33"/>
      <c r="I224" s="33"/>
      <c r="J224" s="33"/>
      <c r="K224" s="34"/>
      <c r="L224" s="34"/>
      <c r="M224" s="34"/>
      <c r="N224" s="33"/>
      <c r="O224" s="34"/>
      <c r="P224" s="34"/>
      <c r="Q224" s="34"/>
      <c r="R224" s="34"/>
      <c r="S224" s="34"/>
      <c r="T224" s="34"/>
      <c r="U224" s="34"/>
      <c r="V224" s="34"/>
      <c r="W224" s="34"/>
      <c r="X224" s="34"/>
      <c r="Y224" s="34"/>
      <c r="Z224" s="3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row>
    <row r="225" spans="1:57" ht="14.25" customHeight="1" x14ac:dyDescent="0.2">
      <c r="A225" s="34"/>
      <c r="B225" s="34"/>
      <c r="C225" s="33"/>
      <c r="D225" s="34"/>
      <c r="E225" s="34"/>
      <c r="F225" s="34"/>
      <c r="G225" s="34"/>
      <c r="H225" s="33"/>
      <c r="I225" s="33"/>
      <c r="J225" s="33"/>
      <c r="K225" s="34"/>
      <c r="L225" s="34"/>
      <c r="M225" s="34"/>
      <c r="N225" s="33"/>
      <c r="O225" s="34"/>
      <c r="P225" s="34"/>
      <c r="Q225" s="34"/>
      <c r="R225" s="34"/>
      <c r="S225" s="34"/>
      <c r="T225" s="34"/>
      <c r="U225" s="34"/>
      <c r="V225" s="34"/>
      <c r="W225" s="34"/>
      <c r="X225" s="34"/>
      <c r="Y225" s="34"/>
      <c r="Z225" s="3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row>
    <row r="226" spans="1:57" ht="14.25" customHeight="1" x14ac:dyDescent="0.2">
      <c r="A226" s="34"/>
      <c r="B226" s="34"/>
      <c r="C226" s="33"/>
      <c r="D226" s="34"/>
      <c r="E226" s="34"/>
      <c r="F226" s="34"/>
      <c r="G226" s="34"/>
      <c r="H226" s="33"/>
      <c r="I226" s="33"/>
      <c r="J226" s="33"/>
      <c r="K226" s="34"/>
      <c r="L226" s="34"/>
      <c r="M226" s="34"/>
      <c r="N226" s="33"/>
      <c r="O226" s="34"/>
      <c r="P226" s="34"/>
      <c r="Q226" s="34"/>
      <c r="R226" s="34"/>
      <c r="S226" s="34"/>
      <c r="T226" s="34"/>
      <c r="U226" s="34"/>
      <c r="V226" s="34"/>
      <c r="W226" s="34"/>
      <c r="X226" s="34"/>
      <c r="Y226" s="34"/>
      <c r="Z226" s="3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row>
    <row r="227" spans="1:57" ht="14.25" customHeight="1" x14ac:dyDescent="0.2">
      <c r="A227" s="34"/>
      <c r="B227" s="34"/>
      <c r="C227" s="33"/>
      <c r="D227" s="34"/>
      <c r="E227" s="34"/>
      <c r="F227" s="34"/>
      <c r="G227" s="34"/>
      <c r="H227" s="33"/>
      <c r="I227" s="33"/>
      <c r="J227" s="33"/>
      <c r="K227" s="34"/>
      <c r="L227" s="34"/>
      <c r="M227" s="34"/>
      <c r="N227" s="33"/>
      <c r="O227" s="34"/>
      <c r="P227" s="34"/>
      <c r="Q227" s="34"/>
      <c r="R227" s="34"/>
      <c r="S227" s="34"/>
      <c r="T227" s="34"/>
      <c r="U227" s="34"/>
      <c r="V227" s="34"/>
      <c r="W227" s="34"/>
      <c r="X227" s="34"/>
      <c r="Y227" s="34"/>
      <c r="Z227" s="3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row>
    <row r="228" spans="1:57" ht="14.25" customHeight="1" x14ac:dyDescent="0.2">
      <c r="A228" s="34"/>
      <c r="B228" s="34"/>
      <c r="C228" s="33"/>
      <c r="D228" s="34"/>
      <c r="E228" s="34"/>
      <c r="F228" s="34"/>
      <c r="G228" s="34"/>
      <c r="H228" s="33"/>
      <c r="I228" s="33"/>
      <c r="J228" s="33"/>
      <c r="K228" s="34"/>
      <c r="L228" s="34"/>
      <c r="M228" s="34"/>
      <c r="N228" s="33"/>
      <c r="O228" s="34"/>
      <c r="P228" s="34"/>
      <c r="Q228" s="34"/>
      <c r="R228" s="34"/>
      <c r="S228" s="34"/>
      <c r="T228" s="34"/>
      <c r="U228" s="34"/>
      <c r="V228" s="34"/>
      <c r="W228" s="34"/>
      <c r="X228" s="34"/>
      <c r="Y228" s="34"/>
      <c r="Z228" s="3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row>
    <row r="229" spans="1:57" ht="14.25" customHeight="1" x14ac:dyDescent="0.2">
      <c r="A229" s="34"/>
      <c r="B229" s="34"/>
      <c r="C229" s="33"/>
      <c r="D229" s="34"/>
      <c r="E229" s="34"/>
      <c r="F229" s="34"/>
      <c r="G229" s="34"/>
      <c r="H229" s="33"/>
      <c r="I229" s="33"/>
      <c r="J229" s="33"/>
      <c r="K229" s="34"/>
      <c r="L229" s="34"/>
      <c r="M229" s="34"/>
      <c r="N229" s="33"/>
      <c r="O229" s="34"/>
      <c r="P229" s="34"/>
      <c r="Q229" s="34"/>
      <c r="R229" s="34"/>
      <c r="S229" s="34"/>
      <c r="T229" s="34"/>
      <c r="U229" s="34"/>
      <c r="V229" s="34"/>
      <c r="W229" s="34"/>
      <c r="X229" s="34"/>
      <c r="Y229" s="34"/>
      <c r="Z229" s="3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row>
    <row r="230" spans="1:57" ht="14.25" customHeight="1" x14ac:dyDescent="0.2">
      <c r="A230" s="34"/>
      <c r="B230" s="34"/>
      <c r="C230" s="33"/>
      <c r="D230" s="34"/>
      <c r="E230" s="34"/>
      <c r="F230" s="34"/>
      <c r="G230" s="34"/>
      <c r="H230" s="33"/>
      <c r="I230" s="33"/>
      <c r="J230" s="33"/>
      <c r="K230" s="34"/>
      <c r="L230" s="34"/>
      <c r="M230" s="34"/>
      <c r="N230" s="33"/>
      <c r="O230" s="34"/>
      <c r="P230" s="34"/>
      <c r="Q230" s="34"/>
      <c r="R230" s="34"/>
      <c r="S230" s="34"/>
      <c r="T230" s="34"/>
      <c r="U230" s="34"/>
      <c r="V230" s="34"/>
      <c r="W230" s="34"/>
      <c r="X230" s="34"/>
      <c r="Y230" s="34"/>
      <c r="Z230" s="3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row>
    <row r="231" spans="1:57" ht="14.25" customHeight="1" x14ac:dyDescent="0.2">
      <c r="A231" s="34"/>
      <c r="B231" s="34"/>
      <c r="C231" s="33"/>
      <c r="D231" s="34"/>
      <c r="E231" s="34"/>
      <c r="F231" s="34"/>
      <c r="G231" s="34"/>
      <c r="H231" s="33"/>
      <c r="I231" s="33"/>
      <c r="J231" s="33"/>
      <c r="K231" s="34"/>
      <c r="L231" s="34"/>
      <c r="M231" s="34"/>
      <c r="N231" s="34"/>
      <c r="O231" s="33"/>
      <c r="P231" s="33"/>
      <c r="Q231" s="33"/>
      <c r="R231" s="33"/>
      <c r="S231" s="33"/>
      <c r="T231" s="33"/>
      <c r="U231" s="33"/>
      <c r="V231" s="33"/>
      <c r="W231" s="33"/>
      <c r="X231" s="33"/>
      <c r="Y231" s="33"/>
      <c r="Z231" s="33"/>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row>
    <row r="232" spans="1:57" ht="14.25" customHeight="1" x14ac:dyDescent="0.2">
      <c r="A232" s="34"/>
      <c r="B232" s="34"/>
      <c r="C232" s="33"/>
      <c r="D232" s="34"/>
      <c r="E232" s="34"/>
      <c r="F232" s="34"/>
      <c r="G232" s="34"/>
      <c r="H232" s="33"/>
      <c r="I232" s="33"/>
      <c r="J232" s="33"/>
      <c r="K232" s="34"/>
      <c r="L232" s="34"/>
      <c r="M232" s="34"/>
      <c r="N232" s="33"/>
      <c r="O232" s="34"/>
      <c r="P232" s="34"/>
      <c r="Q232" s="34"/>
      <c r="R232" s="34"/>
      <c r="S232" s="34"/>
      <c r="T232" s="34"/>
      <c r="U232" s="34"/>
      <c r="V232" s="34"/>
      <c r="W232" s="34"/>
      <c r="X232" s="34"/>
      <c r="Y232" s="34"/>
      <c r="Z232" s="3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row>
    <row r="233" spans="1:57" ht="14.25" customHeight="1" x14ac:dyDescent="0.2">
      <c r="A233" s="34"/>
      <c r="B233" s="34"/>
      <c r="C233" s="33"/>
      <c r="D233" s="34"/>
      <c r="E233" s="34"/>
      <c r="F233" s="34"/>
      <c r="G233" s="34"/>
      <c r="H233" s="33"/>
      <c r="I233" s="33"/>
      <c r="J233" s="33"/>
      <c r="K233" s="34"/>
      <c r="L233" s="34"/>
      <c r="M233" s="34"/>
      <c r="N233" s="33"/>
      <c r="O233" s="34"/>
      <c r="P233" s="34"/>
      <c r="Q233" s="34"/>
      <c r="R233" s="34"/>
      <c r="S233" s="34"/>
      <c r="T233" s="34"/>
      <c r="U233" s="34"/>
      <c r="V233" s="34"/>
      <c r="W233" s="34"/>
      <c r="X233" s="34"/>
      <c r="Y233" s="34"/>
      <c r="Z233" s="3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row>
    <row r="234" spans="1:57" ht="14.25" customHeight="1" x14ac:dyDescent="0.2">
      <c r="A234" s="34"/>
      <c r="B234" s="34"/>
      <c r="C234" s="33"/>
      <c r="D234" s="34"/>
      <c r="E234" s="34"/>
      <c r="F234" s="34"/>
      <c r="G234" s="34"/>
      <c r="H234" s="33"/>
      <c r="I234" s="33"/>
      <c r="J234" s="33"/>
      <c r="K234" s="34"/>
      <c r="L234" s="34"/>
      <c r="M234" s="34"/>
      <c r="N234" s="33"/>
      <c r="O234" s="34"/>
      <c r="P234" s="34"/>
      <c r="Q234" s="34"/>
      <c r="R234" s="34"/>
      <c r="S234" s="34"/>
      <c r="T234" s="34"/>
      <c r="U234" s="34"/>
      <c r="V234" s="34"/>
      <c r="W234" s="34"/>
      <c r="X234" s="34"/>
      <c r="Y234" s="34"/>
      <c r="Z234" s="3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row>
    <row r="235" spans="1:57" ht="14.25" customHeight="1" x14ac:dyDescent="0.2">
      <c r="A235" s="34"/>
      <c r="B235" s="34"/>
      <c r="C235" s="33"/>
      <c r="D235" s="34"/>
      <c r="E235" s="34"/>
      <c r="F235" s="34"/>
      <c r="G235" s="34"/>
      <c r="H235" s="33"/>
      <c r="I235" s="33"/>
      <c r="J235" s="33"/>
      <c r="K235" s="34"/>
      <c r="L235" s="34"/>
      <c r="M235" s="34"/>
      <c r="N235" s="33"/>
      <c r="O235" s="34"/>
      <c r="P235" s="34"/>
      <c r="Q235" s="34"/>
      <c r="R235" s="34"/>
      <c r="S235" s="34"/>
      <c r="T235" s="34"/>
      <c r="U235" s="34"/>
      <c r="V235" s="34"/>
      <c r="W235" s="34"/>
      <c r="X235" s="34"/>
      <c r="Y235" s="34"/>
      <c r="Z235" s="3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row>
    <row r="236" spans="1:57" ht="14.25" customHeight="1" x14ac:dyDescent="0.2">
      <c r="A236" s="34"/>
      <c r="B236" s="34"/>
      <c r="C236" s="33"/>
      <c r="D236" s="34"/>
      <c r="E236" s="34"/>
      <c r="F236" s="34"/>
      <c r="G236" s="34"/>
      <c r="H236" s="33"/>
      <c r="I236" s="33"/>
      <c r="J236" s="33"/>
      <c r="K236" s="34"/>
      <c r="L236" s="34"/>
      <c r="M236" s="34"/>
      <c r="N236" s="33"/>
      <c r="O236" s="34"/>
      <c r="P236" s="34"/>
      <c r="Q236" s="34"/>
      <c r="R236" s="34"/>
      <c r="S236" s="34"/>
      <c r="T236" s="34"/>
      <c r="U236" s="34"/>
      <c r="V236" s="34"/>
      <c r="W236" s="34"/>
      <c r="X236" s="34"/>
      <c r="Y236" s="34"/>
      <c r="Z236" s="3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row>
    <row r="237" spans="1:57" ht="14.25" customHeight="1" x14ac:dyDescent="0.2">
      <c r="A237" s="34"/>
      <c r="B237" s="34"/>
      <c r="C237" s="33"/>
      <c r="D237" s="34"/>
      <c r="E237" s="34"/>
      <c r="F237" s="34"/>
      <c r="G237" s="34"/>
      <c r="H237" s="33"/>
      <c r="I237" s="33"/>
      <c r="J237" s="33"/>
      <c r="K237" s="34"/>
      <c r="L237" s="34"/>
      <c r="M237" s="34"/>
      <c r="N237" s="33"/>
      <c r="O237" s="34"/>
      <c r="P237" s="34"/>
      <c r="Q237" s="34"/>
      <c r="R237" s="34"/>
      <c r="S237" s="34"/>
      <c r="T237" s="34"/>
      <c r="U237" s="34"/>
      <c r="V237" s="34"/>
      <c r="W237" s="34"/>
      <c r="X237" s="34"/>
      <c r="Y237" s="34"/>
      <c r="Z237" s="3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row>
    <row r="238" spans="1:57" ht="14.25" customHeight="1" x14ac:dyDescent="0.2">
      <c r="A238" s="34"/>
      <c r="B238" s="34"/>
      <c r="C238" s="33"/>
      <c r="D238" s="34"/>
      <c r="E238" s="34"/>
      <c r="F238" s="34"/>
      <c r="G238" s="34"/>
      <c r="H238" s="33"/>
      <c r="I238" s="33"/>
      <c r="J238" s="33"/>
      <c r="K238" s="34"/>
      <c r="L238" s="34"/>
      <c r="M238" s="34"/>
      <c r="N238" s="34"/>
      <c r="O238" s="33"/>
      <c r="P238" s="33"/>
      <c r="Q238" s="33"/>
      <c r="R238" s="33"/>
      <c r="S238" s="33"/>
      <c r="T238" s="33"/>
      <c r="U238" s="33"/>
      <c r="V238" s="33"/>
      <c r="W238" s="33"/>
      <c r="X238" s="33"/>
      <c r="Y238" s="33"/>
      <c r="Z238" s="33"/>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row>
    <row r="239" spans="1:57" ht="14.25" customHeight="1" x14ac:dyDescent="0.2">
      <c r="A239" s="34"/>
      <c r="B239" s="34"/>
      <c r="C239" s="33"/>
      <c r="D239" s="34"/>
      <c r="E239" s="34"/>
      <c r="F239" s="34"/>
      <c r="G239" s="34"/>
      <c r="H239" s="33"/>
      <c r="I239" s="33"/>
      <c r="J239" s="33"/>
      <c r="K239" s="34"/>
      <c r="L239" s="34"/>
      <c r="M239" s="34"/>
      <c r="N239" s="33"/>
      <c r="O239" s="34"/>
      <c r="P239" s="34"/>
      <c r="Q239" s="34"/>
      <c r="R239" s="34"/>
      <c r="S239" s="34"/>
      <c r="T239" s="34"/>
      <c r="U239" s="34"/>
      <c r="V239" s="34"/>
      <c r="W239" s="34"/>
      <c r="X239" s="34"/>
      <c r="Y239" s="34"/>
      <c r="Z239" s="3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row>
    <row r="240" spans="1:57" ht="14.25" customHeight="1" x14ac:dyDescent="0.2">
      <c r="A240" s="34"/>
      <c r="B240" s="34"/>
      <c r="C240" s="33"/>
      <c r="D240" s="34"/>
      <c r="E240" s="34"/>
      <c r="F240" s="34"/>
      <c r="G240" s="34"/>
      <c r="H240" s="33"/>
      <c r="I240" s="33"/>
      <c r="J240" s="33"/>
      <c r="K240" s="34"/>
      <c r="L240" s="34"/>
      <c r="M240" s="34"/>
      <c r="N240" s="33"/>
      <c r="O240" s="34"/>
      <c r="P240" s="34"/>
      <c r="Q240" s="34"/>
      <c r="R240" s="34"/>
      <c r="S240" s="34"/>
      <c r="T240" s="34"/>
      <c r="U240" s="34"/>
      <c r="V240" s="34"/>
      <c r="W240" s="34"/>
      <c r="X240" s="34"/>
      <c r="Y240" s="34"/>
      <c r="Z240" s="3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row>
    <row r="241" spans="1:57" ht="14.25" customHeight="1" x14ac:dyDescent="0.2">
      <c r="A241" s="34"/>
      <c r="B241" s="34"/>
      <c r="C241" s="33"/>
      <c r="D241" s="34"/>
      <c r="E241" s="34"/>
      <c r="F241" s="34"/>
      <c r="G241" s="34"/>
      <c r="H241" s="33"/>
      <c r="I241" s="33"/>
      <c r="J241" s="33"/>
      <c r="K241" s="34"/>
      <c r="L241" s="34"/>
      <c r="M241" s="34"/>
      <c r="N241" s="34"/>
      <c r="O241" s="33"/>
      <c r="P241" s="33"/>
      <c r="Q241" s="33"/>
      <c r="R241" s="33"/>
      <c r="S241" s="33"/>
      <c r="T241" s="33"/>
      <c r="U241" s="33"/>
      <c r="V241" s="33"/>
      <c r="W241" s="33"/>
      <c r="X241" s="33"/>
      <c r="Y241" s="33"/>
      <c r="Z241" s="33"/>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row>
    <row r="242" spans="1:57" ht="14.25" customHeight="1" x14ac:dyDescent="0.2">
      <c r="A242" s="34"/>
      <c r="B242" s="34"/>
      <c r="C242" s="33"/>
      <c r="D242" s="34"/>
      <c r="E242" s="34"/>
      <c r="F242" s="34"/>
      <c r="G242" s="34"/>
      <c r="H242" s="33"/>
      <c r="I242" s="33"/>
      <c r="J242" s="33"/>
      <c r="K242" s="34"/>
      <c r="L242" s="34"/>
      <c r="M242" s="34"/>
      <c r="N242" s="33"/>
      <c r="O242" s="34"/>
      <c r="P242" s="34"/>
      <c r="Q242" s="34"/>
      <c r="R242" s="34"/>
      <c r="S242" s="34"/>
      <c r="T242" s="34"/>
      <c r="U242" s="34"/>
      <c r="V242" s="34"/>
      <c r="W242" s="34"/>
      <c r="X242" s="34"/>
      <c r="Y242" s="34"/>
      <c r="Z242" s="3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row>
    <row r="243" spans="1:57" ht="14.25" customHeight="1" x14ac:dyDescent="0.2">
      <c r="A243" s="34"/>
      <c r="B243" s="34"/>
      <c r="C243" s="33"/>
      <c r="D243" s="34"/>
      <c r="E243" s="34"/>
      <c r="F243" s="34"/>
      <c r="G243" s="34"/>
      <c r="H243" s="33"/>
      <c r="I243" s="33"/>
      <c r="J243" s="33"/>
      <c r="K243" s="34"/>
      <c r="L243" s="34"/>
      <c r="M243" s="34"/>
      <c r="N243" s="33"/>
      <c r="O243" s="34"/>
      <c r="P243" s="34"/>
      <c r="Q243" s="34"/>
      <c r="R243" s="34"/>
      <c r="S243" s="34"/>
      <c r="T243" s="34"/>
      <c r="U243" s="34"/>
      <c r="V243" s="34"/>
      <c r="W243" s="34"/>
      <c r="X243" s="34"/>
      <c r="Y243" s="34"/>
      <c r="Z243" s="3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row>
    <row r="244" spans="1:57" ht="14.25" customHeight="1" x14ac:dyDescent="0.2">
      <c r="A244" s="34"/>
      <c r="B244" s="34"/>
      <c r="C244" s="33"/>
      <c r="D244" s="34"/>
      <c r="E244" s="34"/>
      <c r="F244" s="34"/>
      <c r="G244" s="34"/>
      <c r="H244" s="33"/>
      <c r="I244" s="33"/>
      <c r="J244" s="33"/>
      <c r="K244" s="34"/>
      <c r="L244" s="34"/>
      <c r="M244" s="34"/>
      <c r="N244" s="33"/>
      <c r="O244" s="34"/>
      <c r="P244" s="34"/>
      <c r="Q244" s="34"/>
      <c r="R244" s="34"/>
      <c r="S244" s="34"/>
      <c r="T244" s="34"/>
      <c r="U244" s="34"/>
      <c r="V244" s="34"/>
      <c r="W244" s="34"/>
      <c r="X244" s="34"/>
      <c r="Y244" s="34"/>
      <c r="Z244" s="3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row>
    <row r="245" spans="1:57" ht="14.25" customHeight="1" x14ac:dyDescent="0.2">
      <c r="A245" s="34"/>
      <c r="B245" s="34"/>
      <c r="C245" s="33"/>
      <c r="D245" s="34"/>
      <c r="E245" s="34"/>
      <c r="F245" s="34"/>
      <c r="G245" s="34"/>
      <c r="H245" s="33"/>
      <c r="I245" s="33"/>
      <c r="J245" s="33"/>
      <c r="K245" s="34"/>
      <c r="L245" s="34"/>
      <c r="M245" s="34"/>
      <c r="N245" s="33"/>
      <c r="O245" s="34"/>
      <c r="P245" s="34"/>
      <c r="Q245" s="34"/>
      <c r="R245" s="34"/>
      <c r="S245" s="34"/>
      <c r="T245" s="34"/>
      <c r="U245" s="34"/>
      <c r="V245" s="34"/>
      <c r="W245" s="34"/>
      <c r="X245" s="34"/>
      <c r="Y245" s="34"/>
      <c r="Z245" s="3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row>
    <row r="246" spans="1:57" ht="14.25" customHeight="1" x14ac:dyDescent="0.2">
      <c r="A246" s="34"/>
      <c r="B246" s="34"/>
      <c r="C246" s="33"/>
      <c r="D246" s="34"/>
      <c r="E246" s="34"/>
      <c r="F246" s="34"/>
      <c r="G246" s="34"/>
      <c r="H246" s="33"/>
      <c r="I246" s="33"/>
      <c r="J246" s="33"/>
      <c r="K246" s="34"/>
      <c r="L246" s="34"/>
      <c r="M246" s="34"/>
      <c r="N246" s="34"/>
      <c r="O246" s="33"/>
      <c r="P246" s="33"/>
      <c r="Q246" s="33"/>
      <c r="R246" s="33"/>
      <c r="S246" s="33"/>
      <c r="T246" s="33"/>
      <c r="U246" s="33"/>
      <c r="V246" s="33"/>
      <c r="W246" s="33"/>
      <c r="X246" s="33"/>
      <c r="Y246" s="33"/>
      <c r="Z246" s="33"/>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row>
    <row r="247" spans="1:57" ht="14.25" customHeight="1" x14ac:dyDescent="0.2">
      <c r="A247" s="34"/>
      <c r="B247" s="34"/>
      <c r="C247" s="33"/>
      <c r="D247" s="34"/>
      <c r="E247" s="34"/>
      <c r="F247" s="34"/>
      <c r="G247" s="34"/>
      <c r="H247" s="33"/>
      <c r="I247" s="33"/>
      <c r="J247" s="33"/>
      <c r="K247" s="34"/>
      <c r="L247" s="34"/>
      <c r="M247" s="34"/>
      <c r="N247" s="34"/>
      <c r="O247" s="33"/>
      <c r="P247" s="33"/>
      <c r="Q247" s="33"/>
      <c r="R247" s="33"/>
      <c r="S247" s="33"/>
      <c r="T247" s="33"/>
      <c r="U247" s="33"/>
      <c r="V247" s="33"/>
      <c r="W247" s="33"/>
      <c r="X247" s="33"/>
      <c r="Y247" s="33"/>
      <c r="Z247" s="33"/>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row>
    <row r="248" spans="1:57" ht="14.25" customHeight="1" x14ac:dyDescent="0.2">
      <c r="A248" s="34"/>
      <c r="B248" s="34"/>
      <c r="C248" s="33"/>
      <c r="D248" s="34"/>
      <c r="E248" s="34"/>
      <c r="F248" s="34"/>
      <c r="G248" s="34"/>
      <c r="H248" s="33"/>
      <c r="I248" s="33"/>
      <c r="J248" s="33"/>
      <c r="K248" s="34"/>
      <c r="L248" s="34"/>
      <c r="M248" s="34"/>
      <c r="N248" s="33"/>
      <c r="O248" s="34"/>
      <c r="P248" s="34"/>
      <c r="Q248" s="34"/>
      <c r="R248" s="34"/>
      <c r="S248" s="34"/>
      <c r="T248" s="34"/>
      <c r="U248" s="34"/>
      <c r="V248" s="34"/>
      <c r="W248" s="34"/>
      <c r="X248" s="34"/>
      <c r="Y248" s="34"/>
      <c r="Z248" s="3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row>
    <row r="249" spans="1:57" ht="14.25" customHeight="1" x14ac:dyDescent="0.2">
      <c r="A249" s="34"/>
      <c r="B249" s="34"/>
      <c r="C249" s="33"/>
      <c r="D249" s="34"/>
      <c r="E249" s="34"/>
      <c r="F249" s="34"/>
      <c r="G249" s="34"/>
      <c r="H249" s="33"/>
      <c r="I249" s="33"/>
      <c r="J249" s="33"/>
      <c r="K249" s="34"/>
      <c r="L249" s="34"/>
      <c r="M249" s="34"/>
      <c r="N249" s="33"/>
      <c r="O249" s="34"/>
      <c r="P249" s="34"/>
      <c r="Q249" s="34"/>
      <c r="R249" s="34"/>
      <c r="S249" s="34"/>
      <c r="T249" s="34"/>
      <c r="U249" s="34"/>
      <c r="V249" s="34"/>
      <c r="W249" s="34"/>
      <c r="X249" s="34"/>
      <c r="Y249" s="34"/>
      <c r="Z249" s="3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row>
    <row r="250" spans="1:57" ht="14.25" customHeight="1" x14ac:dyDescent="0.2">
      <c r="A250" s="34"/>
      <c r="B250" s="34"/>
      <c r="C250" s="33"/>
      <c r="D250" s="34"/>
      <c r="E250" s="34"/>
      <c r="F250" s="34"/>
      <c r="G250" s="34"/>
      <c r="H250" s="33"/>
      <c r="I250" s="33"/>
      <c r="J250" s="33"/>
      <c r="K250" s="34"/>
      <c r="L250" s="34"/>
      <c r="M250" s="34"/>
      <c r="N250" s="33"/>
      <c r="O250" s="34"/>
      <c r="P250" s="34"/>
      <c r="Q250" s="34"/>
      <c r="R250" s="34"/>
      <c r="S250" s="34"/>
      <c r="T250" s="34"/>
      <c r="U250" s="34"/>
      <c r="V250" s="34"/>
      <c r="W250" s="34"/>
      <c r="X250" s="34"/>
      <c r="Y250" s="34"/>
      <c r="Z250" s="3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row>
    <row r="251" spans="1:57" ht="14.25" customHeight="1" x14ac:dyDescent="0.2">
      <c r="A251" s="34"/>
      <c r="B251" s="34"/>
      <c r="C251" s="33"/>
      <c r="D251" s="34"/>
      <c r="E251" s="34"/>
      <c r="F251" s="34"/>
      <c r="G251" s="34"/>
      <c r="H251" s="33"/>
      <c r="I251" s="33"/>
      <c r="J251" s="33"/>
      <c r="K251" s="34"/>
      <c r="L251" s="34"/>
      <c r="M251" s="34"/>
      <c r="N251" s="33"/>
      <c r="O251" s="34"/>
      <c r="P251" s="34"/>
      <c r="Q251" s="34"/>
      <c r="R251" s="34"/>
      <c r="S251" s="34"/>
      <c r="T251" s="34"/>
      <c r="U251" s="34"/>
      <c r="V251" s="34"/>
      <c r="W251" s="34"/>
      <c r="X251" s="34"/>
      <c r="Y251" s="34"/>
      <c r="Z251" s="3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row>
    <row r="252" spans="1:57" ht="14.25" customHeight="1" x14ac:dyDescent="0.2">
      <c r="A252" s="34"/>
      <c r="B252" s="34"/>
      <c r="C252" s="33"/>
      <c r="D252" s="34"/>
      <c r="E252" s="34"/>
      <c r="F252" s="34"/>
      <c r="G252" s="34"/>
      <c r="H252" s="33"/>
      <c r="I252" s="33"/>
      <c r="J252" s="33"/>
      <c r="K252" s="34"/>
      <c r="L252" s="34"/>
      <c r="M252" s="34"/>
      <c r="N252" s="33"/>
      <c r="O252" s="34"/>
      <c r="P252" s="34"/>
      <c r="Q252" s="34"/>
      <c r="R252" s="34"/>
      <c r="S252" s="34"/>
      <c r="T252" s="34"/>
      <c r="U252" s="34"/>
      <c r="V252" s="34"/>
      <c r="W252" s="34"/>
      <c r="X252" s="34"/>
      <c r="Y252" s="34"/>
      <c r="Z252" s="3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row>
    <row r="253" spans="1:57" ht="14.25" customHeight="1" x14ac:dyDescent="0.2">
      <c r="A253" s="34"/>
      <c r="B253" s="34"/>
      <c r="C253" s="33"/>
      <c r="D253" s="34"/>
      <c r="E253" s="34"/>
      <c r="F253" s="34"/>
      <c r="G253" s="34"/>
      <c r="H253" s="33"/>
      <c r="I253" s="33"/>
      <c r="J253" s="33"/>
      <c r="K253" s="34"/>
      <c r="L253" s="34"/>
      <c r="M253" s="34"/>
      <c r="N253" s="33"/>
      <c r="O253" s="34"/>
      <c r="P253" s="34"/>
      <c r="Q253" s="34"/>
      <c r="R253" s="34"/>
      <c r="S253" s="34"/>
      <c r="T253" s="34"/>
      <c r="U253" s="34"/>
      <c r="V253" s="34"/>
      <c r="W253" s="34"/>
      <c r="X253" s="34"/>
      <c r="Y253" s="34"/>
      <c r="Z253" s="3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row>
    <row r="254" spans="1:57" ht="14.25" customHeight="1" x14ac:dyDescent="0.2">
      <c r="A254" s="34"/>
      <c r="B254" s="34"/>
      <c r="C254" s="33"/>
      <c r="D254" s="34"/>
      <c r="E254" s="34"/>
      <c r="F254" s="34"/>
      <c r="G254" s="34"/>
      <c r="H254" s="33"/>
      <c r="I254" s="33"/>
      <c r="J254" s="33"/>
      <c r="K254" s="34"/>
      <c r="L254" s="34"/>
      <c r="M254" s="34"/>
      <c r="N254" s="33"/>
      <c r="O254" s="34"/>
      <c r="P254" s="34"/>
      <c r="Q254" s="34"/>
      <c r="R254" s="34"/>
      <c r="S254" s="34"/>
      <c r="T254" s="34"/>
      <c r="U254" s="34"/>
      <c r="V254" s="34"/>
      <c r="W254" s="34"/>
      <c r="X254" s="34"/>
      <c r="Y254" s="34"/>
      <c r="Z254" s="3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row>
    <row r="255" spans="1:57" ht="14.25" customHeight="1" x14ac:dyDescent="0.2">
      <c r="A255" s="34"/>
      <c r="B255" s="34"/>
      <c r="C255" s="33"/>
      <c r="D255" s="34"/>
      <c r="E255" s="34"/>
      <c r="F255" s="34"/>
      <c r="G255" s="34"/>
      <c r="H255" s="33"/>
      <c r="I255" s="33"/>
      <c r="J255" s="33"/>
      <c r="K255" s="34"/>
      <c r="L255" s="34"/>
      <c r="M255" s="34"/>
      <c r="N255" s="33"/>
      <c r="O255" s="34"/>
      <c r="P255" s="34"/>
      <c r="Q255" s="34"/>
      <c r="R255" s="34"/>
      <c r="S255" s="34"/>
      <c r="T255" s="34"/>
      <c r="U255" s="34"/>
      <c r="V255" s="34"/>
      <c r="W255" s="34"/>
      <c r="X255" s="34"/>
      <c r="Y255" s="34"/>
      <c r="Z255" s="3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row>
    <row r="256" spans="1:57" ht="14.25" customHeight="1" x14ac:dyDescent="0.2">
      <c r="A256" s="34"/>
      <c r="B256" s="34"/>
      <c r="C256" s="33"/>
      <c r="D256" s="34"/>
      <c r="E256" s="34"/>
      <c r="F256" s="34"/>
      <c r="G256" s="34"/>
      <c r="H256" s="33"/>
      <c r="I256" s="33"/>
      <c r="J256" s="33"/>
      <c r="K256" s="34"/>
      <c r="L256" s="34"/>
      <c r="M256" s="34"/>
      <c r="N256" s="33"/>
      <c r="O256" s="34"/>
      <c r="P256" s="34"/>
      <c r="Q256" s="34"/>
      <c r="R256" s="34"/>
      <c r="S256" s="34"/>
      <c r="T256" s="34"/>
      <c r="U256" s="34"/>
      <c r="V256" s="34"/>
      <c r="W256" s="34"/>
      <c r="X256" s="34"/>
      <c r="Y256" s="34"/>
      <c r="Z256" s="3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row>
    <row r="257" spans="1:57" ht="14.25" customHeight="1" x14ac:dyDescent="0.2">
      <c r="A257" s="34"/>
      <c r="B257" s="34"/>
      <c r="C257" s="33"/>
      <c r="D257" s="34"/>
      <c r="E257" s="34"/>
      <c r="F257" s="34"/>
      <c r="G257" s="34"/>
      <c r="H257" s="33"/>
      <c r="I257" s="33"/>
      <c r="J257" s="33"/>
      <c r="K257" s="34"/>
      <c r="L257" s="34"/>
      <c r="M257" s="34"/>
      <c r="N257" s="33"/>
      <c r="O257" s="34"/>
      <c r="P257" s="34"/>
      <c r="Q257" s="34"/>
      <c r="R257" s="34"/>
      <c r="S257" s="34"/>
      <c r="T257" s="34"/>
      <c r="U257" s="34"/>
      <c r="V257" s="34"/>
      <c r="W257" s="34"/>
      <c r="X257" s="34"/>
      <c r="Y257" s="34"/>
      <c r="Z257" s="3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row>
    <row r="258" spans="1:57" ht="14.25" customHeight="1" x14ac:dyDescent="0.2">
      <c r="A258" s="34"/>
      <c r="B258" s="34"/>
      <c r="C258" s="33"/>
      <c r="D258" s="34"/>
      <c r="E258" s="34"/>
      <c r="F258" s="34"/>
      <c r="G258" s="34"/>
      <c r="H258" s="33"/>
      <c r="I258" s="33"/>
      <c r="J258" s="33"/>
      <c r="K258" s="34"/>
      <c r="L258" s="34"/>
      <c r="M258" s="34"/>
      <c r="N258" s="33"/>
      <c r="O258" s="34"/>
      <c r="P258" s="34"/>
      <c r="Q258" s="34"/>
      <c r="R258" s="34"/>
      <c r="S258" s="34"/>
      <c r="T258" s="34"/>
      <c r="U258" s="34"/>
      <c r="V258" s="34"/>
      <c r="W258" s="34"/>
      <c r="X258" s="34"/>
      <c r="Y258" s="34"/>
      <c r="Z258" s="3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row>
    <row r="259" spans="1:57" ht="14.25" customHeight="1" x14ac:dyDescent="0.2">
      <c r="A259" s="34"/>
      <c r="B259" s="34"/>
      <c r="C259" s="33"/>
      <c r="D259" s="34"/>
      <c r="E259" s="34"/>
      <c r="F259" s="34"/>
      <c r="G259" s="34"/>
      <c r="H259" s="33"/>
      <c r="I259" s="33"/>
      <c r="J259" s="33"/>
      <c r="K259" s="34"/>
      <c r="L259" s="34"/>
      <c r="M259" s="34"/>
      <c r="N259" s="33"/>
      <c r="O259" s="34"/>
      <c r="P259" s="34"/>
      <c r="Q259" s="34"/>
      <c r="R259" s="34"/>
      <c r="S259" s="34"/>
      <c r="T259" s="34"/>
      <c r="U259" s="34"/>
      <c r="V259" s="34"/>
      <c r="W259" s="34"/>
      <c r="X259" s="34"/>
      <c r="Y259" s="34"/>
      <c r="Z259" s="3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row>
    <row r="260" spans="1:57" ht="14.25" customHeight="1" x14ac:dyDescent="0.2">
      <c r="A260" s="34"/>
      <c r="B260" s="34"/>
      <c r="C260" s="33"/>
      <c r="D260" s="34"/>
      <c r="E260" s="34"/>
      <c r="F260" s="34"/>
      <c r="G260" s="34"/>
      <c r="H260" s="33"/>
      <c r="I260" s="33"/>
      <c r="J260" s="33"/>
      <c r="K260" s="34"/>
      <c r="L260" s="34"/>
      <c r="M260" s="34"/>
      <c r="N260" s="33"/>
      <c r="O260" s="34"/>
      <c r="P260" s="34"/>
      <c r="Q260" s="34"/>
      <c r="R260" s="34"/>
      <c r="S260" s="34"/>
      <c r="T260" s="34"/>
      <c r="U260" s="34"/>
      <c r="V260" s="34"/>
      <c r="W260" s="34"/>
      <c r="X260" s="34"/>
      <c r="Y260" s="34"/>
      <c r="Z260" s="3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row>
    <row r="261" spans="1:57" ht="14.25" customHeight="1" x14ac:dyDescent="0.2">
      <c r="A261" s="34"/>
      <c r="B261" s="34"/>
      <c r="C261" s="33"/>
      <c r="D261" s="34"/>
      <c r="E261" s="34"/>
      <c r="F261" s="34"/>
      <c r="G261" s="34"/>
      <c r="H261" s="33"/>
      <c r="I261" s="33"/>
      <c r="J261" s="33"/>
      <c r="K261" s="34"/>
      <c r="L261" s="34"/>
      <c r="M261" s="34"/>
      <c r="N261" s="33"/>
      <c r="O261" s="34"/>
      <c r="P261" s="34"/>
      <c r="Q261" s="34"/>
      <c r="R261" s="34"/>
      <c r="S261" s="34"/>
      <c r="T261" s="34"/>
      <c r="U261" s="34"/>
      <c r="V261" s="34"/>
      <c r="W261" s="34"/>
      <c r="X261" s="34"/>
      <c r="Y261" s="34"/>
      <c r="Z261" s="3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row>
    <row r="262" spans="1:57" ht="14.25" customHeight="1" x14ac:dyDescent="0.2">
      <c r="A262" s="34"/>
      <c r="B262" s="34"/>
      <c r="C262" s="33"/>
      <c r="D262" s="34"/>
      <c r="E262" s="34"/>
      <c r="F262" s="34"/>
      <c r="G262" s="34"/>
      <c r="H262" s="33"/>
      <c r="I262" s="33"/>
      <c r="J262" s="33"/>
      <c r="K262" s="34"/>
      <c r="L262" s="34"/>
      <c r="M262" s="34"/>
      <c r="N262" s="33"/>
      <c r="O262" s="34"/>
      <c r="P262" s="34"/>
      <c r="Q262" s="34"/>
      <c r="R262" s="34"/>
      <c r="S262" s="34"/>
      <c r="T262" s="34"/>
      <c r="U262" s="34"/>
      <c r="V262" s="34"/>
      <c r="W262" s="34"/>
      <c r="X262" s="34"/>
      <c r="Y262" s="34"/>
      <c r="Z262" s="3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row>
    <row r="263" spans="1:57" ht="14.25" customHeight="1" x14ac:dyDescent="0.2">
      <c r="A263" s="34"/>
      <c r="B263" s="34"/>
      <c r="C263" s="33"/>
      <c r="D263" s="34"/>
      <c r="E263" s="34"/>
      <c r="F263" s="34"/>
      <c r="G263" s="34"/>
      <c r="H263" s="33"/>
      <c r="I263" s="33"/>
      <c r="J263" s="33"/>
      <c r="K263" s="34"/>
      <c r="L263" s="34"/>
      <c r="M263" s="34"/>
      <c r="N263" s="33"/>
      <c r="O263" s="34"/>
      <c r="P263" s="34"/>
      <c r="Q263" s="34"/>
      <c r="R263" s="34"/>
      <c r="S263" s="34"/>
      <c r="T263" s="34"/>
      <c r="U263" s="34"/>
      <c r="V263" s="34"/>
      <c r="W263" s="34"/>
      <c r="X263" s="34"/>
      <c r="Y263" s="34"/>
      <c r="Z263" s="3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row>
    <row r="264" spans="1:57" ht="14.25" customHeight="1" x14ac:dyDescent="0.2">
      <c r="A264" s="34"/>
      <c r="B264" s="34"/>
      <c r="C264" s="33"/>
      <c r="D264" s="34"/>
      <c r="E264" s="34"/>
      <c r="F264" s="34"/>
      <c r="G264" s="34"/>
      <c r="H264" s="33"/>
      <c r="I264" s="33"/>
      <c r="J264" s="33"/>
      <c r="K264" s="34"/>
      <c r="L264" s="34"/>
      <c r="M264" s="34"/>
      <c r="N264" s="33"/>
      <c r="O264" s="34"/>
      <c r="P264" s="34"/>
      <c r="Q264" s="34"/>
      <c r="R264" s="34"/>
      <c r="S264" s="34"/>
      <c r="T264" s="34"/>
      <c r="U264" s="34"/>
      <c r="V264" s="34"/>
      <c r="W264" s="34"/>
      <c r="X264" s="34"/>
      <c r="Y264" s="34"/>
      <c r="Z264" s="3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row>
    <row r="265" spans="1:57" ht="14.25" customHeight="1" x14ac:dyDescent="0.2">
      <c r="A265" s="34"/>
      <c r="B265" s="34"/>
      <c r="C265" s="33"/>
      <c r="D265" s="34"/>
      <c r="E265" s="34"/>
      <c r="F265" s="34"/>
      <c r="G265" s="34"/>
      <c r="H265" s="33"/>
      <c r="I265" s="33"/>
      <c r="J265" s="33"/>
      <c r="K265" s="34"/>
      <c r="L265" s="34"/>
      <c r="M265" s="34"/>
      <c r="N265" s="33"/>
      <c r="O265" s="34"/>
      <c r="P265" s="34"/>
      <c r="Q265" s="34"/>
      <c r="R265" s="34"/>
      <c r="S265" s="34"/>
      <c r="T265" s="34"/>
      <c r="U265" s="34"/>
      <c r="V265" s="34"/>
      <c r="W265" s="34"/>
      <c r="X265" s="34"/>
      <c r="Y265" s="34"/>
      <c r="Z265" s="3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row>
    <row r="266" spans="1:57" ht="14.25" customHeight="1" x14ac:dyDescent="0.2">
      <c r="A266" s="34"/>
      <c r="B266" s="34"/>
      <c r="C266" s="33"/>
      <c r="D266" s="34"/>
      <c r="E266" s="34"/>
      <c r="F266" s="34"/>
      <c r="G266" s="34"/>
      <c r="H266" s="33"/>
      <c r="I266" s="33"/>
      <c r="J266" s="33"/>
      <c r="K266" s="34"/>
      <c r="L266" s="34"/>
      <c r="M266" s="34"/>
      <c r="N266" s="33"/>
      <c r="O266" s="34"/>
      <c r="P266" s="34"/>
      <c r="Q266" s="34"/>
      <c r="R266" s="34"/>
      <c r="S266" s="34"/>
      <c r="T266" s="34"/>
      <c r="U266" s="34"/>
      <c r="V266" s="34"/>
      <c r="W266" s="34"/>
      <c r="X266" s="34"/>
      <c r="Y266" s="34"/>
      <c r="Z266" s="3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row>
    <row r="267" spans="1:57" ht="14.25" customHeight="1" x14ac:dyDescent="0.2">
      <c r="A267" s="34"/>
      <c r="B267" s="34"/>
      <c r="C267" s="33"/>
      <c r="D267" s="34"/>
      <c r="E267" s="34"/>
      <c r="F267" s="34"/>
      <c r="G267" s="34"/>
      <c r="H267" s="33"/>
      <c r="I267" s="33"/>
      <c r="J267" s="33"/>
      <c r="K267" s="34"/>
      <c r="L267" s="34"/>
      <c r="M267" s="34"/>
      <c r="N267" s="34"/>
      <c r="O267" s="33"/>
      <c r="P267" s="33"/>
      <c r="Q267" s="33"/>
      <c r="R267" s="33"/>
      <c r="S267" s="33"/>
      <c r="T267" s="33"/>
      <c r="U267" s="33"/>
      <c r="V267" s="33"/>
      <c r="W267" s="33"/>
      <c r="X267" s="33"/>
      <c r="Y267" s="33"/>
      <c r="Z267" s="33"/>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row>
    <row r="268" spans="1:57" ht="14.25" customHeight="1" x14ac:dyDescent="0.2">
      <c r="A268" s="34"/>
      <c r="B268" s="34"/>
      <c r="C268" s="33"/>
      <c r="D268" s="34"/>
      <c r="E268" s="34"/>
      <c r="F268" s="34"/>
      <c r="G268" s="34"/>
      <c r="H268" s="33"/>
      <c r="I268" s="33"/>
      <c r="J268" s="33"/>
      <c r="K268" s="34"/>
      <c r="L268" s="34"/>
      <c r="M268" s="34"/>
      <c r="N268" s="34"/>
      <c r="O268" s="33"/>
      <c r="P268" s="33"/>
      <c r="Q268" s="33"/>
      <c r="R268" s="33"/>
      <c r="S268" s="33"/>
      <c r="T268" s="33"/>
      <c r="U268" s="33"/>
      <c r="V268" s="33"/>
      <c r="W268" s="33"/>
      <c r="X268" s="33"/>
      <c r="Y268" s="33"/>
      <c r="Z268" s="33"/>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row>
    <row r="269" spans="1:57" ht="14.25" customHeight="1" x14ac:dyDescent="0.2">
      <c r="A269" s="34"/>
      <c r="B269" s="34"/>
      <c r="C269" s="33"/>
      <c r="D269" s="34"/>
      <c r="E269" s="34"/>
      <c r="F269" s="34"/>
      <c r="G269" s="34"/>
      <c r="H269" s="33"/>
      <c r="I269" s="33"/>
      <c r="J269" s="33"/>
      <c r="K269" s="34"/>
      <c r="L269" s="34"/>
      <c r="M269" s="34"/>
      <c r="N269" s="34"/>
      <c r="O269" s="33"/>
      <c r="P269" s="33"/>
      <c r="Q269" s="33"/>
      <c r="R269" s="33"/>
      <c r="S269" s="33"/>
      <c r="T269" s="33"/>
      <c r="U269" s="33"/>
      <c r="V269" s="33"/>
      <c r="W269" s="33"/>
      <c r="X269" s="33"/>
      <c r="Y269" s="33"/>
      <c r="Z269" s="33"/>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row>
    <row r="270" spans="1:57" ht="14.25" customHeight="1" x14ac:dyDescent="0.2">
      <c r="A270" s="34"/>
      <c r="B270" s="34"/>
      <c r="C270" s="33"/>
      <c r="D270" s="34"/>
      <c r="E270" s="34"/>
      <c r="F270" s="34"/>
      <c r="G270" s="34"/>
      <c r="H270" s="33"/>
      <c r="I270" s="33"/>
      <c r="J270" s="33"/>
      <c r="K270" s="34"/>
      <c r="L270" s="34"/>
      <c r="M270" s="34"/>
      <c r="N270" s="34"/>
      <c r="O270" s="33"/>
      <c r="P270" s="33"/>
      <c r="Q270" s="33"/>
      <c r="R270" s="33"/>
      <c r="S270" s="33"/>
      <c r="T270" s="33"/>
      <c r="U270" s="33"/>
      <c r="V270" s="33"/>
      <c r="W270" s="33"/>
      <c r="X270" s="33"/>
      <c r="Y270" s="33"/>
      <c r="Z270" s="33"/>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row>
    <row r="271" spans="1:57" ht="14.25" customHeight="1" x14ac:dyDescent="0.2">
      <c r="A271" s="34"/>
      <c r="B271" s="34"/>
      <c r="C271" s="33"/>
      <c r="D271" s="34"/>
      <c r="E271" s="34"/>
      <c r="F271" s="34"/>
      <c r="G271" s="34"/>
      <c r="H271" s="33"/>
      <c r="I271" s="33"/>
      <c r="J271" s="33"/>
      <c r="K271" s="34"/>
      <c r="L271" s="34"/>
      <c r="M271" s="34"/>
      <c r="N271" s="34"/>
      <c r="O271" s="33"/>
      <c r="P271" s="33"/>
      <c r="Q271" s="33"/>
      <c r="R271" s="33"/>
      <c r="S271" s="33"/>
      <c r="T271" s="33"/>
      <c r="U271" s="33"/>
      <c r="V271" s="33"/>
      <c r="W271" s="33"/>
      <c r="X271" s="33"/>
      <c r="Y271" s="33"/>
      <c r="Z271" s="33"/>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row>
    <row r="272" spans="1:57" ht="14.25" customHeight="1" x14ac:dyDescent="0.2">
      <c r="A272" s="34"/>
      <c r="B272" s="34"/>
      <c r="C272" s="33"/>
      <c r="D272" s="34"/>
      <c r="E272" s="34"/>
      <c r="F272" s="34"/>
      <c r="G272" s="34"/>
      <c r="H272" s="33"/>
      <c r="I272" s="33"/>
      <c r="J272" s="33"/>
      <c r="K272" s="34"/>
      <c r="L272" s="34"/>
      <c r="M272" s="34"/>
      <c r="N272" s="34"/>
      <c r="O272" s="33"/>
      <c r="P272" s="33"/>
      <c r="Q272" s="33"/>
      <c r="R272" s="33"/>
      <c r="S272" s="33"/>
      <c r="T272" s="33"/>
      <c r="U272" s="33"/>
      <c r="V272" s="33"/>
      <c r="W272" s="33"/>
      <c r="X272" s="33"/>
      <c r="Y272" s="33"/>
      <c r="Z272" s="33"/>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row>
    <row r="273" spans="1:57" ht="14.25" customHeight="1" x14ac:dyDescent="0.2">
      <c r="A273" s="34"/>
      <c r="B273" s="34"/>
      <c r="C273" s="33"/>
      <c r="D273" s="34"/>
      <c r="E273" s="34"/>
      <c r="F273" s="34"/>
      <c r="G273" s="34"/>
      <c r="H273" s="33"/>
      <c r="I273" s="33"/>
      <c r="J273" s="33"/>
      <c r="K273" s="34"/>
      <c r="L273" s="34"/>
      <c r="M273" s="34"/>
      <c r="N273" s="34"/>
      <c r="O273" s="33"/>
      <c r="P273" s="33"/>
      <c r="Q273" s="33"/>
      <c r="R273" s="33"/>
      <c r="S273" s="33"/>
      <c r="T273" s="33"/>
      <c r="U273" s="33"/>
      <c r="V273" s="33"/>
      <c r="W273" s="33"/>
      <c r="X273" s="33"/>
      <c r="Y273" s="33"/>
      <c r="Z273" s="33"/>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row>
    <row r="274" spans="1:57" ht="14.25" customHeight="1" x14ac:dyDescent="0.2">
      <c r="A274" s="34"/>
      <c r="B274" s="34"/>
      <c r="C274" s="33"/>
      <c r="D274" s="34"/>
      <c r="E274" s="34"/>
      <c r="F274" s="34"/>
      <c r="G274" s="34"/>
      <c r="H274" s="33"/>
      <c r="I274" s="33"/>
      <c r="J274" s="33"/>
      <c r="K274" s="34"/>
      <c r="L274" s="34"/>
      <c r="M274" s="34"/>
      <c r="N274" s="34"/>
      <c r="O274" s="33"/>
      <c r="P274" s="33"/>
      <c r="Q274" s="33"/>
      <c r="R274" s="33"/>
      <c r="S274" s="33"/>
      <c r="T274" s="33"/>
      <c r="U274" s="33"/>
      <c r="V274" s="33"/>
      <c r="W274" s="33"/>
      <c r="X274" s="33"/>
      <c r="Y274" s="33"/>
      <c r="Z274" s="33"/>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row>
    <row r="275" spans="1:57" ht="14.25" customHeight="1" x14ac:dyDescent="0.2">
      <c r="A275" s="34"/>
      <c r="B275" s="34"/>
      <c r="C275" s="33"/>
      <c r="D275" s="34"/>
      <c r="E275" s="34"/>
      <c r="F275" s="34"/>
      <c r="G275" s="34"/>
      <c r="H275" s="33"/>
      <c r="I275" s="33"/>
      <c r="J275" s="33"/>
      <c r="K275" s="34"/>
      <c r="L275" s="34"/>
      <c r="M275" s="34"/>
      <c r="N275" s="34"/>
      <c r="O275" s="33"/>
      <c r="P275" s="33"/>
      <c r="Q275" s="33"/>
      <c r="R275" s="33"/>
      <c r="S275" s="33"/>
      <c r="T275" s="33"/>
      <c r="U275" s="33"/>
      <c r="V275" s="33"/>
      <c r="W275" s="33"/>
      <c r="X275" s="33"/>
      <c r="Y275" s="33"/>
      <c r="Z275" s="33"/>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row>
    <row r="276" spans="1:57" ht="14.25" customHeight="1" x14ac:dyDescent="0.2">
      <c r="A276" s="34"/>
      <c r="B276" s="34"/>
      <c r="C276" s="33"/>
      <c r="D276" s="34"/>
      <c r="E276" s="34"/>
      <c r="F276" s="34"/>
      <c r="G276" s="34"/>
      <c r="H276" s="33"/>
      <c r="I276" s="33"/>
      <c r="J276" s="33"/>
      <c r="K276" s="34"/>
      <c r="L276" s="34"/>
      <c r="M276" s="34"/>
      <c r="N276" s="33"/>
      <c r="O276" s="34"/>
      <c r="P276" s="34"/>
      <c r="Q276" s="34"/>
      <c r="R276" s="34"/>
      <c r="S276" s="34"/>
      <c r="T276" s="34"/>
      <c r="U276" s="34"/>
      <c r="V276" s="34"/>
      <c r="W276" s="34"/>
      <c r="X276" s="34"/>
      <c r="Y276" s="34"/>
      <c r="Z276" s="3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row>
    <row r="277" spans="1:57" ht="14.25" customHeight="1" x14ac:dyDescent="0.2">
      <c r="A277" s="34"/>
      <c r="B277" s="34"/>
      <c r="C277" s="33"/>
      <c r="D277" s="34"/>
      <c r="E277" s="34"/>
      <c r="F277" s="34"/>
      <c r="G277" s="34"/>
      <c r="H277" s="33"/>
      <c r="I277" s="33"/>
      <c r="J277" s="33"/>
      <c r="K277" s="34"/>
      <c r="L277" s="34"/>
      <c r="M277" s="34"/>
      <c r="N277" s="34"/>
      <c r="O277" s="33"/>
      <c r="P277" s="33"/>
      <c r="Q277" s="33"/>
      <c r="R277" s="33"/>
      <c r="S277" s="33"/>
      <c r="T277" s="33"/>
      <c r="U277" s="33"/>
      <c r="V277" s="33"/>
      <c r="W277" s="33"/>
      <c r="X277" s="33"/>
      <c r="Y277" s="33"/>
      <c r="Z277" s="33"/>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row>
    <row r="278" spans="1:57" ht="14.25" customHeight="1" x14ac:dyDescent="0.2">
      <c r="A278" s="34"/>
      <c r="B278" s="34"/>
      <c r="C278" s="33"/>
      <c r="D278" s="34"/>
      <c r="E278" s="34"/>
      <c r="F278" s="34"/>
      <c r="G278" s="34"/>
      <c r="H278" s="33"/>
      <c r="I278" s="33"/>
      <c r="J278" s="33"/>
      <c r="K278" s="34"/>
      <c r="L278" s="34"/>
      <c r="M278" s="34"/>
      <c r="N278" s="33"/>
      <c r="O278" s="34"/>
      <c r="P278" s="34"/>
      <c r="Q278" s="34"/>
      <c r="R278" s="34"/>
      <c r="S278" s="34"/>
      <c r="T278" s="34"/>
      <c r="U278" s="34"/>
      <c r="V278" s="34"/>
      <c r="W278" s="34"/>
      <c r="X278" s="34"/>
      <c r="Y278" s="34"/>
      <c r="Z278" s="3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row>
    <row r="279" spans="1:57" ht="14.25" customHeight="1" x14ac:dyDescent="0.2">
      <c r="A279" s="34"/>
      <c r="B279" s="34"/>
      <c r="C279" s="33"/>
      <c r="D279" s="34"/>
      <c r="E279" s="34"/>
      <c r="F279" s="34"/>
      <c r="G279" s="34"/>
      <c r="H279" s="33"/>
      <c r="I279" s="33"/>
      <c r="J279" s="33"/>
      <c r="K279" s="34"/>
      <c r="L279" s="34"/>
      <c r="M279" s="34"/>
      <c r="N279" s="33"/>
      <c r="O279" s="34"/>
      <c r="P279" s="34"/>
      <c r="Q279" s="34"/>
      <c r="R279" s="34"/>
      <c r="S279" s="34"/>
      <c r="T279" s="34"/>
      <c r="U279" s="34"/>
      <c r="V279" s="34"/>
      <c r="W279" s="34"/>
      <c r="X279" s="34"/>
      <c r="Y279" s="34"/>
      <c r="Z279" s="3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row>
    <row r="280" spans="1:57" ht="14.25" customHeight="1" x14ac:dyDescent="0.2">
      <c r="A280" s="34"/>
      <c r="B280" s="34"/>
      <c r="C280" s="33"/>
      <c r="D280" s="34"/>
      <c r="E280" s="34"/>
      <c r="F280" s="34"/>
      <c r="G280" s="34"/>
      <c r="H280" s="33"/>
      <c r="I280" s="33"/>
      <c r="J280" s="33"/>
      <c r="K280" s="34"/>
      <c r="L280" s="34"/>
      <c r="M280" s="34"/>
      <c r="N280" s="33"/>
      <c r="O280" s="34"/>
      <c r="P280" s="34"/>
      <c r="Q280" s="34"/>
      <c r="R280" s="34"/>
      <c r="S280" s="34"/>
      <c r="T280" s="34"/>
      <c r="U280" s="34"/>
      <c r="V280" s="34"/>
      <c r="W280" s="34"/>
      <c r="X280" s="34"/>
      <c r="Y280" s="34"/>
      <c r="Z280" s="3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row>
    <row r="281" spans="1:57" ht="14.25" customHeight="1" x14ac:dyDescent="0.2">
      <c r="A281" s="34"/>
      <c r="B281" s="34"/>
      <c r="C281" s="33"/>
      <c r="D281" s="34"/>
      <c r="E281" s="34"/>
      <c r="F281" s="34"/>
      <c r="G281" s="34"/>
      <c r="H281" s="33"/>
      <c r="I281" s="33"/>
      <c r="J281" s="33"/>
      <c r="K281" s="34"/>
      <c r="L281" s="34"/>
      <c r="M281" s="34"/>
      <c r="N281" s="34"/>
      <c r="O281" s="33"/>
      <c r="P281" s="33"/>
      <c r="Q281" s="33"/>
      <c r="R281" s="33"/>
      <c r="S281" s="33"/>
      <c r="T281" s="33"/>
      <c r="U281" s="33"/>
      <c r="V281" s="33"/>
      <c r="W281" s="33"/>
      <c r="X281" s="33"/>
      <c r="Y281" s="33"/>
      <c r="Z281" s="33"/>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row>
    <row r="282" spans="1:57" ht="14.25" customHeight="1" x14ac:dyDescent="0.2">
      <c r="A282" s="34"/>
      <c r="B282" s="34"/>
      <c r="C282" s="33"/>
      <c r="D282" s="34"/>
      <c r="E282" s="34"/>
      <c r="F282" s="34"/>
      <c r="G282" s="34"/>
      <c r="H282" s="33"/>
      <c r="I282" s="33"/>
      <c r="J282" s="33"/>
      <c r="K282" s="34"/>
      <c r="L282" s="34"/>
      <c r="M282" s="34"/>
      <c r="N282" s="34"/>
      <c r="O282" s="33"/>
      <c r="P282" s="33"/>
      <c r="Q282" s="33"/>
      <c r="R282" s="33"/>
      <c r="S282" s="33"/>
      <c r="T282" s="33"/>
      <c r="U282" s="33"/>
      <c r="V282" s="33"/>
      <c r="W282" s="33"/>
      <c r="X282" s="33"/>
      <c r="Y282" s="33"/>
      <c r="Z282" s="33"/>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row>
    <row r="283" spans="1:57" ht="14.25" customHeight="1" x14ac:dyDescent="0.2">
      <c r="A283" s="34"/>
      <c r="B283" s="34"/>
      <c r="C283" s="33"/>
      <c r="D283" s="34"/>
      <c r="E283" s="34"/>
      <c r="F283" s="34"/>
      <c r="G283" s="34"/>
      <c r="H283" s="33"/>
      <c r="I283" s="33"/>
      <c r="J283" s="33"/>
      <c r="K283" s="34"/>
      <c r="L283" s="34"/>
      <c r="M283" s="34"/>
      <c r="N283" s="33"/>
      <c r="O283" s="34"/>
      <c r="P283" s="34"/>
      <c r="Q283" s="34"/>
      <c r="R283" s="34"/>
      <c r="S283" s="34"/>
      <c r="T283" s="34"/>
      <c r="U283" s="34"/>
      <c r="V283" s="34"/>
      <c r="W283" s="34"/>
      <c r="X283" s="34"/>
      <c r="Y283" s="34"/>
      <c r="Z283" s="3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row>
    <row r="284" spans="1:57" ht="14.25" customHeight="1" x14ac:dyDescent="0.2">
      <c r="A284" s="34"/>
      <c r="B284" s="34"/>
      <c r="C284" s="33"/>
      <c r="D284" s="34"/>
      <c r="E284" s="34"/>
      <c r="F284" s="34"/>
      <c r="G284" s="34"/>
      <c r="H284" s="33"/>
      <c r="I284" s="33"/>
      <c r="J284" s="33"/>
      <c r="K284" s="34"/>
      <c r="L284" s="34"/>
      <c r="M284" s="34"/>
      <c r="N284" s="33"/>
      <c r="O284" s="34"/>
      <c r="P284" s="34"/>
      <c r="Q284" s="34"/>
      <c r="R284" s="34"/>
      <c r="S284" s="34"/>
      <c r="T284" s="34"/>
      <c r="U284" s="34"/>
      <c r="V284" s="34"/>
      <c r="W284" s="34"/>
      <c r="X284" s="34"/>
      <c r="Y284" s="34"/>
      <c r="Z284" s="3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row>
    <row r="285" spans="1:57" ht="14.25" customHeight="1" x14ac:dyDescent="0.2">
      <c r="A285" s="34"/>
      <c r="B285" s="34"/>
      <c r="C285" s="33"/>
      <c r="D285" s="34"/>
      <c r="E285" s="34"/>
      <c r="F285" s="34"/>
      <c r="G285" s="34"/>
      <c r="H285" s="33"/>
      <c r="I285" s="33"/>
      <c r="J285" s="33"/>
      <c r="K285" s="34"/>
      <c r="L285" s="34"/>
      <c r="M285" s="34"/>
      <c r="N285" s="33"/>
      <c r="O285" s="34"/>
      <c r="P285" s="34"/>
      <c r="Q285" s="34"/>
      <c r="R285" s="34"/>
      <c r="S285" s="34"/>
      <c r="T285" s="34"/>
      <c r="U285" s="34"/>
      <c r="V285" s="34"/>
      <c r="W285" s="34"/>
      <c r="X285" s="34"/>
      <c r="Y285" s="34"/>
      <c r="Z285" s="3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row>
    <row r="286" spans="1:57" ht="14.25" customHeight="1" x14ac:dyDescent="0.2">
      <c r="A286" s="34"/>
      <c r="B286" s="34"/>
      <c r="C286" s="33"/>
      <c r="D286" s="34"/>
      <c r="E286" s="34"/>
      <c r="F286" s="34"/>
      <c r="G286" s="34"/>
      <c r="H286" s="33"/>
      <c r="I286" s="33"/>
      <c r="J286" s="33"/>
      <c r="K286" s="34"/>
      <c r="L286" s="34"/>
      <c r="M286" s="34"/>
      <c r="N286" s="34"/>
      <c r="O286" s="33"/>
      <c r="P286" s="33"/>
      <c r="Q286" s="33"/>
      <c r="R286" s="33"/>
      <c r="S286" s="33"/>
      <c r="T286" s="33"/>
      <c r="U286" s="33"/>
      <c r="V286" s="33"/>
      <c r="W286" s="33"/>
      <c r="X286" s="33"/>
      <c r="Y286" s="33"/>
      <c r="Z286" s="33"/>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row>
    <row r="287" spans="1:57" ht="14.25" customHeight="1" x14ac:dyDescent="0.2">
      <c r="A287" s="34"/>
      <c r="B287" s="34"/>
      <c r="C287" s="33"/>
      <c r="D287" s="34"/>
      <c r="E287" s="34"/>
      <c r="F287" s="34"/>
      <c r="G287" s="34"/>
      <c r="H287" s="33"/>
      <c r="I287" s="33"/>
      <c r="J287" s="33"/>
      <c r="K287" s="34"/>
      <c r="L287" s="34"/>
      <c r="M287" s="34"/>
      <c r="N287" s="34"/>
      <c r="O287" s="33"/>
      <c r="P287" s="33"/>
      <c r="Q287" s="33"/>
      <c r="R287" s="33"/>
      <c r="S287" s="33"/>
      <c r="T287" s="33"/>
      <c r="U287" s="33"/>
      <c r="V287" s="33"/>
      <c r="W287" s="33"/>
      <c r="X287" s="33"/>
      <c r="Y287" s="33"/>
      <c r="Z287" s="33"/>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row>
    <row r="288" spans="1:57" ht="14.25" customHeight="1" x14ac:dyDescent="0.2">
      <c r="A288" s="34"/>
      <c r="B288" s="34"/>
      <c r="C288" s="33"/>
      <c r="D288" s="34"/>
      <c r="E288" s="34"/>
      <c r="F288" s="34"/>
      <c r="G288" s="34"/>
      <c r="H288" s="33"/>
      <c r="I288" s="33"/>
      <c r="J288" s="33"/>
      <c r="K288" s="34"/>
      <c r="L288" s="34"/>
      <c r="M288" s="34"/>
      <c r="N288" s="33"/>
      <c r="O288" s="34"/>
      <c r="P288" s="34"/>
      <c r="Q288" s="34"/>
      <c r="R288" s="34"/>
      <c r="S288" s="34"/>
      <c r="T288" s="34"/>
      <c r="U288" s="34"/>
      <c r="V288" s="34"/>
      <c r="W288" s="34"/>
      <c r="X288" s="34"/>
      <c r="Y288" s="34"/>
      <c r="Z288" s="3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row>
    <row r="289" spans="1:57" ht="14.25" customHeight="1" x14ac:dyDescent="0.2">
      <c r="A289" s="34"/>
      <c r="B289" s="34"/>
      <c r="C289" s="33"/>
      <c r="D289" s="34"/>
      <c r="E289" s="34"/>
      <c r="F289" s="34"/>
      <c r="G289" s="34"/>
      <c r="H289" s="33"/>
      <c r="I289" s="33"/>
      <c r="J289" s="33"/>
      <c r="K289" s="34"/>
      <c r="L289" s="34"/>
      <c r="M289" s="34"/>
      <c r="N289" s="33"/>
      <c r="O289" s="34"/>
      <c r="P289" s="34"/>
      <c r="Q289" s="34"/>
      <c r="R289" s="34"/>
      <c r="S289" s="34"/>
      <c r="T289" s="34"/>
      <c r="U289" s="34"/>
      <c r="V289" s="34"/>
      <c r="W289" s="34"/>
      <c r="X289" s="34"/>
      <c r="Y289" s="34"/>
      <c r="Z289" s="3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row>
    <row r="290" spans="1:57" ht="14.25" customHeight="1" x14ac:dyDescent="0.2">
      <c r="A290" s="34"/>
      <c r="B290" s="34"/>
      <c r="C290" s="33"/>
      <c r="D290" s="34"/>
      <c r="E290" s="34"/>
      <c r="F290" s="34"/>
      <c r="G290" s="34"/>
      <c r="H290" s="33"/>
      <c r="I290" s="33"/>
      <c r="J290" s="33"/>
      <c r="K290" s="34"/>
      <c r="L290" s="34"/>
      <c r="M290" s="34"/>
      <c r="N290" s="33"/>
      <c r="O290" s="34"/>
      <c r="P290" s="34"/>
      <c r="Q290" s="34"/>
      <c r="R290" s="34"/>
      <c r="S290" s="34"/>
      <c r="T290" s="34"/>
      <c r="U290" s="34"/>
      <c r="V290" s="34"/>
      <c r="W290" s="34"/>
      <c r="X290" s="34"/>
      <c r="Y290" s="34"/>
      <c r="Z290" s="3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row>
    <row r="291" spans="1:57" ht="14.25" customHeight="1" x14ac:dyDescent="0.2">
      <c r="A291" s="34"/>
      <c r="B291" s="34"/>
      <c r="C291" s="33"/>
      <c r="D291" s="34"/>
      <c r="E291" s="34"/>
      <c r="F291" s="34"/>
      <c r="G291" s="34"/>
      <c r="H291" s="33"/>
      <c r="I291" s="33"/>
      <c r="J291" s="33"/>
      <c r="K291" s="34"/>
      <c r="L291" s="34"/>
      <c r="M291" s="34"/>
      <c r="N291" s="34"/>
      <c r="O291" s="33"/>
      <c r="P291" s="33"/>
      <c r="Q291" s="33"/>
      <c r="R291" s="33"/>
      <c r="S291" s="33"/>
      <c r="T291" s="33"/>
      <c r="U291" s="33"/>
      <c r="V291" s="33"/>
      <c r="W291" s="33"/>
      <c r="X291" s="33"/>
      <c r="Y291" s="33"/>
      <c r="Z291" s="33"/>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row>
    <row r="292" spans="1:57" ht="14.25" customHeight="1" x14ac:dyDescent="0.2">
      <c r="A292" s="34"/>
      <c r="B292" s="34"/>
      <c r="C292" s="33"/>
      <c r="D292" s="34"/>
      <c r="E292" s="34"/>
      <c r="F292" s="34"/>
      <c r="G292" s="34"/>
      <c r="H292" s="33"/>
      <c r="I292" s="33"/>
      <c r="J292" s="33"/>
      <c r="K292" s="34"/>
      <c r="L292" s="34"/>
      <c r="M292" s="34"/>
      <c r="N292" s="33"/>
      <c r="O292" s="34"/>
      <c r="P292" s="34"/>
      <c r="Q292" s="34"/>
      <c r="R292" s="34"/>
      <c r="S292" s="34"/>
      <c r="T292" s="34"/>
      <c r="U292" s="34"/>
      <c r="V292" s="34"/>
      <c r="W292" s="34"/>
      <c r="X292" s="34"/>
      <c r="Y292" s="34"/>
      <c r="Z292" s="3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row>
    <row r="293" spans="1:57" ht="14.25" customHeight="1" x14ac:dyDescent="0.2">
      <c r="A293" s="34"/>
      <c r="B293" s="34"/>
      <c r="C293" s="33"/>
      <c r="D293" s="34"/>
      <c r="E293" s="34"/>
      <c r="F293" s="34"/>
      <c r="G293" s="34"/>
      <c r="H293" s="33"/>
      <c r="I293" s="33"/>
      <c r="J293" s="33"/>
      <c r="K293" s="34"/>
      <c r="L293" s="34"/>
      <c r="M293" s="34"/>
      <c r="N293" s="34"/>
      <c r="O293" s="33"/>
      <c r="P293" s="33"/>
      <c r="Q293" s="33"/>
      <c r="R293" s="33"/>
      <c r="S293" s="33"/>
      <c r="T293" s="33"/>
      <c r="U293" s="33"/>
      <c r="V293" s="33"/>
      <c r="W293" s="33"/>
      <c r="X293" s="33"/>
      <c r="Y293" s="33"/>
      <c r="Z293" s="33"/>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row>
    <row r="294" spans="1:57" ht="14.25" customHeight="1" x14ac:dyDescent="0.2">
      <c r="A294" s="34"/>
      <c r="B294" s="34"/>
      <c r="C294" s="33"/>
      <c r="D294" s="34"/>
      <c r="E294" s="34"/>
      <c r="F294" s="34"/>
      <c r="G294" s="34"/>
      <c r="H294" s="33"/>
      <c r="I294" s="33"/>
      <c r="J294" s="33"/>
      <c r="K294" s="34"/>
      <c r="L294" s="34"/>
      <c r="M294" s="34"/>
      <c r="N294" s="33"/>
      <c r="O294" s="34"/>
      <c r="P294" s="34"/>
      <c r="Q294" s="34"/>
      <c r="R294" s="34"/>
      <c r="S294" s="34"/>
      <c r="T294" s="34"/>
      <c r="U294" s="34"/>
      <c r="V294" s="34"/>
      <c r="W294" s="34"/>
      <c r="X294" s="34"/>
      <c r="Y294" s="34"/>
      <c r="Z294" s="3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row>
    <row r="295" spans="1:57" ht="14.25" customHeight="1" x14ac:dyDescent="0.2">
      <c r="A295" s="34"/>
      <c r="B295" s="34"/>
      <c r="C295" s="33"/>
      <c r="D295" s="34"/>
      <c r="E295" s="34"/>
      <c r="F295" s="34"/>
      <c r="G295" s="34"/>
      <c r="H295" s="33"/>
      <c r="I295" s="33"/>
      <c r="J295" s="33"/>
      <c r="K295" s="34"/>
      <c r="L295" s="34"/>
      <c r="M295" s="34"/>
      <c r="N295" s="33"/>
      <c r="O295" s="34"/>
      <c r="P295" s="34"/>
      <c r="Q295" s="34"/>
      <c r="R295" s="34"/>
      <c r="S295" s="34"/>
      <c r="T295" s="34"/>
      <c r="U295" s="34"/>
      <c r="V295" s="34"/>
      <c r="W295" s="34"/>
      <c r="X295" s="34"/>
      <c r="Y295" s="34"/>
      <c r="Z295" s="3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row>
    <row r="296" spans="1:57" ht="14.25" customHeight="1" x14ac:dyDescent="0.2">
      <c r="A296" s="34"/>
      <c r="B296" s="34"/>
      <c r="C296" s="33"/>
      <c r="D296" s="34"/>
      <c r="E296" s="34"/>
      <c r="F296" s="34"/>
      <c r="G296" s="34"/>
      <c r="H296" s="33"/>
      <c r="I296" s="33"/>
      <c r="J296" s="33"/>
      <c r="K296" s="34"/>
      <c r="L296" s="34"/>
      <c r="M296" s="34"/>
      <c r="N296" s="34"/>
      <c r="O296" s="33"/>
      <c r="P296" s="33"/>
      <c r="Q296" s="33"/>
      <c r="R296" s="33"/>
      <c r="S296" s="33"/>
      <c r="T296" s="33"/>
      <c r="U296" s="33"/>
      <c r="V296" s="33"/>
      <c r="W296" s="33"/>
      <c r="X296" s="33"/>
      <c r="Y296" s="33"/>
      <c r="Z296" s="33"/>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row>
    <row r="297" spans="1:57" ht="14.25" customHeight="1" x14ac:dyDescent="0.2">
      <c r="A297" s="34"/>
      <c r="B297" s="34"/>
      <c r="C297" s="33"/>
      <c r="D297" s="34"/>
      <c r="E297" s="34"/>
      <c r="F297" s="34"/>
      <c r="G297" s="34"/>
      <c r="H297" s="33"/>
      <c r="I297" s="33"/>
      <c r="J297" s="33"/>
      <c r="K297" s="34"/>
      <c r="L297" s="34"/>
      <c r="M297" s="34"/>
      <c r="N297" s="33"/>
      <c r="O297" s="34"/>
      <c r="P297" s="34"/>
      <c r="Q297" s="34"/>
      <c r="R297" s="34"/>
      <c r="S297" s="34"/>
      <c r="T297" s="34"/>
      <c r="U297" s="34"/>
      <c r="V297" s="34"/>
      <c r="W297" s="34"/>
      <c r="X297" s="34"/>
      <c r="Y297" s="34"/>
      <c r="Z297" s="3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row>
    <row r="298" spans="1:57" ht="14.25" customHeight="1" x14ac:dyDescent="0.2">
      <c r="A298" s="34"/>
      <c r="B298" s="34"/>
      <c r="C298" s="33"/>
      <c r="D298" s="34"/>
      <c r="E298" s="34"/>
      <c r="F298" s="34"/>
      <c r="G298" s="34"/>
      <c r="H298" s="33"/>
      <c r="I298" s="33"/>
      <c r="J298" s="33"/>
      <c r="K298" s="34"/>
      <c r="L298" s="34"/>
      <c r="M298" s="34"/>
      <c r="N298" s="34"/>
      <c r="O298" s="33"/>
      <c r="P298" s="33"/>
      <c r="Q298" s="33"/>
      <c r="R298" s="33"/>
      <c r="S298" s="33"/>
      <c r="T298" s="33"/>
      <c r="U298" s="33"/>
      <c r="V298" s="33"/>
      <c r="W298" s="33"/>
      <c r="X298" s="33"/>
      <c r="Y298" s="33"/>
      <c r="Z298" s="33"/>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row>
    <row r="299" spans="1:57" ht="14.25" customHeight="1" x14ac:dyDescent="0.2">
      <c r="A299" s="34"/>
      <c r="B299" s="34"/>
      <c r="C299" s="33"/>
      <c r="D299" s="34"/>
      <c r="E299" s="34"/>
      <c r="F299" s="34"/>
      <c r="G299" s="34"/>
      <c r="H299" s="33"/>
      <c r="I299" s="33"/>
      <c r="J299" s="33"/>
      <c r="K299" s="34"/>
      <c r="L299" s="34"/>
      <c r="M299" s="34"/>
      <c r="N299" s="33"/>
      <c r="O299" s="34"/>
      <c r="P299" s="34"/>
      <c r="Q299" s="34"/>
      <c r="R299" s="34"/>
      <c r="S299" s="34"/>
      <c r="T299" s="34"/>
      <c r="U299" s="34"/>
      <c r="V299" s="34"/>
      <c r="W299" s="34"/>
      <c r="X299" s="34"/>
      <c r="Y299" s="34"/>
      <c r="Z299" s="3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row>
    <row r="300" spans="1:57" ht="14.25" customHeight="1" x14ac:dyDescent="0.2">
      <c r="A300" s="34"/>
      <c r="B300" s="34"/>
      <c r="C300" s="33"/>
      <c r="D300" s="34"/>
      <c r="E300" s="34"/>
      <c r="F300" s="34"/>
      <c r="G300" s="34"/>
      <c r="H300" s="33"/>
      <c r="I300" s="33"/>
      <c r="J300" s="33"/>
      <c r="K300" s="34"/>
      <c r="L300" s="34"/>
      <c r="M300" s="34"/>
      <c r="N300" s="33"/>
      <c r="O300" s="34"/>
      <c r="P300" s="34"/>
      <c r="Q300" s="34"/>
      <c r="R300" s="34"/>
      <c r="S300" s="34"/>
      <c r="T300" s="34"/>
      <c r="U300" s="34"/>
      <c r="V300" s="34"/>
      <c r="W300" s="34"/>
      <c r="X300" s="34"/>
      <c r="Y300" s="34"/>
      <c r="Z300" s="3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row>
    <row r="301" spans="1:57" ht="14.25" customHeight="1" x14ac:dyDescent="0.2">
      <c r="A301" s="34"/>
      <c r="B301" s="34"/>
      <c r="C301" s="33"/>
      <c r="D301" s="34"/>
      <c r="E301" s="34"/>
      <c r="F301" s="34"/>
      <c r="G301" s="34"/>
      <c r="H301" s="33"/>
      <c r="I301" s="33"/>
      <c r="J301" s="33"/>
      <c r="K301" s="34"/>
      <c r="L301" s="34"/>
      <c r="M301" s="34"/>
      <c r="N301" s="34"/>
      <c r="O301" s="33"/>
      <c r="P301" s="33"/>
      <c r="Q301" s="33"/>
      <c r="R301" s="33"/>
      <c r="S301" s="33"/>
      <c r="T301" s="33"/>
      <c r="U301" s="33"/>
      <c r="V301" s="33"/>
      <c r="W301" s="33"/>
      <c r="X301" s="33"/>
      <c r="Y301" s="33"/>
      <c r="Z301" s="33"/>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row>
    <row r="302" spans="1:57" ht="14.25" customHeight="1" x14ac:dyDescent="0.2">
      <c r="A302" s="34"/>
      <c r="B302" s="34"/>
      <c r="C302" s="33"/>
      <c r="D302" s="34"/>
      <c r="E302" s="34"/>
      <c r="F302" s="34"/>
      <c r="G302" s="34"/>
      <c r="H302" s="33"/>
      <c r="I302" s="33"/>
      <c r="J302" s="33"/>
      <c r="K302" s="34"/>
      <c r="L302" s="34"/>
      <c r="M302" s="34"/>
      <c r="N302" s="33"/>
      <c r="O302" s="34"/>
      <c r="P302" s="34"/>
      <c r="Q302" s="34"/>
      <c r="R302" s="34"/>
      <c r="S302" s="34"/>
      <c r="T302" s="34"/>
      <c r="U302" s="34"/>
      <c r="V302" s="34"/>
      <c r="W302" s="34"/>
      <c r="X302" s="34"/>
      <c r="Y302" s="34"/>
      <c r="Z302" s="3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row>
    <row r="303" spans="1:57" ht="14.25" customHeight="1" x14ac:dyDescent="0.2">
      <c r="A303" s="34"/>
      <c r="B303" s="34"/>
      <c r="C303" s="33"/>
      <c r="D303" s="34"/>
      <c r="E303" s="34"/>
      <c r="F303" s="34"/>
      <c r="G303" s="34"/>
      <c r="H303" s="33"/>
      <c r="I303" s="33"/>
      <c r="J303" s="33"/>
      <c r="K303" s="34"/>
      <c r="L303" s="34"/>
      <c r="M303" s="34"/>
      <c r="N303" s="33"/>
      <c r="O303" s="34"/>
      <c r="P303" s="34"/>
      <c r="Q303" s="34"/>
      <c r="R303" s="34"/>
      <c r="S303" s="34"/>
      <c r="T303" s="34"/>
      <c r="U303" s="34"/>
      <c r="V303" s="34"/>
      <c r="W303" s="34"/>
      <c r="X303" s="34"/>
      <c r="Y303" s="34"/>
      <c r="Z303" s="3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row>
    <row r="304" spans="1:57" ht="14.25" customHeight="1" x14ac:dyDescent="0.2">
      <c r="A304" s="34"/>
      <c r="B304" s="34"/>
      <c r="C304" s="33"/>
      <c r="D304" s="34"/>
      <c r="E304" s="34"/>
      <c r="F304" s="34"/>
      <c r="G304" s="34"/>
      <c r="H304" s="33"/>
      <c r="I304" s="33"/>
      <c r="J304" s="33"/>
      <c r="K304" s="34"/>
      <c r="L304" s="34"/>
      <c r="M304" s="34"/>
      <c r="N304" s="33"/>
      <c r="O304" s="34"/>
      <c r="P304" s="34"/>
      <c r="Q304" s="34"/>
      <c r="R304" s="34"/>
      <c r="S304" s="34"/>
      <c r="T304" s="34"/>
      <c r="U304" s="34"/>
      <c r="V304" s="34"/>
      <c r="W304" s="34"/>
      <c r="X304" s="34"/>
      <c r="Y304" s="34"/>
      <c r="Z304" s="3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row>
    <row r="305" spans="1:57" ht="14.25" customHeight="1" x14ac:dyDescent="0.2">
      <c r="A305" s="34"/>
      <c r="B305" s="34"/>
      <c r="C305" s="33"/>
      <c r="D305" s="34"/>
      <c r="E305" s="34"/>
      <c r="F305" s="34"/>
      <c r="G305" s="34"/>
      <c r="H305" s="33"/>
      <c r="I305" s="33"/>
      <c r="J305" s="33"/>
      <c r="K305" s="34"/>
      <c r="L305" s="34"/>
      <c r="M305" s="34"/>
      <c r="N305" s="33"/>
      <c r="O305" s="34"/>
      <c r="P305" s="34"/>
      <c r="Q305" s="34"/>
      <c r="R305" s="34"/>
      <c r="S305" s="34"/>
      <c r="T305" s="34"/>
      <c r="U305" s="34"/>
      <c r="V305" s="34"/>
      <c r="W305" s="34"/>
      <c r="X305" s="34"/>
      <c r="Y305" s="34"/>
      <c r="Z305" s="3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row>
    <row r="306" spans="1:57" ht="14.25" customHeight="1" x14ac:dyDescent="0.2">
      <c r="A306" s="34"/>
      <c r="B306" s="34"/>
      <c r="C306" s="33"/>
      <c r="D306" s="34"/>
      <c r="E306" s="34"/>
      <c r="F306" s="34"/>
      <c r="G306" s="34"/>
      <c r="H306" s="33"/>
      <c r="I306" s="33"/>
      <c r="J306" s="33"/>
      <c r="K306" s="34"/>
      <c r="L306" s="34"/>
      <c r="M306" s="34"/>
      <c r="N306" s="34"/>
      <c r="O306" s="33"/>
      <c r="P306" s="33"/>
      <c r="Q306" s="33"/>
      <c r="R306" s="33"/>
      <c r="S306" s="33"/>
      <c r="T306" s="33"/>
      <c r="U306" s="33"/>
      <c r="V306" s="33"/>
      <c r="W306" s="33"/>
      <c r="X306" s="33"/>
      <c r="Y306" s="33"/>
      <c r="Z306" s="33"/>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row>
    <row r="307" spans="1:57" ht="14.25" customHeight="1" x14ac:dyDescent="0.2">
      <c r="A307" s="34"/>
      <c r="B307" s="34"/>
      <c r="C307" s="33"/>
      <c r="D307" s="34"/>
      <c r="E307" s="34"/>
      <c r="F307" s="34"/>
      <c r="G307" s="34"/>
      <c r="H307" s="33"/>
      <c r="I307" s="33"/>
      <c r="J307" s="33"/>
      <c r="K307" s="34"/>
      <c r="L307" s="34"/>
      <c r="M307" s="34"/>
      <c r="N307" s="34"/>
      <c r="O307" s="33"/>
      <c r="P307" s="33"/>
      <c r="Q307" s="33"/>
      <c r="R307" s="33"/>
      <c r="S307" s="33"/>
      <c r="T307" s="33"/>
      <c r="U307" s="33"/>
      <c r="V307" s="33"/>
      <c r="W307" s="33"/>
      <c r="X307" s="33"/>
      <c r="Y307" s="33"/>
      <c r="Z307" s="33"/>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row>
    <row r="308" spans="1:57" ht="14.25" customHeight="1" x14ac:dyDescent="0.2">
      <c r="A308" s="34"/>
      <c r="B308" s="34"/>
      <c r="C308" s="33"/>
      <c r="D308" s="34"/>
      <c r="E308" s="34"/>
      <c r="F308" s="34"/>
      <c r="G308" s="34"/>
      <c r="H308" s="33"/>
      <c r="I308" s="33"/>
      <c r="J308" s="33"/>
      <c r="K308" s="34"/>
      <c r="L308" s="34"/>
      <c r="M308" s="34"/>
      <c r="N308" s="33"/>
      <c r="O308" s="34"/>
      <c r="P308" s="34"/>
      <c r="Q308" s="34"/>
      <c r="R308" s="34"/>
      <c r="S308" s="34"/>
      <c r="T308" s="34"/>
      <c r="U308" s="34"/>
      <c r="V308" s="34"/>
      <c r="W308" s="34"/>
      <c r="X308" s="34"/>
      <c r="Y308" s="34"/>
      <c r="Z308" s="3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row>
    <row r="309" spans="1:57" ht="14.25" customHeight="1" x14ac:dyDescent="0.2">
      <c r="A309" s="34"/>
      <c r="B309" s="34"/>
      <c r="C309" s="33"/>
      <c r="D309" s="34"/>
      <c r="E309" s="34"/>
      <c r="F309" s="34"/>
      <c r="G309" s="34"/>
      <c r="H309" s="33"/>
      <c r="I309" s="33"/>
      <c r="J309" s="33"/>
      <c r="K309" s="34"/>
      <c r="L309" s="34"/>
      <c r="M309" s="34"/>
      <c r="N309" s="33"/>
      <c r="O309" s="34"/>
      <c r="P309" s="34"/>
      <c r="Q309" s="34"/>
      <c r="R309" s="34"/>
      <c r="S309" s="34"/>
      <c r="T309" s="34"/>
      <c r="U309" s="34"/>
      <c r="V309" s="34"/>
      <c r="W309" s="34"/>
      <c r="X309" s="34"/>
      <c r="Y309" s="34"/>
      <c r="Z309" s="3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row>
    <row r="310" spans="1:57" ht="14.25" customHeight="1" x14ac:dyDescent="0.2">
      <c r="A310" s="34"/>
      <c r="B310" s="34"/>
      <c r="C310" s="33"/>
      <c r="D310" s="34"/>
      <c r="E310" s="34"/>
      <c r="F310" s="34"/>
      <c r="G310" s="34"/>
      <c r="H310" s="33"/>
      <c r="I310" s="33"/>
      <c r="J310" s="33"/>
      <c r="K310" s="34"/>
      <c r="L310" s="34"/>
      <c r="M310" s="34"/>
      <c r="N310" s="33"/>
      <c r="O310" s="34"/>
      <c r="P310" s="34"/>
      <c r="Q310" s="34"/>
      <c r="R310" s="34"/>
      <c r="S310" s="34"/>
      <c r="T310" s="34"/>
      <c r="U310" s="34"/>
      <c r="V310" s="34"/>
      <c r="W310" s="34"/>
      <c r="X310" s="34"/>
      <c r="Y310" s="34"/>
      <c r="Z310" s="3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row>
    <row r="311" spans="1:57" ht="14.25" customHeight="1" x14ac:dyDescent="0.2">
      <c r="A311" s="34"/>
      <c r="B311" s="34"/>
      <c r="C311" s="33"/>
      <c r="D311" s="34"/>
      <c r="E311" s="34"/>
      <c r="F311" s="34"/>
      <c r="G311" s="34"/>
      <c r="H311" s="33"/>
      <c r="I311" s="33"/>
      <c r="J311" s="33"/>
      <c r="K311" s="34"/>
      <c r="L311" s="34"/>
      <c r="M311" s="34"/>
      <c r="N311" s="33"/>
      <c r="O311" s="34"/>
      <c r="P311" s="34"/>
      <c r="Q311" s="34"/>
      <c r="R311" s="34"/>
      <c r="S311" s="34"/>
      <c r="T311" s="34"/>
      <c r="U311" s="34"/>
      <c r="V311" s="34"/>
      <c r="W311" s="34"/>
      <c r="X311" s="34"/>
      <c r="Y311" s="34"/>
      <c r="Z311" s="3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row>
    <row r="312" spans="1:57" ht="14.25" customHeight="1" x14ac:dyDescent="0.2">
      <c r="A312" s="34"/>
      <c r="B312" s="34"/>
      <c r="C312" s="33"/>
      <c r="D312" s="34"/>
      <c r="E312" s="34"/>
      <c r="F312" s="34"/>
      <c r="G312" s="34"/>
      <c r="H312" s="33"/>
      <c r="I312" s="33"/>
      <c r="J312" s="33"/>
      <c r="K312" s="34"/>
      <c r="L312" s="34"/>
      <c r="M312" s="34"/>
      <c r="N312" s="34"/>
      <c r="O312" s="33"/>
      <c r="P312" s="33"/>
      <c r="Q312" s="33"/>
      <c r="R312" s="33"/>
      <c r="S312" s="33"/>
      <c r="T312" s="33"/>
      <c r="U312" s="33"/>
      <c r="V312" s="33"/>
      <c r="W312" s="33"/>
      <c r="X312" s="33"/>
      <c r="Y312" s="33"/>
      <c r="Z312" s="33"/>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row>
    <row r="313" spans="1:57" ht="14.25" customHeight="1" x14ac:dyDescent="0.2">
      <c r="A313" s="34"/>
      <c r="B313" s="34"/>
      <c r="C313" s="33"/>
      <c r="D313" s="34"/>
      <c r="E313" s="34"/>
      <c r="F313" s="34"/>
      <c r="G313" s="34"/>
      <c r="H313" s="33"/>
      <c r="I313" s="33"/>
      <c r="J313" s="33"/>
      <c r="K313" s="34"/>
      <c r="L313" s="34"/>
      <c r="M313" s="34"/>
      <c r="N313" s="33"/>
      <c r="O313" s="34"/>
      <c r="P313" s="34"/>
      <c r="Q313" s="34"/>
      <c r="R313" s="34"/>
      <c r="S313" s="34"/>
      <c r="T313" s="34"/>
      <c r="U313" s="34"/>
      <c r="V313" s="34"/>
      <c r="W313" s="34"/>
      <c r="X313" s="34"/>
      <c r="Y313" s="34"/>
      <c r="Z313" s="3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row>
    <row r="314" spans="1:57" ht="14.25" customHeight="1" x14ac:dyDescent="0.2">
      <c r="A314" s="34"/>
      <c r="B314" s="34"/>
      <c r="C314" s="33"/>
      <c r="D314" s="34"/>
      <c r="E314" s="34"/>
      <c r="F314" s="34"/>
      <c r="G314" s="34"/>
      <c r="H314" s="33"/>
      <c r="I314" s="33"/>
      <c r="J314" s="33"/>
      <c r="K314" s="34"/>
      <c r="L314" s="34"/>
      <c r="M314" s="34"/>
      <c r="N314" s="33"/>
      <c r="O314" s="34"/>
      <c r="P314" s="34"/>
      <c r="Q314" s="34"/>
      <c r="R314" s="34"/>
      <c r="S314" s="34"/>
      <c r="T314" s="34"/>
      <c r="U314" s="34"/>
      <c r="V314" s="34"/>
      <c r="W314" s="34"/>
      <c r="X314" s="34"/>
      <c r="Y314" s="34"/>
      <c r="Z314" s="3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row>
    <row r="315" spans="1:57" ht="14.25" customHeight="1" x14ac:dyDescent="0.2">
      <c r="A315" s="34"/>
      <c r="B315" s="34"/>
      <c r="C315" s="33"/>
      <c r="D315" s="34"/>
      <c r="E315" s="34"/>
      <c r="F315" s="34"/>
      <c r="G315" s="34"/>
      <c r="H315" s="33"/>
      <c r="I315" s="33"/>
      <c r="J315" s="33"/>
      <c r="K315" s="34"/>
      <c r="L315" s="34"/>
      <c r="M315" s="34"/>
      <c r="N315" s="33"/>
      <c r="O315" s="34"/>
      <c r="P315" s="34"/>
      <c r="Q315" s="34"/>
      <c r="R315" s="34"/>
      <c r="S315" s="34"/>
      <c r="T315" s="34"/>
      <c r="U315" s="34"/>
      <c r="V315" s="34"/>
      <c r="W315" s="34"/>
      <c r="X315" s="34"/>
      <c r="Y315" s="34"/>
      <c r="Z315" s="3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row>
    <row r="316" spans="1:57" ht="14.25" customHeight="1" x14ac:dyDescent="0.2">
      <c r="A316" s="34"/>
      <c r="B316" s="34"/>
      <c r="C316" s="33"/>
      <c r="D316" s="34"/>
      <c r="E316" s="34"/>
      <c r="F316" s="34"/>
      <c r="G316" s="34"/>
      <c r="H316" s="33"/>
      <c r="I316" s="33"/>
      <c r="J316" s="33"/>
      <c r="K316" s="34"/>
      <c r="L316" s="34"/>
      <c r="M316" s="34"/>
      <c r="N316" s="33"/>
      <c r="O316" s="34"/>
      <c r="P316" s="34"/>
      <c r="Q316" s="34"/>
      <c r="R316" s="34"/>
      <c r="S316" s="34"/>
      <c r="T316" s="34"/>
      <c r="U316" s="34"/>
      <c r="V316" s="34"/>
      <c r="W316" s="34"/>
      <c r="X316" s="34"/>
      <c r="Y316" s="34"/>
      <c r="Z316" s="3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row>
    <row r="317" spans="1:57" ht="14.25" customHeight="1" x14ac:dyDescent="0.2">
      <c r="A317" s="34"/>
      <c r="B317" s="34"/>
      <c r="C317" s="33"/>
      <c r="D317" s="34"/>
      <c r="E317" s="34"/>
      <c r="F317" s="34"/>
      <c r="G317" s="34"/>
      <c r="H317" s="33"/>
      <c r="I317" s="33"/>
      <c r="J317" s="33"/>
      <c r="K317" s="34"/>
      <c r="L317" s="34"/>
      <c r="M317" s="34"/>
      <c r="N317" s="34"/>
      <c r="O317" s="33"/>
      <c r="P317" s="33"/>
      <c r="Q317" s="33"/>
      <c r="R317" s="33"/>
      <c r="S317" s="33"/>
      <c r="T317" s="33"/>
      <c r="U317" s="33"/>
      <c r="V317" s="33"/>
      <c r="W317" s="33"/>
      <c r="X317" s="33"/>
      <c r="Y317" s="33"/>
      <c r="Z317" s="33"/>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row>
    <row r="318" spans="1:57" ht="14.25" customHeight="1" x14ac:dyDescent="0.2">
      <c r="A318" s="34"/>
      <c r="B318" s="34"/>
      <c r="C318" s="33"/>
      <c r="D318" s="34"/>
      <c r="E318" s="34"/>
      <c r="F318" s="34"/>
      <c r="G318" s="34"/>
      <c r="H318" s="33"/>
      <c r="I318" s="33"/>
      <c r="J318" s="33"/>
      <c r="K318" s="34"/>
      <c r="L318" s="34"/>
      <c r="M318" s="34"/>
      <c r="N318" s="33"/>
      <c r="O318" s="34"/>
      <c r="P318" s="34"/>
      <c r="Q318" s="34"/>
      <c r="R318" s="34"/>
      <c r="S318" s="34"/>
      <c r="T318" s="34"/>
      <c r="U318" s="34"/>
      <c r="V318" s="34"/>
      <c r="W318" s="34"/>
      <c r="X318" s="34"/>
      <c r="Y318" s="34"/>
      <c r="Z318" s="3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row>
    <row r="319" spans="1:57" ht="14.25" customHeight="1" x14ac:dyDescent="0.2">
      <c r="A319" s="34"/>
      <c r="B319" s="34"/>
      <c r="C319" s="33"/>
      <c r="D319" s="34"/>
      <c r="E319" s="34"/>
      <c r="F319" s="34"/>
      <c r="G319" s="34"/>
      <c r="H319" s="33"/>
      <c r="I319" s="33"/>
      <c r="J319" s="33"/>
      <c r="K319" s="34"/>
      <c r="L319" s="34"/>
      <c r="M319" s="34"/>
      <c r="N319" s="34"/>
      <c r="O319" s="33"/>
      <c r="P319" s="33"/>
      <c r="Q319" s="33"/>
      <c r="R319" s="33"/>
      <c r="S319" s="33"/>
      <c r="T319" s="33"/>
      <c r="U319" s="33"/>
      <c r="V319" s="33"/>
      <c r="W319" s="33"/>
      <c r="X319" s="33"/>
      <c r="Y319" s="33"/>
      <c r="Z319" s="33"/>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row>
    <row r="320" spans="1:57" ht="15.75" customHeight="1" x14ac:dyDescent="0.2">
      <c r="A320" s="34"/>
      <c r="B320" s="34"/>
      <c r="C320" s="33"/>
      <c r="D320" s="34"/>
      <c r="E320" s="34"/>
      <c r="F320" s="34"/>
      <c r="G320" s="34"/>
      <c r="H320" s="33"/>
      <c r="I320" s="33"/>
      <c r="J320" s="33"/>
      <c r="K320" s="34"/>
      <c r="L320" s="34"/>
      <c r="M320" s="34"/>
      <c r="N320" s="34"/>
      <c r="O320" s="34"/>
      <c r="P320" s="34"/>
      <c r="Q320" s="34"/>
      <c r="R320" s="34"/>
      <c r="S320" s="34"/>
      <c r="T320" s="34"/>
      <c r="U320" s="34"/>
      <c r="V320" s="34"/>
      <c r="W320" s="34"/>
      <c r="X320" s="34"/>
      <c r="Y320" s="34"/>
      <c r="Z320" s="3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row>
    <row r="321" spans="1:57" ht="15.75" customHeight="1" x14ac:dyDescent="0.2">
      <c r="A321" s="34"/>
      <c r="B321" s="34"/>
      <c r="C321" s="33"/>
      <c r="D321" s="34"/>
      <c r="E321" s="34"/>
      <c r="F321" s="34"/>
      <c r="G321" s="34"/>
      <c r="H321" s="33"/>
      <c r="I321" s="33"/>
      <c r="J321" s="33"/>
      <c r="K321" s="34"/>
      <c r="L321" s="34"/>
      <c r="M321" s="34"/>
      <c r="N321" s="34"/>
      <c r="O321" s="34"/>
      <c r="P321" s="34"/>
      <c r="Q321" s="34"/>
      <c r="R321" s="34"/>
      <c r="S321" s="34"/>
      <c r="T321" s="34"/>
      <c r="U321" s="34"/>
      <c r="V321" s="34"/>
      <c r="W321" s="34"/>
      <c r="X321" s="34"/>
      <c r="Y321" s="34"/>
      <c r="Z321" s="3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row>
    <row r="322" spans="1:57" ht="15.75" customHeight="1" x14ac:dyDescent="0.2">
      <c r="A322" s="34"/>
      <c r="B322" s="34"/>
      <c r="C322" s="33"/>
      <c r="D322" s="34"/>
      <c r="E322" s="34"/>
      <c r="F322" s="34"/>
      <c r="G322" s="34"/>
      <c r="H322" s="33"/>
      <c r="I322" s="33"/>
      <c r="J322" s="33"/>
      <c r="K322" s="34"/>
      <c r="L322" s="34"/>
      <c r="M322" s="34"/>
      <c r="N322" s="34"/>
      <c r="O322" s="34"/>
      <c r="P322" s="34"/>
      <c r="Q322" s="34"/>
      <c r="R322" s="34"/>
      <c r="S322" s="34"/>
      <c r="T322" s="34"/>
      <c r="U322" s="34"/>
      <c r="V322" s="34"/>
      <c r="W322" s="34"/>
      <c r="X322" s="34"/>
      <c r="Y322" s="34"/>
      <c r="Z322" s="3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row>
    <row r="323" spans="1:57" ht="15.75" customHeight="1" x14ac:dyDescent="0.2">
      <c r="A323" s="34"/>
      <c r="B323" s="34"/>
      <c r="C323" s="33"/>
      <c r="D323" s="34"/>
      <c r="E323" s="34"/>
      <c r="F323" s="34"/>
      <c r="G323" s="34"/>
      <c r="H323" s="33"/>
      <c r="I323" s="33"/>
      <c r="J323" s="33"/>
      <c r="K323" s="34"/>
      <c r="L323" s="34"/>
      <c r="M323" s="34"/>
      <c r="N323" s="34"/>
      <c r="O323" s="34"/>
      <c r="P323" s="34"/>
      <c r="Q323" s="34"/>
      <c r="R323" s="34"/>
      <c r="S323" s="34"/>
      <c r="T323" s="34"/>
      <c r="U323" s="34"/>
      <c r="V323" s="34"/>
      <c r="W323" s="34"/>
      <c r="X323" s="34"/>
      <c r="Y323" s="34"/>
      <c r="Z323" s="3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row>
    <row r="324" spans="1:57" ht="15.75" customHeight="1" x14ac:dyDescent="0.2">
      <c r="A324" s="34"/>
      <c r="B324" s="34"/>
      <c r="C324" s="33"/>
      <c r="D324" s="34"/>
      <c r="E324" s="34"/>
      <c r="F324" s="34"/>
      <c r="G324" s="34"/>
      <c r="H324" s="33"/>
      <c r="I324" s="33"/>
      <c r="J324" s="33"/>
      <c r="K324" s="34"/>
      <c r="L324" s="34"/>
      <c r="M324" s="34"/>
      <c r="N324" s="34"/>
      <c r="O324" s="34"/>
      <c r="P324" s="34"/>
      <c r="Q324" s="34"/>
      <c r="R324" s="34"/>
      <c r="S324" s="34"/>
      <c r="T324" s="34"/>
      <c r="U324" s="34"/>
      <c r="V324" s="34"/>
      <c r="W324" s="34"/>
      <c r="X324" s="34"/>
      <c r="Y324" s="34"/>
      <c r="Z324" s="3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row>
    <row r="325" spans="1:57" ht="15.75" customHeight="1" x14ac:dyDescent="0.2">
      <c r="A325" s="34"/>
      <c r="B325" s="34"/>
      <c r="C325" s="33"/>
      <c r="D325" s="34"/>
      <c r="E325" s="34"/>
      <c r="F325" s="34"/>
      <c r="G325" s="34"/>
      <c r="H325" s="33"/>
      <c r="I325" s="33"/>
      <c r="J325" s="33"/>
      <c r="K325" s="34"/>
      <c r="L325" s="34"/>
      <c r="M325" s="34"/>
      <c r="N325" s="34"/>
      <c r="O325" s="34"/>
      <c r="P325" s="34"/>
      <c r="Q325" s="34"/>
      <c r="R325" s="34"/>
      <c r="S325" s="34"/>
      <c r="T325" s="34"/>
      <c r="U325" s="34"/>
      <c r="V325" s="34"/>
      <c r="W325" s="34"/>
      <c r="X325" s="34"/>
      <c r="Y325" s="34"/>
      <c r="Z325" s="3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row>
    <row r="326" spans="1:57" ht="15.75" customHeight="1" x14ac:dyDescent="0.2">
      <c r="A326" s="34"/>
      <c r="B326" s="34"/>
      <c r="C326" s="33"/>
      <c r="D326" s="34"/>
      <c r="E326" s="34"/>
      <c r="F326" s="34"/>
      <c r="G326" s="34"/>
      <c r="H326" s="33"/>
      <c r="I326" s="33"/>
      <c r="J326" s="33"/>
      <c r="K326" s="34"/>
      <c r="L326" s="34"/>
      <c r="M326" s="34"/>
      <c r="N326" s="34"/>
      <c r="O326" s="34"/>
      <c r="P326" s="34"/>
      <c r="Q326" s="34"/>
      <c r="R326" s="34"/>
      <c r="S326" s="34"/>
      <c r="T326" s="34"/>
      <c r="U326" s="34"/>
      <c r="V326" s="34"/>
      <c r="W326" s="34"/>
      <c r="X326" s="34"/>
      <c r="Y326" s="34"/>
      <c r="Z326" s="3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row>
    <row r="327" spans="1:57" ht="15.75" customHeight="1" x14ac:dyDescent="0.2">
      <c r="A327" s="34"/>
      <c r="B327" s="34"/>
      <c r="C327" s="33"/>
      <c r="D327" s="34"/>
      <c r="E327" s="34"/>
      <c r="F327" s="34"/>
      <c r="G327" s="34"/>
      <c r="H327" s="33"/>
      <c r="I327" s="33"/>
      <c r="J327" s="33"/>
      <c r="K327" s="34"/>
      <c r="L327" s="34"/>
      <c r="M327" s="34"/>
      <c r="N327" s="34"/>
      <c r="O327" s="34"/>
      <c r="P327" s="34"/>
      <c r="Q327" s="34"/>
      <c r="R327" s="34"/>
      <c r="S327" s="34"/>
      <c r="T327" s="34"/>
      <c r="U327" s="34"/>
      <c r="V327" s="34"/>
      <c r="W327" s="34"/>
      <c r="X327" s="34"/>
      <c r="Y327" s="34"/>
      <c r="Z327" s="3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row>
    <row r="328" spans="1:57" ht="15.75" customHeight="1" x14ac:dyDescent="0.2">
      <c r="A328" s="34"/>
      <c r="B328" s="34"/>
      <c r="C328" s="33"/>
      <c r="D328" s="34"/>
      <c r="E328" s="34"/>
      <c r="F328" s="34"/>
      <c r="G328" s="34"/>
      <c r="H328" s="33"/>
      <c r="I328" s="33"/>
      <c r="J328" s="33"/>
      <c r="K328" s="34"/>
      <c r="L328" s="34"/>
      <c r="M328" s="34"/>
      <c r="N328" s="34"/>
      <c r="O328" s="34"/>
      <c r="P328" s="34"/>
      <c r="Q328" s="34"/>
      <c r="R328" s="34"/>
      <c r="S328" s="34"/>
      <c r="T328" s="34"/>
      <c r="U328" s="34"/>
      <c r="V328" s="34"/>
      <c r="W328" s="34"/>
      <c r="X328" s="34"/>
      <c r="Y328" s="34"/>
      <c r="Z328" s="3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row>
    <row r="329" spans="1:57" ht="15.75" customHeight="1" x14ac:dyDescent="0.2">
      <c r="A329" s="34"/>
      <c r="B329" s="34"/>
      <c r="C329" s="33"/>
      <c r="D329" s="34"/>
      <c r="E329" s="34"/>
      <c r="F329" s="34"/>
      <c r="G329" s="34"/>
      <c r="H329" s="33"/>
      <c r="I329" s="33"/>
      <c r="J329" s="33"/>
      <c r="K329" s="34"/>
      <c r="L329" s="34"/>
      <c r="M329" s="34"/>
      <c r="N329" s="34"/>
      <c r="O329" s="34"/>
      <c r="P329" s="34"/>
      <c r="Q329" s="34"/>
      <c r="R329" s="34"/>
      <c r="S329" s="34"/>
      <c r="T329" s="34"/>
      <c r="U329" s="34"/>
      <c r="V329" s="34"/>
      <c r="W329" s="34"/>
      <c r="X329" s="34"/>
      <c r="Y329" s="34"/>
      <c r="Z329" s="3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row>
    <row r="330" spans="1:57" ht="15.75" customHeight="1" x14ac:dyDescent="0.2">
      <c r="A330" s="34"/>
      <c r="B330" s="34"/>
      <c r="C330" s="33"/>
      <c r="D330" s="34"/>
      <c r="E330" s="34"/>
      <c r="F330" s="34"/>
      <c r="G330" s="34"/>
      <c r="H330" s="33"/>
      <c r="I330" s="33"/>
      <c r="J330" s="33"/>
      <c r="K330" s="34"/>
      <c r="L330" s="34"/>
      <c r="M330" s="34"/>
      <c r="N330" s="34"/>
      <c r="O330" s="34"/>
      <c r="P330" s="34"/>
      <c r="Q330" s="34"/>
      <c r="R330" s="34"/>
      <c r="S330" s="34"/>
      <c r="T330" s="34"/>
      <c r="U330" s="34"/>
      <c r="V330" s="34"/>
      <c r="W330" s="34"/>
      <c r="X330" s="34"/>
      <c r="Y330" s="34"/>
      <c r="Z330" s="3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row>
    <row r="331" spans="1:57" ht="15.75" customHeight="1" x14ac:dyDescent="0.2">
      <c r="A331" s="34"/>
      <c r="B331" s="34"/>
      <c r="C331" s="33"/>
      <c r="D331" s="34"/>
      <c r="E331" s="34"/>
      <c r="F331" s="34"/>
      <c r="G331" s="34"/>
      <c r="H331" s="33"/>
      <c r="I331" s="33"/>
      <c r="J331" s="33"/>
      <c r="K331" s="34"/>
      <c r="L331" s="34"/>
      <c r="M331" s="34"/>
      <c r="N331" s="34"/>
      <c r="O331" s="34"/>
      <c r="P331" s="34"/>
      <c r="Q331" s="34"/>
      <c r="R331" s="34"/>
      <c r="S331" s="34"/>
      <c r="T331" s="34"/>
      <c r="U331" s="34"/>
      <c r="V331" s="34"/>
      <c r="W331" s="34"/>
      <c r="X331" s="34"/>
      <c r="Y331" s="34"/>
      <c r="Z331" s="3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row>
    <row r="332" spans="1:57" ht="15.75" customHeight="1" x14ac:dyDescent="0.2">
      <c r="A332" s="34"/>
      <c r="B332" s="34"/>
      <c r="C332" s="33"/>
      <c r="D332" s="34"/>
      <c r="E332" s="34"/>
      <c r="F332" s="34"/>
      <c r="G332" s="34"/>
      <c r="H332" s="33"/>
      <c r="I332" s="33"/>
      <c r="J332" s="33"/>
      <c r="K332" s="34"/>
      <c r="L332" s="34"/>
      <c r="M332" s="34"/>
      <c r="N332" s="34"/>
      <c r="O332" s="34"/>
      <c r="P332" s="34"/>
      <c r="Q332" s="34"/>
      <c r="R332" s="34"/>
      <c r="S332" s="34"/>
      <c r="T332" s="34"/>
      <c r="U332" s="34"/>
      <c r="V332" s="34"/>
      <c r="W332" s="34"/>
      <c r="X332" s="34"/>
      <c r="Y332" s="34"/>
      <c r="Z332" s="3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row>
    <row r="333" spans="1:57" ht="15.75" customHeight="1" x14ac:dyDescent="0.2">
      <c r="A333" s="34"/>
      <c r="B333" s="34"/>
      <c r="C333" s="33"/>
      <c r="D333" s="34"/>
      <c r="E333" s="34"/>
      <c r="F333" s="34"/>
      <c r="G333" s="34"/>
      <c r="H333" s="33"/>
      <c r="I333" s="33"/>
      <c r="J333" s="33"/>
      <c r="K333" s="34"/>
      <c r="L333" s="34"/>
      <c r="M333" s="34"/>
      <c r="N333" s="34"/>
      <c r="O333" s="34"/>
      <c r="P333" s="34"/>
      <c r="Q333" s="34"/>
      <c r="R333" s="34"/>
      <c r="S333" s="34"/>
      <c r="T333" s="34"/>
      <c r="U333" s="34"/>
      <c r="V333" s="34"/>
      <c r="W333" s="34"/>
      <c r="X333" s="34"/>
      <c r="Y333" s="34"/>
      <c r="Z333" s="3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row>
    <row r="334" spans="1:57" ht="15.75" customHeight="1" x14ac:dyDescent="0.2">
      <c r="A334" s="34"/>
      <c r="B334" s="34"/>
      <c r="C334" s="33"/>
      <c r="D334" s="34"/>
      <c r="E334" s="34"/>
      <c r="F334" s="34"/>
      <c r="G334" s="34"/>
      <c r="H334" s="33"/>
      <c r="I334" s="33"/>
      <c r="J334" s="33"/>
      <c r="K334" s="34"/>
      <c r="L334" s="34"/>
      <c r="M334" s="34"/>
      <c r="N334" s="34"/>
      <c r="O334" s="34"/>
      <c r="P334" s="34"/>
      <c r="Q334" s="34"/>
      <c r="R334" s="34"/>
      <c r="S334" s="34"/>
      <c r="T334" s="34"/>
      <c r="U334" s="34"/>
      <c r="V334" s="34"/>
      <c r="W334" s="34"/>
      <c r="X334" s="34"/>
      <c r="Y334" s="34"/>
      <c r="Z334" s="3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row>
    <row r="335" spans="1:57" ht="15.75" customHeight="1" x14ac:dyDescent="0.2">
      <c r="A335" s="34"/>
      <c r="B335" s="34"/>
      <c r="C335" s="33"/>
      <c r="D335" s="34"/>
      <c r="E335" s="34"/>
      <c r="F335" s="34"/>
      <c r="G335" s="34"/>
      <c r="H335" s="33"/>
      <c r="I335" s="33"/>
      <c r="J335" s="33"/>
      <c r="K335" s="34"/>
      <c r="L335" s="34"/>
      <c r="M335" s="34"/>
      <c r="N335" s="34"/>
      <c r="O335" s="34"/>
      <c r="P335" s="34"/>
      <c r="Q335" s="34"/>
      <c r="R335" s="34"/>
      <c r="S335" s="34"/>
      <c r="T335" s="34"/>
      <c r="U335" s="34"/>
      <c r="V335" s="34"/>
      <c r="W335" s="34"/>
      <c r="X335" s="34"/>
      <c r="Y335" s="34"/>
      <c r="Z335" s="3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row>
    <row r="336" spans="1:57" ht="15.75" customHeight="1" x14ac:dyDescent="0.2">
      <c r="A336" s="34"/>
      <c r="B336" s="34"/>
      <c r="C336" s="33"/>
      <c r="D336" s="34"/>
      <c r="E336" s="34"/>
      <c r="F336" s="34"/>
      <c r="G336" s="34"/>
      <c r="H336" s="33"/>
      <c r="I336" s="33"/>
      <c r="J336" s="33"/>
      <c r="K336" s="34"/>
      <c r="L336" s="34"/>
      <c r="M336" s="34"/>
      <c r="N336" s="34"/>
      <c r="O336" s="34"/>
      <c r="P336" s="34"/>
      <c r="Q336" s="34"/>
      <c r="R336" s="34"/>
      <c r="S336" s="34"/>
      <c r="T336" s="34"/>
      <c r="U336" s="34"/>
      <c r="V336" s="34"/>
      <c r="W336" s="34"/>
      <c r="X336" s="34"/>
      <c r="Y336" s="34"/>
      <c r="Z336" s="3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row>
    <row r="337" spans="1:57" ht="15.75" customHeight="1" x14ac:dyDescent="0.2">
      <c r="A337" s="34"/>
      <c r="B337" s="34"/>
      <c r="C337" s="33"/>
      <c r="D337" s="34"/>
      <c r="E337" s="34"/>
      <c r="F337" s="34"/>
      <c r="G337" s="34"/>
      <c r="H337" s="33"/>
      <c r="I337" s="33"/>
      <c r="J337" s="33"/>
      <c r="K337" s="34"/>
      <c r="L337" s="34"/>
      <c r="M337" s="34"/>
      <c r="N337" s="34"/>
      <c r="O337" s="34"/>
      <c r="P337" s="34"/>
      <c r="Q337" s="34"/>
      <c r="R337" s="34"/>
      <c r="S337" s="34"/>
      <c r="T337" s="34"/>
      <c r="U337" s="34"/>
      <c r="V337" s="34"/>
      <c r="W337" s="34"/>
      <c r="X337" s="34"/>
      <c r="Y337" s="34"/>
      <c r="Z337" s="3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row>
    <row r="338" spans="1:57" ht="15.75" customHeight="1" x14ac:dyDescent="0.2">
      <c r="A338" s="34"/>
      <c r="B338" s="34"/>
      <c r="C338" s="33"/>
      <c r="D338" s="34"/>
      <c r="E338" s="34"/>
      <c r="F338" s="34"/>
      <c r="G338" s="34"/>
      <c r="H338" s="33"/>
      <c r="I338" s="33"/>
      <c r="J338" s="33"/>
      <c r="K338" s="34"/>
      <c r="L338" s="34"/>
      <c r="M338" s="34"/>
      <c r="N338" s="34"/>
      <c r="O338" s="34"/>
      <c r="P338" s="34"/>
      <c r="Q338" s="34"/>
      <c r="R338" s="34"/>
      <c r="S338" s="34"/>
      <c r="T338" s="34"/>
      <c r="U338" s="34"/>
      <c r="V338" s="34"/>
      <c r="W338" s="34"/>
      <c r="X338" s="34"/>
      <c r="Y338" s="34"/>
      <c r="Z338" s="3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row>
    <row r="339" spans="1:57" ht="15.75" customHeight="1" x14ac:dyDescent="0.2">
      <c r="A339" s="34"/>
      <c r="B339" s="34"/>
      <c r="C339" s="33"/>
      <c r="D339" s="34"/>
      <c r="E339" s="34"/>
      <c r="F339" s="34"/>
      <c r="G339" s="34"/>
      <c r="H339" s="33"/>
      <c r="I339" s="33"/>
      <c r="J339" s="33"/>
      <c r="K339" s="34"/>
      <c r="L339" s="34"/>
      <c r="M339" s="34"/>
      <c r="N339" s="34"/>
      <c r="O339" s="34"/>
      <c r="P339" s="34"/>
      <c r="Q339" s="34"/>
      <c r="R339" s="34"/>
      <c r="S339" s="34"/>
      <c r="T339" s="34"/>
      <c r="U339" s="34"/>
      <c r="V339" s="34"/>
      <c r="W339" s="34"/>
      <c r="X339" s="34"/>
      <c r="Y339" s="34"/>
      <c r="Z339" s="3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row>
    <row r="340" spans="1:57" ht="15.75" customHeight="1" x14ac:dyDescent="0.2">
      <c r="A340" s="34"/>
      <c r="B340" s="34"/>
      <c r="C340" s="33"/>
      <c r="D340" s="34"/>
      <c r="E340" s="34"/>
      <c r="F340" s="34"/>
      <c r="G340" s="34"/>
      <c r="H340" s="33"/>
      <c r="I340" s="33"/>
      <c r="J340" s="33"/>
      <c r="K340" s="34"/>
      <c r="L340" s="34"/>
      <c r="M340" s="34"/>
      <c r="N340" s="34"/>
      <c r="O340" s="34"/>
      <c r="P340" s="34"/>
      <c r="Q340" s="34"/>
      <c r="R340" s="34"/>
      <c r="S340" s="34"/>
      <c r="T340" s="34"/>
      <c r="U340" s="34"/>
      <c r="V340" s="34"/>
      <c r="W340" s="34"/>
      <c r="X340" s="34"/>
      <c r="Y340" s="34"/>
      <c r="Z340" s="3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row>
    <row r="341" spans="1:57" ht="15.75" customHeight="1" x14ac:dyDescent="0.2">
      <c r="A341" s="34"/>
      <c r="B341" s="34"/>
      <c r="C341" s="33"/>
      <c r="D341" s="34"/>
      <c r="E341" s="34"/>
      <c r="F341" s="34"/>
      <c r="G341" s="34"/>
      <c r="H341" s="33"/>
      <c r="I341" s="33"/>
      <c r="J341" s="33"/>
      <c r="K341" s="34"/>
      <c r="L341" s="34"/>
      <c r="M341" s="34"/>
      <c r="N341" s="34"/>
      <c r="O341" s="34"/>
      <c r="P341" s="34"/>
      <c r="Q341" s="34"/>
      <c r="R341" s="34"/>
      <c r="S341" s="34"/>
      <c r="T341" s="34"/>
      <c r="U341" s="34"/>
      <c r="V341" s="34"/>
      <c r="W341" s="34"/>
      <c r="X341" s="34"/>
      <c r="Y341" s="34"/>
      <c r="Z341" s="3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row>
    <row r="342" spans="1:57" ht="15.75" customHeight="1" x14ac:dyDescent="0.2">
      <c r="A342" s="34"/>
      <c r="B342" s="34"/>
      <c r="C342" s="33"/>
      <c r="D342" s="34"/>
      <c r="E342" s="34"/>
      <c r="F342" s="34"/>
      <c r="G342" s="34"/>
      <c r="H342" s="33"/>
      <c r="I342" s="33"/>
      <c r="J342" s="33"/>
      <c r="K342" s="34"/>
      <c r="L342" s="34"/>
      <c r="M342" s="34"/>
      <c r="N342" s="34"/>
      <c r="O342" s="34"/>
      <c r="P342" s="34"/>
      <c r="Q342" s="34"/>
      <c r="R342" s="34"/>
      <c r="S342" s="34"/>
      <c r="T342" s="34"/>
      <c r="U342" s="34"/>
      <c r="V342" s="34"/>
      <c r="W342" s="34"/>
      <c r="X342" s="34"/>
      <c r="Y342" s="34"/>
      <c r="Z342" s="3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row>
    <row r="343" spans="1:57" ht="15.75" customHeight="1" x14ac:dyDescent="0.2">
      <c r="A343" s="34"/>
      <c r="B343" s="34"/>
      <c r="C343" s="33"/>
      <c r="D343" s="34"/>
      <c r="E343" s="34"/>
      <c r="F343" s="34"/>
      <c r="G343" s="34"/>
      <c r="H343" s="33"/>
      <c r="I343" s="33"/>
      <c r="J343" s="33"/>
      <c r="K343" s="34"/>
      <c r="L343" s="34"/>
      <c r="M343" s="34"/>
      <c r="N343" s="34"/>
      <c r="O343" s="34"/>
      <c r="P343" s="34"/>
      <c r="Q343" s="34"/>
      <c r="R343" s="34"/>
      <c r="S343" s="34"/>
      <c r="T343" s="34"/>
      <c r="U343" s="34"/>
      <c r="V343" s="34"/>
      <c r="W343" s="34"/>
      <c r="X343" s="34"/>
      <c r="Y343" s="34"/>
      <c r="Z343" s="3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row>
    <row r="344" spans="1:57" ht="15.75" customHeight="1" x14ac:dyDescent="0.2">
      <c r="A344" s="34"/>
      <c r="B344" s="34"/>
      <c r="C344" s="33"/>
      <c r="D344" s="34"/>
      <c r="E344" s="34"/>
      <c r="F344" s="34"/>
      <c r="G344" s="34"/>
      <c r="H344" s="33"/>
      <c r="I344" s="33"/>
      <c r="J344" s="33"/>
      <c r="K344" s="34"/>
      <c r="L344" s="34"/>
      <c r="M344" s="34"/>
      <c r="N344" s="34"/>
      <c r="O344" s="34"/>
      <c r="P344" s="34"/>
      <c r="Q344" s="34"/>
      <c r="R344" s="34"/>
      <c r="S344" s="34"/>
      <c r="T344" s="34"/>
      <c r="U344" s="34"/>
      <c r="V344" s="34"/>
      <c r="W344" s="34"/>
      <c r="X344" s="34"/>
      <c r="Y344" s="34"/>
      <c r="Z344" s="3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row>
    <row r="345" spans="1:57" ht="15.75" customHeight="1" x14ac:dyDescent="0.2">
      <c r="A345" s="34"/>
      <c r="B345" s="34"/>
      <c r="C345" s="33"/>
      <c r="D345" s="34"/>
      <c r="E345" s="34"/>
      <c r="F345" s="34"/>
      <c r="G345" s="34"/>
      <c r="H345" s="33"/>
      <c r="I345" s="33"/>
      <c r="J345" s="33"/>
      <c r="K345" s="34"/>
      <c r="L345" s="34"/>
      <c r="M345" s="34"/>
      <c r="N345" s="34"/>
      <c r="O345" s="34"/>
      <c r="P345" s="34"/>
      <c r="Q345" s="34"/>
      <c r="R345" s="34"/>
      <c r="S345" s="34"/>
      <c r="T345" s="34"/>
      <c r="U345" s="34"/>
      <c r="V345" s="34"/>
      <c r="W345" s="34"/>
      <c r="X345" s="34"/>
      <c r="Y345" s="34"/>
      <c r="Z345" s="3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row>
    <row r="346" spans="1:57" ht="15.75" customHeight="1" x14ac:dyDescent="0.2">
      <c r="A346" s="34"/>
      <c r="B346" s="34"/>
      <c r="C346" s="33"/>
      <c r="D346" s="34"/>
      <c r="E346" s="34"/>
      <c r="F346" s="34"/>
      <c r="G346" s="34"/>
      <c r="H346" s="33"/>
      <c r="I346" s="33"/>
      <c r="J346" s="33"/>
      <c r="K346" s="34"/>
      <c r="L346" s="34"/>
      <c r="M346" s="34"/>
      <c r="N346" s="34"/>
      <c r="O346" s="34"/>
      <c r="P346" s="34"/>
      <c r="Q346" s="34"/>
      <c r="R346" s="34"/>
      <c r="S346" s="34"/>
      <c r="T346" s="34"/>
      <c r="U346" s="34"/>
      <c r="V346" s="34"/>
      <c r="W346" s="34"/>
      <c r="X346" s="34"/>
      <c r="Y346" s="34"/>
      <c r="Z346" s="3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row>
    <row r="347" spans="1:57" ht="15.75" customHeight="1" x14ac:dyDescent="0.2">
      <c r="A347" s="34"/>
      <c r="B347" s="34"/>
      <c r="C347" s="33"/>
      <c r="D347" s="34"/>
      <c r="E347" s="34"/>
      <c r="F347" s="34"/>
      <c r="G347" s="34"/>
      <c r="H347" s="33"/>
      <c r="I347" s="33"/>
      <c r="J347" s="33"/>
      <c r="K347" s="34"/>
      <c r="L347" s="34"/>
      <c r="M347" s="34"/>
      <c r="N347" s="34"/>
      <c r="O347" s="34"/>
      <c r="P347" s="34"/>
      <c r="Q347" s="34"/>
      <c r="R347" s="34"/>
      <c r="S347" s="34"/>
      <c r="T347" s="34"/>
      <c r="U347" s="34"/>
      <c r="V347" s="34"/>
      <c r="W347" s="34"/>
      <c r="X347" s="34"/>
      <c r="Y347" s="34"/>
      <c r="Z347" s="3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row>
    <row r="348" spans="1:57" ht="15.75" customHeight="1" x14ac:dyDescent="0.2">
      <c r="A348" s="34"/>
      <c r="B348" s="34"/>
      <c r="C348" s="33"/>
      <c r="D348" s="34"/>
      <c r="E348" s="34"/>
      <c r="F348" s="34"/>
      <c r="G348" s="34"/>
      <c r="H348" s="33"/>
      <c r="I348" s="33"/>
      <c r="J348" s="33"/>
      <c r="K348" s="34"/>
      <c r="L348" s="34"/>
      <c r="M348" s="34"/>
      <c r="N348" s="34"/>
      <c r="O348" s="34"/>
      <c r="P348" s="34"/>
      <c r="Q348" s="34"/>
      <c r="R348" s="34"/>
      <c r="S348" s="34"/>
      <c r="T348" s="34"/>
      <c r="U348" s="34"/>
      <c r="V348" s="34"/>
      <c r="W348" s="34"/>
      <c r="X348" s="34"/>
      <c r="Y348" s="34"/>
      <c r="Z348" s="3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row>
    <row r="349" spans="1:57" ht="15.75" customHeight="1" x14ac:dyDescent="0.2">
      <c r="A349" s="34"/>
      <c r="B349" s="34"/>
      <c r="C349" s="33"/>
      <c r="D349" s="34"/>
      <c r="E349" s="34"/>
      <c r="F349" s="34"/>
      <c r="G349" s="34"/>
      <c r="H349" s="33"/>
      <c r="I349" s="33"/>
      <c r="J349" s="33"/>
      <c r="K349" s="34"/>
      <c r="L349" s="34"/>
      <c r="M349" s="34"/>
      <c r="N349" s="34"/>
      <c r="O349" s="34"/>
      <c r="P349" s="34"/>
      <c r="Q349" s="34"/>
      <c r="R349" s="34"/>
      <c r="S349" s="34"/>
      <c r="T349" s="34"/>
      <c r="U349" s="34"/>
      <c r="V349" s="34"/>
      <c r="W349" s="34"/>
      <c r="X349" s="34"/>
      <c r="Y349" s="34"/>
      <c r="Z349" s="3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row>
    <row r="350" spans="1:57" ht="15.75" customHeight="1" x14ac:dyDescent="0.2">
      <c r="A350" s="34"/>
      <c r="B350" s="34"/>
      <c r="C350" s="33"/>
      <c r="D350" s="34"/>
      <c r="E350" s="34"/>
      <c r="F350" s="34"/>
      <c r="G350" s="34"/>
      <c r="H350" s="33"/>
      <c r="I350" s="33"/>
      <c r="J350" s="33"/>
      <c r="K350" s="34"/>
      <c r="L350" s="34"/>
      <c r="M350" s="34"/>
      <c r="N350" s="34"/>
      <c r="O350" s="34"/>
      <c r="P350" s="34"/>
      <c r="Q350" s="34"/>
      <c r="R350" s="34"/>
      <c r="S350" s="34"/>
      <c r="T350" s="34"/>
      <c r="U350" s="34"/>
      <c r="V350" s="34"/>
      <c r="W350" s="34"/>
      <c r="X350" s="34"/>
      <c r="Y350" s="34"/>
      <c r="Z350" s="3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row>
    <row r="351" spans="1:57" ht="15.75" customHeight="1" x14ac:dyDescent="0.2">
      <c r="A351" s="34"/>
      <c r="B351" s="34"/>
      <c r="C351" s="33"/>
      <c r="D351" s="34"/>
      <c r="E351" s="34"/>
      <c r="F351" s="34"/>
      <c r="G351" s="34"/>
      <c r="H351" s="33"/>
      <c r="I351" s="33"/>
      <c r="J351" s="33"/>
      <c r="K351" s="34"/>
      <c r="L351" s="34"/>
      <c r="M351" s="34"/>
      <c r="N351" s="34"/>
      <c r="O351" s="34"/>
      <c r="P351" s="34"/>
      <c r="Q351" s="34"/>
      <c r="R351" s="34"/>
      <c r="S351" s="34"/>
      <c r="T351" s="34"/>
      <c r="U351" s="34"/>
      <c r="V351" s="34"/>
      <c r="W351" s="34"/>
      <c r="X351" s="34"/>
      <c r="Y351" s="34"/>
      <c r="Z351" s="3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row>
    <row r="352" spans="1:57" ht="15.75" customHeight="1" x14ac:dyDescent="0.2">
      <c r="A352" s="34"/>
      <c r="B352" s="34"/>
      <c r="C352" s="33"/>
      <c r="D352" s="34"/>
      <c r="E352" s="34"/>
      <c r="F352" s="34"/>
      <c r="G352" s="34"/>
      <c r="H352" s="33"/>
      <c r="I352" s="33"/>
      <c r="J352" s="33"/>
      <c r="K352" s="34"/>
      <c r="L352" s="34"/>
      <c r="M352" s="34"/>
      <c r="N352" s="34"/>
      <c r="O352" s="34"/>
      <c r="P352" s="34"/>
      <c r="Q352" s="34"/>
      <c r="R352" s="34"/>
      <c r="S352" s="34"/>
      <c r="T352" s="34"/>
      <c r="U352" s="34"/>
      <c r="V352" s="34"/>
      <c r="W352" s="34"/>
      <c r="X352" s="34"/>
      <c r="Y352" s="34"/>
      <c r="Z352" s="3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row>
    <row r="353" spans="1:57" ht="15.75" customHeight="1" x14ac:dyDescent="0.2">
      <c r="A353" s="34"/>
      <c r="B353" s="34"/>
      <c r="C353" s="33"/>
      <c r="D353" s="34"/>
      <c r="E353" s="34"/>
      <c r="F353" s="34"/>
      <c r="G353" s="34"/>
      <c r="H353" s="33"/>
      <c r="I353" s="33"/>
      <c r="J353" s="33"/>
      <c r="K353" s="34"/>
      <c r="L353" s="34"/>
      <c r="M353" s="34"/>
      <c r="N353" s="34"/>
      <c r="O353" s="34"/>
      <c r="P353" s="34"/>
      <c r="Q353" s="34"/>
      <c r="R353" s="34"/>
      <c r="S353" s="34"/>
      <c r="T353" s="34"/>
      <c r="U353" s="34"/>
      <c r="V353" s="34"/>
      <c r="W353" s="34"/>
      <c r="X353" s="34"/>
      <c r="Y353" s="34"/>
      <c r="Z353" s="3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row>
    <row r="354" spans="1:57" ht="15.75" customHeight="1" x14ac:dyDescent="0.2">
      <c r="A354" s="34"/>
      <c r="B354" s="34"/>
      <c r="C354" s="33"/>
      <c r="D354" s="34"/>
      <c r="E354" s="34"/>
      <c r="F354" s="34"/>
      <c r="G354" s="34"/>
      <c r="H354" s="33"/>
      <c r="I354" s="33"/>
      <c r="J354" s="33"/>
      <c r="K354" s="34"/>
      <c r="L354" s="34"/>
      <c r="M354" s="34"/>
      <c r="N354" s="34"/>
      <c r="O354" s="34"/>
      <c r="P354" s="34"/>
      <c r="Q354" s="34"/>
      <c r="R354" s="34"/>
      <c r="S354" s="34"/>
      <c r="T354" s="34"/>
      <c r="U354" s="34"/>
      <c r="V354" s="34"/>
      <c r="W354" s="34"/>
      <c r="X354" s="34"/>
      <c r="Y354" s="34"/>
      <c r="Z354" s="3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row>
    <row r="355" spans="1:57" ht="15.75" customHeight="1" x14ac:dyDescent="0.2">
      <c r="A355" s="34"/>
      <c r="B355" s="34"/>
      <c r="C355" s="33"/>
      <c r="D355" s="34"/>
      <c r="E355" s="34"/>
      <c r="F355" s="34"/>
      <c r="G355" s="34"/>
      <c r="H355" s="33"/>
      <c r="I355" s="33"/>
      <c r="J355" s="33"/>
      <c r="K355" s="34"/>
      <c r="L355" s="34"/>
      <c r="M355" s="34"/>
      <c r="N355" s="34"/>
      <c r="O355" s="34"/>
      <c r="P355" s="34"/>
      <c r="Q355" s="34"/>
      <c r="R355" s="34"/>
      <c r="S355" s="34"/>
      <c r="T355" s="34"/>
      <c r="U355" s="34"/>
      <c r="V355" s="34"/>
      <c r="W355" s="34"/>
      <c r="X355" s="34"/>
      <c r="Y355" s="34"/>
      <c r="Z355" s="3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row>
    <row r="356" spans="1:57" ht="15.75" customHeight="1" x14ac:dyDescent="0.2">
      <c r="A356" s="34"/>
      <c r="B356" s="34"/>
      <c r="C356" s="33"/>
      <c r="D356" s="34"/>
      <c r="E356" s="34"/>
      <c r="F356" s="34"/>
      <c r="G356" s="34"/>
      <c r="H356" s="33"/>
      <c r="I356" s="33"/>
      <c r="J356" s="33"/>
      <c r="K356" s="34"/>
      <c r="L356" s="34"/>
      <c r="M356" s="34"/>
      <c r="N356" s="34"/>
      <c r="O356" s="34"/>
      <c r="P356" s="34"/>
      <c r="Q356" s="34"/>
      <c r="R356" s="34"/>
      <c r="S356" s="34"/>
      <c r="T356" s="34"/>
      <c r="U356" s="34"/>
      <c r="V356" s="34"/>
      <c r="W356" s="34"/>
      <c r="X356" s="34"/>
      <c r="Y356" s="34"/>
      <c r="Z356" s="3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row>
    <row r="357" spans="1:57" ht="15.75" customHeight="1" x14ac:dyDescent="0.2">
      <c r="A357" s="34"/>
      <c r="B357" s="34"/>
      <c r="C357" s="33"/>
      <c r="D357" s="34"/>
      <c r="E357" s="34"/>
      <c r="F357" s="34"/>
      <c r="G357" s="34"/>
      <c r="H357" s="33"/>
      <c r="I357" s="33"/>
      <c r="J357" s="33"/>
      <c r="K357" s="34"/>
      <c r="L357" s="34"/>
      <c r="M357" s="34"/>
      <c r="N357" s="34"/>
      <c r="O357" s="34"/>
      <c r="P357" s="34"/>
      <c r="Q357" s="34"/>
      <c r="R357" s="34"/>
      <c r="S357" s="34"/>
      <c r="T357" s="34"/>
      <c r="U357" s="34"/>
      <c r="V357" s="34"/>
      <c r="W357" s="34"/>
      <c r="X357" s="34"/>
      <c r="Y357" s="34"/>
      <c r="Z357" s="3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row>
    <row r="358" spans="1:57" ht="15.75" customHeight="1" x14ac:dyDescent="0.2">
      <c r="A358" s="34"/>
      <c r="B358" s="34"/>
      <c r="C358" s="33"/>
      <c r="D358" s="34"/>
      <c r="E358" s="34"/>
      <c r="F358" s="34"/>
      <c r="G358" s="34"/>
      <c r="H358" s="33"/>
      <c r="I358" s="33"/>
      <c r="J358" s="33"/>
      <c r="K358" s="34"/>
      <c r="L358" s="34"/>
      <c r="M358" s="34"/>
      <c r="N358" s="34"/>
      <c r="O358" s="34"/>
      <c r="P358" s="34"/>
      <c r="Q358" s="34"/>
      <c r="R358" s="34"/>
      <c r="S358" s="34"/>
      <c r="T358" s="34"/>
      <c r="U358" s="34"/>
      <c r="V358" s="34"/>
      <c r="W358" s="34"/>
      <c r="X358" s="34"/>
      <c r="Y358" s="34"/>
      <c r="Z358" s="3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row>
    <row r="359" spans="1:57" ht="15.75" customHeight="1" x14ac:dyDescent="0.2">
      <c r="A359" s="34"/>
      <c r="B359" s="34"/>
      <c r="C359" s="33"/>
      <c r="D359" s="34"/>
      <c r="E359" s="34"/>
      <c r="F359" s="34"/>
      <c r="G359" s="34"/>
      <c r="H359" s="33"/>
      <c r="I359" s="33"/>
      <c r="J359" s="33"/>
      <c r="K359" s="34"/>
      <c r="L359" s="34"/>
      <c r="M359" s="34"/>
      <c r="N359" s="34"/>
      <c r="O359" s="34"/>
      <c r="P359" s="34"/>
      <c r="Q359" s="34"/>
      <c r="R359" s="34"/>
      <c r="S359" s="34"/>
      <c r="T359" s="34"/>
      <c r="U359" s="34"/>
      <c r="V359" s="34"/>
      <c r="W359" s="34"/>
      <c r="X359" s="34"/>
      <c r="Y359" s="34"/>
      <c r="Z359" s="3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row>
    <row r="360" spans="1:57" ht="15.75" customHeight="1" x14ac:dyDescent="0.2">
      <c r="A360" s="34"/>
      <c r="B360" s="34"/>
      <c r="C360" s="33"/>
      <c r="D360" s="34"/>
      <c r="E360" s="34"/>
      <c r="F360" s="34"/>
      <c r="G360" s="34"/>
      <c r="H360" s="33"/>
      <c r="I360" s="33"/>
      <c r="J360" s="33"/>
      <c r="K360" s="34"/>
      <c r="L360" s="34"/>
      <c r="M360" s="34"/>
      <c r="N360" s="34"/>
      <c r="O360" s="34"/>
      <c r="P360" s="34"/>
      <c r="Q360" s="34"/>
      <c r="R360" s="34"/>
      <c r="S360" s="34"/>
      <c r="T360" s="34"/>
      <c r="U360" s="34"/>
      <c r="V360" s="34"/>
      <c r="W360" s="34"/>
      <c r="X360" s="34"/>
      <c r="Y360" s="34"/>
      <c r="Z360" s="3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row>
    <row r="361" spans="1:57" ht="15.75" customHeight="1" x14ac:dyDescent="0.2">
      <c r="A361" s="34"/>
      <c r="B361" s="34"/>
      <c r="C361" s="33"/>
      <c r="D361" s="34"/>
      <c r="E361" s="34"/>
      <c r="F361" s="34"/>
      <c r="G361" s="34"/>
      <c r="H361" s="33"/>
      <c r="I361" s="33"/>
      <c r="J361" s="33"/>
      <c r="K361" s="34"/>
      <c r="L361" s="34"/>
      <c r="M361" s="34"/>
      <c r="N361" s="34"/>
      <c r="O361" s="34"/>
      <c r="P361" s="34"/>
      <c r="Q361" s="34"/>
      <c r="R361" s="34"/>
      <c r="S361" s="34"/>
      <c r="T361" s="34"/>
      <c r="U361" s="34"/>
      <c r="V361" s="34"/>
      <c r="W361" s="34"/>
      <c r="X361" s="34"/>
      <c r="Y361" s="34"/>
      <c r="Z361" s="3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row>
    <row r="362" spans="1:57" ht="15.75" customHeight="1" x14ac:dyDescent="0.2">
      <c r="A362" s="34"/>
      <c r="B362" s="34"/>
      <c r="C362" s="33"/>
      <c r="D362" s="34"/>
      <c r="E362" s="34"/>
      <c r="F362" s="34"/>
      <c r="G362" s="34"/>
      <c r="H362" s="33"/>
      <c r="I362" s="33"/>
      <c r="J362" s="33"/>
      <c r="K362" s="34"/>
      <c r="L362" s="34"/>
      <c r="M362" s="34"/>
      <c r="N362" s="34"/>
      <c r="O362" s="34"/>
      <c r="P362" s="34"/>
      <c r="Q362" s="34"/>
      <c r="R362" s="34"/>
      <c r="S362" s="34"/>
      <c r="T362" s="34"/>
      <c r="U362" s="34"/>
      <c r="V362" s="34"/>
      <c r="W362" s="34"/>
      <c r="X362" s="34"/>
      <c r="Y362" s="34"/>
      <c r="Z362" s="3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row>
    <row r="363" spans="1:57" ht="15.75" customHeight="1" x14ac:dyDescent="0.2">
      <c r="A363" s="34"/>
      <c r="B363" s="34"/>
      <c r="C363" s="33"/>
      <c r="D363" s="34"/>
      <c r="E363" s="34"/>
      <c r="F363" s="34"/>
      <c r="G363" s="34"/>
      <c r="H363" s="33"/>
      <c r="I363" s="33"/>
      <c r="J363" s="33"/>
      <c r="K363" s="34"/>
      <c r="L363" s="34"/>
      <c r="M363" s="34"/>
      <c r="N363" s="34"/>
      <c r="O363" s="34"/>
      <c r="P363" s="34"/>
      <c r="Q363" s="34"/>
      <c r="R363" s="34"/>
      <c r="S363" s="34"/>
      <c r="T363" s="34"/>
      <c r="U363" s="34"/>
      <c r="V363" s="34"/>
      <c r="W363" s="34"/>
      <c r="X363" s="34"/>
      <c r="Y363" s="34"/>
      <c r="Z363" s="3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row>
    <row r="364" spans="1:57" ht="15.75" customHeight="1" x14ac:dyDescent="0.2">
      <c r="A364" s="34"/>
      <c r="B364" s="34"/>
      <c r="C364" s="33"/>
      <c r="D364" s="34"/>
      <c r="E364" s="34"/>
      <c r="F364" s="34"/>
      <c r="G364" s="34"/>
      <c r="H364" s="33"/>
      <c r="I364" s="33"/>
      <c r="J364" s="33"/>
      <c r="K364" s="34"/>
      <c r="L364" s="34"/>
      <c r="M364" s="34"/>
      <c r="N364" s="34"/>
      <c r="O364" s="34"/>
      <c r="P364" s="34"/>
      <c r="Q364" s="34"/>
      <c r="R364" s="34"/>
      <c r="S364" s="34"/>
      <c r="T364" s="34"/>
      <c r="U364" s="34"/>
      <c r="V364" s="34"/>
      <c r="W364" s="34"/>
      <c r="X364" s="34"/>
      <c r="Y364" s="34"/>
      <c r="Z364" s="3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row>
    <row r="365" spans="1:57" ht="15.75" customHeight="1" x14ac:dyDescent="0.2">
      <c r="A365" s="34"/>
      <c r="B365" s="34"/>
      <c r="C365" s="33"/>
      <c r="D365" s="34"/>
      <c r="E365" s="34"/>
      <c r="F365" s="34"/>
      <c r="G365" s="34"/>
      <c r="H365" s="33"/>
      <c r="I365" s="33"/>
      <c r="J365" s="33"/>
      <c r="K365" s="34"/>
      <c r="L365" s="34"/>
      <c r="M365" s="34"/>
      <c r="N365" s="34"/>
      <c r="O365" s="34"/>
      <c r="P365" s="34"/>
      <c r="Q365" s="34"/>
      <c r="R365" s="34"/>
      <c r="S365" s="34"/>
      <c r="T365" s="34"/>
      <c r="U365" s="34"/>
      <c r="V365" s="34"/>
      <c r="W365" s="34"/>
      <c r="X365" s="34"/>
      <c r="Y365" s="34"/>
      <c r="Z365" s="3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row>
    <row r="366" spans="1:57" ht="15.75" customHeight="1" x14ac:dyDescent="0.2">
      <c r="A366" s="34"/>
      <c r="B366" s="34"/>
      <c r="C366" s="33"/>
      <c r="D366" s="34"/>
      <c r="E366" s="34"/>
      <c r="F366" s="34"/>
      <c r="G366" s="34"/>
      <c r="H366" s="33"/>
      <c r="I366" s="33"/>
      <c r="J366" s="33"/>
      <c r="K366" s="34"/>
      <c r="L366" s="34"/>
      <c r="M366" s="34"/>
      <c r="N366" s="34"/>
      <c r="O366" s="34"/>
      <c r="P366" s="34"/>
      <c r="Q366" s="34"/>
      <c r="R366" s="34"/>
      <c r="S366" s="34"/>
      <c r="T366" s="34"/>
      <c r="U366" s="34"/>
      <c r="V366" s="34"/>
      <c r="W366" s="34"/>
      <c r="X366" s="34"/>
      <c r="Y366" s="34"/>
      <c r="Z366" s="3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row>
    <row r="367" spans="1:57" ht="15.75" customHeight="1" x14ac:dyDescent="0.2">
      <c r="A367" s="34"/>
      <c r="B367" s="34"/>
      <c r="C367" s="33"/>
      <c r="D367" s="34"/>
      <c r="E367" s="34"/>
      <c r="F367" s="34"/>
      <c r="G367" s="34"/>
      <c r="H367" s="33"/>
      <c r="I367" s="33"/>
      <c r="J367" s="33"/>
      <c r="K367" s="34"/>
      <c r="L367" s="34"/>
      <c r="M367" s="34"/>
      <c r="N367" s="34"/>
      <c r="O367" s="34"/>
      <c r="P367" s="34"/>
      <c r="Q367" s="34"/>
      <c r="R367" s="34"/>
      <c r="S367" s="34"/>
      <c r="T367" s="34"/>
      <c r="U367" s="34"/>
      <c r="V367" s="34"/>
      <c r="W367" s="34"/>
      <c r="X367" s="34"/>
      <c r="Y367" s="34"/>
      <c r="Z367" s="3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row>
    <row r="368" spans="1:57" ht="15.75" customHeight="1" x14ac:dyDescent="0.2">
      <c r="A368" s="34"/>
      <c r="B368" s="34"/>
      <c r="C368" s="33"/>
      <c r="D368" s="34"/>
      <c r="E368" s="34"/>
      <c r="F368" s="34"/>
      <c r="G368" s="34"/>
      <c r="H368" s="33"/>
      <c r="I368" s="33"/>
      <c r="J368" s="33"/>
      <c r="K368" s="34"/>
      <c r="L368" s="34"/>
      <c r="M368" s="34"/>
      <c r="N368" s="34"/>
      <c r="O368" s="34"/>
      <c r="P368" s="34"/>
      <c r="Q368" s="34"/>
      <c r="R368" s="34"/>
      <c r="S368" s="34"/>
      <c r="T368" s="34"/>
      <c r="U368" s="34"/>
      <c r="V368" s="34"/>
      <c r="W368" s="34"/>
      <c r="X368" s="34"/>
      <c r="Y368" s="34"/>
      <c r="Z368" s="3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row>
    <row r="369" spans="1:57" ht="15.75" customHeight="1" x14ac:dyDescent="0.2">
      <c r="A369" s="34"/>
      <c r="B369" s="34"/>
      <c r="C369" s="33"/>
      <c r="D369" s="34"/>
      <c r="E369" s="34"/>
      <c r="F369" s="34"/>
      <c r="G369" s="34"/>
      <c r="H369" s="33"/>
      <c r="I369" s="33"/>
      <c r="J369" s="33"/>
      <c r="K369" s="34"/>
      <c r="L369" s="34"/>
      <c r="M369" s="34"/>
      <c r="N369" s="34"/>
      <c r="O369" s="34"/>
      <c r="P369" s="34"/>
      <c r="Q369" s="34"/>
      <c r="R369" s="34"/>
      <c r="S369" s="34"/>
      <c r="T369" s="34"/>
      <c r="U369" s="34"/>
      <c r="V369" s="34"/>
      <c r="W369" s="34"/>
      <c r="X369" s="34"/>
      <c r="Y369" s="34"/>
      <c r="Z369" s="3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row>
    <row r="370" spans="1:57" ht="15.75" customHeight="1" x14ac:dyDescent="0.2">
      <c r="A370" s="34"/>
      <c r="B370" s="34"/>
      <c r="C370" s="33"/>
      <c r="D370" s="34"/>
      <c r="E370" s="34"/>
      <c r="F370" s="34"/>
      <c r="G370" s="34"/>
      <c r="H370" s="33"/>
      <c r="I370" s="33"/>
      <c r="J370" s="33"/>
      <c r="K370" s="34"/>
      <c r="L370" s="34"/>
      <c r="M370" s="34"/>
      <c r="N370" s="34"/>
      <c r="O370" s="34"/>
      <c r="P370" s="34"/>
      <c r="Q370" s="34"/>
      <c r="R370" s="34"/>
      <c r="S370" s="34"/>
      <c r="T370" s="34"/>
      <c r="U370" s="34"/>
      <c r="V370" s="34"/>
      <c r="W370" s="34"/>
      <c r="X370" s="34"/>
      <c r="Y370" s="34"/>
      <c r="Z370" s="3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row>
    <row r="371" spans="1:57" ht="15.75" customHeight="1" x14ac:dyDescent="0.2">
      <c r="A371" s="34"/>
      <c r="B371" s="34"/>
      <c r="C371" s="33"/>
      <c r="D371" s="34"/>
      <c r="E371" s="34"/>
      <c r="F371" s="34"/>
      <c r="G371" s="34"/>
      <c r="H371" s="33"/>
      <c r="I371" s="33"/>
      <c r="J371" s="33"/>
      <c r="K371" s="34"/>
      <c r="L371" s="34"/>
      <c r="M371" s="34"/>
      <c r="N371" s="34"/>
      <c r="O371" s="34"/>
      <c r="P371" s="34"/>
      <c r="Q371" s="34"/>
      <c r="R371" s="34"/>
      <c r="S371" s="34"/>
      <c r="T371" s="34"/>
      <c r="U371" s="34"/>
      <c r="V371" s="34"/>
      <c r="W371" s="34"/>
      <c r="X371" s="34"/>
      <c r="Y371" s="34"/>
      <c r="Z371" s="3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row>
    <row r="372" spans="1:57" ht="15.75" customHeight="1" x14ac:dyDescent="0.2">
      <c r="A372" s="34"/>
      <c r="B372" s="34"/>
      <c r="C372" s="33"/>
      <c r="D372" s="34"/>
      <c r="E372" s="34"/>
      <c r="F372" s="34"/>
      <c r="G372" s="34"/>
      <c r="H372" s="33"/>
      <c r="I372" s="33"/>
      <c r="J372" s="33"/>
      <c r="K372" s="34"/>
      <c r="L372" s="34"/>
      <c r="M372" s="34"/>
      <c r="N372" s="34"/>
      <c r="O372" s="34"/>
      <c r="P372" s="34"/>
      <c r="Q372" s="34"/>
      <c r="R372" s="34"/>
      <c r="S372" s="34"/>
      <c r="T372" s="34"/>
      <c r="U372" s="34"/>
      <c r="V372" s="34"/>
      <c r="W372" s="34"/>
      <c r="X372" s="34"/>
      <c r="Y372" s="34"/>
      <c r="Z372" s="3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row>
    <row r="373" spans="1:57" ht="15.75" customHeight="1" x14ac:dyDescent="0.2">
      <c r="A373" s="34"/>
      <c r="B373" s="34"/>
      <c r="C373" s="33"/>
      <c r="D373" s="34"/>
      <c r="E373" s="34"/>
      <c r="F373" s="34"/>
      <c r="G373" s="34"/>
      <c r="H373" s="33"/>
      <c r="I373" s="33"/>
      <c r="J373" s="33"/>
      <c r="K373" s="34"/>
      <c r="L373" s="34"/>
      <c r="M373" s="34"/>
      <c r="N373" s="34"/>
      <c r="O373" s="34"/>
      <c r="P373" s="34"/>
      <c r="Q373" s="34"/>
      <c r="R373" s="34"/>
      <c r="S373" s="34"/>
      <c r="T373" s="34"/>
      <c r="U373" s="34"/>
      <c r="V373" s="34"/>
      <c r="W373" s="34"/>
      <c r="X373" s="34"/>
      <c r="Y373" s="34"/>
      <c r="Z373" s="3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row>
    <row r="374" spans="1:57" ht="15.75" customHeight="1" x14ac:dyDescent="0.2">
      <c r="A374" s="34"/>
      <c r="B374" s="34"/>
      <c r="C374" s="33"/>
      <c r="D374" s="34"/>
      <c r="E374" s="34"/>
      <c r="F374" s="34"/>
      <c r="G374" s="34"/>
      <c r="H374" s="33"/>
      <c r="I374" s="33"/>
      <c r="J374" s="33"/>
      <c r="K374" s="34"/>
      <c r="L374" s="34"/>
      <c r="M374" s="34"/>
      <c r="N374" s="34"/>
      <c r="O374" s="34"/>
      <c r="P374" s="34"/>
      <c r="Q374" s="34"/>
      <c r="R374" s="34"/>
      <c r="S374" s="34"/>
      <c r="T374" s="34"/>
      <c r="U374" s="34"/>
      <c r="V374" s="34"/>
      <c r="W374" s="34"/>
      <c r="X374" s="34"/>
      <c r="Y374" s="34"/>
      <c r="Z374" s="3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row>
    <row r="375" spans="1:57" ht="15.75" customHeight="1" x14ac:dyDescent="0.2">
      <c r="A375" s="34"/>
      <c r="B375" s="34"/>
      <c r="C375" s="33"/>
      <c r="D375" s="34"/>
      <c r="E375" s="34"/>
      <c r="F375" s="34"/>
      <c r="G375" s="34"/>
      <c r="H375" s="33"/>
      <c r="I375" s="33"/>
      <c r="J375" s="33"/>
      <c r="K375" s="34"/>
      <c r="L375" s="34"/>
      <c r="M375" s="34"/>
      <c r="N375" s="34"/>
      <c r="O375" s="34"/>
      <c r="P375" s="34"/>
      <c r="Q375" s="34"/>
      <c r="R375" s="34"/>
      <c r="S375" s="34"/>
      <c r="T375" s="34"/>
      <c r="U375" s="34"/>
      <c r="V375" s="34"/>
      <c r="W375" s="34"/>
      <c r="X375" s="34"/>
      <c r="Y375" s="34"/>
      <c r="Z375" s="3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row>
    <row r="376" spans="1:57" ht="15.75" customHeight="1" x14ac:dyDescent="0.2">
      <c r="A376" s="34"/>
      <c r="B376" s="34"/>
      <c r="C376" s="33"/>
      <c r="D376" s="34"/>
      <c r="E376" s="34"/>
      <c r="F376" s="34"/>
      <c r="G376" s="34"/>
      <c r="H376" s="33"/>
      <c r="I376" s="33"/>
      <c r="J376" s="33"/>
      <c r="K376" s="34"/>
      <c r="L376" s="34"/>
      <c r="M376" s="34"/>
      <c r="N376" s="34"/>
      <c r="O376" s="34"/>
      <c r="P376" s="34"/>
      <c r="Q376" s="34"/>
      <c r="R376" s="34"/>
      <c r="S376" s="34"/>
      <c r="T376" s="34"/>
      <c r="U376" s="34"/>
      <c r="V376" s="34"/>
      <c r="W376" s="34"/>
      <c r="X376" s="34"/>
      <c r="Y376" s="34"/>
      <c r="Z376" s="3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row>
    <row r="377" spans="1:57" ht="15.75" customHeight="1" x14ac:dyDescent="0.2">
      <c r="A377" s="34"/>
      <c r="B377" s="34"/>
      <c r="C377" s="33"/>
      <c r="D377" s="34"/>
      <c r="E377" s="34"/>
      <c r="F377" s="34"/>
      <c r="G377" s="34"/>
      <c r="H377" s="33"/>
      <c r="I377" s="33"/>
      <c r="J377" s="33"/>
      <c r="K377" s="34"/>
      <c r="L377" s="34"/>
      <c r="M377" s="34"/>
      <c r="N377" s="34"/>
      <c r="O377" s="34"/>
      <c r="P377" s="34"/>
      <c r="Q377" s="34"/>
      <c r="R377" s="34"/>
      <c r="S377" s="34"/>
      <c r="T377" s="34"/>
      <c r="U377" s="34"/>
      <c r="V377" s="34"/>
      <c r="W377" s="34"/>
      <c r="X377" s="34"/>
      <c r="Y377" s="34"/>
      <c r="Z377" s="3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row>
    <row r="378" spans="1:57" ht="15.75" customHeight="1" x14ac:dyDescent="0.2">
      <c r="A378" s="34"/>
      <c r="B378" s="34"/>
      <c r="C378" s="33"/>
      <c r="D378" s="34"/>
      <c r="E378" s="34"/>
      <c r="F378" s="34"/>
      <c r="G378" s="34"/>
      <c r="H378" s="33"/>
      <c r="I378" s="33"/>
      <c r="J378" s="33"/>
      <c r="K378" s="34"/>
      <c r="L378" s="34"/>
      <c r="M378" s="34"/>
      <c r="N378" s="34"/>
      <c r="O378" s="34"/>
      <c r="P378" s="34"/>
      <c r="Q378" s="34"/>
      <c r="R378" s="34"/>
      <c r="S378" s="34"/>
      <c r="T378" s="34"/>
      <c r="U378" s="34"/>
      <c r="V378" s="34"/>
      <c r="W378" s="34"/>
      <c r="X378" s="34"/>
      <c r="Y378" s="34"/>
      <c r="Z378" s="3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row>
    <row r="379" spans="1:57" ht="15.75" customHeight="1" x14ac:dyDescent="0.2">
      <c r="A379" s="34"/>
      <c r="B379" s="34"/>
      <c r="C379" s="33"/>
      <c r="D379" s="34"/>
      <c r="E379" s="34"/>
      <c r="F379" s="34"/>
      <c r="G379" s="34"/>
      <c r="H379" s="33"/>
      <c r="I379" s="33"/>
      <c r="J379" s="33"/>
      <c r="K379" s="34"/>
      <c r="L379" s="34"/>
      <c r="M379" s="34"/>
      <c r="N379" s="34"/>
      <c r="O379" s="34"/>
      <c r="P379" s="34"/>
      <c r="Q379" s="34"/>
      <c r="R379" s="34"/>
      <c r="S379" s="34"/>
      <c r="T379" s="34"/>
      <c r="U379" s="34"/>
      <c r="V379" s="34"/>
      <c r="W379" s="34"/>
      <c r="X379" s="34"/>
      <c r="Y379" s="34"/>
      <c r="Z379" s="3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row>
    <row r="380" spans="1:57" ht="15.75" customHeight="1" x14ac:dyDescent="0.2">
      <c r="A380" s="34"/>
      <c r="B380" s="34"/>
      <c r="C380" s="33"/>
      <c r="D380" s="34"/>
      <c r="E380" s="34"/>
      <c r="F380" s="34"/>
      <c r="G380" s="34"/>
      <c r="H380" s="33"/>
      <c r="I380" s="33"/>
      <c r="J380" s="33"/>
      <c r="K380" s="34"/>
      <c r="L380" s="34"/>
      <c r="M380" s="34"/>
      <c r="N380" s="34"/>
      <c r="O380" s="34"/>
      <c r="P380" s="34"/>
      <c r="Q380" s="34"/>
      <c r="R380" s="34"/>
      <c r="S380" s="34"/>
      <c r="T380" s="34"/>
      <c r="U380" s="34"/>
      <c r="V380" s="34"/>
      <c r="W380" s="34"/>
      <c r="X380" s="34"/>
      <c r="Y380" s="34"/>
      <c r="Z380" s="3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row>
    <row r="381" spans="1:57" ht="15.75" customHeight="1" x14ac:dyDescent="0.2">
      <c r="A381" s="34"/>
      <c r="B381" s="34"/>
      <c r="C381" s="33"/>
      <c r="D381" s="34"/>
      <c r="E381" s="34"/>
      <c r="F381" s="34"/>
      <c r="G381" s="34"/>
      <c r="H381" s="33"/>
      <c r="I381" s="33"/>
      <c r="J381" s="33"/>
      <c r="K381" s="34"/>
      <c r="L381" s="34"/>
      <c r="M381" s="34"/>
      <c r="N381" s="34"/>
      <c r="O381" s="34"/>
      <c r="P381" s="34"/>
      <c r="Q381" s="34"/>
      <c r="R381" s="34"/>
      <c r="S381" s="34"/>
      <c r="T381" s="34"/>
      <c r="U381" s="34"/>
      <c r="V381" s="34"/>
      <c r="W381" s="34"/>
      <c r="X381" s="34"/>
      <c r="Y381" s="34"/>
      <c r="Z381" s="3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row>
    <row r="382" spans="1:57" ht="15.75" customHeight="1" x14ac:dyDescent="0.2">
      <c r="A382" s="34"/>
      <c r="B382" s="34"/>
      <c r="C382" s="33"/>
      <c r="D382" s="34"/>
      <c r="E382" s="34"/>
      <c r="F382" s="34"/>
      <c r="G382" s="34"/>
      <c r="H382" s="33"/>
      <c r="I382" s="33"/>
      <c r="J382" s="33"/>
      <c r="K382" s="34"/>
      <c r="L382" s="34"/>
      <c r="M382" s="34"/>
      <c r="N382" s="34"/>
      <c r="O382" s="34"/>
      <c r="P382" s="34"/>
      <c r="Q382" s="34"/>
      <c r="R382" s="34"/>
      <c r="S382" s="34"/>
      <c r="T382" s="34"/>
      <c r="U382" s="34"/>
      <c r="V382" s="34"/>
      <c r="W382" s="34"/>
      <c r="X382" s="34"/>
      <c r="Y382" s="34"/>
      <c r="Z382" s="3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row>
    <row r="383" spans="1:57" ht="15.75" customHeight="1" x14ac:dyDescent="0.2">
      <c r="A383" s="34"/>
      <c r="B383" s="34"/>
      <c r="C383" s="33"/>
      <c r="D383" s="34"/>
      <c r="E383" s="34"/>
      <c r="F383" s="34"/>
      <c r="G383" s="34"/>
      <c r="H383" s="33"/>
      <c r="I383" s="33"/>
      <c r="J383" s="33"/>
      <c r="K383" s="34"/>
      <c r="L383" s="34"/>
      <c r="M383" s="34"/>
      <c r="N383" s="34"/>
      <c r="O383" s="34"/>
      <c r="P383" s="34"/>
      <c r="Q383" s="34"/>
      <c r="R383" s="34"/>
      <c r="S383" s="34"/>
      <c r="T383" s="34"/>
      <c r="U383" s="34"/>
      <c r="V383" s="34"/>
      <c r="W383" s="34"/>
      <c r="X383" s="34"/>
      <c r="Y383" s="34"/>
      <c r="Z383" s="3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row>
    <row r="384" spans="1:57" ht="15.75" customHeight="1" x14ac:dyDescent="0.2">
      <c r="A384" s="34"/>
      <c r="B384" s="34"/>
      <c r="C384" s="33"/>
      <c r="D384" s="34"/>
      <c r="E384" s="34"/>
      <c r="F384" s="34"/>
      <c r="G384" s="34"/>
      <c r="H384" s="33"/>
      <c r="I384" s="33"/>
      <c r="J384" s="33"/>
      <c r="K384" s="34"/>
      <c r="L384" s="34"/>
      <c r="M384" s="34"/>
      <c r="N384" s="34"/>
      <c r="O384" s="34"/>
      <c r="P384" s="34"/>
      <c r="Q384" s="34"/>
      <c r="R384" s="34"/>
      <c r="S384" s="34"/>
      <c r="T384" s="34"/>
      <c r="U384" s="34"/>
      <c r="V384" s="34"/>
      <c r="W384" s="34"/>
      <c r="X384" s="34"/>
      <c r="Y384" s="34"/>
      <c r="Z384" s="3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row>
    <row r="385" spans="1:57" ht="15.75" customHeight="1" x14ac:dyDescent="0.2">
      <c r="A385" s="34"/>
      <c r="B385" s="34"/>
      <c r="C385" s="33"/>
      <c r="D385" s="34"/>
      <c r="E385" s="34"/>
      <c r="F385" s="34"/>
      <c r="G385" s="34"/>
      <c r="H385" s="33"/>
      <c r="I385" s="33"/>
      <c r="J385" s="33"/>
      <c r="K385" s="34"/>
      <c r="L385" s="34"/>
      <c r="M385" s="34"/>
      <c r="N385" s="34"/>
      <c r="O385" s="34"/>
      <c r="P385" s="34"/>
      <c r="Q385" s="34"/>
      <c r="R385" s="34"/>
      <c r="S385" s="34"/>
      <c r="T385" s="34"/>
      <c r="U385" s="34"/>
      <c r="V385" s="34"/>
      <c r="W385" s="34"/>
      <c r="X385" s="34"/>
      <c r="Y385" s="34"/>
      <c r="Z385" s="3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row>
    <row r="386" spans="1:57" ht="15.75" customHeight="1" x14ac:dyDescent="0.2">
      <c r="A386" s="34"/>
      <c r="B386" s="34"/>
      <c r="C386" s="33"/>
      <c r="D386" s="34"/>
      <c r="E386" s="34"/>
      <c r="F386" s="34"/>
      <c r="G386" s="34"/>
      <c r="H386" s="33"/>
      <c r="I386" s="33"/>
      <c r="J386" s="33"/>
      <c r="K386" s="34"/>
      <c r="L386" s="34"/>
      <c r="M386" s="34"/>
      <c r="N386" s="34"/>
      <c r="O386" s="34"/>
      <c r="P386" s="34"/>
      <c r="Q386" s="34"/>
      <c r="R386" s="34"/>
      <c r="S386" s="34"/>
      <c r="T386" s="34"/>
      <c r="U386" s="34"/>
      <c r="V386" s="34"/>
      <c r="W386" s="34"/>
      <c r="X386" s="34"/>
      <c r="Y386" s="34"/>
      <c r="Z386" s="3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row>
    <row r="387" spans="1:57" ht="15.75" customHeight="1" x14ac:dyDescent="0.2">
      <c r="A387" s="34"/>
      <c r="B387" s="34"/>
      <c r="C387" s="33"/>
      <c r="D387" s="34"/>
      <c r="E387" s="34"/>
      <c r="F387" s="34"/>
      <c r="G387" s="34"/>
      <c r="H387" s="33"/>
      <c r="I387" s="33"/>
      <c r="J387" s="33"/>
      <c r="K387" s="34"/>
      <c r="L387" s="34"/>
      <c r="M387" s="34"/>
      <c r="N387" s="34"/>
      <c r="O387" s="34"/>
      <c r="P387" s="34"/>
      <c r="Q387" s="34"/>
      <c r="R387" s="34"/>
      <c r="S387" s="34"/>
      <c r="T387" s="34"/>
      <c r="U387" s="34"/>
      <c r="V387" s="34"/>
      <c r="W387" s="34"/>
      <c r="X387" s="34"/>
      <c r="Y387" s="34"/>
      <c r="Z387" s="3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row>
    <row r="388" spans="1:57" ht="15.75" customHeight="1" x14ac:dyDescent="0.2">
      <c r="A388" s="34"/>
      <c r="B388" s="34"/>
      <c r="C388" s="33"/>
      <c r="D388" s="34"/>
      <c r="E388" s="34"/>
      <c r="F388" s="34"/>
      <c r="G388" s="34"/>
      <c r="H388" s="33"/>
      <c r="I388" s="33"/>
      <c r="J388" s="33"/>
      <c r="K388" s="34"/>
      <c r="L388" s="34"/>
      <c r="M388" s="34"/>
      <c r="N388" s="34"/>
      <c r="O388" s="34"/>
      <c r="P388" s="34"/>
      <c r="Q388" s="34"/>
      <c r="R388" s="34"/>
      <c r="S388" s="34"/>
      <c r="T388" s="34"/>
      <c r="U388" s="34"/>
      <c r="V388" s="34"/>
      <c r="W388" s="34"/>
      <c r="X388" s="34"/>
      <c r="Y388" s="34"/>
      <c r="Z388" s="3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row>
    <row r="389" spans="1:57" ht="15.75" customHeight="1" x14ac:dyDescent="0.2">
      <c r="A389" s="34"/>
      <c r="B389" s="34"/>
      <c r="C389" s="33"/>
      <c r="D389" s="34"/>
      <c r="E389" s="34"/>
      <c r="F389" s="34"/>
      <c r="G389" s="34"/>
      <c r="H389" s="33"/>
      <c r="I389" s="33"/>
      <c r="J389" s="33"/>
      <c r="K389" s="34"/>
      <c r="L389" s="34"/>
      <c r="M389" s="34"/>
      <c r="N389" s="34"/>
      <c r="O389" s="34"/>
      <c r="P389" s="34"/>
      <c r="Q389" s="34"/>
      <c r="R389" s="34"/>
      <c r="S389" s="34"/>
      <c r="T389" s="34"/>
      <c r="U389" s="34"/>
      <c r="V389" s="34"/>
      <c r="W389" s="34"/>
      <c r="X389" s="34"/>
      <c r="Y389" s="34"/>
      <c r="Z389" s="3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row>
    <row r="390" spans="1:57" ht="15.75" customHeight="1" x14ac:dyDescent="0.2">
      <c r="A390" s="34"/>
      <c r="B390" s="34"/>
      <c r="C390" s="33"/>
      <c r="D390" s="34"/>
      <c r="E390" s="34"/>
      <c r="F390" s="34"/>
      <c r="G390" s="34"/>
      <c r="H390" s="33"/>
      <c r="I390" s="33"/>
      <c r="J390" s="33"/>
      <c r="K390" s="34"/>
      <c r="L390" s="34"/>
      <c r="M390" s="34"/>
      <c r="N390" s="34"/>
      <c r="O390" s="34"/>
      <c r="P390" s="34"/>
      <c r="Q390" s="34"/>
      <c r="R390" s="34"/>
      <c r="S390" s="34"/>
      <c r="T390" s="34"/>
      <c r="U390" s="34"/>
      <c r="V390" s="34"/>
      <c r="W390" s="34"/>
      <c r="X390" s="34"/>
      <c r="Y390" s="34"/>
      <c r="Z390" s="3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row>
    <row r="391" spans="1:57" ht="15.75" customHeight="1" x14ac:dyDescent="0.2">
      <c r="A391" s="34"/>
      <c r="B391" s="34"/>
      <c r="C391" s="33"/>
      <c r="D391" s="34"/>
      <c r="E391" s="34"/>
      <c r="F391" s="34"/>
      <c r="G391" s="34"/>
      <c r="H391" s="33"/>
      <c r="I391" s="33"/>
      <c r="J391" s="33"/>
      <c r="K391" s="34"/>
      <c r="L391" s="34"/>
      <c r="M391" s="34"/>
      <c r="N391" s="34"/>
      <c r="O391" s="34"/>
      <c r="P391" s="34"/>
      <c r="Q391" s="34"/>
      <c r="R391" s="34"/>
      <c r="S391" s="34"/>
      <c r="T391" s="34"/>
      <c r="U391" s="34"/>
      <c r="V391" s="34"/>
      <c r="W391" s="34"/>
      <c r="X391" s="34"/>
      <c r="Y391" s="34"/>
      <c r="Z391" s="3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row>
    <row r="392" spans="1:57" ht="15.75" customHeight="1" x14ac:dyDescent="0.2">
      <c r="A392" s="34"/>
      <c r="B392" s="34"/>
      <c r="C392" s="33"/>
      <c r="D392" s="34"/>
      <c r="E392" s="34"/>
      <c r="F392" s="34"/>
      <c r="G392" s="34"/>
      <c r="H392" s="33"/>
      <c r="I392" s="33"/>
      <c r="J392" s="33"/>
      <c r="K392" s="34"/>
      <c r="L392" s="34"/>
      <c r="M392" s="34"/>
      <c r="N392" s="34"/>
      <c r="O392" s="34"/>
      <c r="P392" s="34"/>
      <c r="Q392" s="34"/>
      <c r="R392" s="34"/>
      <c r="S392" s="34"/>
      <c r="T392" s="34"/>
      <c r="U392" s="34"/>
      <c r="V392" s="34"/>
      <c r="W392" s="34"/>
      <c r="X392" s="34"/>
      <c r="Y392" s="34"/>
      <c r="Z392" s="3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row>
    <row r="393" spans="1:57" ht="15.75" customHeight="1" x14ac:dyDescent="0.2">
      <c r="A393" s="34"/>
      <c r="B393" s="34"/>
      <c r="C393" s="33"/>
      <c r="D393" s="34"/>
      <c r="E393" s="34"/>
      <c r="F393" s="34"/>
      <c r="G393" s="34"/>
      <c r="H393" s="33"/>
      <c r="I393" s="33"/>
      <c r="J393" s="33"/>
      <c r="K393" s="34"/>
      <c r="L393" s="34"/>
      <c r="M393" s="34"/>
      <c r="N393" s="34"/>
      <c r="O393" s="34"/>
      <c r="P393" s="34"/>
      <c r="Q393" s="34"/>
      <c r="R393" s="34"/>
      <c r="S393" s="34"/>
      <c r="T393" s="34"/>
      <c r="U393" s="34"/>
      <c r="V393" s="34"/>
      <c r="W393" s="34"/>
      <c r="X393" s="34"/>
      <c r="Y393" s="34"/>
      <c r="Z393" s="3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row>
    <row r="394" spans="1:57" ht="15.75" customHeight="1" x14ac:dyDescent="0.2">
      <c r="A394" s="34"/>
      <c r="B394" s="34"/>
      <c r="C394" s="33"/>
      <c r="D394" s="34"/>
      <c r="E394" s="34"/>
      <c r="F394" s="34"/>
      <c r="G394" s="34"/>
      <c r="H394" s="33"/>
      <c r="I394" s="33"/>
      <c r="J394" s="33"/>
      <c r="K394" s="34"/>
      <c r="L394" s="34"/>
      <c r="M394" s="34"/>
      <c r="N394" s="34"/>
      <c r="O394" s="34"/>
      <c r="P394" s="34"/>
      <c r="Q394" s="34"/>
      <c r="R394" s="34"/>
      <c r="S394" s="34"/>
      <c r="T394" s="34"/>
      <c r="U394" s="34"/>
      <c r="V394" s="34"/>
      <c r="W394" s="34"/>
      <c r="X394" s="34"/>
      <c r="Y394" s="34"/>
      <c r="Z394" s="3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row>
    <row r="395" spans="1:57" ht="15.75" customHeight="1" x14ac:dyDescent="0.2">
      <c r="A395" s="34"/>
      <c r="B395" s="34"/>
      <c r="C395" s="33"/>
      <c r="D395" s="34"/>
      <c r="E395" s="34"/>
      <c r="F395" s="34"/>
      <c r="G395" s="34"/>
      <c r="H395" s="33"/>
      <c r="I395" s="33"/>
      <c r="J395" s="33"/>
      <c r="K395" s="34"/>
      <c r="L395" s="34"/>
      <c r="M395" s="34"/>
      <c r="N395" s="34"/>
      <c r="O395" s="34"/>
      <c r="P395" s="34"/>
      <c r="Q395" s="34"/>
      <c r="R395" s="34"/>
      <c r="S395" s="34"/>
      <c r="T395" s="34"/>
      <c r="U395" s="34"/>
      <c r="V395" s="34"/>
      <c r="W395" s="34"/>
      <c r="X395" s="34"/>
      <c r="Y395" s="34"/>
      <c r="Z395" s="3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row>
    <row r="396" spans="1:57" ht="15.75" customHeight="1" x14ac:dyDescent="0.2">
      <c r="A396" s="34"/>
      <c r="B396" s="34"/>
      <c r="C396" s="33"/>
      <c r="D396" s="34"/>
      <c r="E396" s="34"/>
      <c r="F396" s="34"/>
      <c r="G396" s="34"/>
      <c r="H396" s="33"/>
      <c r="I396" s="33"/>
      <c r="J396" s="33"/>
      <c r="K396" s="34"/>
      <c r="L396" s="34"/>
      <c r="M396" s="34"/>
      <c r="N396" s="34"/>
      <c r="O396" s="34"/>
      <c r="P396" s="34"/>
      <c r="Q396" s="34"/>
      <c r="R396" s="34"/>
      <c r="S396" s="34"/>
      <c r="T396" s="34"/>
      <c r="U396" s="34"/>
      <c r="V396" s="34"/>
      <c r="W396" s="34"/>
      <c r="X396" s="34"/>
      <c r="Y396" s="34"/>
      <c r="Z396" s="3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row>
    <row r="397" spans="1:57" ht="15.75" customHeight="1" x14ac:dyDescent="0.2">
      <c r="A397" s="34"/>
      <c r="B397" s="34"/>
      <c r="C397" s="33"/>
      <c r="D397" s="34"/>
      <c r="E397" s="34"/>
      <c r="F397" s="34"/>
      <c r="G397" s="34"/>
      <c r="H397" s="33"/>
      <c r="I397" s="33"/>
      <c r="J397" s="33"/>
      <c r="K397" s="34"/>
      <c r="L397" s="34"/>
      <c r="M397" s="34"/>
      <c r="N397" s="34"/>
      <c r="O397" s="34"/>
      <c r="P397" s="34"/>
      <c r="Q397" s="34"/>
      <c r="R397" s="34"/>
      <c r="S397" s="34"/>
      <c r="T397" s="34"/>
      <c r="U397" s="34"/>
      <c r="V397" s="34"/>
      <c r="W397" s="34"/>
      <c r="X397" s="34"/>
      <c r="Y397" s="34"/>
      <c r="Z397" s="3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row>
    <row r="398" spans="1:57" ht="15.75" customHeight="1" x14ac:dyDescent="0.2">
      <c r="A398" s="34"/>
      <c r="B398" s="34"/>
      <c r="C398" s="33"/>
      <c r="D398" s="34"/>
      <c r="E398" s="34"/>
      <c r="F398" s="34"/>
      <c r="G398" s="34"/>
      <c r="H398" s="33"/>
      <c r="I398" s="33"/>
      <c r="J398" s="33"/>
      <c r="K398" s="34"/>
      <c r="L398" s="34"/>
      <c r="M398" s="34"/>
      <c r="N398" s="34"/>
      <c r="O398" s="34"/>
      <c r="P398" s="34"/>
      <c r="Q398" s="34"/>
      <c r="R398" s="34"/>
      <c r="S398" s="34"/>
      <c r="T398" s="34"/>
      <c r="U398" s="34"/>
      <c r="V398" s="34"/>
      <c r="W398" s="34"/>
      <c r="X398" s="34"/>
      <c r="Y398" s="34"/>
      <c r="Z398" s="3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row>
    <row r="399" spans="1:57" ht="15.75" customHeight="1" x14ac:dyDescent="0.2">
      <c r="A399" s="34"/>
      <c r="B399" s="34"/>
      <c r="C399" s="33"/>
      <c r="D399" s="34"/>
      <c r="E399" s="34"/>
      <c r="F399" s="34"/>
      <c r="G399" s="34"/>
      <c r="H399" s="33"/>
      <c r="I399" s="33"/>
      <c r="J399" s="33"/>
      <c r="K399" s="34"/>
      <c r="L399" s="34"/>
      <c r="M399" s="34"/>
      <c r="N399" s="34"/>
      <c r="O399" s="34"/>
      <c r="P399" s="34"/>
      <c r="Q399" s="34"/>
      <c r="R399" s="34"/>
      <c r="S399" s="34"/>
      <c r="T399" s="34"/>
      <c r="U399" s="34"/>
      <c r="V399" s="34"/>
      <c r="W399" s="34"/>
      <c r="X399" s="34"/>
      <c r="Y399" s="34"/>
      <c r="Z399" s="3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row>
    <row r="400" spans="1:57" ht="15.75" customHeight="1" x14ac:dyDescent="0.2">
      <c r="A400" s="34"/>
      <c r="B400" s="34"/>
      <c r="C400" s="33"/>
      <c r="D400" s="34"/>
      <c r="E400" s="34"/>
      <c r="F400" s="34"/>
      <c r="G400" s="34"/>
      <c r="H400" s="33"/>
      <c r="I400" s="33"/>
      <c r="J400" s="33"/>
      <c r="K400" s="34"/>
      <c r="L400" s="34"/>
      <c r="M400" s="34"/>
      <c r="N400" s="34"/>
      <c r="O400" s="34"/>
      <c r="P400" s="34"/>
      <c r="Q400" s="34"/>
      <c r="R400" s="34"/>
      <c r="S400" s="34"/>
      <c r="T400" s="34"/>
      <c r="U400" s="34"/>
      <c r="V400" s="34"/>
      <c r="W400" s="34"/>
      <c r="X400" s="34"/>
      <c r="Y400" s="34"/>
      <c r="Z400" s="3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row>
    <row r="401" spans="1:57" ht="15.75" customHeight="1" x14ac:dyDescent="0.2">
      <c r="A401" s="34"/>
      <c r="B401" s="34"/>
      <c r="C401" s="33"/>
      <c r="D401" s="34"/>
      <c r="E401" s="34"/>
      <c r="F401" s="34"/>
      <c r="G401" s="34"/>
      <c r="H401" s="33"/>
      <c r="I401" s="33"/>
      <c r="J401" s="33"/>
      <c r="K401" s="34"/>
      <c r="L401" s="34"/>
      <c r="M401" s="34"/>
      <c r="N401" s="34"/>
      <c r="O401" s="34"/>
      <c r="P401" s="34"/>
      <c r="Q401" s="34"/>
      <c r="R401" s="34"/>
      <c r="S401" s="34"/>
      <c r="T401" s="34"/>
      <c r="U401" s="34"/>
      <c r="V401" s="34"/>
      <c r="W401" s="34"/>
      <c r="X401" s="34"/>
      <c r="Y401" s="34"/>
      <c r="Z401" s="3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row>
    <row r="402" spans="1:57" ht="15.75" customHeight="1" x14ac:dyDescent="0.2">
      <c r="A402" s="34"/>
      <c r="B402" s="34"/>
      <c r="C402" s="33"/>
      <c r="D402" s="34"/>
      <c r="E402" s="34"/>
      <c r="F402" s="34"/>
      <c r="G402" s="34"/>
      <c r="H402" s="33"/>
      <c r="I402" s="33"/>
      <c r="J402" s="33"/>
      <c r="K402" s="34"/>
      <c r="L402" s="34"/>
      <c r="M402" s="34"/>
      <c r="N402" s="34"/>
      <c r="O402" s="34"/>
      <c r="P402" s="34"/>
      <c r="Q402" s="34"/>
      <c r="R402" s="34"/>
      <c r="S402" s="34"/>
      <c r="T402" s="34"/>
      <c r="U402" s="34"/>
      <c r="V402" s="34"/>
      <c r="W402" s="34"/>
      <c r="X402" s="34"/>
      <c r="Y402" s="34"/>
      <c r="Z402" s="3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row>
    <row r="403" spans="1:57" ht="15.75" customHeight="1" x14ac:dyDescent="0.2">
      <c r="A403" s="34"/>
      <c r="B403" s="34"/>
      <c r="C403" s="33"/>
      <c r="D403" s="34"/>
      <c r="E403" s="34"/>
      <c r="F403" s="34"/>
      <c r="G403" s="34"/>
      <c r="H403" s="33"/>
      <c r="I403" s="33"/>
      <c r="J403" s="33"/>
      <c r="K403" s="34"/>
      <c r="L403" s="34"/>
      <c r="M403" s="34"/>
      <c r="N403" s="34"/>
      <c r="O403" s="34"/>
      <c r="P403" s="34"/>
      <c r="Q403" s="34"/>
      <c r="R403" s="34"/>
      <c r="S403" s="34"/>
      <c r="T403" s="34"/>
      <c r="U403" s="34"/>
      <c r="V403" s="34"/>
      <c r="W403" s="34"/>
      <c r="X403" s="34"/>
      <c r="Y403" s="34"/>
      <c r="Z403" s="3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row>
    <row r="404" spans="1:57" ht="15.75" customHeight="1" x14ac:dyDescent="0.2">
      <c r="A404" s="34"/>
      <c r="B404" s="34"/>
      <c r="C404" s="33"/>
      <c r="D404" s="34"/>
      <c r="E404" s="34"/>
      <c r="F404" s="34"/>
      <c r="G404" s="34"/>
      <c r="H404" s="33"/>
      <c r="I404" s="33"/>
      <c r="J404" s="33"/>
      <c r="K404" s="34"/>
      <c r="L404" s="34"/>
      <c r="M404" s="34"/>
      <c r="N404" s="34"/>
      <c r="O404" s="34"/>
      <c r="P404" s="34"/>
      <c r="Q404" s="34"/>
      <c r="R404" s="34"/>
      <c r="S404" s="34"/>
      <c r="T404" s="34"/>
      <c r="U404" s="34"/>
      <c r="V404" s="34"/>
      <c r="W404" s="34"/>
      <c r="X404" s="34"/>
      <c r="Y404" s="34"/>
      <c r="Z404" s="3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row>
    <row r="405" spans="1:57" ht="15.75" customHeight="1" x14ac:dyDescent="0.2">
      <c r="A405" s="34"/>
      <c r="B405" s="34"/>
      <c r="C405" s="33"/>
      <c r="D405" s="34"/>
      <c r="E405" s="34"/>
      <c r="F405" s="34"/>
      <c r="G405" s="34"/>
      <c r="H405" s="33"/>
      <c r="I405" s="33"/>
      <c r="J405" s="33"/>
      <c r="K405" s="34"/>
      <c r="L405" s="34"/>
      <c r="M405" s="34"/>
      <c r="N405" s="34"/>
      <c r="O405" s="34"/>
      <c r="P405" s="34"/>
      <c r="Q405" s="34"/>
      <c r="R405" s="34"/>
      <c r="S405" s="34"/>
      <c r="T405" s="34"/>
      <c r="U405" s="34"/>
      <c r="V405" s="34"/>
      <c r="W405" s="34"/>
      <c r="X405" s="34"/>
      <c r="Y405" s="34"/>
      <c r="Z405" s="3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row>
    <row r="406" spans="1:57" ht="15.75" customHeight="1" x14ac:dyDescent="0.2">
      <c r="A406" s="34"/>
      <c r="B406" s="34"/>
      <c r="C406" s="33"/>
      <c r="D406" s="34"/>
      <c r="E406" s="34"/>
      <c r="F406" s="34"/>
      <c r="G406" s="34"/>
      <c r="H406" s="33"/>
      <c r="I406" s="33"/>
      <c r="J406" s="33"/>
      <c r="K406" s="34"/>
      <c r="L406" s="34"/>
      <c r="M406" s="34"/>
      <c r="N406" s="34"/>
      <c r="O406" s="34"/>
      <c r="P406" s="34"/>
      <c r="Q406" s="34"/>
      <c r="R406" s="34"/>
      <c r="S406" s="34"/>
      <c r="T406" s="34"/>
      <c r="U406" s="34"/>
      <c r="V406" s="34"/>
      <c r="W406" s="34"/>
      <c r="X406" s="34"/>
      <c r="Y406" s="34"/>
      <c r="Z406" s="3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row>
    <row r="407" spans="1:57" ht="15.75" customHeight="1" x14ac:dyDescent="0.2">
      <c r="A407" s="34"/>
      <c r="B407" s="34"/>
      <c r="C407" s="33"/>
      <c r="D407" s="34"/>
      <c r="E407" s="34"/>
      <c r="F407" s="34"/>
      <c r="G407" s="34"/>
      <c r="H407" s="33"/>
      <c r="I407" s="33"/>
      <c r="J407" s="33"/>
      <c r="K407" s="34"/>
      <c r="L407" s="34"/>
      <c r="M407" s="34"/>
      <c r="N407" s="34"/>
      <c r="O407" s="34"/>
      <c r="P407" s="34"/>
      <c r="Q407" s="34"/>
      <c r="R407" s="34"/>
      <c r="S407" s="34"/>
      <c r="T407" s="34"/>
      <c r="U407" s="34"/>
      <c r="V407" s="34"/>
      <c r="W407" s="34"/>
      <c r="X407" s="34"/>
      <c r="Y407" s="34"/>
      <c r="Z407" s="3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row>
    <row r="408" spans="1:57" ht="15.75" customHeight="1" x14ac:dyDescent="0.2">
      <c r="A408" s="34"/>
      <c r="B408" s="34"/>
      <c r="C408" s="33"/>
      <c r="D408" s="34"/>
      <c r="E408" s="34"/>
      <c r="F408" s="34"/>
      <c r="G408" s="34"/>
      <c r="H408" s="33"/>
      <c r="I408" s="33"/>
      <c r="J408" s="33"/>
      <c r="K408" s="34"/>
      <c r="L408" s="34"/>
      <c r="M408" s="34"/>
      <c r="N408" s="34"/>
      <c r="O408" s="34"/>
      <c r="P408" s="34"/>
      <c r="Q408" s="34"/>
      <c r="R408" s="34"/>
      <c r="S408" s="34"/>
      <c r="T408" s="34"/>
      <c r="U408" s="34"/>
      <c r="V408" s="34"/>
      <c r="W408" s="34"/>
      <c r="X408" s="34"/>
      <c r="Y408" s="34"/>
      <c r="Z408" s="3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row>
    <row r="409" spans="1:57" ht="15.75" customHeight="1" x14ac:dyDescent="0.2">
      <c r="A409" s="34"/>
      <c r="B409" s="34"/>
      <c r="C409" s="33"/>
      <c r="D409" s="34"/>
      <c r="E409" s="34"/>
      <c r="F409" s="34"/>
      <c r="G409" s="34"/>
      <c r="H409" s="33"/>
      <c r="I409" s="33"/>
      <c r="J409" s="33"/>
      <c r="K409" s="34"/>
      <c r="L409" s="34"/>
      <c r="M409" s="34"/>
      <c r="N409" s="34"/>
      <c r="O409" s="34"/>
      <c r="P409" s="34"/>
      <c r="Q409" s="34"/>
      <c r="R409" s="34"/>
      <c r="S409" s="34"/>
      <c r="T409" s="34"/>
      <c r="U409" s="34"/>
      <c r="V409" s="34"/>
      <c r="W409" s="34"/>
      <c r="X409" s="34"/>
      <c r="Y409" s="34"/>
      <c r="Z409" s="3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row>
    <row r="410" spans="1:57" ht="15.75" customHeight="1" x14ac:dyDescent="0.2">
      <c r="A410" s="34"/>
      <c r="B410" s="34"/>
      <c r="C410" s="33"/>
      <c r="D410" s="34"/>
      <c r="E410" s="34"/>
      <c r="F410" s="34"/>
      <c r="G410" s="34"/>
      <c r="H410" s="33"/>
      <c r="I410" s="33"/>
      <c r="J410" s="33"/>
      <c r="K410" s="34"/>
      <c r="L410" s="34"/>
      <c r="M410" s="34"/>
      <c r="N410" s="34"/>
      <c r="O410" s="34"/>
      <c r="P410" s="34"/>
      <c r="Q410" s="34"/>
      <c r="R410" s="34"/>
      <c r="S410" s="34"/>
      <c r="T410" s="34"/>
      <c r="U410" s="34"/>
      <c r="V410" s="34"/>
      <c r="W410" s="34"/>
      <c r="X410" s="34"/>
      <c r="Y410" s="34"/>
      <c r="Z410" s="3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row>
    <row r="411" spans="1:57" ht="15.75" customHeight="1" x14ac:dyDescent="0.2">
      <c r="A411" s="34"/>
      <c r="B411" s="34"/>
      <c r="C411" s="33"/>
      <c r="D411" s="34"/>
      <c r="E411" s="34"/>
      <c r="F411" s="34"/>
      <c r="G411" s="34"/>
      <c r="H411" s="33"/>
      <c r="I411" s="33"/>
      <c r="J411" s="33"/>
      <c r="K411" s="34"/>
      <c r="L411" s="34"/>
      <c r="M411" s="34"/>
      <c r="N411" s="34"/>
      <c r="O411" s="34"/>
      <c r="P411" s="34"/>
      <c r="Q411" s="34"/>
      <c r="R411" s="34"/>
      <c r="S411" s="34"/>
      <c r="T411" s="34"/>
      <c r="U411" s="34"/>
      <c r="V411" s="34"/>
      <c r="W411" s="34"/>
      <c r="X411" s="34"/>
      <c r="Y411" s="34"/>
      <c r="Z411" s="3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row>
    <row r="412" spans="1:57" ht="15.75" customHeight="1" x14ac:dyDescent="0.2">
      <c r="A412" s="34"/>
      <c r="B412" s="34"/>
      <c r="C412" s="33"/>
      <c r="D412" s="34"/>
      <c r="E412" s="34"/>
      <c r="F412" s="34"/>
      <c r="G412" s="34"/>
      <c r="H412" s="33"/>
      <c r="I412" s="33"/>
      <c r="J412" s="33"/>
      <c r="K412" s="34"/>
      <c r="L412" s="34"/>
      <c r="M412" s="34"/>
      <c r="N412" s="34"/>
      <c r="O412" s="34"/>
      <c r="P412" s="34"/>
      <c r="Q412" s="34"/>
      <c r="R412" s="34"/>
      <c r="S412" s="34"/>
      <c r="T412" s="34"/>
      <c r="U412" s="34"/>
      <c r="V412" s="34"/>
      <c r="W412" s="34"/>
      <c r="X412" s="34"/>
      <c r="Y412" s="34"/>
      <c r="Z412" s="3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row>
    <row r="413" spans="1:57" ht="15.75" customHeight="1" x14ac:dyDescent="0.2">
      <c r="A413" s="34"/>
      <c r="B413" s="34"/>
      <c r="C413" s="33"/>
      <c r="D413" s="34"/>
      <c r="E413" s="34"/>
      <c r="F413" s="34"/>
      <c r="G413" s="34"/>
      <c r="H413" s="33"/>
      <c r="I413" s="33"/>
      <c r="J413" s="33"/>
      <c r="K413" s="34"/>
      <c r="L413" s="34"/>
      <c r="M413" s="34"/>
      <c r="N413" s="34"/>
      <c r="O413" s="34"/>
      <c r="P413" s="34"/>
      <c r="Q413" s="34"/>
      <c r="R413" s="34"/>
      <c r="S413" s="34"/>
      <c r="T413" s="34"/>
      <c r="U413" s="34"/>
      <c r="V413" s="34"/>
      <c r="W413" s="34"/>
      <c r="X413" s="34"/>
      <c r="Y413" s="34"/>
      <c r="Z413" s="3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row>
    <row r="414" spans="1:57" ht="15.75" customHeight="1" x14ac:dyDescent="0.2">
      <c r="A414" s="34"/>
      <c r="B414" s="34"/>
      <c r="C414" s="33"/>
      <c r="D414" s="34"/>
      <c r="E414" s="34"/>
      <c r="F414" s="34"/>
      <c r="G414" s="34"/>
      <c r="H414" s="33"/>
      <c r="I414" s="33"/>
      <c r="J414" s="33"/>
      <c r="K414" s="34"/>
      <c r="L414" s="34"/>
      <c r="M414" s="34"/>
      <c r="N414" s="34"/>
      <c r="O414" s="34"/>
      <c r="P414" s="34"/>
      <c r="Q414" s="34"/>
      <c r="R414" s="34"/>
      <c r="S414" s="34"/>
      <c r="T414" s="34"/>
      <c r="U414" s="34"/>
      <c r="V414" s="34"/>
      <c r="W414" s="34"/>
      <c r="X414" s="34"/>
      <c r="Y414" s="34"/>
      <c r="Z414" s="3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row>
    <row r="415" spans="1:57" ht="15.75" customHeight="1" x14ac:dyDescent="0.2">
      <c r="A415" s="34"/>
      <c r="B415" s="34"/>
      <c r="C415" s="33"/>
      <c r="D415" s="34"/>
      <c r="E415" s="34"/>
      <c r="F415" s="34"/>
      <c r="G415" s="34"/>
      <c r="H415" s="33"/>
      <c r="I415" s="33"/>
      <c r="J415" s="33"/>
      <c r="K415" s="34"/>
      <c r="L415" s="34"/>
      <c r="M415" s="34"/>
      <c r="N415" s="34"/>
      <c r="O415" s="34"/>
      <c r="P415" s="34"/>
      <c r="Q415" s="34"/>
      <c r="R415" s="34"/>
      <c r="S415" s="34"/>
      <c r="T415" s="34"/>
      <c r="U415" s="34"/>
      <c r="V415" s="34"/>
      <c r="W415" s="34"/>
      <c r="X415" s="34"/>
      <c r="Y415" s="34"/>
      <c r="Z415" s="3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row>
    <row r="416" spans="1:57" ht="15.75" customHeight="1" x14ac:dyDescent="0.2">
      <c r="A416" s="34"/>
      <c r="B416" s="34"/>
      <c r="C416" s="33"/>
      <c r="D416" s="34"/>
      <c r="E416" s="34"/>
      <c r="F416" s="34"/>
      <c r="G416" s="34"/>
      <c r="H416" s="33"/>
      <c r="I416" s="33"/>
      <c r="J416" s="33"/>
      <c r="K416" s="34"/>
      <c r="L416" s="34"/>
      <c r="M416" s="34"/>
      <c r="N416" s="34"/>
      <c r="O416" s="34"/>
      <c r="P416" s="34"/>
      <c r="Q416" s="34"/>
      <c r="R416" s="34"/>
      <c r="S416" s="34"/>
      <c r="T416" s="34"/>
      <c r="U416" s="34"/>
      <c r="V416" s="34"/>
      <c r="W416" s="34"/>
      <c r="X416" s="34"/>
      <c r="Y416" s="34"/>
      <c r="Z416" s="3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row>
    <row r="417" spans="1:57" ht="15.75" customHeight="1" x14ac:dyDescent="0.2">
      <c r="A417" s="34"/>
      <c r="B417" s="34"/>
      <c r="C417" s="33"/>
      <c r="D417" s="34"/>
      <c r="E417" s="34"/>
      <c r="F417" s="34"/>
      <c r="G417" s="34"/>
      <c r="H417" s="33"/>
      <c r="I417" s="33"/>
      <c r="J417" s="33"/>
      <c r="K417" s="34"/>
      <c r="L417" s="34"/>
      <c r="M417" s="34"/>
      <c r="N417" s="34"/>
      <c r="O417" s="34"/>
      <c r="P417" s="34"/>
      <c r="Q417" s="34"/>
      <c r="R417" s="34"/>
      <c r="S417" s="34"/>
      <c r="T417" s="34"/>
      <c r="U417" s="34"/>
      <c r="V417" s="34"/>
      <c r="W417" s="34"/>
      <c r="X417" s="34"/>
      <c r="Y417" s="34"/>
      <c r="Z417" s="3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row>
    <row r="418" spans="1:57" ht="15.75" customHeight="1" x14ac:dyDescent="0.2">
      <c r="A418" s="34"/>
      <c r="B418" s="34"/>
      <c r="C418" s="33"/>
      <c r="D418" s="34"/>
      <c r="E418" s="34"/>
      <c r="F418" s="34"/>
      <c r="G418" s="34"/>
      <c r="H418" s="33"/>
      <c r="I418" s="33"/>
      <c r="J418" s="33"/>
      <c r="K418" s="34"/>
      <c r="L418" s="34"/>
      <c r="M418" s="34"/>
      <c r="N418" s="34"/>
      <c r="O418" s="34"/>
      <c r="P418" s="34"/>
      <c r="Q418" s="34"/>
      <c r="R418" s="34"/>
      <c r="S418" s="34"/>
      <c r="T418" s="34"/>
      <c r="U418" s="34"/>
      <c r="V418" s="34"/>
      <c r="W418" s="34"/>
      <c r="X418" s="34"/>
      <c r="Y418" s="34"/>
      <c r="Z418" s="3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row>
    <row r="419" spans="1:57" ht="15.75" customHeight="1" x14ac:dyDescent="0.2">
      <c r="A419" s="34"/>
      <c r="B419" s="34"/>
      <c r="C419" s="33"/>
      <c r="D419" s="34"/>
      <c r="E419" s="34"/>
      <c r="F419" s="34"/>
      <c r="G419" s="34"/>
      <c r="H419" s="33"/>
      <c r="I419" s="33"/>
      <c r="J419" s="33"/>
      <c r="K419" s="34"/>
      <c r="L419" s="34"/>
      <c r="M419" s="34"/>
      <c r="N419" s="34"/>
      <c r="O419" s="34"/>
      <c r="P419" s="34"/>
      <c r="Q419" s="34"/>
      <c r="R419" s="34"/>
      <c r="S419" s="34"/>
      <c r="T419" s="34"/>
      <c r="U419" s="34"/>
      <c r="V419" s="34"/>
      <c r="W419" s="34"/>
      <c r="X419" s="34"/>
      <c r="Y419" s="34"/>
      <c r="Z419" s="3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row>
    <row r="420" spans="1:57" ht="15.75" customHeight="1" x14ac:dyDescent="0.2">
      <c r="A420" s="34"/>
      <c r="B420" s="34"/>
      <c r="C420" s="33"/>
      <c r="D420" s="34"/>
      <c r="E420" s="34"/>
      <c r="F420" s="34"/>
      <c r="G420" s="34"/>
      <c r="H420" s="33"/>
      <c r="I420" s="33"/>
      <c r="J420" s="33"/>
      <c r="K420" s="34"/>
      <c r="L420" s="34"/>
      <c r="M420" s="34"/>
      <c r="N420" s="34"/>
      <c r="O420" s="34"/>
      <c r="P420" s="34"/>
      <c r="Q420" s="34"/>
      <c r="R420" s="34"/>
      <c r="S420" s="34"/>
      <c r="T420" s="34"/>
      <c r="U420" s="34"/>
      <c r="V420" s="34"/>
      <c r="W420" s="34"/>
      <c r="X420" s="34"/>
      <c r="Y420" s="34"/>
      <c r="Z420" s="3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row>
    <row r="421" spans="1:57" ht="15.75" customHeight="1" x14ac:dyDescent="0.2">
      <c r="A421" s="34"/>
      <c r="B421" s="34"/>
      <c r="C421" s="33"/>
      <c r="D421" s="34"/>
      <c r="E421" s="34"/>
      <c r="F421" s="34"/>
      <c r="G421" s="34"/>
      <c r="H421" s="33"/>
      <c r="I421" s="33"/>
      <c r="J421" s="33"/>
      <c r="K421" s="34"/>
      <c r="L421" s="34"/>
      <c r="M421" s="34"/>
      <c r="N421" s="34"/>
      <c r="O421" s="34"/>
      <c r="P421" s="34"/>
      <c r="Q421" s="34"/>
      <c r="R421" s="34"/>
      <c r="S421" s="34"/>
      <c r="T421" s="34"/>
      <c r="U421" s="34"/>
      <c r="V421" s="34"/>
      <c r="W421" s="34"/>
      <c r="X421" s="34"/>
      <c r="Y421" s="34"/>
      <c r="Z421" s="3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row>
    <row r="422" spans="1:57" ht="15.75" customHeight="1" x14ac:dyDescent="0.2">
      <c r="A422" s="34"/>
      <c r="B422" s="34"/>
      <c r="C422" s="33"/>
      <c r="D422" s="34"/>
      <c r="E422" s="34"/>
      <c r="F422" s="34"/>
      <c r="G422" s="34"/>
      <c r="H422" s="33"/>
      <c r="I422" s="33"/>
      <c r="J422" s="33"/>
      <c r="K422" s="34"/>
      <c r="L422" s="34"/>
      <c r="M422" s="34"/>
      <c r="N422" s="34"/>
      <c r="O422" s="34"/>
      <c r="P422" s="34"/>
      <c r="Q422" s="34"/>
      <c r="R422" s="34"/>
      <c r="S422" s="34"/>
      <c r="T422" s="34"/>
      <c r="U422" s="34"/>
      <c r="V422" s="34"/>
      <c r="W422" s="34"/>
      <c r="X422" s="34"/>
      <c r="Y422" s="34"/>
      <c r="Z422" s="3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row>
    <row r="423" spans="1:57" ht="15.75" customHeight="1" x14ac:dyDescent="0.2">
      <c r="A423" s="34"/>
      <c r="B423" s="34"/>
      <c r="C423" s="33"/>
      <c r="D423" s="34"/>
      <c r="E423" s="34"/>
      <c r="F423" s="34"/>
      <c r="G423" s="34"/>
      <c r="H423" s="33"/>
      <c r="I423" s="33"/>
      <c r="J423" s="33"/>
      <c r="K423" s="34"/>
      <c r="L423" s="34"/>
      <c r="M423" s="34"/>
      <c r="N423" s="34"/>
      <c r="O423" s="34"/>
      <c r="P423" s="34"/>
      <c r="Q423" s="34"/>
      <c r="R423" s="34"/>
      <c r="S423" s="34"/>
      <c r="T423" s="34"/>
      <c r="U423" s="34"/>
      <c r="V423" s="34"/>
      <c r="W423" s="34"/>
      <c r="X423" s="34"/>
      <c r="Y423" s="34"/>
      <c r="Z423" s="3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row>
    <row r="424" spans="1:57" ht="15.75" customHeight="1" x14ac:dyDescent="0.2">
      <c r="A424" s="34"/>
      <c r="B424" s="34"/>
      <c r="C424" s="33"/>
      <c r="D424" s="34"/>
      <c r="E424" s="34"/>
      <c r="F424" s="34"/>
      <c r="G424" s="34"/>
      <c r="H424" s="33"/>
      <c r="I424" s="33"/>
      <c r="J424" s="33"/>
      <c r="K424" s="34"/>
      <c r="L424" s="34"/>
      <c r="M424" s="34"/>
      <c r="N424" s="34"/>
      <c r="O424" s="34"/>
      <c r="P424" s="34"/>
      <c r="Q424" s="34"/>
      <c r="R424" s="34"/>
      <c r="S424" s="34"/>
      <c r="T424" s="34"/>
      <c r="U424" s="34"/>
      <c r="V424" s="34"/>
      <c r="W424" s="34"/>
      <c r="X424" s="34"/>
      <c r="Y424" s="34"/>
      <c r="Z424" s="3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row>
    <row r="425" spans="1:57" ht="15.75" customHeight="1" x14ac:dyDescent="0.2">
      <c r="A425" s="34"/>
      <c r="B425" s="34"/>
      <c r="C425" s="33"/>
      <c r="D425" s="34"/>
      <c r="E425" s="34"/>
      <c r="F425" s="34"/>
      <c r="G425" s="34"/>
      <c r="H425" s="33"/>
      <c r="I425" s="33"/>
      <c r="J425" s="33"/>
      <c r="K425" s="34"/>
      <c r="L425" s="34"/>
      <c r="M425" s="34"/>
      <c r="N425" s="34"/>
      <c r="O425" s="34"/>
      <c r="P425" s="34"/>
      <c r="Q425" s="34"/>
      <c r="R425" s="34"/>
      <c r="S425" s="34"/>
      <c r="T425" s="34"/>
      <c r="U425" s="34"/>
      <c r="V425" s="34"/>
      <c r="W425" s="34"/>
      <c r="X425" s="34"/>
      <c r="Y425" s="34"/>
      <c r="Z425" s="3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row>
    <row r="426" spans="1:57" ht="15.75" customHeight="1" x14ac:dyDescent="0.2">
      <c r="A426" s="34"/>
      <c r="B426" s="34"/>
      <c r="C426" s="33"/>
      <c r="D426" s="34"/>
      <c r="E426" s="34"/>
      <c r="F426" s="34"/>
      <c r="G426" s="34"/>
      <c r="H426" s="33"/>
      <c r="I426" s="33"/>
      <c r="J426" s="33"/>
      <c r="K426" s="34"/>
      <c r="L426" s="34"/>
      <c r="M426" s="34"/>
      <c r="N426" s="34"/>
      <c r="O426" s="34"/>
      <c r="P426" s="34"/>
      <c r="Q426" s="34"/>
      <c r="R426" s="34"/>
      <c r="S426" s="34"/>
      <c r="T426" s="34"/>
      <c r="U426" s="34"/>
      <c r="V426" s="34"/>
      <c r="W426" s="34"/>
      <c r="X426" s="34"/>
      <c r="Y426" s="34"/>
      <c r="Z426" s="3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row>
    <row r="427" spans="1:57" ht="15.75" customHeight="1" x14ac:dyDescent="0.2">
      <c r="A427" s="34"/>
      <c r="B427" s="34"/>
      <c r="C427" s="33"/>
      <c r="D427" s="34"/>
      <c r="E427" s="34"/>
      <c r="F427" s="34"/>
      <c r="G427" s="34"/>
      <c r="H427" s="33"/>
      <c r="I427" s="33"/>
      <c r="J427" s="33"/>
      <c r="K427" s="34"/>
      <c r="L427" s="34"/>
      <c r="M427" s="34"/>
      <c r="N427" s="34"/>
      <c r="O427" s="34"/>
      <c r="P427" s="34"/>
      <c r="Q427" s="34"/>
      <c r="R427" s="34"/>
      <c r="S427" s="34"/>
      <c r="T427" s="34"/>
      <c r="U427" s="34"/>
      <c r="V427" s="34"/>
      <c r="W427" s="34"/>
      <c r="X427" s="34"/>
      <c r="Y427" s="34"/>
      <c r="Z427" s="3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row>
    <row r="428" spans="1:57" ht="15.75" customHeight="1" x14ac:dyDescent="0.2">
      <c r="A428" s="34"/>
      <c r="B428" s="34"/>
      <c r="C428" s="33"/>
      <c r="D428" s="34"/>
      <c r="E428" s="34"/>
      <c r="F428" s="34"/>
      <c r="G428" s="34"/>
      <c r="H428" s="33"/>
      <c r="I428" s="33"/>
      <c r="J428" s="33"/>
      <c r="K428" s="34"/>
      <c r="L428" s="34"/>
      <c r="M428" s="34"/>
      <c r="N428" s="34"/>
      <c r="O428" s="34"/>
      <c r="P428" s="34"/>
      <c r="Q428" s="34"/>
      <c r="R428" s="34"/>
      <c r="S428" s="34"/>
      <c r="T428" s="34"/>
      <c r="U428" s="34"/>
      <c r="V428" s="34"/>
      <c r="W428" s="34"/>
      <c r="X428" s="34"/>
      <c r="Y428" s="34"/>
      <c r="Z428" s="3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row>
    <row r="429" spans="1:57" ht="15.75" customHeight="1" x14ac:dyDescent="0.2">
      <c r="A429" s="34"/>
      <c r="B429" s="34"/>
      <c r="C429" s="33"/>
      <c r="D429" s="34"/>
      <c r="E429" s="34"/>
      <c r="F429" s="34"/>
      <c r="G429" s="34"/>
      <c r="H429" s="33"/>
      <c r="I429" s="33"/>
      <c r="J429" s="33"/>
      <c r="K429" s="34"/>
      <c r="L429" s="34"/>
      <c r="M429" s="34"/>
      <c r="N429" s="34"/>
      <c r="O429" s="34"/>
      <c r="P429" s="34"/>
      <c r="Q429" s="34"/>
      <c r="R429" s="34"/>
      <c r="S429" s="34"/>
      <c r="T429" s="34"/>
      <c r="U429" s="34"/>
      <c r="V429" s="34"/>
      <c r="W429" s="34"/>
      <c r="X429" s="34"/>
      <c r="Y429" s="34"/>
      <c r="Z429" s="3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row>
    <row r="430" spans="1:57" ht="15.75" customHeight="1" x14ac:dyDescent="0.2">
      <c r="A430" s="34"/>
      <c r="B430" s="34"/>
      <c r="C430" s="33"/>
      <c r="D430" s="34"/>
      <c r="E430" s="34"/>
      <c r="F430" s="34"/>
      <c r="G430" s="34"/>
      <c r="H430" s="33"/>
      <c r="I430" s="33"/>
      <c r="J430" s="33"/>
      <c r="K430" s="34"/>
      <c r="L430" s="34"/>
      <c r="M430" s="34"/>
      <c r="N430" s="34"/>
      <c r="O430" s="34"/>
      <c r="P430" s="34"/>
      <c r="Q430" s="34"/>
      <c r="R430" s="34"/>
      <c r="S430" s="34"/>
      <c r="T430" s="34"/>
      <c r="U430" s="34"/>
      <c r="V430" s="34"/>
      <c r="W430" s="34"/>
      <c r="X430" s="34"/>
      <c r="Y430" s="34"/>
      <c r="Z430" s="3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row>
    <row r="431" spans="1:57" ht="15.75" customHeight="1" x14ac:dyDescent="0.2">
      <c r="A431" s="34"/>
      <c r="B431" s="34"/>
      <c r="C431" s="33"/>
      <c r="D431" s="34"/>
      <c r="E431" s="34"/>
      <c r="F431" s="34"/>
      <c r="G431" s="34"/>
      <c r="H431" s="33"/>
      <c r="I431" s="33"/>
      <c r="J431" s="33"/>
      <c r="K431" s="34"/>
      <c r="L431" s="34"/>
      <c r="M431" s="34"/>
      <c r="N431" s="34"/>
      <c r="O431" s="34"/>
      <c r="P431" s="34"/>
      <c r="Q431" s="34"/>
      <c r="R431" s="34"/>
      <c r="S431" s="34"/>
      <c r="T431" s="34"/>
      <c r="U431" s="34"/>
      <c r="V431" s="34"/>
      <c r="W431" s="34"/>
      <c r="X431" s="34"/>
      <c r="Y431" s="34"/>
      <c r="Z431" s="3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row>
    <row r="432" spans="1:57" ht="15.75" customHeight="1" x14ac:dyDescent="0.2">
      <c r="A432" s="34"/>
      <c r="B432" s="34"/>
      <c r="C432" s="33"/>
      <c r="D432" s="34"/>
      <c r="E432" s="34"/>
      <c r="F432" s="34"/>
      <c r="G432" s="34"/>
      <c r="H432" s="33"/>
      <c r="I432" s="33"/>
      <c r="J432" s="33"/>
      <c r="K432" s="34"/>
      <c r="L432" s="34"/>
      <c r="M432" s="34"/>
      <c r="N432" s="34"/>
      <c r="O432" s="34"/>
      <c r="P432" s="34"/>
      <c r="Q432" s="34"/>
      <c r="R432" s="34"/>
      <c r="S432" s="34"/>
      <c r="T432" s="34"/>
      <c r="U432" s="34"/>
      <c r="V432" s="34"/>
      <c r="W432" s="34"/>
      <c r="X432" s="34"/>
      <c r="Y432" s="34"/>
      <c r="Z432" s="3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row>
    <row r="433" spans="1:57" ht="15.75" customHeight="1" x14ac:dyDescent="0.2">
      <c r="A433" s="34"/>
      <c r="B433" s="34"/>
      <c r="C433" s="33"/>
      <c r="D433" s="34"/>
      <c r="E433" s="34"/>
      <c r="F433" s="34"/>
      <c r="G433" s="34"/>
      <c r="H433" s="33"/>
      <c r="I433" s="33"/>
      <c r="J433" s="33"/>
      <c r="K433" s="34"/>
      <c r="L433" s="34"/>
      <c r="M433" s="34"/>
      <c r="N433" s="34"/>
      <c r="O433" s="34"/>
      <c r="P433" s="34"/>
      <c r="Q433" s="34"/>
      <c r="R433" s="34"/>
      <c r="S433" s="34"/>
      <c r="T433" s="34"/>
      <c r="U433" s="34"/>
      <c r="V433" s="34"/>
      <c r="W433" s="34"/>
      <c r="X433" s="34"/>
      <c r="Y433" s="34"/>
      <c r="Z433" s="3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row>
    <row r="434" spans="1:57" ht="15.75" customHeight="1" x14ac:dyDescent="0.2">
      <c r="A434" s="34"/>
      <c r="B434" s="34"/>
      <c r="C434" s="33"/>
      <c r="D434" s="34"/>
      <c r="E434" s="34"/>
      <c r="F434" s="34"/>
      <c r="G434" s="34"/>
      <c r="H434" s="33"/>
      <c r="I434" s="33"/>
      <c r="J434" s="33"/>
      <c r="K434" s="34"/>
      <c r="L434" s="34"/>
      <c r="M434" s="34"/>
      <c r="N434" s="34"/>
      <c r="O434" s="34"/>
      <c r="P434" s="34"/>
      <c r="Q434" s="34"/>
      <c r="R434" s="34"/>
      <c r="S434" s="34"/>
      <c r="T434" s="34"/>
      <c r="U434" s="34"/>
      <c r="V434" s="34"/>
      <c r="W434" s="34"/>
      <c r="X434" s="34"/>
      <c r="Y434" s="34"/>
      <c r="Z434" s="3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row>
    <row r="435" spans="1:57" ht="15.75" customHeight="1" x14ac:dyDescent="0.2">
      <c r="A435" s="34"/>
      <c r="B435" s="34"/>
      <c r="C435" s="33"/>
      <c r="D435" s="34"/>
      <c r="E435" s="34"/>
      <c r="F435" s="34"/>
      <c r="G435" s="34"/>
      <c r="H435" s="33"/>
      <c r="I435" s="33"/>
      <c r="J435" s="33"/>
      <c r="K435" s="34"/>
      <c r="L435" s="34"/>
      <c r="M435" s="34"/>
      <c r="N435" s="34"/>
      <c r="O435" s="34"/>
      <c r="P435" s="34"/>
      <c r="Q435" s="34"/>
      <c r="R435" s="34"/>
      <c r="S435" s="34"/>
      <c r="T435" s="34"/>
      <c r="U435" s="34"/>
      <c r="V435" s="34"/>
      <c r="W435" s="34"/>
      <c r="X435" s="34"/>
      <c r="Y435" s="34"/>
      <c r="Z435" s="3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row>
    <row r="436" spans="1:57" ht="15.75" customHeight="1" x14ac:dyDescent="0.2">
      <c r="A436" s="34"/>
      <c r="B436" s="34"/>
      <c r="C436" s="33"/>
      <c r="D436" s="34"/>
      <c r="E436" s="34"/>
      <c r="F436" s="34"/>
      <c r="G436" s="34"/>
      <c r="H436" s="33"/>
      <c r="I436" s="33"/>
      <c r="J436" s="33"/>
      <c r="K436" s="34"/>
      <c r="L436" s="34"/>
      <c r="M436" s="34"/>
      <c r="N436" s="34"/>
      <c r="O436" s="34"/>
      <c r="P436" s="34"/>
      <c r="Q436" s="34"/>
      <c r="R436" s="34"/>
      <c r="S436" s="34"/>
      <c r="T436" s="34"/>
      <c r="U436" s="34"/>
      <c r="V436" s="34"/>
      <c r="W436" s="34"/>
      <c r="X436" s="34"/>
      <c r="Y436" s="34"/>
      <c r="Z436" s="3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row>
    <row r="437" spans="1:57" ht="15.75" customHeight="1" x14ac:dyDescent="0.2">
      <c r="A437" s="34"/>
      <c r="B437" s="34"/>
      <c r="C437" s="33"/>
      <c r="D437" s="34"/>
      <c r="E437" s="34"/>
      <c r="F437" s="34"/>
      <c r="G437" s="34"/>
      <c r="H437" s="33"/>
      <c r="I437" s="33"/>
      <c r="J437" s="33"/>
      <c r="K437" s="34"/>
      <c r="L437" s="34"/>
      <c r="M437" s="34"/>
      <c r="N437" s="34"/>
      <c r="O437" s="34"/>
      <c r="P437" s="34"/>
      <c r="Q437" s="34"/>
      <c r="R437" s="34"/>
      <c r="S437" s="34"/>
      <c r="T437" s="34"/>
      <c r="U437" s="34"/>
      <c r="V437" s="34"/>
      <c r="W437" s="34"/>
      <c r="X437" s="34"/>
      <c r="Y437" s="34"/>
      <c r="Z437" s="3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row>
    <row r="438" spans="1:57" ht="15.75" customHeight="1" x14ac:dyDescent="0.2">
      <c r="A438" s="34"/>
      <c r="B438" s="34"/>
      <c r="C438" s="33"/>
      <c r="D438" s="34"/>
      <c r="E438" s="34"/>
      <c r="F438" s="34"/>
      <c r="G438" s="34"/>
      <c r="H438" s="33"/>
      <c r="I438" s="33"/>
      <c r="J438" s="33"/>
      <c r="K438" s="34"/>
      <c r="L438" s="34"/>
      <c r="M438" s="34"/>
      <c r="N438" s="34"/>
      <c r="O438" s="34"/>
      <c r="P438" s="34"/>
      <c r="Q438" s="34"/>
      <c r="R438" s="34"/>
      <c r="S438" s="34"/>
      <c r="T438" s="34"/>
      <c r="U438" s="34"/>
      <c r="V438" s="34"/>
      <c r="W438" s="34"/>
      <c r="X438" s="34"/>
      <c r="Y438" s="34"/>
      <c r="Z438" s="3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row>
    <row r="439" spans="1:57" ht="15.75" customHeight="1" x14ac:dyDescent="0.2">
      <c r="A439" s="34"/>
      <c r="B439" s="34"/>
      <c r="C439" s="33"/>
      <c r="D439" s="34"/>
      <c r="E439" s="34"/>
      <c r="F439" s="34"/>
      <c r="G439" s="34"/>
      <c r="H439" s="33"/>
      <c r="I439" s="33"/>
      <c r="J439" s="33"/>
      <c r="K439" s="34"/>
      <c r="L439" s="34"/>
      <c r="M439" s="34"/>
      <c r="N439" s="34"/>
      <c r="O439" s="34"/>
      <c r="P439" s="34"/>
      <c r="Q439" s="34"/>
      <c r="R439" s="34"/>
      <c r="S439" s="34"/>
      <c r="T439" s="34"/>
      <c r="U439" s="34"/>
      <c r="V439" s="34"/>
      <c r="W439" s="34"/>
      <c r="X439" s="34"/>
      <c r="Y439" s="34"/>
      <c r="Z439" s="3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row>
    <row r="440" spans="1:57" ht="15.75" customHeight="1" x14ac:dyDescent="0.2">
      <c r="A440" s="34"/>
      <c r="B440" s="34"/>
      <c r="C440" s="33"/>
      <c r="D440" s="34"/>
      <c r="E440" s="34"/>
      <c r="F440" s="34"/>
      <c r="G440" s="34"/>
      <c r="H440" s="33"/>
      <c r="I440" s="33"/>
      <c r="J440" s="33"/>
      <c r="K440" s="34"/>
      <c r="L440" s="34"/>
      <c r="M440" s="34"/>
      <c r="N440" s="34"/>
      <c r="O440" s="34"/>
      <c r="P440" s="34"/>
      <c r="Q440" s="34"/>
      <c r="R440" s="34"/>
      <c r="S440" s="34"/>
      <c r="T440" s="34"/>
      <c r="U440" s="34"/>
      <c r="V440" s="34"/>
      <c r="W440" s="34"/>
      <c r="X440" s="34"/>
      <c r="Y440" s="34"/>
      <c r="Z440" s="3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row>
    <row r="441" spans="1:57" ht="15.75" customHeight="1" x14ac:dyDescent="0.2">
      <c r="A441" s="34"/>
      <c r="B441" s="34"/>
      <c r="C441" s="33"/>
      <c r="D441" s="34"/>
      <c r="E441" s="34"/>
      <c r="F441" s="34"/>
      <c r="G441" s="34"/>
      <c r="H441" s="33"/>
      <c r="I441" s="33"/>
      <c r="J441" s="33"/>
      <c r="K441" s="34"/>
      <c r="L441" s="34"/>
      <c r="M441" s="34"/>
      <c r="N441" s="34"/>
      <c r="O441" s="34"/>
      <c r="P441" s="34"/>
      <c r="Q441" s="34"/>
      <c r="R441" s="34"/>
      <c r="S441" s="34"/>
      <c r="T441" s="34"/>
      <c r="U441" s="34"/>
      <c r="V441" s="34"/>
      <c r="W441" s="34"/>
      <c r="X441" s="34"/>
      <c r="Y441" s="34"/>
      <c r="Z441" s="3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row>
    <row r="442" spans="1:57" ht="15.75" customHeight="1" x14ac:dyDescent="0.2">
      <c r="A442" s="34"/>
      <c r="B442" s="34"/>
      <c r="C442" s="33"/>
      <c r="D442" s="34"/>
      <c r="E442" s="34"/>
      <c r="F442" s="34"/>
      <c r="G442" s="34"/>
      <c r="H442" s="33"/>
      <c r="I442" s="33"/>
      <c r="J442" s="33"/>
      <c r="K442" s="34"/>
      <c r="L442" s="34"/>
      <c r="M442" s="34"/>
      <c r="N442" s="34"/>
      <c r="O442" s="34"/>
      <c r="P442" s="34"/>
      <c r="Q442" s="34"/>
      <c r="R442" s="34"/>
      <c r="S442" s="34"/>
      <c r="T442" s="34"/>
      <c r="U442" s="34"/>
      <c r="V442" s="34"/>
      <c r="W442" s="34"/>
      <c r="X442" s="34"/>
      <c r="Y442" s="34"/>
      <c r="Z442" s="3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row>
    <row r="443" spans="1:57" ht="15.75" customHeight="1" x14ac:dyDescent="0.2">
      <c r="A443" s="34"/>
      <c r="B443" s="34"/>
      <c r="C443" s="33"/>
      <c r="D443" s="34"/>
      <c r="E443" s="34"/>
      <c r="F443" s="34"/>
      <c r="G443" s="34"/>
      <c r="H443" s="33"/>
      <c r="I443" s="33"/>
      <c r="J443" s="33"/>
      <c r="K443" s="34"/>
      <c r="L443" s="34"/>
      <c r="M443" s="34"/>
      <c r="N443" s="34"/>
      <c r="O443" s="34"/>
      <c r="P443" s="34"/>
      <c r="Q443" s="34"/>
      <c r="R443" s="34"/>
      <c r="S443" s="34"/>
      <c r="T443" s="34"/>
      <c r="U443" s="34"/>
      <c r="V443" s="34"/>
      <c r="W443" s="34"/>
      <c r="X443" s="34"/>
      <c r="Y443" s="34"/>
      <c r="Z443" s="3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row>
    <row r="444" spans="1:57" ht="15.75" customHeight="1" x14ac:dyDescent="0.2">
      <c r="A444" s="34"/>
      <c r="B444" s="34"/>
      <c r="C444" s="33"/>
      <c r="D444" s="34"/>
      <c r="E444" s="34"/>
      <c r="F444" s="34"/>
      <c r="G444" s="34"/>
      <c r="H444" s="33"/>
      <c r="I444" s="33"/>
      <c r="J444" s="33"/>
      <c r="K444" s="34"/>
      <c r="L444" s="34"/>
      <c r="M444" s="34"/>
      <c r="N444" s="34"/>
      <c r="O444" s="34"/>
      <c r="P444" s="34"/>
      <c r="Q444" s="34"/>
      <c r="R444" s="34"/>
      <c r="S444" s="34"/>
      <c r="T444" s="34"/>
      <c r="U444" s="34"/>
      <c r="V444" s="34"/>
      <c r="W444" s="34"/>
      <c r="X444" s="34"/>
      <c r="Y444" s="34"/>
      <c r="Z444" s="3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row>
    <row r="445" spans="1:57" ht="15.75" customHeight="1" x14ac:dyDescent="0.2">
      <c r="A445" s="34"/>
      <c r="B445" s="34"/>
      <c r="C445" s="33"/>
      <c r="D445" s="34"/>
      <c r="E445" s="34"/>
      <c r="F445" s="34"/>
      <c r="G445" s="34"/>
      <c r="H445" s="33"/>
      <c r="I445" s="33"/>
      <c r="J445" s="33"/>
      <c r="K445" s="34"/>
      <c r="L445" s="34"/>
      <c r="M445" s="34"/>
      <c r="N445" s="34"/>
      <c r="O445" s="34"/>
      <c r="P445" s="34"/>
      <c r="Q445" s="34"/>
      <c r="R445" s="34"/>
      <c r="S445" s="34"/>
      <c r="T445" s="34"/>
      <c r="U445" s="34"/>
      <c r="V445" s="34"/>
      <c r="W445" s="34"/>
      <c r="X445" s="34"/>
      <c r="Y445" s="34"/>
      <c r="Z445" s="3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row>
    <row r="446" spans="1:57" ht="15.75" customHeight="1" x14ac:dyDescent="0.2">
      <c r="A446" s="34"/>
      <c r="B446" s="34"/>
      <c r="C446" s="33"/>
      <c r="D446" s="34"/>
      <c r="E446" s="34"/>
      <c r="F446" s="34"/>
      <c r="G446" s="34"/>
      <c r="H446" s="33"/>
      <c r="I446" s="33"/>
      <c r="J446" s="33"/>
      <c r="K446" s="34"/>
      <c r="L446" s="34"/>
      <c r="M446" s="34"/>
      <c r="N446" s="34"/>
      <c r="O446" s="34"/>
      <c r="P446" s="34"/>
      <c r="Q446" s="34"/>
      <c r="R446" s="34"/>
      <c r="S446" s="34"/>
      <c r="T446" s="34"/>
      <c r="U446" s="34"/>
      <c r="V446" s="34"/>
      <c r="W446" s="34"/>
      <c r="X446" s="34"/>
      <c r="Y446" s="34"/>
      <c r="Z446" s="3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row>
    <row r="447" spans="1:57" ht="15.75" customHeight="1" x14ac:dyDescent="0.2">
      <c r="A447" s="34"/>
      <c r="B447" s="34"/>
      <c r="C447" s="33"/>
      <c r="D447" s="34"/>
      <c r="E447" s="34"/>
      <c r="F447" s="34"/>
      <c r="G447" s="34"/>
      <c r="H447" s="33"/>
      <c r="I447" s="33"/>
      <c r="J447" s="33"/>
      <c r="K447" s="34"/>
      <c r="L447" s="34"/>
      <c r="M447" s="34"/>
      <c r="N447" s="34"/>
      <c r="O447" s="34"/>
      <c r="P447" s="34"/>
      <c r="Q447" s="34"/>
      <c r="R447" s="34"/>
      <c r="S447" s="34"/>
      <c r="T447" s="34"/>
      <c r="U447" s="34"/>
      <c r="V447" s="34"/>
      <c r="W447" s="34"/>
      <c r="X447" s="34"/>
      <c r="Y447" s="34"/>
      <c r="Z447" s="3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row>
    <row r="448" spans="1:57" ht="15.75" customHeight="1" x14ac:dyDescent="0.2">
      <c r="A448" s="34"/>
      <c r="B448" s="34"/>
      <c r="C448" s="33"/>
      <c r="D448" s="34"/>
      <c r="E448" s="34"/>
      <c r="F448" s="34"/>
      <c r="G448" s="34"/>
      <c r="H448" s="33"/>
      <c r="I448" s="33"/>
      <c r="J448" s="33"/>
      <c r="K448" s="34"/>
      <c r="L448" s="34"/>
      <c r="M448" s="34"/>
      <c r="N448" s="34"/>
      <c r="O448" s="34"/>
      <c r="P448" s="34"/>
      <c r="Q448" s="34"/>
      <c r="R448" s="34"/>
      <c r="S448" s="34"/>
      <c r="T448" s="34"/>
      <c r="U448" s="34"/>
      <c r="V448" s="34"/>
      <c r="W448" s="34"/>
      <c r="X448" s="34"/>
      <c r="Y448" s="34"/>
      <c r="Z448" s="3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row>
    <row r="449" spans="1:57" ht="15.75" customHeight="1" x14ac:dyDescent="0.2">
      <c r="A449" s="34"/>
      <c r="B449" s="34"/>
      <c r="C449" s="33"/>
      <c r="D449" s="34"/>
      <c r="E449" s="34"/>
      <c r="F449" s="34"/>
      <c r="G449" s="34"/>
      <c r="H449" s="33"/>
      <c r="I449" s="33"/>
      <c r="J449" s="33"/>
      <c r="K449" s="34"/>
      <c r="L449" s="34"/>
      <c r="M449" s="34"/>
      <c r="N449" s="34"/>
      <c r="O449" s="34"/>
      <c r="P449" s="34"/>
      <c r="Q449" s="34"/>
      <c r="R449" s="34"/>
      <c r="S449" s="34"/>
      <c r="T449" s="34"/>
      <c r="U449" s="34"/>
      <c r="V449" s="34"/>
      <c r="W449" s="34"/>
      <c r="X449" s="34"/>
      <c r="Y449" s="34"/>
      <c r="Z449" s="3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row>
    <row r="450" spans="1:57" ht="15.75" customHeight="1" x14ac:dyDescent="0.2">
      <c r="A450" s="34"/>
      <c r="B450" s="34"/>
      <c r="C450" s="33"/>
      <c r="D450" s="34"/>
      <c r="E450" s="34"/>
      <c r="F450" s="34"/>
      <c r="G450" s="34"/>
      <c r="H450" s="33"/>
      <c r="I450" s="33"/>
      <c r="J450" s="33"/>
      <c r="K450" s="34"/>
      <c r="L450" s="34"/>
      <c r="M450" s="34"/>
      <c r="N450" s="34"/>
      <c r="O450" s="34"/>
      <c r="P450" s="34"/>
      <c r="Q450" s="34"/>
      <c r="R450" s="34"/>
      <c r="S450" s="34"/>
      <c r="T450" s="34"/>
      <c r="U450" s="34"/>
      <c r="V450" s="34"/>
      <c r="W450" s="34"/>
      <c r="X450" s="34"/>
      <c r="Y450" s="34"/>
      <c r="Z450" s="3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row>
    <row r="451" spans="1:57" ht="15.75" customHeight="1" x14ac:dyDescent="0.2">
      <c r="A451" s="34"/>
      <c r="B451" s="34"/>
      <c r="C451" s="33"/>
      <c r="D451" s="34"/>
      <c r="E451" s="34"/>
      <c r="F451" s="34"/>
      <c r="G451" s="34"/>
      <c r="H451" s="33"/>
      <c r="I451" s="33"/>
      <c r="J451" s="33"/>
      <c r="K451" s="34"/>
      <c r="L451" s="34"/>
      <c r="M451" s="34"/>
      <c r="N451" s="34"/>
      <c r="O451" s="34"/>
      <c r="P451" s="34"/>
      <c r="Q451" s="34"/>
      <c r="R451" s="34"/>
      <c r="S451" s="34"/>
      <c r="T451" s="34"/>
      <c r="U451" s="34"/>
      <c r="V451" s="34"/>
      <c r="W451" s="34"/>
      <c r="X451" s="34"/>
      <c r="Y451" s="34"/>
      <c r="Z451" s="3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row>
    <row r="452" spans="1:57" ht="15.75" customHeight="1" x14ac:dyDescent="0.2">
      <c r="A452" s="34"/>
      <c r="B452" s="34"/>
      <c r="C452" s="33"/>
      <c r="D452" s="34"/>
      <c r="E452" s="34"/>
      <c r="F452" s="34"/>
      <c r="G452" s="34"/>
      <c r="H452" s="33"/>
      <c r="I452" s="33"/>
      <c r="J452" s="33"/>
      <c r="K452" s="34"/>
      <c r="L452" s="34"/>
      <c r="M452" s="34"/>
      <c r="N452" s="34"/>
      <c r="O452" s="34"/>
      <c r="P452" s="34"/>
      <c r="Q452" s="34"/>
      <c r="R452" s="34"/>
      <c r="S452" s="34"/>
      <c r="T452" s="34"/>
      <c r="U452" s="34"/>
      <c r="V452" s="34"/>
      <c r="W452" s="34"/>
      <c r="X452" s="34"/>
      <c r="Y452" s="34"/>
      <c r="Z452" s="3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row>
    <row r="453" spans="1:57" ht="15.75" customHeight="1" x14ac:dyDescent="0.2">
      <c r="A453" s="34"/>
      <c r="B453" s="34"/>
      <c r="C453" s="33"/>
      <c r="D453" s="34"/>
      <c r="E453" s="34"/>
      <c r="F453" s="34"/>
      <c r="G453" s="34"/>
      <c r="H453" s="33"/>
      <c r="I453" s="33"/>
      <c r="J453" s="33"/>
      <c r="K453" s="34"/>
      <c r="L453" s="34"/>
      <c r="M453" s="34"/>
      <c r="N453" s="34"/>
      <c r="O453" s="34"/>
      <c r="P453" s="34"/>
      <c r="Q453" s="34"/>
      <c r="R453" s="34"/>
      <c r="S453" s="34"/>
      <c r="T453" s="34"/>
      <c r="U453" s="34"/>
      <c r="V453" s="34"/>
      <c r="W453" s="34"/>
      <c r="X453" s="34"/>
      <c r="Y453" s="34"/>
      <c r="Z453" s="3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row>
    <row r="454" spans="1:57" ht="15.75" customHeight="1" x14ac:dyDescent="0.2">
      <c r="A454" s="34"/>
      <c r="B454" s="34"/>
      <c r="C454" s="33"/>
      <c r="D454" s="34"/>
      <c r="E454" s="34"/>
      <c r="F454" s="34"/>
      <c r="G454" s="34"/>
      <c r="H454" s="33"/>
      <c r="I454" s="33"/>
      <c r="J454" s="33"/>
      <c r="K454" s="34"/>
      <c r="L454" s="34"/>
      <c r="M454" s="34"/>
      <c r="N454" s="34"/>
      <c r="O454" s="34"/>
      <c r="P454" s="34"/>
      <c r="Q454" s="34"/>
      <c r="R454" s="34"/>
      <c r="S454" s="34"/>
      <c r="T454" s="34"/>
      <c r="U454" s="34"/>
      <c r="V454" s="34"/>
      <c r="W454" s="34"/>
      <c r="X454" s="34"/>
      <c r="Y454" s="34"/>
      <c r="Z454" s="3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row>
    <row r="455" spans="1:57" ht="15.75" customHeight="1" x14ac:dyDescent="0.2">
      <c r="A455" s="34"/>
      <c r="B455" s="34"/>
      <c r="C455" s="33"/>
      <c r="D455" s="34"/>
      <c r="E455" s="34"/>
      <c r="F455" s="34"/>
      <c r="G455" s="34"/>
      <c r="H455" s="33"/>
      <c r="I455" s="33"/>
      <c r="J455" s="33"/>
      <c r="K455" s="34"/>
      <c r="L455" s="34"/>
      <c r="M455" s="34"/>
      <c r="N455" s="34"/>
      <c r="O455" s="34"/>
      <c r="P455" s="34"/>
      <c r="Q455" s="34"/>
      <c r="R455" s="34"/>
      <c r="S455" s="34"/>
      <c r="T455" s="34"/>
      <c r="U455" s="34"/>
      <c r="V455" s="34"/>
      <c r="W455" s="34"/>
      <c r="X455" s="34"/>
      <c r="Y455" s="34"/>
      <c r="Z455" s="3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row>
    <row r="456" spans="1:57" ht="15.75" customHeight="1" x14ac:dyDescent="0.2">
      <c r="A456" s="34"/>
      <c r="B456" s="34"/>
      <c r="C456" s="33"/>
      <c r="D456" s="34"/>
      <c r="E456" s="34"/>
      <c r="F456" s="34"/>
      <c r="G456" s="34"/>
      <c r="H456" s="33"/>
      <c r="I456" s="33"/>
      <c r="J456" s="33"/>
      <c r="K456" s="34"/>
      <c r="L456" s="34"/>
      <c r="M456" s="34"/>
      <c r="N456" s="34"/>
      <c r="O456" s="34"/>
      <c r="P456" s="34"/>
      <c r="Q456" s="34"/>
      <c r="R456" s="34"/>
      <c r="S456" s="34"/>
      <c r="T456" s="34"/>
      <c r="U456" s="34"/>
      <c r="V456" s="34"/>
      <c r="W456" s="34"/>
      <c r="X456" s="34"/>
      <c r="Y456" s="34"/>
      <c r="Z456" s="3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row>
    <row r="457" spans="1:57" ht="15.75" customHeight="1" x14ac:dyDescent="0.2">
      <c r="A457" s="34"/>
      <c r="B457" s="34"/>
      <c r="C457" s="33"/>
      <c r="D457" s="34"/>
      <c r="E457" s="34"/>
      <c r="F457" s="34"/>
      <c r="G457" s="34"/>
      <c r="H457" s="33"/>
      <c r="I457" s="33"/>
      <c r="J457" s="33"/>
      <c r="K457" s="34"/>
      <c r="L457" s="34"/>
      <c r="M457" s="34"/>
      <c r="N457" s="34"/>
      <c r="O457" s="34"/>
      <c r="P457" s="34"/>
      <c r="Q457" s="34"/>
      <c r="R457" s="34"/>
      <c r="S457" s="34"/>
      <c r="T457" s="34"/>
      <c r="U457" s="34"/>
      <c r="V457" s="34"/>
      <c r="W457" s="34"/>
      <c r="X457" s="34"/>
      <c r="Y457" s="34"/>
      <c r="Z457" s="3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row>
    <row r="458" spans="1:57" ht="15.75" customHeight="1" x14ac:dyDescent="0.2">
      <c r="A458" s="34"/>
      <c r="B458" s="34"/>
      <c r="C458" s="33"/>
      <c r="D458" s="34"/>
      <c r="E458" s="34"/>
      <c r="F458" s="34"/>
      <c r="G458" s="34"/>
      <c r="H458" s="33"/>
      <c r="I458" s="33"/>
      <c r="J458" s="33"/>
      <c r="K458" s="34"/>
      <c r="L458" s="34"/>
      <c r="M458" s="34"/>
      <c r="N458" s="34"/>
      <c r="O458" s="34"/>
      <c r="P458" s="34"/>
      <c r="Q458" s="34"/>
      <c r="R458" s="34"/>
      <c r="S458" s="34"/>
      <c r="T458" s="34"/>
      <c r="U458" s="34"/>
      <c r="V458" s="34"/>
      <c r="W458" s="34"/>
      <c r="X458" s="34"/>
      <c r="Y458" s="34"/>
      <c r="Z458" s="3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row>
    <row r="459" spans="1:57" ht="15.75" customHeight="1" x14ac:dyDescent="0.2">
      <c r="A459" s="34"/>
      <c r="B459" s="34"/>
      <c r="C459" s="33"/>
      <c r="D459" s="34"/>
      <c r="E459" s="34"/>
      <c r="F459" s="34"/>
      <c r="G459" s="34"/>
      <c r="H459" s="33"/>
      <c r="I459" s="33"/>
      <c r="J459" s="33"/>
      <c r="K459" s="34"/>
      <c r="L459" s="34"/>
      <c r="M459" s="34"/>
      <c r="N459" s="34"/>
      <c r="O459" s="34"/>
      <c r="P459" s="34"/>
      <c r="Q459" s="34"/>
      <c r="R459" s="34"/>
      <c r="S459" s="34"/>
      <c r="T459" s="34"/>
      <c r="U459" s="34"/>
      <c r="V459" s="34"/>
      <c r="W459" s="34"/>
      <c r="X459" s="34"/>
      <c r="Y459" s="34"/>
      <c r="Z459" s="3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row>
    <row r="460" spans="1:57" ht="15.75" customHeight="1" x14ac:dyDescent="0.2">
      <c r="A460" s="34"/>
      <c r="B460" s="34"/>
      <c r="C460" s="33"/>
      <c r="D460" s="34"/>
      <c r="E460" s="34"/>
      <c r="F460" s="34"/>
      <c r="G460" s="34"/>
      <c r="H460" s="33"/>
      <c r="I460" s="33"/>
      <c r="J460" s="33"/>
      <c r="K460" s="34"/>
      <c r="L460" s="34"/>
      <c r="M460" s="34"/>
      <c r="N460" s="34"/>
      <c r="O460" s="34"/>
      <c r="P460" s="34"/>
      <c r="Q460" s="34"/>
      <c r="R460" s="34"/>
      <c r="S460" s="34"/>
      <c r="T460" s="34"/>
      <c r="U460" s="34"/>
      <c r="V460" s="34"/>
      <c r="W460" s="34"/>
      <c r="X460" s="34"/>
      <c r="Y460" s="34"/>
      <c r="Z460" s="3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row>
    <row r="461" spans="1:57" ht="15.75" customHeight="1" x14ac:dyDescent="0.2">
      <c r="A461" s="34"/>
      <c r="B461" s="34"/>
      <c r="C461" s="33"/>
      <c r="D461" s="34"/>
      <c r="E461" s="34"/>
      <c r="F461" s="34"/>
      <c r="G461" s="34"/>
      <c r="H461" s="33"/>
      <c r="I461" s="33"/>
      <c r="J461" s="33"/>
      <c r="K461" s="34"/>
      <c r="L461" s="34"/>
      <c r="M461" s="34"/>
      <c r="N461" s="34"/>
      <c r="O461" s="34"/>
      <c r="P461" s="34"/>
      <c r="Q461" s="34"/>
      <c r="R461" s="34"/>
      <c r="S461" s="34"/>
      <c r="T461" s="34"/>
      <c r="U461" s="34"/>
      <c r="V461" s="34"/>
      <c r="W461" s="34"/>
      <c r="X461" s="34"/>
      <c r="Y461" s="34"/>
      <c r="Z461" s="3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row>
    <row r="462" spans="1:57" ht="15.75" customHeight="1" x14ac:dyDescent="0.2">
      <c r="A462" s="34"/>
      <c r="B462" s="34"/>
      <c r="C462" s="33"/>
      <c r="D462" s="34"/>
      <c r="E462" s="34"/>
      <c r="F462" s="34"/>
      <c r="G462" s="34"/>
      <c r="H462" s="33"/>
      <c r="I462" s="33"/>
      <c r="J462" s="33"/>
      <c r="K462" s="34"/>
      <c r="L462" s="34"/>
      <c r="M462" s="34"/>
      <c r="N462" s="34"/>
      <c r="O462" s="34"/>
      <c r="P462" s="34"/>
      <c r="Q462" s="34"/>
      <c r="R462" s="34"/>
      <c r="S462" s="34"/>
      <c r="T462" s="34"/>
      <c r="U462" s="34"/>
      <c r="V462" s="34"/>
      <c r="W462" s="34"/>
      <c r="X462" s="34"/>
      <c r="Y462" s="34"/>
      <c r="Z462" s="3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row>
    <row r="463" spans="1:57" ht="15.75" customHeight="1" x14ac:dyDescent="0.2">
      <c r="A463" s="34"/>
      <c r="B463" s="34"/>
      <c r="C463" s="33"/>
      <c r="D463" s="34"/>
      <c r="E463" s="34"/>
      <c r="F463" s="34"/>
      <c r="G463" s="34"/>
      <c r="H463" s="33"/>
      <c r="I463" s="33"/>
      <c r="J463" s="33"/>
      <c r="K463" s="34"/>
      <c r="L463" s="34"/>
      <c r="M463" s="34"/>
      <c r="N463" s="34"/>
      <c r="O463" s="34"/>
      <c r="P463" s="34"/>
      <c r="Q463" s="34"/>
      <c r="R463" s="34"/>
      <c r="S463" s="34"/>
      <c r="T463" s="34"/>
      <c r="U463" s="34"/>
      <c r="V463" s="34"/>
      <c r="W463" s="34"/>
      <c r="X463" s="34"/>
      <c r="Y463" s="34"/>
      <c r="Z463" s="3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row>
    <row r="464" spans="1:57" ht="15.75" customHeight="1" x14ac:dyDescent="0.2">
      <c r="A464" s="34"/>
      <c r="B464" s="34"/>
      <c r="C464" s="33"/>
      <c r="D464" s="34"/>
      <c r="E464" s="34"/>
      <c r="F464" s="34"/>
      <c r="G464" s="34"/>
      <c r="H464" s="33"/>
      <c r="I464" s="33"/>
      <c r="J464" s="33"/>
      <c r="K464" s="34"/>
      <c r="L464" s="34"/>
      <c r="M464" s="34"/>
      <c r="N464" s="34"/>
      <c r="O464" s="34"/>
      <c r="P464" s="34"/>
      <c r="Q464" s="34"/>
      <c r="R464" s="34"/>
      <c r="S464" s="34"/>
      <c r="T464" s="34"/>
      <c r="U464" s="34"/>
      <c r="V464" s="34"/>
      <c r="W464" s="34"/>
      <c r="X464" s="34"/>
      <c r="Y464" s="34"/>
      <c r="Z464" s="3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row>
    <row r="465" spans="1:57" ht="15.75" customHeight="1" x14ac:dyDescent="0.2">
      <c r="A465" s="34"/>
      <c r="B465" s="34"/>
      <c r="C465" s="33"/>
      <c r="D465" s="34"/>
      <c r="E465" s="34"/>
      <c r="F465" s="34"/>
      <c r="G465" s="34"/>
      <c r="H465" s="33"/>
      <c r="I465" s="33"/>
      <c r="J465" s="33"/>
      <c r="K465" s="34"/>
      <c r="L465" s="34"/>
      <c r="M465" s="34"/>
      <c r="N465" s="34"/>
      <c r="O465" s="34"/>
      <c r="P465" s="34"/>
      <c r="Q465" s="34"/>
      <c r="R465" s="34"/>
      <c r="S465" s="34"/>
      <c r="T465" s="34"/>
      <c r="U465" s="34"/>
      <c r="V465" s="34"/>
      <c r="W465" s="34"/>
      <c r="X465" s="34"/>
      <c r="Y465" s="34"/>
      <c r="Z465" s="3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row>
    <row r="466" spans="1:57" ht="15.75" customHeight="1" x14ac:dyDescent="0.2">
      <c r="A466" s="34"/>
      <c r="B466" s="34"/>
      <c r="C466" s="33"/>
      <c r="D466" s="34"/>
      <c r="E466" s="34"/>
      <c r="F466" s="34"/>
      <c r="G466" s="34"/>
      <c r="H466" s="33"/>
      <c r="I466" s="33"/>
      <c r="J466" s="33"/>
      <c r="K466" s="34"/>
      <c r="L466" s="34"/>
      <c r="M466" s="34"/>
      <c r="N466" s="34"/>
      <c r="O466" s="34"/>
      <c r="P466" s="34"/>
      <c r="Q466" s="34"/>
      <c r="R466" s="34"/>
      <c r="S466" s="34"/>
      <c r="T466" s="34"/>
      <c r="U466" s="34"/>
      <c r="V466" s="34"/>
      <c r="W466" s="34"/>
      <c r="X466" s="34"/>
      <c r="Y466" s="34"/>
      <c r="Z466" s="3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row>
    <row r="467" spans="1:57" ht="15.75" customHeight="1" x14ac:dyDescent="0.2">
      <c r="A467" s="34"/>
      <c r="B467" s="34"/>
      <c r="C467" s="33"/>
      <c r="D467" s="34"/>
      <c r="E467" s="34"/>
      <c r="F467" s="34"/>
      <c r="G467" s="34"/>
      <c r="H467" s="33"/>
      <c r="I467" s="33"/>
      <c r="J467" s="33"/>
      <c r="K467" s="34"/>
      <c r="L467" s="34"/>
      <c r="M467" s="34"/>
      <c r="N467" s="34"/>
      <c r="O467" s="34"/>
      <c r="P467" s="34"/>
      <c r="Q467" s="34"/>
      <c r="R467" s="34"/>
      <c r="S467" s="34"/>
      <c r="T467" s="34"/>
      <c r="U467" s="34"/>
      <c r="V467" s="34"/>
      <c r="W467" s="34"/>
      <c r="X467" s="34"/>
      <c r="Y467" s="34"/>
      <c r="Z467" s="3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row>
    <row r="468" spans="1:57" ht="15.75" customHeight="1" x14ac:dyDescent="0.2">
      <c r="A468" s="34"/>
      <c r="B468" s="34"/>
      <c r="C468" s="33"/>
      <c r="D468" s="34"/>
      <c r="E468" s="34"/>
      <c r="F468" s="34"/>
      <c r="G468" s="34"/>
      <c r="H468" s="33"/>
      <c r="I468" s="33"/>
      <c r="J468" s="33"/>
      <c r="K468" s="34"/>
      <c r="L468" s="34"/>
      <c r="M468" s="34"/>
      <c r="N468" s="34"/>
      <c r="O468" s="34"/>
      <c r="P468" s="34"/>
      <c r="Q468" s="34"/>
      <c r="R468" s="34"/>
      <c r="S468" s="34"/>
      <c r="T468" s="34"/>
      <c r="U468" s="34"/>
      <c r="V468" s="34"/>
      <c r="W468" s="34"/>
      <c r="X468" s="34"/>
      <c r="Y468" s="34"/>
      <c r="Z468" s="3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row>
    <row r="469" spans="1:57" ht="15.75" customHeight="1" x14ac:dyDescent="0.2">
      <c r="A469" s="34"/>
      <c r="B469" s="34"/>
      <c r="C469" s="33"/>
      <c r="D469" s="34"/>
      <c r="E469" s="34"/>
      <c r="F469" s="34"/>
      <c r="G469" s="34"/>
      <c r="H469" s="33"/>
      <c r="I469" s="33"/>
      <c r="J469" s="33"/>
      <c r="K469" s="34"/>
      <c r="L469" s="34"/>
      <c r="M469" s="34"/>
      <c r="N469" s="34"/>
      <c r="O469" s="34"/>
      <c r="P469" s="34"/>
      <c r="Q469" s="34"/>
      <c r="R469" s="34"/>
      <c r="S469" s="34"/>
      <c r="T469" s="34"/>
      <c r="U469" s="34"/>
      <c r="V469" s="34"/>
      <c r="W469" s="34"/>
      <c r="X469" s="34"/>
      <c r="Y469" s="34"/>
      <c r="Z469" s="3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row>
    <row r="470" spans="1:57" ht="15.75" customHeight="1" x14ac:dyDescent="0.2">
      <c r="A470" s="34"/>
      <c r="B470" s="34"/>
      <c r="C470" s="33"/>
      <c r="D470" s="34"/>
      <c r="E470" s="34"/>
      <c r="F470" s="34"/>
      <c r="G470" s="34"/>
      <c r="H470" s="33"/>
      <c r="I470" s="33"/>
      <c r="J470" s="33"/>
      <c r="K470" s="34"/>
      <c r="L470" s="34"/>
      <c r="M470" s="34"/>
      <c r="N470" s="34"/>
      <c r="O470" s="34"/>
      <c r="P470" s="34"/>
      <c r="Q470" s="34"/>
      <c r="R470" s="34"/>
      <c r="S470" s="34"/>
      <c r="T470" s="34"/>
      <c r="U470" s="34"/>
      <c r="V470" s="34"/>
      <c r="W470" s="34"/>
      <c r="X470" s="34"/>
      <c r="Y470" s="34"/>
      <c r="Z470" s="3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row>
    <row r="471" spans="1:57" ht="15.75" customHeight="1" x14ac:dyDescent="0.2">
      <c r="A471" s="34"/>
      <c r="B471" s="34"/>
      <c r="C471" s="33"/>
      <c r="D471" s="34"/>
      <c r="E471" s="34"/>
      <c r="F471" s="34"/>
      <c r="G471" s="34"/>
      <c r="H471" s="33"/>
      <c r="I471" s="33"/>
      <c r="J471" s="33"/>
      <c r="K471" s="34"/>
      <c r="L471" s="34"/>
      <c r="M471" s="34"/>
      <c r="N471" s="34"/>
      <c r="O471" s="34"/>
      <c r="P471" s="34"/>
      <c r="Q471" s="34"/>
      <c r="R471" s="34"/>
      <c r="S471" s="34"/>
      <c r="T471" s="34"/>
      <c r="U471" s="34"/>
      <c r="V471" s="34"/>
      <c r="W471" s="34"/>
      <c r="X471" s="34"/>
      <c r="Y471" s="34"/>
      <c r="Z471" s="3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row>
    <row r="472" spans="1:57" ht="15.75" customHeight="1" x14ac:dyDescent="0.2">
      <c r="A472" s="34"/>
      <c r="B472" s="34"/>
      <c r="C472" s="33"/>
      <c r="D472" s="34"/>
      <c r="E472" s="34"/>
      <c r="F472" s="34"/>
      <c r="G472" s="34"/>
      <c r="H472" s="33"/>
      <c r="I472" s="33"/>
      <c r="J472" s="33"/>
      <c r="K472" s="34"/>
      <c r="L472" s="34"/>
      <c r="M472" s="34"/>
      <c r="N472" s="34"/>
      <c r="O472" s="34"/>
      <c r="P472" s="34"/>
      <c r="Q472" s="34"/>
      <c r="R472" s="34"/>
      <c r="S472" s="34"/>
      <c r="T472" s="34"/>
      <c r="U472" s="34"/>
      <c r="V472" s="34"/>
      <c r="W472" s="34"/>
      <c r="X472" s="34"/>
      <c r="Y472" s="34"/>
      <c r="Z472" s="3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row>
    <row r="473" spans="1:57" ht="15.75" customHeight="1" x14ac:dyDescent="0.2">
      <c r="A473" s="34"/>
      <c r="B473" s="34"/>
      <c r="C473" s="33"/>
      <c r="D473" s="34"/>
      <c r="E473" s="34"/>
      <c r="F473" s="34"/>
      <c r="G473" s="34"/>
      <c r="H473" s="33"/>
      <c r="I473" s="33"/>
      <c r="J473" s="33"/>
      <c r="K473" s="34"/>
      <c r="L473" s="34"/>
      <c r="M473" s="34"/>
      <c r="N473" s="34"/>
      <c r="O473" s="34"/>
      <c r="P473" s="34"/>
      <c r="Q473" s="34"/>
      <c r="R473" s="34"/>
      <c r="S473" s="34"/>
      <c r="T473" s="34"/>
      <c r="U473" s="34"/>
      <c r="V473" s="34"/>
      <c r="W473" s="34"/>
      <c r="X473" s="34"/>
      <c r="Y473" s="34"/>
      <c r="Z473" s="3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row>
    <row r="474" spans="1:57" ht="15.75" customHeight="1" x14ac:dyDescent="0.2">
      <c r="A474" s="34"/>
      <c r="B474" s="34"/>
      <c r="C474" s="33"/>
      <c r="D474" s="34"/>
      <c r="E474" s="34"/>
      <c r="F474" s="34"/>
      <c r="G474" s="34"/>
      <c r="H474" s="33"/>
      <c r="I474" s="33"/>
      <c r="J474" s="33"/>
      <c r="K474" s="34"/>
      <c r="L474" s="34"/>
      <c r="M474" s="34"/>
      <c r="N474" s="34"/>
      <c r="O474" s="34"/>
      <c r="P474" s="34"/>
      <c r="Q474" s="34"/>
      <c r="R474" s="34"/>
      <c r="S474" s="34"/>
      <c r="T474" s="34"/>
      <c r="U474" s="34"/>
      <c r="V474" s="34"/>
      <c r="W474" s="34"/>
      <c r="X474" s="34"/>
      <c r="Y474" s="34"/>
      <c r="Z474" s="3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row>
    <row r="475" spans="1:57" ht="15.75" customHeight="1" x14ac:dyDescent="0.2">
      <c r="A475" s="34"/>
      <c r="B475" s="34"/>
      <c r="C475" s="33"/>
      <c r="D475" s="34"/>
      <c r="E475" s="34"/>
      <c r="F475" s="34"/>
      <c r="G475" s="34"/>
      <c r="H475" s="33"/>
      <c r="I475" s="33"/>
      <c r="J475" s="33"/>
      <c r="K475" s="34"/>
      <c r="L475" s="34"/>
      <c r="M475" s="34"/>
      <c r="N475" s="34"/>
      <c r="O475" s="34"/>
      <c r="P475" s="34"/>
      <c r="Q475" s="34"/>
      <c r="R475" s="34"/>
      <c r="S475" s="34"/>
      <c r="T475" s="34"/>
      <c r="U475" s="34"/>
      <c r="V475" s="34"/>
      <c r="W475" s="34"/>
      <c r="X475" s="34"/>
      <c r="Y475" s="34"/>
      <c r="Z475" s="3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row>
    <row r="476" spans="1:57" ht="15.75" customHeight="1" x14ac:dyDescent="0.2">
      <c r="A476" s="34"/>
      <c r="B476" s="34"/>
      <c r="C476" s="33"/>
      <c r="D476" s="34"/>
      <c r="E476" s="34"/>
      <c r="F476" s="34"/>
      <c r="G476" s="34"/>
      <c r="H476" s="33"/>
      <c r="I476" s="33"/>
      <c r="J476" s="33"/>
      <c r="K476" s="34"/>
      <c r="L476" s="34"/>
      <c r="M476" s="34"/>
      <c r="N476" s="34"/>
      <c r="O476" s="34"/>
      <c r="P476" s="34"/>
      <c r="Q476" s="34"/>
      <c r="R476" s="34"/>
      <c r="S476" s="34"/>
      <c r="T476" s="34"/>
      <c r="U476" s="34"/>
      <c r="V476" s="34"/>
      <c r="W476" s="34"/>
      <c r="X476" s="34"/>
      <c r="Y476" s="34"/>
      <c r="Z476" s="3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row>
    <row r="477" spans="1:57" ht="15.75" customHeight="1" x14ac:dyDescent="0.2">
      <c r="A477" s="34"/>
      <c r="B477" s="34"/>
      <c r="C477" s="33"/>
      <c r="D477" s="34"/>
      <c r="E477" s="34"/>
      <c r="F477" s="34"/>
      <c r="G477" s="34"/>
      <c r="H477" s="33"/>
      <c r="I477" s="33"/>
      <c r="J477" s="33"/>
      <c r="K477" s="34"/>
      <c r="L477" s="34"/>
      <c r="M477" s="34"/>
      <c r="N477" s="34"/>
      <c r="O477" s="34"/>
      <c r="P477" s="34"/>
      <c r="Q477" s="34"/>
      <c r="R477" s="34"/>
      <c r="S477" s="34"/>
      <c r="T477" s="34"/>
      <c r="U477" s="34"/>
      <c r="V477" s="34"/>
      <c r="W477" s="34"/>
      <c r="X477" s="34"/>
      <c r="Y477" s="34"/>
      <c r="Z477" s="3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row>
    <row r="478" spans="1:57" ht="15.75" customHeight="1" x14ac:dyDescent="0.2">
      <c r="A478" s="34"/>
      <c r="B478" s="34"/>
      <c r="C478" s="33"/>
      <c r="D478" s="34"/>
      <c r="E478" s="34"/>
      <c r="F478" s="34"/>
      <c r="G478" s="34"/>
      <c r="H478" s="33"/>
      <c r="I478" s="33"/>
      <c r="J478" s="33"/>
      <c r="K478" s="34"/>
      <c r="L478" s="34"/>
      <c r="M478" s="34"/>
      <c r="N478" s="34"/>
      <c r="O478" s="34"/>
      <c r="P478" s="34"/>
      <c r="Q478" s="34"/>
      <c r="R478" s="34"/>
      <c r="S478" s="34"/>
      <c r="T478" s="34"/>
      <c r="U478" s="34"/>
      <c r="V478" s="34"/>
      <c r="W478" s="34"/>
      <c r="X478" s="34"/>
      <c r="Y478" s="34"/>
      <c r="Z478" s="3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row>
    <row r="479" spans="1:57" ht="15.75" customHeight="1" x14ac:dyDescent="0.2">
      <c r="A479" s="34"/>
      <c r="B479" s="34"/>
      <c r="C479" s="33"/>
      <c r="D479" s="34"/>
      <c r="E479" s="34"/>
      <c r="F479" s="34"/>
      <c r="G479" s="34"/>
      <c r="H479" s="33"/>
      <c r="I479" s="33"/>
      <c r="J479" s="33"/>
      <c r="K479" s="34"/>
      <c r="L479" s="34"/>
      <c r="M479" s="34"/>
      <c r="N479" s="34"/>
      <c r="O479" s="34"/>
      <c r="P479" s="34"/>
      <c r="Q479" s="34"/>
      <c r="R479" s="34"/>
      <c r="S479" s="34"/>
      <c r="T479" s="34"/>
      <c r="U479" s="34"/>
      <c r="V479" s="34"/>
      <c r="W479" s="34"/>
      <c r="X479" s="34"/>
      <c r="Y479" s="34"/>
      <c r="Z479" s="3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row>
    <row r="480" spans="1:57" ht="15.75" customHeight="1" x14ac:dyDescent="0.2">
      <c r="A480" s="34"/>
      <c r="B480" s="34"/>
      <c r="C480" s="33"/>
      <c r="D480" s="34"/>
      <c r="E480" s="34"/>
      <c r="F480" s="34"/>
      <c r="G480" s="34"/>
      <c r="H480" s="33"/>
      <c r="I480" s="33"/>
      <c r="J480" s="33"/>
      <c r="K480" s="34"/>
      <c r="L480" s="34"/>
      <c r="M480" s="34"/>
      <c r="N480" s="34"/>
      <c r="O480" s="34"/>
      <c r="P480" s="34"/>
      <c r="Q480" s="34"/>
      <c r="R480" s="34"/>
      <c r="S480" s="34"/>
      <c r="T480" s="34"/>
      <c r="U480" s="34"/>
      <c r="V480" s="34"/>
      <c r="W480" s="34"/>
      <c r="X480" s="34"/>
      <c r="Y480" s="34"/>
      <c r="Z480" s="3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row>
    <row r="481" spans="1:57" ht="15.75" customHeight="1" x14ac:dyDescent="0.2">
      <c r="A481" s="34"/>
      <c r="B481" s="34"/>
      <c r="C481" s="33"/>
      <c r="D481" s="34"/>
      <c r="E481" s="34"/>
      <c r="F481" s="34"/>
      <c r="G481" s="34"/>
      <c r="H481" s="33"/>
      <c r="I481" s="33"/>
      <c r="J481" s="33"/>
      <c r="K481" s="34"/>
      <c r="L481" s="34"/>
      <c r="M481" s="34"/>
      <c r="N481" s="34"/>
      <c r="O481" s="34"/>
      <c r="P481" s="34"/>
      <c r="Q481" s="34"/>
      <c r="R481" s="34"/>
      <c r="S481" s="34"/>
      <c r="T481" s="34"/>
      <c r="U481" s="34"/>
      <c r="V481" s="34"/>
      <c r="W481" s="34"/>
      <c r="X481" s="34"/>
      <c r="Y481" s="34"/>
      <c r="Z481" s="3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row>
    <row r="482" spans="1:57" ht="15.75" customHeight="1" x14ac:dyDescent="0.2">
      <c r="A482" s="34"/>
      <c r="B482" s="34"/>
      <c r="C482" s="33"/>
      <c r="D482" s="34"/>
      <c r="E482" s="34"/>
      <c r="F482" s="34"/>
      <c r="G482" s="34"/>
      <c r="H482" s="33"/>
      <c r="I482" s="33"/>
      <c r="J482" s="33"/>
      <c r="K482" s="34"/>
      <c r="L482" s="34"/>
      <c r="M482" s="34"/>
      <c r="N482" s="34"/>
      <c r="O482" s="34"/>
      <c r="P482" s="34"/>
      <c r="Q482" s="34"/>
      <c r="R482" s="34"/>
      <c r="S482" s="34"/>
      <c r="T482" s="34"/>
      <c r="U482" s="34"/>
      <c r="V482" s="34"/>
      <c r="W482" s="34"/>
      <c r="X482" s="34"/>
      <c r="Y482" s="34"/>
      <c r="Z482" s="3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row>
    <row r="483" spans="1:57" ht="15.75" customHeight="1" x14ac:dyDescent="0.2">
      <c r="A483" s="34"/>
      <c r="B483" s="34"/>
      <c r="C483" s="33"/>
      <c r="D483" s="34"/>
      <c r="E483" s="34"/>
      <c r="F483" s="34"/>
      <c r="G483" s="34"/>
      <c r="H483" s="33"/>
      <c r="I483" s="33"/>
      <c r="J483" s="33"/>
      <c r="K483" s="34"/>
      <c r="L483" s="34"/>
      <c r="M483" s="34"/>
      <c r="N483" s="34"/>
      <c r="O483" s="34"/>
      <c r="P483" s="34"/>
      <c r="Q483" s="34"/>
      <c r="R483" s="34"/>
      <c r="S483" s="34"/>
      <c r="T483" s="34"/>
      <c r="U483" s="34"/>
      <c r="V483" s="34"/>
      <c r="W483" s="34"/>
      <c r="X483" s="34"/>
      <c r="Y483" s="34"/>
      <c r="Z483" s="3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row>
    <row r="484" spans="1:57" ht="15.75" customHeight="1" x14ac:dyDescent="0.2">
      <c r="A484" s="34"/>
      <c r="B484" s="34"/>
      <c r="C484" s="33"/>
      <c r="D484" s="34"/>
      <c r="E484" s="34"/>
      <c r="F484" s="34"/>
      <c r="G484" s="34"/>
      <c r="H484" s="33"/>
      <c r="I484" s="33"/>
      <c r="J484" s="33"/>
      <c r="K484" s="34"/>
      <c r="L484" s="34"/>
      <c r="M484" s="34"/>
      <c r="N484" s="34"/>
      <c r="O484" s="34"/>
      <c r="P484" s="34"/>
      <c r="Q484" s="34"/>
      <c r="R484" s="34"/>
      <c r="S484" s="34"/>
      <c r="T484" s="34"/>
      <c r="U484" s="34"/>
      <c r="V484" s="34"/>
      <c r="W484" s="34"/>
      <c r="X484" s="34"/>
      <c r="Y484" s="34"/>
      <c r="Z484" s="3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row>
    <row r="485" spans="1:57" ht="15.75" customHeight="1" x14ac:dyDescent="0.2">
      <c r="A485" s="34"/>
      <c r="B485" s="34"/>
      <c r="C485" s="33"/>
      <c r="D485" s="34"/>
      <c r="E485" s="34"/>
      <c r="F485" s="34"/>
      <c r="G485" s="34"/>
      <c r="H485" s="33"/>
      <c r="I485" s="33"/>
      <c r="J485" s="33"/>
      <c r="K485" s="34"/>
      <c r="L485" s="34"/>
      <c r="M485" s="34"/>
      <c r="N485" s="34"/>
      <c r="O485" s="34"/>
      <c r="P485" s="34"/>
      <c r="Q485" s="34"/>
      <c r="R485" s="34"/>
      <c r="S485" s="34"/>
      <c r="T485" s="34"/>
      <c r="U485" s="34"/>
      <c r="V485" s="34"/>
      <c r="W485" s="34"/>
      <c r="X485" s="34"/>
      <c r="Y485" s="34"/>
      <c r="Z485" s="3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row>
    <row r="486" spans="1:57" ht="15.75" customHeight="1" x14ac:dyDescent="0.2">
      <c r="A486" s="34"/>
      <c r="B486" s="34"/>
      <c r="C486" s="33"/>
      <c r="D486" s="34"/>
      <c r="E486" s="34"/>
      <c r="F486" s="34"/>
      <c r="G486" s="34"/>
      <c r="H486" s="33"/>
      <c r="I486" s="33"/>
      <c r="J486" s="33"/>
      <c r="K486" s="34"/>
      <c r="L486" s="34"/>
      <c r="M486" s="34"/>
      <c r="N486" s="34"/>
      <c r="O486" s="34"/>
      <c r="P486" s="34"/>
      <c r="Q486" s="34"/>
      <c r="R486" s="34"/>
      <c r="S486" s="34"/>
      <c r="T486" s="34"/>
      <c r="U486" s="34"/>
      <c r="V486" s="34"/>
      <c r="W486" s="34"/>
      <c r="X486" s="34"/>
      <c r="Y486" s="34"/>
      <c r="Z486" s="3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row>
    <row r="487" spans="1:57" ht="15.75" customHeight="1" x14ac:dyDescent="0.2">
      <c r="A487" s="34"/>
      <c r="B487" s="34"/>
      <c r="C487" s="33"/>
      <c r="D487" s="34"/>
      <c r="E487" s="34"/>
      <c r="F487" s="34"/>
      <c r="G487" s="34"/>
      <c r="H487" s="33"/>
      <c r="I487" s="33"/>
      <c r="J487" s="33"/>
      <c r="K487" s="34"/>
      <c r="L487" s="34"/>
      <c r="M487" s="34"/>
      <c r="N487" s="34"/>
      <c r="O487" s="34"/>
      <c r="P487" s="34"/>
      <c r="Q487" s="34"/>
      <c r="R487" s="34"/>
      <c r="S487" s="34"/>
      <c r="T487" s="34"/>
      <c r="U487" s="34"/>
      <c r="V487" s="34"/>
      <c r="W487" s="34"/>
      <c r="X487" s="34"/>
      <c r="Y487" s="34"/>
      <c r="Z487" s="3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row>
    <row r="488" spans="1:57" ht="15.75" customHeight="1" x14ac:dyDescent="0.2">
      <c r="A488" s="34"/>
      <c r="B488" s="34"/>
      <c r="C488" s="33"/>
      <c r="D488" s="34"/>
      <c r="E488" s="34"/>
      <c r="F488" s="34"/>
      <c r="G488" s="34"/>
      <c r="H488" s="33"/>
      <c r="I488" s="33"/>
      <c r="J488" s="33"/>
      <c r="K488" s="34"/>
      <c r="L488" s="34"/>
      <c r="M488" s="34"/>
      <c r="N488" s="34"/>
      <c r="O488" s="34"/>
      <c r="P488" s="34"/>
      <c r="Q488" s="34"/>
      <c r="R488" s="34"/>
      <c r="S488" s="34"/>
      <c r="T488" s="34"/>
      <c r="U488" s="34"/>
      <c r="V488" s="34"/>
      <c r="W488" s="34"/>
      <c r="X488" s="34"/>
      <c r="Y488" s="34"/>
      <c r="Z488" s="3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row>
    <row r="489" spans="1:57" ht="15.75" customHeight="1" x14ac:dyDescent="0.2">
      <c r="A489" s="34"/>
      <c r="B489" s="34"/>
      <c r="C489" s="33"/>
      <c r="D489" s="34"/>
      <c r="E489" s="34"/>
      <c r="F489" s="34"/>
      <c r="G489" s="34"/>
      <c r="H489" s="33"/>
      <c r="I489" s="33"/>
      <c r="J489" s="33"/>
      <c r="K489" s="34"/>
      <c r="L489" s="34"/>
      <c r="M489" s="34"/>
      <c r="N489" s="34"/>
      <c r="O489" s="34"/>
      <c r="P489" s="34"/>
      <c r="Q489" s="34"/>
      <c r="R489" s="34"/>
      <c r="S489" s="34"/>
      <c r="T489" s="34"/>
      <c r="U489" s="34"/>
      <c r="V489" s="34"/>
      <c r="W489" s="34"/>
      <c r="X489" s="34"/>
      <c r="Y489" s="34"/>
      <c r="Z489" s="3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row>
    <row r="490" spans="1:57" ht="15.75" customHeight="1" x14ac:dyDescent="0.2">
      <c r="A490" s="34"/>
      <c r="B490" s="34"/>
      <c r="C490" s="33"/>
      <c r="D490" s="34"/>
      <c r="E490" s="34"/>
      <c r="F490" s="34"/>
      <c r="G490" s="34"/>
      <c r="H490" s="33"/>
      <c r="I490" s="33"/>
      <c r="J490" s="33"/>
      <c r="K490" s="34"/>
      <c r="L490" s="34"/>
      <c r="M490" s="34"/>
      <c r="N490" s="34"/>
      <c r="O490" s="34"/>
      <c r="P490" s="34"/>
      <c r="Q490" s="34"/>
      <c r="R490" s="34"/>
      <c r="S490" s="34"/>
      <c r="T490" s="34"/>
      <c r="U490" s="34"/>
      <c r="V490" s="34"/>
      <c r="W490" s="34"/>
      <c r="X490" s="34"/>
      <c r="Y490" s="34"/>
      <c r="Z490" s="3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row>
    <row r="491" spans="1:57" ht="15.75" customHeight="1" x14ac:dyDescent="0.2">
      <c r="A491" s="34"/>
      <c r="B491" s="34"/>
      <c r="C491" s="33"/>
      <c r="D491" s="34"/>
      <c r="E491" s="34"/>
      <c r="F491" s="34"/>
      <c r="G491" s="34"/>
      <c r="H491" s="33"/>
      <c r="I491" s="33"/>
      <c r="J491" s="33"/>
      <c r="K491" s="34"/>
      <c r="L491" s="34"/>
      <c r="M491" s="34"/>
      <c r="N491" s="34"/>
      <c r="O491" s="34"/>
      <c r="P491" s="34"/>
      <c r="Q491" s="34"/>
      <c r="R491" s="34"/>
      <c r="S491" s="34"/>
      <c r="T491" s="34"/>
      <c r="U491" s="34"/>
      <c r="V491" s="34"/>
      <c r="W491" s="34"/>
      <c r="X491" s="34"/>
      <c r="Y491" s="34"/>
      <c r="Z491" s="3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row>
    <row r="492" spans="1:57" ht="15.75" customHeight="1" x14ac:dyDescent="0.2">
      <c r="A492" s="34"/>
      <c r="B492" s="34"/>
      <c r="C492" s="33"/>
      <c r="D492" s="34"/>
      <c r="E492" s="34"/>
      <c r="F492" s="34"/>
      <c r="G492" s="34"/>
      <c r="H492" s="33"/>
      <c r="I492" s="33"/>
      <c r="J492" s="33"/>
      <c r="K492" s="34"/>
      <c r="L492" s="34"/>
      <c r="M492" s="34"/>
      <c r="N492" s="34"/>
      <c r="O492" s="34"/>
      <c r="P492" s="34"/>
      <c r="Q492" s="34"/>
      <c r="R492" s="34"/>
      <c r="S492" s="34"/>
      <c r="T492" s="34"/>
      <c r="U492" s="34"/>
      <c r="V492" s="34"/>
      <c r="W492" s="34"/>
      <c r="X492" s="34"/>
      <c r="Y492" s="34"/>
      <c r="Z492" s="3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row>
    <row r="493" spans="1:57" ht="15.75" customHeight="1" x14ac:dyDescent="0.2">
      <c r="A493" s="34"/>
      <c r="B493" s="34"/>
      <c r="C493" s="33"/>
      <c r="D493" s="34"/>
      <c r="E493" s="34"/>
      <c r="F493" s="34"/>
      <c r="G493" s="34"/>
      <c r="H493" s="33"/>
      <c r="I493" s="33"/>
      <c r="J493" s="33"/>
      <c r="K493" s="34"/>
      <c r="L493" s="34"/>
      <c r="M493" s="34"/>
      <c r="N493" s="34"/>
      <c r="O493" s="34"/>
      <c r="P493" s="34"/>
      <c r="Q493" s="34"/>
      <c r="R493" s="34"/>
      <c r="S493" s="34"/>
      <c r="T493" s="34"/>
      <c r="U493" s="34"/>
      <c r="V493" s="34"/>
      <c r="W493" s="34"/>
      <c r="X493" s="34"/>
      <c r="Y493" s="34"/>
      <c r="Z493" s="3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row>
    <row r="494" spans="1:57" ht="15.75" customHeight="1" x14ac:dyDescent="0.2">
      <c r="A494" s="34"/>
      <c r="B494" s="34"/>
      <c r="C494" s="33"/>
      <c r="D494" s="34"/>
      <c r="E494" s="34"/>
      <c r="F494" s="34"/>
      <c r="G494" s="34"/>
      <c r="H494" s="33"/>
      <c r="I494" s="33"/>
      <c r="J494" s="33"/>
      <c r="K494" s="34"/>
      <c r="L494" s="34"/>
      <c r="M494" s="34"/>
      <c r="N494" s="34"/>
      <c r="O494" s="34"/>
      <c r="P494" s="34"/>
      <c r="Q494" s="34"/>
      <c r="R494" s="34"/>
      <c r="S494" s="34"/>
      <c r="T494" s="34"/>
      <c r="U494" s="34"/>
      <c r="V494" s="34"/>
      <c r="W494" s="34"/>
      <c r="X494" s="34"/>
      <c r="Y494" s="34"/>
      <c r="Z494" s="3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row>
    <row r="495" spans="1:57" ht="15.75" customHeight="1" x14ac:dyDescent="0.2">
      <c r="A495" s="34"/>
      <c r="B495" s="34"/>
      <c r="C495" s="33"/>
      <c r="D495" s="34"/>
      <c r="E495" s="34"/>
      <c r="F495" s="34"/>
      <c r="G495" s="34"/>
      <c r="H495" s="33"/>
      <c r="I495" s="33"/>
      <c r="J495" s="33"/>
      <c r="K495" s="34"/>
      <c r="L495" s="34"/>
      <c r="M495" s="34"/>
      <c r="N495" s="34"/>
      <c r="O495" s="34"/>
      <c r="P495" s="34"/>
      <c r="Q495" s="34"/>
      <c r="R495" s="34"/>
      <c r="S495" s="34"/>
      <c r="T495" s="34"/>
      <c r="U495" s="34"/>
      <c r="V495" s="34"/>
      <c r="W495" s="34"/>
      <c r="X495" s="34"/>
      <c r="Y495" s="34"/>
      <c r="Z495" s="3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row>
    <row r="496" spans="1:57" ht="15.75" customHeight="1" x14ac:dyDescent="0.2">
      <c r="A496" s="34"/>
      <c r="B496" s="34"/>
      <c r="C496" s="33"/>
      <c r="D496" s="34"/>
      <c r="E496" s="34"/>
      <c r="F496" s="34"/>
      <c r="G496" s="34"/>
      <c r="H496" s="33"/>
      <c r="I496" s="33"/>
      <c r="J496" s="33"/>
      <c r="K496" s="34"/>
      <c r="L496" s="34"/>
      <c r="M496" s="34"/>
      <c r="N496" s="34"/>
      <c r="O496" s="34"/>
      <c r="P496" s="34"/>
      <c r="Q496" s="34"/>
      <c r="R496" s="34"/>
      <c r="S496" s="34"/>
      <c r="T496" s="34"/>
      <c r="U496" s="34"/>
      <c r="V496" s="34"/>
      <c r="W496" s="34"/>
      <c r="X496" s="34"/>
      <c r="Y496" s="34"/>
      <c r="Z496" s="3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row>
    <row r="497" spans="1:57" ht="15.75" customHeight="1" x14ac:dyDescent="0.2">
      <c r="A497" s="34"/>
      <c r="B497" s="34"/>
      <c r="C497" s="33"/>
      <c r="D497" s="34"/>
      <c r="E497" s="34"/>
      <c r="F497" s="34"/>
      <c r="G497" s="34"/>
      <c r="H497" s="33"/>
      <c r="I497" s="33"/>
      <c r="J497" s="33"/>
      <c r="K497" s="34"/>
      <c r="L497" s="34"/>
      <c r="M497" s="34"/>
      <c r="N497" s="34"/>
      <c r="O497" s="34"/>
      <c r="P497" s="34"/>
      <c r="Q497" s="34"/>
      <c r="R497" s="34"/>
      <c r="S497" s="34"/>
      <c r="T497" s="34"/>
      <c r="U497" s="34"/>
      <c r="V497" s="34"/>
      <c r="W497" s="34"/>
      <c r="X497" s="34"/>
      <c r="Y497" s="34"/>
      <c r="Z497" s="3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row>
    <row r="498" spans="1:57" ht="15.75" customHeight="1" x14ac:dyDescent="0.2">
      <c r="A498" s="34"/>
      <c r="B498" s="34"/>
      <c r="C498" s="33"/>
      <c r="D498" s="34"/>
      <c r="E498" s="34"/>
      <c r="F498" s="34"/>
      <c r="G498" s="34"/>
      <c r="H498" s="33"/>
      <c r="I498" s="33"/>
      <c r="J498" s="33"/>
      <c r="K498" s="34"/>
      <c r="L498" s="34"/>
      <c r="M498" s="34"/>
      <c r="N498" s="34"/>
      <c r="O498" s="34"/>
      <c r="P498" s="34"/>
      <c r="Q498" s="34"/>
      <c r="R498" s="34"/>
      <c r="S498" s="34"/>
      <c r="T498" s="34"/>
      <c r="U498" s="34"/>
      <c r="V498" s="34"/>
      <c r="W498" s="34"/>
      <c r="X498" s="34"/>
      <c r="Y498" s="34"/>
      <c r="Z498" s="3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row>
    <row r="499" spans="1:57" ht="15.75" customHeight="1" x14ac:dyDescent="0.2">
      <c r="A499" s="34"/>
      <c r="B499" s="34"/>
      <c r="C499" s="33"/>
      <c r="D499" s="34"/>
      <c r="E499" s="34"/>
      <c r="F499" s="34"/>
      <c r="G499" s="34"/>
      <c r="H499" s="33"/>
      <c r="I499" s="33"/>
      <c r="J499" s="33"/>
      <c r="K499" s="34"/>
      <c r="L499" s="34"/>
      <c r="M499" s="34"/>
      <c r="N499" s="34"/>
      <c r="O499" s="34"/>
      <c r="P499" s="34"/>
      <c r="Q499" s="34"/>
      <c r="R499" s="34"/>
      <c r="S499" s="34"/>
      <c r="T499" s="34"/>
      <c r="U499" s="34"/>
      <c r="V499" s="34"/>
      <c r="W499" s="34"/>
      <c r="X499" s="34"/>
      <c r="Y499" s="34"/>
      <c r="Z499" s="3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row>
    <row r="500" spans="1:57" ht="15.75" customHeight="1" x14ac:dyDescent="0.2">
      <c r="A500" s="34"/>
      <c r="B500" s="34"/>
      <c r="C500" s="33"/>
      <c r="D500" s="34"/>
      <c r="E500" s="34"/>
      <c r="F500" s="34"/>
      <c r="G500" s="34"/>
      <c r="H500" s="33"/>
      <c r="I500" s="33"/>
      <c r="J500" s="33"/>
      <c r="K500" s="34"/>
      <c r="L500" s="34"/>
      <c r="M500" s="34"/>
      <c r="N500" s="34"/>
      <c r="O500" s="34"/>
      <c r="P500" s="34"/>
      <c r="Q500" s="34"/>
      <c r="R500" s="34"/>
      <c r="S500" s="34"/>
      <c r="T500" s="34"/>
      <c r="U500" s="34"/>
      <c r="V500" s="34"/>
      <c r="W500" s="34"/>
      <c r="X500" s="34"/>
      <c r="Y500" s="34"/>
      <c r="Z500" s="3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row>
    <row r="501" spans="1:57" ht="15.75" customHeight="1" x14ac:dyDescent="0.2">
      <c r="A501" s="34"/>
      <c r="B501" s="34"/>
      <c r="C501" s="33"/>
      <c r="D501" s="34"/>
      <c r="E501" s="34"/>
      <c r="F501" s="34"/>
      <c r="G501" s="34"/>
      <c r="H501" s="33"/>
      <c r="I501" s="33"/>
      <c r="J501" s="33"/>
      <c r="K501" s="34"/>
      <c r="L501" s="34"/>
      <c r="M501" s="34"/>
      <c r="N501" s="34"/>
      <c r="O501" s="34"/>
      <c r="P501" s="34"/>
      <c r="Q501" s="34"/>
      <c r="R501" s="34"/>
      <c r="S501" s="34"/>
      <c r="T501" s="34"/>
      <c r="U501" s="34"/>
      <c r="V501" s="34"/>
      <c r="W501" s="34"/>
      <c r="X501" s="34"/>
      <c r="Y501" s="34"/>
      <c r="Z501" s="3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row>
    <row r="502" spans="1:57" ht="15.75" customHeight="1" x14ac:dyDescent="0.2">
      <c r="A502" s="34"/>
      <c r="B502" s="34"/>
      <c r="C502" s="33"/>
      <c r="D502" s="34"/>
      <c r="E502" s="34"/>
      <c r="F502" s="34"/>
      <c r="G502" s="34"/>
      <c r="H502" s="33"/>
      <c r="I502" s="33"/>
      <c r="J502" s="33"/>
      <c r="K502" s="34"/>
      <c r="L502" s="34"/>
      <c r="M502" s="34"/>
      <c r="N502" s="34"/>
      <c r="O502" s="34"/>
      <c r="P502" s="34"/>
      <c r="Q502" s="34"/>
      <c r="R502" s="34"/>
      <c r="S502" s="34"/>
      <c r="T502" s="34"/>
      <c r="U502" s="34"/>
      <c r="V502" s="34"/>
      <c r="W502" s="34"/>
      <c r="X502" s="34"/>
      <c r="Y502" s="34"/>
      <c r="Z502" s="3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row>
    <row r="503" spans="1:57" ht="15.75" customHeight="1" x14ac:dyDescent="0.2">
      <c r="A503" s="34"/>
      <c r="B503" s="34"/>
      <c r="C503" s="33"/>
      <c r="D503" s="34"/>
      <c r="E503" s="34"/>
      <c r="F503" s="34"/>
      <c r="G503" s="34"/>
      <c r="H503" s="33"/>
      <c r="I503" s="33"/>
      <c r="J503" s="33"/>
      <c r="K503" s="34"/>
      <c r="L503" s="34"/>
      <c r="M503" s="34"/>
      <c r="N503" s="34"/>
      <c r="O503" s="34"/>
      <c r="P503" s="34"/>
      <c r="Q503" s="34"/>
      <c r="R503" s="34"/>
      <c r="S503" s="34"/>
      <c r="T503" s="34"/>
      <c r="U503" s="34"/>
      <c r="V503" s="34"/>
      <c r="W503" s="34"/>
      <c r="X503" s="34"/>
      <c r="Y503" s="34"/>
      <c r="Z503" s="3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row>
    <row r="504" spans="1:57" ht="15.75" customHeight="1" x14ac:dyDescent="0.2">
      <c r="A504" s="34"/>
      <c r="B504" s="34"/>
      <c r="C504" s="33"/>
      <c r="D504" s="34"/>
      <c r="E504" s="34"/>
      <c r="F504" s="34"/>
      <c r="G504" s="34"/>
      <c r="H504" s="33"/>
      <c r="I504" s="33"/>
      <c r="J504" s="33"/>
      <c r="K504" s="34"/>
      <c r="L504" s="34"/>
      <c r="M504" s="34"/>
      <c r="N504" s="34"/>
      <c r="O504" s="34"/>
      <c r="P504" s="34"/>
      <c r="Q504" s="34"/>
      <c r="R504" s="34"/>
      <c r="S504" s="34"/>
      <c r="T504" s="34"/>
      <c r="U504" s="34"/>
      <c r="V504" s="34"/>
      <c r="W504" s="34"/>
      <c r="X504" s="34"/>
      <c r="Y504" s="34"/>
      <c r="Z504" s="3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row>
    <row r="505" spans="1:57" ht="15.75" customHeight="1" x14ac:dyDescent="0.2">
      <c r="A505" s="34"/>
      <c r="B505" s="34"/>
      <c r="C505" s="33"/>
      <c r="D505" s="34"/>
      <c r="E505" s="34"/>
      <c r="F505" s="34"/>
      <c r="G505" s="34"/>
      <c r="H505" s="33"/>
      <c r="I505" s="33"/>
      <c r="J505" s="33"/>
      <c r="K505" s="34"/>
      <c r="L505" s="34"/>
      <c r="M505" s="34"/>
      <c r="N505" s="34"/>
      <c r="O505" s="34"/>
      <c r="P505" s="34"/>
      <c r="Q505" s="34"/>
      <c r="R505" s="34"/>
      <c r="S505" s="34"/>
      <c r="T505" s="34"/>
      <c r="U505" s="34"/>
      <c r="V505" s="34"/>
      <c r="W505" s="34"/>
      <c r="X505" s="34"/>
      <c r="Y505" s="34"/>
      <c r="Z505" s="3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row>
    <row r="506" spans="1:57" ht="15.75" customHeight="1" x14ac:dyDescent="0.2">
      <c r="A506" s="34"/>
      <c r="B506" s="34"/>
      <c r="C506" s="33"/>
      <c r="D506" s="34"/>
      <c r="E506" s="34"/>
      <c r="F506" s="34"/>
      <c r="G506" s="34"/>
      <c r="H506" s="33"/>
      <c r="I506" s="33"/>
      <c r="J506" s="33"/>
      <c r="K506" s="34"/>
      <c r="L506" s="34"/>
      <c r="M506" s="34"/>
      <c r="N506" s="34"/>
      <c r="O506" s="34"/>
      <c r="P506" s="34"/>
      <c r="Q506" s="34"/>
      <c r="R506" s="34"/>
      <c r="S506" s="34"/>
      <c r="T506" s="34"/>
      <c r="U506" s="34"/>
      <c r="V506" s="34"/>
      <c r="W506" s="34"/>
      <c r="X506" s="34"/>
      <c r="Y506" s="34"/>
      <c r="Z506" s="3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row>
    <row r="507" spans="1:57" ht="15.75" customHeight="1" x14ac:dyDescent="0.2">
      <c r="A507" s="34"/>
      <c r="B507" s="34"/>
      <c r="C507" s="33"/>
      <c r="D507" s="34"/>
      <c r="E507" s="34"/>
      <c r="F507" s="34"/>
      <c r="G507" s="34"/>
      <c r="H507" s="33"/>
      <c r="I507" s="33"/>
      <c r="J507" s="33"/>
      <c r="K507" s="34"/>
      <c r="L507" s="34"/>
      <c r="M507" s="34"/>
      <c r="N507" s="34"/>
      <c r="O507" s="34"/>
      <c r="P507" s="34"/>
      <c r="Q507" s="34"/>
      <c r="R507" s="34"/>
      <c r="S507" s="34"/>
      <c r="T507" s="34"/>
      <c r="U507" s="34"/>
      <c r="V507" s="34"/>
      <c r="W507" s="34"/>
      <c r="X507" s="34"/>
      <c r="Y507" s="34"/>
      <c r="Z507" s="3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row>
    <row r="508" spans="1:57" ht="15.75" customHeight="1" x14ac:dyDescent="0.2">
      <c r="A508" s="34"/>
      <c r="B508" s="34"/>
      <c r="C508" s="33"/>
      <c r="D508" s="34"/>
      <c r="E508" s="34"/>
      <c r="F508" s="34"/>
      <c r="G508" s="34"/>
      <c r="H508" s="33"/>
      <c r="I508" s="33"/>
      <c r="J508" s="33"/>
      <c r="K508" s="34"/>
      <c r="L508" s="34"/>
      <c r="M508" s="34"/>
      <c r="N508" s="34"/>
      <c r="O508" s="34"/>
      <c r="P508" s="34"/>
      <c r="Q508" s="34"/>
      <c r="R508" s="34"/>
      <c r="S508" s="34"/>
      <c r="T508" s="34"/>
      <c r="U508" s="34"/>
      <c r="V508" s="34"/>
      <c r="W508" s="34"/>
      <c r="X508" s="34"/>
      <c r="Y508" s="34"/>
      <c r="Z508" s="3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row>
    <row r="509" spans="1:57" ht="15.75" customHeight="1" x14ac:dyDescent="0.2">
      <c r="A509" s="34"/>
      <c r="B509" s="34"/>
      <c r="C509" s="33"/>
      <c r="D509" s="34"/>
      <c r="E509" s="34"/>
      <c r="F509" s="34"/>
      <c r="G509" s="34"/>
      <c r="H509" s="33"/>
      <c r="I509" s="33"/>
      <c r="J509" s="33"/>
      <c r="K509" s="34"/>
      <c r="L509" s="34"/>
      <c r="M509" s="34"/>
      <c r="N509" s="34"/>
      <c r="O509" s="34"/>
      <c r="P509" s="34"/>
      <c r="Q509" s="34"/>
      <c r="R509" s="34"/>
      <c r="S509" s="34"/>
      <c r="T509" s="34"/>
      <c r="U509" s="34"/>
      <c r="V509" s="34"/>
      <c r="W509" s="34"/>
      <c r="X509" s="34"/>
      <c r="Y509" s="34"/>
      <c r="Z509" s="3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row>
    <row r="510" spans="1:57" ht="15.75" customHeight="1" x14ac:dyDescent="0.2">
      <c r="A510" s="34"/>
      <c r="B510" s="34"/>
      <c r="C510" s="33"/>
      <c r="D510" s="34"/>
      <c r="E510" s="34"/>
      <c r="F510" s="34"/>
      <c r="G510" s="34"/>
      <c r="H510" s="33"/>
      <c r="I510" s="33"/>
      <c r="J510" s="33"/>
      <c r="K510" s="34"/>
      <c r="L510" s="34"/>
      <c r="M510" s="34"/>
      <c r="N510" s="34"/>
      <c r="O510" s="34"/>
      <c r="P510" s="34"/>
      <c r="Q510" s="34"/>
      <c r="R510" s="34"/>
      <c r="S510" s="34"/>
      <c r="T510" s="34"/>
      <c r="U510" s="34"/>
      <c r="V510" s="34"/>
      <c r="W510" s="34"/>
      <c r="X510" s="34"/>
      <c r="Y510" s="34"/>
      <c r="Z510" s="3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row>
    <row r="511" spans="1:57" ht="15.75" customHeight="1" x14ac:dyDescent="0.2">
      <c r="A511" s="34"/>
      <c r="B511" s="34"/>
      <c r="C511" s="33"/>
      <c r="D511" s="34"/>
      <c r="E511" s="34"/>
      <c r="F511" s="34"/>
      <c r="G511" s="34"/>
      <c r="H511" s="33"/>
      <c r="I511" s="33"/>
      <c r="J511" s="33"/>
      <c r="K511" s="34"/>
      <c r="L511" s="34"/>
      <c r="M511" s="34"/>
      <c r="N511" s="34"/>
      <c r="O511" s="34"/>
      <c r="P511" s="34"/>
      <c r="Q511" s="34"/>
      <c r="R511" s="34"/>
      <c r="S511" s="34"/>
      <c r="T511" s="34"/>
      <c r="U511" s="34"/>
      <c r="V511" s="34"/>
      <c r="W511" s="34"/>
      <c r="X511" s="34"/>
      <c r="Y511" s="34"/>
      <c r="Z511" s="3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row>
    <row r="512" spans="1:57" ht="15.75" customHeight="1" x14ac:dyDescent="0.2">
      <c r="A512" s="34"/>
      <c r="B512" s="34"/>
      <c r="C512" s="33"/>
      <c r="D512" s="34"/>
      <c r="E512" s="34"/>
      <c r="F512" s="34"/>
      <c r="G512" s="34"/>
      <c r="H512" s="33"/>
      <c r="I512" s="33"/>
      <c r="J512" s="33"/>
      <c r="K512" s="34"/>
      <c r="L512" s="34"/>
      <c r="M512" s="34"/>
      <c r="N512" s="34"/>
      <c r="O512" s="34"/>
      <c r="P512" s="34"/>
      <c r="Q512" s="34"/>
      <c r="R512" s="34"/>
      <c r="S512" s="34"/>
      <c r="T512" s="34"/>
      <c r="U512" s="34"/>
      <c r="V512" s="34"/>
      <c r="W512" s="34"/>
      <c r="X512" s="34"/>
      <c r="Y512" s="34"/>
      <c r="Z512" s="3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row>
    <row r="513" spans="1:57" ht="15.75" customHeight="1" x14ac:dyDescent="0.2">
      <c r="A513" s="34"/>
      <c r="B513" s="34"/>
      <c r="C513" s="33"/>
      <c r="D513" s="34"/>
      <c r="E513" s="34"/>
      <c r="F513" s="34"/>
      <c r="G513" s="34"/>
      <c r="H513" s="33"/>
      <c r="I513" s="33"/>
      <c r="J513" s="33"/>
      <c r="K513" s="34"/>
      <c r="L513" s="34"/>
      <c r="M513" s="34"/>
      <c r="N513" s="34"/>
      <c r="O513" s="34"/>
      <c r="P513" s="34"/>
      <c r="Q513" s="34"/>
      <c r="R513" s="34"/>
      <c r="S513" s="34"/>
      <c r="T513" s="34"/>
      <c r="U513" s="34"/>
      <c r="V513" s="34"/>
      <c r="W513" s="34"/>
      <c r="X513" s="34"/>
      <c r="Y513" s="34"/>
      <c r="Z513" s="3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row>
    <row r="514" spans="1:57" ht="15.75" customHeight="1" x14ac:dyDescent="0.2">
      <c r="A514" s="34"/>
      <c r="B514" s="34"/>
      <c r="C514" s="33"/>
      <c r="D514" s="34"/>
      <c r="E514" s="34"/>
      <c r="F514" s="34"/>
      <c r="G514" s="34"/>
      <c r="H514" s="33"/>
      <c r="I514" s="33"/>
      <c r="J514" s="33"/>
      <c r="K514" s="34"/>
      <c r="L514" s="34"/>
      <c r="M514" s="34"/>
      <c r="N514" s="34"/>
      <c r="O514" s="34"/>
      <c r="P514" s="34"/>
      <c r="Q514" s="34"/>
      <c r="R514" s="34"/>
      <c r="S514" s="34"/>
      <c r="T514" s="34"/>
      <c r="U514" s="34"/>
      <c r="V514" s="34"/>
      <c r="W514" s="34"/>
      <c r="X514" s="34"/>
      <c r="Y514" s="34"/>
      <c r="Z514" s="3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row>
    <row r="515" spans="1:57" ht="15.75" customHeight="1" x14ac:dyDescent="0.2">
      <c r="A515" s="34"/>
      <c r="B515" s="34"/>
      <c r="C515" s="33"/>
      <c r="D515" s="34"/>
      <c r="E515" s="34"/>
      <c r="F515" s="34"/>
      <c r="G515" s="34"/>
      <c r="H515" s="33"/>
      <c r="I515" s="33"/>
      <c r="J515" s="33"/>
      <c r="K515" s="34"/>
      <c r="L515" s="34"/>
      <c r="M515" s="34"/>
      <c r="N515" s="34"/>
      <c r="O515" s="34"/>
      <c r="P515" s="34"/>
      <c r="Q515" s="34"/>
      <c r="R515" s="34"/>
      <c r="S515" s="34"/>
      <c r="T515" s="34"/>
      <c r="U515" s="34"/>
      <c r="V515" s="34"/>
      <c r="W515" s="34"/>
      <c r="X515" s="34"/>
      <c r="Y515" s="34"/>
      <c r="Z515" s="3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row>
    <row r="516" spans="1:57" ht="15.75" customHeight="1" x14ac:dyDescent="0.2">
      <c r="A516" s="34"/>
      <c r="B516" s="34"/>
      <c r="C516" s="33"/>
      <c r="D516" s="34"/>
      <c r="E516" s="34"/>
      <c r="F516" s="34"/>
      <c r="G516" s="34"/>
      <c r="H516" s="33"/>
      <c r="I516" s="33"/>
      <c r="J516" s="33"/>
      <c r="K516" s="34"/>
      <c r="L516" s="34"/>
      <c r="M516" s="34"/>
      <c r="N516" s="34"/>
      <c r="O516" s="34"/>
      <c r="P516" s="34"/>
      <c r="Q516" s="34"/>
      <c r="R516" s="34"/>
      <c r="S516" s="34"/>
      <c r="T516" s="34"/>
      <c r="U516" s="34"/>
      <c r="V516" s="34"/>
      <c r="W516" s="34"/>
      <c r="X516" s="34"/>
      <c r="Y516" s="34"/>
      <c r="Z516" s="3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row>
    <row r="517" spans="1:57" ht="15.75" customHeight="1" x14ac:dyDescent="0.2">
      <c r="A517" s="34"/>
      <c r="B517" s="34"/>
      <c r="C517" s="33"/>
      <c r="D517" s="34"/>
      <c r="E517" s="34"/>
      <c r="F517" s="34"/>
      <c r="G517" s="34"/>
      <c r="H517" s="33"/>
      <c r="I517" s="33"/>
      <c r="J517" s="33"/>
      <c r="K517" s="34"/>
      <c r="L517" s="34"/>
      <c r="M517" s="34"/>
      <c r="N517" s="34"/>
      <c r="O517" s="34"/>
      <c r="P517" s="34"/>
      <c r="Q517" s="34"/>
      <c r="R517" s="34"/>
      <c r="S517" s="34"/>
      <c r="T517" s="34"/>
      <c r="U517" s="34"/>
      <c r="V517" s="34"/>
      <c r="W517" s="34"/>
      <c r="X517" s="34"/>
      <c r="Y517" s="34"/>
      <c r="Z517" s="3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row>
    <row r="518" spans="1:57" ht="15.75" customHeight="1" x14ac:dyDescent="0.2">
      <c r="A518" s="34"/>
      <c r="B518" s="34"/>
      <c r="C518" s="33"/>
      <c r="D518" s="34"/>
      <c r="E518" s="34"/>
      <c r="F518" s="34"/>
      <c r="G518" s="34"/>
      <c r="H518" s="33"/>
      <c r="I518" s="33"/>
      <c r="J518" s="33"/>
      <c r="K518" s="34"/>
      <c r="L518" s="34"/>
      <c r="M518" s="34"/>
      <c r="N518" s="34"/>
      <c r="O518" s="34"/>
      <c r="P518" s="34"/>
      <c r="Q518" s="34"/>
      <c r="R518" s="34"/>
      <c r="S518" s="34"/>
      <c r="T518" s="34"/>
      <c r="U518" s="34"/>
      <c r="V518" s="34"/>
      <c r="W518" s="34"/>
      <c r="X518" s="34"/>
      <c r="Y518" s="34"/>
      <c r="Z518" s="3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row>
    <row r="519" spans="1:57" ht="15.75" customHeight="1" x14ac:dyDescent="0.2">
      <c r="A519" s="34"/>
      <c r="B519" s="34"/>
      <c r="C519" s="33"/>
      <c r="D519" s="34"/>
      <c r="E519" s="34"/>
      <c r="F519" s="34"/>
      <c r="G519" s="34"/>
      <c r="H519" s="33"/>
      <c r="I519" s="33"/>
      <c r="J519" s="33"/>
      <c r="K519" s="34"/>
      <c r="L519" s="34"/>
      <c r="M519" s="34"/>
      <c r="N519" s="34"/>
      <c r="O519" s="34"/>
      <c r="P519" s="34"/>
      <c r="Q519" s="34"/>
      <c r="R519" s="34"/>
      <c r="S519" s="34"/>
      <c r="T519" s="34"/>
      <c r="U519" s="34"/>
      <c r="V519" s="34"/>
      <c r="W519" s="34"/>
      <c r="X519" s="34"/>
      <c r="Y519" s="34"/>
      <c r="Z519" s="3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row>
    <row r="520" spans="1:57" ht="15.75" customHeight="1" x14ac:dyDescent="0.2">
      <c r="A520" s="34"/>
      <c r="B520" s="34"/>
      <c r="C520" s="33"/>
      <c r="D520" s="34"/>
      <c r="E520" s="34"/>
      <c r="F520" s="34"/>
      <c r="G520" s="34"/>
      <c r="H520" s="33"/>
      <c r="I520" s="33"/>
      <c r="J520" s="33"/>
      <c r="K520" s="34"/>
      <c r="L520" s="34"/>
      <c r="M520" s="34"/>
      <c r="N520" s="34"/>
      <c r="O520" s="34"/>
      <c r="P520" s="34"/>
      <c r="Q520" s="34"/>
      <c r="R520" s="34"/>
      <c r="S520" s="34"/>
      <c r="T520" s="34"/>
      <c r="U520" s="34"/>
      <c r="V520" s="34"/>
      <c r="W520" s="34"/>
      <c r="X520" s="34"/>
      <c r="Y520" s="34"/>
      <c r="Z520" s="3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row>
    <row r="521" spans="1:57" ht="15.75" customHeight="1" x14ac:dyDescent="0.2">
      <c r="A521" s="34"/>
      <c r="B521" s="34"/>
      <c r="C521" s="33"/>
      <c r="D521" s="34"/>
      <c r="E521" s="34"/>
      <c r="F521" s="34"/>
      <c r="G521" s="34"/>
      <c r="H521" s="33"/>
      <c r="I521" s="33"/>
      <c r="J521" s="33"/>
      <c r="K521" s="34"/>
      <c r="L521" s="34"/>
      <c r="M521" s="34"/>
      <c r="N521" s="34"/>
      <c r="O521" s="34"/>
      <c r="P521" s="34"/>
      <c r="Q521" s="34"/>
      <c r="R521" s="34"/>
      <c r="S521" s="34"/>
      <c r="T521" s="34"/>
      <c r="U521" s="34"/>
      <c r="V521" s="34"/>
      <c r="W521" s="34"/>
      <c r="X521" s="34"/>
      <c r="Y521" s="34"/>
      <c r="Z521" s="3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row>
    <row r="522" spans="1:57" ht="15.75" customHeight="1" x14ac:dyDescent="0.2">
      <c r="A522" s="34"/>
      <c r="B522" s="34"/>
      <c r="C522" s="33"/>
      <c r="D522" s="34"/>
      <c r="E522" s="34"/>
      <c r="F522" s="34"/>
      <c r="G522" s="34"/>
      <c r="H522" s="33"/>
      <c r="I522" s="33"/>
      <c r="J522" s="33"/>
      <c r="K522" s="34"/>
      <c r="L522" s="34"/>
      <c r="M522" s="34"/>
      <c r="N522" s="34"/>
      <c r="O522" s="34"/>
      <c r="P522" s="34"/>
      <c r="Q522" s="34"/>
      <c r="R522" s="34"/>
      <c r="S522" s="34"/>
      <c r="T522" s="34"/>
      <c r="U522" s="34"/>
      <c r="V522" s="34"/>
      <c r="W522" s="34"/>
      <c r="X522" s="34"/>
      <c r="Y522" s="34"/>
      <c r="Z522" s="3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row>
    <row r="523" spans="1:57" ht="15.75" customHeight="1" x14ac:dyDescent="0.2">
      <c r="A523" s="34"/>
      <c r="B523" s="34"/>
      <c r="C523" s="33"/>
      <c r="D523" s="34"/>
      <c r="E523" s="34"/>
      <c r="F523" s="34"/>
      <c r="G523" s="34"/>
      <c r="H523" s="33"/>
      <c r="I523" s="33"/>
      <c r="J523" s="33"/>
      <c r="K523" s="34"/>
      <c r="L523" s="34"/>
      <c r="M523" s="34"/>
      <c r="N523" s="34"/>
      <c r="O523" s="34"/>
      <c r="P523" s="34"/>
      <c r="Q523" s="34"/>
      <c r="R523" s="34"/>
      <c r="S523" s="34"/>
      <c r="T523" s="34"/>
      <c r="U523" s="34"/>
      <c r="V523" s="34"/>
      <c r="W523" s="34"/>
      <c r="X523" s="34"/>
      <c r="Y523" s="34"/>
      <c r="Z523" s="3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row>
    <row r="524" spans="1:57" ht="15.75" customHeight="1" x14ac:dyDescent="0.2">
      <c r="A524" s="34"/>
      <c r="B524" s="34"/>
      <c r="C524" s="33"/>
      <c r="D524" s="34"/>
      <c r="E524" s="34"/>
      <c r="F524" s="34"/>
      <c r="G524" s="34"/>
      <c r="H524" s="33"/>
      <c r="I524" s="33"/>
      <c r="J524" s="33"/>
      <c r="K524" s="34"/>
      <c r="L524" s="34"/>
      <c r="M524" s="34"/>
      <c r="N524" s="34"/>
      <c r="O524" s="34"/>
      <c r="P524" s="34"/>
      <c r="Q524" s="34"/>
      <c r="R524" s="34"/>
      <c r="S524" s="34"/>
      <c r="T524" s="34"/>
      <c r="U524" s="34"/>
      <c r="V524" s="34"/>
      <c r="W524" s="34"/>
      <c r="X524" s="34"/>
      <c r="Y524" s="34"/>
      <c r="Z524" s="3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row>
    <row r="525" spans="1:57" ht="15.75" customHeight="1" x14ac:dyDescent="0.2">
      <c r="A525" s="34"/>
      <c r="B525" s="34"/>
      <c r="C525" s="33"/>
      <c r="D525" s="34"/>
      <c r="E525" s="34"/>
      <c r="F525" s="34"/>
      <c r="G525" s="34"/>
      <c r="H525" s="33"/>
      <c r="I525" s="33"/>
      <c r="J525" s="33"/>
      <c r="K525" s="34"/>
      <c r="L525" s="34"/>
      <c r="M525" s="34"/>
      <c r="N525" s="34"/>
      <c r="O525" s="34"/>
      <c r="P525" s="34"/>
      <c r="Q525" s="34"/>
      <c r="R525" s="34"/>
      <c r="S525" s="34"/>
      <c r="T525" s="34"/>
      <c r="U525" s="34"/>
      <c r="V525" s="34"/>
      <c r="W525" s="34"/>
      <c r="X525" s="34"/>
      <c r="Y525" s="34"/>
      <c r="Z525" s="3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row>
    <row r="526" spans="1:57" ht="15.75" customHeight="1" x14ac:dyDescent="0.2">
      <c r="A526" s="34"/>
      <c r="B526" s="34"/>
      <c r="C526" s="33"/>
      <c r="D526" s="34"/>
      <c r="E526" s="34"/>
      <c r="F526" s="34"/>
      <c r="G526" s="34"/>
      <c r="H526" s="33"/>
      <c r="I526" s="33"/>
      <c r="J526" s="33"/>
      <c r="K526" s="34"/>
      <c r="L526" s="34"/>
      <c r="M526" s="34"/>
      <c r="N526" s="34"/>
      <c r="O526" s="34"/>
      <c r="P526" s="34"/>
      <c r="Q526" s="34"/>
      <c r="R526" s="34"/>
      <c r="S526" s="34"/>
      <c r="T526" s="34"/>
      <c r="U526" s="34"/>
      <c r="V526" s="34"/>
      <c r="W526" s="34"/>
      <c r="X526" s="34"/>
      <c r="Y526" s="34"/>
      <c r="Z526" s="3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row>
    <row r="527" spans="1:57" ht="15.75" customHeight="1" x14ac:dyDescent="0.2">
      <c r="A527" s="34"/>
      <c r="B527" s="34"/>
      <c r="C527" s="33"/>
      <c r="D527" s="34"/>
      <c r="E527" s="34"/>
      <c r="F527" s="34"/>
      <c r="G527" s="34"/>
      <c r="H527" s="33"/>
      <c r="I527" s="33"/>
      <c r="J527" s="33"/>
      <c r="K527" s="34"/>
      <c r="L527" s="34"/>
      <c r="M527" s="34"/>
      <c r="N527" s="34"/>
      <c r="O527" s="34"/>
      <c r="P527" s="34"/>
      <c r="Q527" s="34"/>
      <c r="R527" s="34"/>
      <c r="S527" s="34"/>
      <c r="T527" s="34"/>
      <c r="U527" s="34"/>
      <c r="V527" s="34"/>
      <c r="W527" s="34"/>
      <c r="X527" s="34"/>
      <c r="Y527" s="34"/>
      <c r="Z527" s="3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row>
    <row r="528" spans="1:57" ht="15.75" customHeight="1" x14ac:dyDescent="0.2">
      <c r="A528" s="34"/>
      <c r="B528" s="34"/>
      <c r="C528" s="33"/>
      <c r="D528" s="34"/>
      <c r="E528" s="34"/>
      <c r="F528" s="34"/>
      <c r="G528" s="34"/>
      <c r="H528" s="33"/>
      <c r="I528" s="33"/>
      <c r="J528" s="33"/>
      <c r="K528" s="34"/>
      <c r="L528" s="34"/>
      <c r="M528" s="34"/>
      <c r="N528" s="34"/>
      <c r="O528" s="34"/>
      <c r="P528" s="34"/>
      <c r="Q528" s="34"/>
      <c r="R528" s="34"/>
      <c r="S528" s="34"/>
      <c r="T528" s="34"/>
      <c r="U528" s="34"/>
      <c r="V528" s="34"/>
      <c r="W528" s="34"/>
      <c r="X528" s="34"/>
      <c r="Y528" s="34"/>
      <c r="Z528" s="3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row>
    <row r="529" spans="1:57" ht="15.75" customHeight="1" x14ac:dyDescent="0.2">
      <c r="A529" s="34"/>
      <c r="B529" s="34"/>
      <c r="C529" s="33"/>
      <c r="D529" s="34"/>
      <c r="E529" s="34"/>
      <c r="F529" s="34"/>
      <c r="G529" s="34"/>
      <c r="H529" s="33"/>
      <c r="I529" s="33"/>
      <c r="J529" s="33"/>
      <c r="K529" s="34"/>
      <c r="L529" s="34"/>
      <c r="M529" s="34"/>
      <c r="N529" s="34"/>
      <c r="O529" s="34"/>
      <c r="P529" s="34"/>
      <c r="Q529" s="34"/>
      <c r="R529" s="34"/>
      <c r="S529" s="34"/>
      <c r="T529" s="34"/>
      <c r="U529" s="34"/>
      <c r="V529" s="34"/>
      <c r="W529" s="34"/>
      <c r="X529" s="34"/>
      <c r="Y529" s="34"/>
      <c r="Z529" s="3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row>
    <row r="530" spans="1:57" ht="15.75" customHeight="1" x14ac:dyDescent="0.2">
      <c r="A530" s="34"/>
      <c r="B530" s="34"/>
      <c r="C530" s="33"/>
      <c r="D530" s="34"/>
      <c r="E530" s="34"/>
      <c r="F530" s="34"/>
      <c r="G530" s="34"/>
      <c r="H530" s="33"/>
      <c r="I530" s="33"/>
      <c r="J530" s="33"/>
      <c r="K530" s="34"/>
      <c r="L530" s="34"/>
      <c r="M530" s="34"/>
      <c r="N530" s="34"/>
      <c r="O530" s="34"/>
      <c r="P530" s="34"/>
      <c r="Q530" s="34"/>
      <c r="R530" s="34"/>
      <c r="S530" s="34"/>
      <c r="T530" s="34"/>
      <c r="U530" s="34"/>
      <c r="V530" s="34"/>
      <c r="W530" s="34"/>
      <c r="X530" s="34"/>
      <c r="Y530" s="34"/>
      <c r="Z530" s="3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row>
    <row r="531" spans="1:57" ht="15.75" customHeight="1" x14ac:dyDescent="0.2">
      <c r="A531" s="34"/>
      <c r="B531" s="34"/>
      <c r="C531" s="33"/>
      <c r="D531" s="34"/>
      <c r="E531" s="34"/>
      <c r="F531" s="34"/>
      <c r="G531" s="34"/>
      <c r="H531" s="33"/>
      <c r="I531" s="33"/>
      <c r="J531" s="33"/>
      <c r="K531" s="34"/>
      <c r="L531" s="34"/>
      <c r="M531" s="34"/>
      <c r="N531" s="34"/>
      <c r="O531" s="34"/>
      <c r="P531" s="34"/>
      <c r="Q531" s="34"/>
      <c r="R531" s="34"/>
      <c r="S531" s="34"/>
      <c r="T531" s="34"/>
      <c r="U531" s="34"/>
      <c r="V531" s="34"/>
      <c r="W531" s="34"/>
      <c r="X531" s="34"/>
      <c r="Y531" s="34"/>
      <c r="Z531" s="3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row>
    <row r="532" spans="1:57" ht="15.75" customHeight="1" x14ac:dyDescent="0.2">
      <c r="A532" s="34"/>
      <c r="B532" s="34"/>
      <c r="C532" s="33"/>
      <c r="D532" s="34"/>
      <c r="E532" s="34"/>
      <c r="F532" s="34"/>
      <c r="G532" s="34"/>
      <c r="H532" s="33"/>
      <c r="I532" s="33"/>
      <c r="J532" s="33"/>
      <c r="K532" s="34"/>
      <c r="L532" s="34"/>
      <c r="M532" s="34"/>
      <c r="N532" s="34"/>
      <c r="O532" s="34"/>
      <c r="P532" s="34"/>
      <c r="Q532" s="34"/>
      <c r="R532" s="34"/>
      <c r="S532" s="34"/>
      <c r="T532" s="34"/>
      <c r="U532" s="34"/>
      <c r="V532" s="34"/>
      <c r="W532" s="34"/>
      <c r="X532" s="34"/>
      <c r="Y532" s="34"/>
      <c r="Z532" s="3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row>
    <row r="533" spans="1:57" ht="15.75" customHeight="1" x14ac:dyDescent="0.2">
      <c r="A533" s="34"/>
      <c r="B533" s="34"/>
      <c r="C533" s="33"/>
      <c r="D533" s="34"/>
      <c r="E533" s="34"/>
      <c r="F533" s="34"/>
      <c r="G533" s="34"/>
      <c r="H533" s="33"/>
      <c r="I533" s="33"/>
      <c r="J533" s="33"/>
      <c r="K533" s="34"/>
      <c r="L533" s="34"/>
      <c r="M533" s="34"/>
      <c r="N533" s="34"/>
      <c r="O533" s="34"/>
      <c r="P533" s="34"/>
      <c r="Q533" s="34"/>
      <c r="R533" s="34"/>
      <c r="S533" s="34"/>
      <c r="T533" s="34"/>
      <c r="U533" s="34"/>
      <c r="V533" s="34"/>
      <c r="W533" s="34"/>
      <c r="X533" s="34"/>
      <c r="Y533" s="34"/>
      <c r="Z533" s="3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row>
    <row r="534" spans="1:57" ht="15.75" customHeight="1" x14ac:dyDescent="0.2">
      <c r="A534" s="34"/>
      <c r="B534" s="34"/>
      <c r="C534" s="33"/>
      <c r="D534" s="34"/>
      <c r="E534" s="34"/>
      <c r="F534" s="34"/>
      <c r="G534" s="34"/>
      <c r="H534" s="33"/>
      <c r="I534" s="33"/>
      <c r="J534" s="33"/>
      <c r="K534" s="34"/>
      <c r="L534" s="34"/>
      <c r="M534" s="34"/>
      <c r="N534" s="34"/>
      <c r="O534" s="34"/>
      <c r="P534" s="34"/>
      <c r="Q534" s="34"/>
      <c r="R534" s="34"/>
      <c r="S534" s="34"/>
      <c r="T534" s="34"/>
      <c r="U534" s="34"/>
      <c r="V534" s="34"/>
      <c r="W534" s="34"/>
      <c r="X534" s="34"/>
      <c r="Y534" s="34"/>
      <c r="Z534" s="3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row>
    <row r="535" spans="1:57" ht="15.75" customHeight="1" x14ac:dyDescent="0.2">
      <c r="A535" s="34"/>
      <c r="B535" s="34"/>
      <c r="C535" s="33"/>
      <c r="D535" s="34"/>
      <c r="E535" s="34"/>
      <c r="F535" s="34"/>
      <c r="G535" s="34"/>
      <c r="H535" s="33"/>
      <c r="I535" s="33"/>
      <c r="J535" s="33"/>
      <c r="K535" s="34"/>
      <c r="L535" s="34"/>
      <c r="M535" s="34"/>
      <c r="N535" s="34"/>
      <c r="O535" s="34"/>
      <c r="P535" s="34"/>
      <c r="Q535" s="34"/>
      <c r="R535" s="34"/>
      <c r="S535" s="34"/>
      <c r="T535" s="34"/>
      <c r="U535" s="34"/>
      <c r="V535" s="34"/>
      <c r="W535" s="34"/>
      <c r="X535" s="34"/>
      <c r="Y535" s="34"/>
      <c r="Z535" s="3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row>
    <row r="536" spans="1:57" ht="15.75" customHeight="1" x14ac:dyDescent="0.2">
      <c r="A536" s="34"/>
      <c r="B536" s="34"/>
      <c r="C536" s="33"/>
      <c r="D536" s="34"/>
      <c r="E536" s="34"/>
      <c r="F536" s="34"/>
      <c r="G536" s="34"/>
      <c r="H536" s="33"/>
      <c r="I536" s="33"/>
      <c r="J536" s="33"/>
      <c r="K536" s="34"/>
      <c r="L536" s="34"/>
      <c r="M536" s="34"/>
      <c r="N536" s="34"/>
      <c r="O536" s="34"/>
      <c r="P536" s="34"/>
      <c r="Q536" s="34"/>
      <c r="R536" s="34"/>
      <c r="S536" s="34"/>
      <c r="T536" s="34"/>
      <c r="U536" s="34"/>
      <c r="V536" s="34"/>
      <c r="W536" s="34"/>
      <c r="X536" s="34"/>
      <c r="Y536" s="34"/>
      <c r="Z536" s="3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row>
    <row r="537" spans="1:57" ht="15.75" customHeight="1" x14ac:dyDescent="0.2">
      <c r="A537" s="34"/>
      <c r="B537" s="34"/>
      <c r="C537" s="33"/>
      <c r="D537" s="34"/>
      <c r="E537" s="34"/>
      <c r="F537" s="34"/>
      <c r="G537" s="34"/>
      <c r="H537" s="33"/>
      <c r="I537" s="33"/>
      <c r="J537" s="33"/>
      <c r="K537" s="34"/>
      <c r="L537" s="34"/>
      <c r="M537" s="34"/>
      <c r="N537" s="34"/>
      <c r="O537" s="34"/>
      <c r="P537" s="34"/>
      <c r="Q537" s="34"/>
      <c r="R537" s="34"/>
      <c r="S537" s="34"/>
      <c r="T537" s="34"/>
      <c r="U537" s="34"/>
      <c r="V537" s="34"/>
      <c r="W537" s="34"/>
      <c r="X537" s="34"/>
      <c r="Y537" s="34"/>
      <c r="Z537" s="3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row>
    <row r="538" spans="1:57" ht="15.75" customHeight="1" x14ac:dyDescent="0.2">
      <c r="A538" s="34"/>
      <c r="B538" s="34"/>
      <c r="C538" s="33"/>
      <c r="D538" s="34"/>
      <c r="E538" s="34"/>
      <c r="F538" s="34"/>
      <c r="G538" s="34"/>
      <c r="H538" s="33"/>
      <c r="I538" s="33"/>
      <c r="J538" s="33"/>
      <c r="K538" s="34"/>
      <c r="L538" s="34"/>
      <c r="M538" s="34"/>
      <c r="N538" s="34"/>
      <c r="O538" s="34"/>
      <c r="P538" s="34"/>
      <c r="Q538" s="34"/>
      <c r="R538" s="34"/>
      <c r="S538" s="34"/>
      <c r="T538" s="34"/>
      <c r="U538" s="34"/>
      <c r="V538" s="34"/>
      <c r="W538" s="34"/>
      <c r="X538" s="34"/>
      <c r="Y538" s="34"/>
      <c r="Z538" s="3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row>
    <row r="539" spans="1:57" ht="15.75" customHeight="1" x14ac:dyDescent="0.2">
      <c r="A539" s="34"/>
      <c r="B539" s="34"/>
      <c r="C539" s="33"/>
      <c r="D539" s="34"/>
      <c r="E539" s="34"/>
      <c r="F539" s="34"/>
      <c r="G539" s="34"/>
      <c r="H539" s="33"/>
      <c r="I539" s="33"/>
      <c r="J539" s="33"/>
      <c r="K539" s="34"/>
      <c r="L539" s="34"/>
      <c r="M539" s="34"/>
      <c r="N539" s="34"/>
      <c r="O539" s="34"/>
      <c r="P539" s="34"/>
      <c r="Q539" s="34"/>
      <c r="R539" s="34"/>
      <c r="S539" s="34"/>
      <c r="T539" s="34"/>
      <c r="U539" s="34"/>
      <c r="V539" s="34"/>
      <c r="W539" s="34"/>
      <c r="X539" s="34"/>
      <c r="Y539" s="34"/>
      <c r="Z539" s="3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row>
    <row r="540" spans="1:57" ht="15.75" customHeight="1" x14ac:dyDescent="0.2">
      <c r="A540" s="34"/>
      <c r="B540" s="34"/>
      <c r="C540" s="33"/>
      <c r="D540" s="34"/>
      <c r="E540" s="34"/>
      <c r="F540" s="34"/>
      <c r="G540" s="34"/>
      <c r="H540" s="33"/>
      <c r="I540" s="33"/>
      <c r="J540" s="33"/>
      <c r="K540" s="34"/>
      <c r="L540" s="34"/>
      <c r="M540" s="34"/>
      <c r="N540" s="34"/>
      <c r="O540" s="34"/>
      <c r="P540" s="34"/>
      <c r="Q540" s="34"/>
      <c r="R540" s="34"/>
      <c r="S540" s="34"/>
      <c r="T540" s="34"/>
      <c r="U540" s="34"/>
      <c r="V540" s="34"/>
      <c r="W540" s="34"/>
      <c r="X540" s="34"/>
      <c r="Y540" s="34"/>
      <c r="Z540" s="3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row>
    <row r="541" spans="1:57" ht="15.75" customHeight="1" x14ac:dyDescent="0.2">
      <c r="A541" s="34"/>
      <c r="B541" s="34"/>
      <c r="C541" s="33"/>
      <c r="D541" s="34"/>
      <c r="E541" s="34"/>
      <c r="F541" s="34"/>
      <c r="G541" s="34"/>
      <c r="H541" s="33"/>
      <c r="I541" s="33"/>
      <c r="J541" s="33"/>
      <c r="K541" s="34"/>
      <c r="L541" s="34"/>
      <c r="M541" s="34"/>
      <c r="N541" s="34"/>
      <c r="O541" s="34"/>
      <c r="P541" s="34"/>
      <c r="Q541" s="34"/>
      <c r="R541" s="34"/>
      <c r="S541" s="34"/>
      <c r="T541" s="34"/>
      <c r="U541" s="34"/>
      <c r="V541" s="34"/>
      <c r="W541" s="34"/>
      <c r="X541" s="34"/>
      <c r="Y541" s="34"/>
      <c r="Z541" s="3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row>
    <row r="542" spans="1:57" ht="15.75" customHeight="1" x14ac:dyDescent="0.2">
      <c r="A542" s="34"/>
      <c r="B542" s="34"/>
      <c r="C542" s="33"/>
      <c r="D542" s="34"/>
      <c r="E542" s="34"/>
      <c r="F542" s="34"/>
      <c r="G542" s="34"/>
      <c r="H542" s="33"/>
      <c r="I542" s="33"/>
      <c r="J542" s="33"/>
      <c r="K542" s="34"/>
      <c r="L542" s="34"/>
      <c r="M542" s="34"/>
      <c r="N542" s="34"/>
      <c r="O542" s="34"/>
      <c r="P542" s="34"/>
      <c r="Q542" s="34"/>
      <c r="R542" s="34"/>
      <c r="S542" s="34"/>
      <c r="T542" s="34"/>
      <c r="U542" s="34"/>
      <c r="V542" s="34"/>
      <c r="W542" s="34"/>
      <c r="X542" s="34"/>
      <c r="Y542" s="34"/>
      <c r="Z542" s="3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row>
    <row r="543" spans="1:57" ht="15.75" customHeight="1" x14ac:dyDescent="0.2">
      <c r="A543" s="34"/>
      <c r="B543" s="34"/>
      <c r="C543" s="33"/>
      <c r="D543" s="34"/>
      <c r="E543" s="34"/>
      <c r="F543" s="34"/>
      <c r="G543" s="34"/>
      <c r="H543" s="33"/>
      <c r="I543" s="33"/>
      <c r="J543" s="33"/>
      <c r="K543" s="34"/>
      <c r="L543" s="34"/>
      <c r="M543" s="34"/>
      <c r="N543" s="34"/>
      <c r="O543" s="34"/>
      <c r="P543" s="34"/>
      <c r="Q543" s="34"/>
      <c r="R543" s="34"/>
      <c r="S543" s="34"/>
      <c r="T543" s="34"/>
      <c r="U543" s="34"/>
      <c r="V543" s="34"/>
      <c r="W543" s="34"/>
      <c r="X543" s="34"/>
      <c r="Y543" s="34"/>
      <c r="Z543" s="3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row>
    <row r="544" spans="1:57" ht="15.75" customHeight="1" x14ac:dyDescent="0.2">
      <c r="A544" s="34"/>
      <c r="B544" s="34"/>
      <c r="C544" s="33"/>
      <c r="D544" s="34"/>
      <c r="E544" s="34"/>
      <c r="F544" s="34"/>
      <c r="G544" s="34"/>
      <c r="H544" s="33"/>
      <c r="I544" s="33"/>
      <c r="J544" s="33"/>
      <c r="K544" s="34"/>
      <c r="L544" s="34"/>
      <c r="M544" s="34"/>
      <c r="N544" s="34"/>
      <c r="O544" s="34"/>
      <c r="P544" s="34"/>
      <c r="Q544" s="34"/>
      <c r="R544" s="34"/>
      <c r="S544" s="34"/>
      <c r="T544" s="34"/>
      <c r="U544" s="34"/>
      <c r="V544" s="34"/>
      <c r="W544" s="34"/>
      <c r="X544" s="34"/>
      <c r="Y544" s="34"/>
      <c r="Z544" s="3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row>
    <row r="545" spans="1:57" ht="15.75" customHeight="1" x14ac:dyDescent="0.2">
      <c r="A545" s="34"/>
      <c r="B545" s="34"/>
      <c r="C545" s="33"/>
      <c r="D545" s="34"/>
      <c r="E545" s="34"/>
      <c r="F545" s="34"/>
      <c r="G545" s="34"/>
      <c r="H545" s="33"/>
      <c r="I545" s="33"/>
      <c r="J545" s="33"/>
      <c r="K545" s="34"/>
      <c r="L545" s="34"/>
      <c r="M545" s="34"/>
      <c r="N545" s="34"/>
      <c r="O545" s="34"/>
      <c r="P545" s="34"/>
      <c r="Q545" s="34"/>
      <c r="R545" s="34"/>
      <c r="S545" s="34"/>
      <c r="T545" s="34"/>
      <c r="U545" s="34"/>
      <c r="V545" s="34"/>
      <c r="W545" s="34"/>
      <c r="X545" s="34"/>
      <c r="Y545" s="34"/>
      <c r="Z545" s="3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row>
    <row r="546" spans="1:57" ht="15.75" customHeight="1" x14ac:dyDescent="0.2">
      <c r="A546" s="34"/>
      <c r="B546" s="34"/>
      <c r="C546" s="33"/>
      <c r="D546" s="34"/>
      <c r="E546" s="34"/>
      <c r="F546" s="34"/>
      <c r="G546" s="34"/>
      <c r="H546" s="33"/>
      <c r="I546" s="33"/>
      <c r="J546" s="33"/>
      <c r="K546" s="34"/>
      <c r="L546" s="34"/>
      <c r="M546" s="34"/>
      <c r="N546" s="34"/>
      <c r="O546" s="34"/>
      <c r="P546" s="34"/>
      <c r="Q546" s="34"/>
      <c r="R546" s="34"/>
      <c r="S546" s="34"/>
      <c r="T546" s="34"/>
      <c r="U546" s="34"/>
      <c r="V546" s="34"/>
      <c r="W546" s="34"/>
      <c r="X546" s="34"/>
      <c r="Y546" s="34"/>
      <c r="Z546" s="3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row>
    <row r="547" spans="1:57" ht="15.75" customHeight="1" x14ac:dyDescent="0.2">
      <c r="A547" s="34"/>
      <c r="B547" s="34"/>
      <c r="C547" s="33"/>
      <c r="D547" s="34"/>
      <c r="E547" s="34"/>
      <c r="F547" s="34"/>
      <c r="G547" s="34"/>
      <c r="H547" s="33"/>
      <c r="I547" s="33"/>
      <c r="J547" s="33"/>
      <c r="K547" s="34"/>
      <c r="L547" s="34"/>
      <c r="M547" s="34"/>
      <c r="N547" s="34"/>
      <c r="O547" s="34"/>
      <c r="P547" s="34"/>
      <c r="Q547" s="34"/>
      <c r="R547" s="34"/>
      <c r="S547" s="34"/>
      <c r="T547" s="34"/>
      <c r="U547" s="34"/>
      <c r="V547" s="34"/>
      <c r="W547" s="34"/>
      <c r="X547" s="34"/>
      <c r="Y547" s="34"/>
      <c r="Z547" s="3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row>
    <row r="548" spans="1:57" ht="15.75" customHeight="1" x14ac:dyDescent="0.2">
      <c r="A548" s="34"/>
      <c r="B548" s="34"/>
      <c r="C548" s="33"/>
      <c r="D548" s="34"/>
      <c r="E548" s="34"/>
      <c r="F548" s="34"/>
      <c r="G548" s="34"/>
      <c r="H548" s="33"/>
      <c r="I548" s="33"/>
      <c r="J548" s="33"/>
      <c r="K548" s="34"/>
      <c r="L548" s="34"/>
      <c r="M548" s="34"/>
      <c r="N548" s="34"/>
      <c r="O548" s="34"/>
      <c r="P548" s="34"/>
      <c r="Q548" s="34"/>
      <c r="R548" s="34"/>
      <c r="S548" s="34"/>
      <c r="T548" s="34"/>
      <c r="U548" s="34"/>
      <c r="V548" s="34"/>
      <c r="W548" s="34"/>
      <c r="X548" s="34"/>
      <c r="Y548" s="34"/>
      <c r="Z548" s="3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row>
    <row r="549" spans="1:57" ht="15.75" customHeight="1" x14ac:dyDescent="0.2">
      <c r="A549" s="34"/>
      <c r="B549" s="34"/>
      <c r="C549" s="33"/>
      <c r="D549" s="34"/>
      <c r="E549" s="34"/>
      <c r="F549" s="34"/>
      <c r="G549" s="34"/>
      <c r="H549" s="33"/>
      <c r="I549" s="33"/>
      <c r="J549" s="33"/>
      <c r="K549" s="34"/>
      <c r="L549" s="34"/>
      <c r="M549" s="34"/>
      <c r="N549" s="34"/>
      <c r="O549" s="34"/>
      <c r="P549" s="34"/>
      <c r="Q549" s="34"/>
      <c r="R549" s="34"/>
      <c r="S549" s="34"/>
      <c r="T549" s="34"/>
      <c r="U549" s="34"/>
      <c r="V549" s="34"/>
      <c r="W549" s="34"/>
      <c r="X549" s="34"/>
      <c r="Y549" s="34"/>
      <c r="Z549" s="3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row>
    <row r="550" spans="1:57" ht="15.75" customHeight="1" x14ac:dyDescent="0.2">
      <c r="A550" s="34"/>
      <c r="B550" s="34"/>
      <c r="C550" s="33"/>
      <c r="D550" s="34"/>
      <c r="E550" s="34"/>
      <c r="F550" s="34"/>
      <c r="G550" s="34"/>
      <c r="H550" s="33"/>
      <c r="I550" s="33"/>
      <c r="J550" s="33"/>
      <c r="K550" s="34"/>
      <c r="L550" s="34"/>
      <c r="M550" s="34"/>
      <c r="N550" s="34"/>
      <c r="O550" s="34"/>
      <c r="P550" s="34"/>
      <c r="Q550" s="34"/>
      <c r="R550" s="34"/>
      <c r="S550" s="34"/>
      <c r="T550" s="34"/>
      <c r="U550" s="34"/>
      <c r="V550" s="34"/>
      <c r="W550" s="34"/>
      <c r="X550" s="34"/>
      <c r="Y550" s="34"/>
      <c r="Z550" s="3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row>
    <row r="551" spans="1:57" ht="15.75" customHeight="1" x14ac:dyDescent="0.2">
      <c r="A551" s="34"/>
      <c r="B551" s="34"/>
      <c r="C551" s="33"/>
      <c r="D551" s="34"/>
      <c r="E551" s="34"/>
      <c r="F551" s="34"/>
      <c r="G551" s="34"/>
      <c r="H551" s="33"/>
      <c r="I551" s="33"/>
      <c r="J551" s="33"/>
      <c r="K551" s="34"/>
      <c r="L551" s="34"/>
      <c r="M551" s="34"/>
      <c r="N551" s="34"/>
      <c r="O551" s="34"/>
      <c r="P551" s="34"/>
      <c r="Q551" s="34"/>
      <c r="R551" s="34"/>
      <c r="S551" s="34"/>
      <c r="T551" s="34"/>
      <c r="U551" s="34"/>
      <c r="V551" s="34"/>
      <c r="W551" s="34"/>
      <c r="X551" s="34"/>
      <c r="Y551" s="34"/>
      <c r="Z551" s="3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row>
    <row r="552" spans="1:57" ht="15.75" customHeight="1" x14ac:dyDescent="0.2">
      <c r="A552" s="34"/>
      <c r="B552" s="34"/>
      <c r="C552" s="33"/>
      <c r="D552" s="34"/>
      <c r="E552" s="34"/>
      <c r="F552" s="34"/>
      <c r="G552" s="34"/>
      <c r="H552" s="33"/>
      <c r="I552" s="33"/>
      <c r="J552" s="33"/>
      <c r="K552" s="34"/>
      <c r="L552" s="34"/>
      <c r="M552" s="34"/>
      <c r="N552" s="34"/>
      <c r="O552" s="34"/>
      <c r="P552" s="34"/>
      <c r="Q552" s="34"/>
      <c r="R552" s="34"/>
      <c r="S552" s="34"/>
      <c r="T552" s="34"/>
      <c r="U552" s="34"/>
      <c r="V552" s="34"/>
      <c r="W552" s="34"/>
      <c r="X552" s="34"/>
      <c r="Y552" s="34"/>
      <c r="Z552" s="3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row>
    <row r="553" spans="1:57" ht="15.75" customHeight="1" x14ac:dyDescent="0.2">
      <c r="A553" s="34"/>
      <c r="B553" s="34"/>
      <c r="C553" s="33"/>
      <c r="D553" s="34"/>
      <c r="E553" s="34"/>
      <c r="F553" s="34"/>
      <c r="G553" s="34"/>
      <c r="H553" s="33"/>
      <c r="I553" s="33"/>
      <c r="J553" s="33"/>
      <c r="K553" s="34"/>
      <c r="L553" s="34"/>
      <c r="M553" s="34"/>
      <c r="N553" s="34"/>
      <c r="O553" s="34"/>
      <c r="P553" s="34"/>
      <c r="Q553" s="34"/>
      <c r="R553" s="34"/>
      <c r="S553" s="34"/>
      <c r="T553" s="34"/>
      <c r="U553" s="34"/>
      <c r="V553" s="34"/>
      <c r="W553" s="34"/>
      <c r="X553" s="34"/>
      <c r="Y553" s="34"/>
      <c r="Z553" s="3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row>
    <row r="554" spans="1:57" ht="15.75" customHeight="1" x14ac:dyDescent="0.2">
      <c r="A554" s="34"/>
      <c r="B554" s="34"/>
      <c r="C554" s="33"/>
      <c r="D554" s="34"/>
      <c r="E554" s="34"/>
      <c r="F554" s="34"/>
      <c r="G554" s="34"/>
      <c r="H554" s="33"/>
      <c r="I554" s="33"/>
      <c r="J554" s="33"/>
      <c r="K554" s="34"/>
      <c r="L554" s="34"/>
      <c r="M554" s="34"/>
      <c r="N554" s="34"/>
      <c r="O554" s="34"/>
      <c r="P554" s="34"/>
      <c r="Q554" s="34"/>
      <c r="R554" s="34"/>
      <c r="S554" s="34"/>
      <c r="T554" s="34"/>
      <c r="U554" s="34"/>
      <c r="V554" s="34"/>
      <c r="W554" s="34"/>
      <c r="X554" s="34"/>
      <c r="Y554" s="34"/>
      <c r="Z554" s="3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row>
    <row r="555" spans="1:57" ht="15.75" customHeight="1" x14ac:dyDescent="0.2">
      <c r="A555" s="34"/>
      <c r="B555" s="34"/>
      <c r="C555" s="33"/>
      <c r="D555" s="34"/>
      <c r="E555" s="34"/>
      <c r="F555" s="34"/>
      <c r="G555" s="34"/>
      <c r="H555" s="33"/>
      <c r="I555" s="33"/>
      <c r="J555" s="33"/>
      <c r="K555" s="34"/>
      <c r="L555" s="34"/>
      <c r="M555" s="34"/>
      <c r="N555" s="34"/>
      <c r="O555" s="34"/>
      <c r="P555" s="34"/>
      <c r="Q555" s="34"/>
      <c r="R555" s="34"/>
      <c r="S555" s="34"/>
      <c r="T555" s="34"/>
      <c r="U555" s="34"/>
      <c r="V555" s="34"/>
      <c r="W555" s="34"/>
      <c r="X555" s="34"/>
      <c r="Y555" s="34"/>
      <c r="Z555" s="3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row>
    <row r="556" spans="1:57" ht="15.75" customHeight="1" x14ac:dyDescent="0.2">
      <c r="A556" s="34"/>
      <c r="B556" s="34"/>
      <c r="C556" s="33"/>
      <c r="D556" s="34"/>
      <c r="E556" s="34"/>
      <c r="F556" s="34"/>
      <c r="G556" s="34"/>
      <c r="H556" s="33"/>
      <c r="I556" s="33"/>
      <c r="J556" s="33"/>
      <c r="K556" s="34"/>
      <c r="L556" s="34"/>
      <c r="M556" s="34"/>
      <c r="N556" s="34"/>
      <c r="O556" s="34"/>
      <c r="P556" s="34"/>
      <c r="Q556" s="34"/>
      <c r="R556" s="34"/>
      <c r="S556" s="34"/>
      <c r="T556" s="34"/>
      <c r="U556" s="34"/>
      <c r="V556" s="34"/>
      <c r="W556" s="34"/>
      <c r="X556" s="34"/>
      <c r="Y556" s="34"/>
      <c r="Z556" s="3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row>
    <row r="557" spans="1:57" ht="15.75" customHeight="1" x14ac:dyDescent="0.2">
      <c r="A557" s="34"/>
      <c r="B557" s="34"/>
      <c r="C557" s="33"/>
      <c r="D557" s="34"/>
      <c r="E557" s="34"/>
      <c r="F557" s="34"/>
      <c r="G557" s="34"/>
      <c r="H557" s="33"/>
      <c r="I557" s="33"/>
      <c r="J557" s="33"/>
      <c r="K557" s="34"/>
      <c r="L557" s="34"/>
      <c r="M557" s="34"/>
      <c r="N557" s="34"/>
      <c r="O557" s="34"/>
      <c r="P557" s="34"/>
      <c r="Q557" s="34"/>
      <c r="R557" s="34"/>
      <c r="S557" s="34"/>
      <c r="T557" s="34"/>
      <c r="U557" s="34"/>
      <c r="V557" s="34"/>
      <c r="W557" s="34"/>
      <c r="X557" s="34"/>
      <c r="Y557" s="34"/>
      <c r="Z557" s="3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row>
    <row r="558" spans="1:57" ht="15.75" customHeight="1" x14ac:dyDescent="0.2">
      <c r="A558" s="34"/>
      <c r="B558" s="34"/>
      <c r="C558" s="33"/>
      <c r="D558" s="34"/>
      <c r="E558" s="34"/>
      <c r="F558" s="34"/>
      <c r="G558" s="34"/>
      <c r="H558" s="33"/>
      <c r="I558" s="33"/>
      <c r="J558" s="33"/>
      <c r="K558" s="34"/>
      <c r="L558" s="34"/>
      <c r="M558" s="34"/>
      <c r="N558" s="34"/>
      <c r="O558" s="34"/>
      <c r="P558" s="34"/>
      <c r="Q558" s="34"/>
      <c r="R558" s="34"/>
      <c r="S558" s="34"/>
      <c r="T558" s="34"/>
      <c r="U558" s="34"/>
      <c r="V558" s="34"/>
      <c r="W558" s="34"/>
      <c r="X558" s="34"/>
      <c r="Y558" s="34"/>
      <c r="Z558" s="3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row>
    <row r="559" spans="1:57" ht="15.75" customHeight="1" x14ac:dyDescent="0.2">
      <c r="A559" s="34"/>
      <c r="B559" s="34"/>
      <c r="C559" s="33"/>
      <c r="D559" s="34"/>
      <c r="E559" s="34"/>
      <c r="F559" s="34"/>
      <c r="G559" s="34"/>
      <c r="H559" s="33"/>
      <c r="I559" s="33"/>
      <c r="J559" s="33"/>
      <c r="K559" s="34"/>
      <c r="L559" s="34"/>
      <c r="M559" s="34"/>
      <c r="N559" s="34"/>
      <c r="O559" s="34"/>
      <c r="P559" s="34"/>
      <c r="Q559" s="34"/>
      <c r="R559" s="34"/>
      <c r="S559" s="34"/>
      <c r="T559" s="34"/>
      <c r="U559" s="34"/>
      <c r="V559" s="34"/>
      <c r="W559" s="34"/>
      <c r="X559" s="34"/>
      <c r="Y559" s="34"/>
      <c r="Z559" s="3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row>
    <row r="560" spans="1:57" ht="15.75" customHeight="1" x14ac:dyDescent="0.2">
      <c r="A560" s="34"/>
      <c r="B560" s="34"/>
      <c r="C560" s="33"/>
      <c r="D560" s="34"/>
      <c r="E560" s="34"/>
      <c r="F560" s="34"/>
      <c r="G560" s="34"/>
      <c r="H560" s="33"/>
      <c r="I560" s="33"/>
      <c r="J560" s="33"/>
      <c r="K560" s="34"/>
      <c r="L560" s="34"/>
      <c r="M560" s="34"/>
      <c r="N560" s="34"/>
      <c r="O560" s="34"/>
      <c r="P560" s="34"/>
      <c r="Q560" s="34"/>
      <c r="R560" s="34"/>
      <c r="S560" s="34"/>
      <c r="T560" s="34"/>
      <c r="U560" s="34"/>
      <c r="V560" s="34"/>
      <c r="W560" s="34"/>
      <c r="X560" s="34"/>
      <c r="Y560" s="34"/>
      <c r="Z560" s="3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row>
    <row r="561" spans="1:57" ht="15.75" customHeight="1" x14ac:dyDescent="0.2">
      <c r="A561" s="34"/>
      <c r="B561" s="34"/>
      <c r="C561" s="33"/>
      <c r="D561" s="34"/>
      <c r="E561" s="34"/>
      <c r="F561" s="34"/>
      <c r="G561" s="34"/>
      <c r="H561" s="33"/>
      <c r="I561" s="33"/>
      <c r="J561" s="33"/>
      <c r="K561" s="34"/>
      <c r="L561" s="34"/>
      <c r="M561" s="34"/>
      <c r="N561" s="34"/>
      <c r="O561" s="34"/>
      <c r="P561" s="34"/>
      <c r="Q561" s="34"/>
      <c r="R561" s="34"/>
      <c r="S561" s="34"/>
      <c r="T561" s="34"/>
      <c r="U561" s="34"/>
      <c r="V561" s="34"/>
      <c r="W561" s="34"/>
      <c r="X561" s="34"/>
      <c r="Y561" s="34"/>
      <c r="Z561" s="3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row>
    <row r="562" spans="1:57" ht="15.75" customHeight="1" x14ac:dyDescent="0.2">
      <c r="A562" s="34"/>
      <c r="B562" s="34"/>
      <c r="C562" s="33"/>
      <c r="D562" s="34"/>
      <c r="E562" s="34"/>
      <c r="F562" s="34"/>
      <c r="G562" s="34"/>
      <c r="H562" s="33"/>
      <c r="I562" s="33"/>
      <c r="J562" s="33"/>
      <c r="K562" s="34"/>
      <c r="L562" s="34"/>
      <c r="M562" s="34"/>
      <c r="N562" s="34"/>
      <c r="O562" s="34"/>
      <c r="P562" s="34"/>
      <c r="Q562" s="34"/>
      <c r="R562" s="34"/>
      <c r="S562" s="34"/>
      <c r="T562" s="34"/>
      <c r="U562" s="34"/>
      <c r="V562" s="34"/>
      <c r="W562" s="34"/>
      <c r="X562" s="34"/>
      <c r="Y562" s="34"/>
      <c r="Z562" s="3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row>
    <row r="563" spans="1:57" ht="15.75" customHeight="1" x14ac:dyDescent="0.2">
      <c r="A563" s="34"/>
      <c r="B563" s="34"/>
      <c r="C563" s="33"/>
      <c r="D563" s="34"/>
      <c r="E563" s="34"/>
      <c r="F563" s="34"/>
      <c r="G563" s="34"/>
      <c r="H563" s="33"/>
      <c r="I563" s="33"/>
      <c r="J563" s="33"/>
      <c r="K563" s="34"/>
      <c r="L563" s="34"/>
      <c r="M563" s="34"/>
      <c r="N563" s="34"/>
      <c r="O563" s="34"/>
      <c r="P563" s="34"/>
      <c r="Q563" s="34"/>
      <c r="R563" s="34"/>
      <c r="S563" s="34"/>
      <c r="T563" s="34"/>
      <c r="U563" s="34"/>
      <c r="V563" s="34"/>
      <c r="W563" s="34"/>
      <c r="X563" s="34"/>
      <c r="Y563" s="34"/>
      <c r="Z563" s="3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row>
    <row r="564" spans="1:57" ht="15.75" customHeight="1" x14ac:dyDescent="0.2">
      <c r="A564" s="34"/>
      <c r="B564" s="34"/>
      <c r="C564" s="33"/>
      <c r="D564" s="34"/>
      <c r="E564" s="34"/>
      <c r="F564" s="34"/>
      <c r="G564" s="34"/>
      <c r="H564" s="33"/>
      <c r="I564" s="33"/>
      <c r="J564" s="33"/>
      <c r="K564" s="34"/>
      <c r="L564" s="34"/>
      <c r="M564" s="34"/>
      <c r="N564" s="34"/>
      <c r="O564" s="34"/>
      <c r="P564" s="34"/>
      <c r="Q564" s="34"/>
      <c r="R564" s="34"/>
      <c r="S564" s="34"/>
      <c r="T564" s="34"/>
      <c r="U564" s="34"/>
      <c r="V564" s="34"/>
      <c r="W564" s="34"/>
      <c r="X564" s="34"/>
      <c r="Y564" s="34"/>
      <c r="Z564" s="3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row>
    <row r="565" spans="1:57" ht="15.75" customHeight="1" x14ac:dyDescent="0.2">
      <c r="A565" s="34"/>
      <c r="B565" s="34"/>
      <c r="C565" s="33"/>
      <c r="D565" s="34"/>
      <c r="E565" s="34"/>
      <c r="F565" s="34"/>
      <c r="G565" s="34"/>
      <c r="H565" s="33"/>
      <c r="I565" s="33"/>
      <c r="J565" s="33"/>
      <c r="K565" s="34"/>
      <c r="L565" s="34"/>
      <c r="M565" s="34"/>
      <c r="N565" s="34"/>
      <c r="O565" s="34"/>
      <c r="P565" s="34"/>
      <c r="Q565" s="34"/>
      <c r="R565" s="34"/>
      <c r="S565" s="34"/>
      <c r="T565" s="34"/>
      <c r="U565" s="34"/>
      <c r="V565" s="34"/>
      <c r="W565" s="34"/>
      <c r="X565" s="34"/>
      <c r="Y565" s="34"/>
      <c r="Z565" s="3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row>
    <row r="566" spans="1:57" ht="15.75" customHeight="1" x14ac:dyDescent="0.2">
      <c r="A566" s="34"/>
      <c r="B566" s="34"/>
      <c r="C566" s="33"/>
      <c r="D566" s="34"/>
      <c r="E566" s="34"/>
      <c r="F566" s="34"/>
      <c r="G566" s="34"/>
      <c r="H566" s="33"/>
      <c r="I566" s="33"/>
      <c r="J566" s="33"/>
      <c r="K566" s="34"/>
      <c r="L566" s="34"/>
      <c r="M566" s="34"/>
      <c r="N566" s="34"/>
      <c r="O566" s="34"/>
      <c r="P566" s="34"/>
      <c r="Q566" s="34"/>
      <c r="R566" s="34"/>
      <c r="S566" s="34"/>
      <c r="T566" s="34"/>
      <c r="U566" s="34"/>
      <c r="V566" s="34"/>
      <c r="W566" s="34"/>
      <c r="X566" s="34"/>
      <c r="Y566" s="34"/>
      <c r="Z566" s="3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row>
    <row r="567" spans="1:57" ht="15.75" customHeight="1" x14ac:dyDescent="0.2">
      <c r="A567" s="34"/>
      <c r="B567" s="34"/>
      <c r="C567" s="33"/>
      <c r="D567" s="34"/>
      <c r="E567" s="34"/>
      <c r="F567" s="34"/>
      <c r="G567" s="34"/>
      <c r="H567" s="33"/>
      <c r="I567" s="33"/>
      <c r="J567" s="33"/>
      <c r="K567" s="34"/>
      <c r="L567" s="34"/>
      <c r="M567" s="34"/>
      <c r="N567" s="34"/>
      <c r="O567" s="34"/>
      <c r="P567" s="34"/>
      <c r="Q567" s="34"/>
      <c r="R567" s="34"/>
      <c r="S567" s="34"/>
      <c r="T567" s="34"/>
      <c r="U567" s="34"/>
      <c r="V567" s="34"/>
      <c r="W567" s="34"/>
      <c r="X567" s="34"/>
      <c r="Y567" s="34"/>
      <c r="Z567" s="3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row>
    <row r="568" spans="1:57" ht="15.75" customHeight="1" x14ac:dyDescent="0.2">
      <c r="A568" s="34"/>
      <c r="B568" s="34"/>
      <c r="C568" s="33"/>
      <c r="D568" s="34"/>
      <c r="E568" s="34"/>
      <c r="F568" s="34"/>
      <c r="G568" s="34"/>
      <c r="H568" s="33"/>
      <c r="I568" s="33"/>
      <c r="J568" s="33"/>
      <c r="K568" s="34"/>
      <c r="L568" s="34"/>
      <c r="M568" s="34"/>
      <c r="N568" s="34"/>
      <c r="O568" s="34"/>
      <c r="P568" s="34"/>
      <c r="Q568" s="34"/>
      <c r="R568" s="34"/>
      <c r="S568" s="34"/>
      <c r="T568" s="34"/>
      <c r="U568" s="34"/>
      <c r="V568" s="34"/>
      <c r="W568" s="34"/>
      <c r="X568" s="34"/>
      <c r="Y568" s="34"/>
      <c r="Z568" s="3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row>
    <row r="569" spans="1:57" ht="15.75" customHeight="1" x14ac:dyDescent="0.2">
      <c r="A569" s="34"/>
      <c r="B569" s="34"/>
      <c r="C569" s="33"/>
      <c r="D569" s="34"/>
      <c r="E569" s="34"/>
      <c r="F569" s="34"/>
      <c r="G569" s="34"/>
      <c r="H569" s="33"/>
      <c r="I569" s="33"/>
      <c r="J569" s="33"/>
      <c r="K569" s="34"/>
      <c r="L569" s="34"/>
      <c r="M569" s="34"/>
      <c r="N569" s="34"/>
      <c r="O569" s="34"/>
      <c r="P569" s="34"/>
      <c r="Q569" s="34"/>
      <c r="R569" s="34"/>
      <c r="S569" s="34"/>
      <c r="T569" s="34"/>
      <c r="U569" s="34"/>
      <c r="V569" s="34"/>
      <c r="W569" s="34"/>
      <c r="X569" s="34"/>
      <c r="Y569" s="34"/>
      <c r="Z569" s="3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row>
    <row r="570" spans="1:57" ht="15.75" customHeight="1" x14ac:dyDescent="0.2">
      <c r="A570" s="34"/>
      <c r="B570" s="34"/>
      <c r="C570" s="33"/>
      <c r="D570" s="34"/>
      <c r="E570" s="34"/>
      <c r="F570" s="34"/>
      <c r="G570" s="34"/>
      <c r="H570" s="33"/>
      <c r="I570" s="33"/>
      <c r="J570" s="33"/>
      <c r="K570" s="34"/>
      <c r="L570" s="34"/>
      <c r="M570" s="34"/>
      <c r="N570" s="34"/>
      <c r="O570" s="34"/>
      <c r="P570" s="34"/>
      <c r="Q570" s="34"/>
      <c r="R570" s="34"/>
      <c r="S570" s="34"/>
      <c r="T570" s="34"/>
      <c r="U570" s="34"/>
      <c r="V570" s="34"/>
      <c r="W570" s="34"/>
      <c r="X570" s="34"/>
      <c r="Y570" s="34"/>
      <c r="Z570" s="3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row>
    <row r="571" spans="1:57" ht="15.75" customHeight="1" x14ac:dyDescent="0.2">
      <c r="A571" s="34"/>
      <c r="B571" s="34"/>
      <c r="C571" s="33"/>
      <c r="D571" s="34"/>
      <c r="E571" s="34"/>
      <c r="F571" s="34"/>
      <c r="G571" s="34"/>
      <c r="H571" s="33"/>
      <c r="I571" s="33"/>
      <c r="J571" s="33"/>
      <c r="K571" s="34"/>
      <c r="L571" s="34"/>
      <c r="M571" s="34"/>
      <c r="N571" s="34"/>
      <c r="O571" s="34"/>
      <c r="P571" s="34"/>
      <c r="Q571" s="34"/>
      <c r="R571" s="34"/>
      <c r="S571" s="34"/>
      <c r="T571" s="34"/>
      <c r="U571" s="34"/>
      <c r="V571" s="34"/>
      <c r="W571" s="34"/>
      <c r="X571" s="34"/>
      <c r="Y571" s="34"/>
      <c r="Z571" s="3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row>
    <row r="572" spans="1:57" ht="15.75" customHeight="1" x14ac:dyDescent="0.2">
      <c r="A572" s="34"/>
      <c r="B572" s="34"/>
      <c r="C572" s="33"/>
      <c r="D572" s="34"/>
      <c r="E572" s="34"/>
      <c r="F572" s="34"/>
      <c r="G572" s="34"/>
      <c r="H572" s="33"/>
      <c r="I572" s="33"/>
      <c r="J572" s="33"/>
      <c r="K572" s="34"/>
      <c r="L572" s="34"/>
      <c r="M572" s="34"/>
      <c r="N572" s="34"/>
      <c r="O572" s="34"/>
      <c r="P572" s="34"/>
      <c r="Q572" s="34"/>
      <c r="R572" s="34"/>
      <c r="S572" s="34"/>
      <c r="T572" s="34"/>
      <c r="U572" s="34"/>
      <c r="V572" s="34"/>
      <c r="W572" s="34"/>
      <c r="X572" s="34"/>
      <c r="Y572" s="34"/>
      <c r="Z572" s="3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row>
    <row r="573" spans="1:57" ht="15.75" customHeight="1" x14ac:dyDescent="0.2">
      <c r="A573" s="34"/>
      <c r="B573" s="34"/>
      <c r="C573" s="33"/>
      <c r="D573" s="34"/>
      <c r="E573" s="34"/>
      <c r="F573" s="34"/>
      <c r="G573" s="34"/>
      <c r="H573" s="33"/>
      <c r="I573" s="33"/>
      <c r="J573" s="33"/>
      <c r="K573" s="34"/>
      <c r="L573" s="34"/>
      <c r="M573" s="34"/>
      <c r="N573" s="34"/>
      <c r="O573" s="34"/>
      <c r="P573" s="34"/>
      <c r="Q573" s="34"/>
      <c r="R573" s="34"/>
      <c r="S573" s="34"/>
      <c r="T573" s="34"/>
      <c r="U573" s="34"/>
      <c r="V573" s="34"/>
      <c r="W573" s="34"/>
      <c r="X573" s="34"/>
      <c r="Y573" s="34"/>
      <c r="Z573" s="3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row>
    <row r="574" spans="1:57" ht="15.75" customHeight="1" x14ac:dyDescent="0.2">
      <c r="A574" s="34"/>
      <c r="B574" s="34"/>
      <c r="C574" s="33"/>
      <c r="D574" s="34"/>
      <c r="E574" s="34"/>
      <c r="F574" s="34"/>
      <c r="G574" s="34"/>
      <c r="H574" s="33"/>
      <c r="I574" s="33"/>
      <c r="J574" s="33"/>
      <c r="K574" s="34"/>
      <c r="L574" s="34"/>
      <c r="M574" s="34"/>
      <c r="N574" s="34"/>
      <c r="O574" s="34"/>
      <c r="P574" s="34"/>
      <c r="Q574" s="34"/>
      <c r="R574" s="34"/>
      <c r="S574" s="34"/>
      <c r="T574" s="34"/>
      <c r="U574" s="34"/>
      <c r="V574" s="34"/>
      <c r="W574" s="34"/>
      <c r="X574" s="34"/>
      <c r="Y574" s="34"/>
      <c r="Z574" s="3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row>
    <row r="575" spans="1:57" ht="15.75" customHeight="1" x14ac:dyDescent="0.2">
      <c r="A575" s="34"/>
      <c r="B575" s="34"/>
      <c r="C575" s="33"/>
      <c r="D575" s="34"/>
      <c r="E575" s="34"/>
      <c r="F575" s="34"/>
      <c r="G575" s="34"/>
      <c r="H575" s="33"/>
      <c r="I575" s="33"/>
      <c r="J575" s="33"/>
      <c r="K575" s="34"/>
      <c r="L575" s="34"/>
      <c r="M575" s="34"/>
      <c r="N575" s="34"/>
      <c r="O575" s="34"/>
      <c r="P575" s="34"/>
      <c r="Q575" s="34"/>
      <c r="R575" s="34"/>
      <c r="S575" s="34"/>
      <c r="T575" s="34"/>
      <c r="U575" s="34"/>
      <c r="V575" s="34"/>
      <c r="W575" s="34"/>
      <c r="X575" s="34"/>
      <c r="Y575" s="34"/>
      <c r="Z575" s="3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row>
    <row r="576" spans="1:57" ht="15.75" customHeight="1" x14ac:dyDescent="0.2">
      <c r="A576" s="34"/>
      <c r="B576" s="34"/>
      <c r="C576" s="33"/>
      <c r="D576" s="34"/>
      <c r="E576" s="34"/>
      <c r="F576" s="34"/>
      <c r="G576" s="34"/>
      <c r="H576" s="33"/>
      <c r="I576" s="33"/>
      <c r="J576" s="33"/>
      <c r="K576" s="34"/>
      <c r="L576" s="34"/>
      <c r="M576" s="34"/>
      <c r="N576" s="34"/>
      <c r="O576" s="34"/>
      <c r="P576" s="34"/>
      <c r="Q576" s="34"/>
      <c r="R576" s="34"/>
      <c r="S576" s="34"/>
      <c r="T576" s="34"/>
      <c r="U576" s="34"/>
      <c r="V576" s="34"/>
      <c r="W576" s="34"/>
      <c r="X576" s="34"/>
      <c r="Y576" s="34"/>
      <c r="Z576" s="3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row>
    <row r="577" spans="1:57" ht="15.75" customHeight="1" x14ac:dyDescent="0.2">
      <c r="A577" s="34"/>
      <c r="B577" s="34"/>
      <c r="C577" s="33"/>
      <c r="D577" s="34"/>
      <c r="E577" s="34"/>
      <c r="F577" s="34"/>
      <c r="G577" s="34"/>
      <c r="H577" s="33"/>
      <c r="I577" s="33"/>
      <c r="J577" s="33"/>
      <c r="K577" s="34"/>
      <c r="L577" s="34"/>
      <c r="M577" s="34"/>
      <c r="N577" s="34"/>
      <c r="O577" s="34"/>
      <c r="P577" s="34"/>
      <c r="Q577" s="34"/>
      <c r="R577" s="34"/>
      <c r="S577" s="34"/>
      <c r="T577" s="34"/>
      <c r="U577" s="34"/>
      <c r="V577" s="34"/>
      <c r="W577" s="34"/>
      <c r="X577" s="34"/>
      <c r="Y577" s="34"/>
      <c r="Z577" s="3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row>
    <row r="578" spans="1:57" ht="15.75" customHeight="1" x14ac:dyDescent="0.2">
      <c r="A578" s="34"/>
      <c r="B578" s="34"/>
      <c r="C578" s="33"/>
      <c r="D578" s="34"/>
      <c r="E578" s="34"/>
      <c r="F578" s="34"/>
      <c r="G578" s="34"/>
      <c r="H578" s="33"/>
      <c r="I578" s="33"/>
      <c r="J578" s="33"/>
      <c r="K578" s="34"/>
      <c r="L578" s="34"/>
      <c r="M578" s="34"/>
      <c r="N578" s="34"/>
      <c r="O578" s="34"/>
      <c r="P578" s="34"/>
      <c r="Q578" s="34"/>
      <c r="R578" s="34"/>
      <c r="S578" s="34"/>
      <c r="T578" s="34"/>
      <c r="U578" s="34"/>
      <c r="V578" s="34"/>
      <c r="W578" s="34"/>
      <c r="X578" s="34"/>
      <c r="Y578" s="34"/>
      <c r="Z578" s="3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row>
    <row r="579" spans="1:57" ht="15.75" customHeight="1" x14ac:dyDescent="0.2">
      <c r="A579" s="34"/>
      <c r="B579" s="34"/>
      <c r="C579" s="33"/>
      <c r="D579" s="34"/>
      <c r="E579" s="34"/>
      <c r="F579" s="34"/>
      <c r="G579" s="34"/>
      <c r="H579" s="33"/>
      <c r="I579" s="33"/>
      <c r="J579" s="33"/>
      <c r="K579" s="34"/>
      <c r="L579" s="34"/>
      <c r="M579" s="34"/>
      <c r="N579" s="34"/>
      <c r="O579" s="34"/>
      <c r="P579" s="34"/>
      <c r="Q579" s="34"/>
      <c r="R579" s="34"/>
      <c r="S579" s="34"/>
      <c r="T579" s="34"/>
      <c r="U579" s="34"/>
      <c r="V579" s="34"/>
      <c r="W579" s="34"/>
      <c r="X579" s="34"/>
      <c r="Y579" s="34"/>
      <c r="Z579" s="3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row>
    <row r="580" spans="1:57" ht="15.75" customHeight="1" x14ac:dyDescent="0.2">
      <c r="A580" s="34"/>
      <c r="B580" s="34"/>
      <c r="C580" s="33"/>
      <c r="D580" s="34"/>
      <c r="E580" s="34"/>
      <c r="F580" s="34"/>
      <c r="G580" s="34"/>
      <c r="H580" s="33"/>
      <c r="I580" s="33"/>
      <c r="J580" s="33"/>
      <c r="K580" s="34"/>
      <c r="L580" s="34"/>
      <c r="M580" s="34"/>
      <c r="N580" s="34"/>
      <c r="O580" s="34"/>
      <c r="P580" s="34"/>
      <c r="Q580" s="34"/>
      <c r="R580" s="34"/>
      <c r="S580" s="34"/>
      <c r="T580" s="34"/>
      <c r="U580" s="34"/>
      <c r="V580" s="34"/>
      <c r="W580" s="34"/>
      <c r="X580" s="34"/>
      <c r="Y580" s="34"/>
      <c r="Z580" s="3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row>
    <row r="581" spans="1:57" ht="15.75" customHeight="1" x14ac:dyDescent="0.2">
      <c r="A581" s="34"/>
      <c r="B581" s="34"/>
      <c r="C581" s="33"/>
      <c r="D581" s="34"/>
      <c r="E581" s="34"/>
      <c r="F581" s="34"/>
      <c r="G581" s="34"/>
      <c r="H581" s="33"/>
      <c r="I581" s="33"/>
      <c r="J581" s="33"/>
      <c r="K581" s="34"/>
      <c r="L581" s="34"/>
      <c r="M581" s="34"/>
      <c r="N581" s="34"/>
      <c r="O581" s="34"/>
      <c r="P581" s="34"/>
      <c r="Q581" s="34"/>
      <c r="R581" s="34"/>
      <c r="S581" s="34"/>
      <c r="T581" s="34"/>
      <c r="U581" s="34"/>
      <c r="V581" s="34"/>
      <c r="W581" s="34"/>
      <c r="X581" s="34"/>
      <c r="Y581" s="34"/>
      <c r="Z581" s="3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row>
    <row r="582" spans="1:57" ht="15.75" customHeight="1" x14ac:dyDescent="0.2">
      <c r="A582" s="34"/>
      <c r="B582" s="34"/>
      <c r="C582" s="33"/>
      <c r="D582" s="34"/>
      <c r="E582" s="34"/>
      <c r="F582" s="34"/>
      <c r="G582" s="34"/>
      <c r="H582" s="33"/>
      <c r="I582" s="33"/>
      <c r="J582" s="33"/>
      <c r="K582" s="34"/>
      <c r="L582" s="34"/>
      <c r="M582" s="34"/>
      <c r="N582" s="34"/>
      <c r="O582" s="34"/>
      <c r="P582" s="34"/>
      <c r="Q582" s="34"/>
      <c r="R582" s="34"/>
      <c r="S582" s="34"/>
      <c r="T582" s="34"/>
      <c r="U582" s="34"/>
      <c r="V582" s="34"/>
      <c r="W582" s="34"/>
      <c r="X582" s="34"/>
      <c r="Y582" s="34"/>
      <c r="Z582" s="3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row>
    <row r="583" spans="1:57" ht="15.75" customHeight="1" x14ac:dyDescent="0.2">
      <c r="A583" s="34"/>
      <c r="B583" s="34"/>
      <c r="C583" s="33"/>
      <c r="D583" s="34"/>
      <c r="E583" s="34"/>
      <c r="F583" s="34"/>
      <c r="G583" s="34"/>
      <c r="H583" s="33"/>
      <c r="I583" s="33"/>
      <c r="J583" s="33"/>
      <c r="K583" s="34"/>
      <c r="L583" s="34"/>
      <c r="M583" s="34"/>
      <c r="N583" s="34"/>
      <c r="O583" s="34"/>
      <c r="P583" s="34"/>
      <c r="Q583" s="34"/>
      <c r="R583" s="34"/>
      <c r="S583" s="34"/>
      <c r="T583" s="34"/>
      <c r="U583" s="34"/>
      <c r="V583" s="34"/>
      <c r="W583" s="34"/>
      <c r="X583" s="34"/>
      <c r="Y583" s="34"/>
      <c r="Z583" s="3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row>
    <row r="584" spans="1:57" ht="15.75" customHeight="1" x14ac:dyDescent="0.2">
      <c r="A584" s="34"/>
      <c r="B584" s="34"/>
      <c r="C584" s="33"/>
      <c r="D584" s="34"/>
      <c r="E584" s="34"/>
      <c r="F584" s="34"/>
      <c r="G584" s="34"/>
      <c r="H584" s="33"/>
      <c r="I584" s="33"/>
      <c r="J584" s="33"/>
      <c r="K584" s="34"/>
      <c r="L584" s="34"/>
      <c r="M584" s="34"/>
      <c r="N584" s="34"/>
      <c r="O584" s="34"/>
      <c r="P584" s="34"/>
      <c r="Q584" s="34"/>
      <c r="R584" s="34"/>
      <c r="S584" s="34"/>
      <c r="T584" s="34"/>
      <c r="U584" s="34"/>
      <c r="V584" s="34"/>
      <c r="W584" s="34"/>
      <c r="X584" s="34"/>
      <c r="Y584" s="34"/>
      <c r="Z584" s="3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row>
    <row r="585" spans="1:57" ht="15.75" customHeight="1" x14ac:dyDescent="0.2">
      <c r="A585" s="34"/>
      <c r="B585" s="34"/>
      <c r="C585" s="33"/>
      <c r="D585" s="34"/>
      <c r="E585" s="34"/>
      <c r="F585" s="34"/>
      <c r="G585" s="34"/>
      <c r="H585" s="33"/>
      <c r="I585" s="33"/>
      <c r="J585" s="33"/>
      <c r="K585" s="34"/>
      <c r="L585" s="34"/>
      <c r="M585" s="34"/>
      <c r="N585" s="34"/>
      <c r="O585" s="34"/>
      <c r="P585" s="34"/>
      <c r="Q585" s="34"/>
      <c r="R585" s="34"/>
      <c r="S585" s="34"/>
      <c r="T585" s="34"/>
      <c r="U585" s="34"/>
      <c r="V585" s="34"/>
      <c r="W585" s="34"/>
      <c r="X585" s="34"/>
      <c r="Y585" s="34"/>
      <c r="Z585" s="3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row>
    <row r="586" spans="1:57" ht="15.75" customHeight="1" x14ac:dyDescent="0.2">
      <c r="A586" s="34"/>
      <c r="B586" s="34"/>
      <c r="C586" s="33"/>
      <c r="D586" s="34"/>
      <c r="E586" s="34"/>
      <c r="F586" s="34"/>
      <c r="G586" s="34"/>
      <c r="H586" s="33"/>
      <c r="I586" s="33"/>
      <c r="J586" s="33"/>
      <c r="K586" s="34"/>
      <c r="L586" s="34"/>
      <c r="M586" s="34"/>
      <c r="N586" s="34"/>
      <c r="O586" s="34"/>
      <c r="P586" s="34"/>
      <c r="Q586" s="34"/>
      <c r="R586" s="34"/>
      <c r="S586" s="34"/>
      <c r="T586" s="34"/>
      <c r="U586" s="34"/>
      <c r="V586" s="34"/>
      <c r="W586" s="34"/>
      <c r="X586" s="34"/>
      <c r="Y586" s="34"/>
      <c r="Z586" s="3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row>
    <row r="587" spans="1:57" ht="15.75" customHeight="1" x14ac:dyDescent="0.2">
      <c r="A587" s="34"/>
      <c r="B587" s="34"/>
      <c r="C587" s="33"/>
      <c r="D587" s="34"/>
      <c r="E587" s="34"/>
      <c r="F587" s="34"/>
      <c r="G587" s="34"/>
      <c r="H587" s="33"/>
      <c r="I587" s="33"/>
      <c r="J587" s="33"/>
      <c r="K587" s="34"/>
      <c r="L587" s="34"/>
      <c r="M587" s="34"/>
      <c r="N587" s="34"/>
      <c r="O587" s="34"/>
      <c r="P587" s="34"/>
      <c r="Q587" s="34"/>
      <c r="R587" s="34"/>
      <c r="S587" s="34"/>
      <c r="T587" s="34"/>
      <c r="U587" s="34"/>
      <c r="V587" s="34"/>
      <c r="W587" s="34"/>
      <c r="X587" s="34"/>
      <c r="Y587" s="34"/>
      <c r="Z587" s="3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row>
    <row r="588" spans="1:57" ht="15.75" customHeight="1" x14ac:dyDescent="0.2">
      <c r="A588" s="34"/>
      <c r="B588" s="34"/>
      <c r="C588" s="33"/>
      <c r="D588" s="34"/>
      <c r="E588" s="34"/>
      <c r="F588" s="34"/>
      <c r="G588" s="34"/>
      <c r="H588" s="33"/>
      <c r="I588" s="33"/>
      <c r="J588" s="33"/>
      <c r="K588" s="34"/>
      <c r="L588" s="34"/>
      <c r="M588" s="34"/>
      <c r="N588" s="34"/>
      <c r="O588" s="34"/>
      <c r="P588" s="34"/>
      <c r="Q588" s="34"/>
      <c r="R588" s="34"/>
      <c r="S588" s="34"/>
      <c r="T588" s="34"/>
      <c r="U588" s="34"/>
      <c r="V588" s="34"/>
      <c r="W588" s="34"/>
      <c r="X588" s="34"/>
      <c r="Y588" s="34"/>
      <c r="Z588" s="3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row>
    <row r="589" spans="1:57" ht="15.75" customHeight="1" x14ac:dyDescent="0.2">
      <c r="A589" s="34"/>
      <c r="B589" s="34"/>
      <c r="C589" s="33"/>
      <c r="D589" s="34"/>
      <c r="E589" s="34"/>
      <c r="F589" s="34"/>
      <c r="G589" s="34"/>
      <c r="H589" s="33"/>
      <c r="I589" s="33"/>
      <c r="J589" s="33"/>
      <c r="K589" s="34"/>
      <c r="L589" s="34"/>
      <c r="M589" s="34"/>
      <c r="N589" s="34"/>
      <c r="O589" s="34"/>
      <c r="P589" s="34"/>
      <c r="Q589" s="34"/>
      <c r="R589" s="34"/>
      <c r="S589" s="34"/>
      <c r="T589" s="34"/>
      <c r="U589" s="34"/>
      <c r="V589" s="34"/>
      <c r="W589" s="34"/>
      <c r="X589" s="34"/>
      <c r="Y589" s="34"/>
      <c r="Z589" s="3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row>
    <row r="590" spans="1:57" ht="15.75" customHeight="1" x14ac:dyDescent="0.2">
      <c r="A590" s="34"/>
      <c r="B590" s="34"/>
      <c r="C590" s="33"/>
      <c r="D590" s="34"/>
      <c r="E590" s="34"/>
      <c r="F590" s="34"/>
      <c r="G590" s="34"/>
      <c r="H590" s="33"/>
      <c r="I590" s="33"/>
      <c r="J590" s="33"/>
      <c r="K590" s="34"/>
      <c r="L590" s="34"/>
      <c r="M590" s="34"/>
      <c r="N590" s="34"/>
      <c r="O590" s="34"/>
      <c r="P590" s="34"/>
      <c r="Q590" s="34"/>
      <c r="R590" s="34"/>
      <c r="S590" s="34"/>
      <c r="T590" s="34"/>
      <c r="U590" s="34"/>
      <c r="V590" s="34"/>
      <c r="W590" s="34"/>
      <c r="X590" s="34"/>
      <c r="Y590" s="34"/>
      <c r="Z590" s="3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row>
    <row r="591" spans="1:57" ht="15.75" customHeight="1" x14ac:dyDescent="0.2">
      <c r="A591" s="34"/>
      <c r="B591" s="34"/>
      <c r="C591" s="33"/>
      <c r="D591" s="34"/>
      <c r="E591" s="34"/>
      <c r="F591" s="34"/>
      <c r="G591" s="34"/>
      <c r="H591" s="33"/>
      <c r="I591" s="33"/>
      <c r="J591" s="33"/>
      <c r="K591" s="34"/>
      <c r="L591" s="34"/>
      <c r="M591" s="34"/>
      <c r="N591" s="34"/>
      <c r="O591" s="34"/>
      <c r="P591" s="34"/>
      <c r="Q591" s="34"/>
      <c r="R591" s="34"/>
      <c r="S591" s="34"/>
      <c r="T591" s="34"/>
      <c r="U591" s="34"/>
      <c r="V591" s="34"/>
      <c r="W591" s="34"/>
      <c r="X591" s="34"/>
      <c r="Y591" s="34"/>
      <c r="Z591" s="3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row>
    <row r="592" spans="1:57" ht="15.75" customHeight="1" x14ac:dyDescent="0.2">
      <c r="A592" s="34"/>
      <c r="B592" s="34"/>
      <c r="C592" s="33"/>
      <c r="D592" s="34"/>
      <c r="E592" s="34"/>
      <c r="F592" s="34"/>
      <c r="G592" s="34"/>
      <c r="H592" s="33"/>
      <c r="I592" s="33"/>
      <c r="J592" s="33"/>
      <c r="K592" s="34"/>
      <c r="L592" s="34"/>
      <c r="M592" s="34"/>
      <c r="N592" s="34"/>
      <c r="O592" s="34"/>
      <c r="P592" s="34"/>
      <c r="Q592" s="34"/>
      <c r="R592" s="34"/>
      <c r="S592" s="34"/>
      <c r="T592" s="34"/>
      <c r="U592" s="34"/>
      <c r="V592" s="34"/>
      <c r="W592" s="34"/>
      <c r="X592" s="34"/>
      <c r="Y592" s="34"/>
      <c r="Z592" s="3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row>
    <row r="593" spans="1:57" ht="15.75" customHeight="1" x14ac:dyDescent="0.2">
      <c r="A593" s="34"/>
      <c r="B593" s="34"/>
      <c r="C593" s="33"/>
      <c r="D593" s="34"/>
      <c r="E593" s="34"/>
      <c r="F593" s="34"/>
      <c r="G593" s="34"/>
      <c r="H593" s="33"/>
      <c r="I593" s="33"/>
      <c r="J593" s="33"/>
      <c r="K593" s="34"/>
      <c r="L593" s="34"/>
      <c r="M593" s="34"/>
      <c r="N593" s="34"/>
      <c r="O593" s="34"/>
      <c r="P593" s="34"/>
      <c r="Q593" s="34"/>
      <c r="R593" s="34"/>
      <c r="S593" s="34"/>
      <c r="T593" s="34"/>
      <c r="U593" s="34"/>
      <c r="V593" s="34"/>
      <c r="W593" s="34"/>
      <c r="X593" s="34"/>
      <c r="Y593" s="34"/>
      <c r="Z593" s="3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row>
    <row r="594" spans="1:57" ht="15.75" customHeight="1" x14ac:dyDescent="0.2">
      <c r="A594" s="34"/>
      <c r="B594" s="34"/>
      <c r="C594" s="33"/>
      <c r="D594" s="34"/>
      <c r="E594" s="34"/>
      <c r="F594" s="34"/>
      <c r="G594" s="34"/>
      <c r="H594" s="33"/>
      <c r="I594" s="33"/>
      <c r="J594" s="33"/>
      <c r="K594" s="34"/>
      <c r="L594" s="34"/>
      <c r="M594" s="34"/>
      <c r="N594" s="34"/>
      <c r="O594" s="34"/>
      <c r="P594" s="34"/>
      <c r="Q594" s="34"/>
      <c r="R594" s="34"/>
      <c r="S594" s="34"/>
      <c r="T594" s="34"/>
      <c r="U594" s="34"/>
      <c r="V594" s="34"/>
      <c r="W594" s="34"/>
      <c r="X594" s="34"/>
      <c r="Y594" s="34"/>
      <c r="Z594" s="3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row>
    <row r="595" spans="1:57" ht="15.75" customHeight="1" x14ac:dyDescent="0.2">
      <c r="A595" s="34"/>
      <c r="B595" s="34"/>
      <c r="C595" s="33"/>
      <c r="D595" s="34"/>
      <c r="E595" s="34"/>
      <c r="F595" s="34"/>
      <c r="G595" s="34"/>
      <c r="H595" s="33"/>
      <c r="I595" s="33"/>
      <c r="J595" s="33"/>
      <c r="K595" s="34"/>
      <c r="L595" s="34"/>
      <c r="M595" s="34"/>
      <c r="N595" s="34"/>
      <c r="O595" s="34"/>
      <c r="P595" s="34"/>
      <c r="Q595" s="34"/>
      <c r="R595" s="34"/>
      <c r="S595" s="34"/>
      <c r="T595" s="34"/>
      <c r="U595" s="34"/>
      <c r="V595" s="34"/>
      <c r="W595" s="34"/>
      <c r="X595" s="34"/>
      <c r="Y595" s="34"/>
      <c r="Z595" s="3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row>
    <row r="596" spans="1:57" ht="15.75" customHeight="1" x14ac:dyDescent="0.2">
      <c r="A596" s="34"/>
      <c r="B596" s="34"/>
      <c r="C596" s="33"/>
      <c r="D596" s="34"/>
      <c r="E596" s="34"/>
      <c r="F596" s="34"/>
      <c r="G596" s="34"/>
      <c r="H596" s="33"/>
      <c r="I596" s="33"/>
      <c r="J596" s="33"/>
      <c r="K596" s="34"/>
      <c r="L596" s="34"/>
      <c r="M596" s="34"/>
      <c r="N596" s="34"/>
      <c r="O596" s="34"/>
      <c r="P596" s="34"/>
      <c r="Q596" s="34"/>
      <c r="R596" s="34"/>
      <c r="S596" s="34"/>
      <c r="T596" s="34"/>
      <c r="U596" s="34"/>
      <c r="V596" s="34"/>
      <c r="W596" s="34"/>
      <c r="X596" s="34"/>
      <c r="Y596" s="34"/>
      <c r="Z596" s="3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row>
    <row r="597" spans="1:57" ht="15.75" customHeight="1" x14ac:dyDescent="0.2">
      <c r="A597" s="34"/>
      <c r="B597" s="34"/>
      <c r="C597" s="33"/>
      <c r="D597" s="34"/>
      <c r="E597" s="34"/>
      <c r="F597" s="34"/>
      <c r="G597" s="34"/>
      <c r="H597" s="33"/>
      <c r="I597" s="33"/>
      <c r="J597" s="33"/>
      <c r="K597" s="34"/>
      <c r="L597" s="34"/>
      <c r="M597" s="34"/>
      <c r="N597" s="34"/>
      <c r="O597" s="34"/>
      <c r="P597" s="34"/>
      <c r="Q597" s="34"/>
      <c r="R597" s="34"/>
      <c r="S597" s="34"/>
      <c r="T597" s="34"/>
      <c r="U597" s="34"/>
      <c r="V597" s="34"/>
      <c r="W597" s="34"/>
      <c r="X597" s="34"/>
      <c r="Y597" s="34"/>
      <c r="Z597" s="3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row>
    <row r="598" spans="1:57" ht="15.75" customHeight="1" x14ac:dyDescent="0.2">
      <c r="A598" s="34"/>
      <c r="B598" s="34"/>
      <c r="C598" s="33"/>
      <c r="D598" s="34"/>
      <c r="E598" s="34"/>
      <c r="F598" s="34"/>
      <c r="G598" s="34"/>
      <c r="H598" s="33"/>
      <c r="I598" s="33"/>
      <c r="J598" s="33"/>
      <c r="K598" s="34"/>
      <c r="L598" s="34"/>
      <c r="M598" s="34"/>
      <c r="N598" s="34"/>
      <c r="O598" s="34"/>
      <c r="P598" s="34"/>
      <c r="Q598" s="34"/>
      <c r="R598" s="34"/>
      <c r="S598" s="34"/>
      <c r="T598" s="34"/>
      <c r="U598" s="34"/>
      <c r="V598" s="34"/>
      <c r="W598" s="34"/>
      <c r="X598" s="34"/>
      <c r="Y598" s="34"/>
      <c r="Z598" s="3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row>
    <row r="599" spans="1:57" ht="15.75" customHeight="1" x14ac:dyDescent="0.2">
      <c r="A599" s="34"/>
      <c r="B599" s="34"/>
      <c r="C599" s="33"/>
      <c r="D599" s="34"/>
      <c r="E599" s="34"/>
      <c r="F599" s="34"/>
      <c r="G599" s="34"/>
      <c r="H599" s="33"/>
      <c r="I599" s="33"/>
      <c r="J599" s="33"/>
      <c r="K599" s="34"/>
      <c r="L599" s="34"/>
      <c r="M599" s="34"/>
      <c r="N599" s="34"/>
      <c r="O599" s="34"/>
      <c r="P599" s="34"/>
      <c r="Q599" s="34"/>
      <c r="R599" s="34"/>
      <c r="S599" s="34"/>
      <c r="T599" s="34"/>
      <c r="U599" s="34"/>
      <c r="V599" s="34"/>
      <c r="W599" s="34"/>
      <c r="X599" s="34"/>
      <c r="Y599" s="34"/>
      <c r="Z599" s="3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row>
    <row r="600" spans="1:57" ht="15.75" customHeight="1" x14ac:dyDescent="0.2">
      <c r="A600" s="34"/>
      <c r="B600" s="34"/>
      <c r="C600" s="33"/>
      <c r="D600" s="34"/>
      <c r="E600" s="34"/>
      <c r="F600" s="34"/>
      <c r="G600" s="34"/>
      <c r="H600" s="33"/>
      <c r="I600" s="33"/>
      <c r="J600" s="33"/>
      <c r="K600" s="34"/>
      <c r="L600" s="34"/>
      <c r="M600" s="34"/>
      <c r="N600" s="34"/>
      <c r="O600" s="34"/>
      <c r="P600" s="34"/>
      <c r="Q600" s="34"/>
      <c r="R600" s="34"/>
      <c r="S600" s="34"/>
      <c r="T600" s="34"/>
      <c r="U600" s="34"/>
      <c r="V600" s="34"/>
      <c r="W600" s="34"/>
      <c r="X600" s="34"/>
      <c r="Y600" s="34"/>
      <c r="Z600" s="3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row>
    <row r="601" spans="1:57" ht="15.75" customHeight="1" x14ac:dyDescent="0.2">
      <c r="A601" s="34"/>
      <c r="B601" s="34"/>
      <c r="C601" s="33"/>
      <c r="D601" s="34"/>
      <c r="E601" s="34"/>
      <c r="F601" s="34"/>
      <c r="G601" s="34"/>
      <c r="H601" s="33"/>
      <c r="I601" s="33"/>
      <c r="J601" s="33"/>
      <c r="K601" s="34"/>
      <c r="L601" s="34"/>
      <c r="M601" s="34"/>
      <c r="N601" s="34"/>
      <c r="O601" s="34"/>
      <c r="P601" s="34"/>
      <c r="Q601" s="34"/>
      <c r="R601" s="34"/>
      <c r="S601" s="34"/>
      <c r="T601" s="34"/>
      <c r="U601" s="34"/>
      <c r="V601" s="34"/>
      <c r="W601" s="34"/>
      <c r="X601" s="34"/>
      <c r="Y601" s="34"/>
      <c r="Z601" s="3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row>
    <row r="602" spans="1:57" ht="15.75" customHeight="1" x14ac:dyDescent="0.2">
      <c r="A602" s="34"/>
      <c r="B602" s="34"/>
      <c r="C602" s="33"/>
      <c r="D602" s="34"/>
      <c r="E602" s="34"/>
      <c r="F602" s="34"/>
      <c r="G602" s="34"/>
      <c r="H602" s="33"/>
      <c r="I602" s="33"/>
      <c r="J602" s="33"/>
      <c r="K602" s="34"/>
      <c r="L602" s="34"/>
      <c r="M602" s="34"/>
      <c r="N602" s="34"/>
      <c r="O602" s="34"/>
      <c r="P602" s="34"/>
      <c r="Q602" s="34"/>
      <c r="R602" s="34"/>
      <c r="S602" s="34"/>
      <c r="T602" s="34"/>
      <c r="U602" s="34"/>
      <c r="V602" s="34"/>
      <c r="W602" s="34"/>
      <c r="X602" s="34"/>
      <c r="Y602" s="34"/>
      <c r="Z602" s="3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row>
    <row r="603" spans="1:57" ht="15.75" customHeight="1" x14ac:dyDescent="0.2">
      <c r="A603" s="34"/>
      <c r="B603" s="34"/>
      <c r="C603" s="33"/>
      <c r="D603" s="34"/>
      <c r="E603" s="34"/>
      <c r="F603" s="34"/>
      <c r="G603" s="34"/>
      <c r="H603" s="33"/>
      <c r="I603" s="33"/>
      <c r="J603" s="33"/>
      <c r="K603" s="34"/>
      <c r="L603" s="34"/>
      <c r="M603" s="34"/>
      <c r="N603" s="34"/>
      <c r="O603" s="34"/>
      <c r="P603" s="34"/>
      <c r="Q603" s="34"/>
      <c r="R603" s="34"/>
      <c r="S603" s="34"/>
      <c r="T603" s="34"/>
      <c r="U603" s="34"/>
      <c r="V603" s="34"/>
      <c r="W603" s="34"/>
      <c r="X603" s="34"/>
      <c r="Y603" s="34"/>
      <c r="Z603" s="3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row>
    <row r="604" spans="1:57" ht="15.75" customHeight="1" x14ac:dyDescent="0.2">
      <c r="A604" s="34"/>
      <c r="B604" s="34"/>
      <c r="C604" s="33"/>
      <c r="D604" s="34"/>
      <c r="E604" s="34"/>
      <c r="F604" s="34"/>
      <c r="G604" s="34"/>
      <c r="H604" s="33"/>
      <c r="I604" s="33"/>
      <c r="J604" s="33"/>
      <c r="K604" s="34"/>
      <c r="L604" s="34"/>
      <c r="M604" s="34"/>
      <c r="N604" s="34"/>
      <c r="O604" s="34"/>
      <c r="P604" s="34"/>
      <c r="Q604" s="34"/>
      <c r="R604" s="34"/>
      <c r="S604" s="34"/>
      <c r="T604" s="34"/>
      <c r="U604" s="34"/>
      <c r="V604" s="34"/>
      <c r="W604" s="34"/>
      <c r="X604" s="34"/>
      <c r="Y604" s="34"/>
      <c r="Z604" s="3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row>
    <row r="605" spans="1:57" ht="15.75" customHeight="1" x14ac:dyDescent="0.2">
      <c r="A605" s="34"/>
      <c r="B605" s="34"/>
      <c r="C605" s="33"/>
      <c r="D605" s="34"/>
      <c r="E605" s="34"/>
      <c r="F605" s="34"/>
      <c r="G605" s="34"/>
      <c r="H605" s="33"/>
      <c r="I605" s="33"/>
      <c r="J605" s="33"/>
      <c r="K605" s="34"/>
      <c r="L605" s="34"/>
      <c r="M605" s="34"/>
      <c r="N605" s="34"/>
      <c r="O605" s="34"/>
      <c r="P605" s="34"/>
      <c r="Q605" s="34"/>
      <c r="R605" s="34"/>
      <c r="S605" s="34"/>
      <c r="T605" s="34"/>
      <c r="U605" s="34"/>
      <c r="V605" s="34"/>
      <c r="W605" s="34"/>
      <c r="X605" s="34"/>
      <c r="Y605" s="34"/>
      <c r="Z605" s="3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row>
    <row r="606" spans="1:57" ht="15.75" customHeight="1" x14ac:dyDescent="0.2">
      <c r="A606" s="34"/>
      <c r="B606" s="34"/>
      <c r="C606" s="33"/>
      <c r="D606" s="34"/>
      <c r="E606" s="34"/>
      <c r="F606" s="34"/>
      <c r="G606" s="34"/>
      <c r="H606" s="33"/>
      <c r="I606" s="33"/>
      <c r="J606" s="33"/>
      <c r="K606" s="34"/>
      <c r="L606" s="34"/>
      <c r="M606" s="34"/>
      <c r="N606" s="34"/>
      <c r="O606" s="34"/>
      <c r="P606" s="34"/>
      <c r="Q606" s="34"/>
      <c r="R606" s="34"/>
      <c r="S606" s="34"/>
      <c r="T606" s="34"/>
      <c r="U606" s="34"/>
      <c r="V606" s="34"/>
      <c r="W606" s="34"/>
      <c r="X606" s="34"/>
      <c r="Y606" s="34"/>
      <c r="Z606" s="3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row>
    <row r="607" spans="1:57" ht="15.75" customHeight="1" x14ac:dyDescent="0.2">
      <c r="A607" s="34"/>
      <c r="B607" s="34"/>
      <c r="C607" s="33"/>
      <c r="D607" s="34"/>
      <c r="E607" s="34"/>
      <c r="F607" s="34"/>
      <c r="G607" s="34"/>
      <c r="H607" s="33"/>
      <c r="I607" s="33"/>
      <c r="J607" s="33"/>
      <c r="K607" s="34"/>
      <c r="L607" s="34"/>
      <c r="M607" s="34"/>
      <c r="N607" s="34"/>
      <c r="O607" s="34"/>
      <c r="P607" s="34"/>
      <c r="Q607" s="34"/>
      <c r="R607" s="34"/>
      <c r="S607" s="34"/>
      <c r="T607" s="34"/>
      <c r="U607" s="34"/>
      <c r="V607" s="34"/>
      <c r="W607" s="34"/>
      <c r="X607" s="34"/>
      <c r="Y607" s="34"/>
      <c r="Z607" s="3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row>
    <row r="608" spans="1:57" ht="15.75" customHeight="1" x14ac:dyDescent="0.2">
      <c r="A608" s="34"/>
      <c r="B608" s="34"/>
      <c r="C608" s="33"/>
      <c r="D608" s="34"/>
      <c r="E608" s="34"/>
      <c r="F608" s="34"/>
      <c r="G608" s="34"/>
      <c r="H608" s="33"/>
      <c r="I608" s="33"/>
      <c r="J608" s="33"/>
      <c r="K608" s="34"/>
      <c r="L608" s="34"/>
      <c r="M608" s="34"/>
      <c r="N608" s="34"/>
      <c r="O608" s="34"/>
      <c r="P608" s="34"/>
      <c r="Q608" s="34"/>
      <c r="R608" s="34"/>
      <c r="S608" s="34"/>
      <c r="T608" s="34"/>
      <c r="U608" s="34"/>
      <c r="V608" s="34"/>
      <c r="W608" s="34"/>
      <c r="X608" s="34"/>
      <c r="Y608" s="34"/>
      <c r="Z608" s="3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row>
    <row r="609" spans="1:57" ht="15.75" customHeight="1" x14ac:dyDescent="0.2">
      <c r="A609" s="34"/>
      <c r="B609" s="34"/>
      <c r="C609" s="33"/>
      <c r="D609" s="34"/>
      <c r="E609" s="34"/>
      <c r="F609" s="34"/>
      <c r="G609" s="34"/>
      <c r="H609" s="33"/>
      <c r="I609" s="33"/>
      <c r="J609" s="33"/>
      <c r="K609" s="34"/>
      <c r="L609" s="34"/>
      <c r="M609" s="34"/>
      <c r="N609" s="34"/>
      <c r="O609" s="34"/>
      <c r="P609" s="34"/>
      <c r="Q609" s="34"/>
      <c r="R609" s="34"/>
      <c r="S609" s="34"/>
      <c r="T609" s="34"/>
      <c r="U609" s="34"/>
      <c r="V609" s="34"/>
      <c r="W609" s="34"/>
      <c r="X609" s="34"/>
      <c r="Y609" s="34"/>
      <c r="Z609" s="3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row>
    <row r="610" spans="1:57" ht="15.75" customHeight="1" x14ac:dyDescent="0.2">
      <c r="A610" s="34"/>
      <c r="B610" s="34"/>
      <c r="C610" s="33"/>
      <c r="D610" s="34"/>
      <c r="E610" s="34"/>
      <c r="F610" s="34"/>
      <c r="G610" s="34"/>
      <c r="H610" s="33"/>
      <c r="I610" s="33"/>
      <c r="J610" s="33"/>
      <c r="K610" s="34"/>
      <c r="L610" s="34"/>
      <c r="M610" s="34"/>
      <c r="N610" s="34"/>
      <c r="O610" s="34"/>
      <c r="P610" s="34"/>
      <c r="Q610" s="34"/>
      <c r="R610" s="34"/>
      <c r="S610" s="34"/>
      <c r="T610" s="34"/>
      <c r="U610" s="34"/>
      <c r="V610" s="34"/>
      <c r="W610" s="34"/>
      <c r="X610" s="34"/>
      <c r="Y610" s="34"/>
      <c r="Z610" s="3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row>
    <row r="611" spans="1:57" ht="15.75" customHeight="1" x14ac:dyDescent="0.2">
      <c r="A611" s="34"/>
      <c r="B611" s="34"/>
      <c r="C611" s="33"/>
      <c r="D611" s="34"/>
      <c r="E611" s="34"/>
      <c r="F611" s="34"/>
      <c r="G611" s="34"/>
      <c r="H611" s="33"/>
      <c r="I611" s="33"/>
      <c r="J611" s="33"/>
      <c r="K611" s="34"/>
      <c r="L611" s="34"/>
      <c r="M611" s="34"/>
      <c r="N611" s="34"/>
      <c r="O611" s="34"/>
      <c r="P611" s="34"/>
      <c r="Q611" s="34"/>
      <c r="R611" s="34"/>
      <c r="S611" s="34"/>
      <c r="T611" s="34"/>
      <c r="U611" s="34"/>
      <c r="V611" s="34"/>
      <c r="W611" s="34"/>
      <c r="X611" s="34"/>
      <c r="Y611" s="34"/>
      <c r="Z611" s="3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row>
    <row r="612" spans="1:57" ht="15.75" customHeight="1" x14ac:dyDescent="0.2">
      <c r="A612" s="34"/>
      <c r="B612" s="34"/>
      <c r="C612" s="33"/>
      <c r="D612" s="34"/>
      <c r="E612" s="34"/>
      <c r="F612" s="34"/>
      <c r="G612" s="34"/>
      <c r="H612" s="33"/>
      <c r="I612" s="33"/>
      <c r="J612" s="33"/>
      <c r="K612" s="34"/>
      <c r="L612" s="34"/>
      <c r="M612" s="34"/>
      <c r="N612" s="34"/>
      <c r="O612" s="34"/>
      <c r="P612" s="34"/>
      <c r="Q612" s="34"/>
      <c r="R612" s="34"/>
      <c r="S612" s="34"/>
      <c r="T612" s="34"/>
      <c r="U612" s="34"/>
      <c r="V612" s="34"/>
      <c r="W612" s="34"/>
      <c r="X612" s="34"/>
      <c r="Y612" s="34"/>
      <c r="Z612" s="3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row>
    <row r="613" spans="1:57" ht="15.75" customHeight="1" x14ac:dyDescent="0.2">
      <c r="A613" s="34"/>
      <c r="B613" s="34"/>
      <c r="C613" s="33"/>
      <c r="D613" s="34"/>
      <c r="E613" s="34"/>
      <c r="F613" s="34"/>
      <c r="G613" s="34"/>
      <c r="H613" s="33"/>
      <c r="I613" s="33"/>
      <c r="J613" s="33"/>
      <c r="K613" s="34"/>
      <c r="L613" s="34"/>
      <c r="M613" s="34"/>
      <c r="N613" s="34"/>
      <c r="O613" s="34"/>
      <c r="P613" s="34"/>
      <c r="Q613" s="34"/>
      <c r="R613" s="34"/>
      <c r="S613" s="34"/>
      <c r="T613" s="34"/>
      <c r="U613" s="34"/>
      <c r="V613" s="34"/>
      <c r="W613" s="34"/>
      <c r="X613" s="34"/>
      <c r="Y613" s="34"/>
      <c r="Z613" s="3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row>
    <row r="614" spans="1:57" ht="15.75" customHeight="1" x14ac:dyDescent="0.2">
      <c r="A614" s="34"/>
      <c r="B614" s="34"/>
      <c r="C614" s="33"/>
      <c r="D614" s="34"/>
      <c r="E614" s="34"/>
      <c r="F614" s="34"/>
      <c r="G614" s="34"/>
      <c r="H614" s="33"/>
      <c r="I614" s="33"/>
      <c r="J614" s="33"/>
      <c r="K614" s="34"/>
      <c r="L614" s="34"/>
      <c r="M614" s="34"/>
      <c r="N614" s="34"/>
      <c r="O614" s="34"/>
      <c r="P614" s="34"/>
      <c r="Q614" s="34"/>
      <c r="R614" s="34"/>
      <c r="S614" s="34"/>
      <c r="T614" s="34"/>
      <c r="U614" s="34"/>
      <c r="V614" s="34"/>
      <c r="W614" s="34"/>
      <c r="X614" s="34"/>
      <c r="Y614" s="34"/>
      <c r="Z614" s="3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row>
    <row r="615" spans="1:57" ht="15.75" customHeight="1" x14ac:dyDescent="0.2">
      <c r="A615" s="34"/>
      <c r="B615" s="34"/>
      <c r="C615" s="33"/>
      <c r="D615" s="34"/>
      <c r="E615" s="34"/>
      <c r="F615" s="34"/>
      <c r="G615" s="34"/>
      <c r="H615" s="33"/>
      <c r="I615" s="33"/>
      <c r="J615" s="33"/>
      <c r="K615" s="34"/>
      <c r="L615" s="34"/>
      <c r="M615" s="34"/>
      <c r="N615" s="34"/>
      <c r="O615" s="34"/>
      <c r="P615" s="34"/>
      <c r="Q615" s="34"/>
      <c r="R615" s="34"/>
      <c r="S615" s="34"/>
      <c r="T615" s="34"/>
      <c r="U615" s="34"/>
      <c r="V615" s="34"/>
      <c r="W615" s="34"/>
      <c r="X615" s="34"/>
      <c r="Y615" s="34"/>
      <c r="Z615" s="3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row>
    <row r="616" spans="1:57" ht="15.75" customHeight="1" x14ac:dyDescent="0.2">
      <c r="A616" s="34"/>
      <c r="B616" s="34"/>
      <c r="C616" s="33"/>
      <c r="D616" s="34"/>
      <c r="E616" s="34"/>
      <c r="F616" s="34"/>
      <c r="G616" s="34"/>
      <c r="H616" s="33"/>
      <c r="I616" s="33"/>
      <c r="J616" s="33"/>
      <c r="K616" s="34"/>
      <c r="L616" s="34"/>
      <c r="M616" s="34"/>
      <c r="N616" s="34"/>
      <c r="O616" s="34"/>
      <c r="P616" s="34"/>
      <c r="Q616" s="34"/>
      <c r="R616" s="34"/>
      <c r="S616" s="34"/>
      <c r="T616" s="34"/>
      <c r="U616" s="34"/>
      <c r="V616" s="34"/>
      <c r="W616" s="34"/>
      <c r="X616" s="34"/>
      <c r="Y616" s="34"/>
      <c r="Z616" s="3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row>
    <row r="617" spans="1:57" ht="15.75" customHeight="1" x14ac:dyDescent="0.2">
      <c r="A617" s="34"/>
      <c r="B617" s="34"/>
      <c r="C617" s="33"/>
      <c r="D617" s="34"/>
      <c r="E617" s="34"/>
      <c r="F617" s="34"/>
      <c r="G617" s="34"/>
      <c r="H617" s="33"/>
      <c r="I617" s="33"/>
      <c r="J617" s="33"/>
      <c r="K617" s="34"/>
      <c r="L617" s="34"/>
      <c r="M617" s="34"/>
      <c r="N617" s="34"/>
      <c r="O617" s="34"/>
      <c r="P617" s="34"/>
      <c r="Q617" s="34"/>
      <c r="R617" s="34"/>
      <c r="S617" s="34"/>
      <c r="T617" s="34"/>
      <c r="U617" s="34"/>
      <c r="V617" s="34"/>
      <c r="W617" s="34"/>
      <c r="X617" s="34"/>
      <c r="Y617" s="34"/>
      <c r="Z617" s="3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row>
    <row r="618" spans="1:57" ht="15.75" customHeight="1" x14ac:dyDescent="0.2">
      <c r="A618" s="34"/>
      <c r="B618" s="34"/>
      <c r="C618" s="33"/>
      <c r="D618" s="34"/>
      <c r="E618" s="34"/>
      <c r="F618" s="34"/>
      <c r="G618" s="34"/>
      <c r="H618" s="33"/>
      <c r="I618" s="33"/>
      <c r="J618" s="33"/>
      <c r="K618" s="34"/>
      <c r="L618" s="34"/>
      <c r="M618" s="34"/>
      <c r="N618" s="34"/>
      <c r="O618" s="34"/>
      <c r="P618" s="34"/>
      <c r="Q618" s="34"/>
      <c r="R618" s="34"/>
      <c r="S618" s="34"/>
      <c r="T618" s="34"/>
      <c r="U618" s="34"/>
      <c r="V618" s="34"/>
      <c r="W618" s="34"/>
      <c r="X618" s="34"/>
      <c r="Y618" s="34"/>
      <c r="Z618" s="3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row>
    <row r="619" spans="1:57" ht="15.75" customHeight="1" x14ac:dyDescent="0.2">
      <c r="A619" s="34"/>
      <c r="B619" s="34"/>
      <c r="C619" s="33"/>
      <c r="D619" s="34"/>
      <c r="E619" s="34"/>
      <c r="F619" s="34"/>
      <c r="G619" s="34"/>
      <c r="H619" s="33"/>
      <c r="I619" s="33"/>
      <c r="J619" s="33"/>
      <c r="K619" s="34"/>
      <c r="L619" s="34"/>
      <c r="M619" s="34"/>
      <c r="N619" s="34"/>
      <c r="O619" s="34"/>
      <c r="P619" s="34"/>
      <c r="Q619" s="34"/>
      <c r="R619" s="34"/>
      <c r="S619" s="34"/>
      <c r="T619" s="34"/>
      <c r="U619" s="34"/>
      <c r="V619" s="34"/>
      <c r="W619" s="34"/>
      <c r="X619" s="34"/>
      <c r="Y619" s="34"/>
      <c r="Z619" s="3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row>
    <row r="620" spans="1:57" ht="15.75" customHeight="1" x14ac:dyDescent="0.2">
      <c r="A620" s="34"/>
      <c r="B620" s="34"/>
      <c r="C620" s="33"/>
      <c r="D620" s="34"/>
      <c r="E620" s="34"/>
      <c r="F620" s="34"/>
      <c r="G620" s="34"/>
      <c r="H620" s="33"/>
      <c r="I620" s="33"/>
      <c r="J620" s="33"/>
      <c r="K620" s="34"/>
      <c r="L620" s="34"/>
      <c r="M620" s="34"/>
      <c r="N620" s="34"/>
      <c r="O620" s="34"/>
      <c r="P620" s="34"/>
      <c r="Q620" s="34"/>
      <c r="R620" s="34"/>
      <c r="S620" s="34"/>
      <c r="T620" s="34"/>
      <c r="U620" s="34"/>
      <c r="V620" s="34"/>
      <c r="W620" s="34"/>
      <c r="X620" s="34"/>
      <c r="Y620" s="34"/>
      <c r="Z620" s="3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row>
    <row r="621" spans="1:57" ht="15.75" customHeight="1" x14ac:dyDescent="0.2">
      <c r="A621" s="34"/>
      <c r="B621" s="34"/>
      <c r="C621" s="33"/>
      <c r="D621" s="34"/>
      <c r="E621" s="34"/>
      <c r="F621" s="34"/>
      <c r="G621" s="34"/>
      <c r="H621" s="33"/>
      <c r="I621" s="33"/>
      <c r="J621" s="33"/>
      <c r="K621" s="34"/>
      <c r="L621" s="34"/>
      <c r="M621" s="34"/>
      <c r="N621" s="34"/>
      <c r="O621" s="34"/>
      <c r="P621" s="34"/>
      <c r="Q621" s="34"/>
      <c r="R621" s="34"/>
      <c r="S621" s="34"/>
      <c r="T621" s="34"/>
      <c r="U621" s="34"/>
      <c r="V621" s="34"/>
      <c r="W621" s="34"/>
      <c r="X621" s="34"/>
      <c r="Y621" s="34"/>
      <c r="Z621" s="3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row>
    <row r="622" spans="1:57" ht="15.75" customHeight="1" x14ac:dyDescent="0.2">
      <c r="A622" s="34"/>
      <c r="B622" s="34"/>
      <c r="C622" s="33"/>
      <c r="D622" s="34"/>
      <c r="E622" s="34"/>
      <c r="F622" s="34"/>
      <c r="G622" s="34"/>
      <c r="H622" s="33"/>
      <c r="I622" s="33"/>
      <c r="J622" s="33"/>
      <c r="K622" s="34"/>
      <c r="L622" s="34"/>
      <c r="M622" s="34"/>
      <c r="N622" s="34"/>
      <c r="O622" s="34"/>
      <c r="P622" s="34"/>
      <c r="Q622" s="34"/>
      <c r="R622" s="34"/>
      <c r="S622" s="34"/>
      <c r="T622" s="34"/>
      <c r="U622" s="34"/>
      <c r="V622" s="34"/>
      <c r="W622" s="34"/>
      <c r="X622" s="34"/>
      <c r="Y622" s="34"/>
      <c r="Z622" s="3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row>
    <row r="623" spans="1:57" ht="15.75" customHeight="1" x14ac:dyDescent="0.2">
      <c r="A623" s="34"/>
      <c r="B623" s="34"/>
      <c r="C623" s="33"/>
      <c r="D623" s="34"/>
      <c r="E623" s="34"/>
      <c r="F623" s="34"/>
      <c r="G623" s="34"/>
      <c r="H623" s="33"/>
      <c r="I623" s="33"/>
      <c r="J623" s="33"/>
      <c r="K623" s="34"/>
      <c r="L623" s="34"/>
      <c r="M623" s="34"/>
      <c r="N623" s="34"/>
      <c r="O623" s="34"/>
      <c r="P623" s="34"/>
      <c r="Q623" s="34"/>
      <c r="R623" s="34"/>
      <c r="S623" s="34"/>
      <c r="T623" s="34"/>
      <c r="U623" s="34"/>
      <c r="V623" s="34"/>
      <c r="W623" s="34"/>
      <c r="X623" s="34"/>
      <c r="Y623" s="34"/>
      <c r="Z623" s="3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row>
    <row r="624" spans="1:57" ht="15.75" customHeight="1" x14ac:dyDescent="0.2">
      <c r="A624" s="34"/>
      <c r="B624" s="34"/>
      <c r="C624" s="33"/>
      <c r="D624" s="34"/>
      <c r="E624" s="34"/>
      <c r="F624" s="34"/>
      <c r="G624" s="34"/>
      <c r="H624" s="33"/>
      <c r="I624" s="33"/>
      <c r="J624" s="33"/>
      <c r="K624" s="34"/>
      <c r="L624" s="34"/>
      <c r="M624" s="34"/>
      <c r="N624" s="34"/>
      <c r="O624" s="34"/>
      <c r="P624" s="34"/>
      <c r="Q624" s="34"/>
      <c r="R624" s="34"/>
      <c r="S624" s="34"/>
      <c r="T624" s="34"/>
      <c r="U624" s="34"/>
      <c r="V624" s="34"/>
      <c r="W624" s="34"/>
      <c r="X624" s="34"/>
      <c r="Y624" s="34"/>
      <c r="Z624" s="3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row>
    <row r="625" spans="1:57" ht="15.75" customHeight="1" x14ac:dyDescent="0.2">
      <c r="A625" s="34"/>
      <c r="B625" s="34"/>
      <c r="C625" s="33"/>
      <c r="D625" s="34"/>
      <c r="E625" s="34"/>
      <c r="F625" s="34"/>
      <c r="G625" s="34"/>
      <c r="H625" s="33"/>
      <c r="I625" s="33"/>
      <c r="J625" s="33"/>
      <c r="K625" s="34"/>
      <c r="L625" s="34"/>
      <c r="M625" s="34"/>
      <c r="N625" s="34"/>
      <c r="O625" s="34"/>
      <c r="P625" s="34"/>
      <c r="Q625" s="34"/>
      <c r="R625" s="34"/>
      <c r="S625" s="34"/>
      <c r="T625" s="34"/>
      <c r="U625" s="34"/>
      <c r="V625" s="34"/>
      <c r="W625" s="34"/>
      <c r="X625" s="34"/>
      <c r="Y625" s="34"/>
      <c r="Z625" s="3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row>
    <row r="626" spans="1:57" ht="15.75" customHeight="1" x14ac:dyDescent="0.2">
      <c r="A626" s="34"/>
      <c r="B626" s="34"/>
      <c r="C626" s="33"/>
      <c r="D626" s="34"/>
      <c r="E626" s="34"/>
      <c r="F626" s="34"/>
      <c r="G626" s="34"/>
      <c r="H626" s="33"/>
      <c r="I626" s="33"/>
      <c r="J626" s="33"/>
      <c r="K626" s="34"/>
      <c r="L626" s="34"/>
      <c r="M626" s="34"/>
      <c r="N626" s="34"/>
      <c r="O626" s="34"/>
      <c r="P626" s="34"/>
      <c r="Q626" s="34"/>
      <c r="R626" s="34"/>
      <c r="S626" s="34"/>
      <c r="T626" s="34"/>
      <c r="U626" s="34"/>
      <c r="V626" s="34"/>
      <c r="W626" s="34"/>
      <c r="X626" s="34"/>
      <c r="Y626" s="34"/>
      <c r="Z626" s="3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row>
    <row r="627" spans="1:57" ht="15.75" customHeight="1" x14ac:dyDescent="0.2">
      <c r="A627" s="34"/>
      <c r="B627" s="34"/>
      <c r="C627" s="33"/>
      <c r="D627" s="34"/>
      <c r="E627" s="34"/>
      <c r="F627" s="34"/>
      <c r="G627" s="34"/>
      <c r="H627" s="33"/>
      <c r="I627" s="33"/>
      <c r="J627" s="33"/>
      <c r="K627" s="34"/>
      <c r="L627" s="34"/>
      <c r="M627" s="34"/>
      <c r="N627" s="34"/>
      <c r="O627" s="34"/>
      <c r="P627" s="34"/>
      <c r="Q627" s="34"/>
      <c r="R627" s="34"/>
      <c r="S627" s="34"/>
      <c r="T627" s="34"/>
      <c r="U627" s="34"/>
      <c r="V627" s="34"/>
      <c r="W627" s="34"/>
      <c r="X627" s="34"/>
      <c r="Y627" s="34"/>
      <c r="Z627" s="3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row>
    <row r="628" spans="1:57" ht="15.75" customHeight="1" x14ac:dyDescent="0.2">
      <c r="A628" s="34"/>
      <c r="B628" s="34"/>
      <c r="C628" s="33"/>
      <c r="D628" s="34"/>
      <c r="E628" s="34"/>
      <c r="F628" s="34"/>
      <c r="G628" s="34"/>
      <c r="H628" s="33"/>
      <c r="I628" s="33"/>
      <c r="J628" s="33"/>
      <c r="K628" s="34"/>
      <c r="L628" s="34"/>
      <c r="M628" s="34"/>
      <c r="N628" s="34"/>
      <c r="O628" s="34"/>
      <c r="P628" s="34"/>
      <c r="Q628" s="34"/>
      <c r="R628" s="34"/>
      <c r="S628" s="34"/>
      <c r="T628" s="34"/>
      <c r="U628" s="34"/>
      <c r="V628" s="34"/>
      <c r="W628" s="34"/>
      <c r="X628" s="34"/>
      <c r="Y628" s="34"/>
      <c r="Z628" s="3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row>
    <row r="629" spans="1:57" ht="15.75" customHeight="1" x14ac:dyDescent="0.2">
      <c r="A629" s="34"/>
      <c r="B629" s="34"/>
      <c r="C629" s="33"/>
      <c r="D629" s="34"/>
      <c r="E629" s="34"/>
      <c r="F629" s="34"/>
      <c r="G629" s="34"/>
      <c r="H629" s="33"/>
      <c r="I629" s="33"/>
      <c r="J629" s="33"/>
      <c r="K629" s="34"/>
      <c r="L629" s="34"/>
      <c r="M629" s="34"/>
      <c r="N629" s="34"/>
      <c r="O629" s="34"/>
      <c r="P629" s="34"/>
      <c r="Q629" s="34"/>
      <c r="R629" s="34"/>
      <c r="S629" s="34"/>
      <c r="T629" s="34"/>
      <c r="U629" s="34"/>
      <c r="V629" s="34"/>
      <c r="W629" s="34"/>
      <c r="X629" s="34"/>
      <c r="Y629" s="34"/>
      <c r="Z629" s="3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row>
    <row r="630" spans="1:57" ht="15.75" customHeight="1" x14ac:dyDescent="0.2">
      <c r="A630" s="34"/>
      <c r="B630" s="34"/>
      <c r="C630" s="33"/>
      <c r="D630" s="34"/>
      <c r="E630" s="34"/>
      <c r="F630" s="34"/>
      <c r="G630" s="34"/>
      <c r="H630" s="33"/>
      <c r="I630" s="33"/>
      <c r="J630" s="33"/>
      <c r="K630" s="34"/>
      <c r="L630" s="34"/>
      <c r="M630" s="34"/>
      <c r="N630" s="34"/>
      <c r="O630" s="34"/>
      <c r="P630" s="34"/>
      <c r="Q630" s="34"/>
      <c r="R630" s="34"/>
      <c r="S630" s="34"/>
      <c r="T630" s="34"/>
      <c r="U630" s="34"/>
      <c r="V630" s="34"/>
      <c r="W630" s="34"/>
      <c r="X630" s="34"/>
      <c r="Y630" s="34"/>
      <c r="Z630" s="3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row>
    <row r="631" spans="1:57" ht="15.75" customHeight="1" x14ac:dyDescent="0.2">
      <c r="A631" s="34"/>
      <c r="B631" s="34"/>
      <c r="C631" s="33"/>
      <c r="D631" s="34"/>
      <c r="E631" s="34"/>
      <c r="F631" s="34"/>
      <c r="G631" s="34"/>
      <c r="H631" s="33"/>
      <c r="I631" s="33"/>
      <c r="J631" s="33"/>
      <c r="K631" s="34"/>
      <c r="L631" s="34"/>
      <c r="M631" s="34"/>
      <c r="N631" s="34"/>
      <c r="O631" s="34"/>
      <c r="P631" s="34"/>
      <c r="Q631" s="34"/>
      <c r="R631" s="34"/>
      <c r="S631" s="34"/>
      <c r="T631" s="34"/>
      <c r="U631" s="34"/>
      <c r="V631" s="34"/>
      <c r="W631" s="34"/>
      <c r="X631" s="34"/>
      <c r="Y631" s="34"/>
      <c r="Z631" s="3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row>
    <row r="632" spans="1:57" ht="15.75" customHeight="1" x14ac:dyDescent="0.2">
      <c r="A632" s="34"/>
      <c r="B632" s="34"/>
      <c r="C632" s="33"/>
      <c r="D632" s="34"/>
      <c r="E632" s="34"/>
      <c r="F632" s="34"/>
      <c r="G632" s="34"/>
      <c r="H632" s="33"/>
      <c r="I632" s="33"/>
      <c r="J632" s="33"/>
      <c r="K632" s="34"/>
      <c r="L632" s="34"/>
      <c r="M632" s="34"/>
      <c r="N632" s="34"/>
      <c r="O632" s="34"/>
      <c r="P632" s="34"/>
      <c r="Q632" s="34"/>
      <c r="R632" s="34"/>
      <c r="S632" s="34"/>
      <c r="T632" s="34"/>
      <c r="U632" s="34"/>
      <c r="V632" s="34"/>
      <c r="W632" s="34"/>
      <c r="X632" s="34"/>
      <c r="Y632" s="34"/>
      <c r="Z632" s="3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row>
    <row r="633" spans="1:57" ht="15.75" customHeight="1" x14ac:dyDescent="0.2">
      <c r="A633" s="34"/>
      <c r="B633" s="34"/>
      <c r="C633" s="33"/>
      <c r="D633" s="34"/>
      <c r="E633" s="34"/>
      <c r="F633" s="34"/>
      <c r="G633" s="34"/>
      <c r="H633" s="33"/>
      <c r="I633" s="33"/>
      <c r="J633" s="33"/>
      <c r="K633" s="34"/>
      <c r="L633" s="34"/>
      <c r="M633" s="34"/>
      <c r="N633" s="34"/>
      <c r="O633" s="34"/>
      <c r="P633" s="34"/>
      <c r="Q633" s="34"/>
      <c r="R633" s="34"/>
      <c r="S633" s="34"/>
      <c r="T633" s="34"/>
      <c r="U633" s="34"/>
      <c r="V633" s="34"/>
      <c r="W633" s="34"/>
      <c r="X633" s="34"/>
      <c r="Y633" s="34"/>
      <c r="Z633" s="3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row>
    <row r="634" spans="1:57" ht="15.75" customHeight="1" x14ac:dyDescent="0.2">
      <c r="A634" s="34"/>
      <c r="B634" s="34"/>
      <c r="C634" s="33"/>
      <c r="D634" s="34"/>
      <c r="E634" s="34"/>
      <c r="F634" s="34"/>
      <c r="G634" s="34"/>
      <c r="H634" s="33"/>
      <c r="I634" s="33"/>
      <c r="J634" s="33"/>
      <c r="K634" s="34"/>
      <c r="L634" s="34"/>
      <c r="M634" s="34"/>
      <c r="N634" s="34"/>
      <c r="O634" s="34"/>
      <c r="P634" s="34"/>
      <c r="Q634" s="34"/>
      <c r="R634" s="34"/>
      <c r="S634" s="34"/>
      <c r="T634" s="34"/>
      <c r="U634" s="34"/>
      <c r="V634" s="34"/>
      <c r="W634" s="34"/>
      <c r="X634" s="34"/>
      <c r="Y634" s="34"/>
      <c r="Z634" s="3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row>
    <row r="635" spans="1:57" ht="15.75" customHeight="1" x14ac:dyDescent="0.2">
      <c r="A635" s="34"/>
      <c r="B635" s="34"/>
      <c r="C635" s="33"/>
      <c r="D635" s="34"/>
      <c r="E635" s="34"/>
      <c r="F635" s="34"/>
      <c r="G635" s="34"/>
      <c r="H635" s="33"/>
      <c r="I635" s="33"/>
      <c r="J635" s="33"/>
      <c r="K635" s="34"/>
      <c r="L635" s="34"/>
      <c r="M635" s="34"/>
      <c r="N635" s="34"/>
      <c r="O635" s="34"/>
      <c r="P635" s="34"/>
      <c r="Q635" s="34"/>
      <c r="R635" s="34"/>
      <c r="S635" s="34"/>
      <c r="T635" s="34"/>
      <c r="U635" s="34"/>
      <c r="V635" s="34"/>
      <c r="W635" s="34"/>
      <c r="X635" s="34"/>
      <c r="Y635" s="34"/>
      <c r="Z635" s="3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row>
    <row r="636" spans="1:57" ht="15.75" customHeight="1" x14ac:dyDescent="0.2">
      <c r="A636" s="34"/>
      <c r="B636" s="34"/>
      <c r="C636" s="33"/>
      <c r="D636" s="34"/>
      <c r="E636" s="34"/>
      <c r="F636" s="34"/>
      <c r="G636" s="34"/>
      <c r="H636" s="33"/>
      <c r="I636" s="33"/>
      <c r="J636" s="33"/>
      <c r="K636" s="34"/>
      <c r="L636" s="34"/>
      <c r="M636" s="34"/>
      <c r="N636" s="34"/>
      <c r="O636" s="34"/>
      <c r="P636" s="34"/>
      <c r="Q636" s="34"/>
      <c r="R636" s="34"/>
      <c r="S636" s="34"/>
      <c r="T636" s="34"/>
      <c r="U636" s="34"/>
      <c r="V636" s="34"/>
      <c r="W636" s="34"/>
      <c r="X636" s="34"/>
      <c r="Y636" s="34"/>
      <c r="Z636" s="3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row>
    <row r="637" spans="1:57" ht="15.75" customHeight="1" x14ac:dyDescent="0.2">
      <c r="A637" s="34"/>
      <c r="B637" s="34"/>
      <c r="C637" s="33"/>
      <c r="D637" s="34"/>
      <c r="E637" s="34"/>
      <c r="F637" s="34"/>
      <c r="G637" s="34"/>
      <c r="H637" s="33"/>
      <c r="I637" s="33"/>
      <c r="J637" s="33"/>
      <c r="K637" s="34"/>
      <c r="L637" s="34"/>
      <c r="M637" s="34"/>
      <c r="N637" s="34"/>
      <c r="O637" s="34"/>
      <c r="P637" s="34"/>
      <c r="Q637" s="34"/>
      <c r="R637" s="34"/>
      <c r="S637" s="34"/>
      <c r="T637" s="34"/>
      <c r="U637" s="34"/>
      <c r="V637" s="34"/>
      <c r="W637" s="34"/>
      <c r="X637" s="34"/>
      <c r="Y637" s="34"/>
      <c r="Z637" s="3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row>
    <row r="638" spans="1:57" ht="15.75" customHeight="1" x14ac:dyDescent="0.2">
      <c r="A638" s="34"/>
      <c r="B638" s="34"/>
      <c r="C638" s="33"/>
      <c r="D638" s="34"/>
      <c r="E638" s="34"/>
      <c r="F638" s="34"/>
      <c r="G638" s="34"/>
      <c r="H638" s="33"/>
      <c r="I638" s="33"/>
      <c r="J638" s="33"/>
      <c r="K638" s="34"/>
      <c r="L638" s="34"/>
      <c r="M638" s="34"/>
      <c r="N638" s="34"/>
      <c r="O638" s="34"/>
      <c r="P638" s="34"/>
      <c r="Q638" s="34"/>
      <c r="R638" s="34"/>
      <c r="S638" s="34"/>
      <c r="T638" s="34"/>
      <c r="U638" s="34"/>
      <c r="V638" s="34"/>
      <c r="W638" s="34"/>
      <c r="X638" s="34"/>
      <c r="Y638" s="34"/>
      <c r="Z638" s="3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row>
    <row r="639" spans="1:57" ht="15.75" customHeight="1" x14ac:dyDescent="0.2">
      <c r="A639" s="34"/>
      <c r="B639" s="34"/>
      <c r="C639" s="33"/>
      <c r="D639" s="34"/>
      <c r="E639" s="34"/>
      <c r="F639" s="34"/>
      <c r="G639" s="34"/>
      <c r="H639" s="33"/>
      <c r="I639" s="33"/>
      <c r="J639" s="33"/>
      <c r="K639" s="34"/>
      <c r="L639" s="34"/>
      <c r="M639" s="34"/>
      <c r="N639" s="34"/>
      <c r="O639" s="34"/>
      <c r="P639" s="34"/>
      <c r="Q639" s="34"/>
      <c r="R639" s="34"/>
      <c r="S639" s="34"/>
      <c r="T639" s="34"/>
      <c r="U639" s="34"/>
      <c r="V639" s="34"/>
      <c r="W639" s="34"/>
      <c r="X639" s="34"/>
      <c r="Y639" s="34"/>
      <c r="Z639" s="3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row>
    <row r="640" spans="1:57" ht="15.75" customHeight="1" x14ac:dyDescent="0.2">
      <c r="A640" s="34"/>
      <c r="B640" s="34"/>
      <c r="C640" s="33"/>
      <c r="D640" s="34"/>
      <c r="E640" s="34"/>
      <c r="F640" s="34"/>
      <c r="G640" s="34"/>
      <c r="H640" s="33"/>
      <c r="I640" s="33"/>
      <c r="J640" s="33"/>
      <c r="K640" s="34"/>
      <c r="L640" s="34"/>
      <c r="M640" s="34"/>
      <c r="N640" s="34"/>
      <c r="O640" s="34"/>
      <c r="P640" s="34"/>
      <c r="Q640" s="34"/>
      <c r="R640" s="34"/>
      <c r="S640" s="34"/>
      <c r="T640" s="34"/>
      <c r="U640" s="34"/>
      <c r="V640" s="34"/>
      <c r="W640" s="34"/>
      <c r="X640" s="34"/>
      <c r="Y640" s="34"/>
      <c r="Z640" s="3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row>
    <row r="641" spans="1:57" ht="15.75" customHeight="1" x14ac:dyDescent="0.2">
      <c r="A641" s="34"/>
      <c r="B641" s="34"/>
      <c r="C641" s="33"/>
      <c r="D641" s="34"/>
      <c r="E641" s="34"/>
      <c r="F641" s="34"/>
      <c r="G641" s="34"/>
      <c r="H641" s="33"/>
      <c r="I641" s="33"/>
      <c r="J641" s="33"/>
      <c r="K641" s="34"/>
      <c r="L641" s="34"/>
      <c r="M641" s="34"/>
      <c r="N641" s="34"/>
      <c r="O641" s="34"/>
      <c r="P641" s="34"/>
      <c r="Q641" s="34"/>
      <c r="R641" s="34"/>
      <c r="S641" s="34"/>
      <c r="T641" s="34"/>
      <c r="U641" s="34"/>
      <c r="V641" s="34"/>
      <c r="W641" s="34"/>
      <c r="X641" s="34"/>
      <c r="Y641" s="34"/>
      <c r="Z641" s="3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row>
    <row r="642" spans="1:57" ht="15.75" customHeight="1" x14ac:dyDescent="0.2">
      <c r="A642" s="34"/>
      <c r="B642" s="34"/>
      <c r="C642" s="33"/>
      <c r="D642" s="34"/>
      <c r="E642" s="34"/>
      <c r="F642" s="34"/>
      <c r="G642" s="34"/>
      <c r="H642" s="33"/>
      <c r="I642" s="33"/>
      <c r="J642" s="33"/>
      <c r="K642" s="34"/>
      <c r="L642" s="34"/>
      <c r="M642" s="34"/>
      <c r="N642" s="34"/>
      <c r="O642" s="34"/>
      <c r="P642" s="34"/>
      <c r="Q642" s="34"/>
      <c r="R642" s="34"/>
      <c r="S642" s="34"/>
      <c r="T642" s="34"/>
      <c r="U642" s="34"/>
      <c r="V642" s="34"/>
      <c r="W642" s="34"/>
      <c r="X642" s="34"/>
      <c r="Y642" s="34"/>
      <c r="Z642" s="3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row>
    <row r="643" spans="1:57" ht="15.75" customHeight="1" x14ac:dyDescent="0.2">
      <c r="A643" s="34"/>
      <c r="B643" s="34"/>
      <c r="C643" s="33"/>
      <c r="D643" s="34"/>
      <c r="E643" s="34"/>
      <c r="F643" s="34"/>
      <c r="G643" s="34"/>
      <c r="H643" s="33"/>
      <c r="I643" s="33"/>
      <c r="J643" s="33"/>
      <c r="K643" s="34"/>
      <c r="L643" s="34"/>
      <c r="M643" s="34"/>
      <c r="N643" s="34"/>
      <c r="O643" s="34"/>
      <c r="P643" s="34"/>
      <c r="Q643" s="34"/>
      <c r="R643" s="34"/>
      <c r="S643" s="34"/>
      <c r="T643" s="34"/>
      <c r="U643" s="34"/>
      <c r="V643" s="34"/>
      <c r="W643" s="34"/>
      <c r="X643" s="34"/>
      <c r="Y643" s="34"/>
      <c r="Z643" s="3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row>
    <row r="644" spans="1:57" ht="15.75" customHeight="1" x14ac:dyDescent="0.2">
      <c r="A644" s="34"/>
      <c r="B644" s="34"/>
      <c r="C644" s="33"/>
      <c r="D644" s="34"/>
      <c r="E644" s="34"/>
      <c r="F644" s="34"/>
      <c r="G644" s="34"/>
      <c r="H644" s="33"/>
      <c r="I644" s="33"/>
      <c r="J644" s="33"/>
      <c r="K644" s="34"/>
      <c r="L644" s="34"/>
      <c r="M644" s="34"/>
      <c r="N644" s="34"/>
      <c r="O644" s="34"/>
      <c r="P644" s="34"/>
      <c r="Q644" s="34"/>
      <c r="R644" s="34"/>
      <c r="S644" s="34"/>
      <c r="T644" s="34"/>
      <c r="U644" s="34"/>
      <c r="V644" s="34"/>
      <c r="W644" s="34"/>
      <c r="X644" s="34"/>
      <c r="Y644" s="34"/>
      <c r="Z644" s="3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row>
    <row r="645" spans="1:57" ht="15.75" customHeight="1" x14ac:dyDescent="0.2">
      <c r="A645" s="34"/>
      <c r="B645" s="34"/>
      <c r="C645" s="33"/>
      <c r="D645" s="34"/>
      <c r="E645" s="34"/>
      <c r="F645" s="34"/>
      <c r="G645" s="34"/>
      <c r="H645" s="33"/>
      <c r="I645" s="33"/>
      <c r="J645" s="33"/>
      <c r="K645" s="34"/>
      <c r="L645" s="34"/>
      <c r="M645" s="34"/>
      <c r="N645" s="34"/>
      <c r="O645" s="34"/>
      <c r="P645" s="34"/>
      <c r="Q645" s="34"/>
      <c r="R645" s="34"/>
      <c r="S645" s="34"/>
      <c r="T645" s="34"/>
      <c r="U645" s="34"/>
      <c r="V645" s="34"/>
      <c r="W645" s="34"/>
      <c r="X645" s="34"/>
      <c r="Y645" s="34"/>
      <c r="Z645" s="3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row>
    <row r="646" spans="1:57" ht="15.75" customHeight="1" x14ac:dyDescent="0.2">
      <c r="A646" s="34"/>
      <c r="B646" s="34"/>
      <c r="C646" s="33"/>
      <c r="D646" s="34"/>
      <c r="E646" s="34"/>
      <c r="F646" s="34"/>
      <c r="G646" s="34"/>
      <c r="H646" s="33"/>
      <c r="I646" s="33"/>
      <c r="J646" s="33"/>
      <c r="K646" s="34"/>
      <c r="L646" s="34"/>
      <c r="M646" s="34"/>
      <c r="N646" s="34"/>
      <c r="O646" s="34"/>
      <c r="P646" s="34"/>
      <c r="Q646" s="34"/>
      <c r="R646" s="34"/>
      <c r="S646" s="34"/>
      <c r="T646" s="34"/>
      <c r="U646" s="34"/>
      <c r="V646" s="34"/>
      <c r="W646" s="34"/>
      <c r="X646" s="34"/>
      <c r="Y646" s="34"/>
      <c r="Z646" s="3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row>
    <row r="647" spans="1:57" ht="15.75" customHeight="1" x14ac:dyDescent="0.2">
      <c r="A647" s="34"/>
      <c r="B647" s="34"/>
      <c r="C647" s="33"/>
      <c r="D647" s="34"/>
      <c r="E647" s="34"/>
      <c r="F647" s="34"/>
      <c r="G647" s="34"/>
      <c r="H647" s="33"/>
      <c r="I647" s="33"/>
      <c r="J647" s="33"/>
      <c r="K647" s="34"/>
      <c r="L647" s="34"/>
      <c r="M647" s="34"/>
      <c r="N647" s="34"/>
      <c r="O647" s="34"/>
      <c r="P647" s="34"/>
      <c r="Q647" s="34"/>
      <c r="R647" s="34"/>
      <c r="S647" s="34"/>
      <c r="T647" s="34"/>
      <c r="U647" s="34"/>
      <c r="V647" s="34"/>
      <c r="W647" s="34"/>
      <c r="X647" s="34"/>
      <c r="Y647" s="34"/>
      <c r="Z647" s="3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row>
    <row r="648" spans="1:57" ht="15.75" customHeight="1" x14ac:dyDescent="0.2">
      <c r="A648" s="34"/>
      <c r="B648" s="34"/>
      <c r="C648" s="33"/>
      <c r="D648" s="34"/>
      <c r="E648" s="34"/>
      <c r="F648" s="34"/>
      <c r="G648" s="34"/>
      <c r="H648" s="33"/>
      <c r="I648" s="33"/>
      <c r="J648" s="33"/>
      <c r="K648" s="34"/>
      <c r="L648" s="34"/>
      <c r="M648" s="34"/>
      <c r="N648" s="34"/>
      <c r="O648" s="34"/>
      <c r="P648" s="34"/>
      <c r="Q648" s="34"/>
      <c r="R648" s="34"/>
      <c r="S648" s="34"/>
      <c r="T648" s="34"/>
      <c r="U648" s="34"/>
      <c r="V648" s="34"/>
      <c r="W648" s="34"/>
      <c r="X648" s="34"/>
      <c r="Y648" s="34"/>
      <c r="Z648" s="3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row>
    <row r="649" spans="1:57" ht="15.75" customHeight="1" x14ac:dyDescent="0.2">
      <c r="A649" s="34"/>
      <c r="B649" s="34"/>
      <c r="C649" s="33"/>
      <c r="D649" s="34"/>
      <c r="E649" s="34"/>
      <c r="F649" s="34"/>
      <c r="G649" s="34"/>
      <c r="H649" s="33"/>
      <c r="I649" s="33"/>
      <c r="J649" s="33"/>
      <c r="K649" s="34"/>
      <c r="L649" s="34"/>
      <c r="M649" s="34"/>
      <c r="N649" s="34"/>
      <c r="O649" s="34"/>
      <c r="P649" s="34"/>
      <c r="Q649" s="34"/>
      <c r="R649" s="34"/>
      <c r="S649" s="34"/>
      <c r="T649" s="34"/>
      <c r="U649" s="34"/>
      <c r="V649" s="34"/>
      <c r="W649" s="34"/>
      <c r="X649" s="34"/>
      <c r="Y649" s="34"/>
      <c r="Z649" s="3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row>
    <row r="650" spans="1:57" ht="15.75" customHeight="1" x14ac:dyDescent="0.2">
      <c r="A650" s="34"/>
      <c r="B650" s="34"/>
      <c r="C650" s="33"/>
      <c r="D650" s="34"/>
      <c r="E650" s="34"/>
      <c r="F650" s="34"/>
      <c r="G650" s="34"/>
      <c r="H650" s="33"/>
      <c r="I650" s="33"/>
      <c r="J650" s="33"/>
      <c r="K650" s="34"/>
      <c r="L650" s="34"/>
      <c r="M650" s="34"/>
      <c r="N650" s="34"/>
      <c r="O650" s="34"/>
      <c r="P650" s="34"/>
      <c r="Q650" s="34"/>
      <c r="R650" s="34"/>
      <c r="S650" s="34"/>
      <c r="T650" s="34"/>
      <c r="U650" s="34"/>
      <c r="V650" s="34"/>
      <c r="W650" s="34"/>
      <c r="X650" s="34"/>
      <c r="Y650" s="34"/>
      <c r="Z650" s="3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row>
    <row r="651" spans="1:57" ht="15.75" customHeight="1" x14ac:dyDescent="0.2">
      <c r="A651" s="34"/>
      <c r="B651" s="34"/>
      <c r="C651" s="33"/>
      <c r="D651" s="34"/>
      <c r="E651" s="34"/>
      <c r="F651" s="34"/>
      <c r="G651" s="34"/>
      <c r="H651" s="33"/>
      <c r="I651" s="33"/>
      <c r="J651" s="33"/>
      <c r="K651" s="34"/>
      <c r="L651" s="34"/>
      <c r="M651" s="34"/>
      <c r="N651" s="34"/>
      <c r="O651" s="34"/>
      <c r="P651" s="34"/>
      <c r="Q651" s="34"/>
      <c r="R651" s="34"/>
      <c r="S651" s="34"/>
      <c r="T651" s="34"/>
      <c r="U651" s="34"/>
      <c r="V651" s="34"/>
      <c r="W651" s="34"/>
      <c r="X651" s="34"/>
      <c r="Y651" s="34"/>
      <c r="Z651" s="3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row>
    <row r="652" spans="1:57" ht="15.75" customHeight="1" x14ac:dyDescent="0.2">
      <c r="A652" s="34"/>
      <c r="B652" s="34"/>
      <c r="C652" s="33"/>
      <c r="D652" s="34"/>
      <c r="E652" s="34"/>
      <c r="F652" s="34"/>
      <c r="G652" s="34"/>
      <c r="H652" s="33"/>
      <c r="I652" s="33"/>
      <c r="J652" s="33"/>
      <c r="K652" s="34"/>
      <c r="L652" s="34"/>
      <c r="M652" s="34"/>
      <c r="N652" s="34"/>
      <c r="O652" s="34"/>
      <c r="P652" s="34"/>
      <c r="Q652" s="34"/>
      <c r="R652" s="34"/>
      <c r="S652" s="34"/>
      <c r="T652" s="34"/>
      <c r="U652" s="34"/>
      <c r="V652" s="34"/>
      <c r="W652" s="34"/>
      <c r="X652" s="34"/>
      <c r="Y652" s="34"/>
      <c r="Z652" s="3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row>
    <row r="653" spans="1:57" ht="15.75" customHeight="1" x14ac:dyDescent="0.2">
      <c r="A653" s="34"/>
      <c r="B653" s="34"/>
      <c r="C653" s="33"/>
      <c r="D653" s="34"/>
      <c r="E653" s="34"/>
      <c r="F653" s="34"/>
      <c r="G653" s="34"/>
      <c r="H653" s="33"/>
      <c r="I653" s="33"/>
      <c r="J653" s="33"/>
      <c r="K653" s="34"/>
      <c r="L653" s="34"/>
      <c r="M653" s="34"/>
      <c r="N653" s="34"/>
      <c r="O653" s="34"/>
      <c r="P653" s="34"/>
      <c r="Q653" s="34"/>
      <c r="R653" s="34"/>
      <c r="S653" s="34"/>
      <c r="T653" s="34"/>
      <c r="U653" s="34"/>
      <c r="V653" s="34"/>
      <c r="W653" s="34"/>
      <c r="X653" s="34"/>
      <c r="Y653" s="34"/>
      <c r="Z653" s="3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row>
    <row r="654" spans="1:57" ht="15.75" customHeight="1" x14ac:dyDescent="0.2">
      <c r="A654" s="34"/>
      <c r="B654" s="34"/>
      <c r="C654" s="33"/>
      <c r="D654" s="34"/>
      <c r="E654" s="34"/>
      <c r="F654" s="34"/>
      <c r="G654" s="34"/>
      <c r="H654" s="33"/>
      <c r="I654" s="33"/>
      <c r="J654" s="33"/>
      <c r="K654" s="34"/>
      <c r="L654" s="34"/>
      <c r="M654" s="34"/>
      <c r="N654" s="34"/>
      <c r="O654" s="34"/>
      <c r="P654" s="34"/>
      <c r="Q654" s="34"/>
      <c r="R654" s="34"/>
      <c r="S654" s="34"/>
      <c r="T654" s="34"/>
      <c r="U654" s="34"/>
      <c r="V654" s="34"/>
      <c r="W654" s="34"/>
      <c r="X654" s="34"/>
      <c r="Y654" s="34"/>
      <c r="Z654" s="3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row>
    <row r="655" spans="1:57" ht="15.75" customHeight="1" x14ac:dyDescent="0.2">
      <c r="A655" s="34"/>
      <c r="B655" s="34"/>
      <c r="C655" s="33"/>
      <c r="D655" s="34"/>
      <c r="E655" s="34"/>
      <c r="F655" s="34"/>
      <c r="G655" s="34"/>
      <c r="H655" s="33"/>
      <c r="I655" s="33"/>
      <c r="J655" s="33"/>
      <c r="K655" s="34"/>
      <c r="L655" s="34"/>
      <c r="M655" s="34"/>
      <c r="N655" s="34"/>
      <c r="O655" s="34"/>
      <c r="P655" s="34"/>
      <c r="Q655" s="34"/>
      <c r="R655" s="34"/>
      <c r="S655" s="34"/>
      <c r="T655" s="34"/>
      <c r="U655" s="34"/>
      <c r="V655" s="34"/>
      <c r="W655" s="34"/>
      <c r="X655" s="34"/>
      <c r="Y655" s="34"/>
      <c r="Z655" s="3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row>
    <row r="656" spans="1:57" ht="15.75" customHeight="1" x14ac:dyDescent="0.2">
      <c r="A656" s="34"/>
      <c r="B656" s="34"/>
      <c r="C656" s="33"/>
      <c r="D656" s="34"/>
      <c r="E656" s="34"/>
      <c r="F656" s="34"/>
      <c r="G656" s="34"/>
      <c r="H656" s="33"/>
      <c r="I656" s="33"/>
      <c r="J656" s="33"/>
      <c r="K656" s="34"/>
      <c r="L656" s="34"/>
      <c r="M656" s="34"/>
      <c r="N656" s="34"/>
      <c r="O656" s="34"/>
      <c r="P656" s="34"/>
      <c r="Q656" s="34"/>
      <c r="R656" s="34"/>
      <c r="S656" s="34"/>
      <c r="T656" s="34"/>
      <c r="U656" s="34"/>
      <c r="V656" s="34"/>
      <c r="W656" s="34"/>
      <c r="X656" s="34"/>
      <c r="Y656" s="34"/>
      <c r="Z656" s="3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row>
    <row r="657" spans="1:57" ht="15.75" customHeight="1" x14ac:dyDescent="0.2">
      <c r="A657" s="34"/>
      <c r="B657" s="34"/>
      <c r="C657" s="33"/>
      <c r="D657" s="34"/>
      <c r="E657" s="34"/>
      <c r="F657" s="34"/>
      <c r="G657" s="34"/>
      <c r="H657" s="33"/>
      <c r="I657" s="33"/>
      <c r="J657" s="33"/>
      <c r="K657" s="34"/>
      <c r="L657" s="34"/>
      <c r="M657" s="34"/>
      <c r="N657" s="34"/>
      <c r="O657" s="34"/>
      <c r="P657" s="34"/>
      <c r="Q657" s="34"/>
      <c r="R657" s="34"/>
      <c r="S657" s="34"/>
      <c r="T657" s="34"/>
      <c r="U657" s="34"/>
      <c r="V657" s="34"/>
      <c r="W657" s="34"/>
      <c r="X657" s="34"/>
      <c r="Y657" s="34"/>
      <c r="Z657" s="3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row>
    <row r="658" spans="1:57" ht="15.75" customHeight="1" x14ac:dyDescent="0.2">
      <c r="A658" s="34"/>
      <c r="B658" s="34"/>
      <c r="C658" s="33"/>
      <c r="D658" s="34"/>
      <c r="E658" s="34"/>
      <c r="F658" s="34"/>
      <c r="G658" s="34"/>
      <c r="H658" s="33"/>
      <c r="I658" s="33"/>
      <c r="J658" s="33"/>
      <c r="K658" s="34"/>
      <c r="L658" s="34"/>
      <c r="M658" s="34"/>
      <c r="N658" s="34"/>
      <c r="O658" s="34"/>
      <c r="P658" s="34"/>
      <c r="Q658" s="34"/>
      <c r="R658" s="34"/>
      <c r="S658" s="34"/>
      <c r="T658" s="34"/>
      <c r="U658" s="34"/>
      <c r="V658" s="34"/>
      <c r="W658" s="34"/>
      <c r="X658" s="34"/>
      <c r="Y658" s="34"/>
      <c r="Z658" s="3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row>
    <row r="659" spans="1:57" ht="15.75" customHeight="1" x14ac:dyDescent="0.2">
      <c r="A659" s="34"/>
      <c r="B659" s="34"/>
      <c r="C659" s="33"/>
      <c r="D659" s="34"/>
      <c r="E659" s="34"/>
      <c r="F659" s="34"/>
      <c r="G659" s="34"/>
      <c r="H659" s="33"/>
      <c r="I659" s="33"/>
      <c r="J659" s="33"/>
      <c r="K659" s="34"/>
      <c r="L659" s="34"/>
      <c r="M659" s="34"/>
      <c r="N659" s="34"/>
      <c r="O659" s="34"/>
      <c r="P659" s="34"/>
      <c r="Q659" s="34"/>
      <c r="R659" s="34"/>
      <c r="S659" s="34"/>
      <c r="T659" s="34"/>
      <c r="U659" s="34"/>
      <c r="V659" s="34"/>
      <c r="W659" s="34"/>
      <c r="X659" s="34"/>
      <c r="Y659" s="34"/>
      <c r="Z659" s="3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row>
    <row r="660" spans="1:57" ht="15.75" customHeight="1" x14ac:dyDescent="0.2">
      <c r="A660" s="34"/>
      <c r="B660" s="34"/>
      <c r="C660" s="33"/>
      <c r="D660" s="34"/>
      <c r="E660" s="34"/>
      <c r="F660" s="34"/>
      <c r="G660" s="34"/>
      <c r="H660" s="33"/>
      <c r="I660" s="33"/>
      <c r="J660" s="33"/>
      <c r="K660" s="34"/>
      <c r="L660" s="34"/>
      <c r="M660" s="34"/>
      <c r="N660" s="34"/>
      <c r="O660" s="34"/>
      <c r="P660" s="34"/>
      <c r="Q660" s="34"/>
      <c r="R660" s="34"/>
      <c r="S660" s="34"/>
      <c r="T660" s="34"/>
      <c r="U660" s="34"/>
      <c r="V660" s="34"/>
      <c r="W660" s="34"/>
      <c r="X660" s="34"/>
      <c r="Y660" s="34"/>
      <c r="Z660" s="3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row>
    <row r="661" spans="1:57" ht="15.75" customHeight="1" x14ac:dyDescent="0.2">
      <c r="A661" s="34"/>
      <c r="B661" s="34"/>
      <c r="C661" s="33"/>
      <c r="D661" s="34"/>
      <c r="E661" s="34"/>
      <c r="F661" s="34"/>
      <c r="G661" s="34"/>
      <c r="H661" s="33"/>
      <c r="I661" s="33"/>
      <c r="J661" s="33"/>
      <c r="K661" s="34"/>
      <c r="L661" s="34"/>
      <c r="M661" s="34"/>
      <c r="N661" s="34"/>
      <c r="O661" s="34"/>
      <c r="P661" s="34"/>
      <c r="Q661" s="34"/>
      <c r="R661" s="34"/>
      <c r="S661" s="34"/>
      <c r="T661" s="34"/>
      <c r="U661" s="34"/>
      <c r="V661" s="34"/>
      <c r="W661" s="34"/>
      <c r="X661" s="34"/>
      <c r="Y661" s="34"/>
      <c r="Z661" s="3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row>
    <row r="662" spans="1:57" ht="15.75" customHeight="1" x14ac:dyDescent="0.2">
      <c r="A662" s="34"/>
      <c r="B662" s="34"/>
      <c r="C662" s="33"/>
      <c r="D662" s="34"/>
      <c r="E662" s="34"/>
      <c r="F662" s="34"/>
      <c r="G662" s="34"/>
      <c r="H662" s="33"/>
      <c r="I662" s="33"/>
      <c r="J662" s="33"/>
      <c r="K662" s="34"/>
      <c r="L662" s="34"/>
      <c r="M662" s="34"/>
      <c r="N662" s="34"/>
      <c r="O662" s="34"/>
      <c r="P662" s="34"/>
      <c r="Q662" s="34"/>
      <c r="R662" s="34"/>
      <c r="S662" s="34"/>
      <c r="T662" s="34"/>
      <c r="U662" s="34"/>
      <c r="V662" s="34"/>
      <c r="W662" s="34"/>
      <c r="X662" s="34"/>
      <c r="Y662" s="34"/>
      <c r="Z662" s="3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row>
    <row r="663" spans="1:57" ht="15.75" customHeight="1" x14ac:dyDescent="0.2">
      <c r="A663" s="34"/>
      <c r="B663" s="34"/>
      <c r="C663" s="33"/>
      <c r="D663" s="34"/>
      <c r="E663" s="34"/>
      <c r="F663" s="34"/>
      <c r="G663" s="34"/>
      <c r="H663" s="33"/>
      <c r="I663" s="33"/>
      <c r="J663" s="33"/>
      <c r="K663" s="34"/>
      <c r="L663" s="34"/>
      <c r="M663" s="34"/>
      <c r="N663" s="34"/>
      <c r="O663" s="34"/>
      <c r="P663" s="34"/>
      <c r="Q663" s="34"/>
      <c r="R663" s="34"/>
      <c r="S663" s="34"/>
      <c r="T663" s="34"/>
      <c r="U663" s="34"/>
      <c r="V663" s="34"/>
      <c r="W663" s="34"/>
      <c r="X663" s="34"/>
      <c r="Y663" s="34"/>
      <c r="Z663" s="3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row>
    <row r="664" spans="1:57" ht="15.75" customHeight="1" x14ac:dyDescent="0.2">
      <c r="A664" s="34"/>
      <c r="B664" s="34"/>
      <c r="C664" s="33"/>
      <c r="D664" s="34"/>
      <c r="E664" s="34"/>
      <c r="F664" s="34"/>
      <c r="G664" s="34"/>
      <c r="H664" s="33"/>
      <c r="I664" s="33"/>
      <c r="J664" s="33"/>
      <c r="K664" s="34"/>
      <c r="L664" s="34"/>
      <c r="M664" s="34"/>
      <c r="N664" s="34"/>
      <c r="O664" s="34"/>
      <c r="P664" s="34"/>
      <c r="Q664" s="34"/>
      <c r="R664" s="34"/>
      <c r="S664" s="34"/>
      <c r="T664" s="34"/>
      <c r="U664" s="34"/>
      <c r="V664" s="34"/>
      <c r="W664" s="34"/>
      <c r="X664" s="34"/>
      <c r="Y664" s="34"/>
      <c r="Z664" s="3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row>
    <row r="665" spans="1:57" ht="15.75" customHeight="1" x14ac:dyDescent="0.2">
      <c r="A665" s="34"/>
      <c r="B665" s="34"/>
      <c r="C665" s="33"/>
      <c r="D665" s="34"/>
      <c r="E665" s="34"/>
      <c r="F665" s="34"/>
      <c r="G665" s="34"/>
      <c r="H665" s="33"/>
      <c r="I665" s="33"/>
      <c r="J665" s="33"/>
      <c r="K665" s="34"/>
      <c r="L665" s="34"/>
      <c r="M665" s="34"/>
      <c r="N665" s="34"/>
      <c r="O665" s="34"/>
      <c r="P665" s="34"/>
      <c r="Q665" s="34"/>
      <c r="R665" s="34"/>
      <c r="S665" s="34"/>
      <c r="T665" s="34"/>
      <c r="U665" s="34"/>
      <c r="V665" s="34"/>
      <c r="W665" s="34"/>
      <c r="X665" s="34"/>
      <c r="Y665" s="34"/>
      <c r="Z665" s="3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row>
    <row r="666" spans="1:57" ht="15.75" customHeight="1" x14ac:dyDescent="0.2">
      <c r="A666" s="34"/>
      <c r="B666" s="34"/>
      <c r="C666" s="33"/>
      <c r="D666" s="34"/>
      <c r="E666" s="34"/>
      <c r="F666" s="34"/>
      <c r="G666" s="34"/>
      <c r="H666" s="33"/>
      <c r="I666" s="33"/>
      <c r="J666" s="33"/>
      <c r="K666" s="34"/>
      <c r="L666" s="34"/>
      <c r="M666" s="34"/>
      <c r="N666" s="34"/>
      <c r="O666" s="34"/>
      <c r="P666" s="34"/>
      <c r="Q666" s="34"/>
      <c r="R666" s="34"/>
      <c r="S666" s="34"/>
      <c r="T666" s="34"/>
      <c r="U666" s="34"/>
      <c r="V666" s="34"/>
      <c r="W666" s="34"/>
      <c r="X666" s="34"/>
      <c r="Y666" s="34"/>
      <c r="Z666" s="3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row>
    <row r="667" spans="1:57" ht="15.75" customHeight="1" x14ac:dyDescent="0.2">
      <c r="A667" s="34"/>
      <c r="B667" s="34"/>
      <c r="C667" s="33"/>
      <c r="D667" s="34"/>
      <c r="E667" s="34"/>
      <c r="F667" s="34"/>
      <c r="G667" s="34"/>
      <c r="H667" s="33"/>
      <c r="I667" s="33"/>
      <c r="J667" s="33"/>
      <c r="K667" s="34"/>
      <c r="L667" s="34"/>
      <c r="M667" s="34"/>
      <c r="N667" s="34"/>
      <c r="O667" s="34"/>
      <c r="P667" s="34"/>
      <c r="Q667" s="34"/>
      <c r="R667" s="34"/>
      <c r="S667" s="34"/>
      <c r="T667" s="34"/>
      <c r="U667" s="34"/>
      <c r="V667" s="34"/>
      <c r="W667" s="34"/>
      <c r="X667" s="34"/>
      <c r="Y667" s="34"/>
      <c r="Z667" s="3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row>
    <row r="668" spans="1:57" ht="15.75" customHeight="1" x14ac:dyDescent="0.2">
      <c r="A668" s="34"/>
      <c r="B668" s="34"/>
      <c r="C668" s="33"/>
      <c r="D668" s="34"/>
      <c r="E668" s="34"/>
      <c r="F668" s="34"/>
      <c r="G668" s="34"/>
      <c r="H668" s="33"/>
      <c r="I668" s="33"/>
      <c r="J668" s="33"/>
      <c r="K668" s="34"/>
      <c r="L668" s="34"/>
      <c r="M668" s="34"/>
      <c r="N668" s="34"/>
      <c r="O668" s="34"/>
      <c r="P668" s="34"/>
      <c r="Q668" s="34"/>
      <c r="R668" s="34"/>
      <c r="S668" s="34"/>
      <c r="T668" s="34"/>
      <c r="U668" s="34"/>
      <c r="V668" s="34"/>
      <c r="W668" s="34"/>
      <c r="X668" s="34"/>
      <c r="Y668" s="34"/>
      <c r="Z668" s="3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row>
    <row r="669" spans="1:57" ht="15.75" customHeight="1" x14ac:dyDescent="0.2">
      <c r="A669" s="34"/>
      <c r="B669" s="34"/>
      <c r="C669" s="33"/>
      <c r="D669" s="34"/>
      <c r="E669" s="34"/>
      <c r="F669" s="34"/>
      <c r="G669" s="34"/>
      <c r="H669" s="33"/>
      <c r="I669" s="33"/>
      <c r="J669" s="33"/>
      <c r="K669" s="34"/>
      <c r="L669" s="34"/>
      <c r="M669" s="34"/>
      <c r="N669" s="34"/>
      <c r="O669" s="34"/>
      <c r="P669" s="34"/>
      <c r="Q669" s="34"/>
      <c r="R669" s="34"/>
      <c r="S669" s="34"/>
      <c r="T669" s="34"/>
      <c r="U669" s="34"/>
      <c r="V669" s="34"/>
      <c r="W669" s="34"/>
      <c r="X669" s="34"/>
      <c r="Y669" s="34"/>
      <c r="Z669" s="3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row>
    <row r="670" spans="1:57" ht="15.75" customHeight="1" x14ac:dyDescent="0.2">
      <c r="A670" s="34"/>
      <c r="B670" s="34"/>
      <c r="C670" s="33"/>
      <c r="D670" s="34"/>
      <c r="E670" s="34"/>
      <c r="F670" s="34"/>
      <c r="G670" s="34"/>
      <c r="H670" s="33"/>
      <c r="I670" s="33"/>
      <c r="J670" s="33"/>
      <c r="K670" s="34"/>
      <c r="L670" s="34"/>
      <c r="M670" s="34"/>
      <c r="N670" s="34"/>
      <c r="O670" s="34"/>
      <c r="P670" s="34"/>
      <c r="Q670" s="34"/>
      <c r="R670" s="34"/>
      <c r="S670" s="34"/>
      <c r="T670" s="34"/>
      <c r="U670" s="34"/>
      <c r="V670" s="34"/>
      <c r="W670" s="34"/>
      <c r="X670" s="34"/>
      <c r="Y670" s="34"/>
      <c r="Z670" s="3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row>
    <row r="671" spans="1:57" ht="15.75" customHeight="1" x14ac:dyDescent="0.2">
      <c r="A671" s="34"/>
      <c r="B671" s="34"/>
      <c r="C671" s="33"/>
      <c r="D671" s="34"/>
      <c r="E671" s="34"/>
      <c r="F671" s="34"/>
      <c r="G671" s="34"/>
      <c r="H671" s="33"/>
      <c r="I671" s="33"/>
      <c r="J671" s="33"/>
      <c r="K671" s="34"/>
      <c r="L671" s="34"/>
      <c r="M671" s="34"/>
      <c r="N671" s="34"/>
      <c r="O671" s="34"/>
      <c r="P671" s="34"/>
      <c r="Q671" s="34"/>
      <c r="R671" s="34"/>
      <c r="S671" s="34"/>
      <c r="T671" s="34"/>
      <c r="U671" s="34"/>
      <c r="V671" s="34"/>
      <c r="W671" s="34"/>
      <c r="X671" s="34"/>
      <c r="Y671" s="34"/>
      <c r="Z671" s="3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row>
    <row r="672" spans="1:57" ht="15.75" customHeight="1" x14ac:dyDescent="0.2">
      <c r="A672" s="34"/>
      <c r="B672" s="34"/>
      <c r="C672" s="33"/>
      <c r="D672" s="34"/>
      <c r="E672" s="34"/>
      <c r="F672" s="34"/>
      <c r="G672" s="34"/>
      <c r="H672" s="33"/>
      <c r="I672" s="33"/>
      <c r="J672" s="33"/>
      <c r="K672" s="34"/>
      <c r="L672" s="34"/>
      <c r="M672" s="34"/>
      <c r="N672" s="34"/>
      <c r="O672" s="34"/>
      <c r="P672" s="34"/>
      <c r="Q672" s="34"/>
      <c r="R672" s="34"/>
      <c r="S672" s="34"/>
      <c r="T672" s="34"/>
      <c r="U672" s="34"/>
      <c r="V672" s="34"/>
      <c r="W672" s="34"/>
      <c r="X672" s="34"/>
      <c r="Y672" s="34"/>
      <c r="Z672" s="3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row>
    <row r="673" spans="1:57" ht="15.75" customHeight="1" x14ac:dyDescent="0.2">
      <c r="A673" s="34"/>
      <c r="B673" s="34"/>
      <c r="C673" s="33"/>
      <c r="D673" s="34"/>
      <c r="E673" s="34"/>
      <c r="F673" s="34"/>
      <c r="G673" s="34"/>
      <c r="H673" s="33"/>
      <c r="I673" s="33"/>
      <c r="J673" s="33"/>
      <c r="K673" s="34"/>
      <c r="L673" s="34"/>
      <c r="M673" s="34"/>
      <c r="N673" s="34"/>
      <c r="O673" s="34"/>
      <c r="P673" s="34"/>
      <c r="Q673" s="34"/>
      <c r="R673" s="34"/>
      <c r="S673" s="34"/>
      <c r="T673" s="34"/>
      <c r="U673" s="34"/>
      <c r="V673" s="34"/>
      <c r="W673" s="34"/>
      <c r="X673" s="34"/>
      <c r="Y673" s="34"/>
      <c r="Z673" s="3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row>
    <row r="674" spans="1:57" ht="15.75" customHeight="1" x14ac:dyDescent="0.2">
      <c r="A674" s="34"/>
      <c r="B674" s="34"/>
      <c r="C674" s="33"/>
      <c r="D674" s="34"/>
      <c r="E674" s="34"/>
      <c r="F674" s="34"/>
      <c r="G674" s="34"/>
      <c r="H674" s="33"/>
      <c r="I674" s="33"/>
      <c r="J674" s="33"/>
      <c r="K674" s="34"/>
      <c r="L674" s="34"/>
      <c r="M674" s="34"/>
      <c r="N674" s="34"/>
      <c r="O674" s="34"/>
      <c r="P674" s="34"/>
      <c r="Q674" s="34"/>
      <c r="R674" s="34"/>
      <c r="S674" s="34"/>
      <c r="T674" s="34"/>
      <c r="U674" s="34"/>
      <c r="V674" s="34"/>
      <c r="W674" s="34"/>
      <c r="X674" s="34"/>
      <c r="Y674" s="34"/>
      <c r="Z674" s="3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row>
    <row r="675" spans="1:57" ht="15.75" customHeight="1" x14ac:dyDescent="0.2">
      <c r="A675" s="34"/>
      <c r="B675" s="34"/>
      <c r="C675" s="33"/>
      <c r="D675" s="34"/>
      <c r="E675" s="34"/>
      <c r="F675" s="34"/>
      <c r="G675" s="34"/>
      <c r="H675" s="33"/>
      <c r="I675" s="33"/>
      <c r="J675" s="33"/>
      <c r="K675" s="34"/>
      <c r="L675" s="34"/>
      <c r="M675" s="34"/>
      <c r="N675" s="34"/>
      <c r="O675" s="34"/>
      <c r="P675" s="34"/>
      <c r="Q675" s="34"/>
      <c r="R675" s="34"/>
      <c r="S675" s="34"/>
      <c r="T675" s="34"/>
      <c r="U675" s="34"/>
      <c r="V675" s="34"/>
      <c r="W675" s="34"/>
      <c r="X675" s="34"/>
      <c r="Y675" s="34"/>
      <c r="Z675" s="3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row>
    <row r="676" spans="1:57" ht="15.75" customHeight="1" x14ac:dyDescent="0.2">
      <c r="A676" s="34"/>
      <c r="B676" s="34"/>
      <c r="C676" s="33"/>
      <c r="D676" s="34"/>
      <c r="E676" s="34"/>
      <c r="F676" s="34"/>
      <c r="G676" s="34"/>
      <c r="H676" s="33"/>
      <c r="I676" s="33"/>
      <c r="J676" s="33"/>
      <c r="K676" s="34"/>
      <c r="L676" s="34"/>
      <c r="M676" s="34"/>
      <c r="N676" s="34"/>
      <c r="O676" s="34"/>
      <c r="P676" s="34"/>
      <c r="Q676" s="34"/>
      <c r="R676" s="34"/>
      <c r="S676" s="34"/>
      <c r="T676" s="34"/>
      <c r="U676" s="34"/>
      <c r="V676" s="34"/>
      <c r="W676" s="34"/>
      <c r="X676" s="34"/>
      <c r="Y676" s="34"/>
      <c r="Z676" s="3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row>
    <row r="677" spans="1:57" ht="15.75" customHeight="1" x14ac:dyDescent="0.2">
      <c r="A677" s="34"/>
      <c r="B677" s="34"/>
      <c r="C677" s="33"/>
      <c r="D677" s="34"/>
      <c r="E677" s="34"/>
      <c r="F677" s="34"/>
      <c r="G677" s="34"/>
      <c r="H677" s="33"/>
      <c r="I677" s="33"/>
      <c r="J677" s="33"/>
      <c r="K677" s="34"/>
      <c r="L677" s="34"/>
      <c r="M677" s="34"/>
      <c r="N677" s="34"/>
      <c r="O677" s="34"/>
      <c r="P677" s="34"/>
      <c r="Q677" s="34"/>
      <c r="R677" s="34"/>
      <c r="S677" s="34"/>
      <c r="T677" s="34"/>
      <c r="U677" s="34"/>
      <c r="V677" s="34"/>
      <c r="W677" s="34"/>
      <c r="X677" s="34"/>
      <c r="Y677" s="34"/>
      <c r="Z677" s="3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row>
    <row r="678" spans="1:57" ht="15.75" customHeight="1" x14ac:dyDescent="0.2">
      <c r="A678" s="34"/>
      <c r="B678" s="34"/>
      <c r="C678" s="33"/>
      <c r="D678" s="34"/>
      <c r="E678" s="34"/>
      <c r="F678" s="34"/>
      <c r="G678" s="34"/>
      <c r="H678" s="33"/>
      <c r="I678" s="33"/>
      <c r="J678" s="33"/>
      <c r="K678" s="34"/>
      <c r="L678" s="34"/>
      <c r="M678" s="34"/>
      <c r="N678" s="34"/>
      <c r="O678" s="34"/>
      <c r="P678" s="34"/>
      <c r="Q678" s="34"/>
      <c r="R678" s="34"/>
      <c r="S678" s="34"/>
      <c r="T678" s="34"/>
      <c r="U678" s="34"/>
      <c r="V678" s="34"/>
      <c r="W678" s="34"/>
      <c r="X678" s="34"/>
      <c r="Y678" s="34"/>
      <c r="Z678" s="3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row>
    <row r="679" spans="1:57" ht="15.75" customHeight="1" x14ac:dyDescent="0.2">
      <c r="A679" s="34"/>
      <c r="B679" s="34"/>
      <c r="C679" s="33"/>
      <c r="D679" s="34"/>
      <c r="E679" s="34"/>
      <c r="F679" s="34"/>
      <c r="G679" s="34"/>
      <c r="H679" s="33"/>
      <c r="I679" s="33"/>
      <c r="J679" s="33"/>
      <c r="K679" s="34"/>
      <c r="L679" s="34"/>
      <c r="M679" s="34"/>
      <c r="N679" s="34"/>
      <c r="O679" s="34"/>
      <c r="P679" s="34"/>
      <c r="Q679" s="34"/>
      <c r="R679" s="34"/>
      <c r="S679" s="34"/>
      <c r="T679" s="34"/>
      <c r="U679" s="34"/>
      <c r="V679" s="34"/>
      <c r="W679" s="34"/>
      <c r="X679" s="34"/>
      <c r="Y679" s="34"/>
      <c r="Z679" s="3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row>
    <row r="680" spans="1:57" ht="15.75" customHeight="1" x14ac:dyDescent="0.2">
      <c r="A680" s="34"/>
      <c r="B680" s="34"/>
      <c r="C680" s="33"/>
      <c r="D680" s="34"/>
      <c r="E680" s="34"/>
      <c r="F680" s="34"/>
      <c r="G680" s="34"/>
      <c r="H680" s="33"/>
      <c r="I680" s="33"/>
      <c r="J680" s="33"/>
      <c r="K680" s="34"/>
      <c r="L680" s="34"/>
      <c r="M680" s="34"/>
      <c r="N680" s="34"/>
      <c r="O680" s="34"/>
      <c r="P680" s="34"/>
      <c r="Q680" s="34"/>
      <c r="R680" s="34"/>
      <c r="S680" s="34"/>
      <c r="T680" s="34"/>
      <c r="U680" s="34"/>
      <c r="V680" s="34"/>
      <c r="W680" s="34"/>
      <c r="X680" s="34"/>
      <c r="Y680" s="34"/>
      <c r="Z680" s="3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row>
    <row r="681" spans="1:57" ht="15.75" customHeight="1" x14ac:dyDescent="0.2">
      <c r="A681" s="34"/>
      <c r="B681" s="34"/>
      <c r="C681" s="33"/>
      <c r="D681" s="34"/>
      <c r="E681" s="34"/>
      <c r="F681" s="34"/>
      <c r="G681" s="34"/>
      <c r="H681" s="33"/>
      <c r="I681" s="33"/>
      <c r="J681" s="33"/>
      <c r="K681" s="34"/>
      <c r="L681" s="34"/>
      <c r="M681" s="34"/>
      <c r="N681" s="34"/>
      <c r="O681" s="34"/>
      <c r="P681" s="34"/>
      <c r="Q681" s="34"/>
      <c r="R681" s="34"/>
      <c r="S681" s="34"/>
      <c r="T681" s="34"/>
      <c r="U681" s="34"/>
      <c r="V681" s="34"/>
      <c r="W681" s="34"/>
      <c r="X681" s="34"/>
      <c r="Y681" s="34"/>
      <c r="Z681" s="3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row>
    <row r="682" spans="1:57" ht="15.75" customHeight="1" x14ac:dyDescent="0.2">
      <c r="A682" s="34"/>
      <c r="B682" s="34"/>
      <c r="C682" s="33"/>
      <c r="D682" s="34"/>
      <c r="E682" s="34"/>
      <c r="F682" s="34"/>
      <c r="G682" s="34"/>
      <c r="H682" s="33"/>
      <c r="I682" s="33"/>
      <c r="J682" s="33"/>
      <c r="K682" s="34"/>
      <c r="L682" s="34"/>
      <c r="M682" s="34"/>
      <c r="N682" s="34"/>
      <c r="O682" s="34"/>
      <c r="P682" s="34"/>
      <c r="Q682" s="34"/>
      <c r="R682" s="34"/>
      <c r="S682" s="34"/>
      <c r="T682" s="34"/>
      <c r="U682" s="34"/>
      <c r="V682" s="34"/>
      <c r="W682" s="34"/>
      <c r="X682" s="34"/>
      <c r="Y682" s="34"/>
      <c r="Z682" s="3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row>
    <row r="683" spans="1:57" ht="15.75" customHeight="1" x14ac:dyDescent="0.2">
      <c r="A683" s="34"/>
      <c r="B683" s="34"/>
      <c r="C683" s="33"/>
      <c r="D683" s="34"/>
      <c r="E683" s="34"/>
      <c r="F683" s="34"/>
      <c r="G683" s="34"/>
      <c r="H683" s="33"/>
      <c r="I683" s="33"/>
      <c r="J683" s="33"/>
      <c r="K683" s="34"/>
      <c r="L683" s="34"/>
      <c r="M683" s="34"/>
      <c r="N683" s="34"/>
      <c r="O683" s="34"/>
      <c r="P683" s="34"/>
      <c r="Q683" s="34"/>
      <c r="R683" s="34"/>
      <c r="S683" s="34"/>
      <c r="T683" s="34"/>
      <c r="U683" s="34"/>
      <c r="V683" s="34"/>
      <c r="W683" s="34"/>
      <c r="X683" s="34"/>
      <c r="Y683" s="34"/>
      <c r="Z683" s="3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row>
    <row r="684" spans="1:57" ht="15.75" customHeight="1" x14ac:dyDescent="0.2">
      <c r="A684" s="34"/>
      <c r="B684" s="34"/>
      <c r="C684" s="33"/>
      <c r="D684" s="34"/>
      <c r="E684" s="34"/>
      <c r="F684" s="34"/>
      <c r="G684" s="34"/>
      <c r="H684" s="33"/>
      <c r="I684" s="33"/>
      <c r="J684" s="33"/>
      <c r="K684" s="34"/>
      <c r="L684" s="34"/>
      <c r="M684" s="34"/>
      <c r="N684" s="34"/>
      <c r="O684" s="34"/>
      <c r="P684" s="34"/>
      <c r="Q684" s="34"/>
      <c r="R684" s="34"/>
      <c r="S684" s="34"/>
      <c r="T684" s="34"/>
      <c r="U684" s="34"/>
      <c r="V684" s="34"/>
      <c r="W684" s="34"/>
      <c r="X684" s="34"/>
      <c r="Y684" s="34"/>
      <c r="Z684" s="3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row>
    <row r="685" spans="1:57" ht="15.75" customHeight="1" x14ac:dyDescent="0.2">
      <c r="A685" s="34"/>
      <c r="B685" s="34"/>
      <c r="C685" s="33"/>
      <c r="D685" s="34"/>
      <c r="E685" s="34"/>
      <c r="F685" s="34"/>
      <c r="G685" s="34"/>
      <c r="H685" s="33"/>
      <c r="I685" s="33"/>
      <c r="J685" s="33"/>
      <c r="K685" s="34"/>
      <c r="L685" s="34"/>
      <c r="M685" s="34"/>
      <c r="N685" s="34"/>
      <c r="O685" s="34"/>
      <c r="P685" s="34"/>
      <c r="Q685" s="34"/>
      <c r="R685" s="34"/>
      <c r="S685" s="34"/>
      <c r="T685" s="34"/>
      <c r="U685" s="34"/>
      <c r="V685" s="34"/>
      <c r="W685" s="34"/>
      <c r="X685" s="34"/>
      <c r="Y685" s="34"/>
      <c r="Z685" s="3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row>
    <row r="686" spans="1:57" ht="15.75" customHeight="1" x14ac:dyDescent="0.2">
      <c r="A686" s="34"/>
      <c r="B686" s="34"/>
      <c r="C686" s="33"/>
      <c r="D686" s="34"/>
      <c r="E686" s="34"/>
      <c r="F686" s="34"/>
      <c r="G686" s="34"/>
      <c r="H686" s="33"/>
      <c r="I686" s="33"/>
      <c r="J686" s="33"/>
      <c r="K686" s="34"/>
      <c r="L686" s="34"/>
      <c r="M686" s="34"/>
      <c r="N686" s="34"/>
      <c r="O686" s="34"/>
      <c r="P686" s="34"/>
      <c r="Q686" s="34"/>
      <c r="R686" s="34"/>
      <c r="S686" s="34"/>
      <c r="T686" s="34"/>
      <c r="U686" s="34"/>
      <c r="V686" s="34"/>
      <c r="W686" s="34"/>
      <c r="X686" s="34"/>
      <c r="Y686" s="34"/>
      <c r="Z686" s="3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row>
    <row r="687" spans="1:57" ht="15.75" customHeight="1" x14ac:dyDescent="0.2">
      <c r="A687" s="34"/>
      <c r="B687" s="34"/>
      <c r="C687" s="33"/>
      <c r="D687" s="34"/>
      <c r="E687" s="34"/>
      <c r="F687" s="34"/>
      <c r="G687" s="34"/>
      <c r="H687" s="33"/>
      <c r="I687" s="33"/>
      <c r="J687" s="33"/>
      <c r="K687" s="34"/>
      <c r="L687" s="34"/>
      <c r="M687" s="34"/>
      <c r="N687" s="34"/>
      <c r="O687" s="34"/>
      <c r="P687" s="34"/>
      <c r="Q687" s="34"/>
      <c r="R687" s="34"/>
      <c r="S687" s="34"/>
      <c r="T687" s="34"/>
      <c r="U687" s="34"/>
      <c r="V687" s="34"/>
      <c r="W687" s="34"/>
      <c r="X687" s="34"/>
      <c r="Y687" s="34"/>
      <c r="Z687" s="3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row>
    <row r="688" spans="1:57" ht="15.75" customHeight="1" x14ac:dyDescent="0.2">
      <c r="A688" s="34"/>
      <c r="B688" s="34"/>
      <c r="C688" s="33"/>
      <c r="D688" s="34"/>
      <c r="E688" s="34"/>
      <c r="F688" s="34"/>
      <c r="G688" s="34"/>
      <c r="H688" s="33"/>
      <c r="I688" s="33"/>
      <c r="J688" s="33"/>
      <c r="K688" s="34"/>
      <c r="L688" s="34"/>
      <c r="M688" s="34"/>
      <c r="N688" s="34"/>
      <c r="O688" s="34"/>
      <c r="P688" s="34"/>
      <c r="Q688" s="34"/>
      <c r="R688" s="34"/>
      <c r="S688" s="34"/>
      <c r="T688" s="34"/>
      <c r="U688" s="34"/>
      <c r="V688" s="34"/>
      <c r="W688" s="34"/>
      <c r="X688" s="34"/>
      <c r="Y688" s="34"/>
      <c r="Z688" s="3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row>
    <row r="689" spans="1:57" ht="15.75" customHeight="1" x14ac:dyDescent="0.2">
      <c r="A689" s="34"/>
      <c r="B689" s="34"/>
      <c r="C689" s="33"/>
      <c r="D689" s="34"/>
      <c r="E689" s="34"/>
      <c r="F689" s="34"/>
      <c r="G689" s="34"/>
      <c r="H689" s="33"/>
      <c r="I689" s="33"/>
      <c r="J689" s="33"/>
      <c r="K689" s="34"/>
      <c r="L689" s="34"/>
      <c r="M689" s="34"/>
      <c r="N689" s="34"/>
      <c r="O689" s="34"/>
      <c r="P689" s="34"/>
      <c r="Q689" s="34"/>
      <c r="R689" s="34"/>
      <c r="S689" s="34"/>
      <c r="T689" s="34"/>
      <c r="U689" s="34"/>
      <c r="V689" s="34"/>
      <c r="W689" s="34"/>
      <c r="X689" s="34"/>
      <c r="Y689" s="34"/>
      <c r="Z689" s="3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row>
    <row r="690" spans="1:57" ht="15.75" customHeight="1" x14ac:dyDescent="0.2">
      <c r="A690" s="34"/>
      <c r="B690" s="34"/>
      <c r="C690" s="33"/>
      <c r="D690" s="34"/>
      <c r="E690" s="34"/>
      <c r="F690" s="34"/>
      <c r="G690" s="34"/>
      <c r="H690" s="33"/>
      <c r="I690" s="33"/>
      <c r="J690" s="33"/>
      <c r="K690" s="34"/>
      <c r="L690" s="34"/>
      <c r="M690" s="34"/>
      <c r="N690" s="34"/>
      <c r="O690" s="34"/>
      <c r="P690" s="34"/>
      <c r="Q690" s="34"/>
      <c r="R690" s="34"/>
      <c r="S690" s="34"/>
      <c r="T690" s="34"/>
      <c r="U690" s="34"/>
      <c r="V690" s="34"/>
      <c r="W690" s="34"/>
      <c r="X690" s="34"/>
      <c r="Y690" s="34"/>
      <c r="Z690" s="3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row>
    <row r="691" spans="1:57" ht="15.75" customHeight="1" x14ac:dyDescent="0.2">
      <c r="A691" s="34"/>
      <c r="B691" s="34"/>
      <c r="C691" s="33"/>
      <c r="D691" s="34"/>
      <c r="E691" s="34"/>
      <c r="F691" s="34"/>
      <c r="G691" s="34"/>
      <c r="H691" s="33"/>
      <c r="I691" s="33"/>
      <c r="J691" s="33"/>
      <c r="K691" s="34"/>
      <c r="L691" s="34"/>
      <c r="M691" s="34"/>
      <c r="N691" s="34"/>
      <c r="O691" s="34"/>
      <c r="P691" s="34"/>
      <c r="Q691" s="34"/>
      <c r="R691" s="34"/>
      <c r="S691" s="34"/>
      <c r="T691" s="34"/>
      <c r="U691" s="34"/>
      <c r="V691" s="34"/>
      <c r="W691" s="34"/>
      <c r="X691" s="34"/>
      <c r="Y691" s="34"/>
      <c r="Z691" s="3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row>
    <row r="692" spans="1:57" ht="15.75" customHeight="1" x14ac:dyDescent="0.2">
      <c r="A692" s="34"/>
      <c r="B692" s="34"/>
      <c r="C692" s="33"/>
      <c r="D692" s="34"/>
      <c r="E692" s="34"/>
      <c r="F692" s="34"/>
      <c r="G692" s="34"/>
      <c r="H692" s="33"/>
      <c r="I692" s="33"/>
      <c r="J692" s="33"/>
      <c r="K692" s="34"/>
      <c r="L692" s="34"/>
      <c r="M692" s="34"/>
      <c r="N692" s="34"/>
      <c r="O692" s="34"/>
      <c r="P692" s="34"/>
      <c r="Q692" s="34"/>
      <c r="R692" s="34"/>
      <c r="S692" s="34"/>
      <c r="T692" s="34"/>
      <c r="U692" s="34"/>
      <c r="V692" s="34"/>
      <c r="W692" s="34"/>
      <c r="X692" s="34"/>
      <c r="Y692" s="34"/>
      <c r="Z692" s="3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row>
    <row r="693" spans="1:57" ht="15.75" customHeight="1" x14ac:dyDescent="0.2">
      <c r="A693" s="34"/>
      <c r="B693" s="34"/>
      <c r="C693" s="33"/>
      <c r="D693" s="34"/>
      <c r="E693" s="34"/>
      <c r="F693" s="34"/>
      <c r="G693" s="34"/>
      <c r="H693" s="33"/>
      <c r="I693" s="33"/>
      <c r="J693" s="33"/>
      <c r="K693" s="34"/>
      <c r="L693" s="34"/>
      <c r="M693" s="34"/>
      <c r="N693" s="34"/>
      <c r="O693" s="34"/>
      <c r="P693" s="34"/>
      <c r="Q693" s="34"/>
      <c r="R693" s="34"/>
      <c r="S693" s="34"/>
      <c r="T693" s="34"/>
      <c r="U693" s="34"/>
      <c r="V693" s="34"/>
      <c r="W693" s="34"/>
      <c r="X693" s="34"/>
      <c r="Y693" s="34"/>
      <c r="Z693" s="3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row>
    <row r="694" spans="1:57" ht="15.75" customHeight="1" x14ac:dyDescent="0.2">
      <c r="A694" s="34"/>
      <c r="B694" s="34"/>
      <c r="C694" s="33"/>
      <c r="D694" s="34"/>
      <c r="E694" s="34"/>
      <c r="F694" s="34"/>
      <c r="G694" s="34"/>
      <c r="H694" s="33"/>
      <c r="I694" s="33"/>
      <c r="J694" s="33"/>
      <c r="K694" s="34"/>
      <c r="L694" s="34"/>
      <c r="M694" s="34"/>
      <c r="N694" s="34"/>
      <c r="O694" s="34"/>
      <c r="P694" s="34"/>
      <c r="Q694" s="34"/>
      <c r="R694" s="34"/>
      <c r="S694" s="34"/>
      <c r="T694" s="34"/>
      <c r="U694" s="34"/>
      <c r="V694" s="34"/>
      <c r="W694" s="34"/>
      <c r="X694" s="34"/>
      <c r="Y694" s="34"/>
      <c r="Z694" s="3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row>
    <row r="695" spans="1:57" ht="15.75" customHeight="1" x14ac:dyDescent="0.2">
      <c r="A695" s="34"/>
      <c r="B695" s="34"/>
      <c r="C695" s="33"/>
      <c r="D695" s="34"/>
      <c r="E695" s="34"/>
      <c r="F695" s="34"/>
      <c r="G695" s="34"/>
      <c r="H695" s="33"/>
      <c r="I695" s="33"/>
      <c r="J695" s="33"/>
      <c r="K695" s="34"/>
      <c r="L695" s="34"/>
      <c r="M695" s="34"/>
      <c r="N695" s="34"/>
      <c r="O695" s="34"/>
      <c r="P695" s="34"/>
      <c r="Q695" s="34"/>
      <c r="R695" s="34"/>
      <c r="S695" s="34"/>
      <c r="T695" s="34"/>
      <c r="U695" s="34"/>
      <c r="V695" s="34"/>
      <c r="W695" s="34"/>
      <c r="X695" s="34"/>
      <c r="Y695" s="34"/>
      <c r="Z695" s="3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row>
    <row r="696" spans="1:57" ht="15.75" customHeight="1" x14ac:dyDescent="0.2">
      <c r="A696" s="34"/>
      <c r="B696" s="34"/>
      <c r="C696" s="33"/>
      <c r="D696" s="34"/>
      <c r="E696" s="34"/>
      <c r="F696" s="34"/>
      <c r="G696" s="34"/>
      <c r="H696" s="33"/>
      <c r="I696" s="33"/>
      <c r="J696" s="33"/>
      <c r="K696" s="34"/>
      <c r="L696" s="34"/>
      <c r="M696" s="34"/>
      <c r="N696" s="34"/>
      <c r="O696" s="34"/>
      <c r="P696" s="34"/>
      <c r="Q696" s="34"/>
      <c r="R696" s="34"/>
      <c r="S696" s="34"/>
      <c r="T696" s="34"/>
      <c r="U696" s="34"/>
      <c r="V696" s="34"/>
      <c r="W696" s="34"/>
      <c r="X696" s="34"/>
      <c r="Y696" s="34"/>
      <c r="Z696" s="3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row>
    <row r="697" spans="1:57" ht="15.75" customHeight="1" x14ac:dyDescent="0.2">
      <c r="A697" s="34"/>
      <c r="B697" s="34"/>
      <c r="C697" s="33"/>
      <c r="D697" s="34"/>
      <c r="E697" s="34"/>
      <c r="F697" s="34"/>
      <c r="G697" s="34"/>
      <c r="H697" s="33"/>
      <c r="I697" s="33"/>
      <c r="J697" s="33"/>
      <c r="K697" s="34"/>
      <c r="L697" s="34"/>
      <c r="M697" s="34"/>
      <c r="N697" s="34"/>
      <c r="O697" s="34"/>
      <c r="P697" s="34"/>
      <c r="Q697" s="34"/>
      <c r="R697" s="34"/>
      <c r="S697" s="34"/>
      <c r="T697" s="34"/>
      <c r="U697" s="34"/>
      <c r="V697" s="34"/>
      <c r="W697" s="34"/>
      <c r="X697" s="34"/>
      <c r="Y697" s="34"/>
      <c r="Z697" s="3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row>
    <row r="698" spans="1:57" ht="15.75" customHeight="1" x14ac:dyDescent="0.2">
      <c r="A698" s="34"/>
      <c r="B698" s="34"/>
      <c r="C698" s="33"/>
      <c r="D698" s="34"/>
      <c r="E698" s="34"/>
      <c r="F698" s="34"/>
      <c r="G698" s="34"/>
      <c r="H698" s="33"/>
      <c r="I698" s="33"/>
      <c r="J698" s="33"/>
      <c r="K698" s="34"/>
      <c r="L698" s="34"/>
      <c r="M698" s="34"/>
      <c r="N698" s="34"/>
      <c r="O698" s="34"/>
      <c r="P698" s="34"/>
      <c r="Q698" s="34"/>
      <c r="R698" s="34"/>
      <c r="S698" s="34"/>
      <c r="T698" s="34"/>
      <c r="U698" s="34"/>
      <c r="V698" s="34"/>
      <c r="W698" s="34"/>
      <c r="X698" s="34"/>
      <c r="Y698" s="34"/>
      <c r="Z698" s="3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row>
    <row r="699" spans="1:57" ht="15.75" customHeight="1" x14ac:dyDescent="0.2">
      <c r="A699" s="34"/>
      <c r="B699" s="34"/>
      <c r="C699" s="33"/>
      <c r="D699" s="34"/>
      <c r="E699" s="34"/>
      <c r="F699" s="34"/>
      <c r="G699" s="34"/>
      <c r="H699" s="33"/>
      <c r="I699" s="33"/>
      <c r="J699" s="33"/>
      <c r="K699" s="34"/>
      <c r="L699" s="34"/>
      <c r="M699" s="34"/>
      <c r="N699" s="34"/>
      <c r="O699" s="34"/>
      <c r="P699" s="34"/>
      <c r="Q699" s="34"/>
      <c r="R699" s="34"/>
      <c r="S699" s="34"/>
      <c r="T699" s="34"/>
      <c r="U699" s="34"/>
      <c r="V699" s="34"/>
      <c r="W699" s="34"/>
      <c r="X699" s="34"/>
      <c r="Y699" s="34"/>
      <c r="Z699" s="3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row>
    <row r="700" spans="1:57" ht="15.75" customHeight="1" x14ac:dyDescent="0.2">
      <c r="A700" s="34"/>
      <c r="B700" s="34"/>
      <c r="C700" s="33"/>
      <c r="D700" s="34"/>
      <c r="E700" s="34"/>
      <c r="F700" s="34"/>
      <c r="G700" s="34"/>
      <c r="H700" s="33"/>
      <c r="I700" s="33"/>
      <c r="J700" s="33"/>
      <c r="K700" s="34"/>
      <c r="L700" s="34"/>
      <c r="M700" s="34"/>
      <c r="N700" s="34"/>
      <c r="O700" s="34"/>
      <c r="P700" s="34"/>
      <c r="Q700" s="34"/>
      <c r="R700" s="34"/>
      <c r="S700" s="34"/>
      <c r="T700" s="34"/>
      <c r="U700" s="34"/>
      <c r="V700" s="34"/>
      <c r="W700" s="34"/>
      <c r="X700" s="34"/>
      <c r="Y700" s="34"/>
      <c r="Z700" s="3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row>
    <row r="701" spans="1:57" ht="15.75" customHeight="1" x14ac:dyDescent="0.2">
      <c r="A701" s="34"/>
      <c r="B701" s="34"/>
      <c r="C701" s="33"/>
      <c r="D701" s="34"/>
      <c r="E701" s="34"/>
      <c r="F701" s="34"/>
      <c r="G701" s="34"/>
      <c r="H701" s="33"/>
      <c r="I701" s="33"/>
      <c r="J701" s="33"/>
      <c r="K701" s="34"/>
      <c r="L701" s="34"/>
      <c r="M701" s="34"/>
      <c r="N701" s="34"/>
      <c r="O701" s="34"/>
      <c r="P701" s="34"/>
      <c r="Q701" s="34"/>
      <c r="R701" s="34"/>
      <c r="S701" s="34"/>
      <c r="T701" s="34"/>
      <c r="U701" s="34"/>
      <c r="V701" s="34"/>
      <c r="W701" s="34"/>
      <c r="X701" s="34"/>
      <c r="Y701" s="34"/>
      <c r="Z701" s="3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row>
    <row r="702" spans="1:57" ht="15.75" customHeight="1" x14ac:dyDescent="0.2">
      <c r="A702" s="34"/>
      <c r="B702" s="34"/>
      <c r="C702" s="33"/>
      <c r="D702" s="34"/>
      <c r="E702" s="34"/>
      <c r="F702" s="34"/>
      <c r="G702" s="34"/>
      <c r="H702" s="33"/>
      <c r="I702" s="33"/>
      <c r="J702" s="33"/>
      <c r="K702" s="34"/>
      <c r="L702" s="34"/>
      <c r="M702" s="34"/>
      <c r="N702" s="34"/>
      <c r="O702" s="34"/>
      <c r="P702" s="34"/>
      <c r="Q702" s="34"/>
      <c r="R702" s="34"/>
      <c r="S702" s="34"/>
      <c r="T702" s="34"/>
      <c r="U702" s="34"/>
      <c r="V702" s="34"/>
      <c r="W702" s="34"/>
      <c r="X702" s="34"/>
      <c r="Y702" s="34"/>
      <c r="Z702" s="3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row>
    <row r="703" spans="1:57" ht="15.75" customHeight="1" x14ac:dyDescent="0.2">
      <c r="A703" s="34"/>
      <c r="B703" s="34"/>
      <c r="C703" s="33"/>
      <c r="D703" s="34"/>
      <c r="E703" s="34"/>
      <c r="F703" s="34"/>
      <c r="G703" s="34"/>
      <c r="H703" s="33"/>
      <c r="I703" s="33"/>
      <c r="J703" s="33"/>
      <c r="K703" s="34"/>
      <c r="L703" s="34"/>
      <c r="M703" s="34"/>
      <c r="N703" s="34"/>
      <c r="O703" s="34"/>
      <c r="P703" s="34"/>
      <c r="Q703" s="34"/>
      <c r="R703" s="34"/>
      <c r="S703" s="34"/>
      <c r="T703" s="34"/>
      <c r="U703" s="34"/>
      <c r="V703" s="34"/>
      <c r="W703" s="34"/>
      <c r="X703" s="34"/>
      <c r="Y703" s="34"/>
      <c r="Z703" s="3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row>
    <row r="704" spans="1:57" ht="15.75" customHeight="1" x14ac:dyDescent="0.2">
      <c r="A704" s="34"/>
      <c r="B704" s="34"/>
      <c r="C704" s="33"/>
      <c r="D704" s="34"/>
      <c r="E704" s="34"/>
      <c r="F704" s="34"/>
      <c r="G704" s="34"/>
      <c r="H704" s="33"/>
      <c r="I704" s="33"/>
      <c r="J704" s="33"/>
      <c r="K704" s="34"/>
      <c r="L704" s="34"/>
      <c r="M704" s="34"/>
      <c r="N704" s="34"/>
      <c r="O704" s="34"/>
      <c r="P704" s="34"/>
      <c r="Q704" s="34"/>
      <c r="R704" s="34"/>
      <c r="S704" s="34"/>
      <c r="T704" s="34"/>
      <c r="U704" s="34"/>
      <c r="V704" s="34"/>
      <c r="W704" s="34"/>
      <c r="X704" s="34"/>
      <c r="Y704" s="34"/>
      <c r="Z704" s="3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row>
    <row r="705" spans="1:57" ht="15.75" customHeight="1" x14ac:dyDescent="0.2">
      <c r="A705" s="34"/>
      <c r="B705" s="34"/>
      <c r="C705" s="33"/>
      <c r="D705" s="34"/>
      <c r="E705" s="34"/>
      <c r="F705" s="34"/>
      <c r="G705" s="34"/>
      <c r="H705" s="33"/>
      <c r="I705" s="33"/>
      <c r="J705" s="33"/>
      <c r="K705" s="34"/>
      <c r="L705" s="34"/>
      <c r="M705" s="34"/>
      <c r="N705" s="34"/>
      <c r="O705" s="34"/>
      <c r="P705" s="34"/>
      <c r="Q705" s="34"/>
      <c r="R705" s="34"/>
      <c r="S705" s="34"/>
      <c r="T705" s="34"/>
      <c r="U705" s="34"/>
      <c r="V705" s="34"/>
      <c r="W705" s="34"/>
      <c r="X705" s="34"/>
      <c r="Y705" s="34"/>
      <c r="Z705" s="3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row>
    <row r="706" spans="1:57" ht="15.75" customHeight="1" x14ac:dyDescent="0.2">
      <c r="A706" s="34"/>
      <c r="B706" s="34"/>
      <c r="C706" s="33"/>
      <c r="D706" s="34"/>
      <c r="E706" s="34"/>
      <c r="F706" s="34"/>
      <c r="G706" s="34"/>
      <c r="H706" s="33"/>
      <c r="I706" s="33"/>
      <c r="J706" s="33"/>
      <c r="K706" s="34"/>
      <c r="L706" s="34"/>
      <c r="M706" s="34"/>
      <c r="N706" s="34"/>
      <c r="O706" s="34"/>
      <c r="P706" s="34"/>
      <c r="Q706" s="34"/>
      <c r="R706" s="34"/>
      <c r="S706" s="34"/>
      <c r="T706" s="34"/>
      <c r="U706" s="34"/>
      <c r="V706" s="34"/>
      <c r="W706" s="34"/>
      <c r="X706" s="34"/>
      <c r="Y706" s="34"/>
      <c r="Z706" s="3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row>
    <row r="707" spans="1:57" ht="15.75" customHeight="1" x14ac:dyDescent="0.2">
      <c r="A707" s="34"/>
      <c r="B707" s="34"/>
      <c r="C707" s="33"/>
      <c r="D707" s="34"/>
      <c r="E707" s="34"/>
      <c r="F707" s="34"/>
      <c r="G707" s="34"/>
      <c r="H707" s="33"/>
      <c r="I707" s="33"/>
      <c r="J707" s="33"/>
      <c r="K707" s="34"/>
      <c r="L707" s="34"/>
      <c r="M707" s="34"/>
      <c r="N707" s="34"/>
      <c r="O707" s="34"/>
      <c r="P707" s="34"/>
      <c r="Q707" s="34"/>
      <c r="R707" s="34"/>
      <c r="S707" s="34"/>
      <c r="T707" s="34"/>
      <c r="U707" s="34"/>
      <c r="V707" s="34"/>
      <c r="W707" s="34"/>
      <c r="X707" s="34"/>
      <c r="Y707" s="34"/>
      <c r="Z707" s="3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row>
    <row r="708" spans="1:57" ht="15.75" customHeight="1" x14ac:dyDescent="0.2">
      <c r="A708" s="34"/>
      <c r="B708" s="34"/>
      <c r="C708" s="33"/>
      <c r="D708" s="34"/>
      <c r="E708" s="34"/>
      <c r="F708" s="34"/>
      <c r="G708" s="34"/>
      <c r="H708" s="33"/>
      <c r="I708" s="33"/>
      <c r="J708" s="33"/>
      <c r="K708" s="34"/>
      <c r="L708" s="34"/>
      <c r="M708" s="34"/>
      <c r="N708" s="34"/>
      <c r="O708" s="34"/>
      <c r="P708" s="34"/>
      <c r="Q708" s="34"/>
      <c r="R708" s="34"/>
      <c r="S708" s="34"/>
      <c r="T708" s="34"/>
      <c r="U708" s="34"/>
      <c r="V708" s="34"/>
      <c r="W708" s="34"/>
      <c r="X708" s="34"/>
      <c r="Y708" s="34"/>
      <c r="Z708" s="3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row>
    <row r="709" spans="1:57" ht="15.75" customHeight="1" x14ac:dyDescent="0.2">
      <c r="A709" s="34"/>
      <c r="B709" s="34"/>
      <c r="C709" s="33"/>
      <c r="D709" s="34"/>
      <c r="E709" s="34"/>
      <c r="F709" s="34"/>
      <c r="G709" s="34"/>
      <c r="H709" s="33"/>
      <c r="I709" s="33"/>
      <c r="J709" s="33"/>
      <c r="K709" s="34"/>
      <c r="L709" s="34"/>
      <c r="M709" s="34"/>
      <c r="N709" s="34"/>
      <c r="O709" s="34"/>
      <c r="P709" s="34"/>
      <c r="Q709" s="34"/>
      <c r="R709" s="34"/>
      <c r="S709" s="34"/>
      <c r="T709" s="34"/>
      <c r="U709" s="34"/>
      <c r="V709" s="34"/>
      <c r="W709" s="34"/>
      <c r="X709" s="34"/>
      <c r="Y709" s="34"/>
      <c r="Z709" s="3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row>
    <row r="710" spans="1:57" ht="15.75" customHeight="1" x14ac:dyDescent="0.2">
      <c r="A710" s="34"/>
      <c r="B710" s="34"/>
      <c r="C710" s="33"/>
      <c r="D710" s="34"/>
      <c r="E710" s="34"/>
      <c r="F710" s="34"/>
      <c r="G710" s="34"/>
      <c r="H710" s="33"/>
      <c r="I710" s="33"/>
      <c r="J710" s="33"/>
      <c r="K710" s="34"/>
      <c r="L710" s="34"/>
      <c r="M710" s="34"/>
      <c r="N710" s="34"/>
      <c r="O710" s="34"/>
      <c r="P710" s="34"/>
      <c r="Q710" s="34"/>
      <c r="R710" s="34"/>
      <c r="S710" s="34"/>
      <c r="T710" s="34"/>
      <c r="U710" s="34"/>
      <c r="V710" s="34"/>
      <c r="W710" s="34"/>
      <c r="X710" s="34"/>
      <c r="Y710" s="34"/>
      <c r="Z710" s="3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row>
    <row r="711" spans="1:57" ht="15.75" customHeight="1" x14ac:dyDescent="0.2">
      <c r="A711" s="34"/>
      <c r="B711" s="34"/>
      <c r="C711" s="33"/>
      <c r="D711" s="34"/>
      <c r="E711" s="34"/>
      <c r="F711" s="34"/>
      <c r="G711" s="34"/>
      <c r="H711" s="33"/>
      <c r="I711" s="33"/>
      <c r="J711" s="33"/>
      <c r="K711" s="34"/>
      <c r="L711" s="34"/>
      <c r="M711" s="34"/>
      <c r="N711" s="34"/>
      <c r="O711" s="34"/>
      <c r="P711" s="34"/>
      <c r="Q711" s="34"/>
      <c r="R711" s="34"/>
      <c r="S711" s="34"/>
      <c r="T711" s="34"/>
      <c r="U711" s="34"/>
      <c r="V711" s="34"/>
      <c r="W711" s="34"/>
      <c r="X711" s="34"/>
      <c r="Y711" s="34"/>
      <c r="Z711" s="3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row>
    <row r="712" spans="1:57" ht="15.75" customHeight="1" x14ac:dyDescent="0.2">
      <c r="A712" s="34"/>
      <c r="B712" s="34"/>
      <c r="C712" s="33"/>
      <c r="D712" s="34"/>
      <c r="E712" s="34"/>
      <c r="F712" s="34"/>
      <c r="G712" s="34"/>
      <c r="H712" s="33"/>
      <c r="I712" s="33"/>
      <c r="J712" s="33"/>
      <c r="K712" s="34"/>
      <c r="L712" s="34"/>
      <c r="M712" s="34"/>
      <c r="N712" s="34"/>
      <c r="O712" s="34"/>
      <c r="P712" s="34"/>
      <c r="Q712" s="34"/>
      <c r="R712" s="34"/>
      <c r="S712" s="34"/>
      <c r="T712" s="34"/>
      <c r="U712" s="34"/>
      <c r="V712" s="34"/>
      <c r="W712" s="34"/>
      <c r="X712" s="34"/>
      <c r="Y712" s="34"/>
      <c r="Z712" s="3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row>
    <row r="713" spans="1:57" ht="15.75" customHeight="1" x14ac:dyDescent="0.2">
      <c r="A713" s="34"/>
      <c r="B713" s="34"/>
      <c r="C713" s="33"/>
      <c r="D713" s="34"/>
      <c r="E713" s="34"/>
      <c r="F713" s="34"/>
      <c r="G713" s="34"/>
      <c r="H713" s="33"/>
      <c r="I713" s="33"/>
      <c r="J713" s="33"/>
      <c r="K713" s="34"/>
      <c r="L713" s="34"/>
      <c r="M713" s="34"/>
      <c r="N713" s="34"/>
      <c r="O713" s="34"/>
      <c r="P713" s="34"/>
      <c r="Q713" s="34"/>
      <c r="R713" s="34"/>
      <c r="S713" s="34"/>
      <c r="T713" s="34"/>
      <c r="U713" s="34"/>
      <c r="V713" s="34"/>
      <c r="W713" s="34"/>
      <c r="X713" s="34"/>
      <c r="Y713" s="34"/>
      <c r="Z713" s="3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row>
    <row r="714" spans="1:57" ht="15.75" customHeight="1" x14ac:dyDescent="0.2">
      <c r="A714" s="34"/>
      <c r="B714" s="34"/>
      <c r="C714" s="33"/>
      <c r="D714" s="34"/>
      <c r="E714" s="34"/>
      <c r="F714" s="34"/>
      <c r="G714" s="34"/>
      <c r="H714" s="33"/>
      <c r="I714" s="33"/>
      <c r="J714" s="33"/>
      <c r="K714" s="34"/>
      <c r="L714" s="34"/>
      <c r="M714" s="34"/>
      <c r="N714" s="34"/>
      <c r="O714" s="34"/>
      <c r="P714" s="34"/>
      <c r="Q714" s="34"/>
      <c r="R714" s="34"/>
      <c r="S714" s="34"/>
      <c r="T714" s="34"/>
      <c r="U714" s="34"/>
      <c r="V714" s="34"/>
      <c r="W714" s="34"/>
      <c r="X714" s="34"/>
      <c r="Y714" s="34"/>
      <c r="Z714" s="3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row>
    <row r="715" spans="1:57" ht="15.75" customHeight="1" x14ac:dyDescent="0.2">
      <c r="A715" s="34"/>
      <c r="B715" s="34"/>
      <c r="C715" s="33"/>
      <c r="D715" s="34"/>
      <c r="E715" s="34"/>
      <c r="F715" s="34"/>
      <c r="G715" s="34"/>
      <c r="H715" s="33"/>
      <c r="I715" s="33"/>
      <c r="J715" s="33"/>
      <c r="K715" s="34"/>
      <c r="L715" s="34"/>
      <c r="M715" s="34"/>
      <c r="N715" s="34"/>
      <c r="O715" s="34"/>
      <c r="P715" s="34"/>
      <c r="Q715" s="34"/>
      <c r="R715" s="34"/>
      <c r="S715" s="34"/>
      <c r="T715" s="34"/>
      <c r="U715" s="34"/>
      <c r="V715" s="34"/>
      <c r="W715" s="34"/>
      <c r="X715" s="34"/>
      <c r="Y715" s="34"/>
      <c r="Z715" s="3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row>
    <row r="716" spans="1:57" ht="15.75" customHeight="1" x14ac:dyDescent="0.2">
      <c r="A716" s="34"/>
      <c r="B716" s="34"/>
      <c r="C716" s="33"/>
      <c r="D716" s="34"/>
      <c r="E716" s="34"/>
      <c r="F716" s="34"/>
      <c r="G716" s="34"/>
      <c r="H716" s="33"/>
      <c r="I716" s="33"/>
      <c r="J716" s="33"/>
      <c r="K716" s="34"/>
      <c r="L716" s="34"/>
      <c r="M716" s="34"/>
      <c r="N716" s="34"/>
      <c r="O716" s="34"/>
      <c r="P716" s="34"/>
      <c r="Q716" s="34"/>
      <c r="R716" s="34"/>
      <c r="S716" s="34"/>
      <c r="T716" s="34"/>
      <c r="U716" s="34"/>
      <c r="V716" s="34"/>
      <c r="W716" s="34"/>
      <c r="X716" s="34"/>
      <c r="Y716" s="34"/>
      <c r="Z716" s="3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row>
    <row r="717" spans="1:57" ht="15.75" customHeight="1" x14ac:dyDescent="0.2">
      <c r="A717" s="34"/>
      <c r="B717" s="34"/>
      <c r="C717" s="33"/>
      <c r="D717" s="34"/>
      <c r="E717" s="34"/>
      <c r="F717" s="34"/>
      <c r="G717" s="34"/>
      <c r="H717" s="33"/>
      <c r="I717" s="33"/>
      <c r="J717" s="33"/>
      <c r="K717" s="34"/>
      <c r="L717" s="34"/>
      <c r="M717" s="34"/>
      <c r="N717" s="34"/>
      <c r="O717" s="34"/>
      <c r="P717" s="34"/>
      <c r="Q717" s="34"/>
      <c r="R717" s="34"/>
      <c r="S717" s="34"/>
      <c r="T717" s="34"/>
      <c r="U717" s="34"/>
      <c r="V717" s="34"/>
      <c r="W717" s="34"/>
      <c r="X717" s="34"/>
      <c r="Y717" s="34"/>
      <c r="Z717" s="3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row>
    <row r="718" spans="1:57" ht="15.75" customHeight="1" x14ac:dyDescent="0.2">
      <c r="A718" s="34"/>
      <c r="B718" s="34"/>
      <c r="C718" s="33"/>
      <c r="D718" s="34"/>
      <c r="E718" s="34"/>
      <c r="F718" s="34"/>
      <c r="G718" s="34"/>
      <c r="H718" s="33"/>
      <c r="I718" s="33"/>
      <c r="J718" s="33"/>
      <c r="K718" s="34"/>
      <c r="L718" s="34"/>
      <c r="M718" s="34"/>
      <c r="N718" s="34"/>
      <c r="O718" s="34"/>
      <c r="P718" s="34"/>
      <c r="Q718" s="34"/>
      <c r="R718" s="34"/>
      <c r="S718" s="34"/>
      <c r="T718" s="34"/>
      <c r="U718" s="34"/>
      <c r="V718" s="34"/>
      <c r="W718" s="34"/>
      <c r="X718" s="34"/>
      <c r="Y718" s="34"/>
      <c r="Z718" s="3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row>
    <row r="719" spans="1:57" ht="15.75" customHeight="1" x14ac:dyDescent="0.2">
      <c r="A719" s="34"/>
      <c r="B719" s="34"/>
      <c r="C719" s="33"/>
      <c r="D719" s="34"/>
      <c r="E719" s="34"/>
      <c r="F719" s="34"/>
      <c r="G719" s="34"/>
      <c r="H719" s="33"/>
      <c r="I719" s="33"/>
      <c r="J719" s="33"/>
      <c r="K719" s="34"/>
      <c r="L719" s="34"/>
      <c r="M719" s="34"/>
      <c r="N719" s="34"/>
      <c r="O719" s="34"/>
      <c r="P719" s="34"/>
      <c r="Q719" s="34"/>
      <c r="R719" s="34"/>
      <c r="S719" s="34"/>
      <c r="T719" s="34"/>
      <c r="U719" s="34"/>
      <c r="V719" s="34"/>
      <c r="W719" s="34"/>
      <c r="X719" s="34"/>
      <c r="Y719" s="34"/>
      <c r="Z719" s="3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row>
    <row r="720" spans="1:57" ht="15.75" customHeight="1" x14ac:dyDescent="0.2">
      <c r="A720" s="34"/>
      <c r="B720" s="34"/>
      <c r="C720" s="33"/>
      <c r="D720" s="34"/>
      <c r="E720" s="34"/>
      <c r="F720" s="34"/>
      <c r="G720" s="34"/>
      <c r="H720" s="33"/>
      <c r="I720" s="33"/>
      <c r="J720" s="33"/>
      <c r="K720" s="34"/>
      <c r="L720" s="34"/>
      <c r="M720" s="34"/>
      <c r="N720" s="34"/>
      <c r="O720" s="34"/>
      <c r="P720" s="34"/>
      <c r="Q720" s="34"/>
      <c r="R720" s="34"/>
      <c r="S720" s="34"/>
      <c r="T720" s="34"/>
      <c r="U720" s="34"/>
      <c r="V720" s="34"/>
      <c r="W720" s="34"/>
      <c r="X720" s="34"/>
      <c r="Y720" s="34"/>
      <c r="Z720" s="3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row>
    <row r="721" spans="1:57" ht="15.75" customHeight="1" x14ac:dyDescent="0.2">
      <c r="A721" s="34"/>
      <c r="B721" s="34"/>
      <c r="C721" s="33"/>
      <c r="D721" s="34"/>
      <c r="E721" s="34"/>
      <c r="F721" s="34"/>
      <c r="G721" s="34"/>
      <c r="H721" s="33"/>
      <c r="I721" s="33"/>
      <c r="J721" s="33"/>
      <c r="K721" s="34"/>
      <c r="L721" s="34"/>
      <c r="M721" s="34"/>
      <c r="N721" s="34"/>
      <c r="O721" s="34"/>
      <c r="P721" s="34"/>
      <c r="Q721" s="34"/>
      <c r="R721" s="34"/>
      <c r="S721" s="34"/>
      <c r="T721" s="34"/>
      <c r="U721" s="34"/>
      <c r="V721" s="34"/>
      <c r="W721" s="34"/>
      <c r="X721" s="34"/>
      <c r="Y721" s="34"/>
      <c r="Z721" s="3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row>
    <row r="722" spans="1:57" ht="15.75" customHeight="1" x14ac:dyDescent="0.2">
      <c r="A722" s="34"/>
      <c r="B722" s="34"/>
      <c r="C722" s="33"/>
      <c r="D722" s="34"/>
      <c r="E722" s="34"/>
      <c r="F722" s="34"/>
      <c r="G722" s="34"/>
      <c r="H722" s="33"/>
      <c r="I722" s="33"/>
      <c r="J722" s="33"/>
      <c r="K722" s="34"/>
      <c r="L722" s="34"/>
      <c r="M722" s="34"/>
      <c r="N722" s="34"/>
      <c r="O722" s="34"/>
      <c r="P722" s="34"/>
      <c r="Q722" s="34"/>
      <c r="R722" s="34"/>
      <c r="S722" s="34"/>
      <c r="T722" s="34"/>
      <c r="U722" s="34"/>
      <c r="V722" s="34"/>
      <c r="W722" s="34"/>
      <c r="X722" s="34"/>
      <c r="Y722" s="34"/>
      <c r="Z722" s="3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row>
    <row r="723" spans="1:57" ht="15.75" customHeight="1" x14ac:dyDescent="0.2">
      <c r="A723" s="34"/>
      <c r="B723" s="34"/>
      <c r="C723" s="33"/>
      <c r="D723" s="34"/>
      <c r="E723" s="34"/>
      <c r="F723" s="34"/>
      <c r="G723" s="34"/>
      <c r="H723" s="33"/>
      <c r="I723" s="33"/>
      <c r="J723" s="33"/>
      <c r="K723" s="34"/>
      <c r="L723" s="34"/>
      <c r="M723" s="34"/>
      <c r="N723" s="34"/>
      <c r="O723" s="34"/>
      <c r="P723" s="34"/>
      <c r="Q723" s="34"/>
      <c r="R723" s="34"/>
      <c r="S723" s="34"/>
      <c r="T723" s="34"/>
      <c r="U723" s="34"/>
      <c r="V723" s="34"/>
      <c r="W723" s="34"/>
      <c r="X723" s="34"/>
      <c r="Y723" s="34"/>
      <c r="Z723" s="3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row>
    <row r="724" spans="1:57" ht="15.75" customHeight="1" x14ac:dyDescent="0.2">
      <c r="A724" s="34"/>
      <c r="B724" s="34"/>
      <c r="C724" s="33"/>
      <c r="D724" s="34"/>
      <c r="E724" s="34"/>
      <c r="F724" s="34"/>
      <c r="G724" s="34"/>
      <c r="H724" s="33"/>
      <c r="I724" s="33"/>
      <c r="J724" s="33"/>
      <c r="K724" s="34"/>
      <c r="L724" s="34"/>
      <c r="M724" s="34"/>
      <c r="N724" s="34"/>
      <c r="O724" s="34"/>
      <c r="P724" s="34"/>
      <c r="Q724" s="34"/>
      <c r="R724" s="34"/>
      <c r="S724" s="34"/>
      <c r="T724" s="34"/>
      <c r="U724" s="34"/>
      <c r="V724" s="34"/>
      <c r="W724" s="34"/>
      <c r="X724" s="34"/>
      <c r="Y724" s="34"/>
      <c r="Z724" s="3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row>
    <row r="725" spans="1:57" ht="15.75" customHeight="1" x14ac:dyDescent="0.2">
      <c r="A725" s="34"/>
      <c r="B725" s="34"/>
      <c r="C725" s="33"/>
      <c r="D725" s="34"/>
      <c r="E725" s="34"/>
      <c r="F725" s="34"/>
      <c r="G725" s="34"/>
      <c r="H725" s="33"/>
      <c r="I725" s="33"/>
      <c r="J725" s="33"/>
      <c r="K725" s="34"/>
      <c r="L725" s="34"/>
      <c r="M725" s="34"/>
      <c r="N725" s="34"/>
      <c r="O725" s="34"/>
      <c r="P725" s="34"/>
      <c r="Q725" s="34"/>
      <c r="R725" s="34"/>
      <c r="S725" s="34"/>
      <c r="T725" s="34"/>
      <c r="U725" s="34"/>
      <c r="V725" s="34"/>
      <c r="W725" s="34"/>
      <c r="X725" s="34"/>
      <c r="Y725" s="34"/>
      <c r="Z725" s="3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row>
    <row r="726" spans="1:57" ht="15.75" customHeight="1" x14ac:dyDescent="0.2">
      <c r="A726" s="34"/>
      <c r="B726" s="34"/>
      <c r="C726" s="33"/>
      <c r="D726" s="34"/>
      <c r="E726" s="34"/>
      <c r="F726" s="34"/>
      <c r="G726" s="34"/>
      <c r="H726" s="33"/>
      <c r="I726" s="33"/>
      <c r="J726" s="33"/>
      <c r="K726" s="34"/>
      <c r="L726" s="34"/>
      <c r="M726" s="34"/>
      <c r="N726" s="34"/>
      <c r="O726" s="34"/>
      <c r="P726" s="34"/>
      <c r="Q726" s="34"/>
      <c r="R726" s="34"/>
      <c r="S726" s="34"/>
      <c r="T726" s="34"/>
      <c r="U726" s="34"/>
      <c r="V726" s="34"/>
      <c r="W726" s="34"/>
      <c r="X726" s="34"/>
      <c r="Y726" s="34"/>
      <c r="Z726" s="3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row>
    <row r="727" spans="1:57" ht="15.75" customHeight="1" x14ac:dyDescent="0.2">
      <c r="A727" s="34"/>
      <c r="B727" s="34"/>
      <c r="C727" s="33"/>
      <c r="D727" s="34"/>
      <c r="E727" s="34"/>
      <c r="F727" s="34"/>
      <c r="G727" s="34"/>
      <c r="H727" s="33"/>
      <c r="I727" s="33"/>
      <c r="J727" s="33"/>
      <c r="K727" s="34"/>
      <c r="L727" s="34"/>
      <c r="M727" s="34"/>
      <c r="N727" s="34"/>
      <c r="O727" s="34"/>
      <c r="P727" s="34"/>
      <c r="Q727" s="34"/>
      <c r="R727" s="34"/>
      <c r="S727" s="34"/>
      <c r="T727" s="34"/>
      <c r="U727" s="34"/>
      <c r="V727" s="34"/>
      <c r="W727" s="34"/>
      <c r="X727" s="34"/>
      <c r="Y727" s="34"/>
      <c r="Z727" s="3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row>
    <row r="728" spans="1:57" ht="15.75" customHeight="1" x14ac:dyDescent="0.2">
      <c r="A728" s="34"/>
      <c r="B728" s="34"/>
      <c r="C728" s="33"/>
      <c r="D728" s="34"/>
      <c r="E728" s="34"/>
      <c r="F728" s="34"/>
      <c r="G728" s="34"/>
      <c r="H728" s="33"/>
      <c r="I728" s="33"/>
      <c r="J728" s="33"/>
      <c r="K728" s="34"/>
      <c r="L728" s="34"/>
      <c r="M728" s="34"/>
      <c r="N728" s="34"/>
      <c r="O728" s="34"/>
      <c r="P728" s="34"/>
      <c r="Q728" s="34"/>
      <c r="R728" s="34"/>
      <c r="S728" s="34"/>
      <c r="T728" s="34"/>
      <c r="U728" s="34"/>
      <c r="V728" s="34"/>
      <c r="W728" s="34"/>
      <c r="X728" s="34"/>
      <c r="Y728" s="34"/>
      <c r="Z728" s="3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row>
    <row r="729" spans="1:57" ht="15.75" customHeight="1" x14ac:dyDescent="0.2">
      <c r="A729" s="34"/>
      <c r="B729" s="34"/>
      <c r="C729" s="33"/>
      <c r="D729" s="34"/>
      <c r="E729" s="34"/>
      <c r="F729" s="34"/>
      <c r="G729" s="34"/>
      <c r="H729" s="33"/>
      <c r="I729" s="33"/>
      <c r="J729" s="33"/>
      <c r="K729" s="34"/>
      <c r="L729" s="34"/>
      <c r="M729" s="34"/>
      <c r="N729" s="34"/>
      <c r="O729" s="34"/>
      <c r="P729" s="34"/>
      <c r="Q729" s="34"/>
      <c r="R729" s="34"/>
      <c r="S729" s="34"/>
      <c r="T729" s="34"/>
      <c r="U729" s="34"/>
      <c r="V729" s="34"/>
      <c r="W729" s="34"/>
      <c r="X729" s="34"/>
      <c r="Y729" s="34"/>
      <c r="Z729" s="3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row>
    <row r="730" spans="1:57" ht="15.75" customHeight="1" x14ac:dyDescent="0.2">
      <c r="A730" s="34"/>
      <c r="B730" s="34"/>
      <c r="C730" s="33"/>
      <c r="D730" s="34"/>
      <c r="E730" s="34"/>
      <c r="F730" s="34"/>
      <c r="G730" s="34"/>
      <c r="H730" s="33"/>
      <c r="I730" s="33"/>
      <c r="J730" s="33"/>
      <c r="K730" s="34"/>
      <c r="L730" s="34"/>
      <c r="M730" s="34"/>
      <c r="N730" s="34"/>
      <c r="O730" s="34"/>
      <c r="P730" s="34"/>
      <c r="Q730" s="34"/>
      <c r="R730" s="34"/>
      <c r="S730" s="34"/>
      <c r="T730" s="34"/>
      <c r="U730" s="34"/>
      <c r="V730" s="34"/>
      <c r="W730" s="34"/>
      <c r="X730" s="34"/>
      <c r="Y730" s="34"/>
      <c r="Z730" s="3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row>
    <row r="731" spans="1:57" ht="15.75" customHeight="1" x14ac:dyDescent="0.2">
      <c r="A731" s="34"/>
      <c r="B731" s="34"/>
      <c r="C731" s="33"/>
      <c r="D731" s="34"/>
      <c r="E731" s="34"/>
      <c r="F731" s="34"/>
      <c r="G731" s="34"/>
      <c r="H731" s="33"/>
      <c r="I731" s="33"/>
      <c r="J731" s="33"/>
      <c r="K731" s="34"/>
      <c r="L731" s="34"/>
      <c r="M731" s="34"/>
      <c r="N731" s="34"/>
      <c r="O731" s="34"/>
      <c r="P731" s="34"/>
      <c r="Q731" s="34"/>
      <c r="R731" s="34"/>
      <c r="S731" s="34"/>
      <c r="T731" s="34"/>
      <c r="U731" s="34"/>
      <c r="V731" s="34"/>
      <c r="W731" s="34"/>
      <c r="X731" s="34"/>
      <c r="Y731" s="34"/>
      <c r="Z731" s="3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row>
    <row r="732" spans="1:57" ht="15.75" customHeight="1" x14ac:dyDescent="0.2">
      <c r="A732" s="34"/>
      <c r="B732" s="34"/>
      <c r="C732" s="33"/>
      <c r="D732" s="34"/>
      <c r="E732" s="34"/>
      <c r="F732" s="34"/>
      <c r="G732" s="34"/>
      <c r="H732" s="33"/>
      <c r="I732" s="33"/>
      <c r="J732" s="33"/>
      <c r="K732" s="34"/>
      <c r="L732" s="34"/>
      <c r="M732" s="34"/>
      <c r="N732" s="34"/>
      <c r="O732" s="34"/>
      <c r="P732" s="34"/>
      <c r="Q732" s="34"/>
      <c r="R732" s="34"/>
      <c r="S732" s="34"/>
      <c r="T732" s="34"/>
      <c r="U732" s="34"/>
      <c r="V732" s="34"/>
      <c r="W732" s="34"/>
      <c r="X732" s="34"/>
      <c r="Y732" s="34"/>
      <c r="Z732" s="3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row>
    <row r="733" spans="1:57" ht="15.75" customHeight="1" x14ac:dyDescent="0.2">
      <c r="A733" s="34"/>
      <c r="B733" s="34"/>
      <c r="C733" s="33"/>
      <c r="D733" s="34"/>
      <c r="E733" s="34"/>
      <c r="F733" s="34"/>
      <c r="G733" s="34"/>
      <c r="H733" s="33"/>
      <c r="I733" s="33"/>
      <c r="J733" s="33"/>
      <c r="K733" s="34"/>
      <c r="L733" s="34"/>
      <c r="M733" s="34"/>
      <c r="N733" s="34"/>
      <c r="O733" s="34"/>
      <c r="P733" s="34"/>
      <c r="Q733" s="34"/>
      <c r="R733" s="34"/>
      <c r="S733" s="34"/>
      <c r="T733" s="34"/>
      <c r="U733" s="34"/>
      <c r="V733" s="34"/>
      <c r="W733" s="34"/>
      <c r="X733" s="34"/>
      <c r="Y733" s="34"/>
      <c r="Z733" s="3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row>
    <row r="734" spans="1:57" ht="15.75" customHeight="1" x14ac:dyDescent="0.2">
      <c r="A734" s="34"/>
      <c r="B734" s="34"/>
      <c r="C734" s="33"/>
      <c r="D734" s="34"/>
      <c r="E734" s="34"/>
      <c r="F734" s="34"/>
      <c r="G734" s="34"/>
      <c r="H734" s="33"/>
      <c r="I734" s="33"/>
      <c r="J734" s="33"/>
      <c r="K734" s="34"/>
      <c r="L734" s="34"/>
      <c r="M734" s="34"/>
      <c r="N734" s="34"/>
      <c r="O734" s="34"/>
      <c r="P734" s="34"/>
      <c r="Q734" s="34"/>
      <c r="R734" s="34"/>
      <c r="S734" s="34"/>
      <c r="T734" s="34"/>
      <c r="U734" s="34"/>
      <c r="V734" s="34"/>
      <c r="W734" s="34"/>
      <c r="X734" s="34"/>
      <c r="Y734" s="34"/>
      <c r="Z734" s="3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row>
    <row r="735" spans="1:57" ht="15.75" customHeight="1" x14ac:dyDescent="0.2">
      <c r="A735" s="34"/>
      <c r="B735" s="34"/>
      <c r="C735" s="33"/>
      <c r="D735" s="34"/>
      <c r="E735" s="34"/>
      <c r="F735" s="34"/>
      <c r="G735" s="34"/>
      <c r="H735" s="33"/>
      <c r="I735" s="33"/>
      <c r="J735" s="33"/>
      <c r="K735" s="34"/>
      <c r="L735" s="34"/>
      <c r="M735" s="34"/>
      <c r="N735" s="34"/>
      <c r="O735" s="34"/>
      <c r="P735" s="34"/>
      <c r="Q735" s="34"/>
      <c r="R735" s="34"/>
      <c r="S735" s="34"/>
      <c r="T735" s="34"/>
      <c r="U735" s="34"/>
      <c r="V735" s="34"/>
      <c r="W735" s="34"/>
      <c r="X735" s="34"/>
      <c r="Y735" s="34"/>
      <c r="Z735" s="3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row>
    <row r="736" spans="1:57" ht="15.75" customHeight="1" x14ac:dyDescent="0.2">
      <c r="A736" s="34"/>
      <c r="B736" s="34"/>
      <c r="C736" s="33"/>
      <c r="D736" s="34"/>
      <c r="E736" s="34"/>
      <c r="F736" s="34"/>
      <c r="G736" s="34"/>
      <c r="H736" s="33"/>
      <c r="I736" s="33"/>
      <c r="J736" s="33"/>
      <c r="K736" s="34"/>
      <c r="L736" s="34"/>
      <c r="M736" s="34"/>
      <c r="N736" s="34"/>
      <c r="O736" s="34"/>
      <c r="P736" s="34"/>
      <c r="Q736" s="34"/>
      <c r="R736" s="34"/>
      <c r="S736" s="34"/>
      <c r="T736" s="34"/>
      <c r="U736" s="34"/>
      <c r="V736" s="34"/>
      <c r="W736" s="34"/>
      <c r="X736" s="34"/>
      <c r="Y736" s="34"/>
      <c r="Z736" s="3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row>
    <row r="737" spans="1:57" ht="15.75" customHeight="1" x14ac:dyDescent="0.2">
      <c r="A737" s="34"/>
      <c r="B737" s="34"/>
      <c r="C737" s="33"/>
      <c r="D737" s="34"/>
      <c r="E737" s="34"/>
      <c r="F737" s="34"/>
      <c r="G737" s="34"/>
      <c r="H737" s="33"/>
      <c r="I737" s="33"/>
      <c r="J737" s="33"/>
      <c r="K737" s="34"/>
      <c r="L737" s="34"/>
      <c r="M737" s="34"/>
      <c r="N737" s="34"/>
      <c r="O737" s="34"/>
      <c r="P737" s="34"/>
      <c r="Q737" s="34"/>
      <c r="R737" s="34"/>
      <c r="S737" s="34"/>
      <c r="T737" s="34"/>
      <c r="U737" s="34"/>
      <c r="V737" s="34"/>
      <c r="W737" s="34"/>
      <c r="X737" s="34"/>
      <c r="Y737" s="34"/>
      <c r="Z737" s="3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row>
    <row r="738" spans="1:57" ht="15.75" customHeight="1" x14ac:dyDescent="0.2">
      <c r="A738" s="34"/>
      <c r="B738" s="34"/>
      <c r="C738" s="33"/>
      <c r="D738" s="34"/>
      <c r="E738" s="34"/>
      <c r="F738" s="34"/>
      <c r="G738" s="34"/>
      <c r="H738" s="33"/>
      <c r="I738" s="33"/>
      <c r="J738" s="33"/>
      <c r="K738" s="34"/>
      <c r="L738" s="34"/>
      <c r="M738" s="34"/>
      <c r="N738" s="34"/>
      <c r="O738" s="34"/>
      <c r="P738" s="34"/>
      <c r="Q738" s="34"/>
      <c r="R738" s="34"/>
      <c r="S738" s="34"/>
      <c r="T738" s="34"/>
      <c r="U738" s="34"/>
      <c r="V738" s="34"/>
      <c r="W738" s="34"/>
      <c r="X738" s="34"/>
      <c r="Y738" s="34"/>
      <c r="Z738" s="3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row>
    <row r="739" spans="1:57" ht="15.75" customHeight="1" x14ac:dyDescent="0.2">
      <c r="A739" s="34"/>
      <c r="B739" s="34"/>
      <c r="C739" s="33"/>
      <c r="D739" s="34"/>
      <c r="E739" s="34"/>
      <c r="F739" s="34"/>
      <c r="G739" s="34"/>
      <c r="H739" s="33"/>
      <c r="I739" s="33"/>
      <c r="J739" s="33"/>
      <c r="K739" s="34"/>
      <c r="L739" s="34"/>
      <c r="M739" s="34"/>
      <c r="N739" s="34"/>
      <c r="O739" s="34"/>
      <c r="P739" s="34"/>
      <c r="Q739" s="34"/>
      <c r="R739" s="34"/>
      <c r="S739" s="34"/>
      <c r="T739" s="34"/>
      <c r="U739" s="34"/>
      <c r="V739" s="34"/>
      <c r="W739" s="34"/>
      <c r="X739" s="34"/>
      <c r="Y739" s="34"/>
      <c r="Z739" s="3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row>
    <row r="740" spans="1:57" ht="15.75" customHeight="1" x14ac:dyDescent="0.2">
      <c r="A740" s="34"/>
      <c r="B740" s="34"/>
      <c r="C740" s="33"/>
      <c r="D740" s="34"/>
      <c r="E740" s="34"/>
      <c r="F740" s="34"/>
      <c r="G740" s="34"/>
      <c r="H740" s="33"/>
      <c r="I740" s="33"/>
      <c r="J740" s="33"/>
      <c r="K740" s="34"/>
      <c r="L740" s="34"/>
      <c r="M740" s="34"/>
      <c r="N740" s="34"/>
      <c r="O740" s="34"/>
      <c r="P740" s="34"/>
      <c r="Q740" s="34"/>
      <c r="R740" s="34"/>
      <c r="S740" s="34"/>
      <c r="T740" s="34"/>
      <c r="U740" s="34"/>
      <c r="V740" s="34"/>
      <c r="W740" s="34"/>
      <c r="X740" s="34"/>
      <c r="Y740" s="34"/>
      <c r="Z740" s="3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row>
    <row r="741" spans="1:57" ht="15.75" customHeight="1" x14ac:dyDescent="0.2">
      <c r="A741" s="34"/>
      <c r="B741" s="34"/>
      <c r="C741" s="33"/>
      <c r="D741" s="34"/>
      <c r="E741" s="34"/>
      <c r="F741" s="34"/>
      <c r="G741" s="34"/>
      <c r="H741" s="33"/>
      <c r="I741" s="33"/>
      <c r="J741" s="33"/>
      <c r="K741" s="34"/>
      <c r="L741" s="34"/>
      <c r="M741" s="34"/>
      <c r="N741" s="34"/>
      <c r="O741" s="34"/>
      <c r="P741" s="34"/>
      <c r="Q741" s="34"/>
      <c r="R741" s="34"/>
      <c r="S741" s="34"/>
      <c r="T741" s="34"/>
      <c r="U741" s="34"/>
      <c r="V741" s="34"/>
      <c r="W741" s="34"/>
      <c r="X741" s="34"/>
      <c r="Y741" s="34"/>
      <c r="Z741" s="3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row>
    <row r="742" spans="1:57" ht="15.75" customHeight="1" x14ac:dyDescent="0.2">
      <c r="A742" s="34"/>
      <c r="B742" s="34"/>
      <c r="C742" s="33"/>
      <c r="D742" s="34"/>
      <c r="E742" s="34"/>
      <c r="F742" s="34"/>
      <c r="G742" s="34"/>
      <c r="H742" s="33"/>
      <c r="I742" s="33"/>
      <c r="J742" s="33"/>
      <c r="K742" s="34"/>
      <c r="L742" s="34"/>
      <c r="M742" s="34"/>
      <c r="N742" s="34"/>
      <c r="O742" s="34"/>
      <c r="P742" s="34"/>
      <c r="Q742" s="34"/>
      <c r="R742" s="34"/>
      <c r="S742" s="34"/>
      <c r="T742" s="34"/>
      <c r="U742" s="34"/>
      <c r="V742" s="34"/>
      <c r="W742" s="34"/>
      <c r="X742" s="34"/>
      <c r="Y742" s="34"/>
      <c r="Z742" s="3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row>
    <row r="743" spans="1:57" ht="15.75" customHeight="1" x14ac:dyDescent="0.2">
      <c r="A743" s="34"/>
      <c r="B743" s="34"/>
      <c r="C743" s="33"/>
      <c r="D743" s="34"/>
      <c r="E743" s="34"/>
      <c r="F743" s="34"/>
      <c r="G743" s="34"/>
      <c r="H743" s="33"/>
      <c r="I743" s="33"/>
      <c r="J743" s="33"/>
      <c r="K743" s="34"/>
      <c r="L743" s="34"/>
      <c r="M743" s="34"/>
      <c r="N743" s="34"/>
      <c r="O743" s="34"/>
      <c r="P743" s="34"/>
      <c r="Q743" s="34"/>
      <c r="R743" s="34"/>
      <c r="S743" s="34"/>
      <c r="T743" s="34"/>
      <c r="U743" s="34"/>
      <c r="V743" s="34"/>
      <c r="W743" s="34"/>
      <c r="X743" s="34"/>
      <c r="Y743" s="34"/>
      <c r="Z743" s="3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row>
    <row r="744" spans="1:57" ht="15.75" customHeight="1" x14ac:dyDescent="0.2">
      <c r="A744" s="34"/>
      <c r="B744" s="34"/>
      <c r="C744" s="33"/>
      <c r="D744" s="34"/>
      <c r="E744" s="34"/>
      <c r="F744" s="34"/>
      <c r="G744" s="34"/>
      <c r="H744" s="33"/>
      <c r="I744" s="33"/>
      <c r="J744" s="33"/>
      <c r="K744" s="34"/>
      <c r="L744" s="34"/>
      <c r="M744" s="34"/>
      <c r="N744" s="34"/>
      <c r="O744" s="34"/>
      <c r="P744" s="34"/>
      <c r="Q744" s="34"/>
      <c r="R744" s="34"/>
      <c r="S744" s="34"/>
      <c r="T744" s="34"/>
      <c r="U744" s="34"/>
      <c r="V744" s="34"/>
      <c r="W744" s="34"/>
      <c r="X744" s="34"/>
      <c r="Y744" s="34"/>
      <c r="Z744" s="3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row>
    <row r="745" spans="1:57" ht="15.75" customHeight="1" x14ac:dyDescent="0.2">
      <c r="A745" s="34"/>
      <c r="B745" s="34"/>
      <c r="C745" s="33"/>
      <c r="D745" s="34"/>
      <c r="E745" s="34"/>
      <c r="F745" s="34"/>
      <c r="G745" s="34"/>
      <c r="H745" s="33"/>
      <c r="I745" s="33"/>
      <c r="J745" s="33"/>
      <c r="K745" s="34"/>
      <c r="L745" s="34"/>
      <c r="M745" s="34"/>
      <c r="N745" s="34"/>
      <c r="O745" s="34"/>
      <c r="P745" s="34"/>
      <c r="Q745" s="34"/>
      <c r="R745" s="34"/>
      <c r="S745" s="34"/>
      <c r="T745" s="34"/>
      <c r="U745" s="34"/>
      <c r="V745" s="34"/>
      <c r="W745" s="34"/>
      <c r="X745" s="34"/>
      <c r="Y745" s="34"/>
      <c r="Z745" s="3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row>
    <row r="746" spans="1:57" ht="15.75" customHeight="1" x14ac:dyDescent="0.2">
      <c r="A746" s="34"/>
      <c r="B746" s="34"/>
      <c r="C746" s="33"/>
      <c r="D746" s="34"/>
      <c r="E746" s="34"/>
      <c r="F746" s="34"/>
      <c r="G746" s="34"/>
      <c r="H746" s="33"/>
      <c r="I746" s="33"/>
      <c r="J746" s="33"/>
      <c r="K746" s="34"/>
      <c r="L746" s="34"/>
      <c r="M746" s="34"/>
      <c r="N746" s="34"/>
      <c r="O746" s="34"/>
      <c r="P746" s="34"/>
      <c r="Q746" s="34"/>
      <c r="R746" s="34"/>
      <c r="S746" s="34"/>
      <c r="T746" s="34"/>
      <c r="U746" s="34"/>
      <c r="V746" s="34"/>
      <c r="W746" s="34"/>
      <c r="X746" s="34"/>
      <c r="Y746" s="34"/>
      <c r="Z746" s="3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row>
    <row r="747" spans="1:57" ht="15.75" customHeight="1" x14ac:dyDescent="0.2">
      <c r="A747" s="34"/>
      <c r="B747" s="34"/>
      <c r="C747" s="33"/>
      <c r="D747" s="34"/>
      <c r="E747" s="34"/>
      <c r="F747" s="34"/>
      <c r="G747" s="34"/>
      <c r="H747" s="33"/>
      <c r="I747" s="33"/>
      <c r="J747" s="33"/>
      <c r="K747" s="34"/>
      <c r="L747" s="34"/>
      <c r="M747" s="34"/>
      <c r="N747" s="34"/>
      <c r="O747" s="34"/>
      <c r="P747" s="34"/>
      <c r="Q747" s="34"/>
      <c r="R747" s="34"/>
      <c r="S747" s="34"/>
      <c r="T747" s="34"/>
      <c r="U747" s="34"/>
      <c r="V747" s="34"/>
      <c r="W747" s="34"/>
      <c r="X747" s="34"/>
      <c r="Y747" s="34"/>
      <c r="Z747" s="3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row>
    <row r="748" spans="1:57" ht="15.75" customHeight="1" x14ac:dyDescent="0.2">
      <c r="A748" s="34"/>
      <c r="B748" s="34"/>
      <c r="C748" s="33"/>
      <c r="D748" s="34"/>
      <c r="E748" s="34"/>
      <c r="F748" s="34"/>
      <c r="G748" s="34"/>
      <c r="H748" s="33"/>
      <c r="I748" s="33"/>
      <c r="J748" s="33"/>
      <c r="K748" s="34"/>
      <c r="L748" s="34"/>
      <c r="M748" s="34"/>
      <c r="N748" s="34"/>
      <c r="O748" s="34"/>
      <c r="P748" s="34"/>
      <c r="Q748" s="34"/>
      <c r="R748" s="34"/>
      <c r="S748" s="34"/>
      <c r="T748" s="34"/>
      <c r="U748" s="34"/>
      <c r="V748" s="34"/>
      <c r="W748" s="34"/>
      <c r="X748" s="34"/>
      <c r="Y748" s="34"/>
      <c r="Z748" s="3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row>
    <row r="749" spans="1:57" ht="15.75" customHeight="1" x14ac:dyDescent="0.2">
      <c r="A749" s="34"/>
      <c r="B749" s="34"/>
      <c r="C749" s="33"/>
      <c r="D749" s="34"/>
      <c r="E749" s="34"/>
      <c r="F749" s="34"/>
      <c r="G749" s="34"/>
      <c r="H749" s="33"/>
      <c r="I749" s="33"/>
      <c r="J749" s="33"/>
      <c r="K749" s="34"/>
      <c r="L749" s="34"/>
      <c r="M749" s="34"/>
      <c r="N749" s="34"/>
      <c r="O749" s="34"/>
      <c r="P749" s="34"/>
      <c r="Q749" s="34"/>
      <c r="R749" s="34"/>
      <c r="S749" s="34"/>
      <c r="T749" s="34"/>
      <c r="U749" s="34"/>
      <c r="V749" s="34"/>
      <c r="W749" s="34"/>
      <c r="X749" s="34"/>
      <c r="Y749" s="34"/>
      <c r="Z749" s="3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row>
    <row r="750" spans="1:57" ht="15.75" customHeight="1" x14ac:dyDescent="0.2">
      <c r="A750" s="34"/>
      <c r="B750" s="34"/>
      <c r="C750" s="33"/>
      <c r="D750" s="34"/>
      <c r="E750" s="34"/>
      <c r="F750" s="34"/>
      <c r="G750" s="34"/>
      <c r="H750" s="33"/>
      <c r="I750" s="33"/>
      <c r="J750" s="33"/>
      <c r="K750" s="34"/>
      <c r="L750" s="34"/>
      <c r="M750" s="34"/>
      <c r="N750" s="34"/>
      <c r="O750" s="34"/>
      <c r="P750" s="34"/>
      <c r="Q750" s="34"/>
      <c r="R750" s="34"/>
      <c r="S750" s="34"/>
      <c r="T750" s="34"/>
      <c r="U750" s="34"/>
      <c r="V750" s="34"/>
      <c r="W750" s="34"/>
      <c r="X750" s="34"/>
      <c r="Y750" s="34"/>
      <c r="Z750" s="3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row>
    <row r="751" spans="1:57" ht="15.75" customHeight="1" x14ac:dyDescent="0.2">
      <c r="A751" s="34"/>
      <c r="B751" s="34"/>
      <c r="C751" s="33"/>
      <c r="D751" s="34"/>
      <c r="E751" s="34"/>
      <c r="F751" s="34"/>
      <c r="G751" s="34"/>
      <c r="H751" s="33"/>
      <c r="I751" s="33"/>
      <c r="J751" s="33"/>
      <c r="K751" s="34"/>
      <c r="L751" s="34"/>
      <c r="M751" s="34"/>
      <c r="N751" s="34"/>
      <c r="O751" s="34"/>
      <c r="P751" s="34"/>
      <c r="Q751" s="34"/>
      <c r="R751" s="34"/>
      <c r="S751" s="34"/>
      <c r="T751" s="34"/>
      <c r="U751" s="34"/>
      <c r="V751" s="34"/>
      <c r="W751" s="34"/>
      <c r="X751" s="34"/>
      <c r="Y751" s="34"/>
      <c r="Z751" s="3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row>
    <row r="752" spans="1:57" ht="15.75" customHeight="1" x14ac:dyDescent="0.2">
      <c r="A752" s="34"/>
      <c r="B752" s="34"/>
      <c r="C752" s="33"/>
      <c r="D752" s="34"/>
      <c r="E752" s="34"/>
      <c r="F752" s="34"/>
      <c r="G752" s="34"/>
      <c r="H752" s="33"/>
      <c r="I752" s="33"/>
      <c r="J752" s="33"/>
      <c r="K752" s="34"/>
      <c r="L752" s="34"/>
      <c r="M752" s="34"/>
      <c r="N752" s="34"/>
      <c r="O752" s="34"/>
      <c r="P752" s="34"/>
      <c r="Q752" s="34"/>
      <c r="R752" s="34"/>
      <c r="S752" s="34"/>
      <c r="T752" s="34"/>
      <c r="U752" s="34"/>
      <c r="V752" s="34"/>
      <c r="W752" s="34"/>
      <c r="X752" s="34"/>
      <c r="Y752" s="34"/>
      <c r="Z752" s="3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row>
    <row r="753" spans="1:57" ht="15.75" customHeight="1" x14ac:dyDescent="0.2">
      <c r="A753" s="34"/>
      <c r="B753" s="34"/>
      <c r="C753" s="33"/>
      <c r="D753" s="34"/>
      <c r="E753" s="34"/>
      <c r="F753" s="34"/>
      <c r="G753" s="34"/>
      <c r="H753" s="33"/>
      <c r="I753" s="33"/>
      <c r="J753" s="33"/>
      <c r="K753" s="34"/>
      <c r="L753" s="34"/>
      <c r="M753" s="34"/>
      <c r="N753" s="34"/>
      <c r="O753" s="34"/>
      <c r="P753" s="34"/>
      <c r="Q753" s="34"/>
      <c r="R753" s="34"/>
      <c r="S753" s="34"/>
      <c r="T753" s="34"/>
      <c r="U753" s="34"/>
      <c r="V753" s="34"/>
      <c r="W753" s="34"/>
      <c r="X753" s="34"/>
      <c r="Y753" s="34"/>
      <c r="Z753" s="3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row>
    <row r="754" spans="1:57" ht="15.75" customHeight="1" x14ac:dyDescent="0.2">
      <c r="A754" s="34"/>
      <c r="B754" s="34"/>
      <c r="C754" s="33"/>
      <c r="D754" s="34"/>
      <c r="E754" s="34"/>
      <c r="F754" s="34"/>
      <c r="G754" s="34"/>
      <c r="H754" s="33"/>
      <c r="I754" s="33"/>
      <c r="J754" s="33"/>
      <c r="K754" s="34"/>
      <c r="L754" s="34"/>
      <c r="M754" s="34"/>
      <c r="N754" s="34"/>
      <c r="O754" s="34"/>
      <c r="P754" s="34"/>
      <c r="Q754" s="34"/>
      <c r="R754" s="34"/>
      <c r="S754" s="34"/>
      <c r="T754" s="34"/>
      <c r="U754" s="34"/>
      <c r="V754" s="34"/>
      <c r="W754" s="34"/>
      <c r="X754" s="34"/>
      <c r="Y754" s="34"/>
      <c r="Z754" s="3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row>
    <row r="755" spans="1:57" ht="15.75" customHeight="1" x14ac:dyDescent="0.2">
      <c r="A755" s="34"/>
      <c r="B755" s="34"/>
      <c r="C755" s="33"/>
      <c r="D755" s="34"/>
      <c r="E755" s="34"/>
      <c r="F755" s="34"/>
      <c r="G755" s="34"/>
      <c r="H755" s="33"/>
      <c r="I755" s="33"/>
      <c r="J755" s="33"/>
      <c r="K755" s="34"/>
      <c r="L755" s="34"/>
      <c r="M755" s="34"/>
      <c r="N755" s="34"/>
      <c r="O755" s="34"/>
      <c r="P755" s="34"/>
      <c r="Q755" s="34"/>
      <c r="R755" s="34"/>
      <c r="S755" s="34"/>
      <c r="T755" s="34"/>
      <c r="U755" s="34"/>
      <c r="V755" s="34"/>
      <c r="W755" s="34"/>
      <c r="X755" s="34"/>
      <c r="Y755" s="34"/>
      <c r="Z755" s="3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row>
    <row r="756" spans="1:57" ht="15.75" customHeight="1" x14ac:dyDescent="0.2">
      <c r="A756" s="34"/>
      <c r="B756" s="34"/>
      <c r="C756" s="33"/>
      <c r="D756" s="34"/>
      <c r="E756" s="34"/>
      <c r="F756" s="34"/>
      <c r="G756" s="34"/>
      <c r="H756" s="33"/>
      <c r="I756" s="33"/>
      <c r="J756" s="33"/>
      <c r="K756" s="34"/>
      <c r="L756" s="34"/>
      <c r="M756" s="34"/>
      <c r="N756" s="34"/>
      <c r="O756" s="34"/>
      <c r="P756" s="34"/>
      <c r="Q756" s="34"/>
      <c r="R756" s="34"/>
      <c r="S756" s="34"/>
      <c r="T756" s="34"/>
      <c r="U756" s="34"/>
      <c r="V756" s="34"/>
      <c r="W756" s="34"/>
      <c r="X756" s="34"/>
      <c r="Y756" s="34"/>
      <c r="Z756" s="3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row>
    <row r="757" spans="1:57" ht="15.75" customHeight="1" x14ac:dyDescent="0.2">
      <c r="A757" s="34"/>
      <c r="B757" s="34"/>
      <c r="C757" s="33"/>
      <c r="D757" s="34"/>
      <c r="E757" s="34"/>
      <c r="F757" s="34"/>
      <c r="G757" s="34"/>
      <c r="H757" s="33"/>
      <c r="I757" s="33"/>
      <c r="J757" s="33"/>
      <c r="K757" s="34"/>
      <c r="L757" s="34"/>
      <c r="M757" s="34"/>
      <c r="N757" s="34"/>
      <c r="O757" s="34"/>
      <c r="P757" s="34"/>
      <c r="Q757" s="34"/>
      <c r="R757" s="34"/>
      <c r="S757" s="34"/>
      <c r="T757" s="34"/>
      <c r="U757" s="34"/>
      <c r="V757" s="34"/>
      <c r="W757" s="34"/>
      <c r="X757" s="34"/>
      <c r="Y757" s="34"/>
      <c r="Z757" s="3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row>
    <row r="758" spans="1:57" ht="15.75" customHeight="1" x14ac:dyDescent="0.2">
      <c r="A758" s="34"/>
      <c r="B758" s="34"/>
      <c r="C758" s="33"/>
      <c r="D758" s="34"/>
      <c r="E758" s="34"/>
      <c r="F758" s="34"/>
      <c r="G758" s="34"/>
      <c r="H758" s="33"/>
      <c r="I758" s="33"/>
      <c r="J758" s="33"/>
      <c r="K758" s="34"/>
      <c r="L758" s="34"/>
      <c r="M758" s="34"/>
      <c r="N758" s="34"/>
      <c r="O758" s="34"/>
      <c r="P758" s="34"/>
      <c r="Q758" s="34"/>
      <c r="R758" s="34"/>
      <c r="S758" s="34"/>
      <c r="T758" s="34"/>
      <c r="U758" s="34"/>
      <c r="V758" s="34"/>
      <c r="W758" s="34"/>
      <c r="X758" s="34"/>
      <c r="Y758" s="34"/>
      <c r="Z758" s="3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row>
    <row r="759" spans="1:57" ht="15.75" customHeight="1" x14ac:dyDescent="0.2">
      <c r="A759" s="34"/>
      <c r="B759" s="34"/>
      <c r="C759" s="33"/>
      <c r="D759" s="34"/>
      <c r="E759" s="34"/>
      <c r="F759" s="34"/>
      <c r="G759" s="34"/>
      <c r="H759" s="33"/>
      <c r="I759" s="33"/>
      <c r="J759" s="33"/>
      <c r="K759" s="34"/>
      <c r="L759" s="34"/>
      <c r="M759" s="34"/>
      <c r="N759" s="34"/>
      <c r="O759" s="34"/>
      <c r="P759" s="34"/>
      <c r="Q759" s="34"/>
      <c r="R759" s="34"/>
      <c r="S759" s="34"/>
      <c r="T759" s="34"/>
      <c r="U759" s="34"/>
      <c r="V759" s="34"/>
      <c r="W759" s="34"/>
      <c r="X759" s="34"/>
      <c r="Y759" s="34"/>
      <c r="Z759" s="3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row>
    <row r="760" spans="1:57" ht="15.75" customHeight="1" x14ac:dyDescent="0.2">
      <c r="A760" s="34"/>
      <c r="B760" s="34"/>
      <c r="C760" s="33"/>
      <c r="D760" s="34"/>
      <c r="E760" s="34"/>
      <c r="F760" s="34"/>
      <c r="G760" s="34"/>
      <c r="H760" s="33"/>
      <c r="I760" s="33"/>
      <c r="J760" s="33"/>
      <c r="K760" s="34"/>
      <c r="L760" s="34"/>
      <c r="M760" s="34"/>
      <c r="N760" s="34"/>
      <c r="O760" s="34"/>
      <c r="P760" s="34"/>
      <c r="Q760" s="34"/>
      <c r="R760" s="34"/>
      <c r="S760" s="34"/>
      <c r="T760" s="34"/>
      <c r="U760" s="34"/>
      <c r="V760" s="34"/>
      <c r="W760" s="34"/>
      <c r="X760" s="34"/>
      <c r="Y760" s="34"/>
      <c r="Z760" s="3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row>
    <row r="761" spans="1:57" ht="15.75" customHeight="1" x14ac:dyDescent="0.2">
      <c r="A761" s="34"/>
      <c r="B761" s="34"/>
      <c r="C761" s="33"/>
      <c r="D761" s="34"/>
      <c r="E761" s="34"/>
      <c r="F761" s="34"/>
      <c r="G761" s="34"/>
      <c r="H761" s="33"/>
      <c r="I761" s="33"/>
      <c r="J761" s="33"/>
      <c r="K761" s="34"/>
      <c r="L761" s="34"/>
      <c r="M761" s="34"/>
      <c r="N761" s="34"/>
      <c r="O761" s="34"/>
      <c r="P761" s="34"/>
      <c r="Q761" s="34"/>
      <c r="R761" s="34"/>
      <c r="S761" s="34"/>
      <c r="T761" s="34"/>
      <c r="U761" s="34"/>
      <c r="V761" s="34"/>
      <c r="W761" s="34"/>
      <c r="X761" s="34"/>
      <c r="Y761" s="34"/>
      <c r="Z761" s="3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row>
    <row r="762" spans="1:57" ht="15.75" customHeight="1" x14ac:dyDescent="0.2">
      <c r="A762" s="34"/>
      <c r="B762" s="34"/>
      <c r="C762" s="33"/>
      <c r="D762" s="34"/>
      <c r="E762" s="34"/>
      <c r="F762" s="34"/>
      <c r="G762" s="34"/>
      <c r="H762" s="33"/>
      <c r="I762" s="33"/>
      <c r="J762" s="33"/>
      <c r="K762" s="34"/>
      <c r="L762" s="34"/>
      <c r="M762" s="34"/>
      <c r="N762" s="34"/>
      <c r="O762" s="34"/>
      <c r="P762" s="34"/>
      <c r="Q762" s="34"/>
      <c r="R762" s="34"/>
      <c r="S762" s="34"/>
      <c r="T762" s="34"/>
      <c r="U762" s="34"/>
      <c r="V762" s="34"/>
      <c r="W762" s="34"/>
      <c r="X762" s="34"/>
      <c r="Y762" s="34"/>
      <c r="Z762" s="3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row>
    <row r="763" spans="1:57" ht="15.75" customHeight="1" x14ac:dyDescent="0.2">
      <c r="A763" s="34"/>
      <c r="B763" s="34"/>
      <c r="C763" s="33"/>
      <c r="D763" s="34"/>
      <c r="E763" s="34"/>
      <c r="F763" s="34"/>
      <c r="G763" s="34"/>
      <c r="H763" s="33"/>
      <c r="I763" s="33"/>
      <c r="J763" s="33"/>
      <c r="K763" s="34"/>
      <c r="L763" s="34"/>
      <c r="M763" s="34"/>
      <c r="N763" s="34"/>
      <c r="O763" s="34"/>
      <c r="P763" s="34"/>
      <c r="Q763" s="34"/>
      <c r="R763" s="34"/>
      <c r="S763" s="34"/>
      <c r="T763" s="34"/>
      <c r="U763" s="34"/>
      <c r="V763" s="34"/>
      <c r="W763" s="34"/>
      <c r="X763" s="34"/>
      <c r="Y763" s="34"/>
      <c r="Z763" s="3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row>
    <row r="764" spans="1:57" ht="15.75" customHeight="1" x14ac:dyDescent="0.2">
      <c r="A764" s="34"/>
      <c r="B764" s="34"/>
      <c r="C764" s="33"/>
      <c r="D764" s="34"/>
      <c r="E764" s="34"/>
      <c r="F764" s="34"/>
      <c r="G764" s="34"/>
      <c r="H764" s="33"/>
      <c r="I764" s="33"/>
      <c r="J764" s="33"/>
      <c r="K764" s="34"/>
      <c r="L764" s="34"/>
      <c r="M764" s="34"/>
      <c r="N764" s="34"/>
      <c r="O764" s="34"/>
      <c r="P764" s="34"/>
      <c r="Q764" s="34"/>
      <c r="R764" s="34"/>
      <c r="S764" s="34"/>
      <c r="T764" s="34"/>
      <c r="U764" s="34"/>
      <c r="V764" s="34"/>
      <c r="W764" s="34"/>
      <c r="X764" s="34"/>
      <c r="Y764" s="34"/>
      <c r="Z764" s="3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row>
    <row r="765" spans="1:57" ht="15.75" customHeight="1" x14ac:dyDescent="0.2">
      <c r="A765" s="34"/>
      <c r="B765" s="34"/>
      <c r="C765" s="33"/>
      <c r="D765" s="34"/>
      <c r="E765" s="34"/>
      <c r="F765" s="34"/>
      <c r="G765" s="34"/>
      <c r="H765" s="33"/>
      <c r="I765" s="33"/>
      <c r="J765" s="33"/>
      <c r="K765" s="34"/>
      <c r="L765" s="34"/>
      <c r="M765" s="34"/>
      <c r="N765" s="34"/>
      <c r="O765" s="34"/>
      <c r="P765" s="34"/>
      <c r="Q765" s="34"/>
      <c r="R765" s="34"/>
      <c r="S765" s="34"/>
      <c r="T765" s="34"/>
      <c r="U765" s="34"/>
      <c r="V765" s="34"/>
      <c r="W765" s="34"/>
      <c r="X765" s="34"/>
      <c r="Y765" s="34"/>
      <c r="Z765" s="3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row>
    <row r="766" spans="1:57" ht="15.75" customHeight="1" x14ac:dyDescent="0.2">
      <c r="A766" s="34"/>
      <c r="B766" s="34"/>
      <c r="C766" s="33"/>
      <c r="D766" s="34"/>
      <c r="E766" s="34"/>
      <c r="F766" s="34"/>
      <c r="G766" s="34"/>
      <c r="H766" s="33"/>
      <c r="I766" s="33"/>
      <c r="J766" s="33"/>
      <c r="K766" s="34"/>
      <c r="L766" s="34"/>
      <c r="M766" s="34"/>
      <c r="N766" s="34"/>
      <c r="O766" s="34"/>
      <c r="P766" s="34"/>
      <c r="Q766" s="34"/>
      <c r="R766" s="34"/>
      <c r="S766" s="34"/>
      <c r="T766" s="34"/>
      <c r="U766" s="34"/>
      <c r="V766" s="34"/>
      <c r="W766" s="34"/>
      <c r="X766" s="34"/>
      <c r="Y766" s="34"/>
      <c r="Z766" s="3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row>
    <row r="767" spans="1:57" ht="15.75" customHeight="1" x14ac:dyDescent="0.2">
      <c r="A767" s="34"/>
      <c r="B767" s="34"/>
      <c r="C767" s="33"/>
      <c r="D767" s="34"/>
      <c r="E767" s="34"/>
      <c r="F767" s="34"/>
      <c r="G767" s="34"/>
      <c r="H767" s="33"/>
      <c r="I767" s="33"/>
      <c r="J767" s="33"/>
      <c r="K767" s="34"/>
      <c r="L767" s="34"/>
      <c r="M767" s="34"/>
      <c r="N767" s="34"/>
      <c r="O767" s="34"/>
      <c r="P767" s="34"/>
      <c r="Q767" s="34"/>
      <c r="R767" s="34"/>
      <c r="S767" s="34"/>
      <c r="T767" s="34"/>
      <c r="U767" s="34"/>
      <c r="V767" s="34"/>
      <c r="W767" s="34"/>
      <c r="X767" s="34"/>
      <c r="Y767" s="34"/>
      <c r="Z767" s="3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row>
    <row r="768" spans="1:57" ht="15.75" customHeight="1" x14ac:dyDescent="0.2">
      <c r="A768" s="34"/>
      <c r="B768" s="34"/>
      <c r="C768" s="33"/>
      <c r="D768" s="34"/>
      <c r="E768" s="34"/>
      <c r="F768" s="34"/>
      <c r="G768" s="34"/>
      <c r="H768" s="33"/>
      <c r="I768" s="33"/>
      <c r="J768" s="33"/>
      <c r="K768" s="34"/>
      <c r="L768" s="34"/>
      <c r="M768" s="34"/>
      <c r="N768" s="34"/>
      <c r="O768" s="34"/>
      <c r="P768" s="34"/>
      <c r="Q768" s="34"/>
      <c r="R768" s="34"/>
      <c r="S768" s="34"/>
      <c r="T768" s="34"/>
      <c r="U768" s="34"/>
      <c r="V768" s="34"/>
      <c r="W768" s="34"/>
      <c r="X768" s="34"/>
      <c r="Y768" s="34"/>
      <c r="Z768" s="3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row>
    <row r="769" spans="1:57" ht="15.75" customHeight="1" x14ac:dyDescent="0.2">
      <c r="A769" s="34"/>
      <c r="B769" s="34"/>
      <c r="C769" s="33"/>
      <c r="D769" s="34"/>
      <c r="E769" s="34"/>
      <c r="F769" s="34"/>
      <c r="G769" s="34"/>
      <c r="H769" s="33"/>
      <c r="I769" s="33"/>
      <c r="J769" s="33"/>
      <c r="K769" s="34"/>
      <c r="L769" s="34"/>
      <c r="M769" s="34"/>
      <c r="N769" s="34"/>
      <c r="O769" s="34"/>
      <c r="P769" s="34"/>
      <c r="Q769" s="34"/>
      <c r="R769" s="34"/>
      <c r="S769" s="34"/>
      <c r="T769" s="34"/>
      <c r="U769" s="34"/>
      <c r="V769" s="34"/>
      <c r="W769" s="34"/>
      <c r="X769" s="34"/>
      <c r="Y769" s="34"/>
      <c r="Z769" s="3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row>
    <row r="770" spans="1:57" ht="15.75" customHeight="1" x14ac:dyDescent="0.2">
      <c r="A770" s="34"/>
      <c r="B770" s="34"/>
      <c r="C770" s="33"/>
      <c r="D770" s="34"/>
      <c r="E770" s="34"/>
      <c r="F770" s="34"/>
      <c r="G770" s="34"/>
      <c r="H770" s="33"/>
      <c r="I770" s="33"/>
      <c r="J770" s="33"/>
      <c r="K770" s="34"/>
      <c r="L770" s="34"/>
      <c r="M770" s="34"/>
      <c r="N770" s="34"/>
      <c r="O770" s="34"/>
      <c r="P770" s="34"/>
      <c r="Q770" s="34"/>
      <c r="R770" s="34"/>
      <c r="S770" s="34"/>
      <c r="T770" s="34"/>
      <c r="U770" s="34"/>
      <c r="V770" s="34"/>
      <c r="W770" s="34"/>
      <c r="X770" s="34"/>
      <c r="Y770" s="34"/>
      <c r="Z770" s="3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row>
    <row r="771" spans="1:57" ht="15.75" customHeight="1" x14ac:dyDescent="0.2">
      <c r="A771" s="34"/>
      <c r="B771" s="34"/>
      <c r="C771" s="33"/>
      <c r="D771" s="34"/>
      <c r="E771" s="34"/>
      <c r="F771" s="34"/>
      <c r="G771" s="34"/>
      <c r="H771" s="33"/>
      <c r="I771" s="33"/>
      <c r="J771" s="33"/>
      <c r="K771" s="34"/>
      <c r="L771" s="34"/>
      <c r="M771" s="34"/>
      <c r="N771" s="34"/>
      <c r="O771" s="34"/>
      <c r="P771" s="34"/>
      <c r="Q771" s="34"/>
      <c r="R771" s="34"/>
      <c r="S771" s="34"/>
      <c r="T771" s="34"/>
      <c r="U771" s="34"/>
      <c r="V771" s="34"/>
      <c r="W771" s="34"/>
      <c r="X771" s="34"/>
      <c r="Y771" s="34"/>
      <c r="Z771" s="3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row>
    <row r="772" spans="1:57" ht="15.75" customHeight="1" x14ac:dyDescent="0.2">
      <c r="A772" s="34"/>
      <c r="B772" s="34"/>
      <c r="C772" s="33"/>
      <c r="D772" s="34"/>
      <c r="E772" s="34"/>
      <c r="F772" s="34"/>
      <c r="G772" s="34"/>
      <c r="H772" s="33"/>
      <c r="I772" s="33"/>
      <c r="J772" s="33"/>
      <c r="K772" s="34"/>
      <c r="L772" s="34"/>
      <c r="M772" s="34"/>
      <c r="N772" s="34"/>
      <c r="O772" s="34"/>
      <c r="P772" s="34"/>
      <c r="Q772" s="34"/>
      <c r="R772" s="34"/>
      <c r="S772" s="34"/>
      <c r="T772" s="34"/>
      <c r="U772" s="34"/>
      <c r="V772" s="34"/>
      <c r="W772" s="34"/>
      <c r="X772" s="34"/>
      <c r="Y772" s="34"/>
      <c r="Z772" s="3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row>
    <row r="773" spans="1:57" ht="15.75" customHeight="1" x14ac:dyDescent="0.2">
      <c r="A773" s="34"/>
      <c r="B773" s="34"/>
      <c r="C773" s="33"/>
      <c r="D773" s="34"/>
      <c r="E773" s="34"/>
      <c r="F773" s="34"/>
      <c r="G773" s="34"/>
      <c r="H773" s="33"/>
      <c r="I773" s="33"/>
      <c r="J773" s="33"/>
      <c r="K773" s="34"/>
      <c r="L773" s="34"/>
      <c r="M773" s="34"/>
      <c r="N773" s="34"/>
      <c r="O773" s="34"/>
      <c r="P773" s="34"/>
      <c r="Q773" s="34"/>
      <c r="R773" s="34"/>
      <c r="S773" s="34"/>
      <c r="T773" s="34"/>
      <c r="U773" s="34"/>
      <c r="V773" s="34"/>
      <c r="W773" s="34"/>
      <c r="X773" s="34"/>
      <c r="Y773" s="34"/>
      <c r="Z773" s="3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row>
    <row r="774" spans="1:57" ht="15.75" customHeight="1" x14ac:dyDescent="0.2">
      <c r="A774" s="34"/>
      <c r="B774" s="34"/>
      <c r="C774" s="33"/>
      <c r="D774" s="34"/>
      <c r="E774" s="34"/>
      <c r="F774" s="34"/>
      <c r="G774" s="34"/>
      <c r="H774" s="33"/>
      <c r="I774" s="33"/>
      <c r="J774" s="33"/>
      <c r="K774" s="34"/>
      <c r="L774" s="34"/>
      <c r="M774" s="34"/>
      <c r="N774" s="34"/>
      <c r="O774" s="34"/>
      <c r="P774" s="34"/>
      <c r="Q774" s="34"/>
      <c r="R774" s="34"/>
      <c r="S774" s="34"/>
      <c r="T774" s="34"/>
      <c r="U774" s="34"/>
      <c r="V774" s="34"/>
      <c r="W774" s="34"/>
      <c r="X774" s="34"/>
      <c r="Y774" s="34"/>
      <c r="Z774" s="3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row>
    <row r="775" spans="1:57" ht="15.75" customHeight="1" x14ac:dyDescent="0.2">
      <c r="A775" s="34"/>
      <c r="B775" s="34"/>
      <c r="C775" s="33"/>
      <c r="D775" s="34"/>
      <c r="E775" s="34"/>
      <c r="F775" s="34"/>
      <c r="G775" s="34"/>
      <c r="H775" s="33"/>
      <c r="I775" s="33"/>
      <c r="J775" s="33"/>
      <c r="K775" s="34"/>
      <c r="L775" s="34"/>
      <c r="M775" s="34"/>
      <c r="N775" s="34"/>
      <c r="O775" s="34"/>
      <c r="P775" s="34"/>
      <c r="Q775" s="34"/>
      <c r="R775" s="34"/>
      <c r="S775" s="34"/>
      <c r="T775" s="34"/>
      <c r="U775" s="34"/>
      <c r="V775" s="34"/>
      <c r="W775" s="34"/>
      <c r="X775" s="34"/>
      <c r="Y775" s="34"/>
      <c r="Z775" s="3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row>
    <row r="776" spans="1:57" ht="15.75" customHeight="1" x14ac:dyDescent="0.2">
      <c r="A776" s="34"/>
      <c r="B776" s="34"/>
      <c r="C776" s="33"/>
      <c r="D776" s="34"/>
      <c r="E776" s="34"/>
      <c r="F776" s="34"/>
      <c r="G776" s="34"/>
      <c r="H776" s="33"/>
      <c r="I776" s="33"/>
      <c r="J776" s="33"/>
      <c r="K776" s="34"/>
      <c r="L776" s="34"/>
      <c r="M776" s="34"/>
      <c r="N776" s="34"/>
      <c r="O776" s="34"/>
      <c r="P776" s="34"/>
      <c r="Q776" s="34"/>
      <c r="R776" s="34"/>
      <c r="S776" s="34"/>
      <c r="T776" s="34"/>
      <c r="U776" s="34"/>
      <c r="V776" s="34"/>
      <c r="W776" s="34"/>
      <c r="X776" s="34"/>
      <c r="Y776" s="34"/>
      <c r="Z776" s="3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row>
    <row r="777" spans="1:57" ht="15.75" customHeight="1" x14ac:dyDescent="0.2">
      <c r="A777" s="34"/>
      <c r="B777" s="34"/>
      <c r="C777" s="33"/>
      <c r="D777" s="34"/>
      <c r="E777" s="34"/>
      <c r="F777" s="34"/>
      <c r="G777" s="34"/>
      <c r="H777" s="33"/>
      <c r="I777" s="33"/>
      <c r="J777" s="33"/>
      <c r="K777" s="34"/>
      <c r="L777" s="34"/>
      <c r="M777" s="34"/>
      <c r="N777" s="34"/>
      <c r="O777" s="34"/>
      <c r="P777" s="34"/>
      <c r="Q777" s="34"/>
      <c r="R777" s="34"/>
      <c r="S777" s="34"/>
      <c r="T777" s="34"/>
      <c r="U777" s="34"/>
      <c r="V777" s="34"/>
      <c r="W777" s="34"/>
      <c r="X777" s="34"/>
      <c r="Y777" s="34"/>
      <c r="Z777" s="3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row>
    <row r="778" spans="1:57" ht="15.75" customHeight="1" x14ac:dyDescent="0.2">
      <c r="A778" s="34"/>
      <c r="B778" s="34"/>
      <c r="C778" s="33"/>
      <c r="D778" s="34"/>
      <c r="E778" s="34"/>
      <c r="F778" s="34"/>
      <c r="G778" s="34"/>
      <c r="H778" s="33"/>
      <c r="I778" s="33"/>
      <c r="J778" s="33"/>
      <c r="K778" s="34"/>
      <c r="L778" s="34"/>
      <c r="M778" s="34"/>
      <c r="N778" s="34"/>
      <c r="O778" s="34"/>
      <c r="P778" s="34"/>
      <c r="Q778" s="34"/>
      <c r="R778" s="34"/>
      <c r="S778" s="34"/>
      <c r="T778" s="34"/>
      <c r="U778" s="34"/>
      <c r="V778" s="34"/>
      <c r="W778" s="34"/>
      <c r="X778" s="34"/>
      <c r="Y778" s="34"/>
      <c r="Z778" s="3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row>
    <row r="779" spans="1:57" ht="15.75" customHeight="1" x14ac:dyDescent="0.2">
      <c r="A779" s="34"/>
      <c r="B779" s="34"/>
      <c r="C779" s="33"/>
      <c r="D779" s="34"/>
      <c r="E779" s="34"/>
      <c r="F779" s="34"/>
      <c r="G779" s="34"/>
      <c r="H779" s="33"/>
      <c r="I779" s="33"/>
      <c r="J779" s="33"/>
      <c r="K779" s="34"/>
      <c r="L779" s="34"/>
      <c r="M779" s="34"/>
      <c r="N779" s="34"/>
      <c r="O779" s="34"/>
      <c r="P779" s="34"/>
      <c r="Q779" s="34"/>
      <c r="R779" s="34"/>
      <c r="S779" s="34"/>
      <c r="T779" s="34"/>
      <c r="U779" s="34"/>
      <c r="V779" s="34"/>
      <c r="W779" s="34"/>
      <c r="X779" s="34"/>
      <c r="Y779" s="34"/>
      <c r="Z779" s="3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row>
    <row r="780" spans="1:57" ht="15.75" customHeight="1" x14ac:dyDescent="0.2">
      <c r="A780" s="34"/>
      <c r="B780" s="34"/>
      <c r="C780" s="33"/>
      <c r="D780" s="34"/>
      <c r="E780" s="34"/>
      <c r="F780" s="34"/>
      <c r="G780" s="34"/>
      <c r="H780" s="33"/>
      <c r="I780" s="33"/>
      <c r="J780" s="33"/>
      <c r="K780" s="34"/>
      <c r="L780" s="34"/>
      <c r="M780" s="34"/>
      <c r="N780" s="34"/>
      <c r="O780" s="34"/>
      <c r="P780" s="34"/>
      <c r="Q780" s="34"/>
      <c r="R780" s="34"/>
      <c r="S780" s="34"/>
      <c r="T780" s="34"/>
      <c r="U780" s="34"/>
      <c r="V780" s="34"/>
      <c r="W780" s="34"/>
      <c r="X780" s="34"/>
      <c r="Y780" s="34"/>
      <c r="Z780" s="3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row>
    <row r="781" spans="1:57" ht="15.75" customHeight="1" x14ac:dyDescent="0.2">
      <c r="A781" s="34"/>
      <c r="B781" s="34"/>
      <c r="C781" s="33"/>
      <c r="D781" s="34"/>
      <c r="E781" s="34"/>
      <c r="F781" s="34"/>
      <c r="G781" s="34"/>
      <c r="H781" s="33"/>
      <c r="I781" s="33"/>
      <c r="J781" s="33"/>
      <c r="K781" s="34"/>
      <c r="L781" s="34"/>
      <c r="M781" s="34"/>
      <c r="N781" s="34"/>
      <c r="O781" s="34"/>
      <c r="P781" s="34"/>
      <c r="Q781" s="34"/>
      <c r="R781" s="34"/>
      <c r="S781" s="34"/>
      <c r="T781" s="34"/>
      <c r="U781" s="34"/>
      <c r="V781" s="34"/>
      <c r="W781" s="34"/>
      <c r="X781" s="34"/>
      <c r="Y781" s="34"/>
      <c r="Z781" s="3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row>
    <row r="782" spans="1:57" ht="15.75" customHeight="1" x14ac:dyDescent="0.2">
      <c r="A782" s="34"/>
      <c r="B782" s="34"/>
      <c r="C782" s="33"/>
      <c r="D782" s="34"/>
      <c r="E782" s="34"/>
      <c r="F782" s="34"/>
      <c r="G782" s="34"/>
      <c r="H782" s="33"/>
      <c r="I782" s="33"/>
      <c r="J782" s="33"/>
      <c r="K782" s="34"/>
      <c r="L782" s="34"/>
      <c r="M782" s="34"/>
      <c r="N782" s="34"/>
      <c r="O782" s="34"/>
      <c r="P782" s="34"/>
      <c r="Q782" s="34"/>
      <c r="R782" s="34"/>
      <c r="S782" s="34"/>
      <c r="T782" s="34"/>
      <c r="U782" s="34"/>
      <c r="V782" s="34"/>
      <c r="W782" s="34"/>
      <c r="X782" s="34"/>
      <c r="Y782" s="34"/>
      <c r="Z782" s="3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row>
    <row r="783" spans="1:57" ht="15.75" customHeight="1" x14ac:dyDescent="0.2">
      <c r="A783" s="34"/>
      <c r="B783" s="34"/>
      <c r="C783" s="33"/>
      <c r="D783" s="34"/>
      <c r="E783" s="34"/>
      <c r="F783" s="34"/>
      <c r="G783" s="34"/>
      <c r="H783" s="33"/>
      <c r="I783" s="33"/>
      <c r="J783" s="33"/>
      <c r="K783" s="34"/>
      <c r="L783" s="34"/>
      <c r="M783" s="34"/>
      <c r="N783" s="34"/>
      <c r="O783" s="34"/>
      <c r="P783" s="34"/>
      <c r="Q783" s="34"/>
      <c r="R783" s="34"/>
      <c r="S783" s="34"/>
      <c r="T783" s="34"/>
      <c r="U783" s="34"/>
      <c r="V783" s="34"/>
      <c r="W783" s="34"/>
      <c r="X783" s="34"/>
      <c r="Y783" s="34"/>
      <c r="Z783" s="3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row>
    <row r="784" spans="1:57" ht="15.75" customHeight="1" x14ac:dyDescent="0.2">
      <c r="A784" s="34"/>
      <c r="B784" s="34"/>
      <c r="C784" s="33"/>
      <c r="D784" s="34"/>
      <c r="E784" s="34"/>
      <c r="F784" s="34"/>
      <c r="G784" s="34"/>
      <c r="H784" s="33"/>
      <c r="I784" s="33"/>
      <c r="J784" s="33"/>
      <c r="K784" s="34"/>
      <c r="L784" s="34"/>
      <c r="M784" s="34"/>
      <c r="N784" s="34"/>
      <c r="O784" s="34"/>
      <c r="P784" s="34"/>
      <c r="Q784" s="34"/>
      <c r="R784" s="34"/>
      <c r="S784" s="34"/>
      <c r="T784" s="34"/>
      <c r="U784" s="34"/>
      <c r="V784" s="34"/>
      <c r="W784" s="34"/>
      <c r="X784" s="34"/>
      <c r="Y784" s="34"/>
      <c r="Z784" s="3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row>
    <row r="785" spans="1:57" ht="15.75" customHeight="1" x14ac:dyDescent="0.2">
      <c r="A785" s="34"/>
      <c r="B785" s="34"/>
      <c r="C785" s="33"/>
      <c r="D785" s="34"/>
      <c r="E785" s="34"/>
      <c r="F785" s="34"/>
      <c r="G785" s="34"/>
      <c r="H785" s="33"/>
      <c r="I785" s="33"/>
      <c r="J785" s="33"/>
      <c r="K785" s="34"/>
      <c r="L785" s="34"/>
      <c r="M785" s="34"/>
      <c r="N785" s="34"/>
      <c r="O785" s="34"/>
      <c r="P785" s="34"/>
      <c r="Q785" s="34"/>
      <c r="R785" s="34"/>
      <c r="S785" s="34"/>
      <c r="T785" s="34"/>
      <c r="U785" s="34"/>
      <c r="V785" s="34"/>
      <c r="W785" s="34"/>
      <c r="X785" s="34"/>
      <c r="Y785" s="34"/>
      <c r="Z785" s="3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row>
    <row r="786" spans="1:57" ht="15.75" customHeight="1" x14ac:dyDescent="0.2">
      <c r="A786" s="34"/>
      <c r="B786" s="34"/>
      <c r="C786" s="33"/>
      <c r="D786" s="34"/>
      <c r="E786" s="34"/>
      <c r="F786" s="34"/>
      <c r="G786" s="34"/>
      <c r="H786" s="33"/>
      <c r="I786" s="33"/>
      <c r="J786" s="33"/>
      <c r="K786" s="34"/>
      <c r="L786" s="34"/>
      <c r="M786" s="34"/>
      <c r="N786" s="34"/>
      <c r="O786" s="34"/>
      <c r="P786" s="34"/>
      <c r="Q786" s="34"/>
      <c r="R786" s="34"/>
      <c r="S786" s="34"/>
      <c r="T786" s="34"/>
      <c r="U786" s="34"/>
      <c r="V786" s="34"/>
      <c r="W786" s="34"/>
      <c r="X786" s="34"/>
      <c r="Y786" s="34"/>
      <c r="Z786" s="3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row>
    <row r="787" spans="1:57" ht="15.75" customHeight="1" x14ac:dyDescent="0.2">
      <c r="A787" s="34"/>
      <c r="B787" s="34"/>
      <c r="C787" s="33"/>
      <c r="D787" s="34"/>
      <c r="E787" s="34"/>
      <c r="F787" s="34"/>
      <c r="G787" s="34"/>
      <c r="H787" s="33"/>
      <c r="I787" s="33"/>
      <c r="J787" s="33"/>
      <c r="K787" s="34"/>
      <c r="L787" s="34"/>
      <c r="M787" s="34"/>
      <c r="N787" s="34"/>
      <c r="O787" s="34"/>
      <c r="P787" s="34"/>
      <c r="Q787" s="34"/>
      <c r="R787" s="34"/>
      <c r="S787" s="34"/>
      <c r="T787" s="34"/>
      <c r="U787" s="34"/>
      <c r="V787" s="34"/>
      <c r="W787" s="34"/>
      <c r="X787" s="34"/>
      <c r="Y787" s="34"/>
      <c r="Z787" s="3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row>
    <row r="788" spans="1:57" ht="15.75" customHeight="1" x14ac:dyDescent="0.2">
      <c r="A788" s="34"/>
      <c r="B788" s="34"/>
      <c r="C788" s="33"/>
      <c r="D788" s="34"/>
      <c r="E788" s="34"/>
      <c r="F788" s="34"/>
      <c r="G788" s="34"/>
      <c r="H788" s="33"/>
      <c r="I788" s="33"/>
      <c r="J788" s="33"/>
      <c r="K788" s="34"/>
      <c r="L788" s="34"/>
      <c r="M788" s="34"/>
      <c r="N788" s="34"/>
      <c r="O788" s="34"/>
      <c r="P788" s="34"/>
      <c r="Q788" s="34"/>
      <c r="R788" s="34"/>
      <c r="S788" s="34"/>
      <c r="T788" s="34"/>
      <c r="U788" s="34"/>
      <c r="V788" s="34"/>
      <c r="W788" s="34"/>
      <c r="X788" s="34"/>
      <c r="Y788" s="34"/>
      <c r="Z788" s="3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row>
    <row r="789" spans="1:57" ht="15.75" customHeight="1" x14ac:dyDescent="0.2">
      <c r="A789" s="34"/>
      <c r="B789" s="34"/>
      <c r="C789" s="33"/>
      <c r="D789" s="34"/>
      <c r="E789" s="34"/>
      <c r="F789" s="34"/>
      <c r="G789" s="34"/>
      <c r="H789" s="33"/>
      <c r="I789" s="33"/>
      <c r="J789" s="33"/>
      <c r="K789" s="34"/>
      <c r="L789" s="34"/>
      <c r="M789" s="34"/>
      <c r="N789" s="34"/>
      <c r="O789" s="34"/>
      <c r="P789" s="34"/>
      <c r="Q789" s="34"/>
      <c r="R789" s="34"/>
      <c r="S789" s="34"/>
      <c r="T789" s="34"/>
      <c r="U789" s="34"/>
      <c r="V789" s="34"/>
      <c r="W789" s="34"/>
      <c r="X789" s="34"/>
      <c r="Y789" s="34"/>
      <c r="Z789" s="3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row>
    <row r="790" spans="1:57" ht="15.75" customHeight="1" x14ac:dyDescent="0.2">
      <c r="A790" s="34"/>
      <c r="B790" s="34"/>
      <c r="C790" s="33"/>
      <c r="D790" s="34"/>
      <c r="E790" s="34"/>
      <c r="F790" s="34"/>
      <c r="G790" s="34"/>
      <c r="H790" s="33"/>
      <c r="I790" s="33"/>
      <c r="J790" s="33"/>
      <c r="K790" s="34"/>
      <c r="L790" s="34"/>
      <c r="M790" s="34"/>
      <c r="N790" s="34"/>
      <c r="O790" s="34"/>
      <c r="P790" s="34"/>
      <c r="Q790" s="34"/>
      <c r="R790" s="34"/>
      <c r="S790" s="34"/>
      <c r="T790" s="34"/>
      <c r="U790" s="34"/>
      <c r="V790" s="34"/>
      <c r="W790" s="34"/>
      <c r="X790" s="34"/>
      <c r="Y790" s="34"/>
      <c r="Z790" s="3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row>
    <row r="791" spans="1:57" ht="15.75" customHeight="1" x14ac:dyDescent="0.2">
      <c r="A791" s="34"/>
      <c r="B791" s="34"/>
      <c r="C791" s="33"/>
      <c r="D791" s="34"/>
      <c r="E791" s="34"/>
      <c r="F791" s="34"/>
      <c r="G791" s="34"/>
      <c r="H791" s="33"/>
      <c r="I791" s="33"/>
      <c r="J791" s="33"/>
      <c r="K791" s="34"/>
      <c r="L791" s="34"/>
      <c r="M791" s="34"/>
      <c r="N791" s="34"/>
      <c r="O791" s="34"/>
      <c r="P791" s="34"/>
      <c r="Q791" s="34"/>
      <c r="R791" s="34"/>
      <c r="S791" s="34"/>
      <c r="T791" s="34"/>
      <c r="U791" s="34"/>
      <c r="V791" s="34"/>
      <c r="W791" s="34"/>
      <c r="X791" s="34"/>
      <c r="Y791" s="34"/>
      <c r="Z791" s="3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row>
    <row r="792" spans="1:57" ht="15.75" customHeight="1" x14ac:dyDescent="0.2">
      <c r="A792" s="34"/>
      <c r="B792" s="34"/>
      <c r="C792" s="33"/>
      <c r="D792" s="34"/>
      <c r="E792" s="34"/>
      <c r="F792" s="34"/>
      <c r="G792" s="34"/>
      <c r="H792" s="33"/>
      <c r="I792" s="33"/>
      <c r="J792" s="33"/>
      <c r="K792" s="34"/>
      <c r="L792" s="34"/>
      <c r="M792" s="34"/>
      <c r="N792" s="34"/>
      <c r="O792" s="34"/>
      <c r="P792" s="34"/>
      <c r="Q792" s="34"/>
      <c r="R792" s="34"/>
      <c r="S792" s="34"/>
      <c r="T792" s="34"/>
      <c r="U792" s="34"/>
      <c r="V792" s="34"/>
      <c r="W792" s="34"/>
      <c r="X792" s="34"/>
      <c r="Y792" s="34"/>
      <c r="Z792" s="3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row>
    <row r="793" spans="1:57" ht="15.75" customHeight="1" x14ac:dyDescent="0.2">
      <c r="A793" s="34"/>
      <c r="B793" s="34"/>
      <c r="C793" s="33"/>
      <c r="D793" s="34"/>
      <c r="E793" s="34"/>
      <c r="F793" s="34"/>
      <c r="G793" s="34"/>
      <c r="H793" s="33"/>
      <c r="I793" s="33"/>
      <c r="J793" s="33"/>
      <c r="K793" s="34"/>
      <c r="L793" s="34"/>
      <c r="M793" s="34"/>
      <c r="N793" s="34"/>
      <c r="O793" s="34"/>
      <c r="P793" s="34"/>
      <c r="Q793" s="34"/>
      <c r="R793" s="34"/>
      <c r="S793" s="34"/>
      <c r="T793" s="34"/>
      <c r="U793" s="34"/>
      <c r="V793" s="34"/>
      <c r="W793" s="34"/>
      <c r="X793" s="34"/>
      <c r="Y793" s="34"/>
      <c r="Z793" s="3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row>
    <row r="794" spans="1:57" ht="15.75" customHeight="1" x14ac:dyDescent="0.2">
      <c r="A794" s="34"/>
      <c r="B794" s="34"/>
      <c r="C794" s="33"/>
      <c r="D794" s="34"/>
      <c r="E794" s="34"/>
      <c r="F794" s="34"/>
      <c r="G794" s="34"/>
      <c r="H794" s="33"/>
      <c r="I794" s="33"/>
      <c r="J794" s="33"/>
      <c r="K794" s="34"/>
      <c r="L794" s="34"/>
      <c r="M794" s="34"/>
      <c r="N794" s="34"/>
      <c r="O794" s="34"/>
      <c r="P794" s="34"/>
      <c r="Q794" s="34"/>
      <c r="R794" s="34"/>
      <c r="S794" s="34"/>
      <c r="T794" s="34"/>
      <c r="U794" s="34"/>
      <c r="V794" s="34"/>
      <c r="W794" s="34"/>
      <c r="X794" s="34"/>
      <c r="Y794" s="34"/>
      <c r="Z794" s="3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row>
    <row r="795" spans="1:57" ht="15.75" customHeight="1" x14ac:dyDescent="0.2">
      <c r="A795" s="34"/>
      <c r="B795" s="34"/>
      <c r="C795" s="33"/>
      <c r="D795" s="34"/>
      <c r="E795" s="34"/>
      <c r="F795" s="34"/>
      <c r="G795" s="34"/>
      <c r="H795" s="33"/>
      <c r="I795" s="33"/>
      <c r="J795" s="33"/>
      <c r="K795" s="34"/>
      <c r="L795" s="34"/>
      <c r="M795" s="34"/>
      <c r="N795" s="34"/>
      <c r="O795" s="34"/>
      <c r="P795" s="34"/>
      <c r="Q795" s="34"/>
      <c r="R795" s="34"/>
      <c r="S795" s="34"/>
      <c r="T795" s="34"/>
      <c r="U795" s="34"/>
      <c r="V795" s="34"/>
      <c r="W795" s="34"/>
      <c r="X795" s="34"/>
      <c r="Y795" s="34"/>
      <c r="Z795" s="3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row>
    <row r="796" spans="1:57" ht="15.75" customHeight="1" x14ac:dyDescent="0.2">
      <c r="A796" s="34"/>
      <c r="B796" s="34"/>
      <c r="C796" s="33"/>
      <c r="D796" s="34"/>
      <c r="E796" s="34"/>
      <c r="F796" s="34"/>
      <c r="G796" s="34"/>
      <c r="H796" s="33"/>
      <c r="I796" s="33"/>
      <c r="J796" s="33"/>
      <c r="K796" s="34"/>
      <c r="L796" s="34"/>
      <c r="M796" s="34"/>
      <c r="N796" s="34"/>
      <c r="O796" s="34"/>
      <c r="P796" s="34"/>
      <c r="Q796" s="34"/>
      <c r="R796" s="34"/>
      <c r="S796" s="34"/>
      <c r="T796" s="34"/>
      <c r="U796" s="34"/>
      <c r="V796" s="34"/>
      <c r="W796" s="34"/>
      <c r="X796" s="34"/>
      <c r="Y796" s="34"/>
      <c r="Z796" s="3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row>
    <row r="797" spans="1:57" ht="15.75" customHeight="1" x14ac:dyDescent="0.2">
      <c r="A797" s="34"/>
      <c r="B797" s="34"/>
      <c r="C797" s="33"/>
      <c r="D797" s="34"/>
      <c r="E797" s="34"/>
      <c r="F797" s="34"/>
      <c r="G797" s="34"/>
      <c r="H797" s="33"/>
      <c r="I797" s="33"/>
      <c r="J797" s="33"/>
      <c r="K797" s="34"/>
      <c r="L797" s="34"/>
      <c r="M797" s="34"/>
      <c r="N797" s="34"/>
      <c r="O797" s="34"/>
      <c r="P797" s="34"/>
      <c r="Q797" s="34"/>
      <c r="R797" s="34"/>
      <c r="S797" s="34"/>
      <c r="T797" s="34"/>
      <c r="U797" s="34"/>
      <c r="V797" s="34"/>
      <c r="W797" s="34"/>
      <c r="X797" s="34"/>
      <c r="Y797" s="34"/>
      <c r="Z797" s="3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row>
    <row r="798" spans="1:57" ht="15.75" customHeight="1" x14ac:dyDescent="0.2">
      <c r="A798" s="34"/>
      <c r="B798" s="34"/>
      <c r="C798" s="33"/>
      <c r="D798" s="34"/>
      <c r="E798" s="34"/>
      <c r="F798" s="34"/>
      <c r="G798" s="34"/>
      <c r="H798" s="33"/>
      <c r="I798" s="33"/>
      <c r="J798" s="33"/>
      <c r="K798" s="34"/>
      <c r="L798" s="34"/>
      <c r="M798" s="34"/>
      <c r="N798" s="34"/>
      <c r="O798" s="34"/>
      <c r="P798" s="34"/>
      <c r="Q798" s="34"/>
      <c r="R798" s="34"/>
      <c r="S798" s="34"/>
      <c r="T798" s="34"/>
      <c r="U798" s="34"/>
      <c r="V798" s="34"/>
      <c r="W798" s="34"/>
      <c r="X798" s="34"/>
      <c r="Y798" s="34"/>
      <c r="Z798" s="3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row>
    <row r="799" spans="1:57" ht="15.75" customHeight="1" x14ac:dyDescent="0.2">
      <c r="A799" s="34"/>
      <c r="B799" s="34"/>
      <c r="C799" s="33"/>
      <c r="D799" s="34"/>
      <c r="E799" s="34"/>
      <c r="F799" s="34"/>
      <c r="G799" s="34"/>
      <c r="H799" s="33"/>
      <c r="I799" s="33"/>
      <c r="J799" s="33"/>
      <c r="K799" s="34"/>
      <c r="L799" s="34"/>
      <c r="M799" s="34"/>
      <c r="N799" s="34"/>
      <c r="O799" s="34"/>
      <c r="P799" s="34"/>
      <c r="Q799" s="34"/>
      <c r="R799" s="34"/>
      <c r="S799" s="34"/>
      <c r="T799" s="34"/>
      <c r="U799" s="34"/>
      <c r="V799" s="34"/>
      <c r="W799" s="34"/>
      <c r="X799" s="34"/>
      <c r="Y799" s="34"/>
      <c r="Z799" s="3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row>
    <row r="800" spans="1:57" ht="15.75" customHeight="1" x14ac:dyDescent="0.2">
      <c r="A800" s="34"/>
      <c r="B800" s="34"/>
      <c r="C800" s="33"/>
      <c r="D800" s="34"/>
      <c r="E800" s="34"/>
      <c r="F800" s="34"/>
      <c r="G800" s="34"/>
      <c r="H800" s="33"/>
      <c r="I800" s="33"/>
      <c r="J800" s="33"/>
      <c r="K800" s="34"/>
      <c r="L800" s="34"/>
      <c r="M800" s="34"/>
      <c r="N800" s="34"/>
      <c r="O800" s="34"/>
      <c r="P800" s="34"/>
      <c r="Q800" s="34"/>
      <c r="R800" s="34"/>
      <c r="S800" s="34"/>
      <c r="T800" s="34"/>
      <c r="U800" s="34"/>
      <c r="V800" s="34"/>
      <c r="W800" s="34"/>
      <c r="X800" s="34"/>
      <c r="Y800" s="34"/>
      <c r="Z800" s="3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row>
    <row r="801" spans="1:57" ht="15.75" customHeight="1" x14ac:dyDescent="0.2">
      <c r="A801" s="34"/>
      <c r="B801" s="34"/>
      <c r="C801" s="33"/>
      <c r="D801" s="34"/>
      <c r="E801" s="34"/>
      <c r="F801" s="34"/>
      <c r="G801" s="34"/>
      <c r="H801" s="33"/>
      <c r="I801" s="33"/>
      <c r="J801" s="33"/>
      <c r="K801" s="34"/>
      <c r="L801" s="34"/>
      <c r="M801" s="34"/>
      <c r="N801" s="34"/>
      <c r="O801" s="34"/>
      <c r="P801" s="34"/>
      <c r="Q801" s="34"/>
      <c r="R801" s="34"/>
      <c r="S801" s="34"/>
      <c r="T801" s="34"/>
      <c r="U801" s="34"/>
      <c r="V801" s="34"/>
      <c r="W801" s="34"/>
      <c r="X801" s="34"/>
      <c r="Y801" s="34"/>
      <c r="Z801" s="3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row>
    <row r="802" spans="1:57" ht="15.75" customHeight="1" x14ac:dyDescent="0.2">
      <c r="A802" s="34"/>
      <c r="B802" s="34"/>
      <c r="C802" s="33"/>
      <c r="D802" s="34"/>
      <c r="E802" s="34"/>
      <c r="F802" s="34"/>
      <c r="G802" s="34"/>
      <c r="H802" s="33"/>
      <c r="I802" s="33"/>
      <c r="J802" s="33"/>
      <c r="K802" s="34"/>
      <c r="L802" s="34"/>
      <c r="M802" s="34"/>
      <c r="N802" s="34"/>
      <c r="O802" s="34"/>
      <c r="P802" s="34"/>
      <c r="Q802" s="34"/>
      <c r="R802" s="34"/>
      <c r="S802" s="34"/>
      <c r="T802" s="34"/>
      <c r="U802" s="34"/>
      <c r="V802" s="34"/>
      <c r="W802" s="34"/>
      <c r="X802" s="34"/>
      <c r="Y802" s="34"/>
      <c r="Z802" s="3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row>
    <row r="803" spans="1:57" ht="15.75" customHeight="1" x14ac:dyDescent="0.2">
      <c r="A803" s="34"/>
      <c r="B803" s="34"/>
      <c r="C803" s="33"/>
      <c r="D803" s="34"/>
      <c r="E803" s="34"/>
      <c r="F803" s="34"/>
      <c r="G803" s="34"/>
      <c r="H803" s="33"/>
      <c r="I803" s="33"/>
      <c r="J803" s="33"/>
      <c r="K803" s="34"/>
      <c r="L803" s="34"/>
      <c r="M803" s="34"/>
      <c r="N803" s="34"/>
      <c r="O803" s="34"/>
      <c r="P803" s="34"/>
      <c r="Q803" s="34"/>
      <c r="R803" s="34"/>
      <c r="S803" s="34"/>
      <c r="T803" s="34"/>
      <c r="U803" s="34"/>
      <c r="V803" s="34"/>
      <c r="W803" s="34"/>
      <c r="X803" s="34"/>
      <c r="Y803" s="34"/>
      <c r="Z803" s="3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row>
    <row r="804" spans="1:57" ht="15.75" customHeight="1" x14ac:dyDescent="0.2">
      <c r="A804" s="34"/>
      <c r="B804" s="34"/>
      <c r="C804" s="33"/>
      <c r="D804" s="34"/>
      <c r="E804" s="34"/>
      <c r="F804" s="34"/>
      <c r="G804" s="34"/>
      <c r="H804" s="33"/>
      <c r="I804" s="33"/>
      <c r="J804" s="33"/>
      <c r="K804" s="34"/>
      <c r="L804" s="34"/>
      <c r="M804" s="34"/>
      <c r="N804" s="34"/>
      <c r="O804" s="34"/>
      <c r="P804" s="34"/>
      <c r="Q804" s="34"/>
      <c r="R804" s="34"/>
      <c r="S804" s="34"/>
      <c r="T804" s="34"/>
      <c r="U804" s="34"/>
      <c r="V804" s="34"/>
      <c r="W804" s="34"/>
      <c r="X804" s="34"/>
      <c r="Y804" s="34"/>
      <c r="Z804" s="3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row>
    <row r="805" spans="1:57" ht="15.75" customHeight="1" x14ac:dyDescent="0.2">
      <c r="A805" s="34"/>
      <c r="B805" s="34"/>
      <c r="C805" s="33"/>
      <c r="D805" s="34"/>
      <c r="E805" s="34"/>
      <c r="F805" s="34"/>
      <c r="G805" s="34"/>
      <c r="H805" s="33"/>
      <c r="I805" s="33"/>
      <c r="J805" s="33"/>
      <c r="K805" s="34"/>
      <c r="L805" s="34"/>
      <c r="M805" s="34"/>
      <c r="N805" s="34"/>
      <c r="O805" s="34"/>
      <c r="P805" s="34"/>
      <c r="Q805" s="34"/>
      <c r="R805" s="34"/>
      <c r="S805" s="34"/>
      <c r="T805" s="34"/>
      <c r="U805" s="34"/>
      <c r="V805" s="34"/>
      <c r="W805" s="34"/>
      <c r="X805" s="34"/>
      <c r="Y805" s="34"/>
      <c r="Z805" s="3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row>
    <row r="806" spans="1:57" ht="15.75" customHeight="1" x14ac:dyDescent="0.2">
      <c r="A806" s="34"/>
      <c r="B806" s="34"/>
      <c r="C806" s="33"/>
      <c r="D806" s="34"/>
      <c r="E806" s="34"/>
      <c r="F806" s="34"/>
      <c r="G806" s="34"/>
      <c r="H806" s="33"/>
      <c r="I806" s="33"/>
      <c r="J806" s="33"/>
      <c r="K806" s="34"/>
      <c r="L806" s="34"/>
      <c r="M806" s="34"/>
      <c r="N806" s="34"/>
      <c r="O806" s="34"/>
      <c r="P806" s="34"/>
      <c r="Q806" s="34"/>
      <c r="R806" s="34"/>
      <c r="S806" s="34"/>
      <c r="T806" s="34"/>
      <c r="U806" s="34"/>
      <c r="V806" s="34"/>
      <c r="W806" s="34"/>
      <c r="X806" s="34"/>
      <c r="Y806" s="34"/>
      <c r="Z806" s="3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row>
    <row r="807" spans="1:57" ht="15.75" customHeight="1" x14ac:dyDescent="0.2">
      <c r="A807" s="34"/>
      <c r="B807" s="34"/>
      <c r="C807" s="33"/>
      <c r="D807" s="34"/>
      <c r="E807" s="34"/>
      <c r="F807" s="34"/>
      <c r="G807" s="34"/>
      <c r="H807" s="33"/>
      <c r="I807" s="33"/>
      <c r="J807" s="33"/>
      <c r="K807" s="34"/>
      <c r="L807" s="34"/>
      <c r="M807" s="34"/>
      <c r="N807" s="34"/>
      <c r="O807" s="34"/>
      <c r="P807" s="34"/>
      <c r="Q807" s="34"/>
      <c r="R807" s="34"/>
      <c r="S807" s="34"/>
      <c r="T807" s="34"/>
      <c r="U807" s="34"/>
      <c r="V807" s="34"/>
      <c r="W807" s="34"/>
      <c r="X807" s="34"/>
      <c r="Y807" s="34"/>
      <c r="Z807" s="3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row>
    <row r="808" spans="1:57" ht="15.75" customHeight="1" x14ac:dyDescent="0.2">
      <c r="A808" s="34"/>
      <c r="B808" s="34"/>
      <c r="C808" s="33"/>
      <c r="D808" s="34"/>
      <c r="E808" s="34"/>
      <c r="F808" s="34"/>
      <c r="G808" s="34"/>
      <c r="H808" s="33"/>
      <c r="I808" s="33"/>
      <c r="J808" s="33"/>
      <c r="K808" s="34"/>
      <c r="L808" s="34"/>
      <c r="M808" s="34"/>
      <c r="N808" s="34"/>
      <c r="O808" s="34"/>
      <c r="P808" s="34"/>
      <c r="Q808" s="34"/>
      <c r="R808" s="34"/>
      <c r="S808" s="34"/>
      <c r="T808" s="34"/>
      <c r="U808" s="34"/>
      <c r="V808" s="34"/>
      <c r="W808" s="34"/>
      <c r="X808" s="34"/>
      <c r="Y808" s="34"/>
      <c r="Z808" s="3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row>
    <row r="809" spans="1:57" ht="15.75" customHeight="1" x14ac:dyDescent="0.2">
      <c r="A809" s="34"/>
      <c r="B809" s="34"/>
      <c r="C809" s="33"/>
      <c r="D809" s="34"/>
      <c r="E809" s="34"/>
      <c r="F809" s="34"/>
      <c r="G809" s="34"/>
      <c r="H809" s="33"/>
      <c r="I809" s="33"/>
      <c r="J809" s="33"/>
      <c r="K809" s="34"/>
      <c r="L809" s="34"/>
      <c r="M809" s="34"/>
      <c r="N809" s="34"/>
      <c r="O809" s="34"/>
      <c r="P809" s="34"/>
      <c r="Q809" s="34"/>
      <c r="R809" s="34"/>
      <c r="S809" s="34"/>
      <c r="T809" s="34"/>
      <c r="U809" s="34"/>
      <c r="V809" s="34"/>
      <c r="W809" s="34"/>
      <c r="X809" s="34"/>
      <c r="Y809" s="34"/>
      <c r="Z809" s="3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row>
    <row r="810" spans="1:57" ht="15.75" customHeight="1" x14ac:dyDescent="0.2">
      <c r="A810" s="34"/>
      <c r="B810" s="34"/>
      <c r="C810" s="33"/>
      <c r="D810" s="34"/>
      <c r="E810" s="34"/>
      <c r="F810" s="34"/>
      <c r="G810" s="34"/>
      <c r="H810" s="33"/>
      <c r="I810" s="33"/>
      <c r="J810" s="33"/>
      <c r="K810" s="34"/>
      <c r="L810" s="34"/>
      <c r="M810" s="34"/>
      <c r="N810" s="34"/>
      <c r="O810" s="34"/>
      <c r="P810" s="34"/>
      <c r="Q810" s="34"/>
      <c r="R810" s="34"/>
      <c r="S810" s="34"/>
      <c r="T810" s="34"/>
      <c r="U810" s="34"/>
      <c r="V810" s="34"/>
      <c r="W810" s="34"/>
      <c r="X810" s="34"/>
      <c r="Y810" s="34"/>
      <c r="Z810" s="3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row>
    <row r="811" spans="1:57" ht="15.75" customHeight="1" x14ac:dyDescent="0.2">
      <c r="A811" s="34"/>
      <c r="B811" s="34"/>
      <c r="C811" s="33"/>
      <c r="D811" s="34"/>
      <c r="E811" s="34"/>
      <c r="F811" s="34"/>
      <c r="G811" s="34"/>
      <c r="H811" s="33"/>
      <c r="I811" s="33"/>
      <c r="J811" s="33"/>
      <c r="K811" s="34"/>
      <c r="L811" s="34"/>
      <c r="M811" s="34"/>
      <c r="N811" s="34"/>
      <c r="O811" s="34"/>
      <c r="P811" s="34"/>
      <c r="Q811" s="34"/>
      <c r="R811" s="34"/>
      <c r="S811" s="34"/>
      <c r="T811" s="34"/>
      <c r="U811" s="34"/>
      <c r="V811" s="34"/>
      <c r="W811" s="34"/>
      <c r="X811" s="34"/>
      <c r="Y811" s="34"/>
      <c r="Z811" s="3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row>
    <row r="812" spans="1:57" ht="15.75" customHeight="1" x14ac:dyDescent="0.2">
      <c r="A812" s="34"/>
      <c r="B812" s="34"/>
      <c r="C812" s="33"/>
      <c r="D812" s="34"/>
      <c r="E812" s="34"/>
      <c r="F812" s="34"/>
      <c r="G812" s="34"/>
      <c r="H812" s="33"/>
      <c r="I812" s="33"/>
      <c r="J812" s="33"/>
      <c r="K812" s="34"/>
      <c r="L812" s="34"/>
      <c r="M812" s="34"/>
      <c r="N812" s="34"/>
      <c r="O812" s="34"/>
      <c r="P812" s="34"/>
      <c r="Q812" s="34"/>
      <c r="R812" s="34"/>
      <c r="S812" s="34"/>
      <c r="T812" s="34"/>
      <c r="U812" s="34"/>
      <c r="V812" s="34"/>
      <c r="W812" s="34"/>
      <c r="X812" s="34"/>
      <c r="Y812" s="34"/>
      <c r="Z812" s="3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row>
    <row r="813" spans="1:57" ht="15.75" customHeight="1" x14ac:dyDescent="0.2">
      <c r="A813" s="34"/>
      <c r="B813" s="34"/>
      <c r="C813" s="33"/>
      <c r="D813" s="34"/>
      <c r="E813" s="34"/>
      <c r="F813" s="34"/>
      <c r="G813" s="34"/>
      <c r="H813" s="33"/>
      <c r="I813" s="33"/>
      <c r="J813" s="33"/>
      <c r="K813" s="34"/>
      <c r="L813" s="34"/>
      <c r="M813" s="34"/>
      <c r="N813" s="34"/>
      <c r="O813" s="34"/>
      <c r="P813" s="34"/>
      <c r="Q813" s="34"/>
      <c r="R813" s="34"/>
      <c r="S813" s="34"/>
      <c r="T813" s="34"/>
      <c r="U813" s="34"/>
      <c r="V813" s="34"/>
      <c r="W813" s="34"/>
      <c r="X813" s="34"/>
      <c r="Y813" s="34"/>
      <c r="Z813" s="3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row>
    <row r="814" spans="1:57" ht="15.75" customHeight="1" x14ac:dyDescent="0.2">
      <c r="A814" s="34"/>
      <c r="B814" s="34"/>
      <c r="C814" s="33"/>
      <c r="D814" s="34"/>
      <c r="E814" s="34"/>
      <c r="F814" s="34"/>
      <c r="G814" s="34"/>
      <c r="H814" s="33"/>
      <c r="I814" s="33"/>
      <c r="J814" s="33"/>
      <c r="K814" s="34"/>
      <c r="L814" s="34"/>
      <c r="M814" s="34"/>
      <c r="N814" s="34"/>
      <c r="O814" s="34"/>
      <c r="P814" s="34"/>
      <c r="Q814" s="34"/>
      <c r="R814" s="34"/>
      <c r="S814" s="34"/>
      <c r="T814" s="34"/>
      <c r="U814" s="34"/>
      <c r="V814" s="34"/>
      <c r="W814" s="34"/>
      <c r="X814" s="34"/>
      <c r="Y814" s="34"/>
      <c r="Z814" s="3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row>
    <row r="815" spans="1:57" ht="15.75" customHeight="1" x14ac:dyDescent="0.2">
      <c r="A815" s="34"/>
      <c r="B815" s="34"/>
      <c r="C815" s="33"/>
      <c r="D815" s="34"/>
      <c r="E815" s="34"/>
      <c r="F815" s="34"/>
      <c r="G815" s="34"/>
      <c r="H815" s="33"/>
      <c r="I815" s="33"/>
      <c r="J815" s="33"/>
      <c r="K815" s="34"/>
      <c r="L815" s="34"/>
      <c r="M815" s="34"/>
      <c r="N815" s="34"/>
      <c r="O815" s="34"/>
      <c r="P815" s="34"/>
      <c r="Q815" s="34"/>
      <c r="R815" s="34"/>
      <c r="S815" s="34"/>
      <c r="T815" s="34"/>
      <c r="U815" s="34"/>
      <c r="V815" s="34"/>
      <c r="W815" s="34"/>
      <c r="X815" s="34"/>
      <c r="Y815" s="34"/>
      <c r="Z815" s="3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row>
    <row r="816" spans="1:57" ht="15.75" customHeight="1" x14ac:dyDescent="0.2">
      <c r="A816" s="34"/>
      <c r="B816" s="34"/>
      <c r="C816" s="33"/>
      <c r="D816" s="34"/>
      <c r="E816" s="34"/>
      <c r="F816" s="34"/>
      <c r="G816" s="34"/>
      <c r="H816" s="33"/>
      <c r="I816" s="33"/>
      <c r="J816" s="33"/>
      <c r="K816" s="34"/>
      <c r="L816" s="34"/>
      <c r="M816" s="34"/>
      <c r="N816" s="34"/>
      <c r="O816" s="34"/>
      <c r="P816" s="34"/>
      <c r="Q816" s="34"/>
      <c r="R816" s="34"/>
      <c r="S816" s="34"/>
      <c r="T816" s="34"/>
      <c r="U816" s="34"/>
      <c r="V816" s="34"/>
      <c r="W816" s="34"/>
      <c r="X816" s="34"/>
      <c r="Y816" s="34"/>
      <c r="Z816" s="3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row>
    <row r="817" spans="1:57" ht="15.75" customHeight="1" x14ac:dyDescent="0.2">
      <c r="A817" s="34"/>
      <c r="B817" s="34"/>
      <c r="C817" s="33"/>
      <c r="D817" s="34"/>
      <c r="E817" s="34"/>
      <c r="F817" s="34"/>
      <c r="G817" s="34"/>
      <c r="H817" s="33"/>
      <c r="I817" s="33"/>
      <c r="J817" s="33"/>
      <c r="K817" s="34"/>
      <c r="L817" s="34"/>
      <c r="M817" s="34"/>
      <c r="N817" s="34"/>
      <c r="O817" s="34"/>
      <c r="P817" s="34"/>
      <c r="Q817" s="34"/>
      <c r="R817" s="34"/>
      <c r="S817" s="34"/>
      <c r="T817" s="34"/>
      <c r="U817" s="34"/>
      <c r="V817" s="34"/>
      <c r="W817" s="34"/>
      <c r="X817" s="34"/>
      <c r="Y817" s="34"/>
      <c r="Z817" s="3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row>
    <row r="818" spans="1:57" ht="15.75" customHeight="1" x14ac:dyDescent="0.2">
      <c r="A818" s="34"/>
      <c r="B818" s="34"/>
      <c r="C818" s="33"/>
      <c r="D818" s="34"/>
      <c r="E818" s="34"/>
      <c r="F818" s="34"/>
      <c r="G818" s="34"/>
      <c r="H818" s="33"/>
      <c r="I818" s="33"/>
      <c r="J818" s="33"/>
      <c r="K818" s="34"/>
      <c r="L818" s="34"/>
      <c r="M818" s="34"/>
      <c r="N818" s="34"/>
      <c r="O818" s="34"/>
      <c r="P818" s="34"/>
      <c r="Q818" s="34"/>
      <c r="R818" s="34"/>
      <c r="S818" s="34"/>
      <c r="T818" s="34"/>
      <c r="U818" s="34"/>
      <c r="V818" s="34"/>
      <c r="W818" s="34"/>
      <c r="X818" s="34"/>
      <c r="Y818" s="34"/>
      <c r="Z818" s="3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row>
    <row r="819" spans="1:57" ht="15.75" customHeight="1" x14ac:dyDescent="0.2">
      <c r="A819" s="34"/>
      <c r="B819" s="34"/>
      <c r="C819" s="33"/>
      <c r="D819" s="34"/>
      <c r="E819" s="34"/>
      <c r="F819" s="34"/>
      <c r="G819" s="34"/>
      <c r="H819" s="33"/>
      <c r="I819" s="33"/>
      <c r="J819" s="33"/>
      <c r="K819" s="34"/>
      <c r="L819" s="34"/>
      <c r="M819" s="34"/>
      <c r="N819" s="34"/>
      <c r="O819" s="34"/>
      <c r="P819" s="34"/>
      <c r="Q819" s="34"/>
      <c r="R819" s="34"/>
      <c r="S819" s="34"/>
      <c r="T819" s="34"/>
      <c r="U819" s="34"/>
      <c r="V819" s="34"/>
      <c r="W819" s="34"/>
      <c r="X819" s="34"/>
      <c r="Y819" s="34"/>
      <c r="Z819" s="3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row>
    <row r="820" spans="1:57" ht="15.75" customHeight="1" x14ac:dyDescent="0.2">
      <c r="A820" s="34"/>
      <c r="B820" s="34"/>
      <c r="C820" s="33"/>
      <c r="D820" s="34"/>
      <c r="E820" s="34"/>
      <c r="F820" s="34"/>
      <c r="G820" s="34"/>
      <c r="H820" s="33"/>
      <c r="I820" s="33"/>
      <c r="J820" s="33"/>
      <c r="K820" s="34"/>
      <c r="L820" s="34"/>
      <c r="M820" s="34"/>
      <c r="N820" s="34"/>
      <c r="O820" s="34"/>
      <c r="P820" s="34"/>
      <c r="Q820" s="34"/>
      <c r="R820" s="34"/>
      <c r="S820" s="34"/>
      <c r="T820" s="34"/>
      <c r="U820" s="34"/>
      <c r="V820" s="34"/>
      <c r="W820" s="34"/>
      <c r="X820" s="34"/>
      <c r="Y820" s="34"/>
      <c r="Z820" s="3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row>
    <row r="821" spans="1:57" ht="15.75" customHeight="1" x14ac:dyDescent="0.2">
      <c r="A821" s="34"/>
      <c r="B821" s="34"/>
      <c r="C821" s="33"/>
      <c r="D821" s="34"/>
      <c r="E821" s="34"/>
      <c r="F821" s="34"/>
      <c r="G821" s="34"/>
      <c r="H821" s="33"/>
      <c r="I821" s="33"/>
      <c r="J821" s="33"/>
      <c r="K821" s="34"/>
      <c r="L821" s="34"/>
      <c r="M821" s="34"/>
      <c r="N821" s="34"/>
      <c r="O821" s="34"/>
      <c r="P821" s="34"/>
      <c r="Q821" s="34"/>
      <c r="R821" s="34"/>
      <c r="S821" s="34"/>
      <c r="T821" s="34"/>
      <c r="U821" s="34"/>
      <c r="V821" s="34"/>
      <c r="W821" s="34"/>
      <c r="X821" s="34"/>
      <c r="Y821" s="34"/>
      <c r="Z821" s="3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row>
    <row r="822" spans="1:57" ht="15.75" customHeight="1" x14ac:dyDescent="0.2">
      <c r="A822" s="34"/>
      <c r="B822" s="34"/>
      <c r="C822" s="33"/>
      <c r="D822" s="34"/>
      <c r="E822" s="34"/>
      <c r="F822" s="34"/>
      <c r="G822" s="34"/>
      <c r="H822" s="33"/>
      <c r="I822" s="33"/>
      <c r="J822" s="33"/>
      <c r="K822" s="34"/>
      <c r="L822" s="34"/>
      <c r="M822" s="34"/>
      <c r="N822" s="34"/>
      <c r="O822" s="34"/>
      <c r="P822" s="34"/>
      <c r="Q822" s="34"/>
      <c r="R822" s="34"/>
      <c r="S822" s="34"/>
      <c r="T822" s="34"/>
      <c r="U822" s="34"/>
      <c r="V822" s="34"/>
      <c r="W822" s="34"/>
      <c r="X822" s="34"/>
      <c r="Y822" s="34"/>
      <c r="Z822" s="3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row>
    <row r="823" spans="1:57" ht="15.75" customHeight="1" x14ac:dyDescent="0.2">
      <c r="A823" s="34"/>
      <c r="B823" s="34"/>
      <c r="C823" s="33"/>
      <c r="D823" s="34"/>
      <c r="E823" s="34"/>
      <c r="F823" s="34"/>
      <c r="G823" s="34"/>
      <c r="H823" s="33"/>
      <c r="I823" s="33"/>
      <c r="J823" s="33"/>
      <c r="K823" s="34"/>
      <c r="L823" s="34"/>
      <c r="M823" s="34"/>
      <c r="N823" s="34"/>
      <c r="O823" s="34"/>
      <c r="P823" s="34"/>
      <c r="Q823" s="34"/>
      <c r="R823" s="34"/>
      <c r="S823" s="34"/>
      <c r="T823" s="34"/>
      <c r="U823" s="34"/>
      <c r="V823" s="34"/>
      <c r="W823" s="34"/>
      <c r="X823" s="34"/>
      <c r="Y823" s="34"/>
      <c r="Z823" s="3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row>
    <row r="824" spans="1:57" ht="15.75" customHeight="1" x14ac:dyDescent="0.2">
      <c r="A824" s="34"/>
      <c r="B824" s="34"/>
      <c r="C824" s="33"/>
      <c r="D824" s="34"/>
      <c r="E824" s="34"/>
      <c r="F824" s="34"/>
      <c r="G824" s="34"/>
      <c r="H824" s="33"/>
      <c r="I824" s="33"/>
      <c r="J824" s="33"/>
      <c r="K824" s="34"/>
      <c r="L824" s="34"/>
      <c r="M824" s="34"/>
      <c r="N824" s="34"/>
      <c r="O824" s="34"/>
      <c r="P824" s="34"/>
      <c r="Q824" s="34"/>
      <c r="R824" s="34"/>
      <c r="S824" s="34"/>
      <c r="T824" s="34"/>
      <c r="U824" s="34"/>
      <c r="V824" s="34"/>
      <c r="W824" s="34"/>
      <c r="X824" s="34"/>
      <c r="Y824" s="34"/>
      <c r="Z824" s="3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row>
    <row r="825" spans="1:57" ht="15.75" customHeight="1" x14ac:dyDescent="0.2">
      <c r="A825" s="34"/>
      <c r="B825" s="34"/>
      <c r="C825" s="33"/>
      <c r="D825" s="34"/>
      <c r="E825" s="34"/>
      <c r="F825" s="34"/>
      <c r="G825" s="34"/>
      <c r="H825" s="33"/>
      <c r="I825" s="33"/>
      <c r="J825" s="33"/>
      <c r="K825" s="34"/>
      <c r="L825" s="34"/>
      <c r="M825" s="34"/>
      <c r="N825" s="34"/>
      <c r="O825" s="34"/>
      <c r="P825" s="34"/>
      <c r="Q825" s="34"/>
      <c r="R825" s="34"/>
      <c r="S825" s="34"/>
      <c r="T825" s="34"/>
      <c r="U825" s="34"/>
      <c r="V825" s="34"/>
      <c r="W825" s="34"/>
      <c r="X825" s="34"/>
      <c r="Y825" s="34"/>
      <c r="Z825" s="3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row>
    <row r="826" spans="1:57" ht="15.75" customHeight="1" x14ac:dyDescent="0.2">
      <c r="A826" s="34"/>
      <c r="B826" s="34"/>
      <c r="C826" s="33"/>
      <c r="D826" s="34"/>
      <c r="E826" s="34"/>
      <c r="F826" s="34"/>
      <c r="G826" s="34"/>
      <c r="H826" s="33"/>
      <c r="I826" s="33"/>
      <c r="J826" s="33"/>
      <c r="K826" s="34"/>
      <c r="L826" s="34"/>
      <c r="M826" s="34"/>
      <c r="N826" s="34"/>
      <c r="O826" s="34"/>
      <c r="P826" s="34"/>
      <c r="Q826" s="34"/>
      <c r="R826" s="34"/>
      <c r="S826" s="34"/>
      <c r="T826" s="34"/>
      <c r="U826" s="34"/>
      <c r="V826" s="34"/>
      <c r="W826" s="34"/>
      <c r="X826" s="34"/>
      <c r="Y826" s="34"/>
      <c r="Z826" s="3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row>
    <row r="827" spans="1:57" ht="15.75" customHeight="1" x14ac:dyDescent="0.2">
      <c r="A827" s="34"/>
      <c r="B827" s="34"/>
      <c r="C827" s="33"/>
      <c r="D827" s="34"/>
      <c r="E827" s="34"/>
      <c r="F827" s="34"/>
      <c r="G827" s="34"/>
      <c r="H827" s="33"/>
      <c r="I827" s="33"/>
      <c r="J827" s="33"/>
      <c r="K827" s="34"/>
      <c r="L827" s="34"/>
      <c r="M827" s="34"/>
      <c r="N827" s="34"/>
      <c r="O827" s="34"/>
      <c r="P827" s="34"/>
      <c r="Q827" s="34"/>
      <c r="R827" s="34"/>
      <c r="S827" s="34"/>
      <c r="T827" s="34"/>
      <c r="U827" s="34"/>
      <c r="V827" s="34"/>
      <c r="W827" s="34"/>
      <c r="X827" s="34"/>
      <c r="Y827" s="34"/>
      <c r="Z827" s="3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row>
    <row r="828" spans="1:57" ht="15.75" customHeight="1" x14ac:dyDescent="0.2">
      <c r="A828" s="34"/>
      <c r="B828" s="34"/>
      <c r="C828" s="33"/>
      <c r="D828" s="34"/>
      <c r="E828" s="34"/>
      <c r="F828" s="34"/>
      <c r="G828" s="34"/>
      <c r="H828" s="33"/>
      <c r="I828" s="33"/>
      <c r="J828" s="33"/>
      <c r="K828" s="34"/>
      <c r="L828" s="34"/>
      <c r="M828" s="34"/>
      <c r="N828" s="34"/>
      <c r="O828" s="34"/>
      <c r="P828" s="34"/>
      <c r="Q828" s="34"/>
      <c r="R828" s="34"/>
      <c r="S828" s="34"/>
      <c r="T828" s="34"/>
      <c r="U828" s="34"/>
      <c r="V828" s="34"/>
      <c r="W828" s="34"/>
      <c r="X828" s="34"/>
      <c r="Y828" s="34"/>
      <c r="Z828" s="3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row>
    <row r="829" spans="1:57" ht="15.75" customHeight="1" x14ac:dyDescent="0.2">
      <c r="A829" s="34"/>
      <c r="B829" s="34"/>
      <c r="C829" s="33"/>
      <c r="D829" s="34"/>
      <c r="E829" s="34"/>
      <c r="F829" s="34"/>
      <c r="G829" s="34"/>
      <c r="H829" s="33"/>
      <c r="I829" s="33"/>
      <c r="J829" s="33"/>
      <c r="K829" s="34"/>
      <c r="L829" s="34"/>
      <c r="M829" s="34"/>
      <c r="N829" s="34"/>
      <c r="O829" s="34"/>
      <c r="P829" s="34"/>
      <c r="Q829" s="34"/>
      <c r="R829" s="34"/>
      <c r="S829" s="34"/>
      <c r="T829" s="34"/>
      <c r="U829" s="34"/>
      <c r="V829" s="34"/>
      <c r="W829" s="34"/>
      <c r="X829" s="34"/>
      <c r="Y829" s="34"/>
      <c r="Z829" s="3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row>
    <row r="830" spans="1:57" ht="15.75" customHeight="1" x14ac:dyDescent="0.2">
      <c r="A830" s="34"/>
      <c r="B830" s="34"/>
      <c r="C830" s="33"/>
      <c r="D830" s="34"/>
      <c r="E830" s="34"/>
      <c r="F830" s="34"/>
      <c r="G830" s="34"/>
      <c r="H830" s="33"/>
      <c r="I830" s="33"/>
      <c r="J830" s="33"/>
      <c r="K830" s="34"/>
      <c r="L830" s="34"/>
      <c r="M830" s="34"/>
      <c r="N830" s="34"/>
      <c r="O830" s="34"/>
      <c r="P830" s="34"/>
      <c r="Q830" s="34"/>
      <c r="R830" s="34"/>
      <c r="S830" s="34"/>
      <c r="T830" s="34"/>
      <c r="U830" s="34"/>
      <c r="V830" s="34"/>
      <c r="W830" s="34"/>
      <c r="X830" s="34"/>
      <c r="Y830" s="34"/>
      <c r="Z830" s="3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row>
    <row r="831" spans="1:57" ht="15.75" customHeight="1" x14ac:dyDescent="0.2">
      <c r="A831" s="34"/>
      <c r="B831" s="34"/>
      <c r="C831" s="33"/>
      <c r="D831" s="34"/>
      <c r="E831" s="34"/>
      <c r="F831" s="34"/>
      <c r="G831" s="34"/>
      <c r="H831" s="33"/>
      <c r="I831" s="33"/>
      <c r="J831" s="33"/>
      <c r="K831" s="34"/>
      <c r="L831" s="34"/>
      <c r="M831" s="34"/>
      <c r="N831" s="34"/>
      <c r="O831" s="34"/>
      <c r="P831" s="34"/>
      <c r="Q831" s="34"/>
      <c r="R831" s="34"/>
      <c r="S831" s="34"/>
      <c r="T831" s="34"/>
      <c r="U831" s="34"/>
      <c r="V831" s="34"/>
      <c r="W831" s="34"/>
      <c r="X831" s="34"/>
      <c r="Y831" s="34"/>
      <c r="Z831" s="3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row>
    <row r="832" spans="1:57" ht="15.75" customHeight="1" x14ac:dyDescent="0.2">
      <c r="A832" s="34"/>
      <c r="B832" s="34"/>
      <c r="C832" s="33"/>
      <c r="D832" s="34"/>
      <c r="E832" s="34"/>
      <c r="F832" s="34"/>
      <c r="G832" s="34"/>
      <c r="H832" s="33"/>
      <c r="I832" s="33"/>
      <c r="J832" s="33"/>
      <c r="K832" s="34"/>
      <c r="L832" s="34"/>
      <c r="M832" s="34"/>
      <c r="N832" s="34"/>
      <c r="O832" s="34"/>
      <c r="P832" s="34"/>
      <c r="Q832" s="34"/>
      <c r="R832" s="34"/>
      <c r="S832" s="34"/>
      <c r="T832" s="34"/>
      <c r="U832" s="34"/>
      <c r="V832" s="34"/>
      <c r="W832" s="34"/>
      <c r="X832" s="34"/>
      <c r="Y832" s="34"/>
      <c r="Z832" s="3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row>
    <row r="833" spans="1:57" ht="15.75" customHeight="1" x14ac:dyDescent="0.2">
      <c r="A833" s="34"/>
      <c r="B833" s="34"/>
      <c r="C833" s="33"/>
      <c r="D833" s="34"/>
      <c r="E833" s="34"/>
      <c r="F833" s="34"/>
      <c r="G833" s="34"/>
      <c r="H833" s="33"/>
      <c r="I833" s="33"/>
      <c r="J833" s="33"/>
      <c r="K833" s="34"/>
      <c r="L833" s="34"/>
      <c r="M833" s="34"/>
      <c r="N833" s="34"/>
      <c r="O833" s="34"/>
      <c r="P833" s="34"/>
      <c r="Q833" s="34"/>
      <c r="R833" s="34"/>
      <c r="S833" s="34"/>
      <c r="T833" s="34"/>
      <c r="U833" s="34"/>
      <c r="V833" s="34"/>
      <c r="W833" s="34"/>
      <c r="X833" s="34"/>
      <c r="Y833" s="34"/>
      <c r="Z833" s="3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row>
    <row r="834" spans="1:57" ht="15.75" customHeight="1" x14ac:dyDescent="0.2">
      <c r="A834" s="34"/>
      <c r="B834" s="34"/>
      <c r="C834" s="33"/>
      <c r="D834" s="34"/>
      <c r="E834" s="34"/>
      <c r="F834" s="34"/>
      <c r="G834" s="34"/>
      <c r="H834" s="33"/>
      <c r="I834" s="33"/>
      <c r="J834" s="33"/>
      <c r="K834" s="34"/>
      <c r="L834" s="34"/>
      <c r="M834" s="34"/>
      <c r="N834" s="34"/>
      <c r="O834" s="34"/>
      <c r="P834" s="34"/>
      <c r="Q834" s="34"/>
      <c r="R834" s="34"/>
      <c r="S834" s="34"/>
      <c r="T834" s="34"/>
      <c r="U834" s="34"/>
      <c r="V834" s="34"/>
      <c r="W834" s="34"/>
      <c r="X834" s="34"/>
      <c r="Y834" s="34"/>
      <c r="Z834" s="3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row>
    <row r="835" spans="1:57" ht="15.75" customHeight="1" x14ac:dyDescent="0.2">
      <c r="A835" s="34"/>
      <c r="B835" s="34"/>
      <c r="C835" s="33"/>
      <c r="D835" s="34"/>
      <c r="E835" s="34"/>
      <c r="F835" s="34"/>
      <c r="G835" s="34"/>
      <c r="H835" s="33"/>
      <c r="I835" s="33"/>
      <c r="J835" s="33"/>
      <c r="K835" s="34"/>
      <c r="L835" s="34"/>
      <c r="M835" s="34"/>
      <c r="N835" s="34"/>
      <c r="O835" s="34"/>
      <c r="P835" s="34"/>
      <c r="Q835" s="34"/>
      <c r="R835" s="34"/>
      <c r="S835" s="34"/>
      <c r="T835" s="34"/>
      <c r="U835" s="34"/>
      <c r="V835" s="34"/>
      <c r="W835" s="34"/>
      <c r="X835" s="34"/>
      <c r="Y835" s="34"/>
      <c r="Z835" s="3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row>
    <row r="836" spans="1:57" ht="15.75" customHeight="1" x14ac:dyDescent="0.2">
      <c r="A836" s="34"/>
      <c r="B836" s="34"/>
      <c r="C836" s="33"/>
      <c r="D836" s="34"/>
      <c r="E836" s="34"/>
      <c r="F836" s="34"/>
      <c r="G836" s="34"/>
      <c r="H836" s="33"/>
      <c r="I836" s="33"/>
      <c r="J836" s="33"/>
      <c r="K836" s="34"/>
      <c r="L836" s="34"/>
      <c r="M836" s="34"/>
      <c r="N836" s="34"/>
      <c r="O836" s="34"/>
      <c r="P836" s="34"/>
      <c r="Q836" s="34"/>
      <c r="R836" s="34"/>
      <c r="S836" s="34"/>
      <c r="T836" s="34"/>
      <c r="U836" s="34"/>
      <c r="V836" s="34"/>
      <c r="W836" s="34"/>
      <c r="X836" s="34"/>
      <c r="Y836" s="34"/>
      <c r="Z836" s="3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row>
    <row r="837" spans="1:57" ht="15.75" customHeight="1" x14ac:dyDescent="0.2">
      <c r="A837" s="34"/>
      <c r="B837" s="34"/>
      <c r="C837" s="33"/>
      <c r="D837" s="34"/>
      <c r="E837" s="34"/>
      <c r="F837" s="34"/>
      <c r="G837" s="34"/>
      <c r="H837" s="33"/>
      <c r="I837" s="33"/>
      <c r="J837" s="33"/>
      <c r="K837" s="34"/>
      <c r="L837" s="34"/>
      <c r="M837" s="34"/>
      <c r="N837" s="34"/>
      <c r="O837" s="34"/>
      <c r="P837" s="34"/>
      <c r="Q837" s="34"/>
      <c r="R837" s="34"/>
      <c r="S837" s="34"/>
      <c r="T837" s="34"/>
      <c r="U837" s="34"/>
      <c r="V837" s="34"/>
      <c r="W837" s="34"/>
      <c r="X837" s="34"/>
      <c r="Y837" s="34"/>
      <c r="Z837" s="3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row>
    <row r="838" spans="1:57" ht="15.75" customHeight="1" x14ac:dyDescent="0.2">
      <c r="A838" s="34"/>
      <c r="B838" s="34"/>
      <c r="C838" s="33"/>
      <c r="D838" s="34"/>
      <c r="E838" s="34"/>
      <c r="F838" s="34"/>
      <c r="G838" s="34"/>
      <c r="H838" s="33"/>
      <c r="I838" s="33"/>
      <c r="J838" s="33"/>
      <c r="K838" s="34"/>
      <c r="L838" s="34"/>
      <c r="M838" s="34"/>
      <c r="N838" s="34"/>
      <c r="O838" s="34"/>
      <c r="P838" s="34"/>
      <c r="Q838" s="34"/>
      <c r="R838" s="34"/>
      <c r="S838" s="34"/>
      <c r="T838" s="34"/>
      <c r="U838" s="34"/>
      <c r="V838" s="34"/>
      <c r="W838" s="34"/>
      <c r="X838" s="34"/>
      <c r="Y838" s="34"/>
      <c r="Z838" s="3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row>
    <row r="839" spans="1:57" ht="15.75" customHeight="1" x14ac:dyDescent="0.2">
      <c r="A839" s="34"/>
      <c r="B839" s="34"/>
      <c r="C839" s="33"/>
      <c r="D839" s="34"/>
      <c r="E839" s="34"/>
      <c r="F839" s="34"/>
      <c r="G839" s="34"/>
      <c r="H839" s="33"/>
      <c r="I839" s="33"/>
      <c r="J839" s="33"/>
      <c r="K839" s="34"/>
      <c r="L839" s="34"/>
      <c r="M839" s="34"/>
      <c r="N839" s="34"/>
      <c r="O839" s="34"/>
      <c r="P839" s="34"/>
      <c r="Q839" s="34"/>
      <c r="R839" s="34"/>
      <c r="S839" s="34"/>
      <c r="T839" s="34"/>
      <c r="U839" s="34"/>
      <c r="V839" s="34"/>
      <c r="W839" s="34"/>
      <c r="X839" s="34"/>
      <c r="Y839" s="34"/>
      <c r="Z839" s="3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row>
    <row r="840" spans="1:57" ht="15.75" customHeight="1" x14ac:dyDescent="0.2">
      <c r="A840" s="34"/>
      <c r="B840" s="34"/>
      <c r="C840" s="33"/>
      <c r="D840" s="34"/>
      <c r="E840" s="34"/>
      <c r="F840" s="34"/>
      <c r="G840" s="34"/>
      <c r="H840" s="33"/>
      <c r="I840" s="33"/>
      <c r="J840" s="33"/>
      <c r="K840" s="34"/>
      <c r="L840" s="34"/>
      <c r="M840" s="34"/>
      <c r="N840" s="34"/>
      <c r="O840" s="34"/>
      <c r="P840" s="34"/>
      <c r="Q840" s="34"/>
      <c r="R840" s="34"/>
      <c r="S840" s="34"/>
      <c r="T840" s="34"/>
      <c r="U840" s="34"/>
      <c r="V840" s="34"/>
      <c r="W840" s="34"/>
      <c r="X840" s="34"/>
      <c r="Y840" s="34"/>
      <c r="Z840" s="3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row>
    <row r="841" spans="1:57" ht="15.75" customHeight="1" x14ac:dyDescent="0.2">
      <c r="A841" s="34"/>
      <c r="B841" s="34"/>
      <c r="C841" s="33"/>
      <c r="D841" s="34"/>
      <c r="E841" s="34"/>
      <c r="F841" s="34"/>
      <c r="G841" s="34"/>
      <c r="H841" s="33"/>
      <c r="I841" s="33"/>
      <c r="J841" s="33"/>
      <c r="K841" s="34"/>
      <c r="L841" s="34"/>
      <c r="M841" s="34"/>
      <c r="N841" s="34"/>
      <c r="O841" s="34"/>
      <c r="P841" s="34"/>
      <c r="Q841" s="34"/>
      <c r="R841" s="34"/>
      <c r="S841" s="34"/>
      <c r="T841" s="34"/>
      <c r="U841" s="34"/>
      <c r="V841" s="34"/>
      <c r="W841" s="34"/>
      <c r="X841" s="34"/>
      <c r="Y841" s="34"/>
      <c r="Z841" s="3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row>
    <row r="842" spans="1:57" ht="15.75" customHeight="1" x14ac:dyDescent="0.2">
      <c r="A842" s="34"/>
      <c r="B842" s="34"/>
      <c r="C842" s="33"/>
      <c r="D842" s="34"/>
      <c r="E842" s="34"/>
      <c r="F842" s="34"/>
      <c r="G842" s="34"/>
      <c r="H842" s="33"/>
      <c r="I842" s="33"/>
      <c r="J842" s="33"/>
      <c r="K842" s="34"/>
      <c r="L842" s="34"/>
      <c r="M842" s="34"/>
      <c r="N842" s="34"/>
      <c r="O842" s="34"/>
      <c r="P842" s="34"/>
      <c r="Q842" s="34"/>
      <c r="R842" s="34"/>
      <c r="S842" s="34"/>
      <c r="T842" s="34"/>
      <c r="U842" s="34"/>
      <c r="V842" s="34"/>
      <c r="W842" s="34"/>
      <c r="X842" s="34"/>
      <c r="Y842" s="34"/>
      <c r="Z842" s="3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row>
    <row r="843" spans="1:57" ht="15.75" customHeight="1" x14ac:dyDescent="0.2">
      <c r="A843" s="34"/>
      <c r="B843" s="34"/>
      <c r="C843" s="33"/>
      <c r="D843" s="34"/>
      <c r="E843" s="34"/>
      <c r="F843" s="34"/>
      <c r="G843" s="34"/>
      <c r="H843" s="33"/>
      <c r="I843" s="33"/>
      <c r="J843" s="33"/>
      <c r="K843" s="34"/>
      <c r="L843" s="34"/>
      <c r="M843" s="34"/>
      <c r="N843" s="34"/>
      <c r="O843" s="34"/>
      <c r="P843" s="34"/>
      <c r="Q843" s="34"/>
      <c r="R843" s="34"/>
      <c r="S843" s="34"/>
      <c r="T843" s="34"/>
      <c r="U843" s="34"/>
      <c r="V843" s="34"/>
      <c r="W843" s="34"/>
      <c r="X843" s="34"/>
      <c r="Y843" s="34"/>
      <c r="Z843" s="3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row>
    <row r="844" spans="1:57" ht="15.75" customHeight="1" x14ac:dyDescent="0.2">
      <c r="A844" s="34"/>
      <c r="B844" s="34"/>
      <c r="C844" s="33"/>
      <c r="D844" s="34"/>
      <c r="E844" s="34"/>
      <c r="F844" s="34"/>
      <c r="G844" s="34"/>
      <c r="H844" s="33"/>
      <c r="I844" s="33"/>
      <c r="J844" s="33"/>
      <c r="K844" s="34"/>
      <c r="L844" s="34"/>
      <c r="M844" s="34"/>
      <c r="N844" s="34"/>
      <c r="O844" s="34"/>
      <c r="P844" s="34"/>
      <c r="Q844" s="34"/>
      <c r="R844" s="34"/>
      <c r="S844" s="34"/>
      <c r="T844" s="34"/>
      <c r="U844" s="34"/>
      <c r="V844" s="34"/>
      <c r="W844" s="34"/>
      <c r="X844" s="34"/>
      <c r="Y844" s="34"/>
      <c r="Z844" s="3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row>
    <row r="845" spans="1:57" ht="15.75" customHeight="1" x14ac:dyDescent="0.2">
      <c r="A845" s="34"/>
      <c r="B845" s="34"/>
      <c r="C845" s="33"/>
      <c r="D845" s="34"/>
      <c r="E845" s="34"/>
      <c r="F845" s="34"/>
      <c r="G845" s="34"/>
      <c r="H845" s="33"/>
      <c r="I845" s="33"/>
      <c r="J845" s="33"/>
      <c r="K845" s="34"/>
      <c r="L845" s="34"/>
      <c r="M845" s="34"/>
      <c r="N845" s="34"/>
      <c r="O845" s="34"/>
      <c r="P845" s="34"/>
      <c r="Q845" s="34"/>
      <c r="R845" s="34"/>
      <c r="S845" s="34"/>
      <c r="T845" s="34"/>
      <c r="U845" s="34"/>
      <c r="V845" s="34"/>
      <c r="W845" s="34"/>
      <c r="X845" s="34"/>
      <c r="Y845" s="34"/>
      <c r="Z845" s="3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row>
    <row r="846" spans="1:57" ht="15.75" customHeight="1" x14ac:dyDescent="0.2">
      <c r="A846" s="34"/>
      <c r="B846" s="34"/>
      <c r="C846" s="33"/>
      <c r="D846" s="34"/>
      <c r="E846" s="34"/>
      <c r="F846" s="34"/>
      <c r="G846" s="34"/>
      <c r="H846" s="33"/>
      <c r="I846" s="33"/>
      <c r="J846" s="33"/>
      <c r="K846" s="34"/>
      <c r="L846" s="34"/>
      <c r="M846" s="34"/>
      <c r="N846" s="34"/>
      <c r="O846" s="34"/>
      <c r="P846" s="34"/>
      <c r="Q846" s="34"/>
      <c r="R846" s="34"/>
      <c r="S846" s="34"/>
      <c r="T846" s="34"/>
      <c r="U846" s="34"/>
      <c r="V846" s="34"/>
      <c r="W846" s="34"/>
      <c r="X846" s="34"/>
      <c r="Y846" s="34"/>
      <c r="Z846" s="3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row>
    <row r="847" spans="1:57" ht="15.75" customHeight="1" x14ac:dyDescent="0.2">
      <c r="A847" s="34"/>
      <c r="B847" s="34"/>
      <c r="C847" s="33"/>
      <c r="D847" s="34"/>
      <c r="E847" s="34"/>
      <c r="F847" s="34"/>
      <c r="G847" s="34"/>
      <c r="H847" s="33"/>
      <c r="I847" s="33"/>
      <c r="J847" s="33"/>
      <c r="K847" s="34"/>
      <c r="L847" s="34"/>
      <c r="M847" s="34"/>
      <c r="N847" s="34"/>
      <c r="O847" s="34"/>
      <c r="P847" s="34"/>
      <c r="Q847" s="34"/>
      <c r="R847" s="34"/>
      <c r="S847" s="34"/>
      <c r="T847" s="34"/>
      <c r="U847" s="34"/>
      <c r="V847" s="34"/>
      <c r="W847" s="34"/>
      <c r="X847" s="34"/>
      <c r="Y847" s="34"/>
      <c r="Z847" s="3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row>
    <row r="848" spans="1:57" ht="15.75" customHeight="1" x14ac:dyDescent="0.2">
      <c r="A848" s="34"/>
      <c r="B848" s="34"/>
      <c r="C848" s="33"/>
      <c r="D848" s="34"/>
      <c r="E848" s="34"/>
      <c r="F848" s="34"/>
      <c r="G848" s="34"/>
      <c r="H848" s="33"/>
      <c r="I848" s="33"/>
      <c r="J848" s="33"/>
      <c r="K848" s="34"/>
      <c r="L848" s="34"/>
      <c r="M848" s="34"/>
      <c r="N848" s="34"/>
      <c r="O848" s="34"/>
      <c r="P848" s="34"/>
      <c r="Q848" s="34"/>
      <c r="R848" s="34"/>
      <c r="S848" s="34"/>
      <c r="T848" s="34"/>
      <c r="U848" s="34"/>
      <c r="V848" s="34"/>
      <c r="W848" s="34"/>
      <c r="X848" s="34"/>
      <c r="Y848" s="34"/>
      <c r="Z848" s="3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row>
    <row r="849" spans="1:57" ht="15.75" customHeight="1" x14ac:dyDescent="0.2">
      <c r="A849" s="34"/>
      <c r="B849" s="34"/>
      <c r="C849" s="33"/>
      <c r="D849" s="34"/>
      <c r="E849" s="34"/>
      <c r="F849" s="34"/>
      <c r="G849" s="34"/>
      <c r="H849" s="33"/>
      <c r="I849" s="33"/>
      <c r="J849" s="33"/>
      <c r="K849" s="34"/>
      <c r="L849" s="34"/>
      <c r="M849" s="34"/>
      <c r="N849" s="34"/>
      <c r="O849" s="34"/>
      <c r="P849" s="34"/>
      <c r="Q849" s="34"/>
      <c r="R849" s="34"/>
      <c r="S849" s="34"/>
      <c r="T849" s="34"/>
      <c r="U849" s="34"/>
      <c r="V849" s="34"/>
      <c r="W849" s="34"/>
      <c r="X849" s="34"/>
      <c r="Y849" s="34"/>
      <c r="Z849" s="3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row>
    <row r="850" spans="1:57" ht="15.75" customHeight="1" x14ac:dyDescent="0.2">
      <c r="A850" s="34"/>
      <c r="B850" s="34"/>
      <c r="C850" s="33"/>
      <c r="D850" s="34"/>
      <c r="E850" s="34"/>
      <c r="F850" s="34"/>
      <c r="G850" s="34"/>
      <c r="H850" s="33"/>
      <c r="I850" s="33"/>
      <c r="J850" s="33"/>
      <c r="K850" s="34"/>
      <c r="L850" s="34"/>
      <c r="M850" s="34"/>
      <c r="N850" s="34"/>
      <c r="O850" s="34"/>
      <c r="P850" s="34"/>
      <c r="Q850" s="34"/>
      <c r="R850" s="34"/>
      <c r="S850" s="34"/>
      <c r="T850" s="34"/>
      <c r="U850" s="34"/>
      <c r="V850" s="34"/>
      <c r="W850" s="34"/>
      <c r="X850" s="34"/>
      <c r="Y850" s="34"/>
      <c r="Z850" s="3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row>
    <row r="851" spans="1:57" ht="15.75" customHeight="1" x14ac:dyDescent="0.2">
      <c r="A851" s="34"/>
      <c r="B851" s="34"/>
      <c r="C851" s="33"/>
      <c r="D851" s="34"/>
      <c r="E851" s="34"/>
      <c r="F851" s="34"/>
      <c r="G851" s="34"/>
      <c r="H851" s="33"/>
      <c r="I851" s="33"/>
      <c r="J851" s="33"/>
      <c r="K851" s="34"/>
      <c r="L851" s="34"/>
      <c r="M851" s="34"/>
      <c r="N851" s="34"/>
      <c r="O851" s="34"/>
      <c r="P851" s="34"/>
      <c r="Q851" s="34"/>
      <c r="R851" s="34"/>
      <c r="S851" s="34"/>
      <c r="T851" s="34"/>
      <c r="U851" s="34"/>
      <c r="V851" s="34"/>
      <c r="W851" s="34"/>
      <c r="X851" s="34"/>
      <c r="Y851" s="34"/>
      <c r="Z851" s="3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row>
    <row r="852" spans="1:57" ht="15.75" customHeight="1" x14ac:dyDescent="0.2">
      <c r="A852" s="34"/>
      <c r="B852" s="34"/>
      <c r="C852" s="33"/>
      <c r="D852" s="34"/>
      <c r="E852" s="34"/>
      <c r="F852" s="34"/>
      <c r="G852" s="34"/>
      <c r="H852" s="33"/>
      <c r="I852" s="33"/>
      <c r="J852" s="33"/>
      <c r="K852" s="34"/>
      <c r="L852" s="34"/>
      <c r="M852" s="34"/>
      <c r="N852" s="34"/>
      <c r="O852" s="34"/>
      <c r="P852" s="34"/>
      <c r="Q852" s="34"/>
      <c r="R852" s="34"/>
      <c r="S852" s="34"/>
      <c r="T852" s="34"/>
      <c r="U852" s="34"/>
      <c r="V852" s="34"/>
      <c r="W852" s="34"/>
      <c r="X852" s="34"/>
      <c r="Y852" s="34"/>
      <c r="Z852" s="3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row>
    <row r="853" spans="1:57" ht="15.75" customHeight="1" x14ac:dyDescent="0.2">
      <c r="A853" s="34"/>
      <c r="B853" s="34"/>
      <c r="C853" s="33"/>
      <c r="D853" s="34"/>
      <c r="E853" s="34"/>
      <c r="F853" s="34"/>
      <c r="G853" s="34"/>
      <c r="H853" s="33"/>
      <c r="I853" s="33"/>
      <c r="J853" s="33"/>
      <c r="K853" s="34"/>
      <c r="L853" s="34"/>
      <c r="M853" s="34"/>
      <c r="N853" s="34"/>
      <c r="O853" s="34"/>
      <c r="P853" s="34"/>
      <c r="Q853" s="34"/>
      <c r="R853" s="34"/>
      <c r="S853" s="34"/>
      <c r="T853" s="34"/>
      <c r="U853" s="34"/>
      <c r="V853" s="34"/>
      <c r="W853" s="34"/>
      <c r="X853" s="34"/>
      <c r="Y853" s="34"/>
      <c r="Z853" s="3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row>
    <row r="854" spans="1:57" ht="15.75" customHeight="1" x14ac:dyDescent="0.2">
      <c r="A854" s="34"/>
      <c r="B854" s="34"/>
      <c r="C854" s="33"/>
      <c r="D854" s="34"/>
      <c r="E854" s="34"/>
      <c r="F854" s="34"/>
      <c r="G854" s="34"/>
      <c r="H854" s="33"/>
      <c r="I854" s="33"/>
      <c r="J854" s="33"/>
      <c r="K854" s="34"/>
      <c r="L854" s="34"/>
      <c r="M854" s="34"/>
      <c r="N854" s="34"/>
      <c r="O854" s="34"/>
      <c r="P854" s="34"/>
      <c r="Q854" s="34"/>
      <c r="R854" s="34"/>
      <c r="S854" s="34"/>
      <c r="T854" s="34"/>
      <c r="U854" s="34"/>
      <c r="V854" s="34"/>
      <c r="W854" s="34"/>
      <c r="X854" s="34"/>
      <c r="Y854" s="34"/>
      <c r="Z854" s="3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row>
    <row r="855" spans="1:57" ht="15.75" customHeight="1" x14ac:dyDescent="0.2">
      <c r="A855" s="34"/>
      <c r="B855" s="34"/>
      <c r="C855" s="33"/>
      <c r="D855" s="34"/>
      <c r="E855" s="34"/>
      <c r="F855" s="34"/>
      <c r="G855" s="34"/>
      <c r="H855" s="33"/>
      <c r="I855" s="33"/>
      <c r="J855" s="33"/>
      <c r="K855" s="34"/>
      <c r="L855" s="34"/>
      <c r="M855" s="34"/>
      <c r="N855" s="34"/>
      <c r="O855" s="34"/>
      <c r="P855" s="34"/>
      <c r="Q855" s="34"/>
      <c r="R855" s="34"/>
      <c r="S855" s="34"/>
      <c r="T855" s="34"/>
      <c r="U855" s="34"/>
      <c r="V855" s="34"/>
      <c r="W855" s="34"/>
      <c r="X855" s="34"/>
      <c r="Y855" s="34"/>
      <c r="Z855" s="3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row>
    <row r="856" spans="1:57" ht="15.75" customHeight="1" x14ac:dyDescent="0.2">
      <c r="A856" s="34"/>
      <c r="B856" s="34"/>
      <c r="C856" s="33"/>
      <c r="D856" s="34"/>
      <c r="E856" s="34"/>
      <c r="F856" s="34"/>
      <c r="G856" s="34"/>
      <c r="H856" s="33"/>
      <c r="I856" s="33"/>
      <c r="J856" s="33"/>
      <c r="K856" s="34"/>
      <c r="L856" s="34"/>
      <c r="M856" s="34"/>
      <c r="N856" s="34"/>
      <c r="O856" s="34"/>
      <c r="P856" s="34"/>
      <c r="Q856" s="34"/>
      <c r="R856" s="34"/>
      <c r="S856" s="34"/>
      <c r="T856" s="34"/>
      <c r="U856" s="34"/>
      <c r="V856" s="34"/>
      <c r="W856" s="34"/>
      <c r="X856" s="34"/>
      <c r="Y856" s="34"/>
      <c r="Z856" s="3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row>
    <row r="857" spans="1:57" ht="15.75" customHeight="1" x14ac:dyDescent="0.2">
      <c r="A857" s="34"/>
      <c r="B857" s="34"/>
      <c r="C857" s="33"/>
      <c r="D857" s="34"/>
      <c r="E857" s="34"/>
      <c r="F857" s="34"/>
      <c r="G857" s="34"/>
      <c r="H857" s="33"/>
      <c r="I857" s="33"/>
      <c r="J857" s="33"/>
      <c r="K857" s="34"/>
      <c r="L857" s="34"/>
      <c r="M857" s="34"/>
      <c r="N857" s="34"/>
      <c r="O857" s="34"/>
      <c r="P857" s="34"/>
      <c r="Q857" s="34"/>
      <c r="R857" s="34"/>
      <c r="S857" s="34"/>
      <c r="T857" s="34"/>
      <c r="U857" s="34"/>
      <c r="V857" s="34"/>
      <c r="W857" s="34"/>
      <c r="X857" s="34"/>
      <c r="Y857" s="34"/>
      <c r="Z857" s="3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row>
    <row r="858" spans="1:57" ht="15.75" customHeight="1" x14ac:dyDescent="0.2">
      <c r="A858" s="34"/>
      <c r="B858" s="34"/>
      <c r="C858" s="33"/>
      <c r="D858" s="34"/>
      <c r="E858" s="34"/>
      <c r="F858" s="34"/>
      <c r="G858" s="34"/>
      <c r="H858" s="33"/>
      <c r="I858" s="33"/>
      <c r="J858" s="33"/>
      <c r="K858" s="34"/>
      <c r="L858" s="34"/>
      <c r="M858" s="34"/>
      <c r="N858" s="34"/>
      <c r="O858" s="34"/>
      <c r="P858" s="34"/>
      <c r="Q858" s="34"/>
      <c r="R858" s="34"/>
      <c r="S858" s="34"/>
      <c r="T858" s="34"/>
      <c r="U858" s="34"/>
      <c r="V858" s="34"/>
      <c r="W858" s="34"/>
      <c r="X858" s="34"/>
      <c r="Y858" s="34"/>
      <c r="Z858" s="3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row>
    <row r="859" spans="1:57" ht="15.75" customHeight="1" x14ac:dyDescent="0.2">
      <c r="A859" s="34"/>
      <c r="B859" s="34"/>
      <c r="C859" s="33"/>
      <c r="D859" s="34"/>
      <c r="E859" s="34"/>
      <c r="F859" s="34"/>
      <c r="G859" s="34"/>
      <c r="H859" s="33"/>
      <c r="I859" s="33"/>
      <c r="J859" s="33"/>
      <c r="K859" s="34"/>
      <c r="L859" s="34"/>
      <c r="M859" s="34"/>
      <c r="N859" s="34"/>
      <c r="O859" s="34"/>
      <c r="P859" s="34"/>
      <c r="Q859" s="34"/>
      <c r="R859" s="34"/>
      <c r="S859" s="34"/>
      <c r="T859" s="34"/>
      <c r="U859" s="34"/>
      <c r="V859" s="34"/>
      <c r="W859" s="34"/>
      <c r="X859" s="34"/>
      <c r="Y859" s="34"/>
      <c r="Z859" s="3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row>
    <row r="860" spans="1:57" ht="15.75" customHeight="1" x14ac:dyDescent="0.2">
      <c r="A860" s="34"/>
      <c r="B860" s="34"/>
      <c r="C860" s="33"/>
      <c r="D860" s="34"/>
      <c r="E860" s="34"/>
      <c r="F860" s="34"/>
      <c r="G860" s="34"/>
      <c r="H860" s="33"/>
      <c r="I860" s="33"/>
      <c r="J860" s="33"/>
      <c r="K860" s="34"/>
      <c r="L860" s="34"/>
      <c r="M860" s="34"/>
      <c r="N860" s="34"/>
      <c r="O860" s="34"/>
      <c r="P860" s="34"/>
      <c r="Q860" s="34"/>
      <c r="R860" s="34"/>
      <c r="S860" s="34"/>
      <c r="T860" s="34"/>
      <c r="U860" s="34"/>
      <c r="V860" s="34"/>
      <c r="W860" s="34"/>
      <c r="X860" s="34"/>
      <c r="Y860" s="34"/>
      <c r="Z860" s="3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row>
    <row r="861" spans="1:57" ht="15.75" customHeight="1" x14ac:dyDescent="0.2">
      <c r="A861" s="34"/>
      <c r="B861" s="34"/>
      <c r="C861" s="33"/>
      <c r="D861" s="34"/>
      <c r="E861" s="34"/>
      <c r="F861" s="34"/>
      <c r="G861" s="34"/>
      <c r="H861" s="33"/>
      <c r="I861" s="33"/>
      <c r="J861" s="33"/>
      <c r="K861" s="34"/>
      <c r="L861" s="34"/>
      <c r="M861" s="34"/>
      <c r="N861" s="34"/>
      <c r="O861" s="34"/>
      <c r="P861" s="34"/>
      <c r="Q861" s="34"/>
      <c r="R861" s="34"/>
      <c r="S861" s="34"/>
      <c r="T861" s="34"/>
      <c r="U861" s="34"/>
      <c r="V861" s="34"/>
      <c r="W861" s="34"/>
      <c r="X861" s="34"/>
      <c r="Y861" s="34"/>
      <c r="Z861" s="3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row>
    <row r="862" spans="1:57" ht="15.75" customHeight="1" x14ac:dyDescent="0.2">
      <c r="A862" s="34"/>
      <c r="B862" s="34"/>
      <c r="C862" s="33"/>
      <c r="D862" s="34"/>
      <c r="E862" s="34"/>
      <c r="F862" s="34"/>
      <c r="G862" s="34"/>
      <c r="H862" s="33"/>
      <c r="I862" s="33"/>
      <c r="J862" s="33"/>
      <c r="K862" s="34"/>
      <c r="L862" s="34"/>
      <c r="M862" s="34"/>
      <c r="N862" s="34"/>
      <c r="O862" s="34"/>
      <c r="P862" s="34"/>
      <c r="Q862" s="34"/>
      <c r="R862" s="34"/>
      <c r="S862" s="34"/>
      <c r="T862" s="34"/>
      <c r="U862" s="34"/>
      <c r="V862" s="34"/>
      <c r="W862" s="34"/>
      <c r="X862" s="34"/>
      <c r="Y862" s="34"/>
      <c r="Z862" s="3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row>
    <row r="863" spans="1:57" ht="15.75" customHeight="1" x14ac:dyDescent="0.2">
      <c r="A863" s="34"/>
      <c r="B863" s="34"/>
      <c r="C863" s="33"/>
      <c r="D863" s="34"/>
      <c r="E863" s="34"/>
      <c r="F863" s="34"/>
      <c r="G863" s="34"/>
      <c r="H863" s="33"/>
      <c r="I863" s="33"/>
      <c r="J863" s="33"/>
      <c r="K863" s="34"/>
      <c r="L863" s="34"/>
      <c r="M863" s="34"/>
      <c r="N863" s="34"/>
      <c r="O863" s="34"/>
      <c r="P863" s="34"/>
      <c r="Q863" s="34"/>
      <c r="R863" s="34"/>
      <c r="S863" s="34"/>
      <c r="T863" s="34"/>
      <c r="U863" s="34"/>
      <c r="V863" s="34"/>
      <c r="W863" s="34"/>
      <c r="X863" s="34"/>
      <c r="Y863" s="34"/>
      <c r="Z863" s="3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row>
    <row r="864" spans="1:57" ht="15.75" customHeight="1" x14ac:dyDescent="0.2">
      <c r="A864" s="34"/>
      <c r="B864" s="34"/>
      <c r="C864" s="33"/>
      <c r="D864" s="34"/>
      <c r="E864" s="34"/>
      <c r="F864" s="34"/>
      <c r="G864" s="34"/>
      <c r="H864" s="33"/>
      <c r="I864" s="33"/>
      <c r="J864" s="33"/>
      <c r="K864" s="34"/>
      <c r="L864" s="34"/>
      <c r="M864" s="34"/>
      <c r="N864" s="34"/>
      <c r="O864" s="34"/>
      <c r="P864" s="34"/>
      <c r="Q864" s="34"/>
      <c r="R864" s="34"/>
      <c r="S864" s="34"/>
      <c r="T864" s="34"/>
      <c r="U864" s="34"/>
      <c r="V864" s="34"/>
      <c r="W864" s="34"/>
      <c r="X864" s="34"/>
      <c r="Y864" s="34"/>
      <c r="Z864" s="3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row>
    <row r="865" spans="1:57" ht="15.75" customHeight="1" x14ac:dyDescent="0.2">
      <c r="A865" s="34"/>
      <c r="B865" s="34"/>
      <c r="C865" s="33"/>
      <c r="D865" s="34"/>
      <c r="E865" s="34"/>
      <c r="F865" s="34"/>
      <c r="G865" s="34"/>
      <c r="H865" s="33"/>
      <c r="I865" s="33"/>
      <c r="J865" s="33"/>
      <c r="K865" s="34"/>
      <c r="L865" s="34"/>
      <c r="M865" s="34"/>
      <c r="N865" s="34"/>
      <c r="O865" s="34"/>
      <c r="P865" s="34"/>
      <c r="Q865" s="34"/>
      <c r="R865" s="34"/>
      <c r="S865" s="34"/>
      <c r="T865" s="34"/>
      <c r="U865" s="34"/>
      <c r="V865" s="34"/>
      <c r="W865" s="34"/>
      <c r="X865" s="34"/>
      <c r="Y865" s="34"/>
      <c r="Z865" s="3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row>
    <row r="866" spans="1:57" ht="15.75" customHeight="1" x14ac:dyDescent="0.2">
      <c r="A866" s="34"/>
      <c r="B866" s="34"/>
      <c r="C866" s="33"/>
      <c r="D866" s="34"/>
      <c r="E866" s="34"/>
      <c r="F866" s="34"/>
      <c r="G866" s="34"/>
      <c r="H866" s="33"/>
      <c r="I866" s="33"/>
      <c r="J866" s="33"/>
      <c r="K866" s="34"/>
      <c r="L866" s="34"/>
      <c r="M866" s="34"/>
      <c r="N866" s="34"/>
      <c r="O866" s="34"/>
      <c r="P866" s="34"/>
      <c r="Q866" s="34"/>
      <c r="R866" s="34"/>
      <c r="S866" s="34"/>
      <c r="T866" s="34"/>
      <c r="U866" s="34"/>
      <c r="V866" s="34"/>
      <c r="W866" s="34"/>
      <c r="X866" s="34"/>
      <c r="Y866" s="34"/>
      <c r="Z866" s="3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row>
    <row r="867" spans="1:57" ht="15.75" customHeight="1" x14ac:dyDescent="0.2">
      <c r="A867" s="34"/>
      <c r="B867" s="34"/>
      <c r="C867" s="33"/>
      <c r="D867" s="34"/>
      <c r="E867" s="34"/>
      <c r="F867" s="34"/>
      <c r="G867" s="34"/>
      <c r="H867" s="33"/>
      <c r="I867" s="33"/>
      <c r="J867" s="33"/>
      <c r="K867" s="34"/>
      <c r="L867" s="34"/>
      <c r="M867" s="34"/>
      <c r="N867" s="34"/>
      <c r="O867" s="34"/>
      <c r="P867" s="34"/>
      <c r="Q867" s="34"/>
      <c r="R867" s="34"/>
      <c r="S867" s="34"/>
      <c r="T867" s="34"/>
      <c r="U867" s="34"/>
      <c r="V867" s="34"/>
      <c r="W867" s="34"/>
      <c r="X867" s="34"/>
      <c r="Y867" s="34"/>
      <c r="Z867" s="3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row>
    <row r="868" spans="1:57" ht="15.75" customHeight="1" x14ac:dyDescent="0.2">
      <c r="A868" s="34"/>
      <c r="B868" s="34"/>
      <c r="C868" s="33"/>
      <c r="D868" s="34"/>
      <c r="E868" s="34"/>
      <c r="F868" s="34"/>
      <c r="G868" s="34"/>
      <c r="H868" s="33"/>
      <c r="I868" s="33"/>
      <c r="J868" s="33"/>
      <c r="K868" s="34"/>
      <c r="L868" s="34"/>
      <c r="M868" s="34"/>
      <c r="N868" s="34"/>
      <c r="O868" s="34"/>
      <c r="P868" s="34"/>
      <c r="Q868" s="34"/>
      <c r="R868" s="34"/>
      <c r="S868" s="34"/>
      <c r="T868" s="34"/>
      <c r="U868" s="34"/>
      <c r="V868" s="34"/>
      <c r="W868" s="34"/>
      <c r="X868" s="34"/>
      <c r="Y868" s="34"/>
      <c r="Z868" s="3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row>
    <row r="869" spans="1:57" ht="15.75" customHeight="1" x14ac:dyDescent="0.2">
      <c r="A869" s="34"/>
      <c r="B869" s="34"/>
      <c r="C869" s="33"/>
      <c r="D869" s="34"/>
      <c r="E869" s="34"/>
      <c r="F869" s="34"/>
      <c r="G869" s="34"/>
      <c r="H869" s="33"/>
      <c r="I869" s="33"/>
      <c r="J869" s="33"/>
      <c r="K869" s="34"/>
      <c r="L869" s="34"/>
      <c r="M869" s="34"/>
      <c r="N869" s="34"/>
      <c r="O869" s="34"/>
      <c r="P869" s="34"/>
      <c r="Q869" s="34"/>
      <c r="R869" s="34"/>
      <c r="S869" s="34"/>
      <c r="T869" s="34"/>
      <c r="U869" s="34"/>
      <c r="V869" s="34"/>
      <c r="W869" s="34"/>
      <c r="X869" s="34"/>
      <c r="Y869" s="34"/>
      <c r="Z869" s="3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row>
    <row r="870" spans="1:57" ht="15.75" customHeight="1" x14ac:dyDescent="0.2">
      <c r="A870" s="34"/>
      <c r="B870" s="34"/>
      <c r="C870" s="33"/>
      <c r="D870" s="34"/>
      <c r="E870" s="34"/>
      <c r="F870" s="34"/>
      <c r="G870" s="34"/>
      <c r="H870" s="33"/>
      <c r="I870" s="33"/>
      <c r="J870" s="33"/>
      <c r="K870" s="34"/>
      <c r="L870" s="34"/>
      <c r="M870" s="34"/>
      <c r="N870" s="34"/>
      <c r="O870" s="34"/>
      <c r="P870" s="34"/>
      <c r="Q870" s="34"/>
      <c r="R870" s="34"/>
      <c r="S870" s="34"/>
      <c r="T870" s="34"/>
      <c r="U870" s="34"/>
      <c r="V870" s="34"/>
      <c r="W870" s="34"/>
      <c r="X870" s="34"/>
      <c r="Y870" s="34"/>
      <c r="Z870" s="3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row>
    <row r="871" spans="1:57" ht="15.75" customHeight="1" x14ac:dyDescent="0.2">
      <c r="A871" s="34"/>
      <c r="B871" s="34"/>
      <c r="C871" s="33"/>
      <c r="D871" s="34"/>
      <c r="E871" s="34"/>
      <c r="F871" s="34"/>
      <c r="G871" s="34"/>
      <c r="H871" s="33"/>
      <c r="I871" s="33"/>
      <c r="J871" s="33"/>
      <c r="K871" s="34"/>
      <c r="L871" s="34"/>
      <c r="M871" s="34"/>
      <c r="N871" s="34"/>
      <c r="O871" s="34"/>
      <c r="P871" s="34"/>
      <c r="Q871" s="34"/>
      <c r="R871" s="34"/>
      <c r="S871" s="34"/>
      <c r="T871" s="34"/>
      <c r="U871" s="34"/>
      <c r="V871" s="34"/>
      <c r="W871" s="34"/>
      <c r="X871" s="34"/>
      <c r="Y871" s="34"/>
      <c r="Z871" s="3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row>
    <row r="872" spans="1:57" ht="15.75" customHeight="1" x14ac:dyDescent="0.2">
      <c r="A872" s="34"/>
      <c r="B872" s="34"/>
      <c r="C872" s="33"/>
      <c r="D872" s="34"/>
      <c r="E872" s="34"/>
      <c r="F872" s="34"/>
      <c r="G872" s="34"/>
      <c r="H872" s="33"/>
      <c r="I872" s="33"/>
      <c r="J872" s="33"/>
      <c r="K872" s="34"/>
      <c r="L872" s="34"/>
      <c r="M872" s="34"/>
      <c r="N872" s="34"/>
      <c r="O872" s="34"/>
      <c r="P872" s="34"/>
      <c r="Q872" s="34"/>
      <c r="R872" s="34"/>
      <c r="S872" s="34"/>
      <c r="T872" s="34"/>
      <c r="U872" s="34"/>
      <c r="V872" s="34"/>
      <c r="W872" s="34"/>
      <c r="X872" s="34"/>
      <c r="Y872" s="34"/>
      <c r="Z872" s="3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row>
    <row r="873" spans="1:57" ht="15.75" customHeight="1" x14ac:dyDescent="0.2">
      <c r="A873" s="34"/>
      <c r="B873" s="34"/>
      <c r="C873" s="33"/>
      <c r="D873" s="34"/>
      <c r="E873" s="34"/>
      <c r="F873" s="34"/>
      <c r="G873" s="34"/>
      <c r="H873" s="33"/>
      <c r="I873" s="33"/>
      <c r="J873" s="33"/>
      <c r="K873" s="34"/>
      <c r="L873" s="34"/>
      <c r="M873" s="34"/>
      <c r="N873" s="34"/>
      <c r="O873" s="34"/>
      <c r="P873" s="34"/>
      <c r="Q873" s="34"/>
      <c r="R873" s="34"/>
      <c r="S873" s="34"/>
      <c r="T873" s="34"/>
      <c r="U873" s="34"/>
      <c r="V873" s="34"/>
      <c r="W873" s="34"/>
      <c r="X873" s="34"/>
      <c r="Y873" s="34"/>
      <c r="Z873" s="3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row>
    <row r="874" spans="1:57" ht="15.75" customHeight="1" x14ac:dyDescent="0.2">
      <c r="A874" s="34"/>
      <c r="B874" s="34"/>
      <c r="C874" s="33"/>
      <c r="D874" s="34"/>
      <c r="E874" s="34"/>
      <c r="F874" s="34"/>
      <c r="G874" s="34"/>
      <c r="H874" s="33"/>
      <c r="I874" s="33"/>
      <c r="J874" s="33"/>
      <c r="K874" s="34"/>
      <c r="L874" s="34"/>
      <c r="M874" s="34"/>
      <c r="N874" s="34"/>
      <c r="O874" s="34"/>
      <c r="P874" s="34"/>
      <c r="Q874" s="34"/>
      <c r="R874" s="34"/>
      <c r="S874" s="34"/>
      <c r="T874" s="34"/>
      <c r="U874" s="34"/>
      <c r="V874" s="34"/>
      <c r="W874" s="34"/>
      <c r="X874" s="34"/>
      <c r="Y874" s="34"/>
      <c r="Z874" s="3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row>
    <row r="875" spans="1:57" ht="15.75" customHeight="1" x14ac:dyDescent="0.2">
      <c r="A875" s="34"/>
      <c r="B875" s="34"/>
      <c r="C875" s="33"/>
      <c r="D875" s="34"/>
      <c r="E875" s="34"/>
      <c r="F875" s="34"/>
      <c r="G875" s="34"/>
      <c r="H875" s="33"/>
      <c r="I875" s="33"/>
      <c r="J875" s="33"/>
      <c r="K875" s="34"/>
      <c r="L875" s="34"/>
      <c r="M875" s="34"/>
      <c r="N875" s="34"/>
      <c r="O875" s="34"/>
      <c r="P875" s="34"/>
      <c r="Q875" s="34"/>
      <c r="R875" s="34"/>
      <c r="S875" s="34"/>
      <c r="T875" s="34"/>
      <c r="U875" s="34"/>
      <c r="V875" s="34"/>
      <c r="W875" s="34"/>
      <c r="X875" s="34"/>
      <c r="Y875" s="34"/>
      <c r="Z875" s="3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row>
    <row r="876" spans="1:57" ht="15.75" customHeight="1" x14ac:dyDescent="0.2">
      <c r="A876" s="34"/>
      <c r="B876" s="34"/>
      <c r="C876" s="33"/>
      <c r="D876" s="34"/>
      <c r="E876" s="34"/>
      <c r="F876" s="34"/>
      <c r="G876" s="34"/>
      <c r="H876" s="33"/>
      <c r="I876" s="33"/>
      <c r="J876" s="33"/>
      <c r="K876" s="34"/>
      <c r="L876" s="34"/>
      <c r="M876" s="34"/>
      <c r="N876" s="34"/>
      <c r="O876" s="34"/>
      <c r="P876" s="34"/>
      <c r="Q876" s="34"/>
      <c r="R876" s="34"/>
      <c r="S876" s="34"/>
      <c r="T876" s="34"/>
      <c r="U876" s="34"/>
      <c r="V876" s="34"/>
      <c r="W876" s="34"/>
      <c r="X876" s="34"/>
      <c r="Y876" s="34"/>
      <c r="Z876" s="3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row>
    <row r="877" spans="1:57" ht="15.75" customHeight="1" x14ac:dyDescent="0.2">
      <c r="A877" s="34"/>
      <c r="B877" s="34"/>
      <c r="C877" s="33"/>
      <c r="D877" s="34"/>
      <c r="E877" s="34"/>
      <c r="F877" s="34"/>
      <c r="G877" s="34"/>
      <c r="H877" s="33"/>
      <c r="I877" s="33"/>
      <c r="J877" s="33"/>
      <c r="K877" s="34"/>
      <c r="L877" s="34"/>
      <c r="M877" s="34"/>
      <c r="N877" s="34"/>
      <c r="O877" s="34"/>
      <c r="P877" s="34"/>
      <c r="Q877" s="34"/>
      <c r="R877" s="34"/>
      <c r="S877" s="34"/>
      <c r="T877" s="34"/>
      <c r="U877" s="34"/>
      <c r="V877" s="34"/>
      <c r="W877" s="34"/>
      <c r="X877" s="34"/>
      <c r="Y877" s="34"/>
      <c r="Z877" s="3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row>
    <row r="878" spans="1:57" ht="15.75" customHeight="1" x14ac:dyDescent="0.2">
      <c r="A878" s="34"/>
      <c r="B878" s="34"/>
      <c r="C878" s="33"/>
      <c r="D878" s="34"/>
      <c r="E878" s="34"/>
      <c r="F878" s="34"/>
      <c r="G878" s="34"/>
      <c r="H878" s="33"/>
      <c r="I878" s="33"/>
      <c r="J878" s="33"/>
      <c r="K878" s="34"/>
      <c r="L878" s="34"/>
      <c r="M878" s="34"/>
      <c r="N878" s="34"/>
      <c r="O878" s="34"/>
      <c r="P878" s="34"/>
      <c r="Q878" s="34"/>
      <c r="R878" s="34"/>
      <c r="S878" s="34"/>
      <c r="T878" s="34"/>
      <c r="U878" s="34"/>
      <c r="V878" s="34"/>
      <c r="W878" s="34"/>
      <c r="X878" s="34"/>
      <c r="Y878" s="34"/>
      <c r="Z878" s="3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row>
    <row r="879" spans="1:57" ht="15.75" customHeight="1" x14ac:dyDescent="0.2">
      <c r="A879" s="34"/>
      <c r="B879" s="34"/>
      <c r="C879" s="33"/>
      <c r="D879" s="34"/>
      <c r="E879" s="34"/>
      <c r="F879" s="34"/>
      <c r="G879" s="34"/>
      <c r="H879" s="33"/>
      <c r="I879" s="33"/>
      <c r="J879" s="33"/>
      <c r="K879" s="34"/>
      <c r="L879" s="34"/>
      <c r="M879" s="34"/>
      <c r="N879" s="34"/>
      <c r="O879" s="34"/>
      <c r="P879" s="34"/>
      <c r="Q879" s="34"/>
      <c r="R879" s="34"/>
      <c r="S879" s="34"/>
      <c r="T879" s="34"/>
      <c r="U879" s="34"/>
      <c r="V879" s="34"/>
      <c r="W879" s="34"/>
      <c r="X879" s="34"/>
      <c r="Y879" s="34"/>
      <c r="Z879" s="3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row>
    <row r="880" spans="1:57" ht="15.75" customHeight="1" x14ac:dyDescent="0.2">
      <c r="A880" s="34"/>
      <c r="B880" s="34"/>
      <c r="C880" s="33"/>
      <c r="D880" s="34"/>
      <c r="E880" s="34"/>
      <c r="F880" s="34"/>
      <c r="G880" s="34"/>
      <c r="H880" s="33"/>
      <c r="I880" s="33"/>
      <c r="J880" s="33"/>
      <c r="K880" s="34"/>
      <c r="L880" s="34"/>
      <c r="M880" s="34"/>
      <c r="N880" s="34"/>
      <c r="O880" s="34"/>
      <c r="P880" s="34"/>
      <c r="Q880" s="34"/>
      <c r="R880" s="34"/>
      <c r="S880" s="34"/>
      <c r="T880" s="34"/>
      <c r="U880" s="34"/>
      <c r="V880" s="34"/>
      <c r="W880" s="34"/>
      <c r="X880" s="34"/>
      <c r="Y880" s="34"/>
      <c r="Z880" s="3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row>
    <row r="881" spans="1:57" ht="15.75" customHeight="1" x14ac:dyDescent="0.2">
      <c r="A881" s="34"/>
      <c r="B881" s="34"/>
      <c r="C881" s="33"/>
      <c r="D881" s="34"/>
      <c r="E881" s="34"/>
      <c r="F881" s="34"/>
      <c r="G881" s="34"/>
      <c r="H881" s="33"/>
      <c r="I881" s="33"/>
      <c r="J881" s="33"/>
      <c r="K881" s="34"/>
      <c r="L881" s="34"/>
      <c r="M881" s="34"/>
      <c r="N881" s="34"/>
      <c r="O881" s="34"/>
      <c r="P881" s="34"/>
      <c r="Q881" s="34"/>
      <c r="R881" s="34"/>
      <c r="S881" s="34"/>
      <c r="T881" s="34"/>
      <c r="U881" s="34"/>
      <c r="V881" s="34"/>
      <c r="W881" s="34"/>
      <c r="X881" s="34"/>
      <c r="Y881" s="34"/>
      <c r="Z881" s="3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row>
    <row r="882" spans="1:57" ht="15.75" customHeight="1" x14ac:dyDescent="0.2">
      <c r="A882" s="34"/>
      <c r="B882" s="34"/>
      <c r="C882" s="33"/>
      <c r="D882" s="34"/>
      <c r="E882" s="34"/>
      <c r="F882" s="34"/>
      <c r="G882" s="34"/>
      <c r="H882" s="33"/>
      <c r="I882" s="33"/>
      <c r="J882" s="33"/>
      <c r="K882" s="34"/>
      <c r="L882" s="34"/>
      <c r="M882" s="34"/>
      <c r="N882" s="34"/>
      <c r="O882" s="34"/>
      <c r="P882" s="34"/>
      <c r="Q882" s="34"/>
      <c r="R882" s="34"/>
      <c r="S882" s="34"/>
      <c r="T882" s="34"/>
      <c r="U882" s="34"/>
      <c r="V882" s="34"/>
      <c r="W882" s="34"/>
      <c r="X882" s="34"/>
      <c r="Y882" s="34"/>
      <c r="Z882" s="3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row>
    <row r="883" spans="1:57" ht="15.75" customHeight="1" x14ac:dyDescent="0.2">
      <c r="A883" s="34"/>
      <c r="B883" s="34"/>
      <c r="C883" s="33"/>
      <c r="D883" s="34"/>
      <c r="E883" s="34"/>
      <c r="F883" s="34"/>
      <c r="G883" s="34"/>
      <c r="H883" s="33"/>
      <c r="I883" s="33"/>
      <c r="J883" s="33"/>
      <c r="K883" s="34"/>
      <c r="L883" s="34"/>
      <c r="M883" s="34"/>
      <c r="N883" s="34"/>
      <c r="O883" s="34"/>
      <c r="P883" s="34"/>
      <c r="Q883" s="34"/>
      <c r="R883" s="34"/>
      <c r="S883" s="34"/>
      <c r="T883" s="34"/>
      <c r="U883" s="34"/>
      <c r="V883" s="34"/>
      <c r="W883" s="34"/>
      <c r="X883" s="34"/>
      <c r="Y883" s="34"/>
      <c r="Z883" s="3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row>
    <row r="884" spans="1:57" ht="15.75" customHeight="1" x14ac:dyDescent="0.2">
      <c r="A884" s="34"/>
      <c r="B884" s="34"/>
      <c r="C884" s="33"/>
      <c r="D884" s="34"/>
      <c r="E884" s="34"/>
      <c r="F884" s="34"/>
      <c r="G884" s="34"/>
      <c r="H884" s="33"/>
      <c r="I884" s="33"/>
      <c r="J884" s="33"/>
      <c r="K884" s="34"/>
      <c r="L884" s="34"/>
      <c r="M884" s="34"/>
      <c r="N884" s="34"/>
      <c r="O884" s="34"/>
      <c r="P884" s="34"/>
      <c r="Q884" s="34"/>
      <c r="R884" s="34"/>
      <c r="S884" s="34"/>
      <c r="T884" s="34"/>
      <c r="U884" s="34"/>
      <c r="V884" s="34"/>
      <c r="W884" s="34"/>
      <c r="X884" s="34"/>
      <c r="Y884" s="34"/>
      <c r="Z884" s="3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row>
    <row r="885" spans="1:57" ht="15.75" customHeight="1" x14ac:dyDescent="0.2">
      <c r="A885" s="34"/>
      <c r="B885" s="34"/>
      <c r="C885" s="33"/>
      <c r="D885" s="34"/>
      <c r="E885" s="34"/>
      <c r="F885" s="34"/>
      <c r="G885" s="34"/>
      <c r="H885" s="33"/>
      <c r="I885" s="33"/>
      <c r="J885" s="33"/>
      <c r="K885" s="34"/>
      <c r="L885" s="34"/>
      <c r="M885" s="34"/>
      <c r="N885" s="34"/>
      <c r="O885" s="34"/>
      <c r="P885" s="34"/>
      <c r="Q885" s="34"/>
      <c r="R885" s="34"/>
      <c r="S885" s="34"/>
      <c r="T885" s="34"/>
      <c r="U885" s="34"/>
      <c r="V885" s="34"/>
      <c r="W885" s="34"/>
      <c r="X885" s="34"/>
      <c r="Y885" s="34"/>
      <c r="Z885" s="3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row>
    <row r="886" spans="1:57" ht="15.75" customHeight="1" x14ac:dyDescent="0.2">
      <c r="A886" s="34"/>
      <c r="B886" s="34"/>
      <c r="C886" s="33"/>
      <c r="D886" s="34"/>
      <c r="E886" s="34"/>
      <c r="F886" s="34"/>
      <c r="G886" s="34"/>
      <c r="H886" s="33"/>
      <c r="I886" s="33"/>
      <c r="J886" s="33"/>
      <c r="K886" s="34"/>
      <c r="L886" s="34"/>
      <c r="M886" s="34"/>
      <c r="N886" s="34"/>
      <c r="O886" s="34"/>
      <c r="P886" s="34"/>
      <c r="Q886" s="34"/>
      <c r="R886" s="34"/>
      <c r="S886" s="34"/>
      <c r="T886" s="34"/>
      <c r="U886" s="34"/>
      <c r="V886" s="34"/>
      <c r="W886" s="34"/>
      <c r="X886" s="34"/>
      <c r="Y886" s="34"/>
      <c r="Z886" s="3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row>
    <row r="887" spans="1:57" ht="15.75" customHeight="1" x14ac:dyDescent="0.2">
      <c r="A887" s="34"/>
      <c r="B887" s="34"/>
      <c r="C887" s="33"/>
      <c r="D887" s="34"/>
      <c r="E887" s="34"/>
      <c r="F887" s="34"/>
      <c r="G887" s="34"/>
      <c r="H887" s="33"/>
      <c r="I887" s="33"/>
      <c r="J887" s="33"/>
      <c r="K887" s="34"/>
      <c r="L887" s="34"/>
      <c r="M887" s="34"/>
      <c r="N887" s="34"/>
      <c r="O887" s="34"/>
      <c r="P887" s="34"/>
      <c r="Q887" s="34"/>
      <c r="R887" s="34"/>
      <c r="S887" s="34"/>
      <c r="T887" s="34"/>
      <c r="U887" s="34"/>
      <c r="V887" s="34"/>
      <c r="W887" s="34"/>
      <c r="X887" s="34"/>
      <c r="Y887" s="34"/>
      <c r="Z887" s="3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row>
    <row r="888" spans="1:57" ht="15.75" customHeight="1" x14ac:dyDescent="0.2">
      <c r="A888" s="34"/>
      <c r="B888" s="34"/>
      <c r="C888" s="33"/>
      <c r="D888" s="34"/>
      <c r="E888" s="34"/>
      <c r="F888" s="34"/>
      <c r="G888" s="34"/>
      <c r="H888" s="33"/>
      <c r="I888" s="33"/>
      <c r="J888" s="33"/>
      <c r="K888" s="34"/>
      <c r="L888" s="34"/>
      <c r="M888" s="34"/>
      <c r="N888" s="34"/>
      <c r="O888" s="34"/>
      <c r="P888" s="34"/>
      <c r="Q888" s="34"/>
      <c r="R888" s="34"/>
      <c r="S888" s="34"/>
      <c r="T888" s="34"/>
      <c r="U888" s="34"/>
      <c r="V888" s="34"/>
      <c r="W888" s="34"/>
      <c r="X888" s="34"/>
      <c r="Y888" s="34"/>
      <c r="Z888" s="3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row>
    <row r="889" spans="1:57" ht="15.75" customHeight="1" x14ac:dyDescent="0.2">
      <c r="A889" s="34"/>
      <c r="B889" s="34"/>
      <c r="C889" s="33"/>
      <c r="D889" s="34"/>
      <c r="E889" s="34"/>
      <c r="F889" s="34"/>
      <c r="G889" s="34"/>
      <c r="H889" s="33"/>
      <c r="I889" s="33"/>
      <c r="J889" s="33"/>
      <c r="K889" s="34"/>
      <c r="L889" s="34"/>
      <c r="M889" s="34"/>
      <c r="N889" s="34"/>
      <c r="O889" s="34"/>
      <c r="P889" s="34"/>
      <c r="Q889" s="34"/>
      <c r="R889" s="34"/>
      <c r="S889" s="34"/>
      <c r="T889" s="34"/>
      <c r="U889" s="34"/>
      <c r="V889" s="34"/>
      <c r="W889" s="34"/>
      <c r="X889" s="34"/>
      <c r="Y889" s="34"/>
      <c r="Z889" s="3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row>
    <row r="890" spans="1:57" ht="15.75" customHeight="1" x14ac:dyDescent="0.2">
      <c r="A890" s="34"/>
      <c r="B890" s="34"/>
      <c r="C890" s="33"/>
      <c r="D890" s="34"/>
      <c r="E890" s="34"/>
      <c r="F890" s="34"/>
      <c r="G890" s="34"/>
      <c r="H890" s="33"/>
      <c r="I890" s="33"/>
      <c r="J890" s="33"/>
      <c r="K890" s="34"/>
      <c r="L890" s="34"/>
      <c r="M890" s="34"/>
      <c r="N890" s="34"/>
      <c r="O890" s="34"/>
      <c r="P890" s="34"/>
      <c r="Q890" s="34"/>
      <c r="R890" s="34"/>
      <c r="S890" s="34"/>
      <c r="T890" s="34"/>
      <c r="U890" s="34"/>
      <c r="V890" s="34"/>
      <c r="W890" s="34"/>
      <c r="X890" s="34"/>
      <c r="Y890" s="34"/>
      <c r="Z890" s="3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row>
    <row r="891" spans="1:57" ht="15.75" customHeight="1" x14ac:dyDescent="0.2">
      <c r="A891" s="34"/>
      <c r="B891" s="34"/>
      <c r="C891" s="33"/>
      <c r="D891" s="34"/>
      <c r="E891" s="34"/>
      <c r="F891" s="34"/>
      <c r="G891" s="34"/>
      <c r="H891" s="33"/>
      <c r="I891" s="33"/>
      <c r="J891" s="33"/>
      <c r="K891" s="34"/>
      <c r="L891" s="34"/>
      <c r="M891" s="34"/>
      <c r="N891" s="34"/>
      <c r="O891" s="34"/>
      <c r="P891" s="34"/>
      <c r="Q891" s="34"/>
      <c r="R891" s="34"/>
      <c r="S891" s="34"/>
      <c r="T891" s="34"/>
      <c r="U891" s="34"/>
      <c r="V891" s="34"/>
      <c r="W891" s="34"/>
      <c r="X891" s="34"/>
      <c r="Y891" s="34"/>
      <c r="Z891" s="3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row>
    <row r="892" spans="1:57" ht="15.75" customHeight="1" x14ac:dyDescent="0.2">
      <c r="A892" s="34"/>
      <c r="B892" s="34"/>
      <c r="C892" s="33"/>
      <c r="D892" s="34"/>
      <c r="E892" s="34"/>
      <c r="F892" s="34"/>
      <c r="G892" s="34"/>
      <c r="H892" s="33"/>
      <c r="I892" s="33"/>
      <c r="J892" s="33"/>
      <c r="K892" s="34"/>
      <c r="L892" s="34"/>
      <c r="M892" s="34"/>
      <c r="N892" s="34"/>
      <c r="O892" s="34"/>
      <c r="P892" s="34"/>
      <c r="Q892" s="34"/>
      <c r="R892" s="34"/>
      <c r="S892" s="34"/>
      <c r="T892" s="34"/>
      <c r="U892" s="34"/>
      <c r="V892" s="34"/>
      <c r="W892" s="34"/>
      <c r="X892" s="34"/>
      <c r="Y892" s="34"/>
      <c r="Z892" s="3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row>
    <row r="893" spans="1:57" ht="15.75" customHeight="1" x14ac:dyDescent="0.2">
      <c r="A893" s="34"/>
      <c r="B893" s="34"/>
      <c r="C893" s="33"/>
      <c r="D893" s="34"/>
      <c r="E893" s="34"/>
      <c r="F893" s="34"/>
      <c r="G893" s="34"/>
      <c r="H893" s="33"/>
      <c r="I893" s="33"/>
      <c r="J893" s="33"/>
      <c r="K893" s="34"/>
      <c r="L893" s="34"/>
      <c r="M893" s="34"/>
      <c r="N893" s="34"/>
      <c r="O893" s="34"/>
      <c r="P893" s="34"/>
      <c r="Q893" s="34"/>
      <c r="R893" s="34"/>
      <c r="S893" s="34"/>
      <c r="T893" s="34"/>
      <c r="U893" s="34"/>
      <c r="V893" s="34"/>
      <c r="W893" s="34"/>
      <c r="X893" s="34"/>
      <c r="Y893" s="34"/>
      <c r="Z893" s="3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row>
    <row r="894" spans="1:57" ht="15.75" customHeight="1" x14ac:dyDescent="0.2">
      <c r="A894" s="34"/>
      <c r="B894" s="34"/>
      <c r="C894" s="33"/>
      <c r="D894" s="34"/>
      <c r="E894" s="34"/>
      <c r="F894" s="34"/>
      <c r="G894" s="34"/>
      <c r="H894" s="33"/>
      <c r="I894" s="33"/>
      <c r="J894" s="33"/>
      <c r="K894" s="34"/>
      <c r="L894" s="34"/>
      <c r="M894" s="34"/>
      <c r="N894" s="34"/>
      <c r="O894" s="34"/>
      <c r="P894" s="34"/>
      <c r="Q894" s="34"/>
      <c r="R894" s="34"/>
      <c r="S894" s="34"/>
      <c r="T894" s="34"/>
      <c r="U894" s="34"/>
      <c r="V894" s="34"/>
      <c r="W894" s="34"/>
      <c r="X894" s="34"/>
      <c r="Y894" s="34"/>
      <c r="Z894" s="3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row>
    <row r="895" spans="1:57" ht="15.75" customHeight="1" x14ac:dyDescent="0.2">
      <c r="A895" s="34"/>
      <c r="B895" s="34"/>
      <c r="C895" s="33"/>
      <c r="D895" s="34"/>
      <c r="E895" s="34"/>
      <c r="F895" s="34"/>
      <c r="G895" s="34"/>
      <c r="H895" s="33"/>
      <c r="I895" s="33"/>
      <c r="J895" s="33"/>
      <c r="K895" s="34"/>
      <c r="L895" s="34"/>
      <c r="M895" s="34"/>
      <c r="N895" s="34"/>
      <c r="O895" s="34"/>
      <c r="P895" s="34"/>
      <c r="Q895" s="34"/>
      <c r="R895" s="34"/>
      <c r="S895" s="34"/>
      <c r="T895" s="34"/>
      <c r="U895" s="34"/>
      <c r="V895" s="34"/>
      <c r="W895" s="34"/>
      <c r="X895" s="34"/>
      <c r="Y895" s="34"/>
      <c r="Z895" s="3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row>
    <row r="896" spans="1:57" ht="15.75" customHeight="1" x14ac:dyDescent="0.2">
      <c r="A896" s="34"/>
      <c r="B896" s="34"/>
      <c r="C896" s="33"/>
      <c r="D896" s="34"/>
      <c r="E896" s="34"/>
      <c r="F896" s="34"/>
      <c r="G896" s="34"/>
      <c r="H896" s="33"/>
      <c r="I896" s="33"/>
      <c r="J896" s="33"/>
      <c r="K896" s="34"/>
      <c r="L896" s="34"/>
      <c r="M896" s="34"/>
      <c r="N896" s="34"/>
      <c r="O896" s="34"/>
      <c r="P896" s="34"/>
      <c r="Q896" s="34"/>
      <c r="R896" s="34"/>
      <c r="S896" s="34"/>
      <c r="T896" s="34"/>
      <c r="U896" s="34"/>
      <c r="V896" s="34"/>
      <c r="W896" s="34"/>
      <c r="X896" s="34"/>
      <c r="Y896" s="34"/>
      <c r="Z896" s="3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row>
    <row r="897" spans="1:57" ht="15.75" customHeight="1" x14ac:dyDescent="0.2">
      <c r="A897" s="34"/>
      <c r="B897" s="34"/>
      <c r="C897" s="33"/>
      <c r="D897" s="34"/>
      <c r="E897" s="34"/>
      <c r="F897" s="34"/>
      <c r="G897" s="34"/>
      <c r="H897" s="33"/>
      <c r="I897" s="33"/>
      <c r="J897" s="33"/>
      <c r="K897" s="34"/>
      <c r="L897" s="34"/>
      <c r="M897" s="34"/>
      <c r="N897" s="34"/>
      <c r="O897" s="34"/>
      <c r="P897" s="34"/>
      <c r="Q897" s="34"/>
      <c r="R897" s="34"/>
      <c r="S897" s="34"/>
      <c r="T897" s="34"/>
      <c r="U897" s="34"/>
      <c r="V897" s="34"/>
      <c r="W897" s="34"/>
      <c r="X897" s="34"/>
      <c r="Y897" s="34"/>
      <c r="Z897" s="3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row>
    <row r="898" spans="1:57" ht="15.75" customHeight="1" x14ac:dyDescent="0.2">
      <c r="A898" s="34"/>
      <c r="B898" s="34"/>
      <c r="C898" s="33"/>
      <c r="D898" s="34"/>
      <c r="E898" s="34"/>
      <c r="F898" s="34"/>
      <c r="G898" s="34"/>
      <c r="H898" s="33"/>
      <c r="I898" s="33"/>
      <c r="J898" s="33"/>
      <c r="K898" s="34"/>
      <c r="L898" s="34"/>
      <c r="M898" s="34"/>
      <c r="N898" s="34"/>
      <c r="O898" s="34"/>
      <c r="P898" s="34"/>
      <c r="Q898" s="34"/>
      <c r="R898" s="34"/>
      <c r="S898" s="34"/>
      <c r="T898" s="34"/>
      <c r="U898" s="34"/>
      <c r="V898" s="34"/>
      <c r="W898" s="34"/>
      <c r="X898" s="34"/>
      <c r="Y898" s="34"/>
      <c r="Z898" s="3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row>
    <row r="899" spans="1:57" ht="15.75" customHeight="1" x14ac:dyDescent="0.2">
      <c r="A899" s="34"/>
      <c r="B899" s="34"/>
      <c r="C899" s="33"/>
      <c r="D899" s="34"/>
      <c r="E899" s="34"/>
      <c r="F899" s="34"/>
      <c r="G899" s="34"/>
      <c r="H899" s="33"/>
      <c r="I899" s="33"/>
      <c r="J899" s="33"/>
      <c r="K899" s="34"/>
      <c r="L899" s="34"/>
      <c r="M899" s="34"/>
      <c r="N899" s="34"/>
      <c r="O899" s="34"/>
      <c r="P899" s="34"/>
      <c r="Q899" s="34"/>
      <c r="R899" s="34"/>
      <c r="S899" s="34"/>
      <c r="T899" s="34"/>
      <c r="U899" s="34"/>
      <c r="V899" s="34"/>
      <c r="W899" s="34"/>
      <c r="X899" s="34"/>
      <c r="Y899" s="34"/>
      <c r="Z899" s="3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row>
    <row r="900" spans="1:57" ht="15.75" customHeight="1" x14ac:dyDescent="0.2">
      <c r="A900" s="34"/>
      <c r="B900" s="34"/>
      <c r="C900" s="33"/>
      <c r="D900" s="34"/>
      <c r="E900" s="34"/>
      <c r="F900" s="34"/>
      <c r="G900" s="34"/>
      <c r="H900" s="33"/>
      <c r="I900" s="33"/>
      <c r="J900" s="33"/>
      <c r="K900" s="34"/>
      <c r="L900" s="34"/>
      <c r="M900" s="34"/>
      <c r="N900" s="34"/>
      <c r="O900" s="34"/>
      <c r="P900" s="34"/>
      <c r="Q900" s="34"/>
      <c r="R900" s="34"/>
      <c r="S900" s="34"/>
      <c r="T900" s="34"/>
      <c r="U900" s="34"/>
      <c r="V900" s="34"/>
      <c r="W900" s="34"/>
      <c r="X900" s="34"/>
      <c r="Y900" s="34"/>
      <c r="Z900" s="3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row>
    <row r="901" spans="1:57" ht="15.75" customHeight="1" x14ac:dyDescent="0.2">
      <c r="A901" s="34"/>
      <c r="B901" s="34"/>
      <c r="C901" s="33"/>
      <c r="D901" s="34"/>
      <c r="E901" s="34"/>
      <c r="F901" s="34"/>
      <c r="G901" s="34"/>
      <c r="H901" s="33"/>
      <c r="I901" s="33"/>
      <c r="J901" s="33"/>
      <c r="K901" s="34"/>
      <c r="L901" s="34"/>
      <c r="M901" s="34"/>
      <c r="N901" s="34"/>
      <c r="O901" s="34"/>
      <c r="P901" s="34"/>
      <c r="Q901" s="34"/>
      <c r="R901" s="34"/>
      <c r="S901" s="34"/>
      <c r="T901" s="34"/>
      <c r="U901" s="34"/>
      <c r="V901" s="34"/>
      <c r="W901" s="34"/>
      <c r="X901" s="34"/>
      <c r="Y901" s="34"/>
      <c r="Z901" s="3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row>
    <row r="902" spans="1:57" ht="15.75" customHeight="1" x14ac:dyDescent="0.2">
      <c r="A902" s="34"/>
      <c r="B902" s="34"/>
      <c r="C902" s="33"/>
      <c r="D902" s="34"/>
      <c r="E902" s="34"/>
      <c r="F902" s="34"/>
      <c r="G902" s="34"/>
      <c r="H902" s="33"/>
      <c r="I902" s="33"/>
      <c r="J902" s="33"/>
      <c r="K902" s="34"/>
      <c r="L902" s="34"/>
      <c r="M902" s="34"/>
      <c r="N902" s="34"/>
      <c r="O902" s="34"/>
      <c r="P902" s="34"/>
      <c r="Q902" s="34"/>
      <c r="R902" s="34"/>
      <c r="S902" s="34"/>
      <c r="T902" s="34"/>
      <c r="U902" s="34"/>
      <c r="V902" s="34"/>
      <c r="W902" s="34"/>
      <c r="X902" s="34"/>
      <c r="Y902" s="34"/>
      <c r="Z902" s="3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row>
    <row r="903" spans="1:57" ht="15.75" customHeight="1" x14ac:dyDescent="0.2">
      <c r="A903" s="34"/>
      <c r="B903" s="34"/>
      <c r="C903" s="33"/>
      <c r="D903" s="34"/>
      <c r="E903" s="34"/>
      <c r="F903" s="34"/>
      <c r="G903" s="34"/>
      <c r="H903" s="33"/>
      <c r="I903" s="33"/>
      <c r="J903" s="33"/>
      <c r="K903" s="34"/>
      <c r="L903" s="34"/>
      <c r="M903" s="34"/>
      <c r="N903" s="34"/>
      <c r="O903" s="34"/>
      <c r="P903" s="34"/>
      <c r="Q903" s="34"/>
      <c r="R903" s="34"/>
      <c r="S903" s="34"/>
      <c r="T903" s="34"/>
      <c r="U903" s="34"/>
      <c r="V903" s="34"/>
      <c r="W903" s="34"/>
      <c r="X903" s="34"/>
      <c r="Y903" s="34"/>
      <c r="Z903" s="3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row>
    <row r="904" spans="1:57" ht="15.75" customHeight="1" x14ac:dyDescent="0.2">
      <c r="A904" s="34"/>
      <c r="B904" s="34"/>
      <c r="C904" s="33"/>
      <c r="D904" s="34"/>
      <c r="E904" s="34"/>
      <c r="F904" s="34"/>
      <c r="G904" s="34"/>
      <c r="H904" s="33"/>
      <c r="I904" s="33"/>
      <c r="J904" s="33"/>
      <c r="K904" s="34"/>
      <c r="L904" s="34"/>
      <c r="M904" s="34"/>
      <c r="N904" s="34"/>
      <c r="O904" s="34"/>
      <c r="P904" s="34"/>
      <c r="Q904" s="34"/>
      <c r="R904" s="34"/>
      <c r="S904" s="34"/>
      <c r="T904" s="34"/>
      <c r="U904" s="34"/>
      <c r="V904" s="34"/>
      <c r="W904" s="34"/>
      <c r="X904" s="34"/>
      <c r="Y904" s="34"/>
      <c r="Z904" s="3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row>
    <row r="905" spans="1:57" ht="15.75" customHeight="1" x14ac:dyDescent="0.2">
      <c r="A905" s="34"/>
      <c r="B905" s="34"/>
      <c r="C905" s="33"/>
      <c r="D905" s="34"/>
      <c r="E905" s="34"/>
      <c r="F905" s="34"/>
      <c r="G905" s="34"/>
      <c r="H905" s="33"/>
      <c r="I905" s="33"/>
      <c r="J905" s="33"/>
      <c r="K905" s="34"/>
      <c r="L905" s="34"/>
      <c r="M905" s="34"/>
      <c r="N905" s="34"/>
      <c r="O905" s="34"/>
      <c r="P905" s="34"/>
      <c r="Q905" s="34"/>
      <c r="R905" s="34"/>
      <c r="S905" s="34"/>
      <c r="T905" s="34"/>
      <c r="U905" s="34"/>
      <c r="V905" s="34"/>
      <c r="W905" s="34"/>
      <c r="X905" s="34"/>
      <c r="Y905" s="34"/>
      <c r="Z905" s="3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row>
    <row r="906" spans="1:57" ht="15.75" customHeight="1" x14ac:dyDescent="0.2">
      <c r="A906" s="34"/>
      <c r="B906" s="34"/>
      <c r="C906" s="33"/>
      <c r="D906" s="34"/>
      <c r="E906" s="34"/>
      <c r="F906" s="34"/>
      <c r="G906" s="34"/>
      <c r="H906" s="33"/>
      <c r="I906" s="33"/>
      <c r="J906" s="33"/>
      <c r="K906" s="34"/>
      <c r="L906" s="34"/>
      <c r="M906" s="34"/>
      <c r="N906" s="34"/>
      <c r="O906" s="34"/>
      <c r="P906" s="34"/>
      <c r="Q906" s="34"/>
      <c r="R906" s="34"/>
      <c r="S906" s="34"/>
      <c r="T906" s="34"/>
      <c r="U906" s="34"/>
      <c r="V906" s="34"/>
      <c r="W906" s="34"/>
      <c r="X906" s="34"/>
      <c r="Y906" s="34"/>
      <c r="Z906" s="3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row>
    <row r="907" spans="1:57" ht="15.75" customHeight="1" x14ac:dyDescent="0.2">
      <c r="A907" s="34"/>
      <c r="B907" s="34"/>
      <c r="C907" s="33"/>
      <c r="D907" s="34"/>
      <c r="E907" s="34"/>
      <c r="F907" s="34"/>
      <c r="G907" s="34"/>
      <c r="H907" s="33"/>
      <c r="I907" s="33"/>
      <c r="J907" s="33"/>
      <c r="K907" s="34"/>
      <c r="L907" s="34"/>
      <c r="M907" s="34"/>
      <c r="N907" s="34"/>
      <c r="O907" s="34"/>
      <c r="P907" s="34"/>
      <c r="Q907" s="34"/>
      <c r="R907" s="34"/>
      <c r="S907" s="34"/>
      <c r="T907" s="34"/>
      <c r="U907" s="34"/>
      <c r="V907" s="34"/>
      <c r="W907" s="34"/>
      <c r="X907" s="34"/>
      <c r="Y907" s="34"/>
      <c r="Z907" s="3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row>
    <row r="908" spans="1:57" ht="15.75" customHeight="1" x14ac:dyDescent="0.2">
      <c r="A908" s="34"/>
      <c r="B908" s="34"/>
      <c r="C908" s="33"/>
      <c r="D908" s="34"/>
      <c r="E908" s="34"/>
      <c r="F908" s="34"/>
      <c r="G908" s="34"/>
      <c r="H908" s="33"/>
      <c r="I908" s="33"/>
      <c r="J908" s="33"/>
      <c r="K908" s="34"/>
      <c r="L908" s="34"/>
      <c r="M908" s="34"/>
      <c r="N908" s="34"/>
      <c r="O908" s="34"/>
      <c r="P908" s="34"/>
      <c r="Q908" s="34"/>
      <c r="R908" s="34"/>
      <c r="S908" s="34"/>
      <c r="T908" s="34"/>
      <c r="U908" s="34"/>
      <c r="V908" s="34"/>
      <c r="W908" s="34"/>
      <c r="X908" s="34"/>
      <c r="Y908" s="34"/>
      <c r="Z908" s="3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row>
    <row r="909" spans="1:57" ht="15.75" customHeight="1" x14ac:dyDescent="0.2">
      <c r="A909" s="34"/>
      <c r="B909" s="34"/>
      <c r="C909" s="33"/>
      <c r="D909" s="34"/>
      <c r="E909" s="34"/>
      <c r="F909" s="34"/>
      <c r="G909" s="34"/>
      <c r="H909" s="33"/>
      <c r="I909" s="33"/>
      <c r="J909" s="33"/>
      <c r="K909" s="34"/>
      <c r="L909" s="34"/>
      <c r="M909" s="34"/>
      <c r="N909" s="34"/>
      <c r="O909" s="34"/>
      <c r="P909" s="34"/>
      <c r="Q909" s="34"/>
      <c r="R909" s="34"/>
      <c r="S909" s="34"/>
      <c r="T909" s="34"/>
      <c r="U909" s="34"/>
      <c r="V909" s="34"/>
      <c r="W909" s="34"/>
      <c r="X909" s="34"/>
      <c r="Y909" s="34"/>
      <c r="Z909" s="3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row>
    <row r="910" spans="1:57" ht="15.75" customHeight="1" x14ac:dyDescent="0.2">
      <c r="A910" s="34"/>
      <c r="B910" s="34"/>
      <c r="C910" s="33"/>
      <c r="D910" s="34"/>
      <c r="E910" s="34"/>
      <c r="F910" s="34"/>
      <c r="G910" s="34"/>
      <c r="H910" s="33"/>
      <c r="I910" s="33"/>
      <c r="J910" s="33"/>
      <c r="K910" s="34"/>
      <c r="L910" s="34"/>
      <c r="M910" s="34"/>
      <c r="N910" s="34"/>
      <c r="O910" s="34"/>
      <c r="P910" s="34"/>
      <c r="Q910" s="34"/>
      <c r="R910" s="34"/>
      <c r="S910" s="34"/>
      <c r="T910" s="34"/>
      <c r="U910" s="34"/>
      <c r="V910" s="34"/>
      <c r="W910" s="34"/>
      <c r="X910" s="34"/>
      <c r="Y910" s="34"/>
      <c r="Z910" s="3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row>
    <row r="911" spans="1:57" ht="15.75" customHeight="1" x14ac:dyDescent="0.2">
      <c r="A911" s="34"/>
      <c r="B911" s="34"/>
      <c r="C911" s="33"/>
      <c r="D911" s="34"/>
      <c r="E911" s="34"/>
      <c r="F911" s="34"/>
      <c r="G911" s="34"/>
      <c r="H911" s="33"/>
      <c r="I911" s="33"/>
      <c r="J911" s="33"/>
      <c r="K911" s="34"/>
      <c r="L911" s="34"/>
      <c r="M911" s="34"/>
      <c r="N911" s="34"/>
      <c r="O911" s="34"/>
      <c r="P911" s="34"/>
      <c r="Q911" s="34"/>
      <c r="R911" s="34"/>
      <c r="S911" s="34"/>
      <c r="T911" s="34"/>
      <c r="U911" s="34"/>
      <c r="V911" s="34"/>
      <c r="W911" s="34"/>
      <c r="X911" s="34"/>
      <c r="Y911" s="34"/>
      <c r="Z911" s="3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row>
    <row r="912" spans="1:57" ht="15.75" customHeight="1" x14ac:dyDescent="0.2">
      <c r="A912" s="34"/>
      <c r="B912" s="34"/>
      <c r="C912" s="33"/>
      <c r="D912" s="34"/>
      <c r="E912" s="34"/>
      <c r="F912" s="34"/>
      <c r="G912" s="34"/>
      <c r="H912" s="33"/>
      <c r="I912" s="33"/>
      <c r="J912" s="33"/>
      <c r="K912" s="34"/>
      <c r="L912" s="34"/>
      <c r="M912" s="34"/>
      <c r="N912" s="34"/>
      <c r="O912" s="34"/>
      <c r="P912" s="34"/>
      <c r="Q912" s="34"/>
      <c r="R912" s="34"/>
      <c r="S912" s="34"/>
      <c r="T912" s="34"/>
      <c r="U912" s="34"/>
      <c r="V912" s="34"/>
      <c r="W912" s="34"/>
      <c r="X912" s="34"/>
      <c r="Y912" s="34"/>
      <c r="Z912" s="3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row>
    <row r="913" spans="1:57" ht="15.75" customHeight="1" x14ac:dyDescent="0.2">
      <c r="A913" s="34"/>
      <c r="B913" s="34"/>
      <c r="C913" s="33"/>
      <c r="D913" s="34"/>
      <c r="E913" s="34"/>
      <c r="F913" s="34"/>
      <c r="G913" s="34"/>
      <c r="H913" s="33"/>
      <c r="I913" s="33"/>
      <c r="J913" s="33"/>
      <c r="K913" s="34"/>
      <c r="L913" s="34"/>
      <c r="M913" s="34"/>
      <c r="N913" s="34"/>
      <c r="O913" s="34"/>
      <c r="P913" s="34"/>
      <c r="Q913" s="34"/>
      <c r="R913" s="34"/>
      <c r="S913" s="34"/>
      <c r="T913" s="34"/>
      <c r="U913" s="34"/>
      <c r="V913" s="34"/>
      <c r="W913" s="34"/>
      <c r="X913" s="34"/>
      <c r="Y913" s="34"/>
      <c r="Z913" s="3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row>
    <row r="914" spans="1:57" ht="15.75" customHeight="1" x14ac:dyDescent="0.2">
      <c r="A914" s="34"/>
      <c r="B914" s="34"/>
      <c r="C914" s="33"/>
      <c r="D914" s="34"/>
      <c r="E914" s="34"/>
      <c r="F914" s="34"/>
      <c r="G914" s="34"/>
      <c r="H914" s="33"/>
      <c r="I914" s="33"/>
      <c r="J914" s="33"/>
      <c r="K914" s="34"/>
      <c r="L914" s="34"/>
      <c r="M914" s="34"/>
      <c r="N914" s="34"/>
      <c r="O914" s="34"/>
      <c r="P914" s="34"/>
      <c r="Q914" s="34"/>
      <c r="R914" s="34"/>
      <c r="S914" s="34"/>
      <c r="T914" s="34"/>
      <c r="U914" s="34"/>
      <c r="V914" s="34"/>
      <c r="W914" s="34"/>
      <c r="X914" s="34"/>
      <c r="Y914" s="34"/>
      <c r="Z914" s="3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row>
    <row r="915" spans="1:57" ht="15.75" customHeight="1" x14ac:dyDescent="0.2">
      <c r="A915" s="34"/>
      <c r="B915" s="34"/>
      <c r="C915" s="33"/>
      <c r="D915" s="34"/>
      <c r="E915" s="34"/>
      <c r="F915" s="34"/>
      <c r="G915" s="34"/>
      <c r="H915" s="33"/>
      <c r="I915" s="33"/>
      <c r="J915" s="33"/>
      <c r="K915" s="34"/>
      <c r="L915" s="34"/>
      <c r="M915" s="34"/>
      <c r="N915" s="34"/>
      <c r="O915" s="34"/>
      <c r="P915" s="34"/>
      <c r="Q915" s="34"/>
      <c r="R915" s="34"/>
      <c r="S915" s="34"/>
      <c r="T915" s="34"/>
      <c r="U915" s="34"/>
      <c r="V915" s="34"/>
      <c r="W915" s="34"/>
      <c r="X915" s="34"/>
      <c r="Y915" s="34"/>
      <c r="Z915" s="3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row>
    <row r="916" spans="1:57" ht="15.75" customHeight="1" x14ac:dyDescent="0.2">
      <c r="A916" s="34"/>
      <c r="B916" s="34"/>
      <c r="C916" s="33"/>
      <c r="D916" s="34"/>
      <c r="E916" s="34"/>
      <c r="F916" s="34"/>
      <c r="G916" s="34"/>
      <c r="H916" s="33"/>
      <c r="I916" s="33"/>
      <c r="J916" s="33"/>
      <c r="K916" s="34"/>
      <c r="L916" s="34"/>
      <c r="M916" s="34"/>
      <c r="N916" s="34"/>
      <c r="O916" s="34"/>
      <c r="P916" s="34"/>
      <c r="Q916" s="34"/>
      <c r="R916" s="34"/>
      <c r="S916" s="34"/>
      <c r="T916" s="34"/>
      <c r="U916" s="34"/>
      <c r="V916" s="34"/>
      <c r="W916" s="34"/>
      <c r="X916" s="34"/>
      <c r="Y916" s="34"/>
      <c r="Z916" s="3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row>
    <row r="917" spans="1:57" ht="15.75" customHeight="1" x14ac:dyDescent="0.2">
      <c r="A917" s="34"/>
      <c r="B917" s="34"/>
      <c r="C917" s="33"/>
      <c r="D917" s="34"/>
      <c r="E917" s="34"/>
      <c r="F917" s="34"/>
      <c r="G917" s="34"/>
      <c r="H917" s="33"/>
      <c r="I917" s="33"/>
      <c r="J917" s="33"/>
      <c r="K917" s="34"/>
      <c r="L917" s="34"/>
      <c r="M917" s="34"/>
      <c r="N917" s="34"/>
      <c r="O917" s="34"/>
      <c r="P917" s="34"/>
      <c r="Q917" s="34"/>
      <c r="R917" s="34"/>
      <c r="S917" s="34"/>
      <c r="T917" s="34"/>
      <c r="U917" s="34"/>
      <c r="V917" s="34"/>
      <c r="W917" s="34"/>
      <c r="X917" s="34"/>
      <c r="Y917" s="34"/>
      <c r="Z917" s="3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row>
    <row r="918" spans="1:57" ht="15.75" customHeight="1" x14ac:dyDescent="0.2">
      <c r="A918" s="34"/>
      <c r="B918" s="34"/>
      <c r="C918" s="33"/>
      <c r="D918" s="34"/>
      <c r="E918" s="34"/>
      <c r="F918" s="34"/>
      <c r="G918" s="34"/>
      <c r="H918" s="33"/>
      <c r="I918" s="33"/>
      <c r="J918" s="33"/>
      <c r="K918" s="34"/>
      <c r="L918" s="34"/>
      <c r="M918" s="34"/>
      <c r="N918" s="34"/>
      <c r="O918" s="34"/>
      <c r="P918" s="34"/>
      <c r="Q918" s="34"/>
      <c r="R918" s="34"/>
      <c r="S918" s="34"/>
      <c r="T918" s="34"/>
      <c r="U918" s="34"/>
      <c r="V918" s="34"/>
      <c r="W918" s="34"/>
      <c r="X918" s="34"/>
      <c r="Y918" s="34"/>
      <c r="Z918" s="3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row>
    <row r="919" spans="1:57" ht="15.75" customHeight="1" x14ac:dyDescent="0.2">
      <c r="A919" s="34"/>
      <c r="B919" s="34"/>
      <c r="C919" s="33"/>
      <c r="D919" s="34"/>
      <c r="E919" s="34"/>
      <c r="F919" s="34"/>
      <c r="G919" s="34"/>
      <c r="H919" s="33"/>
      <c r="I919" s="33"/>
      <c r="J919" s="33"/>
      <c r="K919" s="34"/>
      <c r="L919" s="34"/>
      <c r="M919" s="34"/>
      <c r="N919" s="34"/>
      <c r="O919" s="34"/>
      <c r="P919" s="34"/>
      <c r="Q919" s="34"/>
      <c r="R919" s="34"/>
      <c r="S919" s="34"/>
      <c r="T919" s="34"/>
      <c r="U919" s="34"/>
      <c r="V919" s="34"/>
      <c r="W919" s="34"/>
      <c r="X919" s="34"/>
      <c r="Y919" s="34"/>
      <c r="Z919" s="3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row>
    <row r="920" spans="1:57" ht="15.75" customHeight="1" x14ac:dyDescent="0.2">
      <c r="A920" s="34"/>
      <c r="B920" s="34"/>
      <c r="C920" s="33"/>
      <c r="D920" s="34"/>
      <c r="E920" s="34"/>
      <c r="F920" s="34"/>
      <c r="G920" s="34"/>
      <c r="H920" s="33"/>
      <c r="I920" s="33"/>
      <c r="J920" s="33"/>
      <c r="K920" s="34"/>
      <c r="L920" s="34"/>
      <c r="M920" s="34"/>
      <c r="N920" s="34"/>
      <c r="O920" s="34"/>
      <c r="P920" s="34"/>
      <c r="Q920" s="34"/>
      <c r="R920" s="34"/>
      <c r="S920" s="34"/>
      <c r="T920" s="34"/>
      <c r="U920" s="34"/>
      <c r="V920" s="34"/>
      <c r="W920" s="34"/>
      <c r="X920" s="34"/>
      <c r="Y920" s="34"/>
      <c r="Z920" s="3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row>
    <row r="921" spans="1:57" ht="15.75" customHeight="1" x14ac:dyDescent="0.2">
      <c r="A921" s="34"/>
      <c r="B921" s="34"/>
      <c r="C921" s="33"/>
      <c r="D921" s="34"/>
      <c r="E921" s="34"/>
      <c r="F921" s="34"/>
      <c r="G921" s="34"/>
      <c r="H921" s="33"/>
      <c r="I921" s="33"/>
      <c r="J921" s="33"/>
      <c r="K921" s="34"/>
      <c r="L921" s="34"/>
      <c r="M921" s="34"/>
      <c r="N921" s="34"/>
      <c r="O921" s="34"/>
      <c r="P921" s="34"/>
      <c r="Q921" s="34"/>
      <c r="R921" s="34"/>
      <c r="S921" s="34"/>
      <c r="T921" s="34"/>
      <c r="U921" s="34"/>
      <c r="V921" s="34"/>
      <c r="W921" s="34"/>
      <c r="X921" s="34"/>
      <c r="Y921" s="34"/>
      <c r="Z921" s="3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row>
    <row r="922" spans="1:57" ht="15.75" customHeight="1" x14ac:dyDescent="0.2">
      <c r="A922" s="34"/>
      <c r="B922" s="34"/>
      <c r="C922" s="33"/>
      <c r="D922" s="34"/>
      <c r="E922" s="34"/>
      <c r="F922" s="34"/>
      <c r="G922" s="34"/>
      <c r="H922" s="33"/>
      <c r="I922" s="33"/>
      <c r="J922" s="33"/>
      <c r="K922" s="34"/>
      <c r="L922" s="34"/>
      <c r="M922" s="34"/>
      <c r="N922" s="34"/>
      <c r="O922" s="34"/>
      <c r="P922" s="34"/>
      <c r="Q922" s="34"/>
      <c r="R922" s="34"/>
      <c r="S922" s="34"/>
      <c r="T922" s="34"/>
      <c r="U922" s="34"/>
      <c r="V922" s="34"/>
      <c r="W922" s="34"/>
      <c r="X922" s="34"/>
      <c r="Y922" s="34"/>
      <c r="Z922" s="3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row>
    <row r="923" spans="1:57" ht="15.75" customHeight="1" x14ac:dyDescent="0.2">
      <c r="A923" s="34"/>
      <c r="B923" s="34"/>
      <c r="C923" s="33"/>
      <c r="D923" s="34"/>
      <c r="E923" s="34"/>
      <c r="F923" s="34"/>
      <c r="G923" s="34"/>
      <c r="H923" s="33"/>
      <c r="I923" s="33"/>
      <c r="J923" s="33"/>
      <c r="K923" s="34"/>
      <c r="L923" s="34"/>
      <c r="M923" s="34"/>
      <c r="N923" s="34"/>
      <c r="O923" s="34"/>
      <c r="P923" s="34"/>
      <c r="Q923" s="34"/>
      <c r="R923" s="34"/>
      <c r="S923" s="34"/>
      <c r="T923" s="34"/>
      <c r="U923" s="34"/>
      <c r="V923" s="34"/>
      <c r="W923" s="34"/>
      <c r="X923" s="34"/>
      <c r="Y923" s="34"/>
      <c r="Z923" s="3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row>
    <row r="924" spans="1:57" ht="15.75" customHeight="1" x14ac:dyDescent="0.2">
      <c r="A924" s="34"/>
      <c r="B924" s="34"/>
      <c r="C924" s="33"/>
      <c r="D924" s="34"/>
      <c r="E924" s="34"/>
      <c r="F924" s="34"/>
      <c r="G924" s="34"/>
      <c r="H924" s="33"/>
      <c r="I924" s="33"/>
      <c r="J924" s="33"/>
      <c r="K924" s="34"/>
      <c r="L924" s="34"/>
      <c r="M924" s="34"/>
      <c r="N924" s="34"/>
      <c r="O924" s="34"/>
      <c r="P924" s="34"/>
      <c r="Q924" s="34"/>
      <c r="R924" s="34"/>
      <c r="S924" s="34"/>
      <c r="T924" s="34"/>
      <c r="U924" s="34"/>
      <c r="V924" s="34"/>
      <c r="W924" s="34"/>
      <c r="X924" s="34"/>
      <c r="Y924" s="34"/>
      <c r="Z924" s="3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row>
    <row r="925" spans="1:57" ht="15.75" customHeight="1" x14ac:dyDescent="0.2">
      <c r="A925" s="34"/>
      <c r="B925" s="34"/>
      <c r="C925" s="33"/>
      <c r="D925" s="34"/>
      <c r="E925" s="34"/>
      <c r="F925" s="34"/>
      <c r="G925" s="34"/>
      <c r="H925" s="33"/>
      <c r="I925" s="33"/>
      <c r="J925" s="33"/>
      <c r="K925" s="34"/>
      <c r="L925" s="34"/>
      <c r="M925" s="34"/>
      <c r="N925" s="34"/>
      <c r="O925" s="34"/>
      <c r="P925" s="34"/>
      <c r="Q925" s="34"/>
      <c r="R925" s="34"/>
      <c r="S925" s="34"/>
      <c r="T925" s="34"/>
      <c r="U925" s="34"/>
      <c r="V925" s="34"/>
      <c r="W925" s="34"/>
      <c r="X925" s="34"/>
      <c r="Y925" s="34"/>
      <c r="Z925" s="3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row>
    <row r="926" spans="1:57" ht="15.75" customHeight="1" x14ac:dyDescent="0.2">
      <c r="A926" s="34"/>
      <c r="B926" s="34"/>
      <c r="C926" s="33"/>
      <c r="D926" s="34"/>
      <c r="E926" s="34"/>
      <c r="F926" s="34"/>
      <c r="G926" s="34"/>
      <c r="H926" s="33"/>
      <c r="I926" s="33"/>
      <c r="J926" s="33"/>
      <c r="K926" s="34"/>
      <c r="L926" s="34"/>
      <c r="M926" s="34"/>
      <c r="N926" s="34"/>
      <c r="O926" s="34"/>
      <c r="P926" s="34"/>
      <c r="Q926" s="34"/>
      <c r="R926" s="34"/>
      <c r="S926" s="34"/>
      <c r="T926" s="34"/>
      <c r="U926" s="34"/>
      <c r="V926" s="34"/>
      <c r="W926" s="34"/>
      <c r="X926" s="34"/>
      <c r="Y926" s="34"/>
      <c r="Z926" s="3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row>
    <row r="927" spans="1:57" ht="15.75" customHeight="1" x14ac:dyDescent="0.2">
      <c r="A927" s="34"/>
      <c r="B927" s="34"/>
      <c r="C927" s="33"/>
      <c r="D927" s="34"/>
      <c r="E927" s="34"/>
      <c r="F927" s="34"/>
      <c r="G927" s="34"/>
      <c r="H927" s="33"/>
      <c r="I927" s="33"/>
      <c r="J927" s="33"/>
      <c r="K927" s="34"/>
      <c r="L927" s="34"/>
      <c r="M927" s="34"/>
      <c r="N927" s="34"/>
      <c r="O927" s="34"/>
      <c r="P927" s="34"/>
      <c r="Q927" s="34"/>
      <c r="R927" s="34"/>
      <c r="S927" s="34"/>
      <c r="T927" s="34"/>
      <c r="U927" s="34"/>
      <c r="V927" s="34"/>
      <c r="W927" s="34"/>
      <c r="X927" s="34"/>
      <c r="Y927" s="34"/>
      <c r="Z927" s="3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row>
    <row r="928" spans="1:57" ht="15.75" customHeight="1" x14ac:dyDescent="0.2">
      <c r="A928" s="34"/>
      <c r="B928" s="34"/>
      <c r="C928" s="33"/>
      <c r="D928" s="34"/>
      <c r="E928" s="34"/>
      <c r="F928" s="34"/>
      <c r="G928" s="34"/>
      <c r="H928" s="33"/>
      <c r="I928" s="33"/>
      <c r="J928" s="33"/>
      <c r="K928" s="34"/>
      <c r="L928" s="34"/>
      <c r="M928" s="34"/>
      <c r="N928" s="34"/>
      <c r="O928" s="34"/>
      <c r="P928" s="34"/>
      <c r="Q928" s="34"/>
      <c r="R928" s="34"/>
      <c r="S928" s="34"/>
      <c r="T928" s="34"/>
      <c r="U928" s="34"/>
      <c r="V928" s="34"/>
      <c r="W928" s="34"/>
      <c r="X928" s="34"/>
      <c r="Y928" s="34"/>
      <c r="Z928" s="3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row>
    <row r="929" spans="1:57" ht="15.75" customHeight="1" x14ac:dyDescent="0.2">
      <c r="A929" s="34"/>
      <c r="B929" s="34"/>
      <c r="C929" s="33"/>
      <c r="D929" s="34"/>
      <c r="E929" s="34"/>
      <c r="F929" s="34"/>
      <c r="G929" s="34"/>
      <c r="H929" s="33"/>
      <c r="I929" s="33"/>
      <c r="J929" s="33"/>
      <c r="K929" s="34"/>
      <c r="L929" s="34"/>
      <c r="M929" s="34"/>
      <c r="N929" s="34"/>
      <c r="O929" s="34"/>
      <c r="P929" s="34"/>
      <c r="Q929" s="34"/>
      <c r="R929" s="34"/>
      <c r="S929" s="34"/>
      <c r="T929" s="34"/>
      <c r="U929" s="34"/>
      <c r="V929" s="34"/>
      <c r="W929" s="34"/>
      <c r="X929" s="34"/>
      <c r="Y929" s="34"/>
      <c r="Z929" s="3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row>
    <row r="930" spans="1:57" ht="15.75" customHeight="1" x14ac:dyDescent="0.2">
      <c r="A930" s="34"/>
      <c r="B930" s="34"/>
      <c r="C930" s="33"/>
      <c r="D930" s="34"/>
      <c r="E930" s="34"/>
      <c r="F930" s="34"/>
      <c r="G930" s="34"/>
      <c r="H930" s="33"/>
      <c r="I930" s="33"/>
      <c r="J930" s="33"/>
      <c r="K930" s="34"/>
      <c r="L930" s="34"/>
      <c r="M930" s="34"/>
      <c r="N930" s="34"/>
      <c r="O930" s="34"/>
      <c r="P930" s="34"/>
      <c r="Q930" s="34"/>
      <c r="R930" s="34"/>
      <c r="S930" s="34"/>
      <c r="T930" s="34"/>
      <c r="U930" s="34"/>
      <c r="V930" s="34"/>
      <c r="W930" s="34"/>
      <c r="X930" s="34"/>
      <c r="Y930" s="34"/>
      <c r="Z930" s="3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row>
    <row r="931" spans="1:57" ht="15.75" customHeight="1" x14ac:dyDescent="0.2">
      <c r="A931" s="34"/>
      <c r="B931" s="34"/>
      <c r="C931" s="33"/>
      <c r="D931" s="34"/>
      <c r="E931" s="34"/>
      <c r="F931" s="34"/>
      <c r="G931" s="34"/>
      <c r="H931" s="33"/>
      <c r="I931" s="33"/>
      <c r="J931" s="33"/>
      <c r="K931" s="34"/>
      <c r="L931" s="34"/>
      <c r="M931" s="34"/>
      <c r="N931" s="34"/>
      <c r="O931" s="34"/>
      <c r="P931" s="34"/>
      <c r="Q931" s="34"/>
      <c r="R931" s="34"/>
      <c r="S931" s="34"/>
      <c r="T931" s="34"/>
      <c r="U931" s="34"/>
      <c r="V931" s="34"/>
      <c r="W931" s="34"/>
      <c r="X931" s="34"/>
      <c r="Y931" s="34"/>
      <c r="Z931" s="3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row>
    <row r="932" spans="1:57" ht="15.75" customHeight="1" x14ac:dyDescent="0.2">
      <c r="A932" s="34"/>
      <c r="B932" s="34"/>
      <c r="C932" s="33"/>
      <c r="D932" s="34"/>
      <c r="E932" s="34"/>
      <c r="F932" s="34"/>
      <c r="G932" s="34"/>
      <c r="H932" s="33"/>
      <c r="I932" s="33"/>
      <c r="J932" s="33"/>
      <c r="K932" s="34"/>
      <c r="L932" s="34"/>
      <c r="M932" s="34"/>
      <c r="N932" s="34"/>
      <c r="O932" s="34"/>
      <c r="P932" s="34"/>
      <c r="Q932" s="34"/>
      <c r="R932" s="34"/>
      <c r="S932" s="34"/>
      <c r="T932" s="34"/>
      <c r="U932" s="34"/>
      <c r="V932" s="34"/>
      <c r="W932" s="34"/>
      <c r="X932" s="34"/>
      <c r="Y932" s="34"/>
      <c r="Z932" s="3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row>
    <row r="933" spans="1:57" ht="15.75" customHeight="1" x14ac:dyDescent="0.2">
      <c r="A933" s="34"/>
      <c r="B933" s="34"/>
      <c r="C933" s="33"/>
      <c r="D933" s="34"/>
      <c r="E933" s="34"/>
      <c r="F933" s="34"/>
      <c r="G933" s="34"/>
      <c r="H933" s="33"/>
      <c r="I933" s="33"/>
      <c r="J933" s="33"/>
      <c r="K933" s="34"/>
      <c r="L933" s="34"/>
      <c r="M933" s="34"/>
      <c r="N933" s="34"/>
      <c r="O933" s="34"/>
      <c r="P933" s="34"/>
      <c r="Q933" s="34"/>
      <c r="R933" s="34"/>
      <c r="S933" s="34"/>
      <c r="T933" s="34"/>
      <c r="U933" s="34"/>
      <c r="V933" s="34"/>
      <c r="W933" s="34"/>
      <c r="X933" s="34"/>
      <c r="Y933" s="34"/>
      <c r="Z933" s="3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row>
    <row r="934" spans="1:57" ht="15.75" customHeight="1" x14ac:dyDescent="0.2">
      <c r="A934" s="34"/>
      <c r="B934" s="34"/>
      <c r="C934" s="33"/>
      <c r="D934" s="34"/>
      <c r="E934" s="34"/>
      <c r="F934" s="34"/>
      <c r="G934" s="34"/>
      <c r="H934" s="33"/>
      <c r="I934" s="33"/>
      <c r="J934" s="33"/>
      <c r="K934" s="34"/>
      <c r="L934" s="34"/>
      <c r="M934" s="34"/>
      <c r="N934" s="34"/>
      <c r="O934" s="34"/>
      <c r="P934" s="34"/>
      <c r="Q934" s="34"/>
      <c r="R934" s="34"/>
      <c r="S934" s="34"/>
      <c r="T934" s="34"/>
      <c r="U934" s="34"/>
      <c r="V934" s="34"/>
      <c r="W934" s="34"/>
      <c r="X934" s="34"/>
      <c r="Y934" s="34"/>
      <c r="Z934" s="3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row>
    <row r="935" spans="1:57" ht="15.75" customHeight="1" x14ac:dyDescent="0.2">
      <c r="A935" s="34"/>
      <c r="B935" s="34"/>
      <c r="C935" s="33"/>
      <c r="D935" s="34"/>
      <c r="E935" s="34"/>
      <c r="F935" s="34"/>
      <c r="G935" s="34"/>
      <c r="H935" s="33"/>
      <c r="I935" s="33"/>
      <c r="J935" s="33"/>
      <c r="K935" s="34"/>
      <c r="L935" s="34"/>
      <c r="M935" s="34"/>
      <c r="N935" s="34"/>
      <c r="O935" s="34"/>
      <c r="P935" s="34"/>
      <c r="Q935" s="34"/>
      <c r="R935" s="34"/>
      <c r="S935" s="34"/>
      <c r="T935" s="34"/>
      <c r="U935" s="34"/>
      <c r="V935" s="34"/>
      <c r="W935" s="34"/>
      <c r="X935" s="34"/>
      <c r="Y935" s="34"/>
      <c r="Z935" s="3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row>
    <row r="936" spans="1:57" ht="15.75" customHeight="1" x14ac:dyDescent="0.2">
      <c r="A936" s="34"/>
      <c r="B936" s="34"/>
      <c r="C936" s="33"/>
      <c r="D936" s="34"/>
      <c r="E936" s="34"/>
      <c r="F936" s="34"/>
      <c r="G936" s="34"/>
      <c r="H936" s="33"/>
      <c r="I936" s="33"/>
      <c r="J936" s="33"/>
      <c r="K936" s="34"/>
      <c r="L936" s="34"/>
      <c r="M936" s="34"/>
      <c r="N936" s="34"/>
      <c r="O936" s="34"/>
      <c r="P936" s="34"/>
      <c r="Q936" s="34"/>
      <c r="R936" s="34"/>
      <c r="S936" s="34"/>
      <c r="T936" s="34"/>
      <c r="U936" s="34"/>
      <c r="V936" s="34"/>
      <c r="W936" s="34"/>
      <c r="X936" s="34"/>
      <c r="Y936" s="34"/>
      <c r="Z936" s="3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row>
    <row r="937" spans="1:57" ht="15.75" customHeight="1" x14ac:dyDescent="0.2">
      <c r="A937" s="34"/>
      <c r="B937" s="34"/>
      <c r="C937" s="33"/>
      <c r="D937" s="34"/>
      <c r="E937" s="34"/>
      <c r="F937" s="34"/>
      <c r="G937" s="34"/>
      <c r="H937" s="33"/>
      <c r="I937" s="33"/>
      <c r="J937" s="33"/>
      <c r="K937" s="34"/>
      <c r="L937" s="34"/>
      <c r="M937" s="34"/>
      <c r="N937" s="34"/>
      <c r="O937" s="34"/>
      <c r="P937" s="34"/>
      <c r="Q937" s="34"/>
      <c r="R937" s="34"/>
      <c r="S937" s="34"/>
      <c r="T937" s="34"/>
      <c r="U937" s="34"/>
      <c r="V937" s="34"/>
      <c r="W937" s="34"/>
      <c r="X937" s="34"/>
      <c r="Y937" s="34"/>
      <c r="Z937" s="3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row>
    <row r="938" spans="1:57" ht="15.75" customHeight="1" x14ac:dyDescent="0.2">
      <c r="A938" s="34"/>
      <c r="B938" s="34"/>
      <c r="C938" s="33"/>
      <c r="D938" s="34"/>
      <c r="E938" s="34"/>
      <c r="F938" s="34"/>
      <c r="G938" s="34"/>
      <c r="H938" s="33"/>
      <c r="I938" s="33"/>
      <c r="J938" s="33"/>
      <c r="K938" s="34"/>
      <c r="L938" s="34"/>
      <c r="M938" s="34"/>
      <c r="N938" s="34"/>
      <c r="O938" s="34"/>
      <c r="P938" s="34"/>
      <c r="Q938" s="34"/>
      <c r="R938" s="34"/>
      <c r="S938" s="34"/>
      <c r="T938" s="34"/>
      <c r="U938" s="34"/>
      <c r="V938" s="34"/>
      <c r="W938" s="34"/>
      <c r="X938" s="34"/>
      <c r="Y938" s="34"/>
      <c r="Z938" s="3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row>
    <row r="939" spans="1:57" ht="15.75" customHeight="1" x14ac:dyDescent="0.2">
      <c r="A939" s="34"/>
      <c r="B939" s="34"/>
      <c r="C939" s="33"/>
      <c r="D939" s="34"/>
      <c r="E939" s="34"/>
      <c r="F939" s="34"/>
      <c r="G939" s="34"/>
      <c r="H939" s="33"/>
      <c r="I939" s="33"/>
      <c r="J939" s="33"/>
      <c r="K939" s="34"/>
      <c r="L939" s="34"/>
      <c r="M939" s="34"/>
      <c r="N939" s="34"/>
      <c r="O939" s="34"/>
      <c r="P939" s="34"/>
      <c r="Q939" s="34"/>
      <c r="R939" s="34"/>
      <c r="S939" s="34"/>
      <c r="T939" s="34"/>
      <c r="U939" s="34"/>
      <c r="V939" s="34"/>
      <c r="W939" s="34"/>
      <c r="X939" s="34"/>
      <c r="Y939" s="34"/>
      <c r="Z939" s="3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row>
    <row r="940" spans="1:57" ht="15.75" customHeight="1" x14ac:dyDescent="0.2">
      <c r="A940" s="34"/>
      <c r="B940" s="34"/>
      <c r="C940" s="33"/>
      <c r="D940" s="34"/>
      <c r="E940" s="34"/>
      <c r="F940" s="34"/>
      <c r="G940" s="34"/>
      <c r="H940" s="33"/>
      <c r="I940" s="33"/>
      <c r="J940" s="33"/>
      <c r="K940" s="34"/>
      <c r="L940" s="34"/>
      <c r="M940" s="34"/>
      <c r="N940" s="34"/>
      <c r="O940" s="34"/>
      <c r="P940" s="34"/>
      <c r="Q940" s="34"/>
      <c r="R940" s="34"/>
      <c r="S940" s="34"/>
      <c r="T940" s="34"/>
      <c r="U940" s="34"/>
      <c r="V940" s="34"/>
      <c r="W940" s="34"/>
      <c r="X940" s="34"/>
      <c r="Y940" s="34"/>
      <c r="Z940" s="3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row>
    <row r="941" spans="1:57" ht="15.75" customHeight="1" x14ac:dyDescent="0.2">
      <c r="A941" s="34"/>
      <c r="B941" s="34"/>
      <c r="C941" s="33"/>
      <c r="D941" s="34"/>
      <c r="E941" s="34"/>
      <c r="F941" s="34"/>
      <c r="G941" s="34"/>
      <c r="H941" s="33"/>
      <c r="I941" s="33"/>
      <c r="J941" s="33"/>
      <c r="K941" s="34"/>
      <c r="L941" s="34"/>
      <c r="M941" s="34"/>
      <c r="N941" s="34"/>
      <c r="O941" s="34"/>
      <c r="P941" s="34"/>
      <c r="Q941" s="34"/>
      <c r="R941" s="34"/>
      <c r="S941" s="34"/>
      <c r="T941" s="34"/>
      <c r="U941" s="34"/>
      <c r="V941" s="34"/>
      <c r="W941" s="34"/>
      <c r="X941" s="34"/>
      <c r="Y941" s="34"/>
      <c r="Z941" s="3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row>
    <row r="942" spans="1:57" ht="15.75" customHeight="1" x14ac:dyDescent="0.2">
      <c r="A942" s="34"/>
      <c r="B942" s="34"/>
      <c r="C942" s="33"/>
      <c r="D942" s="34"/>
      <c r="E942" s="34"/>
      <c r="F942" s="34"/>
      <c r="G942" s="34"/>
      <c r="H942" s="33"/>
      <c r="I942" s="33"/>
      <c r="J942" s="33"/>
      <c r="K942" s="34"/>
      <c r="L942" s="34"/>
      <c r="M942" s="34"/>
      <c r="N942" s="34"/>
      <c r="O942" s="34"/>
      <c r="P942" s="34"/>
      <c r="Q942" s="34"/>
      <c r="R942" s="34"/>
      <c r="S942" s="34"/>
      <c r="T942" s="34"/>
      <c r="U942" s="34"/>
      <c r="V942" s="34"/>
      <c r="W942" s="34"/>
      <c r="X942" s="34"/>
      <c r="Y942" s="34"/>
      <c r="Z942" s="3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row>
    <row r="943" spans="1:57" ht="15.75" customHeight="1" x14ac:dyDescent="0.2">
      <c r="A943" s="34"/>
      <c r="B943" s="34"/>
      <c r="C943" s="33"/>
      <c r="D943" s="34"/>
      <c r="E943" s="34"/>
      <c r="F943" s="34"/>
      <c r="G943" s="34"/>
      <c r="H943" s="33"/>
      <c r="I943" s="33"/>
      <c r="J943" s="33"/>
      <c r="K943" s="34"/>
      <c r="L943" s="34"/>
      <c r="M943" s="34"/>
      <c r="N943" s="34"/>
      <c r="O943" s="34"/>
      <c r="P943" s="34"/>
      <c r="Q943" s="34"/>
      <c r="R943" s="34"/>
      <c r="S943" s="34"/>
      <c r="T943" s="34"/>
      <c r="U943" s="34"/>
      <c r="V943" s="34"/>
      <c r="W943" s="34"/>
      <c r="X943" s="34"/>
      <c r="Y943" s="34"/>
      <c r="Z943" s="3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row>
    <row r="944" spans="1:57" ht="15.75" customHeight="1" x14ac:dyDescent="0.2">
      <c r="A944" s="34"/>
      <c r="B944" s="34"/>
      <c r="C944" s="33"/>
      <c r="D944" s="34"/>
      <c r="E944" s="34"/>
      <c r="F944" s="34"/>
      <c r="G944" s="34"/>
      <c r="H944" s="33"/>
      <c r="I944" s="33"/>
      <c r="J944" s="33"/>
      <c r="K944" s="34"/>
      <c r="L944" s="34"/>
      <c r="M944" s="34"/>
      <c r="N944" s="34"/>
      <c r="O944" s="34"/>
      <c r="P944" s="34"/>
      <c r="Q944" s="34"/>
      <c r="R944" s="34"/>
      <c r="S944" s="34"/>
      <c r="T944" s="34"/>
      <c r="U944" s="34"/>
      <c r="V944" s="34"/>
      <c r="W944" s="34"/>
      <c r="X944" s="34"/>
      <c r="Y944" s="34"/>
      <c r="Z944" s="3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row>
    <row r="945" spans="1:57" ht="15.75" customHeight="1" x14ac:dyDescent="0.2">
      <c r="A945" s="34"/>
      <c r="B945" s="34"/>
      <c r="C945" s="33"/>
      <c r="D945" s="34"/>
      <c r="E945" s="34"/>
      <c r="F945" s="34"/>
      <c r="G945" s="34"/>
      <c r="H945" s="33"/>
      <c r="I945" s="33"/>
      <c r="J945" s="33"/>
      <c r="K945" s="34"/>
      <c r="L945" s="34"/>
      <c r="M945" s="34"/>
      <c r="N945" s="34"/>
      <c r="O945" s="34"/>
      <c r="P945" s="34"/>
      <c r="Q945" s="34"/>
      <c r="R945" s="34"/>
      <c r="S945" s="34"/>
      <c r="T945" s="34"/>
      <c r="U945" s="34"/>
      <c r="V945" s="34"/>
      <c r="W945" s="34"/>
      <c r="X945" s="34"/>
      <c r="Y945" s="34"/>
      <c r="Z945" s="3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row>
    <row r="946" spans="1:57" ht="15.75" customHeight="1" x14ac:dyDescent="0.2">
      <c r="A946" s="34"/>
      <c r="B946" s="34"/>
      <c r="C946" s="33"/>
      <c r="D946" s="34"/>
      <c r="E946" s="34"/>
      <c r="F946" s="34"/>
      <c r="G946" s="34"/>
      <c r="H946" s="33"/>
      <c r="I946" s="33"/>
      <c r="J946" s="33"/>
      <c r="K946" s="34"/>
      <c r="L946" s="34"/>
      <c r="M946" s="34"/>
      <c r="N946" s="34"/>
      <c r="O946" s="34"/>
      <c r="P946" s="34"/>
      <c r="Q946" s="34"/>
      <c r="R946" s="34"/>
      <c r="S946" s="34"/>
      <c r="T946" s="34"/>
      <c r="U946" s="34"/>
      <c r="V946" s="34"/>
      <c r="W946" s="34"/>
      <c r="X946" s="34"/>
      <c r="Y946" s="34"/>
      <c r="Z946" s="3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row>
    <row r="947" spans="1:57" ht="15.75" customHeight="1" x14ac:dyDescent="0.2">
      <c r="A947" s="34"/>
      <c r="B947" s="34"/>
      <c r="C947" s="33"/>
      <c r="D947" s="34"/>
      <c r="E947" s="34"/>
      <c r="F947" s="34"/>
      <c r="G947" s="34"/>
      <c r="H947" s="33"/>
      <c r="I947" s="33"/>
      <c r="J947" s="33"/>
      <c r="K947" s="34"/>
      <c r="L947" s="34"/>
      <c r="M947" s="34"/>
      <c r="N947" s="34"/>
      <c r="O947" s="34"/>
      <c r="P947" s="34"/>
      <c r="Q947" s="34"/>
      <c r="R947" s="34"/>
      <c r="S947" s="34"/>
      <c r="T947" s="34"/>
      <c r="U947" s="34"/>
      <c r="V947" s="34"/>
      <c r="W947" s="34"/>
      <c r="X947" s="34"/>
      <c r="Y947" s="34"/>
      <c r="Z947" s="3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row>
    <row r="948" spans="1:57" ht="15.75" customHeight="1" x14ac:dyDescent="0.2">
      <c r="A948" s="34"/>
      <c r="B948" s="34"/>
      <c r="C948" s="33"/>
      <c r="D948" s="34"/>
      <c r="E948" s="34"/>
      <c r="F948" s="34"/>
      <c r="G948" s="34"/>
      <c r="H948" s="33"/>
      <c r="I948" s="33"/>
      <c r="J948" s="33"/>
      <c r="K948" s="34"/>
      <c r="L948" s="34"/>
      <c r="M948" s="34"/>
      <c r="N948" s="34"/>
      <c r="O948" s="34"/>
      <c r="P948" s="34"/>
      <c r="Q948" s="34"/>
      <c r="R948" s="34"/>
      <c r="S948" s="34"/>
      <c r="T948" s="34"/>
      <c r="U948" s="34"/>
      <c r="V948" s="34"/>
      <c r="W948" s="34"/>
      <c r="X948" s="34"/>
      <c r="Y948" s="34"/>
      <c r="Z948" s="3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row>
    <row r="949" spans="1:57" ht="15.75" customHeight="1" x14ac:dyDescent="0.2">
      <c r="A949" s="34"/>
      <c r="B949" s="34"/>
      <c r="C949" s="33"/>
      <c r="D949" s="34"/>
      <c r="E949" s="34"/>
      <c r="F949" s="34"/>
      <c r="G949" s="34"/>
      <c r="H949" s="33"/>
      <c r="I949" s="33"/>
      <c r="J949" s="33"/>
      <c r="K949" s="34"/>
      <c r="L949" s="34"/>
      <c r="M949" s="34"/>
      <c r="N949" s="34"/>
      <c r="O949" s="34"/>
      <c r="P949" s="34"/>
      <c r="Q949" s="34"/>
      <c r="R949" s="34"/>
      <c r="S949" s="34"/>
      <c r="T949" s="34"/>
      <c r="U949" s="34"/>
      <c r="V949" s="34"/>
      <c r="W949" s="34"/>
      <c r="X949" s="34"/>
      <c r="Y949" s="34"/>
      <c r="Z949" s="3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row>
    <row r="950" spans="1:57" ht="15.75" customHeight="1" x14ac:dyDescent="0.2">
      <c r="A950" s="34"/>
      <c r="B950" s="34"/>
      <c r="C950" s="33"/>
      <c r="D950" s="34"/>
      <c r="E950" s="34"/>
      <c r="F950" s="34"/>
      <c r="G950" s="34"/>
      <c r="H950" s="33"/>
      <c r="I950" s="33"/>
      <c r="J950" s="33"/>
      <c r="K950" s="34"/>
      <c r="L950" s="34"/>
      <c r="M950" s="34"/>
      <c r="N950" s="34"/>
      <c r="O950" s="34"/>
      <c r="P950" s="34"/>
      <c r="Q950" s="34"/>
      <c r="R950" s="34"/>
      <c r="S950" s="34"/>
      <c r="T950" s="34"/>
      <c r="U950" s="34"/>
      <c r="V950" s="34"/>
      <c r="W950" s="34"/>
      <c r="X950" s="34"/>
      <c r="Y950" s="34"/>
      <c r="Z950" s="3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row>
    <row r="951" spans="1:57" ht="15.75" customHeight="1" x14ac:dyDescent="0.2">
      <c r="A951" s="34"/>
      <c r="B951" s="34"/>
      <c r="C951" s="33"/>
      <c r="D951" s="34"/>
      <c r="E951" s="34"/>
      <c r="F951" s="34"/>
      <c r="G951" s="34"/>
      <c r="H951" s="33"/>
      <c r="I951" s="33"/>
      <c r="J951" s="33"/>
      <c r="K951" s="34"/>
      <c r="L951" s="34"/>
      <c r="M951" s="34"/>
      <c r="N951" s="34"/>
      <c r="O951" s="34"/>
      <c r="P951" s="34"/>
      <c r="Q951" s="34"/>
      <c r="R951" s="34"/>
      <c r="S951" s="34"/>
      <c r="T951" s="34"/>
      <c r="U951" s="34"/>
      <c r="V951" s="34"/>
      <c r="W951" s="34"/>
      <c r="X951" s="34"/>
      <c r="Y951" s="34"/>
      <c r="Z951" s="3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row>
    <row r="952" spans="1:57" ht="15.75" customHeight="1" x14ac:dyDescent="0.2">
      <c r="A952" s="34"/>
      <c r="B952" s="34"/>
      <c r="C952" s="33"/>
      <c r="D952" s="34"/>
      <c r="E952" s="34"/>
      <c r="F952" s="34"/>
      <c r="G952" s="34"/>
      <c r="H952" s="33"/>
      <c r="I952" s="33"/>
      <c r="J952" s="33"/>
      <c r="K952" s="34"/>
      <c r="L952" s="34"/>
      <c r="M952" s="34"/>
      <c r="N952" s="34"/>
      <c r="O952" s="34"/>
      <c r="P952" s="34"/>
      <c r="Q952" s="34"/>
      <c r="R952" s="34"/>
      <c r="S952" s="34"/>
      <c r="T952" s="34"/>
      <c r="U952" s="34"/>
      <c r="V952" s="34"/>
      <c r="W952" s="34"/>
      <c r="X952" s="34"/>
      <c r="Y952" s="34"/>
      <c r="Z952" s="3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row>
    <row r="953" spans="1:57" ht="15.75" customHeight="1" x14ac:dyDescent="0.2">
      <c r="A953" s="34"/>
      <c r="B953" s="34"/>
      <c r="C953" s="33"/>
      <c r="D953" s="34"/>
      <c r="E953" s="34"/>
      <c r="F953" s="34"/>
      <c r="G953" s="34"/>
      <c r="H953" s="33"/>
      <c r="I953" s="33"/>
      <c r="J953" s="33"/>
      <c r="K953" s="34"/>
      <c r="L953" s="34"/>
      <c r="M953" s="34"/>
      <c r="N953" s="34"/>
      <c r="O953" s="34"/>
      <c r="P953" s="34"/>
      <c r="Q953" s="34"/>
      <c r="R953" s="34"/>
      <c r="S953" s="34"/>
      <c r="T953" s="34"/>
      <c r="U953" s="34"/>
      <c r="V953" s="34"/>
      <c r="W953" s="34"/>
      <c r="X953" s="34"/>
      <c r="Y953" s="34"/>
      <c r="Z953" s="3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row>
    <row r="954" spans="1:57" ht="15.75" customHeight="1" x14ac:dyDescent="0.2">
      <c r="A954" s="34"/>
      <c r="B954" s="34"/>
      <c r="C954" s="33"/>
      <c r="D954" s="34"/>
      <c r="E954" s="34"/>
      <c r="F954" s="34"/>
      <c r="G954" s="34"/>
      <c r="H954" s="33"/>
      <c r="I954" s="33"/>
      <c r="J954" s="33"/>
      <c r="K954" s="34"/>
      <c r="L954" s="34"/>
      <c r="M954" s="34"/>
      <c r="N954" s="34"/>
      <c r="O954" s="34"/>
      <c r="P954" s="34"/>
      <c r="Q954" s="34"/>
      <c r="R954" s="34"/>
      <c r="S954" s="34"/>
      <c r="T954" s="34"/>
      <c r="U954" s="34"/>
      <c r="V954" s="34"/>
      <c r="W954" s="34"/>
      <c r="X954" s="34"/>
      <c r="Y954" s="34"/>
      <c r="Z954" s="3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row>
    <row r="955" spans="1:57" ht="15.75" customHeight="1" x14ac:dyDescent="0.2">
      <c r="A955" s="34"/>
      <c r="B955" s="34"/>
      <c r="C955" s="33"/>
      <c r="D955" s="34"/>
      <c r="E955" s="34"/>
      <c r="F955" s="34"/>
      <c r="G955" s="34"/>
      <c r="H955" s="33"/>
      <c r="I955" s="33"/>
      <c r="J955" s="33"/>
      <c r="K955" s="34"/>
      <c r="L955" s="34"/>
      <c r="M955" s="34"/>
      <c r="N955" s="34"/>
      <c r="O955" s="34"/>
      <c r="P955" s="34"/>
      <c r="Q955" s="34"/>
      <c r="R955" s="34"/>
      <c r="S955" s="34"/>
      <c r="T955" s="34"/>
      <c r="U955" s="34"/>
      <c r="V955" s="34"/>
      <c r="W955" s="34"/>
      <c r="X955" s="34"/>
      <c r="Y955" s="34"/>
      <c r="Z955" s="3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row>
    <row r="956" spans="1:57" ht="15.75" customHeight="1" x14ac:dyDescent="0.2">
      <c r="A956" s="34"/>
      <c r="B956" s="34"/>
      <c r="C956" s="33"/>
      <c r="D956" s="34"/>
      <c r="E956" s="34"/>
      <c r="F956" s="34"/>
      <c r="G956" s="34"/>
      <c r="H956" s="33"/>
      <c r="I956" s="33"/>
      <c r="J956" s="33"/>
      <c r="K956" s="34"/>
      <c r="L956" s="34"/>
      <c r="M956" s="34"/>
      <c r="N956" s="34"/>
      <c r="O956" s="34"/>
      <c r="P956" s="34"/>
      <c r="Q956" s="34"/>
      <c r="R956" s="34"/>
      <c r="S956" s="34"/>
      <c r="T956" s="34"/>
      <c r="U956" s="34"/>
      <c r="V956" s="34"/>
      <c r="W956" s="34"/>
      <c r="X956" s="34"/>
      <c r="Y956" s="34"/>
      <c r="Z956" s="3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row>
    <row r="957" spans="1:57" ht="15.75" customHeight="1" x14ac:dyDescent="0.2">
      <c r="A957" s="34"/>
      <c r="B957" s="34"/>
      <c r="C957" s="33"/>
      <c r="D957" s="34"/>
      <c r="E957" s="34"/>
      <c r="F957" s="34"/>
      <c r="G957" s="34"/>
      <c r="H957" s="33"/>
      <c r="I957" s="33"/>
      <c r="J957" s="33"/>
      <c r="K957" s="34"/>
      <c r="L957" s="34"/>
      <c r="M957" s="34"/>
      <c r="N957" s="34"/>
      <c r="O957" s="34"/>
      <c r="P957" s="34"/>
      <c r="Q957" s="34"/>
      <c r="R957" s="34"/>
      <c r="S957" s="34"/>
      <c r="T957" s="34"/>
      <c r="U957" s="34"/>
      <c r="V957" s="34"/>
      <c r="W957" s="34"/>
      <c r="X957" s="34"/>
      <c r="Y957" s="34"/>
      <c r="Z957" s="3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row>
    <row r="958" spans="1:57" ht="15.75" customHeight="1" x14ac:dyDescent="0.2">
      <c r="A958" s="34"/>
      <c r="B958" s="34"/>
      <c r="C958" s="33"/>
      <c r="D958" s="34"/>
      <c r="E958" s="34"/>
      <c r="F958" s="34"/>
      <c r="G958" s="34"/>
      <c r="H958" s="33"/>
      <c r="I958" s="33"/>
      <c r="J958" s="33"/>
      <c r="K958" s="34"/>
      <c r="L958" s="34"/>
      <c r="M958" s="34"/>
      <c r="N958" s="34"/>
      <c r="O958" s="34"/>
      <c r="P958" s="34"/>
      <c r="Q958" s="34"/>
      <c r="R958" s="34"/>
      <c r="S958" s="34"/>
      <c r="T958" s="34"/>
      <c r="U958" s="34"/>
      <c r="V958" s="34"/>
      <c r="W958" s="34"/>
      <c r="X958" s="34"/>
      <c r="Y958" s="34"/>
      <c r="Z958" s="3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row>
    <row r="959" spans="1:57" ht="15.75" customHeight="1" x14ac:dyDescent="0.2">
      <c r="A959" s="34"/>
      <c r="B959" s="34"/>
      <c r="C959" s="33"/>
      <c r="D959" s="34"/>
      <c r="E959" s="34"/>
      <c r="F959" s="34"/>
      <c r="G959" s="34"/>
      <c r="H959" s="33"/>
      <c r="I959" s="33"/>
      <c r="J959" s="33"/>
      <c r="K959" s="34"/>
      <c r="L959" s="34"/>
      <c r="M959" s="34"/>
      <c r="N959" s="34"/>
      <c r="O959" s="34"/>
      <c r="P959" s="34"/>
      <c r="Q959" s="34"/>
      <c r="R959" s="34"/>
      <c r="S959" s="34"/>
      <c r="T959" s="34"/>
      <c r="U959" s="34"/>
      <c r="V959" s="34"/>
      <c r="W959" s="34"/>
      <c r="X959" s="34"/>
      <c r="Y959" s="34"/>
      <c r="Z959" s="3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row>
    <row r="960" spans="1:57" ht="15.75" customHeight="1" x14ac:dyDescent="0.2">
      <c r="A960" s="34"/>
      <c r="B960" s="34"/>
      <c r="C960" s="33"/>
      <c r="D960" s="34"/>
      <c r="E960" s="34"/>
      <c r="F960" s="34"/>
      <c r="G960" s="34"/>
      <c r="H960" s="33"/>
      <c r="I960" s="33"/>
      <c r="J960" s="33"/>
      <c r="K960" s="34"/>
      <c r="L960" s="34"/>
      <c r="M960" s="34"/>
      <c r="N960" s="34"/>
      <c r="O960" s="34"/>
      <c r="P960" s="34"/>
      <c r="Q960" s="34"/>
      <c r="R960" s="34"/>
      <c r="S960" s="34"/>
      <c r="T960" s="34"/>
      <c r="U960" s="34"/>
      <c r="V960" s="34"/>
      <c r="W960" s="34"/>
      <c r="X960" s="34"/>
      <c r="Y960" s="34"/>
      <c r="Z960" s="3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row>
    <row r="961" spans="1:57" ht="15.75" customHeight="1" x14ac:dyDescent="0.2">
      <c r="A961" s="34"/>
      <c r="B961" s="34"/>
      <c r="C961" s="33"/>
      <c r="D961" s="34"/>
      <c r="E961" s="34"/>
      <c r="F961" s="34"/>
      <c r="G961" s="34"/>
      <c r="H961" s="33"/>
      <c r="I961" s="33"/>
      <c r="J961" s="33"/>
      <c r="K961" s="34"/>
      <c r="L961" s="34"/>
      <c r="M961" s="34"/>
      <c r="N961" s="34"/>
      <c r="O961" s="34"/>
      <c r="P961" s="34"/>
      <c r="Q961" s="34"/>
      <c r="R961" s="34"/>
      <c r="S961" s="34"/>
      <c r="T961" s="34"/>
      <c r="U961" s="34"/>
      <c r="V961" s="34"/>
      <c r="W961" s="34"/>
      <c r="X961" s="34"/>
      <c r="Y961" s="34"/>
      <c r="Z961" s="3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row>
    <row r="962" spans="1:57" ht="15.75" customHeight="1" x14ac:dyDescent="0.2">
      <c r="A962" s="34"/>
      <c r="B962" s="34"/>
      <c r="C962" s="33"/>
      <c r="D962" s="34"/>
      <c r="E962" s="34"/>
      <c r="F962" s="34"/>
      <c r="G962" s="34"/>
      <c r="H962" s="33"/>
      <c r="I962" s="33"/>
      <c r="J962" s="33"/>
      <c r="K962" s="34"/>
      <c r="L962" s="34"/>
      <c r="M962" s="34"/>
      <c r="N962" s="34"/>
      <c r="O962" s="34"/>
      <c r="P962" s="34"/>
      <c r="Q962" s="34"/>
      <c r="R962" s="34"/>
      <c r="S962" s="34"/>
      <c r="T962" s="34"/>
      <c r="U962" s="34"/>
      <c r="V962" s="34"/>
      <c r="W962" s="34"/>
      <c r="X962" s="34"/>
      <c r="Y962" s="34"/>
      <c r="Z962" s="3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row>
    <row r="963" spans="1:57" ht="15.75" customHeight="1" x14ac:dyDescent="0.2">
      <c r="A963" s="34"/>
      <c r="B963" s="34"/>
      <c r="C963" s="33"/>
      <c r="D963" s="34"/>
      <c r="E963" s="34"/>
      <c r="F963" s="34"/>
      <c r="G963" s="34"/>
      <c r="H963" s="33"/>
      <c r="I963" s="33"/>
      <c r="J963" s="33"/>
      <c r="K963" s="34"/>
      <c r="L963" s="34"/>
      <c r="M963" s="34"/>
      <c r="N963" s="34"/>
      <c r="O963" s="34"/>
      <c r="P963" s="34"/>
      <c r="Q963" s="34"/>
      <c r="R963" s="34"/>
      <c r="S963" s="34"/>
      <c r="T963" s="34"/>
      <c r="U963" s="34"/>
      <c r="V963" s="34"/>
      <c r="W963" s="34"/>
      <c r="X963" s="34"/>
      <c r="Y963" s="34"/>
      <c r="Z963" s="3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row>
    <row r="964" spans="1:57" ht="15.75" customHeight="1" x14ac:dyDescent="0.2">
      <c r="A964" s="34"/>
      <c r="B964" s="34"/>
      <c r="C964" s="33"/>
      <c r="D964" s="34"/>
      <c r="E964" s="34"/>
      <c r="F964" s="34"/>
      <c r="G964" s="34"/>
      <c r="H964" s="33"/>
      <c r="I964" s="33"/>
      <c r="J964" s="33"/>
      <c r="K964" s="34"/>
      <c r="L964" s="34"/>
      <c r="M964" s="34"/>
      <c r="N964" s="34"/>
      <c r="O964" s="34"/>
      <c r="P964" s="34"/>
      <c r="Q964" s="34"/>
      <c r="R964" s="34"/>
      <c r="S964" s="34"/>
      <c r="T964" s="34"/>
      <c r="U964" s="34"/>
      <c r="V964" s="34"/>
      <c r="W964" s="34"/>
      <c r="X964" s="34"/>
      <c r="Y964" s="34"/>
      <c r="Z964" s="3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row>
    <row r="965" spans="1:57" ht="15.75" customHeight="1" x14ac:dyDescent="0.2">
      <c r="A965" s="34"/>
      <c r="B965" s="34"/>
      <c r="C965" s="33"/>
      <c r="D965" s="34"/>
      <c r="E965" s="34"/>
      <c r="F965" s="34"/>
      <c r="G965" s="34"/>
      <c r="H965" s="33"/>
      <c r="I965" s="33"/>
      <c r="J965" s="33"/>
      <c r="K965" s="34"/>
      <c r="L965" s="34"/>
      <c r="M965" s="34"/>
      <c r="N965" s="34"/>
      <c r="O965" s="34"/>
      <c r="P965" s="34"/>
      <c r="Q965" s="34"/>
      <c r="R965" s="34"/>
      <c r="S965" s="34"/>
      <c r="T965" s="34"/>
      <c r="U965" s="34"/>
      <c r="V965" s="34"/>
      <c r="W965" s="34"/>
      <c r="X965" s="34"/>
      <c r="Y965" s="34"/>
      <c r="Z965" s="3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row>
    <row r="966" spans="1:57" ht="15.75" customHeight="1" x14ac:dyDescent="0.2">
      <c r="A966" s="34"/>
      <c r="B966" s="34"/>
      <c r="C966" s="33"/>
      <c r="D966" s="34"/>
      <c r="E966" s="34"/>
      <c r="F966" s="34"/>
      <c r="G966" s="34"/>
      <c r="H966" s="33"/>
      <c r="I966" s="33"/>
      <c r="J966" s="33"/>
      <c r="K966" s="34"/>
      <c r="L966" s="34"/>
      <c r="M966" s="34"/>
      <c r="N966" s="34"/>
      <c r="O966" s="34"/>
      <c r="P966" s="34"/>
      <c r="Q966" s="34"/>
      <c r="R966" s="34"/>
      <c r="S966" s="34"/>
      <c r="T966" s="34"/>
      <c r="U966" s="34"/>
      <c r="V966" s="34"/>
      <c r="W966" s="34"/>
      <c r="X966" s="34"/>
      <c r="Y966" s="34"/>
      <c r="Z966" s="3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row>
    <row r="967" spans="1:57" ht="15.75" customHeight="1" x14ac:dyDescent="0.2">
      <c r="A967" s="34"/>
      <c r="B967" s="34"/>
      <c r="C967" s="33"/>
      <c r="D967" s="34"/>
      <c r="E967" s="34"/>
      <c r="F967" s="34"/>
      <c r="G967" s="34"/>
      <c r="H967" s="33"/>
      <c r="I967" s="33"/>
      <c r="J967" s="33"/>
      <c r="K967" s="34"/>
      <c r="L967" s="34"/>
      <c r="M967" s="34"/>
      <c r="N967" s="34"/>
      <c r="O967" s="34"/>
      <c r="P967" s="34"/>
      <c r="Q967" s="34"/>
      <c r="R967" s="34"/>
      <c r="S967" s="34"/>
      <c r="T967" s="34"/>
      <c r="U967" s="34"/>
      <c r="V967" s="34"/>
      <c r="W967" s="34"/>
      <c r="X967" s="34"/>
      <c r="Y967" s="34"/>
      <c r="Z967" s="3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row>
    <row r="968" spans="1:57" ht="15.75" customHeight="1" x14ac:dyDescent="0.2">
      <c r="A968" s="34"/>
      <c r="B968" s="34"/>
      <c r="C968" s="33"/>
      <c r="D968" s="34"/>
      <c r="E968" s="34"/>
      <c r="F968" s="34"/>
      <c r="G968" s="34"/>
      <c r="H968" s="33"/>
      <c r="I968" s="33"/>
      <c r="J968" s="33"/>
      <c r="K968" s="34"/>
      <c r="L968" s="34"/>
      <c r="M968" s="34"/>
      <c r="N968" s="34"/>
      <c r="O968" s="34"/>
      <c r="P968" s="34"/>
      <c r="Q968" s="34"/>
      <c r="R968" s="34"/>
      <c r="S968" s="34"/>
      <c r="T968" s="34"/>
      <c r="U968" s="34"/>
      <c r="V968" s="34"/>
      <c r="W968" s="34"/>
      <c r="X968" s="34"/>
      <c r="Y968" s="34"/>
      <c r="Z968" s="3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row>
    <row r="969" spans="1:57" ht="15.75" customHeight="1" x14ac:dyDescent="0.2">
      <c r="A969" s="34"/>
      <c r="B969" s="34"/>
      <c r="C969" s="33"/>
      <c r="D969" s="34"/>
      <c r="E969" s="34"/>
      <c r="F969" s="34"/>
      <c r="G969" s="34"/>
      <c r="H969" s="33"/>
      <c r="I969" s="33"/>
      <c r="J969" s="33"/>
      <c r="K969" s="34"/>
      <c r="L969" s="34"/>
      <c r="M969" s="34"/>
      <c r="N969" s="34"/>
      <c r="O969" s="34"/>
      <c r="P969" s="34"/>
      <c r="Q969" s="34"/>
      <c r="R969" s="34"/>
      <c r="S969" s="34"/>
      <c r="T969" s="34"/>
      <c r="U969" s="34"/>
      <c r="V969" s="34"/>
      <c r="W969" s="34"/>
      <c r="X969" s="34"/>
      <c r="Y969" s="34"/>
      <c r="Z969" s="3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row>
    <row r="970" spans="1:57" ht="15.75" customHeight="1" x14ac:dyDescent="0.2">
      <c r="A970" s="34"/>
      <c r="B970" s="34"/>
      <c r="C970" s="33"/>
      <c r="D970" s="34"/>
      <c r="E970" s="34"/>
      <c r="F970" s="34"/>
      <c r="G970" s="34"/>
      <c r="H970" s="33"/>
      <c r="I970" s="33"/>
      <c r="J970" s="33"/>
      <c r="K970" s="34"/>
      <c r="L970" s="34"/>
      <c r="M970" s="34"/>
      <c r="N970" s="34"/>
      <c r="O970" s="34"/>
      <c r="P970" s="34"/>
      <c r="Q970" s="34"/>
      <c r="R970" s="34"/>
      <c r="S970" s="34"/>
      <c r="T970" s="34"/>
      <c r="U970" s="34"/>
      <c r="V970" s="34"/>
      <c r="W970" s="34"/>
      <c r="X970" s="34"/>
      <c r="Y970" s="34"/>
      <c r="Z970" s="3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row>
    <row r="971" spans="1:57" ht="15.75" customHeight="1" x14ac:dyDescent="0.2">
      <c r="A971" s="34"/>
      <c r="B971" s="34"/>
      <c r="C971" s="33"/>
      <c r="D971" s="34"/>
      <c r="E971" s="34"/>
      <c r="F971" s="34"/>
      <c r="G971" s="34"/>
      <c r="H971" s="33"/>
      <c r="I971" s="33"/>
      <c r="J971" s="33"/>
      <c r="K971" s="34"/>
      <c r="L971" s="34"/>
      <c r="M971" s="34"/>
      <c r="N971" s="34"/>
      <c r="O971" s="34"/>
      <c r="P971" s="34"/>
      <c r="Q971" s="34"/>
      <c r="R971" s="34"/>
      <c r="S971" s="34"/>
      <c r="T971" s="34"/>
      <c r="U971" s="34"/>
      <c r="V971" s="34"/>
      <c r="W971" s="34"/>
      <c r="X971" s="34"/>
      <c r="Y971" s="34"/>
      <c r="Z971" s="3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row>
    <row r="972" spans="1:57" ht="15.75" customHeight="1" x14ac:dyDescent="0.2">
      <c r="A972" s="34"/>
      <c r="B972" s="34"/>
      <c r="C972" s="33"/>
      <c r="D972" s="34"/>
      <c r="E972" s="34"/>
      <c r="F972" s="34"/>
      <c r="G972" s="34"/>
      <c r="H972" s="33"/>
      <c r="I972" s="33"/>
      <c r="J972" s="33"/>
      <c r="K972" s="34"/>
      <c r="L972" s="34"/>
      <c r="M972" s="34"/>
      <c r="N972" s="34"/>
      <c r="O972" s="34"/>
      <c r="P972" s="34"/>
      <c r="Q972" s="34"/>
      <c r="R972" s="34"/>
      <c r="S972" s="34"/>
      <c r="T972" s="34"/>
      <c r="U972" s="34"/>
      <c r="V972" s="34"/>
      <c r="W972" s="34"/>
      <c r="X972" s="34"/>
      <c r="Y972" s="34"/>
      <c r="Z972" s="3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row>
    <row r="973" spans="1:57" ht="15.75" customHeight="1" x14ac:dyDescent="0.2">
      <c r="A973" s="34"/>
      <c r="B973" s="34"/>
      <c r="C973" s="33"/>
      <c r="D973" s="34"/>
      <c r="E973" s="34"/>
      <c r="F973" s="34"/>
      <c r="G973" s="34"/>
      <c r="H973" s="33"/>
      <c r="I973" s="33"/>
      <c r="J973" s="33"/>
      <c r="K973" s="34"/>
      <c r="L973" s="34"/>
      <c r="M973" s="34"/>
      <c r="N973" s="34"/>
      <c r="O973" s="34"/>
      <c r="P973" s="34"/>
      <c r="Q973" s="34"/>
      <c r="R973" s="34"/>
      <c r="S973" s="34"/>
      <c r="T973" s="34"/>
      <c r="U973" s="34"/>
      <c r="V973" s="34"/>
      <c r="W973" s="34"/>
      <c r="X973" s="34"/>
      <c r="Y973" s="34"/>
      <c r="Z973" s="3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row>
    <row r="974" spans="1:57" ht="15.75" customHeight="1" x14ac:dyDescent="0.2">
      <c r="A974" s="34"/>
      <c r="B974" s="34"/>
      <c r="C974" s="33"/>
      <c r="D974" s="34"/>
      <c r="E974" s="34"/>
      <c r="F974" s="34"/>
      <c r="G974" s="34"/>
      <c r="H974" s="33"/>
      <c r="I974" s="33"/>
      <c r="J974" s="33"/>
      <c r="K974" s="34"/>
      <c r="L974" s="34"/>
      <c r="M974" s="34"/>
      <c r="N974" s="34"/>
      <c r="O974" s="34"/>
      <c r="P974" s="34"/>
      <c r="Q974" s="34"/>
      <c r="R974" s="34"/>
      <c r="S974" s="34"/>
      <c r="T974" s="34"/>
      <c r="U974" s="34"/>
      <c r="V974" s="34"/>
      <c r="W974" s="34"/>
      <c r="X974" s="34"/>
      <c r="Y974" s="34"/>
      <c r="Z974" s="3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row>
    <row r="975" spans="1:57" ht="15.75" customHeight="1" x14ac:dyDescent="0.2">
      <c r="A975" s="34"/>
      <c r="B975" s="34"/>
      <c r="C975" s="33"/>
      <c r="D975" s="34"/>
      <c r="E975" s="34"/>
      <c r="F975" s="34"/>
      <c r="G975" s="34"/>
      <c r="H975" s="33"/>
      <c r="I975" s="33"/>
      <c r="J975" s="33"/>
      <c r="K975" s="34"/>
      <c r="L975" s="34"/>
      <c r="M975" s="34"/>
      <c r="N975" s="34"/>
      <c r="O975" s="34"/>
      <c r="P975" s="34"/>
      <c r="Q975" s="34"/>
      <c r="R975" s="34"/>
      <c r="S975" s="34"/>
      <c r="T975" s="34"/>
      <c r="U975" s="34"/>
      <c r="V975" s="34"/>
      <c r="W975" s="34"/>
      <c r="X975" s="34"/>
      <c r="Y975" s="34"/>
      <c r="Z975" s="3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row>
    <row r="976" spans="1:57" ht="15.75" customHeight="1" x14ac:dyDescent="0.2">
      <c r="A976" s="34"/>
      <c r="B976" s="34"/>
      <c r="C976" s="33"/>
      <c r="D976" s="34"/>
      <c r="E976" s="34"/>
      <c r="F976" s="34"/>
      <c r="G976" s="34"/>
      <c r="H976" s="33"/>
      <c r="I976" s="33"/>
      <c r="J976" s="33"/>
      <c r="K976" s="34"/>
      <c r="L976" s="34"/>
      <c r="M976" s="34"/>
      <c r="N976" s="34"/>
      <c r="O976" s="34"/>
      <c r="P976" s="34"/>
      <c r="Q976" s="34"/>
      <c r="R976" s="34"/>
      <c r="S976" s="34"/>
      <c r="T976" s="34"/>
      <c r="U976" s="34"/>
      <c r="V976" s="34"/>
      <c r="W976" s="34"/>
      <c r="X976" s="34"/>
      <c r="Y976" s="34"/>
      <c r="Z976" s="3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row>
    <row r="977" spans="1:57" ht="15.75" customHeight="1" x14ac:dyDescent="0.2">
      <c r="A977" s="34"/>
      <c r="B977" s="34"/>
      <c r="C977" s="33"/>
      <c r="D977" s="34"/>
      <c r="E977" s="34"/>
      <c r="F977" s="34"/>
      <c r="G977" s="34"/>
      <c r="H977" s="33"/>
      <c r="I977" s="33"/>
      <c r="J977" s="33"/>
      <c r="K977" s="34"/>
      <c r="L977" s="34"/>
      <c r="M977" s="34"/>
      <c r="N977" s="34"/>
      <c r="O977" s="34"/>
      <c r="P977" s="34"/>
      <c r="Q977" s="34"/>
      <c r="R977" s="34"/>
      <c r="S977" s="34"/>
      <c r="T977" s="34"/>
      <c r="U977" s="34"/>
      <c r="V977" s="34"/>
      <c r="W977" s="34"/>
      <c r="X977" s="34"/>
      <c r="Y977" s="34"/>
      <c r="Z977" s="3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row>
    <row r="978" spans="1:57" ht="15.75" customHeight="1" x14ac:dyDescent="0.2">
      <c r="A978" s="34"/>
      <c r="B978" s="34"/>
      <c r="C978" s="33"/>
      <c r="D978" s="34"/>
      <c r="E978" s="34"/>
      <c r="F978" s="34"/>
      <c r="G978" s="34"/>
      <c r="H978" s="33"/>
      <c r="I978" s="33"/>
      <c r="J978" s="33"/>
      <c r="K978" s="34"/>
      <c r="L978" s="34"/>
      <c r="M978" s="34"/>
      <c r="N978" s="34"/>
      <c r="O978" s="34"/>
      <c r="P978" s="34"/>
      <c r="Q978" s="34"/>
      <c r="R978" s="34"/>
      <c r="S978" s="34"/>
      <c r="T978" s="34"/>
      <c r="U978" s="34"/>
      <c r="V978" s="34"/>
      <c r="W978" s="34"/>
      <c r="X978" s="34"/>
      <c r="Y978" s="34"/>
      <c r="Z978" s="3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row>
    <row r="979" spans="1:57" ht="15.75" customHeight="1" x14ac:dyDescent="0.2">
      <c r="A979" s="34"/>
      <c r="B979" s="34"/>
      <c r="C979" s="33"/>
      <c r="D979" s="34"/>
      <c r="E979" s="34"/>
      <c r="F979" s="34"/>
      <c r="G979" s="34"/>
      <c r="H979" s="33"/>
      <c r="I979" s="33"/>
      <c r="J979" s="33"/>
      <c r="K979" s="34"/>
      <c r="L979" s="34"/>
      <c r="M979" s="34"/>
      <c r="N979" s="34"/>
      <c r="O979" s="34"/>
      <c r="P979" s="34"/>
      <c r="Q979" s="34"/>
      <c r="R979" s="34"/>
      <c r="S979" s="34"/>
      <c r="T979" s="34"/>
      <c r="U979" s="34"/>
      <c r="V979" s="34"/>
      <c r="W979" s="34"/>
      <c r="X979" s="34"/>
      <c r="Y979" s="34"/>
      <c r="Z979" s="3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row>
    <row r="980" spans="1:57" ht="15.75" customHeight="1" x14ac:dyDescent="0.2">
      <c r="A980" s="34"/>
      <c r="B980" s="34"/>
      <c r="C980" s="33"/>
      <c r="D980" s="34"/>
      <c r="E980" s="34"/>
      <c r="F980" s="34"/>
      <c r="G980" s="34"/>
      <c r="H980" s="33"/>
      <c r="I980" s="33"/>
      <c r="J980" s="33"/>
      <c r="K980" s="34"/>
      <c r="L980" s="34"/>
      <c r="M980" s="34"/>
      <c r="N980" s="34"/>
      <c r="O980" s="34"/>
      <c r="P980" s="34"/>
      <c r="Q980" s="34"/>
      <c r="R980" s="34"/>
      <c r="S980" s="34"/>
      <c r="T980" s="34"/>
      <c r="U980" s="34"/>
      <c r="V980" s="34"/>
      <c r="W980" s="34"/>
      <c r="X980" s="34"/>
      <c r="Y980" s="34"/>
      <c r="Z980" s="3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row>
    <row r="981" spans="1:57" ht="15.75" customHeight="1" x14ac:dyDescent="0.2">
      <c r="A981" s="34"/>
      <c r="B981" s="34"/>
      <c r="C981" s="33"/>
      <c r="D981" s="34"/>
      <c r="E981" s="34"/>
      <c r="F981" s="34"/>
      <c r="G981" s="34"/>
      <c r="H981" s="33"/>
      <c r="I981" s="33"/>
      <c r="J981" s="33"/>
      <c r="K981" s="34"/>
      <c r="L981" s="34"/>
      <c r="M981" s="34"/>
      <c r="N981" s="34"/>
      <c r="O981" s="34"/>
      <c r="P981" s="34"/>
      <c r="Q981" s="34"/>
      <c r="R981" s="34"/>
      <c r="S981" s="34"/>
      <c r="T981" s="34"/>
      <c r="U981" s="34"/>
      <c r="V981" s="34"/>
      <c r="W981" s="34"/>
      <c r="X981" s="34"/>
      <c r="Y981" s="34"/>
      <c r="Z981" s="3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row>
    <row r="982" spans="1:57" ht="15.75" customHeight="1" x14ac:dyDescent="0.2">
      <c r="A982" s="34"/>
      <c r="B982" s="34"/>
      <c r="C982" s="33"/>
      <c r="D982" s="34"/>
      <c r="E982" s="34"/>
      <c r="F982" s="34"/>
      <c r="G982" s="34"/>
      <c r="H982" s="33"/>
      <c r="I982" s="33"/>
      <c r="J982" s="33"/>
      <c r="K982" s="34"/>
      <c r="L982" s="34"/>
      <c r="M982" s="34"/>
      <c r="N982" s="34"/>
      <c r="O982" s="34"/>
      <c r="P982" s="34"/>
      <c r="Q982" s="34"/>
      <c r="R982" s="34"/>
      <c r="S982" s="34"/>
      <c r="T982" s="34"/>
      <c r="U982" s="34"/>
      <c r="V982" s="34"/>
      <c r="W982" s="34"/>
      <c r="X982" s="34"/>
      <c r="Y982" s="34"/>
      <c r="Z982" s="3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row>
    <row r="983" spans="1:57" ht="15.75" customHeight="1" x14ac:dyDescent="0.2">
      <c r="A983" s="34"/>
      <c r="B983" s="34"/>
      <c r="C983" s="33"/>
      <c r="D983" s="34"/>
      <c r="E983" s="34"/>
      <c r="F983" s="34"/>
      <c r="G983" s="34"/>
      <c r="H983" s="33"/>
      <c r="I983" s="33"/>
      <c r="J983" s="33"/>
      <c r="K983" s="34"/>
      <c r="L983" s="34"/>
      <c r="M983" s="34"/>
      <c r="N983" s="34"/>
      <c r="O983" s="34"/>
      <c r="P983" s="34"/>
      <c r="Q983" s="34"/>
      <c r="R983" s="34"/>
      <c r="S983" s="34"/>
      <c r="T983" s="34"/>
      <c r="U983" s="34"/>
      <c r="V983" s="34"/>
      <c r="W983" s="34"/>
      <c r="X983" s="34"/>
      <c r="Y983" s="34"/>
      <c r="Z983" s="3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row>
    <row r="984" spans="1:57" ht="15.75" customHeight="1" x14ac:dyDescent="0.2">
      <c r="A984" s="34"/>
      <c r="B984" s="34"/>
      <c r="C984" s="33"/>
      <c r="D984" s="34"/>
      <c r="E984" s="34"/>
      <c r="F984" s="34"/>
      <c r="G984" s="34"/>
      <c r="H984" s="33"/>
      <c r="I984" s="33"/>
      <c r="J984" s="33"/>
      <c r="K984" s="34"/>
      <c r="L984" s="34"/>
      <c r="M984" s="34"/>
      <c r="N984" s="34"/>
      <c r="O984" s="34"/>
      <c r="P984" s="34"/>
      <c r="Q984" s="34"/>
      <c r="R984" s="34"/>
      <c r="S984" s="34"/>
      <c r="T984" s="34"/>
      <c r="U984" s="34"/>
      <c r="V984" s="34"/>
      <c r="W984" s="34"/>
      <c r="X984" s="34"/>
      <c r="Y984" s="34"/>
      <c r="Z984" s="3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row>
    <row r="985" spans="1:57" ht="15.75" customHeight="1" x14ac:dyDescent="0.2">
      <c r="A985" s="34"/>
      <c r="B985" s="34"/>
      <c r="C985" s="33"/>
      <c r="D985" s="34"/>
      <c r="E985" s="34"/>
      <c r="F985" s="34"/>
      <c r="G985" s="34"/>
      <c r="H985" s="33"/>
      <c r="I985" s="33"/>
      <c r="J985" s="33"/>
      <c r="K985" s="34"/>
      <c r="L985" s="34"/>
      <c r="M985" s="34"/>
      <c r="N985" s="34"/>
      <c r="O985" s="34"/>
      <c r="P985" s="34"/>
      <c r="Q985" s="34"/>
      <c r="R985" s="34"/>
      <c r="S985" s="34"/>
      <c r="T985" s="34"/>
      <c r="U985" s="34"/>
      <c r="V985" s="34"/>
      <c r="W985" s="34"/>
      <c r="X985" s="34"/>
      <c r="Y985" s="34"/>
      <c r="Z985" s="3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row>
    <row r="986" spans="1:57" ht="15.75" customHeight="1" x14ac:dyDescent="0.2">
      <c r="A986" s="34"/>
      <c r="B986" s="34"/>
      <c r="C986" s="33"/>
      <c r="D986" s="34"/>
      <c r="E986" s="34"/>
      <c r="F986" s="34"/>
      <c r="G986" s="34"/>
      <c r="H986" s="33"/>
      <c r="I986" s="33"/>
      <c r="J986" s="33"/>
      <c r="K986" s="34"/>
      <c r="L986" s="34"/>
      <c r="M986" s="34"/>
      <c r="N986" s="34"/>
      <c r="O986" s="34"/>
      <c r="P986" s="34"/>
      <c r="Q986" s="34"/>
      <c r="R986" s="34"/>
      <c r="S986" s="34"/>
      <c r="T986" s="34"/>
      <c r="U986" s="34"/>
      <c r="V986" s="34"/>
      <c r="W986" s="34"/>
      <c r="X986" s="34"/>
      <c r="Y986" s="34"/>
      <c r="Z986" s="3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row>
    <row r="987" spans="1:57" ht="15.75" customHeight="1" x14ac:dyDescent="0.2">
      <c r="A987" s="34"/>
      <c r="B987" s="34"/>
      <c r="C987" s="33"/>
      <c r="D987" s="34"/>
      <c r="E987" s="34"/>
      <c r="F987" s="34"/>
      <c r="G987" s="34"/>
      <c r="H987" s="33"/>
      <c r="I987" s="33"/>
      <c r="J987" s="33"/>
      <c r="K987" s="34"/>
      <c r="L987" s="34"/>
      <c r="M987" s="34"/>
      <c r="N987" s="34"/>
      <c r="O987" s="34"/>
      <c r="P987" s="34"/>
      <c r="Q987" s="34"/>
      <c r="R987" s="34"/>
      <c r="S987" s="34"/>
      <c r="T987" s="34"/>
      <c r="U987" s="34"/>
      <c r="V987" s="34"/>
      <c r="W987" s="34"/>
      <c r="X987" s="34"/>
      <c r="Y987" s="34"/>
      <c r="Z987" s="3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row>
    <row r="988" spans="1:57" ht="15.75" customHeight="1" x14ac:dyDescent="0.2">
      <c r="A988" s="34"/>
      <c r="B988" s="34"/>
      <c r="C988" s="33"/>
      <c r="D988" s="34"/>
      <c r="E988" s="34"/>
      <c r="F988" s="34"/>
      <c r="G988" s="34"/>
      <c r="H988" s="33"/>
      <c r="I988" s="33"/>
      <c r="J988" s="33"/>
      <c r="K988" s="34"/>
      <c r="L988" s="34"/>
      <c r="M988" s="34"/>
      <c r="N988" s="34"/>
      <c r="O988" s="34"/>
      <c r="P988" s="34"/>
      <c r="Q988" s="34"/>
      <c r="R988" s="34"/>
      <c r="S988" s="34"/>
      <c r="T988" s="34"/>
      <c r="U988" s="34"/>
      <c r="V988" s="34"/>
      <c r="W988" s="34"/>
      <c r="X988" s="34"/>
      <c r="Y988" s="34"/>
      <c r="Z988" s="3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row>
    <row r="989" spans="1:57" ht="14.25" customHeight="1" x14ac:dyDescent="0.2">
      <c r="A989" s="34"/>
      <c r="B989" s="34"/>
      <c r="C989" s="33"/>
      <c r="D989" s="34"/>
      <c r="E989" s="34"/>
      <c r="F989" s="34"/>
      <c r="G989" s="34"/>
      <c r="H989" s="33"/>
      <c r="I989" s="33"/>
      <c r="J989" s="33"/>
      <c r="K989" s="34"/>
      <c r="L989" s="34"/>
      <c r="M989" s="34"/>
      <c r="N989" s="34"/>
      <c r="O989" s="34"/>
      <c r="P989" s="34"/>
      <c r="Q989" s="34"/>
      <c r="R989" s="34"/>
      <c r="S989" s="34"/>
      <c r="T989" s="34"/>
      <c r="U989" s="34"/>
      <c r="V989" s="34"/>
      <c r="W989" s="34"/>
      <c r="X989" s="34"/>
      <c r="Y989" s="34"/>
      <c r="Z989" s="3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row>
    <row r="990" spans="1:57" ht="14.25" customHeight="1" x14ac:dyDescent="0.2">
      <c r="A990" s="34"/>
      <c r="B990" s="34"/>
      <c r="C990" s="33"/>
      <c r="D990" s="34"/>
      <c r="E990" s="34"/>
      <c r="F990" s="34"/>
      <c r="G990" s="34"/>
      <c r="H990" s="33"/>
      <c r="I990" s="33"/>
      <c r="J990" s="33"/>
      <c r="K990" s="34"/>
      <c r="L990" s="34"/>
      <c r="M990" s="34"/>
      <c r="N990" s="34"/>
      <c r="O990" s="34"/>
      <c r="P990" s="34"/>
      <c r="Q990" s="34"/>
      <c r="R990" s="34"/>
      <c r="S990" s="34"/>
      <c r="T990" s="34"/>
      <c r="U990" s="34"/>
      <c r="V990" s="34"/>
      <c r="W990" s="34"/>
      <c r="X990" s="34"/>
      <c r="Y990" s="34"/>
      <c r="Z990" s="3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row>
    <row r="991" spans="1:57" ht="14.25" customHeight="1" x14ac:dyDescent="0.2">
      <c r="A991" s="34"/>
      <c r="B991" s="34"/>
      <c r="C991" s="33"/>
      <c r="D991" s="34"/>
      <c r="E991" s="34"/>
      <c r="F991" s="34"/>
      <c r="G991" s="34"/>
      <c r="H991" s="33"/>
      <c r="I991" s="33"/>
      <c r="J991" s="33"/>
      <c r="K991" s="34"/>
      <c r="L991" s="34"/>
      <c r="M991" s="34"/>
      <c r="N991" s="34"/>
      <c r="O991" s="34"/>
      <c r="P991" s="34"/>
      <c r="Q991" s="34"/>
      <c r="R991" s="34"/>
      <c r="S991" s="34"/>
      <c r="T991" s="34"/>
      <c r="U991" s="34"/>
      <c r="V991" s="34"/>
      <c r="W991" s="34"/>
      <c r="X991" s="34"/>
      <c r="Y991" s="34"/>
      <c r="Z991" s="3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row>
    <row r="992" spans="1:57" ht="14.25" customHeight="1" x14ac:dyDescent="0.2">
      <c r="A992" s="34"/>
      <c r="B992" s="34"/>
      <c r="C992" s="33"/>
      <c r="D992" s="34"/>
      <c r="E992" s="34"/>
      <c r="F992" s="34"/>
      <c r="G992" s="34"/>
      <c r="H992" s="33"/>
      <c r="I992" s="33"/>
      <c r="J992" s="33"/>
      <c r="K992" s="34"/>
      <c r="L992" s="34"/>
      <c r="M992" s="34"/>
      <c r="N992" s="34"/>
      <c r="O992" s="34"/>
      <c r="P992" s="34"/>
      <c r="Q992" s="34"/>
      <c r="R992" s="34"/>
      <c r="S992" s="34"/>
      <c r="T992" s="34"/>
      <c r="U992" s="34"/>
      <c r="V992" s="34"/>
      <c r="W992" s="34"/>
      <c r="X992" s="34"/>
      <c r="Y992" s="34"/>
      <c r="Z992" s="3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row>
    <row r="993" spans="1:57" ht="14.25" customHeight="1" x14ac:dyDescent="0.2">
      <c r="A993" s="34"/>
      <c r="B993" s="34"/>
      <c r="C993" s="33"/>
      <c r="D993" s="34"/>
      <c r="E993" s="34"/>
      <c r="F993" s="34"/>
      <c r="G993" s="34"/>
      <c r="H993" s="33"/>
      <c r="I993" s="33"/>
      <c r="J993" s="33"/>
      <c r="K993" s="34"/>
      <c r="L993" s="34"/>
      <c r="M993" s="34"/>
      <c r="N993" s="34"/>
      <c r="O993" s="34"/>
      <c r="P993" s="34"/>
      <c r="Q993" s="34"/>
      <c r="R993" s="34"/>
      <c r="S993" s="34"/>
      <c r="T993" s="34"/>
      <c r="U993" s="34"/>
      <c r="V993" s="34"/>
      <c r="W993" s="34"/>
      <c r="X993" s="34"/>
      <c r="Y993" s="34"/>
      <c r="Z993" s="3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row>
    <row r="994" spans="1:57" ht="14.25" customHeight="1" x14ac:dyDescent="0.2">
      <c r="A994" s="34"/>
      <c r="B994" s="34"/>
      <c r="C994" s="33"/>
      <c r="D994" s="34"/>
      <c r="E994" s="34"/>
      <c r="F994" s="34"/>
      <c r="G994" s="34"/>
      <c r="H994" s="33"/>
      <c r="I994" s="33"/>
      <c r="J994" s="33"/>
      <c r="K994" s="34"/>
      <c r="L994" s="34"/>
      <c r="M994" s="34"/>
      <c r="N994" s="34"/>
      <c r="O994" s="34"/>
      <c r="P994" s="34"/>
      <c r="Q994" s="34"/>
      <c r="R994" s="34"/>
      <c r="S994" s="34"/>
      <c r="T994" s="34"/>
      <c r="U994" s="34"/>
      <c r="V994" s="34"/>
      <c r="W994" s="34"/>
      <c r="X994" s="34"/>
      <c r="Y994" s="34"/>
      <c r="Z994" s="3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row>
    <row r="995" spans="1:57" ht="14.25" customHeight="1" x14ac:dyDescent="0.2">
      <c r="A995" s="34"/>
      <c r="B995" s="34"/>
      <c r="C995" s="33"/>
      <c r="D995" s="34"/>
      <c r="E995" s="34"/>
      <c r="F995" s="34"/>
      <c r="G995" s="34"/>
      <c r="H995" s="33"/>
      <c r="I995" s="33"/>
      <c r="J995" s="33"/>
      <c r="K995" s="34"/>
      <c r="L995" s="34"/>
      <c r="M995" s="34"/>
      <c r="N995" s="34"/>
      <c r="O995" s="34"/>
      <c r="P995" s="34"/>
      <c r="Q995" s="34"/>
      <c r="R995" s="34"/>
      <c r="S995" s="34"/>
      <c r="T995" s="34"/>
      <c r="U995" s="34"/>
      <c r="V995" s="34"/>
      <c r="W995" s="34"/>
      <c r="X995" s="34"/>
      <c r="Y995" s="34"/>
      <c r="Z995" s="3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row>
    <row r="996" spans="1:57" ht="14.25" customHeight="1" x14ac:dyDescent="0.2">
      <c r="A996" s="34"/>
      <c r="B996" s="34"/>
      <c r="C996" s="33"/>
      <c r="D996" s="34"/>
      <c r="E996" s="34"/>
      <c r="F996" s="34"/>
      <c r="G996" s="34"/>
      <c r="H996" s="33"/>
      <c r="I996" s="33"/>
      <c r="J996" s="33"/>
      <c r="K996" s="34"/>
      <c r="L996" s="34"/>
      <c r="M996" s="34"/>
      <c r="N996" s="34"/>
      <c r="O996" s="34"/>
      <c r="P996" s="34"/>
      <c r="Q996" s="34"/>
      <c r="R996" s="34"/>
      <c r="S996" s="34"/>
      <c r="T996" s="34"/>
      <c r="U996" s="34"/>
      <c r="V996" s="34"/>
      <c r="W996" s="34"/>
      <c r="X996" s="34"/>
      <c r="Y996" s="34"/>
      <c r="Z996" s="3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row>
    <row r="997" spans="1:57" ht="14.25" customHeight="1" x14ac:dyDescent="0.2">
      <c r="A997" s="34"/>
      <c r="B997" s="34"/>
      <c r="C997" s="33"/>
      <c r="D997" s="34"/>
      <c r="E997" s="34"/>
      <c r="F997" s="34"/>
      <c r="G997" s="34"/>
      <c r="H997" s="33"/>
      <c r="I997" s="33"/>
      <c r="J997" s="33"/>
      <c r="K997" s="34"/>
      <c r="L997" s="34"/>
      <c r="M997" s="34"/>
      <c r="N997" s="34"/>
      <c r="O997" s="34"/>
      <c r="P997" s="34"/>
      <c r="Q997" s="34"/>
      <c r="R997" s="34"/>
      <c r="S997" s="34"/>
      <c r="T997" s="34"/>
      <c r="U997" s="34"/>
      <c r="V997" s="34"/>
      <c r="W997" s="34"/>
      <c r="X997" s="34"/>
      <c r="Y997" s="34"/>
      <c r="Z997" s="3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row>
    <row r="998" spans="1:57" ht="14.25" customHeight="1" x14ac:dyDescent="0.2">
      <c r="A998" s="34"/>
      <c r="B998" s="34"/>
      <c r="C998" s="33"/>
      <c r="D998" s="34"/>
      <c r="E998" s="34"/>
      <c r="F998" s="34"/>
      <c r="G998" s="34"/>
      <c r="H998" s="33"/>
      <c r="I998" s="33"/>
      <c r="J998" s="33"/>
      <c r="K998" s="34"/>
      <c r="L998" s="34"/>
      <c r="M998" s="34"/>
      <c r="N998" s="34"/>
      <c r="O998" s="34"/>
      <c r="P998" s="34"/>
      <c r="Q998" s="34"/>
      <c r="R998" s="34"/>
      <c r="S998" s="34"/>
      <c r="T998" s="34"/>
      <c r="U998" s="34"/>
      <c r="V998" s="34"/>
      <c r="W998" s="34"/>
      <c r="X998" s="34"/>
      <c r="Y998" s="34"/>
      <c r="Z998" s="3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row>
    <row r="999" spans="1:57" ht="14.25" customHeight="1" x14ac:dyDescent="0.2">
      <c r="A999" s="34"/>
      <c r="B999" s="34"/>
      <c r="C999" s="33"/>
      <c r="D999" s="34"/>
      <c r="E999" s="34"/>
      <c r="F999" s="34"/>
      <c r="G999" s="34"/>
      <c r="H999" s="33"/>
      <c r="I999" s="33"/>
      <c r="J999" s="33"/>
      <c r="K999" s="34"/>
      <c r="L999" s="34"/>
      <c r="M999" s="34"/>
      <c r="N999" s="34"/>
      <c r="O999" s="34"/>
      <c r="P999" s="34"/>
      <c r="Q999" s="34"/>
      <c r="R999" s="34"/>
      <c r="S999" s="34"/>
      <c r="T999" s="34"/>
      <c r="U999" s="34"/>
      <c r="V999" s="34"/>
      <c r="W999" s="34"/>
      <c r="X999" s="34"/>
      <c r="Y999" s="34"/>
      <c r="Z999" s="3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row>
    <row r="1000" spans="1:57" ht="14.25" customHeight="1" x14ac:dyDescent="0.2">
      <c r="A1000" s="34"/>
      <c r="B1000" s="34"/>
      <c r="C1000" s="33"/>
      <c r="D1000" s="34"/>
      <c r="E1000" s="34"/>
      <c r="F1000" s="34"/>
      <c r="G1000" s="34"/>
      <c r="H1000" s="33"/>
      <c r="I1000" s="33"/>
      <c r="J1000" s="33"/>
      <c r="K1000" s="34"/>
      <c r="L1000" s="34"/>
      <c r="M1000" s="34"/>
      <c r="N1000" s="34"/>
      <c r="O1000" s="34"/>
      <c r="P1000" s="34"/>
      <c r="Q1000" s="34"/>
      <c r="R1000" s="34"/>
      <c r="S1000" s="34"/>
      <c r="T1000" s="34"/>
      <c r="U1000" s="34"/>
      <c r="V1000" s="34"/>
      <c r="W1000" s="34"/>
      <c r="X1000" s="34"/>
      <c r="Y1000" s="34"/>
      <c r="Z1000" s="3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row>
  </sheetData>
  <dataValidations count="1">
    <dataValidation type="list" allowBlank="1" showErrorMessage="1" sqref="P2:T197 V2:V197 X2:Y197" xr:uid="{00000000-0002-0000-0400-000000000000}">
      <formula1>"Sí,No,En duda"</formula1>
    </dataValidation>
  </dataValidations>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980"/>
  <sheetViews>
    <sheetView tabSelected="1" workbookViewId="0">
      <selection activeCell="I11" sqref="I11"/>
    </sheetView>
  </sheetViews>
  <sheetFormatPr baseColWidth="10" defaultColWidth="14.5" defaultRowHeight="15" x14ac:dyDescent="0.2"/>
  <cols>
    <col min="7" max="7" width="17.83203125" customWidth="1"/>
    <col min="11" max="11" width="16.33203125" customWidth="1"/>
    <col min="18" max="18" width="18.1640625" customWidth="1"/>
    <col min="19" max="19" width="18.83203125" customWidth="1"/>
    <col min="20" max="20" width="20.6640625" customWidth="1"/>
    <col min="21" max="21" width="18.1640625" customWidth="1"/>
    <col min="22" max="22" width="22.5" customWidth="1"/>
    <col min="23" max="23" width="16.5" customWidth="1"/>
    <col min="24" max="24" width="19.83203125" customWidth="1"/>
    <col min="25" max="25" width="24.6640625" customWidth="1"/>
    <col min="26" max="26" width="23.5" customWidth="1"/>
    <col min="27" max="27" width="19.6640625" customWidth="1"/>
    <col min="28" max="28" width="20.1640625" customWidth="1"/>
    <col min="29" max="29" width="20.6640625" customWidth="1"/>
  </cols>
  <sheetData>
    <row r="1" spans="1:34" ht="88.5" customHeight="1" x14ac:dyDescent="0.2">
      <c r="A1" s="15" t="s">
        <v>0</v>
      </c>
      <c r="B1" s="15" t="s">
        <v>1</v>
      </c>
      <c r="C1" s="15" t="s">
        <v>2</v>
      </c>
      <c r="D1" s="15" t="s">
        <v>3</v>
      </c>
      <c r="E1" s="15" t="s">
        <v>4</v>
      </c>
      <c r="F1" s="15" t="s">
        <v>5</v>
      </c>
      <c r="G1" s="15" t="s">
        <v>6</v>
      </c>
      <c r="H1" s="15" t="s">
        <v>7</v>
      </c>
      <c r="I1" s="15" t="s">
        <v>8</v>
      </c>
      <c r="J1" s="15" t="s">
        <v>10</v>
      </c>
      <c r="K1" s="15" t="s">
        <v>11</v>
      </c>
      <c r="L1" s="15" t="s">
        <v>12</v>
      </c>
      <c r="M1" s="15" t="s">
        <v>13</v>
      </c>
      <c r="N1" s="15" t="s">
        <v>199</v>
      </c>
      <c r="O1" s="15" t="s">
        <v>200</v>
      </c>
      <c r="P1" s="15" t="s">
        <v>159</v>
      </c>
      <c r="Q1" s="15" t="s">
        <v>201</v>
      </c>
      <c r="R1" s="126" t="s">
        <v>39</v>
      </c>
      <c r="S1" s="126" t="s">
        <v>202</v>
      </c>
      <c r="T1" s="126" t="s">
        <v>203</v>
      </c>
      <c r="U1" s="126" t="s">
        <v>204</v>
      </c>
      <c r="V1" s="126" t="s">
        <v>205</v>
      </c>
      <c r="W1" s="126" t="s">
        <v>206</v>
      </c>
      <c r="X1" s="126" t="s">
        <v>207</v>
      </c>
      <c r="Y1" s="126" t="s">
        <v>208</v>
      </c>
      <c r="Z1" s="126" t="s">
        <v>209</v>
      </c>
      <c r="AA1" s="126" t="s">
        <v>40</v>
      </c>
      <c r="AB1" s="126" t="s">
        <v>210</v>
      </c>
      <c r="AC1" s="126" t="s">
        <v>211</v>
      </c>
      <c r="AD1" s="126" t="s">
        <v>212</v>
      </c>
      <c r="AE1" s="126" t="s">
        <v>213</v>
      </c>
      <c r="AF1" s="126" t="s">
        <v>41</v>
      </c>
      <c r="AG1" s="126" t="s">
        <v>214</v>
      </c>
      <c r="AH1" s="126" t="s">
        <v>215</v>
      </c>
    </row>
    <row r="2" spans="1:34" ht="41.25" customHeight="1" x14ac:dyDescent="0.2">
      <c r="A2" s="32">
        <v>0</v>
      </c>
      <c r="B2" s="32" t="s">
        <v>53</v>
      </c>
      <c r="C2" s="32" t="s">
        <v>54</v>
      </c>
      <c r="D2" s="32" t="s">
        <v>55</v>
      </c>
      <c r="E2" s="32" t="s">
        <v>56</v>
      </c>
      <c r="F2" s="32" t="s">
        <v>64</v>
      </c>
      <c r="G2" s="32" t="s">
        <v>57</v>
      </c>
      <c r="H2" s="32" t="s">
        <v>58</v>
      </c>
      <c r="I2" s="32" t="s">
        <v>59</v>
      </c>
      <c r="J2" s="32" t="s">
        <v>60</v>
      </c>
      <c r="K2" s="34" t="s">
        <v>61</v>
      </c>
      <c r="L2" s="34"/>
      <c r="M2" s="33" t="s">
        <v>216</v>
      </c>
      <c r="N2" s="33"/>
      <c r="O2" s="33"/>
      <c r="P2" s="33"/>
      <c r="Q2" s="33"/>
      <c r="R2" s="40"/>
      <c r="S2" s="40"/>
      <c r="T2" s="40"/>
      <c r="U2" s="40"/>
      <c r="V2" s="40"/>
      <c r="W2" s="40"/>
      <c r="X2" s="40"/>
      <c r="Y2" s="40"/>
      <c r="Z2" s="37"/>
      <c r="AA2" s="40"/>
      <c r="AB2" s="40"/>
      <c r="AC2" s="40"/>
      <c r="AD2">
        <v>0</v>
      </c>
    </row>
    <row r="3" spans="1:34" ht="41.25" customHeight="1" x14ac:dyDescent="0.2">
      <c r="A3" s="32">
        <v>0</v>
      </c>
      <c r="B3" s="32" t="s">
        <v>0</v>
      </c>
      <c r="C3" s="32" t="s">
        <v>1</v>
      </c>
      <c r="D3" s="32" t="s">
        <v>2</v>
      </c>
      <c r="E3" s="32" t="s">
        <v>68</v>
      </c>
      <c r="F3" s="32" t="s">
        <v>4</v>
      </c>
      <c r="G3" s="32" t="s">
        <v>67</v>
      </c>
      <c r="H3" s="32" t="s">
        <v>65</v>
      </c>
      <c r="I3" s="32" t="s">
        <v>66</v>
      </c>
      <c r="J3" s="32" t="s">
        <v>8</v>
      </c>
      <c r="K3" s="34" t="s">
        <v>10</v>
      </c>
      <c r="L3" s="34"/>
      <c r="M3" s="33" t="s">
        <v>216</v>
      </c>
      <c r="N3" s="33"/>
      <c r="O3" s="33"/>
      <c r="P3" s="33"/>
      <c r="Q3" s="33"/>
      <c r="R3" s="40"/>
      <c r="S3" s="40"/>
      <c r="T3" s="40"/>
      <c r="U3" s="40"/>
      <c r="V3" s="40"/>
      <c r="W3" s="40"/>
      <c r="X3" s="40"/>
      <c r="Y3" s="40"/>
      <c r="Z3" s="40"/>
      <c r="AA3" s="40"/>
      <c r="AB3" s="40"/>
      <c r="AC3" s="40"/>
      <c r="AD3">
        <v>0</v>
      </c>
    </row>
    <row r="4" spans="1:34" ht="41.25" customHeight="1" x14ac:dyDescent="0.2">
      <c r="A4" s="32">
        <v>0</v>
      </c>
      <c r="B4" s="32" t="s">
        <v>0</v>
      </c>
      <c r="C4" s="32" t="s">
        <v>1</v>
      </c>
      <c r="D4" s="32" t="s">
        <v>2</v>
      </c>
      <c r="E4" s="32" t="s">
        <v>3</v>
      </c>
      <c r="F4" s="32" t="s">
        <v>4</v>
      </c>
      <c r="G4" s="32" t="s">
        <v>5</v>
      </c>
      <c r="H4" s="32" t="s">
        <v>6</v>
      </c>
      <c r="I4" s="32" t="s">
        <v>7</v>
      </c>
      <c r="J4" s="32" t="s">
        <v>8</v>
      </c>
      <c r="K4" s="34" t="s">
        <v>10</v>
      </c>
      <c r="L4" s="34"/>
      <c r="M4" s="33" t="s">
        <v>216</v>
      </c>
      <c r="N4" s="33"/>
      <c r="O4" s="33"/>
      <c r="P4" s="33"/>
      <c r="Q4" s="33"/>
      <c r="R4" s="40"/>
      <c r="S4" s="40"/>
      <c r="T4" s="40"/>
      <c r="U4" s="40"/>
      <c r="V4" s="40"/>
      <c r="W4" s="40"/>
      <c r="X4" s="40"/>
      <c r="Y4" s="40"/>
      <c r="Z4" s="40"/>
      <c r="AA4" s="40"/>
      <c r="AB4" s="40"/>
      <c r="AC4" s="40"/>
      <c r="AD4">
        <v>0</v>
      </c>
    </row>
    <row r="5" spans="1:34" ht="41.25" customHeight="1" x14ac:dyDescent="0.2">
      <c r="A5" s="32">
        <v>2</v>
      </c>
      <c r="B5" s="32" t="s">
        <v>217</v>
      </c>
      <c r="C5" s="32" t="s">
        <v>218</v>
      </c>
      <c r="D5" s="32">
        <v>2025</v>
      </c>
      <c r="E5" s="32" t="s">
        <v>219</v>
      </c>
      <c r="F5" s="32" t="s">
        <v>603</v>
      </c>
      <c r="G5" s="32" t="s">
        <v>221</v>
      </c>
      <c r="H5" s="32" t="s">
        <v>222</v>
      </c>
      <c r="I5" s="32" t="s">
        <v>15</v>
      </c>
      <c r="J5" s="32" t="s">
        <v>223</v>
      </c>
      <c r="K5" s="34" t="s">
        <v>220</v>
      </c>
      <c r="L5" s="34"/>
      <c r="M5" s="33" t="s">
        <v>216</v>
      </c>
      <c r="N5" s="33"/>
      <c r="O5" s="33"/>
      <c r="P5" s="33"/>
      <c r="Q5" s="33"/>
      <c r="R5" s="40"/>
      <c r="S5" s="40"/>
      <c r="T5" s="40"/>
      <c r="U5" s="40"/>
      <c r="V5" s="40"/>
      <c r="W5" s="40"/>
      <c r="X5" s="40"/>
      <c r="Y5" s="40"/>
      <c r="Z5" s="40"/>
      <c r="AA5" s="40"/>
      <c r="AB5" s="40"/>
      <c r="AC5" s="40"/>
      <c r="AD5">
        <v>0</v>
      </c>
    </row>
    <row r="6" spans="1:34" ht="41.25" customHeight="1" x14ac:dyDescent="0.2">
      <c r="A6" s="32">
        <v>3</v>
      </c>
      <c r="B6" s="32" t="s">
        <v>224</v>
      </c>
      <c r="C6" s="32" t="s">
        <v>225</v>
      </c>
      <c r="D6" s="32">
        <v>2026</v>
      </c>
      <c r="E6" s="32" t="s">
        <v>226</v>
      </c>
      <c r="F6" s="32" t="s">
        <v>228</v>
      </c>
      <c r="G6" s="32">
        <v>0</v>
      </c>
      <c r="H6" s="32" t="s">
        <v>230</v>
      </c>
      <c r="I6" s="32" t="s">
        <v>15</v>
      </c>
      <c r="J6" s="32" t="s">
        <v>223</v>
      </c>
      <c r="K6" s="34" t="s">
        <v>227</v>
      </c>
      <c r="L6" s="34"/>
      <c r="M6" s="33" t="s">
        <v>216</v>
      </c>
      <c r="N6" s="33"/>
      <c r="O6" s="33"/>
      <c r="P6" s="33"/>
      <c r="Q6" s="33"/>
      <c r="R6" s="40"/>
      <c r="S6" s="40"/>
      <c r="T6" s="40"/>
      <c r="U6" s="40"/>
      <c r="V6" s="40"/>
      <c r="W6" s="40"/>
      <c r="X6" s="40"/>
      <c r="Y6" s="40"/>
      <c r="Z6" s="40"/>
      <c r="AA6" s="40"/>
      <c r="AB6" s="40"/>
      <c r="AC6" s="40"/>
      <c r="AD6">
        <v>0</v>
      </c>
    </row>
    <row r="7" spans="1:34" ht="41.25" customHeight="1" x14ac:dyDescent="0.2">
      <c r="A7" s="32">
        <v>4</v>
      </c>
      <c r="B7" s="32" t="s">
        <v>231</v>
      </c>
      <c r="C7" s="32" t="s">
        <v>232</v>
      </c>
      <c r="D7" s="32">
        <v>2023</v>
      </c>
      <c r="E7" s="32" t="s">
        <v>233</v>
      </c>
      <c r="F7" s="32" t="s">
        <v>235</v>
      </c>
      <c r="G7" s="32" t="s">
        <v>236</v>
      </c>
      <c r="H7" s="32" t="s">
        <v>238</v>
      </c>
      <c r="I7" s="32" t="s">
        <v>15</v>
      </c>
      <c r="J7" s="32" t="s">
        <v>223</v>
      </c>
      <c r="K7" s="34" t="s">
        <v>234</v>
      </c>
      <c r="L7" s="34"/>
      <c r="M7" s="33" t="s">
        <v>216</v>
      </c>
      <c r="N7" s="33"/>
      <c r="O7" s="33"/>
      <c r="P7" s="33"/>
      <c r="Q7" s="33"/>
      <c r="R7" s="40"/>
      <c r="S7" s="40"/>
      <c r="T7" s="40"/>
      <c r="U7" s="40"/>
      <c r="V7" s="40"/>
      <c r="W7" s="40"/>
      <c r="X7" s="40"/>
      <c r="Y7" s="40"/>
      <c r="Z7" s="40"/>
      <c r="AA7" s="40"/>
      <c r="AB7" s="40"/>
      <c r="AC7" s="40"/>
      <c r="AD7">
        <v>0</v>
      </c>
    </row>
    <row r="8" spans="1:34" ht="41.25" customHeight="1" x14ac:dyDescent="0.2">
      <c r="A8" s="32">
        <v>5</v>
      </c>
      <c r="B8" s="32" t="s">
        <v>239</v>
      </c>
      <c r="C8" s="32" t="s">
        <v>240</v>
      </c>
      <c r="D8" s="32">
        <v>2025</v>
      </c>
      <c r="E8" s="32" t="s">
        <v>241</v>
      </c>
      <c r="F8" s="32" t="s">
        <v>243</v>
      </c>
      <c r="G8" s="32" t="s">
        <v>244</v>
      </c>
      <c r="H8" s="32" t="s">
        <v>246</v>
      </c>
      <c r="I8" s="32" t="s">
        <v>15</v>
      </c>
      <c r="J8" s="32" t="s">
        <v>223</v>
      </c>
      <c r="K8" s="34" t="s">
        <v>242</v>
      </c>
      <c r="L8" s="34"/>
      <c r="M8" s="33" t="s">
        <v>216</v>
      </c>
      <c r="N8" s="33"/>
      <c r="O8" s="33"/>
      <c r="P8" s="33"/>
      <c r="Q8" s="33"/>
      <c r="R8" s="40"/>
      <c r="S8" s="40"/>
      <c r="T8" s="40"/>
      <c r="U8" s="40"/>
      <c r="V8" s="40"/>
      <c r="W8" s="40"/>
      <c r="X8" s="40"/>
      <c r="Y8" s="40"/>
      <c r="Z8" s="40"/>
      <c r="AA8" s="40"/>
      <c r="AB8" s="40"/>
      <c r="AC8" s="40"/>
      <c r="AD8">
        <v>0</v>
      </c>
    </row>
    <row r="9" spans="1:34" ht="63" customHeight="1" x14ac:dyDescent="0.2">
      <c r="A9" s="32">
        <v>6</v>
      </c>
      <c r="B9" s="32" t="s">
        <v>247</v>
      </c>
      <c r="C9" s="32" t="s">
        <v>248</v>
      </c>
      <c r="D9" s="32">
        <v>2026</v>
      </c>
      <c r="E9" s="32" t="s">
        <v>233</v>
      </c>
      <c r="F9" s="32" t="s">
        <v>250</v>
      </c>
      <c r="G9" s="32" t="s">
        <v>251</v>
      </c>
      <c r="H9" s="32" t="s">
        <v>238</v>
      </c>
      <c r="I9" s="32" t="s">
        <v>15</v>
      </c>
      <c r="J9" s="32" t="s">
        <v>223</v>
      </c>
      <c r="K9" s="34" t="s">
        <v>249</v>
      </c>
      <c r="L9" s="34"/>
      <c r="M9" s="33" t="s">
        <v>216</v>
      </c>
      <c r="N9" s="33"/>
      <c r="O9" s="33"/>
      <c r="P9" s="33"/>
      <c r="Q9" s="33"/>
      <c r="R9" s="40"/>
      <c r="S9" s="40"/>
      <c r="T9" s="40"/>
      <c r="U9" s="40"/>
      <c r="V9" s="40"/>
      <c r="W9" s="40"/>
      <c r="X9" s="40"/>
      <c r="Y9" s="40"/>
      <c r="Z9" s="40"/>
      <c r="AA9" s="40"/>
      <c r="AB9" s="40"/>
      <c r="AC9" s="40"/>
      <c r="AD9">
        <v>0</v>
      </c>
    </row>
    <row r="10" spans="1:34" ht="66" customHeight="1" x14ac:dyDescent="0.2">
      <c r="A10" s="32">
        <v>7</v>
      </c>
      <c r="B10" s="32" t="s">
        <v>253</v>
      </c>
      <c r="C10" s="32" t="s">
        <v>254</v>
      </c>
      <c r="D10" s="32">
        <v>2024</v>
      </c>
      <c r="E10" s="32" t="s">
        <v>226</v>
      </c>
      <c r="F10" s="32" t="s">
        <v>256</v>
      </c>
      <c r="G10" s="32">
        <v>0</v>
      </c>
      <c r="H10" s="32" t="s">
        <v>230</v>
      </c>
      <c r="I10" s="32" t="s">
        <v>15</v>
      </c>
      <c r="J10" s="32" t="s">
        <v>223</v>
      </c>
      <c r="K10" s="34" t="s">
        <v>255</v>
      </c>
      <c r="L10" s="34"/>
      <c r="M10" s="33" t="s">
        <v>216</v>
      </c>
      <c r="N10" s="33"/>
      <c r="O10" s="33"/>
      <c r="P10" s="33"/>
      <c r="Q10" s="33"/>
      <c r="R10" s="40"/>
      <c r="S10" s="40"/>
      <c r="T10" s="40"/>
      <c r="U10" s="40"/>
      <c r="V10" s="40"/>
      <c r="W10" s="40"/>
      <c r="X10" s="40"/>
      <c r="Y10" s="40"/>
      <c r="Z10" s="40"/>
      <c r="AA10" s="40"/>
      <c r="AB10" s="40"/>
      <c r="AC10" s="40"/>
      <c r="AD10">
        <v>0</v>
      </c>
    </row>
    <row r="11" spans="1:34" ht="41.25" customHeight="1" x14ac:dyDescent="0.2">
      <c r="A11" s="32">
        <v>8</v>
      </c>
      <c r="B11" s="32" t="s">
        <v>258</v>
      </c>
      <c r="C11" s="32" t="s">
        <v>259</v>
      </c>
      <c r="D11" s="32">
        <v>2025</v>
      </c>
      <c r="E11" s="32" t="s">
        <v>260</v>
      </c>
      <c r="F11" s="32" t="s">
        <v>262</v>
      </c>
      <c r="G11" s="32" t="s">
        <v>263</v>
      </c>
      <c r="H11" s="32" t="s">
        <v>246</v>
      </c>
      <c r="I11" s="32" t="s">
        <v>15</v>
      </c>
      <c r="J11" s="32" t="s">
        <v>223</v>
      </c>
      <c r="K11" s="34" t="s">
        <v>261</v>
      </c>
      <c r="L11" s="34"/>
      <c r="M11" s="33" t="s">
        <v>216</v>
      </c>
      <c r="N11" s="34"/>
      <c r="O11" s="34"/>
      <c r="P11" s="34"/>
      <c r="Q11" s="33"/>
      <c r="R11" s="40"/>
      <c r="S11" s="40"/>
      <c r="T11" s="40"/>
      <c r="U11" s="40"/>
      <c r="V11" s="40"/>
      <c r="W11" s="40"/>
      <c r="X11" s="40"/>
      <c r="Y11" s="40"/>
      <c r="Z11" s="40"/>
      <c r="AA11" s="40"/>
      <c r="AB11" s="40"/>
      <c r="AC11" s="40"/>
      <c r="AD11">
        <v>0</v>
      </c>
    </row>
    <row r="12" spans="1:34" ht="41.25" customHeight="1" x14ac:dyDescent="0.2">
      <c r="A12" s="32">
        <v>9</v>
      </c>
      <c r="B12" s="32" t="s">
        <v>264</v>
      </c>
      <c r="C12" s="32" t="s">
        <v>265</v>
      </c>
      <c r="D12" s="32">
        <v>2025</v>
      </c>
      <c r="E12" s="32" t="s">
        <v>260</v>
      </c>
      <c r="F12" s="32" t="s">
        <v>267</v>
      </c>
      <c r="G12" s="32" t="s">
        <v>268</v>
      </c>
      <c r="H12" s="32" t="s">
        <v>246</v>
      </c>
      <c r="I12" s="32" t="s">
        <v>15</v>
      </c>
      <c r="J12" s="32" t="s">
        <v>223</v>
      </c>
      <c r="K12" s="34" t="s">
        <v>266</v>
      </c>
      <c r="L12" s="34"/>
      <c r="M12" s="33" t="s">
        <v>216</v>
      </c>
      <c r="N12" s="33"/>
      <c r="O12" s="33"/>
      <c r="P12" s="33"/>
      <c r="Q12" s="33"/>
      <c r="R12" s="40"/>
      <c r="S12" s="40"/>
      <c r="T12" s="40"/>
      <c r="U12" s="40"/>
      <c r="V12" s="40"/>
      <c r="W12" s="40"/>
      <c r="X12" s="40"/>
      <c r="Y12" s="40"/>
      <c r="Z12" s="40"/>
      <c r="AA12" s="40"/>
      <c r="AB12" s="40"/>
      <c r="AC12" s="40"/>
      <c r="AD12">
        <v>0</v>
      </c>
    </row>
    <row r="13" spans="1:34" ht="41.25" customHeight="1" x14ac:dyDescent="0.2">
      <c r="A13" s="32">
        <v>10</v>
      </c>
      <c r="B13" s="32" t="s">
        <v>269</v>
      </c>
      <c r="C13" s="32" t="s">
        <v>270</v>
      </c>
      <c r="D13" s="32">
        <v>2025</v>
      </c>
      <c r="E13" s="32" t="s">
        <v>233</v>
      </c>
      <c r="F13" s="32" t="s">
        <v>272</v>
      </c>
      <c r="G13" s="32" t="s">
        <v>273</v>
      </c>
      <c r="H13" s="32" t="s">
        <v>238</v>
      </c>
      <c r="I13" s="32" t="s">
        <v>15</v>
      </c>
      <c r="J13" s="32" t="s">
        <v>223</v>
      </c>
      <c r="K13" s="34" t="s">
        <v>271</v>
      </c>
      <c r="L13" s="34"/>
      <c r="M13" s="33" t="s">
        <v>216</v>
      </c>
      <c r="N13" s="33"/>
      <c r="O13" s="33"/>
      <c r="P13" s="33"/>
      <c r="Q13" s="33"/>
      <c r="R13" s="40"/>
      <c r="S13" s="40"/>
      <c r="T13" s="40"/>
      <c r="U13" s="40"/>
      <c r="V13" s="40"/>
      <c r="W13" s="40"/>
      <c r="X13" s="40"/>
      <c r="Y13" s="40"/>
      <c r="Z13" s="40"/>
      <c r="AA13" s="40"/>
      <c r="AB13" s="40"/>
      <c r="AC13" s="40"/>
      <c r="AD13">
        <v>0</v>
      </c>
    </row>
    <row r="14" spans="1:34" ht="41.25" customHeight="1" x14ac:dyDescent="0.2">
      <c r="A14" s="32">
        <v>11</v>
      </c>
      <c r="B14" s="32" t="s">
        <v>275</v>
      </c>
      <c r="C14" s="32" t="s">
        <v>276</v>
      </c>
      <c r="D14" s="32">
        <v>2025</v>
      </c>
      <c r="E14" s="32" t="s">
        <v>219</v>
      </c>
      <c r="F14" s="32" t="s">
        <v>278</v>
      </c>
      <c r="G14" s="32" t="s">
        <v>279</v>
      </c>
      <c r="H14" s="32" t="s">
        <v>222</v>
      </c>
      <c r="I14" s="32" t="s">
        <v>15</v>
      </c>
      <c r="J14" s="32" t="s">
        <v>223</v>
      </c>
      <c r="K14" s="34" t="s">
        <v>277</v>
      </c>
      <c r="L14" s="34"/>
      <c r="M14" s="33" t="s">
        <v>216</v>
      </c>
      <c r="N14" s="34"/>
      <c r="O14" s="34"/>
      <c r="P14" s="34"/>
      <c r="Q14" s="33"/>
      <c r="R14" s="40"/>
      <c r="S14" s="40"/>
      <c r="T14" s="40"/>
      <c r="U14" s="40"/>
      <c r="V14" s="40"/>
      <c r="W14" s="40"/>
      <c r="X14" s="40"/>
      <c r="Y14" s="40"/>
      <c r="Z14" s="40"/>
      <c r="AA14" s="40"/>
      <c r="AB14" s="40"/>
      <c r="AC14" s="40"/>
      <c r="AD14">
        <v>0</v>
      </c>
    </row>
    <row r="15" spans="1:34" ht="41.25" customHeight="1" x14ac:dyDescent="0.2">
      <c r="A15" s="32">
        <v>12</v>
      </c>
      <c r="B15" s="32" t="s">
        <v>281</v>
      </c>
      <c r="C15" s="32" t="s">
        <v>282</v>
      </c>
      <c r="D15" s="32">
        <v>2023</v>
      </c>
      <c r="E15" s="32" t="s">
        <v>219</v>
      </c>
      <c r="F15" s="32" t="s">
        <v>284</v>
      </c>
      <c r="G15" s="32" t="s">
        <v>285</v>
      </c>
      <c r="H15" s="32" t="s">
        <v>222</v>
      </c>
      <c r="I15" s="32" t="s">
        <v>15</v>
      </c>
      <c r="J15" s="32" t="s">
        <v>223</v>
      </c>
      <c r="K15" s="34" t="s">
        <v>283</v>
      </c>
      <c r="L15" s="34"/>
      <c r="M15" s="33" t="s">
        <v>216</v>
      </c>
      <c r="N15" s="33"/>
      <c r="O15" s="33"/>
      <c r="P15" s="33"/>
      <c r="Q15" s="33"/>
      <c r="R15" s="40"/>
      <c r="S15" s="40"/>
      <c r="T15" s="40"/>
      <c r="U15" s="40"/>
      <c r="V15" s="40"/>
      <c r="W15" s="40"/>
      <c r="X15" s="40"/>
      <c r="Y15" s="40"/>
      <c r="Z15" s="40"/>
      <c r="AA15" s="40"/>
      <c r="AB15" s="40"/>
      <c r="AC15" s="40"/>
      <c r="AD15">
        <v>0</v>
      </c>
    </row>
    <row r="16" spans="1:34" ht="41.25" customHeight="1" x14ac:dyDescent="0.2">
      <c r="A16" s="32">
        <v>13</v>
      </c>
      <c r="B16" s="32" t="s">
        <v>287</v>
      </c>
      <c r="C16" s="32" t="s">
        <v>288</v>
      </c>
      <c r="D16" s="32">
        <v>2023</v>
      </c>
      <c r="E16" s="32" t="s">
        <v>219</v>
      </c>
      <c r="F16" s="32" t="s">
        <v>290</v>
      </c>
      <c r="G16" s="32" t="s">
        <v>291</v>
      </c>
      <c r="H16" s="32" t="s">
        <v>222</v>
      </c>
      <c r="I16" s="32" t="s">
        <v>15</v>
      </c>
      <c r="J16" s="32" t="s">
        <v>223</v>
      </c>
      <c r="K16" s="34" t="s">
        <v>289</v>
      </c>
      <c r="L16" s="34"/>
      <c r="M16" s="33" t="s">
        <v>216</v>
      </c>
      <c r="N16" s="33"/>
      <c r="O16" s="33"/>
      <c r="P16" s="33"/>
      <c r="Q16" s="33"/>
      <c r="R16" s="40"/>
      <c r="S16" s="40"/>
      <c r="T16" s="40"/>
      <c r="U16" s="40"/>
      <c r="V16" s="40"/>
      <c r="W16" s="40"/>
      <c r="X16" s="40"/>
      <c r="Y16" s="40"/>
      <c r="Z16" s="40"/>
      <c r="AA16" s="40"/>
      <c r="AB16" s="40"/>
      <c r="AC16" s="40"/>
      <c r="AD16">
        <v>0</v>
      </c>
    </row>
    <row r="17" spans="1:30" ht="41.25" customHeight="1" x14ac:dyDescent="0.2">
      <c r="A17" s="32">
        <v>14</v>
      </c>
      <c r="B17" s="32" t="s">
        <v>293</v>
      </c>
      <c r="C17" s="32" t="s">
        <v>294</v>
      </c>
      <c r="D17" s="32">
        <v>2021</v>
      </c>
      <c r="E17" s="32" t="s">
        <v>260</v>
      </c>
      <c r="F17" s="32" t="s">
        <v>296</v>
      </c>
      <c r="G17" s="32" t="s">
        <v>297</v>
      </c>
      <c r="H17" s="32" t="s">
        <v>246</v>
      </c>
      <c r="I17" s="32" t="s">
        <v>15</v>
      </c>
      <c r="J17" s="32" t="s">
        <v>223</v>
      </c>
      <c r="K17" s="34" t="s">
        <v>295</v>
      </c>
      <c r="L17" s="34"/>
      <c r="M17" s="33"/>
      <c r="N17" s="33" t="s">
        <v>216</v>
      </c>
      <c r="O17" s="33"/>
      <c r="P17" s="33"/>
      <c r="Q17" s="33"/>
      <c r="R17" s="40"/>
      <c r="S17" s="40"/>
      <c r="T17" s="40"/>
      <c r="U17" s="40"/>
      <c r="V17" s="40"/>
      <c r="W17" s="40"/>
      <c r="X17" s="40"/>
      <c r="Y17" s="40"/>
      <c r="Z17" s="40"/>
      <c r="AA17" s="40"/>
      <c r="AB17" s="40"/>
      <c r="AC17" s="40"/>
      <c r="AD17">
        <v>0</v>
      </c>
    </row>
    <row r="18" spans="1:30" ht="41.25" customHeight="1" x14ac:dyDescent="0.2">
      <c r="A18" s="32">
        <v>15</v>
      </c>
      <c r="B18" s="32" t="s">
        <v>298</v>
      </c>
      <c r="C18" s="32" t="s">
        <v>299</v>
      </c>
      <c r="D18" s="32">
        <v>2022</v>
      </c>
      <c r="E18" s="32" t="s">
        <v>226</v>
      </c>
      <c r="F18" s="32" t="s">
        <v>301</v>
      </c>
      <c r="G18" s="32">
        <v>0</v>
      </c>
      <c r="H18" s="32" t="s">
        <v>230</v>
      </c>
      <c r="I18" s="32" t="s">
        <v>15</v>
      </c>
      <c r="J18" s="32" t="s">
        <v>223</v>
      </c>
      <c r="K18" s="34" t="s">
        <v>300</v>
      </c>
      <c r="L18" s="34"/>
      <c r="M18" s="33"/>
      <c r="N18" s="33" t="s">
        <v>216</v>
      </c>
      <c r="O18" s="33"/>
      <c r="P18" s="33"/>
      <c r="Q18" s="33"/>
      <c r="R18" s="40"/>
      <c r="S18" s="40"/>
      <c r="T18" s="40"/>
      <c r="U18" s="40"/>
      <c r="V18" s="40"/>
      <c r="W18" s="40"/>
      <c r="X18" s="40"/>
      <c r="Y18" s="40"/>
      <c r="Z18" s="40"/>
      <c r="AA18" s="40"/>
      <c r="AB18" s="40"/>
      <c r="AC18" s="40"/>
      <c r="AD18">
        <v>0</v>
      </c>
    </row>
    <row r="19" spans="1:30" ht="41.25" customHeight="1" x14ac:dyDescent="0.2">
      <c r="A19" s="32">
        <v>16</v>
      </c>
      <c r="B19" s="32" t="s">
        <v>302</v>
      </c>
      <c r="C19" s="32" t="s">
        <v>303</v>
      </c>
      <c r="D19" s="32">
        <v>2025</v>
      </c>
      <c r="E19" s="32" t="s">
        <v>241</v>
      </c>
      <c r="F19" s="32" t="s">
        <v>305</v>
      </c>
      <c r="G19" s="32" t="s">
        <v>306</v>
      </c>
      <c r="H19" s="32" t="s">
        <v>246</v>
      </c>
      <c r="I19" s="32" t="s">
        <v>15</v>
      </c>
      <c r="J19" s="32" t="s">
        <v>223</v>
      </c>
      <c r="K19" s="34" t="s">
        <v>304</v>
      </c>
      <c r="L19" s="34"/>
      <c r="M19" s="33"/>
      <c r="N19" s="33" t="s">
        <v>216</v>
      </c>
      <c r="O19" s="33"/>
      <c r="P19" s="33"/>
      <c r="Q19" s="33"/>
      <c r="R19" s="40"/>
      <c r="S19" s="40"/>
      <c r="T19" s="40"/>
      <c r="U19" s="40"/>
      <c r="V19" s="40"/>
      <c r="W19" s="40"/>
      <c r="X19" s="40"/>
      <c r="Y19" s="40"/>
      <c r="Z19" s="40"/>
      <c r="AA19" s="40"/>
      <c r="AB19" s="40"/>
      <c r="AC19" s="40"/>
      <c r="AD19">
        <v>0</v>
      </c>
    </row>
    <row r="20" spans="1:30" ht="41.25" customHeight="1" x14ac:dyDescent="0.2">
      <c r="A20" s="32">
        <v>17</v>
      </c>
      <c r="B20" s="32" t="s">
        <v>308</v>
      </c>
      <c r="C20" s="32" t="s">
        <v>309</v>
      </c>
      <c r="D20" s="32">
        <v>2025</v>
      </c>
      <c r="E20" s="32" t="s">
        <v>241</v>
      </c>
      <c r="F20" s="32" t="s">
        <v>311</v>
      </c>
      <c r="G20" s="32" t="s">
        <v>312</v>
      </c>
      <c r="H20" s="32" t="s">
        <v>246</v>
      </c>
      <c r="I20" s="32" t="s">
        <v>15</v>
      </c>
      <c r="J20" s="32" t="s">
        <v>223</v>
      </c>
      <c r="K20" s="34" t="s">
        <v>310</v>
      </c>
      <c r="L20" s="34"/>
      <c r="M20" s="33"/>
      <c r="N20" s="33" t="s">
        <v>216</v>
      </c>
      <c r="O20" s="33"/>
      <c r="P20" s="33"/>
      <c r="Q20" s="33"/>
      <c r="R20" s="40"/>
      <c r="S20" s="40"/>
      <c r="T20" s="40"/>
      <c r="U20" s="40"/>
      <c r="V20" s="40"/>
      <c r="W20" s="40"/>
      <c r="X20" s="40"/>
      <c r="Y20" s="40"/>
      <c r="Z20" s="40"/>
      <c r="AA20" s="40"/>
      <c r="AB20" s="40"/>
      <c r="AC20" s="40"/>
      <c r="AD20">
        <v>0</v>
      </c>
    </row>
    <row r="21" spans="1:30" ht="41.25" customHeight="1" x14ac:dyDescent="0.2">
      <c r="A21" s="32">
        <v>18</v>
      </c>
      <c r="B21" s="32" t="s">
        <v>314</v>
      </c>
      <c r="C21" s="32" t="s">
        <v>315</v>
      </c>
      <c r="D21" s="32">
        <v>2025</v>
      </c>
      <c r="E21" s="32" t="s">
        <v>260</v>
      </c>
      <c r="F21" s="32" t="s">
        <v>317</v>
      </c>
      <c r="G21" s="32" t="s">
        <v>318</v>
      </c>
      <c r="H21" s="32" t="s">
        <v>246</v>
      </c>
      <c r="I21" s="32" t="s">
        <v>15</v>
      </c>
      <c r="J21" s="32" t="s">
        <v>223</v>
      </c>
      <c r="K21" s="34" t="s">
        <v>316</v>
      </c>
      <c r="L21" s="32"/>
      <c r="M21" s="32"/>
      <c r="N21" s="33" t="s">
        <v>216</v>
      </c>
      <c r="O21" s="32"/>
      <c r="P21" s="32"/>
      <c r="Q21" s="32"/>
      <c r="R21" s="33"/>
      <c r="S21" s="33"/>
      <c r="T21" s="33"/>
      <c r="U21" s="34"/>
      <c r="V21" s="34"/>
      <c r="W21" s="34"/>
      <c r="X21" s="34"/>
      <c r="Y21" s="33"/>
      <c r="Z21" s="34"/>
      <c r="AA21" s="34"/>
      <c r="AB21" s="34"/>
      <c r="AC21" s="34"/>
      <c r="AD21">
        <v>0</v>
      </c>
    </row>
    <row r="22" spans="1:30" ht="41.25" customHeight="1" x14ac:dyDescent="0.2">
      <c r="A22" s="32">
        <v>19</v>
      </c>
      <c r="B22" s="32" t="s">
        <v>320</v>
      </c>
      <c r="C22" s="32" t="s">
        <v>321</v>
      </c>
      <c r="D22" s="32">
        <v>2023</v>
      </c>
      <c r="E22" s="32" t="s">
        <v>219</v>
      </c>
      <c r="F22" s="32" t="s">
        <v>323</v>
      </c>
      <c r="G22" s="32" t="s">
        <v>324</v>
      </c>
      <c r="H22" s="32" t="s">
        <v>222</v>
      </c>
      <c r="I22" s="32" t="s">
        <v>15</v>
      </c>
      <c r="J22" s="32" t="s">
        <v>223</v>
      </c>
      <c r="K22" s="34" t="s">
        <v>322</v>
      </c>
      <c r="L22" s="32"/>
      <c r="M22" s="32"/>
      <c r="N22" s="33" t="s">
        <v>216</v>
      </c>
      <c r="O22" s="32"/>
      <c r="P22" s="32"/>
      <c r="Q22" s="32"/>
      <c r="R22" s="33"/>
      <c r="S22" s="33"/>
      <c r="T22" s="33"/>
      <c r="U22" s="34"/>
      <c r="V22" s="34"/>
      <c r="W22" s="34"/>
      <c r="X22" s="34"/>
      <c r="Y22" s="34"/>
      <c r="Z22" s="34"/>
      <c r="AA22" s="34"/>
      <c r="AB22" s="34"/>
      <c r="AC22" s="34"/>
      <c r="AD22">
        <v>0</v>
      </c>
    </row>
    <row r="23" spans="1:30" ht="41.25" customHeight="1" x14ac:dyDescent="0.2">
      <c r="A23" s="32">
        <v>20</v>
      </c>
      <c r="B23" s="32" t="s">
        <v>326</v>
      </c>
      <c r="C23" s="32" t="s">
        <v>327</v>
      </c>
      <c r="D23" s="32">
        <v>2025</v>
      </c>
      <c r="E23" s="32" t="s">
        <v>233</v>
      </c>
      <c r="F23" s="32" t="s">
        <v>329</v>
      </c>
      <c r="G23" s="32" t="s">
        <v>330</v>
      </c>
      <c r="H23" s="32" t="s">
        <v>238</v>
      </c>
      <c r="I23" s="32" t="s">
        <v>15</v>
      </c>
      <c r="J23" s="32" t="s">
        <v>223</v>
      </c>
      <c r="K23" s="34" t="s">
        <v>328</v>
      </c>
      <c r="L23" s="32"/>
      <c r="M23" s="32"/>
      <c r="N23" s="33" t="s">
        <v>216</v>
      </c>
      <c r="O23" s="32"/>
      <c r="P23" s="32"/>
      <c r="Q23" s="32"/>
      <c r="R23" s="33"/>
      <c r="S23" s="33"/>
      <c r="T23" s="33"/>
      <c r="U23" s="34"/>
      <c r="V23" s="34"/>
      <c r="W23" s="34"/>
      <c r="X23" s="34"/>
      <c r="Y23" s="34"/>
      <c r="Z23" s="34"/>
      <c r="AA23" s="34"/>
      <c r="AB23" s="34"/>
      <c r="AC23" s="34"/>
      <c r="AD23">
        <v>0</v>
      </c>
    </row>
    <row r="24" spans="1:30" ht="41.25" customHeight="1" x14ac:dyDescent="0.2">
      <c r="A24" s="32">
        <v>21</v>
      </c>
      <c r="B24" s="32" t="s">
        <v>332</v>
      </c>
      <c r="C24" s="32" t="s">
        <v>333</v>
      </c>
      <c r="D24" s="32">
        <v>2022</v>
      </c>
      <c r="E24" s="32" t="s">
        <v>226</v>
      </c>
      <c r="F24" s="32" t="s">
        <v>335</v>
      </c>
      <c r="G24" s="32">
        <v>0</v>
      </c>
      <c r="H24" s="32" t="s">
        <v>230</v>
      </c>
      <c r="I24" s="32" t="s">
        <v>15</v>
      </c>
      <c r="J24" s="32" t="s">
        <v>223</v>
      </c>
      <c r="K24" s="34" t="s">
        <v>334</v>
      </c>
      <c r="L24" s="32"/>
      <c r="M24" s="32"/>
      <c r="N24" s="32"/>
      <c r="O24" s="32" t="s">
        <v>216</v>
      </c>
      <c r="P24" s="32"/>
      <c r="Q24" s="32"/>
      <c r="R24" s="33"/>
      <c r="S24" s="33"/>
      <c r="T24" s="33"/>
      <c r="U24" s="34"/>
      <c r="V24" s="34"/>
      <c r="W24" s="34"/>
      <c r="X24" s="34"/>
      <c r="Y24" s="34"/>
      <c r="Z24" s="34"/>
      <c r="AA24" s="34"/>
      <c r="AB24" s="34"/>
      <c r="AC24" s="34"/>
      <c r="AD24">
        <v>0</v>
      </c>
    </row>
    <row r="25" spans="1:30" ht="41.25" customHeight="1" x14ac:dyDescent="0.2">
      <c r="A25" s="32">
        <v>22</v>
      </c>
      <c r="B25" s="32" t="s">
        <v>337</v>
      </c>
      <c r="C25" s="32" t="s">
        <v>338</v>
      </c>
      <c r="D25" s="32">
        <v>2021</v>
      </c>
      <c r="E25" s="32" t="s">
        <v>226</v>
      </c>
      <c r="F25" s="32" t="s">
        <v>340</v>
      </c>
      <c r="G25" s="32">
        <v>0</v>
      </c>
      <c r="H25" s="32" t="s">
        <v>230</v>
      </c>
      <c r="I25" s="32" t="s">
        <v>15</v>
      </c>
      <c r="J25" s="32" t="s">
        <v>223</v>
      </c>
      <c r="K25" s="34" t="s">
        <v>339</v>
      </c>
      <c r="L25" s="32"/>
      <c r="M25" s="32"/>
      <c r="N25" s="32"/>
      <c r="O25" s="32" t="s">
        <v>216</v>
      </c>
      <c r="P25" s="32"/>
      <c r="Q25" s="32"/>
      <c r="R25" s="33"/>
      <c r="S25" s="33"/>
      <c r="T25" s="33"/>
      <c r="U25" s="33"/>
      <c r="V25" s="33"/>
      <c r="W25" s="34"/>
      <c r="X25" s="34"/>
      <c r="Y25" s="34"/>
      <c r="Z25" s="34"/>
      <c r="AA25" s="34"/>
      <c r="AB25" s="34"/>
      <c r="AC25" s="34"/>
      <c r="AD25">
        <v>0</v>
      </c>
    </row>
    <row r="26" spans="1:30" ht="41.25" customHeight="1" x14ac:dyDescent="0.2">
      <c r="A26" s="32">
        <v>23</v>
      </c>
      <c r="B26" s="32" t="s">
        <v>342</v>
      </c>
      <c r="C26" s="32" t="s">
        <v>343</v>
      </c>
      <c r="D26" s="32">
        <v>2024</v>
      </c>
      <c r="E26" s="32" t="s">
        <v>219</v>
      </c>
      <c r="F26" s="32" t="s">
        <v>345</v>
      </c>
      <c r="G26" s="32" t="s">
        <v>346</v>
      </c>
      <c r="H26" s="32" t="s">
        <v>222</v>
      </c>
      <c r="I26" s="32" t="s">
        <v>15</v>
      </c>
      <c r="J26" s="32" t="s">
        <v>223</v>
      </c>
      <c r="K26" s="34" t="s">
        <v>344</v>
      </c>
      <c r="L26" s="32"/>
      <c r="M26" s="32"/>
      <c r="N26" s="32"/>
      <c r="O26" s="32" t="s">
        <v>216</v>
      </c>
      <c r="P26" s="32"/>
      <c r="Q26" s="32"/>
      <c r="R26" s="33"/>
      <c r="S26" s="33"/>
      <c r="T26" s="33"/>
      <c r="U26" s="34"/>
      <c r="V26" s="34"/>
      <c r="W26" s="34"/>
      <c r="X26" s="34"/>
      <c r="Y26" s="34"/>
      <c r="Z26" s="34"/>
      <c r="AA26" s="34"/>
      <c r="AB26" s="34"/>
      <c r="AC26" s="34"/>
      <c r="AD26">
        <v>0</v>
      </c>
    </row>
    <row r="27" spans="1:30" ht="41.25" customHeight="1" x14ac:dyDescent="0.2">
      <c r="A27" s="32">
        <v>24</v>
      </c>
      <c r="B27" s="32" t="s">
        <v>348</v>
      </c>
      <c r="C27" s="32" t="s">
        <v>349</v>
      </c>
      <c r="D27" s="32">
        <v>2022</v>
      </c>
      <c r="E27" s="32" t="s">
        <v>219</v>
      </c>
      <c r="F27" s="32" t="s">
        <v>351</v>
      </c>
      <c r="G27" s="32" t="s">
        <v>352</v>
      </c>
      <c r="H27" s="32" t="s">
        <v>222</v>
      </c>
      <c r="I27" s="32" t="s">
        <v>15</v>
      </c>
      <c r="J27" s="32" t="s">
        <v>223</v>
      </c>
      <c r="K27" s="34" t="s">
        <v>350</v>
      </c>
      <c r="L27" s="32"/>
      <c r="M27" s="32"/>
      <c r="N27" s="32"/>
      <c r="O27" s="32" t="s">
        <v>216</v>
      </c>
      <c r="P27" s="32"/>
      <c r="Q27" s="32"/>
      <c r="R27" s="33"/>
      <c r="S27" s="33"/>
      <c r="T27" s="33"/>
      <c r="U27" s="34"/>
      <c r="V27" s="34"/>
      <c r="W27" s="34"/>
      <c r="X27" s="34"/>
      <c r="Y27" s="34"/>
      <c r="Z27" s="34"/>
      <c r="AA27" s="34"/>
      <c r="AB27" s="34"/>
      <c r="AC27" s="34"/>
      <c r="AD27">
        <v>0</v>
      </c>
    </row>
    <row r="28" spans="1:30" ht="41.25" customHeight="1" x14ac:dyDescent="0.2">
      <c r="A28" s="32">
        <v>25</v>
      </c>
      <c r="B28" s="32" t="s">
        <v>354</v>
      </c>
      <c r="C28" s="32" t="s">
        <v>355</v>
      </c>
      <c r="D28" s="32">
        <v>2023</v>
      </c>
      <c r="E28" s="32" t="s">
        <v>226</v>
      </c>
      <c r="F28" s="32" t="s">
        <v>608</v>
      </c>
      <c r="G28" s="32">
        <v>0</v>
      </c>
      <c r="H28" s="32" t="s">
        <v>230</v>
      </c>
      <c r="I28" s="32" t="s">
        <v>15</v>
      </c>
      <c r="J28" s="32" t="s">
        <v>223</v>
      </c>
      <c r="K28" s="34" t="s">
        <v>356</v>
      </c>
      <c r="L28" s="32"/>
      <c r="M28" s="32"/>
      <c r="N28" s="32"/>
      <c r="O28" s="32" t="s">
        <v>216</v>
      </c>
      <c r="P28" s="32"/>
      <c r="Q28" s="32"/>
      <c r="R28" s="33"/>
      <c r="S28" s="33"/>
      <c r="T28" s="33"/>
      <c r="U28" s="34"/>
      <c r="V28" s="34"/>
      <c r="W28" s="34"/>
      <c r="X28" s="34"/>
      <c r="Y28" s="34"/>
      <c r="Z28" s="40"/>
      <c r="AA28" s="34"/>
      <c r="AB28" s="34"/>
      <c r="AC28" s="34"/>
      <c r="AD28">
        <v>0</v>
      </c>
    </row>
    <row r="29" spans="1:30" ht="41.25" customHeight="1" x14ac:dyDescent="0.2">
      <c r="A29" s="32">
        <v>26</v>
      </c>
      <c r="B29" s="32" t="s">
        <v>358</v>
      </c>
      <c r="C29" s="32" t="s">
        <v>359</v>
      </c>
      <c r="D29" s="32">
        <v>2025</v>
      </c>
      <c r="E29" s="32" t="s">
        <v>226</v>
      </c>
      <c r="F29" s="32" t="s">
        <v>361</v>
      </c>
      <c r="G29" s="32">
        <v>0</v>
      </c>
      <c r="H29" s="32" t="s">
        <v>230</v>
      </c>
      <c r="I29" s="32" t="s">
        <v>15</v>
      </c>
      <c r="J29" s="32" t="s">
        <v>223</v>
      </c>
      <c r="K29" s="34" t="s">
        <v>360</v>
      </c>
      <c r="L29" s="32"/>
      <c r="M29" s="32"/>
      <c r="N29" s="32"/>
      <c r="O29" s="32"/>
      <c r="P29" s="32" t="s">
        <v>216</v>
      </c>
      <c r="Q29" s="32"/>
      <c r="R29" s="33"/>
      <c r="S29" s="33"/>
      <c r="T29" s="33"/>
      <c r="U29" s="34"/>
      <c r="V29" s="34"/>
      <c r="W29" s="34"/>
      <c r="X29" s="34"/>
      <c r="Y29" s="34"/>
      <c r="Z29" s="34"/>
      <c r="AA29" s="34"/>
      <c r="AB29" s="34"/>
      <c r="AC29" s="34"/>
      <c r="AD29">
        <v>0</v>
      </c>
    </row>
    <row r="30" spans="1:30" ht="41.25" customHeight="1" x14ac:dyDescent="0.2">
      <c r="A30" s="32">
        <v>27</v>
      </c>
      <c r="B30" s="32" t="s">
        <v>363</v>
      </c>
      <c r="C30" s="32" t="s">
        <v>364</v>
      </c>
      <c r="D30" s="32">
        <v>2025</v>
      </c>
      <c r="E30" s="32" t="s">
        <v>226</v>
      </c>
      <c r="F30" s="32" t="s">
        <v>366</v>
      </c>
      <c r="G30" s="32">
        <v>0</v>
      </c>
      <c r="H30" s="32" t="s">
        <v>230</v>
      </c>
      <c r="I30" s="32" t="s">
        <v>15</v>
      </c>
      <c r="J30" s="32" t="s">
        <v>223</v>
      </c>
      <c r="K30" s="34" t="s">
        <v>365</v>
      </c>
      <c r="L30" s="32"/>
      <c r="M30" s="32"/>
      <c r="N30" s="32"/>
      <c r="O30" s="32"/>
      <c r="P30" s="32" t="s">
        <v>216</v>
      </c>
      <c r="Q30" s="32"/>
      <c r="R30" s="33"/>
      <c r="S30" s="33"/>
      <c r="T30" s="33"/>
      <c r="U30" s="34"/>
      <c r="V30" s="34"/>
      <c r="W30" s="34"/>
      <c r="X30" s="34"/>
      <c r="Y30" s="34"/>
      <c r="Z30" s="34"/>
      <c r="AA30" s="34"/>
      <c r="AB30" s="34"/>
      <c r="AC30" s="34"/>
      <c r="AD30">
        <v>0</v>
      </c>
    </row>
    <row r="31" spans="1:30" ht="41.25" customHeight="1" x14ac:dyDescent="0.2">
      <c r="A31" s="32">
        <v>28</v>
      </c>
      <c r="B31" s="32" t="s">
        <v>368</v>
      </c>
      <c r="C31" s="32" t="s">
        <v>369</v>
      </c>
      <c r="D31" s="32">
        <v>2023</v>
      </c>
      <c r="E31" s="32" t="s">
        <v>226</v>
      </c>
      <c r="F31" s="32" t="s">
        <v>371</v>
      </c>
      <c r="G31" s="32">
        <v>0</v>
      </c>
      <c r="H31" s="32" t="s">
        <v>230</v>
      </c>
      <c r="I31" s="32" t="s">
        <v>15</v>
      </c>
      <c r="J31" s="32" t="s">
        <v>223</v>
      </c>
      <c r="K31" s="34" t="s">
        <v>370</v>
      </c>
      <c r="L31" s="34"/>
      <c r="M31" s="34"/>
      <c r="N31" s="34"/>
      <c r="O31" s="34"/>
      <c r="P31" s="32" t="s">
        <v>216</v>
      </c>
      <c r="Q31" s="33"/>
      <c r="R31" s="36"/>
      <c r="S31" s="36"/>
      <c r="T31" s="36"/>
      <c r="U31" s="36"/>
      <c r="V31" s="36"/>
      <c r="W31" s="36"/>
      <c r="X31" s="36"/>
      <c r="Y31" s="36"/>
      <c r="Z31" s="36"/>
      <c r="AA31" s="36"/>
      <c r="AB31" s="36"/>
      <c r="AC31" s="36"/>
    </row>
    <row r="32" spans="1:30" ht="41.25" customHeight="1" x14ac:dyDescent="0.2">
      <c r="A32" s="32"/>
      <c r="B32" s="32"/>
      <c r="C32" s="4"/>
      <c r="D32" s="32"/>
      <c r="E32" s="32"/>
      <c r="F32" s="32"/>
      <c r="G32" s="32"/>
      <c r="H32" s="33"/>
      <c r="I32" s="33"/>
      <c r="J32" s="34"/>
      <c r="K32" s="34"/>
      <c r="L32" s="34"/>
      <c r="M32" s="33"/>
      <c r="N32" s="33"/>
      <c r="O32" s="33"/>
      <c r="P32" s="33"/>
      <c r="Q32" s="33"/>
      <c r="R32" s="36"/>
      <c r="S32" s="36"/>
      <c r="T32" s="36"/>
      <c r="U32" s="36"/>
      <c r="V32" s="36"/>
      <c r="W32" s="36"/>
      <c r="X32" s="36"/>
      <c r="Y32" s="36"/>
      <c r="Z32" s="36"/>
      <c r="AA32" s="36"/>
      <c r="AB32" s="36"/>
      <c r="AC32" s="36"/>
    </row>
    <row r="33" spans="1:29" ht="41.25" customHeight="1" x14ac:dyDescent="0.2">
      <c r="A33" s="32"/>
      <c r="B33" s="32"/>
      <c r="C33" s="4"/>
      <c r="D33" s="32"/>
      <c r="E33" s="32"/>
      <c r="F33" s="32"/>
      <c r="G33" s="32"/>
      <c r="H33" s="33"/>
      <c r="I33" s="33"/>
      <c r="J33" s="34"/>
      <c r="K33" s="34"/>
      <c r="L33" s="34"/>
      <c r="M33" s="33"/>
      <c r="N33" s="33"/>
      <c r="O33" s="33"/>
      <c r="P33" s="33"/>
      <c r="Q33" s="33"/>
      <c r="R33" s="36"/>
      <c r="S33" s="36"/>
      <c r="T33" s="36"/>
      <c r="U33" s="36"/>
      <c r="V33" s="36"/>
      <c r="W33" s="36"/>
      <c r="X33" s="36"/>
      <c r="Y33" s="36"/>
      <c r="Z33" s="36"/>
      <c r="AA33" s="36"/>
      <c r="AB33" s="36"/>
      <c r="AC33" s="36"/>
    </row>
    <row r="34" spans="1:29" ht="41.25" customHeight="1" x14ac:dyDescent="0.2">
      <c r="A34" s="32"/>
      <c r="B34" s="32"/>
      <c r="C34" s="4"/>
      <c r="D34" s="32"/>
      <c r="E34" s="32"/>
      <c r="F34" s="32"/>
      <c r="G34" s="32"/>
      <c r="H34" s="33"/>
      <c r="I34" s="33"/>
      <c r="J34" s="34"/>
      <c r="K34" s="34"/>
      <c r="L34" s="34"/>
      <c r="M34" s="33"/>
      <c r="N34" s="33"/>
      <c r="O34" s="33"/>
      <c r="P34" s="33"/>
      <c r="Q34" s="33"/>
      <c r="R34" s="36"/>
      <c r="S34" s="34"/>
      <c r="T34" s="34"/>
      <c r="U34" s="34"/>
      <c r="V34" s="34"/>
      <c r="W34" s="36"/>
      <c r="X34" s="36"/>
      <c r="Y34" s="36"/>
      <c r="Z34" s="36"/>
      <c r="AA34" s="36"/>
      <c r="AB34" s="36"/>
      <c r="AC34" s="36"/>
    </row>
    <row r="35" spans="1:29" ht="41.25" customHeight="1" x14ac:dyDescent="0.2">
      <c r="A35" s="32"/>
      <c r="B35" s="32"/>
      <c r="C35" s="4"/>
      <c r="D35" s="32"/>
      <c r="E35" s="32"/>
      <c r="F35" s="32"/>
      <c r="G35" s="32"/>
      <c r="H35" s="33"/>
      <c r="I35" s="33"/>
      <c r="J35" s="34"/>
      <c r="K35" s="34"/>
      <c r="L35" s="34"/>
      <c r="M35" s="33"/>
      <c r="N35" s="33"/>
      <c r="O35" s="33"/>
      <c r="P35" s="33"/>
      <c r="Q35" s="33"/>
      <c r="R35" s="36"/>
      <c r="S35" s="36"/>
      <c r="T35" s="36"/>
      <c r="U35" s="37"/>
      <c r="V35" s="37"/>
      <c r="W35" s="37"/>
      <c r="X35" s="37"/>
      <c r="Y35" s="37"/>
      <c r="Z35" s="37"/>
      <c r="AA35" s="37"/>
      <c r="AB35" s="37"/>
      <c r="AC35" s="37"/>
    </row>
    <row r="36" spans="1:29" ht="41.25" customHeight="1" x14ac:dyDescent="0.2">
      <c r="A36" s="32"/>
      <c r="B36" s="32"/>
      <c r="C36" s="4"/>
      <c r="D36" s="32"/>
      <c r="E36" s="32"/>
      <c r="F36" s="32"/>
      <c r="G36" s="32"/>
      <c r="H36" s="33"/>
      <c r="I36" s="33"/>
      <c r="J36" s="34"/>
      <c r="K36" s="34"/>
      <c r="L36" s="34"/>
      <c r="M36" s="33"/>
      <c r="N36" s="33"/>
      <c r="O36" s="33"/>
      <c r="P36" s="33"/>
      <c r="Q36" s="33"/>
      <c r="R36" s="36"/>
      <c r="S36" s="33"/>
      <c r="T36" s="36"/>
      <c r="U36" s="37"/>
      <c r="V36" s="37"/>
      <c r="W36" s="37"/>
      <c r="X36" s="37"/>
      <c r="Y36" s="37"/>
      <c r="Z36" s="37"/>
      <c r="AA36" s="37"/>
      <c r="AB36" s="37"/>
      <c r="AC36" s="37"/>
    </row>
    <row r="37" spans="1:29" ht="41.25" customHeight="1" x14ac:dyDescent="0.2">
      <c r="A37" s="32"/>
      <c r="B37" s="32"/>
      <c r="C37" s="4"/>
      <c r="D37" s="32"/>
      <c r="E37" s="32"/>
      <c r="F37" s="32"/>
      <c r="G37" s="32"/>
      <c r="H37" s="33"/>
      <c r="I37" s="33"/>
      <c r="J37" s="34"/>
      <c r="K37" s="34"/>
      <c r="L37" s="34"/>
      <c r="M37" s="33"/>
      <c r="N37" s="33"/>
      <c r="O37" s="33"/>
      <c r="P37" s="33"/>
      <c r="Q37" s="33"/>
      <c r="R37" s="36"/>
      <c r="S37" s="36"/>
      <c r="T37" s="36"/>
      <c r="U37" s="37"/>
      <c r="V37" s="37"/>
      <c r="W37" s="37"/>
      <c r="X37" s="37"/>
      <c r="Y37" s="37"/>
      <c r="Z37" s="37"/>
      <c r="AA37" s="37"/>
      <c r="AB37" s="37"/>
      <c r="AC37" s="37"/>
    </row>
    <row r="38" spans="1:29" ht="41.25" customHeight="1" x14ac:dyDescent="0.2">
      <c r="A38" s="32"/>
      <c r="B38" s="32"/>
      <c r="C38" s="4"/>
      <c r="D38" s="32"/>
      <c r="E38" s="32"/>
      <c r="F38" s="32"/>
      <c r="G38" s="32"/>
      <c r="H38" s="33"/>
      <c r="I38" s="33"/>
      <c r="J38" s="34"/>
      <c r="K38" s="34"/>
      <c r="L38" s="34"/>
      <c r="M38" s="33"/>
      <c r="N38" s="33"/>
      <c r="O38" s="33"/>
      <c r="P38" s="33"/>
      <c r="Q38" s="33"/>
      <c r="R38" s="36"/>
      <c r="S38" s="37"/>
      <c r="T38" s="36"/>
      <c r="U38" s="37"/>
      <c r="V38" s="37"/>
      <c r="W38" s="37"/>
      <c r="X38" s="37"/>
      <c r="Y38" s="37"/>
      <c r="Z38" s="37"/>
      <c r="AA38" s="37"/>
      <c r="AB38" s="37"/>
      <c r="AC38" s="37"/>
    </row>
    <row r="39" spans="1:29" ht="41.25" customHeight="1" x14ac:dyDescent="0.2">
      <c r="A39" s="32"/>
      <c r="B39" s="32"/>
      <c r="C39" s="4"/>
      <c r="D39" s="32"/>
      <c r="E39" s="32"/>
      <c r="F39" s="32"/>
      <c r="G39" s="32"/>
      <c r="H39" s="33"/>
      <c r="I39" s="33"/>
      <c r="J39" s="34"/>
      <c r="K39" s="34"/>
      <c r="L39" s="34"/>
      <c r="M39" s="34"/>
      <c r="N39" s="34"/>
      <c r="O39" s="34"/>
      <c r="P39" s="34"/>
      <c r="Q39" s="33"/>
      <c r="R39" s="36"/>
      <c r="S39" s="36"/>
      <c r="T39" s="36"/>
      <c r="U39" s="37"/>
      <c r="V39" s="37"/>
      <c r="W39" s="37"/>
      <c r="X39" s="37"/>
      <c r="Y39" s="37"/>
      <c r="Z39" s="37"/>
      <c r="AA39" s="37"/>
      <c r="AB39" s="37"/>
      <c r="AC39" s="37"/>
    </row>
    <row r="40" spans="1:29" ht="41.25" customHeight="1" x14ac:dyDescent="0.2">
      <c r="A40" s="32"/>
      <c r="B40" s="32"/>
      <c r="C40" s="4"/>
      <c r="D40" s="32"/>
      <c r="E40" s="32"/>
      <c r="F40" s="32"/>
      <c r="G40" s="32"/>
      <c r="H40" s="33"/>
      <c r="I40" s="33"/>
      <c r="J40" s="34"/>
      <c r="K40" s="34"/>
      <c r="L40" s="34"/>
      <c r="M40" s="33"/>
      <c r="N40" s="33"/>
      <c r="O40" s="33"/>
      <c r="P40" s="33"/>
      <c r="Q40" s="33"/>
      <c r="R40" s="36"/>
      <c r="S40" s="36"/>
      <c r="T40" s="37"/>
      <c r="U40" s="37"/>
      <c r="V40" s="37"/>
      <c r="W40" s="37"/>
      <c r="X40" s="37"/>
      <c r="Y40" s="37"/>
      <c r="Z40" s="37"/>
      <c r="AA40" s="37"/>
      <c r="AB40" s="37"/>
      <c r="AC40" s="37"/>
    </row>
    <row r="41" spans="1:29" ht="41.25" customHeight="1" x14ac:dyDescent="0.2">
      <c r="A41" s="32"/>
      <c r="B41" s="32"/>
      <c r="C41" s="4"/>
      <c r="D41" s="32"/>
      <c r="E41" s="32"/>
      <c r="F41" s="32"/>
      <c r="G41" s="32"/>
      <c r="H41" s="33"/>
      <c r="I41" s="33"/>
      <c r="J41" s="34"/>
      <c r="K41" s="34"/>
      <c r="L41" s="34"/>
      <c r="M41" s="33"/>
      <c r="N41" s="33"/>
      <c r="O41" s="33"/>
      <c r="P41" s="33"/>
      <c r="Q41" s="33"/>
      <c r="R41" s="36"/>
      <c r="S41" s="37"/>
      <c r="T41" s="37"/>
      <c r="U41" s="37"/>
      <c r="V41" s="37"/>
      <c r="W41" s="37"/>
      <c r="X41" s="37"/>
      <c r="Y41" s="37"/>
      <c r="Z41" s="37"/>
      <c r="AA41" s="37"/>
      <c r="AB41" s="37"/>
      <c r="AC41" s="37"/>
    </row>
    <row r="42" spans="1:29" ht="41.25" customHeight="1" x14ac:dyDescent="0.2">
      <c r="A42" s="32"/>
      <c r="B42" s="32"/>
      <c r="C42" s="4"/>
      <c r="D42" s="32"/>
      <c r="E42" s="32"/>
      <c r="F42" s="32"/>
      <c r="G42" s="32"/>
      <c r="H42" s="33"/>
      <c r="I42" s="33"/>
      <c r="J42" s="34"/>
      <c r="K42" s="34"/>
      <c r="L42" s="34"/>
      <c r="M42" s="33"/>
      <c r="N42" s="33"/>
      <c r="O42" s="33"/>
      <c r="P42" s="33"/>
      <c r="Q42" s="33"/>
      <c r="R42" s="36"/>
      <c r="S42" s="36"/>
      <c r="T42" s="37"/>
      <c r="U42" s="37"/>
      <c r="V42" s="37"/>
      <c r="W42" s="37"/>
      <c r="X42" s="37"/>
      <c r="Y42" s="37"/>
      <c r="Z42" s="37"/>
      <c r="AA42" s="37"/>
      <c r="AB42" s="37"/>
      <c r="AC42" s="37"/>
    </row>
    <row r="43" spans="1:29" ht="41.25" customHeight="1" x14ac:dyDescent="0.2">
      <c r="A43" s="32"/>
      <c r="B43" s="32"/>
      <c r="C43" s="4"/>
      <c r="D43" s="32"/>
      <c r="E43" s="32"/>
      <c r="F43" s="32"/>
      <c r="G43" s="32"/>
      <c r="H43" s="33"/>
      <c r="I43" s="33"/>
      <c r="J43" s="34"/>
      <c r="K43" s="34"/>
      <c r="L43" s="34"/>
      <c r="M43" s="33"/>
      <c r="N43" s="33"/>
      <c r="O43" s="33"/>
      <c r="P43" s="33"/>
      <c r="Q43" s="33"/>
      <c r="R43" s="36"/>
      <c r="S43" s="36"/>
      <c r="T43" s="37"/>
      <c r="U43" s="37"/>
      <c r="V43" s="37"/>
      <c r="W43" s="37"/>
      <c r="X43" s="37"/>
      <c r="Y43" s="37"/>
      <c r="Z43" s="37"/>
      <c r="AA43" s="37"/>
      <c r="AB43" s="37"/>
      <c r="AC43" s="37"/>
    </row>
    <row r="44" spans="1:29" ht="41.25" customHeight="1" x14ac:dyDescent="0.2">
      <c r="A44" s="32"/>
      <c r="B44" s="32"/>
      <c r="C44" s="4"/>
      <c r="D44" s="32"/>
      <c r="E44" s="32"/>
      <c r="F44" s="32"/>
      <c r="G44" s="32"/>
      <c r="H44" s="33"/>
      <c r="I44" s="33"/>
      <c r="J44" s="34"/>
      <c r="K44" s="34"/>
      <c r="L44" s="34"/>
      <c r="M44" s="33"/>
      <c r="N44" s="33"/>
      <c r="O44" s="33"/>
      <c r="P44" s="33"/>
      <c r="Q44" s="33"/>
      <c r="R44" s="36"/>
      <c r="S44" s="36"/>
      <c r="T44" s="37"/>
      <c r="U44" s="37"/>
      <c r="V44" s="37"/>
      <c r="W44" s="37"/>
      <c r="X44" s="37"/>
      <c r="Y44" s="37"/>
      <c r="Z44" s="37"/>
      <c r="AA44" s="37"/>
      <c r="AB44" s="36"/>
      <c r="AC44" s="37"/>
    </row>
    <row r="45" spans="1:29" ht="41.25" customHeight="1" x14ac:dyDescent="0.2">
      <c r="A45" s="32"/>
      <c r="B45" s="32"/>
      <c r="C45" s="4"/>
      <c r="D45" s="32"/>
      <c r="E45" s="32"/>
      <c r="F45" s="32"/>
      <c r="G45" s="32"/>
      <c r="H45" s="33"/>
      <c r="I45" s="33"/>
      <c r="J45" s="34"/>
      <c r="K45" s="34"/>
      <c r="L45" s="34"/>
      <c r="M45" s="33"/>
      <c r="N45" s="33"/>
      <c r="O45" s="33"/>
      <c r="P45" s="33"/>
      <c r="Q45" s="33"/>
      <c r="R45" s="36"/>
      <c r="S45" s="36"/>
      <c r="T45" s="36"/>
      <c r="U45" s="37"/>
      <c r="V45" s="37"/>
      <c r="W45" s="37"/>
      <c r="X45" s="37"/>
      <c r="Y45" s="37"/>
      <c r="Z45" s="37"/>
      <c r="AA45" s="37"/>
      <c r="AB45" s="37"/>
      <c r="AC45" s="37"/>
    </row>
    <row r="46" spans="1:29" ht="41.25" customHeight="1" x14ac:dyDescent="0.2">
      <c r="A46" s="32"/>
      <c r="B46" s="32"/>
      <c r="C46" s="4"/>
      <c r="D46" s="32"/>
      <c r="E46" s="32"/>
      <c r="F46" s="32"/>
      <c r="G46" s="32"/>
      <c r="H46" s="33"/>
      <c r="I46" s="33"/>
      <c r="J46" s="34"/>
      <c r="K46" s="34"/>
      <c r="L46" s="34"/>
      <c r="M46" s="33"/>
      <c r="N46" s="33"/>
      <c r="O46" s="33"/>
      <c r="P46" s="33"/>
      <c r="Q46" s="33"/>
      <c r="R46" s="36"/>
      <c r="S46" s="36"/>
      <c r="T46" s="37"/>
      <c r="U46" s="37"/>
      <c r="V46" s="37"/>
      <c r="W46" s="37"/>
      <c r="X46" s="37"/>
      <c r="Y46" s="37"/>
      <c r="Z46" s="37"/>
      <c r="AA46" s="37"/>
      <c r="AB46" s="37"/>
      <c r="AC46" s="37"/>
    </row>
    <row r="47" spans="1:29" ht="41.25" customHeight="1" x14ac:dyDescent="0.2">
      <c r="A47" s="32"/>
      <c r="B47" s="32"/>
      <c r="C47" s="4"/>
      <c r="D47" s="32"/>
      <c r="E47" s="32"/>
      <c r="F47" s="32"/>
      <c r="G47" s="32"/>
      <c r="H47" s="33"/>
      <c r="I47" s="33"/>
      <c r="J47" s="34"/>
      <c r="K47" s="34"/>
      <c r="L47" s="34"/>
      <c r="M47" s="33"/>
      <c r="N47" s="33"/>
      <c r="O47" s="33"/>
      <c r="P47" s="33"/>
      <c r="Q47" s="33"/>
      <c r="R47" s="36"/>
      <c r="S47" s="36"/>
      <c r="T47" s="37"/>
      <c r="U47" s="37"/>
      <c r="V47" s="37"/>
      <c r="W47" s="37"/>
      <c r="X47" s="41"/>
      <c r="Y47" s="37"/>
      <c r="Z47" s="37"/>
      <c r="AA47" s="37"/>
      <c r="AB47" s="37"/>
      <c r="AC47" s="37"/>
    </row>
    <row r="48" spans="1:29" ht="41.25" customHeight="1" x14ac:dyDescent="0.2">
      <c r="A48" s="32"/>
      <c r="B48" s="32"/>
      <c r="C48" s="4"/>
      <c r="D48" s="32"/>
      <c r="E48" s="32"/>
      <c r="F48" s="32"/>
      <c r="G48" s="32"/>
      <c r="H48" s="33"/>
      <c r="I48" s="33"/>
      <c r="J48" s="34"/>
      <c r="K48" s="34"/>
      <c r="L48" s="34"/>
      <c r="M48" s="33"/>
      <c r="N48" s="33"/>
      <c r="O48" s="33"/>
      <c r="P48" s="33"/>
      <c r="Q48" s="33"/>
      <c r="R48" s="33"/>
      <c r="S48" s="33"/>
      <c r="T48" s="33"/>
      <c r="U48" s="33"/>
      <c r="V48" s="33"/>
      <c r="W48" s="34"/>
      <c r="X48" s="34"/>
      <c r="Y48" s="34"/>
      <c r="Z48" s="34"/>
      <c r="AA48" s="34"/>
      <c r="AB48" s="34"/>
      <c r="AC48" s="34"/>
    </row>
    <row r="49" spans="1:29" ht="41.25" customHeight="1" x14ac:dyDescent="0.2">
      <c r="A49" s="32"/>
      <c r="B49" s="32"/>
      <c r="C49" s="4"/>
      <c r="D49" s="32"/>
      <c r="E49" s="32"/>
      <c r="F49" s="32"/>
      <c r="G49" s="32"/>
      <c r="H49" s="33"/>
      <c r="I49" s="33"/>
      <c r="J49" s="34"/>
      <c r="K49" s="34"/>
      <c r="L49" s="34"/>
      <c r="M49" s="33"/>
      <c r="N49" s="33"/>
      <c r="O49" s="33"/>
      <c r="P49" s="33"/>
      <c r="Q49" s="33"/>
      <c r="R49" s="33"/>
      <c r="S49" s="33"/>
      <c r="T49" s="33"/>
      <c r="U49" s="34"/>
      <c r="V49" s="34"/>
      <c r="W49" s="34"/>
      <c r="X49" s="34"/>
      <c r="Y49" s="34"/>
      <c r="Z49" s="34"/>
      <c r="AA49" s="34"/>
      <c r="AB49" s="33"/>
      <c r="AC49" s="34"/>
    </row>
    <row r="50" spans="1:29" ht="41.25" customHeight="1" x14ac:dyDescent="0.2">
      <c r="A50" s="32"/>
      <c r="B50" s="32"/>
      <c r="C50" s="4"/>
      <c r="D50" s="32"/>
      <c r="E50" s="32"/>
      <c r="F50" s="32"/>
      <c r="G50" s="32"/>
      <c r="H50" s="33"/>
      <c r="I50" s="33"/>
      <c r="J50" s="34"/>
      <c r="K50" s="34"/>
      <c r="L50" s="34"/>
      <c r="M50" s="33"/>
      <c r="N50" s="33"/>
      <c r="O50" s="33"/>
      <c r="P50" s="33"/>
      <c r="Q50" s="33"/>
      <c r="R50" s="33"/>
      <c r="S50" s="33"/>
      <c r="T50" s="34"/>
      <c r="U50" s="34"/>
      <c r="V50" s="34"/>
      <c r="W50" s="34"/>
      <c r="X50" s="34"/>
      <c r="Y50" s="34"/>
      <c r="Z50" s="34"/>
      <c r="AA50" s="34"/>
      <c r="AB50" s="34"/>
      <c r="AC50" s="34"/>
    </row>
    <row r="51" spans="1:29" ht="41.25" customHeight="1" x14ac:dyDescent="0.2">
      <c r="A51" s="32"/>
      <c r="B51" s="32"/>
      <c r="C51" s="4"/>
      <c r="D51" s="32"/>
      <c r="E51" s="32"/>
      <c r="F51" s="32"/>
      <c r="G51" s="32"/>
      <c r="H51" s="33"/>
      <c r="I51" s="33"/>
      <c r="J51" s="34"/>
      <c r="K51" s="34"/>
      <c r="L51" s="34"/>
      <c r="M51" s="33"/>
      <c r="N51" s="33"/>
      <c r="O51" s="33"/>
      <c r="P51" s="33"/>
      <c r="Q51" s="33"/>
      <c r="R51" s="33"/>
      <c r="S51" s="34"/>
      <c r="T51" s="34"/>
      <c r="U51" s="34"/>
      <c r="V51" s="34"/>
      <c r="W51" s="34"/>
      <c r="X51" s="34"/>
      <c r="Y51" s="34"/>
      <c r="Z51" s="34"/>
      <c r="AA51" s="34"/>
      <c r="AB51" s="34"/>
      <c r="AC51" s="34"/>
    </row>
    <row r="52" spans="1:29" ht="41.25" customHeight="1" x14ac:dyDescent="0.2">
      <c r="A52" s="32"/>
      <c r="B52" s="32"/>
      <c r="C52" s="4"/>
      <c r="D52" s="32"/>
      <c r="E52" s="32"/>
      <c r="F52" s="32"/>
      <c r="G52" s="32"/>
      <c r="H52" s="33"/>
      <c r="I52" s="33"/>
      <c r="J52" s="34"/>
      <c r="K52" s="34"/>
      <c r="L52" s="34"/>
      <c r="M52" s="33"/>
      <c r="N52" s="33"/>
      <c r="O52" s="33"/>
      <c r="P52" s="33"/>
      <c r="Q52" s="33"/>
      <c r="R52" s="33"/>
      <c r="S52" s="33"/>
      <c r="T52" s="33"/>
      <c r="U52" s="34"/>
      <c r="V52" s="34"/>
      <c r="W52" s="34"/>
      <c r="X52" s="34"/>
      <c r="Y52" s="34"/>
      <c r="Z52" s="34"/>
      <c r="AA52" s="34"/>
      <c r="AB52" s="34"/>
      <c r="AC52" s="34"/>
    </row>
    <row r="53" spans="1:29" ht="41.25" customHeight="1" x14ac:dyDescent="0.2">
      <c r="A53" s="32"/>
      <c r="B53" s="32"/>
      <c r="C53" s="4"/>
      <c r="D53" s="32"/>
      <c r="E53" s="32"/>
      <c r="F53" s="32"/>
      <c r="G53" s="32"/>
      <c r="H53" s="33"/>
      <c r="I53" s="33"/>
      <c r="J53" s="34"/>
      <c r="K53" s="34"/>
      <c r="L53" s="34"/>
      <c r="M53" s="33"/>
      <c r="N53" s="33"/>
      <c r="O53" s="33"/>
      <c r="P53" s="33"/>
      <c r="Q53" s="33"/>
      <c r="R53" s="33"/>
      <c r="S53" s="33"/>
      <c r="T53" s="33"/>
      <c r="U53" s="33"/>
      <c r="V53" s="33"/>
      <c r="W53" s="34"/>
      <c r="X53" s="34"/>
      <c r="Y53" s="34"/>
      <c r="Z53" s="34"/>
      <c r="AA53" s="34"/>
      <c r="AB53" s="34"/>
      <c r="AC53" s="34"/>
    </row>
    <row r="54" spans="1:29" ht="41.25" customHeight="1" x14ac:dyDescent="0.2">
      <c r="A54" s="32"/>
      <c r="B54" s="32"/>
      <c r="C54" s="4"/>
      <c r="D54" s="32"/>
      <c r="E54" s="32"/>
      <c r="F54" s="32"/>
      <c r="G54" s="32"/>
      <c r="H54" s="33"/>
      <c r="I54" s="33"/>
      <c r="J54" s="34"/>
      <c r="K54" s="34"/>
      <c r="L54" s="34"/>
      <c r="M54" s="33"/>
      <c r="N54" s="33"/>
      <c r="O54" s="33"/>
      <c r="P54" s="33"/>
      <c r="Q54" s="33"/>
      <c r="R54" s="33"/>
      <c r="S54" s="34"/>
      <c r="T54" s="34"/>
      <c r="U54" s="34"/>
      <c r="V54" s="34"/>
      <c r="W54" s="34"/>
      <c r="X54" s="34"/>
      <c r="Y54" s="34"/>
      <c r="Z54" s="34"/>
      <c r="AA54" s="34"/>
      <c r="AB54" s="34"/>
      <c r="AC54" s="34"/>
    </row>
    <row r="55" spans="1:29" ht="41.25" customHeight="1" x14ac:dyDescent="0.2">
      <c r="A55" s="32"/>
      <c r="B55" s="32"/>
      <c r="C55" s="4"/>
      <c r="D55" s="32"/>
      <c r="E55" s="32"/>
      <c r="F55" s="32"/>
      <c r="G55" s="32"/>
      <c r="H55" s="33"/>
      <c r="I55" s="33"/>
      <c r="J55" s="34"/>
      <c r="K55" s="34"/>
      <c r="L55" s="34"/>
      <c r="M55" s="33"/>
      <c r="N55" s="33"/>
      <c r="O55" s="33"/>
      <c r="P55" s="33"/>
      <c r="Q55" s="33"/>
      <c r="R55" s="36"/>
      <c r="S55" s="36"/>
      <c r="T55" s="36"/>
      <c r="U55" s="37"/>
      <c r="V55" s="37"/>
      <c r="W55" s="37"/>
      <c r="X55" s="37"/>
      <c r="Y55" s="37"/>
      <c r="Z55" s="37"/>
      <c r="AA55" s="37"/>
      <c r="AB55" s="37"/>
      <c r="AC55" s="37"/>
    </row>
    <row r="56" spans="1:29" ht="41.25" customHeight="1" x14ac:dyDescent="0.2">
      <c r="A56" s="32"/>
      <c r="B56" s="32"/>
      <c r="C56" s="4"/>
      <c r="D56" s="32"/>
      <c r="E56" s="32"/>
      <c r="F56" s="32"/>
      <c r="G56" s="32"/>
      <c r="H56" s="33"/>
      <c r="I56" s="33"/>
      <c r="J56" s="34"/>
      <c r="K56" s="34"/>
      <c r="L56" s="34"/>
      <c r="M56" s="33"/>
      <c r="N56" s="33"/>
      <c r="O56" s="33"/>
      <c r="P56" s="33"/>
      <c r="Q56" s="33"/>
      <c r="R56" s="36"/>
      <c r="S56" s="36"/>
      <c r="T56" s="37"/>
      <c r="U56" s="37"/>
      <c r="V56" s="37"/>
      <c r="W56" s="37"/>
      <c r="X56" s="37"/>
      <c r="Y56" s="37"/>
      <c r="Z56" s="37"/>
      <c r="AA56" s="37"/>
      <c r="AB56" s="37"/>
      <c r="AC56" s="37"/>
    </row>
    <row r="57" spans="1:29" ht="41.25" customHeight="1" x14ac:dyDescent="0.2">
      <c r="A57" s="32"/>
      <c r="B57" s="32"/>
      <c r="C57" s="4"/>
      <c r="D57" s="32"/>
      <c r="E57" s="32"/>
      <c r="F57" s="32"/>
      <c r="G57" s="32"/>
      <c r="H57" s="33"/>
      <c r="I57" s="33"/>
      <c r="J57" s="34"/>
      <c r="K57" s="34"/>
      <c r="L57" s="34"/>
      <c r="M57" s="33"/>
      <c r="N57" s="33"/>
      <c r="O57" s="33"/>
      <c r="P57" s="33"/>
      <c r="Q57" s="33"/>
      <c r="R57" s="34"/>
      <c r="S57" s="34"/>
      <c r="T57" s="34"/>
      <c r="U57" s="34"/>
      <c r="V57" s="34"/>
      <c r="W57" s="34"/>
      <c r="X57" s="34"/>
      <c r="Y57" s="34"/>
      <c r="Z57" s="34"/>
      <c r="AA57" s="34"/>
      <c r="AB57" s="34"/>
      <c r="AC57" s="34"/>
    </row>
    <row r="58" spans="1:29" ht="14.25" customHeight="1" x14ac:dyDescent="0.2">
      <c r="A58" s="34"/>
      <c r="B58" s="34"/>
      <c r="C58" s="33"/>
      <c r="D58" s="34"/>
      <c r="E58" s="34"/>
      <c r="F58" s="34"/>
      <c r="G58" s="34"/>
      <c r="H58" s="33"/>
      <c r="I58" s="33"/>
      <c r="J58" s="34"/>
      <c r="K58" s="34"/>
      <c r="L58" s="34"/>
      <c r="M58" s="33"/>
      <c r="N58" s="33"/>
      <c r="O58" s="33"/>
      <c r="P58" s="33"/>
      <c r="Q58" s="34"/>
      <c r="R58" s="33"/>
      <c r="S58" s="34"/>
      <c r="T58" s="34"/>
      <c r="U58" s="34"/>
      <c r="V58" s="34"/>
      <c r="W58" s="34"/>
      <c r="X58" s="34"/>
      <c r="Y58" s="34"/>
      <c r="Z58" s="34"/>
      <c r="AA58" s="34"/>
      <c r="AB58" s="34"/>
      <c r="AC58" s="34"/>
    </row>
    <row r="59" spans="1:29" ht="14.25" customHeight="1" x14ac:dyDescent="0.2">
      <c r="A59" s="34"/>
      <c r="B59" s="34"/>
      <c r="C59" s="33"/>
      <c r="D59" s="34"/>
      <c r="E59" s="34"/>
      <c r="F59" s="34"/>
      <c r="G59" s="34"/>
      <c r="H59" s="33"/>
      <c r="I59" s="33"/>
      <c r="J59" s="34"/>
      <c r="K59" s="34"/>
      <c r="L59" s="34"/>
      <c r="M59" s="33"/>
      <c r="N59" s="33"/>
      <c r="O59" s="33"/>
      <c r="P59" s="33"/>
      <c r="Q59" s="34"/>
      <c r="R59" s="33"/>
      <c r="S59" s="33"/>
      <c r="T59" s="34"/>
      <c r="U59" s="34"/>
      <c r="V59" s="34"/>
      <c r="W59" s="34"/>
      <c r="X59" s="34"/>
      <c r="Y59" s="34"/>
      <c r="Z59" s="34"/>
      <c r="AA59" s="34"/>
      <c r="AB59" s="34"/>
      <c r="AC59" s="34"/>
    </row>
    <row r="60" spans="1:29" ht="14.25" customHeight="1" x14ac:dyDescent="0.2">
      <c r="A60" s="34"/>
      <c r="B60" s="34"/>
      <c r="C60" s="33"/>
      <c r="D60" s="34"/>
      <c r="E60" s="34"/>
      <c r="F60" s="34"/>
      <c r="G60" s="34"/>
      <c r="H60" s="33"/>
      <c r="I60" s="33"/>
      <c r="J60" s="34"/>
      <c r="K60" s="34"/>
      <c r="L60" s="34"/>
      <c r="M60" s="33"/>
      <c r="N60" s="33"/>
      <c r="O60" s="33"/>
      <c r="P60" s="33"/>
      <c r="Q60" s="34"/>
      <c r="R60" s="33"/>
      <c r="S60" s="33"/>
      <c r="T60" s="34"/>
      <c r="U60" s="34"/>
      <c r="V60" s="34"/>
      <c r="W60" s="34"/>
      <c r="X60" s="34"/>
      <c r="Y60" s="34"/>
      <c r="Z60" s="34"/>
      <c r="AA60" s="34"/>
      <c r="AB60" s="34"/>
      <c r="AC60" s="34"/>
    </row>
    <row r="61" spans="1:29" ht="14.25" customHeight="1" x14ac:dyDescent="0.2">
      <c r="A61" s="34"/>
      <c r="B61" s="34"/>
      <c r="C61" s="33"/>
      <c r="D61" s="34"/>
      <c r="E61" s="34"/>
      <c r="F61" s="34"/>
      <c r="G61" s="34"/>
      <c r="H61" s="33"/>
      <c r="I61" s="33"/>
      <c r="J61" s="34"/>
      <c r="K61" s="34"/>
      <c r="L61" s="34"/>
      <c r="M61" s="33"/>
      <c r="N61" s="33"/>
      <c r="O61" s="33"/>
      <c r="P61" s="33"/>
      <c r="Q61" s="34"/>
      <c r="R61" s="33"/>
      <c r="S61" s="33"/>
      <c r="T61" s="34"/>
      <c r="U61" s="34"/>
      <c r="V61" s="34"/>
      <c r="W61" s="34"/>
      <c r="X61" s="34"/>
      <c r="Y61" s="34"/>
      <c r="Z61" s="34"/>
      <c r="AA61" s="34"/>
      <c r="AB61" s="34"/>
      <c r="AC61" s="34"/>
    </row>
    <row r="62" spans="1:29" ht="14.25" customHeight="1" x14ac:dyDescent="0.2">
      <c r="A62" s="34"/>
      <c r="B62" s="34"/>
      <c r="C62" s="33"/>
      <c r="D62" s="34"/>
      <c r="E62" s="34"/>
      <c r="F62" s="34"/>
      <c r="G62" s="34"/>
      <c r="H62" s="33"/>
      <c r="I62" s="33"/>
      <c r="J62" s="34"/>
      <c r="K62" s="34"/>
      <c r="L62" s="34"/>
      <c r="M62" s="34"/>
      <c r="N62" s="34"/>
      <c r="O62" s="34"/>
      <c r="P62" s="34"/>
      <c r="Q62" s="33"/>
      <c r="R62" s="33"/>
      <c r="S62" s="33"/>
      <c r="T62" s="34"/>
      <c r="U62" s="34"/>
      <c r="V62" s="34"/>
      <c r="W62" s="34"/>
      <c r="X62" s="34"/>
      <c r="Y62" s="34"/>
      <c r="Z62" s="34"/>
      <c r="AA62" s="34"/>
      <c r="AB62" s="34"/>
      <c r="AC62" s="34"/>
    </row>
    <row r="63" spans="1:29" ht="14.25" customHeight="1" x14ac:dyDescent="0.2">
      <c r="A63" s="34"/>
      <c r="B63" s="34"/>
      <c r="C63" s="33"/>
      <c r="D63" s="34"/>
      <c r="E63" s="34"/>
      <c r="F63" s="34"/>
      <c r="G63" s="34"/>
      <c r="H63" s="33"/>
      <c r="I63" s="33"/>
      <c r="J63" s="34"/>
      <c r="K63" s="34"/>
      <c r="L63" s="34"/>
      <c r="M63" s="34"/>
      <c r="N63" s="34"/>
      <c r="O63" s="34"/>
      <c r="P63" s="34"/>
      <c r="Q63" s="33"/>
      <c r="R63" s="33"/>
      <c r="S63" s="33"/>
      <c r="T63" s="34"/>
      <c r="U63" s="34"/>
      <c r="V63" s="34"/>
      <c r="W63" s="34"/>
      <c r="X63" s="34"/>
      <c r="Y63" s="34"/>
      <c r="Z63" s="34"/>
      <c r="AA63" s="34"/>
      <c r="AB63" s="34"/>
      <c r="AC63" s="34"/>
    </row>
    <row r="64" spans="1:29" ht="14.25" customHeight="1" x14ac:dyDescent="0.2">
      <c r="A64" s="34"/>
      <c r="B64" s="34"/>
      <c r="C64" s="33"/>
      <c r="D64" s="34"/>
      <c r="E64" s="34"/>
      <c r="F64" s="34"/>
      <c r="G64" s="34"/>
      <c r="H64" s="33"/>
      <c r="I64" s="33"/>
      <c r="J64" s="34"/>
      <c r="K64" s="34"/>
      <c r="L64" s="34"/>
      <c r="M64" s="33"/>
      <c r="N64" s="33"/>
      <c r="O64" s="33"/>
      <c r="P64" s="33"/>
      <c r="Q64" s="34"/>
      <c r="R64" s="33"/>
      <c r="S64" s="33"/>
      <c r="T64" s="34"/>
      <c r="U64" s="34"/>
      <c r="V64" s="34"/>
      <c r="W64" s="34"/>
      <c r="X64" s="34"/>
      <c r="Y64" s="34"/>
      <c r="Z64" s="34"/>
      <c r="AA64" s="34"/>
      <c r="AB64" s="34"/>
      <c r="AC64" s="34"/>
    </row>
    <row r="65" spans="1:29" ht="14.25" customHeight="1" x14ac:dyDescent="0.2">
      <c r="A65" s="34"/>
      <c r="B65" s="34"/>
      <c r="C65" s="33"/>
      <c r="D65" s="34"/>
      <c r="E65" s="34"/>
      <c r="F65" s="34"/>
      <c r="G65" s="34"/>
      <c r="H65" s="33"/>
      <c r="I65" s="33"/>
      <c r="J65" s="34"/>
      <c r="K65" s="34"/>
      <c r="L65" s="34"/>
      <c r="M65" s="34"/>
      <c r="N65" s="34"/>
      <c r="O65" s="34"/>
      <c r="P65" s="34"/>
      <c r="Q65" s="33"/>
      <c r="R65" s="33"/>
      <c r="S65" s="33"/>
      <c r="T65" s="34"/>
      <c r="U65" s="34"/>
      <c r="V65" s="34"/>
      <c r="W65" s="34"/>
      <c r="X65" s="34"/>
      <c r="Y65" s="34"/>
      <c r="Z65" s="34"/>
      <c r="AA65" s="34"/>
      <c r="AB65" s="34"/>
      <c r="AC65" s="34"/>
    </row>
    <row r="66" spans="1:29" ht="14.25" customHeight="1" x14ac:dyDescent="0.2">
      <c r="A66" s="34"/>
      <c r="B66" s="34"/>
      <c r="C66" s="33"/>
      <c r="D66" s="34"/>
      <c r="E66" s="34"/>
      <c r="F66" s="34"/>
      <c r="G66" s="34"/>
      <c r="H66" s="33"/>
      <c r="I66" s="33"/>
      <c r="J66" s="34"/>
      <c r="K66" s="34"/>
      <c r="L66" s="34"/>
      <c r="M66" s="34"/>
      <c r="N66" s="34"/>
      <c r="O66" s="34"/>
      <c r="P66" s="34"/>
      <c r="Q66" s="33"/>
      <c r="R66" s="33"/>
      <c r="S66" s="33"/>
      <c r="T66" s="34"/>
      <c r="U66" s="34"/>
      <c r="V66" s="34"/>
      <c r="W66" s="34"/>
      <c r="X66" s="34"/>
      <c r="Y66" s="34"/>
      <c r="Z66" s="34"/>
      <c r="AA66" s="34"/>
      <c r="AB66" s="34"/>
      <c r="AC66" s="34"/>
    </row>
    <row r="67" spans="1:29" ht="14.25" customHeight="1" x14ac:dyDescent="0.2">
      <c r="A67" s="34"/>
      <c r="B67" s="34"/>
      <c r="C67" s="33"/>
      <c r="D67" s="34"/>
      <c r="E67" s="34"/>
      <c r="F67" s="34"/>
      <c r="G67" s="34"/>
      <c r="H67" s="33"/>
      <c r="I67" s="33"/>
      <c r="J67" s="34"/>
      <c r="K67" s="34"/>
      <c r="L67" s="34"/>
      <c r="M67" s="33"/>
      <c r="N67" s="33"/>
      <c r="O67" s="33"/>
      <c r="P67" s="33"/>
      <c r="Q67" s="34"/>
      <c r="R67" s="33"/>
      <c r="S67" s="33"/>
      <c r="T67" s="34"/>
      <c r="U67" s="34"/>
      <c r="V67" s="34"/>
      <c r="W67" s="34"/>
      <c r="X67" s="34"/>
      <c r="Y67" s="34"/>
      <c r="Z67" s="34"/>
      <c r="AA67" s="34"/>
      <c r="AB67" s="34"/>
      <c r="AC67" s="34"/>
    </row>
    <row r="68" spans="1:29" ht="14.25" customHeight="1" x14ac:dyDescent="0.2">
      <c r="A68" s="34"/>
      <c r="B68" s="34"/>
      <c r="C68" s="33"/>
      <c r="D68" s="34"/>
      <c r="E68" s="34"/>
      <c r="F68" s="34"/>
      <c r="G68" s="34"/>
      <c r="H68" s="33"/>
      <c r="I68" s="33"/>
      <c r="J68" s="34"/>
      <c r="K68" s="34"/>
      <c r="L68" s="34"/>
      <c r="M68" s="33"/>
      <c r="N68" s="33"/>
      <c r="O68" s="33"/>
      <c r="P68" s="33"/>
      <c r="Q68" s="34"/>
      <c r="R68" s="33"/>
      <c r="S68" s="34"/>
      <c r="T68" s="34"/>
      <c r="U68" s="34"/>
      <c r="V68" s="34"/>
      <c r="W68" s="34"/>
      <c r="X68" s="34"/>
      <c r="Y68" s="34"/>
      <c r="Z68" s="34"/>
      <c r="AA68" s="34"/>
      <c r="AB68" s="34"/>
      <c r="AC68" s="34"/>
    </row>
    <row r="69" spans="1:29" ht="14.25" customHeight="1" x14ac:dyDescent="0.2">
      <c r="A69" s="34"/>
      <c r="B69" s="34"/>
      <c r="C69" s="33"/>
      <c r="D69" s="34"/>
      <c r="E69" s="34"/>
      <c r="F69" s="34"/>
      <c r="G69" s="34"/>
      <c r="H69" s="33"/>
      <c r="I69" s="33"/>
      <c r="J69" s="34"/>
      <c r="K69" s="34"/>
      <c r="L69" s="34"/>
      <c r="M69" s="33"/>
      <c r="N69" s="33"/>
      <c r="O69" s="33"/>
      <c r="P69" s="33"/>
      <c r="Q69" s="34"/>
      <c r="R69" s="33"/>
      <c r="S69" s="33"/>
      <c r="T69" s="34"/>
      <c r="U69" s="34"/>
      <c r="V69" s="34"/>
      <c r="W69" s="34"/>
      <c r="X69" s="34"/>
      <c r="Y69" s="34"/>
      <c r="Z69" s="34"/>
      <c r="AA69" s="34"/>
      <c r="AB69" s="34"/>
      <c r="AC69" s="34"/>
    </row>
    <row r="70" spans="1:29" ht="14.25" customHeight="1" x14ac:dyDescent="0.2">
      <c r="A70" s="34"/>
      <c r="B70" s="34"/>
      <c r="C70" s="33"/>
      <c r="D70" s="34"/>
      <c r="E70" s="34"/>
      <c r="F70" s="34"/>
      <c r="G70" s="34"/>
      <c r="H70" s="33"/>
      <c r="I70" s="33"/>
      <c r="J70" s="34"/>
      <c r="K70" s="34"/>
      <c r="L70" s="34"/>
      <c r="M70" s="33"/>
      <c r="N70" s="33"/>
      <c r="O70" s="33"/>
      <c r="P70" s="33"/>
      <c r="Q70" s="34"/>
      <c r="R70" s="33"/>
      <c r="S70" s="33"/>
      <c r="T70" s="34"/>
      <c r="U70" s="34"/>
      <c r="V70" s="34"/>
      <c r="W70" s="34"/>
      <c r="X70" s="34"/>
      <c r="Y70" s="34"/>
      <c r="Z70" s="34"/>
      <c r="AA70" s="34"/>
      <c r="AB70" s="34"/>
      <c r="AC70" s="34"/>
    </row>
    <row r="71" spans="1:29" ht="14.25" customHeight="1" x14ac:dyDescent="0.2">
      <c r="A71" s="34"/>
      <c r="B71" s="34"/>
      <c r="C71" s="33"/>
      <c r="D71" s="34"/>
      <c r="E71" s="34"/>
      <c r="F71" s="34"/>
      <c r="G71" s="34"/>
      <c r="H71" s="33"/>
      <c r="I71" s="33"/>
      <c r="J71" s="34"/>
      <c r="K71" s="34"/>
      <c r="L71" s="34"/>
      <c r="M71" s="33"/>
      <c r="N71" s="33"/>
      <c r="O71" s="33"/>
      <c r="P71" s="33"/>
      <c r="Q71" s="34"/>
      <c r="R71" s="33"/>
      <c r="S71" s="33"/>
      <c r="T71" s="34"/>
      <c r="U71" s="34"/>
      <c r="V71" s="34"/>
      <c r="W71" s="34"/>
      <c r="X71" s="34"/>
      <c r="Y71" s="34"/>
      <c r="Z71" s="34"/>
      <c r="AA71" s="34"/>
      <c r="AB71" s="34"/>
      <c r="AC71" s="34"/>
    </row>
    <row r="72" spans="1:29" ht="14.25" customHeight="1" x14ac:dyDescent="0.2">
      <c r="A72" s="34"/>
      <c r="B72" s="34"/>
      <c r="C72" s="33"/>
      <c r="D72" s="34"/>
      <c r="E72" s="34"/>
      <c r="F72" s="34"/>
      <c r="G72" s="34"/>
      <c r="H72" s="33"/>
      <c r="I72" s="33"/>
      <c r="J72" s="34"/>
      <c r="K72" s="34"/>
      <c r="L72" s="34"/>
      <c r="M72" s="33"/>
      <c r="N72" s="33"/>
      <c r="O72" s="33"/>
      <c r="P72" s="33"/>
      <c r="Q72" s="34"/>
      <c r="R72" s="33"/>
      <c r="S72" s="33"/>
      <c r="T72" s="34"/>
      <c r="U72" s="34"/>
      <c r="V72" s="34"/>
      <c r="W72" s="34"/>
      <c r="X72" s="34"/>
      <c r="Y72" s="34"/>
      <c r="Z72" s="34"/>
      <c r="AA72" s="34"/>
      <c r="AB72" s="34"/>
      <c r="AC72" s="34"/>
    </row>
    <row r="73" spans="1:29" ht="14.25" customHeight="1" x14ac:dyDescent="0.2">
      <c r="A73" s="34"/>
      <c r="B73" s="34"/>
      <c r="C73" s="33"/>
      <c r="D73" s="34"/>
      <c r="E73" s="34"/>
      <c r="F73" s="34"/>
      <c r="G73" s="34"/>
      <c r="H73" s="33"/>
      <c r="I73" s="33"/>
      <c r="J73" s="34"/>
      <c r="K73" s="34"/>
      <c r="L73" s="34"/>
      <c r="M73" s="33"/>
      <c r="N73" s="33"/>
      <c r="O73" s="33"/>
      <c r="P73" s="33"/>
      <c r="Q73" s="34"/>
      <c r="R73" s="33"/>
      <c r="S73" s="33"/>
      <c r="T73" s="34"/>
      <c r="U73" s="34"/>
      <c r="V73" s="34"/>
      <c r="W73" s="34"/>
      <c r="X73" s="34"/>
      <c r="Y73" s="34"/>
      <c r="Z73" s="34"/>
      <c r="AA73" s="34"/>
      <c r="AB73" s="34"/>
      <c r="AC73" s="34"/>
    </row>
    <row r="74" spans="1:29" ht="14.25" customHeight="1" x14ac:dyDescent="0.2">
      <c r="A74" s="34"/>
      <c r="B74" s="34"/>
      <c r="C74" s="33"/>
      <c r="D74" s="34"/>
      <c r="E74" s="34"/>
      <c r="F74" s="34"/>
      <c r="G74" s="34"/>
      <c r="H74" s="33"/>
      <c r="I74" s="33"/>
      <c r="J74" s="34"/>
      <c r="K74" s="34"/>
      <c r="L74" s="34"/>
      <c r="M74" s="33"/>
      <c r="N74" s="33"/>
      <c r="O74" s="33"/>
      <c r="P74" s="33"/>
      <c r="Q74" s="34"/>
      <c r="R74" s="33"/>
      <c r="S74" s="33"/>
      <c r="T74" s="34"/>
      <c r="U74" s="34"/>
      <c r="V74" s="34"/>
      <c r="W74" s="34"/>
      <c r="X74" s="34"/>
      <c r="Y74" s="34"/>
      <c r="Z74" s="34"/>
      <c r="AA74" s="34"/>
      <c r="AB74" s="34"/>
      <c r="AC74" s="34"/>
    </row>
    <row r="75" spans="1:29" ht="14.25" customHeight="1" x14ac:dyDescent="0.2">
      <c r="A75" s="34"/>
      <c r="B75" s="34"/>
      <c r="C75" s="33"/>
      <c r="D75" s="34"/>
      <c r="E75" s="34"/>
      <c r="F75" s="34"/>
      <c r="G75" s="34"/>
      <c r="H75" s="33"/>
      <c r="I75" s="33"/>
      <c r="J75" s="34"/>
      <c r="K75" s="34"/>
      <c r="L75" s="34"/>
      <c r="M75" s="34"/>
      <c r="N75" s="34"/>
      <c r="O75" s="34"/>
      <c r="P75" s="34"/>
      <c r="Q75" s="33"/>
      <c r="R75" s="33"/>
      <c r="S75" s="33"/>
      <c r="T75" s="34"/>
      <c r="U75" s="34"/>
      <c r="V75" s="34"/>
      <c r="W75" s="34"/>
      <c r="X75" s="34"/>
      <c r="Y75" s="34"/>
      <c r="Z75" s="34"/>
      <c r="AA75" s="34"/>
      <c r="AB75" s="34"/>
      <c r="AC75" s="34"/>
    </row>
    <row r="76" spans="1:29" ht="14.25" customHeight="1" x14ac:dyDescent="0.2">
      <c r="A76" s="34"/>
      <c r="B76" s="34"/>
      <c r="C76" s="33"/>
      <c r="D76" s="34"/>
      <c r="E76" s="34"/>
      <c r="F76" s="34"/>
      <c r="G76" s="34"/>
      <c r="H76" s="33"/>
      <c r="I76" s="33"/>
      <c r="J76" s="34"/>
      <c r="K76" s="34"/>
      <c r="L76" s="34"/>
      <c r="M76" s="34"/>
      <c r="N76" s="34"/>
      <c r="O76" s="34"/>
      <c r="P76" s="34"/>
      <c r="Q76" s="33"/>
      <c r="R76" s="33"/>
      <c r="S76" s="33"/>
      <c r="T76" s="34"/>
      <c r="U76" s="34"/>
      <c r="V76" s="34"/>
      <c r="W76" s="34"/>
      <c r="X76" s="34"/>
      <c r="Y76" s="34"/>
      <c r="Z76" s="34"/>
      <c r="AA76" s="34"/>
      <c r="AB76" s="34"/>
      <c r="AC76" s="34"/>
    </row>
    <row r="77" spans="1:29" ht="14.25" customHeight="1" x14ac:dyDescent="0.2">
      <c r="A77" s="34"/>
      <c r="B77" s="34"/>
      <c r="C77" s="33"/>
      <c r="D77" s="34"/>
      <c r="E77" s="34"/>
      <c r="F77" s="34"/>
      <c r="G77" s="34"/>
      <c r="H77" s="33"/>
      <c r="I77" s="33"/>
      <c r="J77" s="34"/>
      <c r="K77" s="34"/>
      <c r="L77" s="34"/>
      <c r="M77" s="33"/>
      <c r="N77" s="33"/>
      <c r="O77" s="33"/>
      <c r="P77" s="33"/>
      <c r="Q77" s="34"/>
      <c r="R77" s="33"/>
      <c r="S77" s="33"/>
      <c r="T77" s="34"/>
      <c r="U77" s="34"/>
      <c r="V77" s="34"/>
      <c r="W77" s="34"/>
      <c r="X77" s="34"/>
      <c r="Y77" s="34"/>
      <c r="Z77" s="34"/>
      <c r="AA77" s="34"/>
      <c r="AB77" s="34"/>
      <c r="AC77" s="34"/>
    </row>
    <row r="78" spans="1:29" ht="14.25" customHeight="1" x14ac:dyDescent="0.2">
      <c r="A78" s="34"/>
      <c r="B78" s="34"/>
      <c r="C78" s="33"/>
      <c r="D78" s="34"/>
      <c r="E78" s="34"/>
      <c r="F78" s="34"/>
      <c r="G78" s="34"/>
      <c r="H78" s="33"/>
      <c r="I78" s="33"/>
      <c r="J78" s="34"/>
      <c r="K78" s="34"/>
      <c r="L78" s="34"/>
      <c r="M78" s="33"/>
      <c r="N78" s="33"/>
      <c r="O78" s="33"/>
      <c r="P78" s="33"/>
      <c r="Q78" s="34"/>
      <c r="R78" s="33"/>
      <c r="S78" s="33"/>
      <c r="T78" s="34"/>
      <c r="U78" s="34"/>
      <c r="V78" s="34"/>
      <c r="W78" s="34"/>
      <c r="X78" s="34"/>
      <c r="Y78" s="34"/>
      <c r="Z78" s="34"/>
      <c r="AA78" s="34"/>
      <c r="AB78" s="34"/>
      <c r="AC78" s="34"/>
    </row>
    <row r="79" spans="1:29" ht="14.25" customHeight="1" x14ac:dyDescent="0.2">
      <c r="A79" s="34"/>
      <c r="B79" s="34"/>
      <c r="C79" s="33"/>
      <c r="D79" s="34"/>
      <c r="E79" s="34"/>
      <c r="F79" s="34"/>
      <c r="G79" s="34"/>
      <c r="H79" s="33"/>
      <c r="I79" s="33"/>
      <c r="J79" s="34"/>
      <c r="K79" s="34"/>
      <c r="L79" s="34"/>
      <c r="M79" s="33"/>
      <c r="N79" s="33"/>
      <c r="O79" s="33"/>
      <c r="P79" s="33"/>
      <c r="Q79" s="34"/>
      <c r="R79" s="33"/>
      <c r="S79" s="33"/>
      <c r="T79" s="34"/>
      <c r="U79" s="34"/>
      <c r="V79" s="34"/>
      <c r="W79" s="34"/>
      <c r="X79" s="34"/>
      <c r="Y79" s="34"/>
      <c r="Z79" s="34"/>
      <c r="AA79" s="34"/>
      <c r="AB79" s="34"/>
      <c r="AC79" s="34"/>
    </row>
    <row r="80" spans="1:29" ht="14.25" customHeight="1" x14ac:dyDescent="0.2">
      <c r="A80" s="34"/>
      <c r="B80" s="34"/>
      <c r="C80" s="33"/>
      <c r="D80" s="34"/>
      <c r="E80" s="34"/>
      <c r="F80" s="34"/>
      <c r="G80" s="34"/>
      <c r="H80" s="33"/>
      <c r="I80" s="33"/>
      <c r="J80" s="34"/>
      <c r="K80" s="34"/>
      <c r="L80" s="34"/>
      <c r="M80" s="33"/>
      <c r="N80" s="33"/>
      <c r="O80" s="33"/>
      <c r="P80" s="33"/>
      <c r="Q80" s="34"/>
      <c r="R80" s="33"/>
      <c r="S80" s="33"/>
      <c r="T80" s="34"/>
      <c r="U80" s="34"/>
      <c r="V80" s="34"/>
      <c r="W80" s="34"/>
      <c r="X80" s="34"/>
      <c r="Y80" s="34"/>
      <c r="Z80" s="34"/>
      <c r="AA80" s="34"/>
      <c r="AB80" s="34"/>
      <c r="AC80" s="34"/>
    </row>
    <row r="81" spans="1:29" ht="14.25" customHeight="1" x14ac:dyDescent="0.2">
      <c r="A81" s="34"/>
      <c r="B81" s="34"/>
      <c r="C81" s="33"/>
      <c r="D81" s="34"/>
      <c r="E81" s="34"/>
      <c r="F81" s="34"/>
      <c r="G81" s="34"/>
      <c r="H81" s="33"/>
      <c r="I81" s="33"/>
      <c r="J81" s="34"/>
      <c r="K81" s="34"/>
      <c r="L81" s="34"/>
      <c r="M81" s="33"/>
      <c r="N81" s="33"/>
      <c r="O81" s="33"/>
      <c r="P81" s="33"/>
      <c r="Q81" s="34"/>
      <c r="R81" s="33"/>
      <c r="S81" s="33"/>
      <c r="T81" s="34"/>
      <c r="U81" s="34"/>
      <c r="V81" s="34"/>
      <c r="W81" s="34"/>
      <c r="X81" s="34"/>
      <c r="Y81" s="34"/>
      <c r="Z81" s="34"/>
      <c r="AA81" s="34"/>
      <c r="AB81" s="34"/>
      <c r="AC81" s="34"/>
    </row>
    <row r="82" spans="1:29" ht="14.25" customHeight="1" x14ac:dyDescent="0.2">
      <c r="A82" s="34"/>
      <c r="B82" s="34"/>
      <c r="C82" s="33"/>
      <c r="D82" s="34"/>
      <c r="E82" s="34"/>
      <c r="F82" s="34"/>
      <c r="G82" s="34"/>
      <c r="H82" s="33"/>
      <c r="I82" s="33"/>
      <c r="J82" s="34"/>
      <c r="K82" s="34"/>
      <c r="L82" s="34"/>
      <c r="M82" s="33"/>
      <c r="N82" s="33"/>
      <c r="O82" s="33"/>
      <c r="P82" s="33"/>
      <c r="Q82" s="34"/>
      <c r="R82" s="33"/>
      <c r="S82" s="33"/>
      <c r="T82" s="34"/>
      <c r="U82" s="34"/>
      <c r="V82" s="34"/>
      <c r="W82" s="34"/>
      <c r="X82" s="34"/>
      <c r="Y82" s="34"/>
      <c r="Z82" s="34"/>
      <c r="AA82" s="34"/>
      <c r="AB82" s="34"/>
      <c r="AC82" s="34"/>
    </row>
    <row r="83" spans="1:29" ht="14.25" customHeight="1" x14ac:dyDescent="0.2">
      <c r="A83" s="34"/>
      <c r="B83" s="34"/>
      <c r="C83" s="33"/>
      <c r="D83" s="34"/>
      <c r="E83" s="34"/>
      <c r="F83" s="34"/>
      <c r="G83" s="34"/>
      <c r="H83" s="33"/>
      <c r="I83" s="33"/>
      <c r="J83" s="34"/>
      <c r="K83" s="34"/>
      <c r="L83" s="34"/>
      <c r="M83" s="34"/>
      <c r="N83" s="34"/>
      <c r="O83" s="34"/>
      <c r="P83" s="34"/>
      <c r="Q83" s="33"/>
      <c r="R83" s="33"/>
      <c r="S83" s="33"/>
      <c r="T83" s="34"/>
      <c r="U83" s="34"/>
      <c r="V83" s="34"/>
      <c r="W83" s="34"/>
      <c r="X83" s="34"/>
      <c r="Y83" s="34"/>
      <c r="Z83" s="34"/>
      <c r="AA83" s="34"/>
      <c r="AB83" s="34"/>
      <c r="AC83" s="34"/>
    </row>
    <row r="84" spans="1:29" ht="14.25" customHeight="1" x14ac:dyDescent="0.2">
      <c r="A84" s="34"/>
      <c r="B84" s="34"/>
      <c r="C84" s="33"/>
      <c r="D84" s="34"/>
      <c r="E84" s="34"/>
      <c r="F84" s="34"/>
      <c r="G84" s="34"/>
      <c r="H84" s="33"/>
      <c r="I84" s="33"/>
      <c r="J84" s="34"/>
      <c r="K84" s="34"/>
      <c r="L84" s="34"/>
      <c r="M84" s="34"/>
      <c r="N84" s="34"/>
      <c r="O84" s="34"/>
      <c r="P84" s="34"/>
      <c r="Q84" s="33"/>
      <c r="R84" s="33"/>
      <c r="S84" s="33"/>
      <c r="T84" s="34"/>
      <c r="U84" s="34"/>
      <c r="V84" s="34"/>
      <c r="W84" s="34"/>
      <c r="X84" s="34"/>
      <c r="Y84" s="34"/>
      <c r="Z84" s="34"/>
      <c r="AA84" s="34"/>
      <c r="AB84" s="34"/>
      <c r="AC84" s="34"/>
    </row>
    <row r="85" spans="1:29" ht="14.25" customHeight="1" x14ac:dyDescent="0.2">
      <c r="A85" s="34"/>
      <c r="B85" s="34"/>
      <c r="C85" s="33"/>
      <c r="D85" s="34"/>
      <c r="E85" s="34"/>
      <c r="F85" s="34"/>
      <c r="G85" s="34"/>
      <c r="H85" s="33"/>
      <c r="I85" s="33"/>
      <c r="J85" s="34"/>
      <c r="K85" s="34"/>
      <c r="L85" s="34"/>
      <c r="M85" s="34"/>
      <c r="N85" s="34"/>
      <c r="O85" s="34"/>
      <c r="P85" s="34"/>
      <c r="Q85" s="33"/>
      <c r="R85" s="33"/>
      <c r="S85" s="33"/>
      <c r="T85" s="34"/>
      <c r="U85" s="34"/>
      <c r="V85" s="34"/>
      <c r="W85" s="34"/>
      <c r="X85" s="34"/>
      <c r="Y85" s="34"/>
      <c r="Z85" s="34"/>
      <c r="AA85" s="34"/>
      <c r="AB85" s="34"/>
      <c r="AC85" s="34"/>
    </row>
    <row r="86" spans="1:29" ht="14.25" customHeight="1" x14ac:dyDescent="0.2">
      <c r="A86" s="34"/>
      <c r="B86" s="34"/>
      <c r="C86" s="33"/>
      <c r="D86" s="34"/>
      <c r="E86" s="34"/>
      <c r="F86" s="34"/>
      <c r="G86" s="34"/>
      <c r="H86" s="33"/>
      <c r="I86" s="33"/>
      <c r="J86" s="34"/>
      <c r="K86" s="34"/>
      <c r="L86" s="34"/>
      <c r="M86" s="33"/>
      <c r="N86" s="33"/>
      <c r="O86" s="33"/>
      <c r="P86" s="33"/>
      <c r="Q86" s="34"/>
      <c r="R86" s="33"/>
      <c r="S86" s="33"/>
      <c r="T86" s="34"/>
      <c r="U86" s="34"/>
      <c r="V86" s="34"/>
      <c r="W86" s="34"/>
      <c r="X86" s="34"/>
      <c r="Y86" s="34"/>
      <c r="Z86" s="34"/>
      <c r="AA86" s="34"/>
      <c r="AB86" s="34"/>
      <c r="AC86" s="34"/>
    </row>
    <row r="87" spans="1:29" ht="14.25" customHeight="1" x14ac:dyDescent="0.2">
      <c r="A87" s="34"/>
      <c r="B87" s="34"/>
      <c r="C87" s="33"/>
      <c r="D87" s="34"/>
      <c r="E87" s="34"/>
      <c r="F87" s="34"/>
      <c r="G87" s="34"/>
      <c r="H87" s="33"/>
      <c r="I87" s="33"/>
      <c r="J87" s="34"/>
      <c r="K87" s="34"/>
      <c r="L87" s="34"/>
      <c r="M87" s="33"/>
      <c r="N87" s="33"/>
      <c r="O87" s="33"/>
      <c r="P87" s="33"/>
      <c r="Q87" s="34"/>
      <c r="R87" s="33"/>
      <c r="S87" s="33"/>
      <c r="T87" s="34"/>
      <c r="U87" s="34"/>
      <c r="V87" s="34"/>
      <c r="W87" s="34"/>
      <c r="X87" s="34"/>
      <c r="Y87" s="34"/>
      <c r="Z87" s="34"/>
      <c r="AA87" s="34"/>
      <c r="AB87" s="34"/>
      <c r="AC87" s="34"/>
    </row>
    <row r="88" spans="1:29" ht="14.25" customHeight="1" x14ac:dyDescent="0.2">
      <c r="A88" s="34"/>
      <c r="B88" s="34"/>
      <c r="C88" s="33"/>
      <c r="D88" s="34"/>
      <c r="E88" s="34"/>
      <c r="F88" s="34"/>
      <c r="G88" s="34"/>
      <c r="H88" s="33"/>
      <c r="I88" s="33"/>
      <c r="J88" s="34"/>
      <c r="K88" s="34"/>
      <c r="L88" s="34"/>
      <c r="M88" s="33"/>
      <c r="N88" s="33"/>
      <c r="O88" s="33"/>
      <c r="P88" s="33"/>
      <c r="Q88" s="34"/>
      <c r="R88" s="33"/>
      <c r="S88" s="34"/>
      <c r="T88" s="34"/>
      <c r="U88" s="34"/>
      <c r="V88" s="34"/>
      <c r="W88" s="34"/>
      <c r="X88" s="34"/>
      <c r="Y88" s="34"/>
      <c r="Z88" s="34"/>
      <c r="AA88" s="34"/>
      <c r="AB88" s="34"/>
      <c r="AC88" s="34"/>
    </row>
    <row r="89" spans="1:29" ht="14.25" customHeight="1" x14ac:dyDescent="0.2">
      <c r="A89" s="34"/>
      <c r="B89" s="34"/>
      <c r="C89" s="33"/>
      <c r="D89" s="34"/>
      <c r="E89" s="34"/>
      <c r="F89" s="34"/>
      <c r="G89" s="34"/>
      <c r="H89" s="33"/>
      <c r="I89" s="33"/>
      <c r="J89" s="34"/>
      <c r="K89" s="34"/>
      <c r="L89" s="34"/>
      <c r="M89" s="33"/>
      <c r="N89" s="33"/>
      <c r="O89" s="33"/>
      <c r="P89" s="33"/>
      <c r="Q89" s="34"/>
      <c r="R89" s="33"/>
      <c r="S89" s="33"/>
      <c r="T89" s="34"/>
      <c r="U89" s="34"/>
      <c r="V89" s="34"/>
      <c r="W89" s="34"/>
      <c r="X89" s="34"/>
      <c r="Y89" s="34"/>
      <c r="Z89" s="34"/>
      <c r="AA89" s="34"/>
      <c r="AB89" s="34"/>
      <c r="AC89" s="34"/>
    </row>
    <row r="90" spans="1:29" ht="14.25" customHeight="1" x14ac:dyDescent="0.2">
      <c r="A90" s="34"/>
      <c r="B90" s="34"/>
      <c r="C90" s="33"/>
      <c r="D90" s="34"/>
      <c r="E90" s="34"/>
      <c r="F90" s="34"/>
      <c r="G90" s="34"/>
      <c r="H90" s="33"/>
      <c r="I90" s="33"/>
      <c r="J90" s="34"/>
      <c r="K90" s="34"/>
      <c r="L90" s="34"/>
      <c r="M90" s="34"/>
      <c r="N90" s="34"/>
      <c r="O90" s="34"/>
      <c r="P90" s="34"/>
      <c r="Q90" s="33"/>
      <c r="R90" s="33"/>
      <c r="S90" s="33"/>
      <c r="T90" s="34"/>
      <c r="U90" s="34"/>
      <c r="V90" s="34"/>
      <c r="W90" s="34"/>
      <c r="X90" s="34"/>
      <c r="Y90" s="34"/>
      <c r="Z90" s="34"/>
      <c r="AA90" s="34"/>
      <c r="AB90" s="34"/>
      <c r="AC90" s="34"/>
    </row>
    <row r="91" spans="1:29" ht="14.25" customHeight="1" x14ac:dyDescent="0.2">
      <c r="A91" s="34"/>
      <c r="B91" s="34"/>
      <c r="C91" s="33"/>
      <c r="D91" s="34"/>
      <c r="E91" s="34"/>
      <c r="F91" s="34"/>
      <c r="G91" s="34"/>
      <c r="H91" s="33"/>
      <c r="I91" s="33"/>
      <c r="J91" s="34"/>
      <c r="K91" s="34"/>
      <c r="L91" s="34"/>
      <c r="M91" s="34"/>
      <c r="N91" s="34"/>
      <c r="O91" s="34"/>
      <c r="P91" s="34"/>
      <c r="Q91" s="33"/>
      <c r="R91" s="33"/>
      <c r="S91" s="33"/>
      <c r="T91" s="34"/>
      <c r="U91" s="34"/>
      <c r="V91" s="34"/>
      <c r="W91" s="34"/>
      <c r="X91" s="34"/>
      <c r="Y91" s="34"/>
      <c r="Z91" s="34"/>
      <c r="AA91" s="34"/>
      <c r="AB91" s="34"/>
      <c r="AC91" s="34"/>
    </row>
    <row r="92" spans="1:29" ht="14.25" customHeight="1" x14ac:dyDescent="0.2">
      <c r="A92" s="34"/>
      <c r="B92" s="34"/>
      <c r="C92" s="33"/>
      <c r="D92" s="34"/>
      <c r="E92" s="34"/>
      <c r="F92" s="34"/>
      <c r="G92" s="34"/>
      <c r="H92" s="33"/>
      <c r="I92" s="33"/>
      <c r="J92" s="34"/>
      <c r="K92" s="34"/>
      <c r="L92" s="34"/>
      <c r="M92" s="34"/>
      <c r="N92" s="34"/>
      <c r="O92" s="34"/>
      <c r="P92" s="34"/>
      <c r="Q92" s="33"/>
      <c r="R92" s="33"/>
      <c r="S92" s="33"/>
      <c r="T92" s="34"/>
      <c r="U92" s="34"/>
      <c r="V92" s="34"/>
      <c r="W92" s="34"/>
      <c r="X92" s="34"/>
      <c r="Y92" s="34"/>
      <c r="Z92" s="34"/>
      <c r="AA92" s="34"/>
      <c r="AB92" s="34"/>
      <c r="AC92" s="34"/>
    </row>
    <row r="93" spans="1:29" ht="14.25" customHeight="1" x14ac:dyDescent="0.2">
      <c r="A93" s="34"/>
      <c r="B93" s="34"/>
      <c r="C93" s="33"/>
      <c r="D93" s="34"/>
      <c r="E93" s="34"/>
      <c r="F93" s="34"/>
      <c r="G93" s="34"/>
      <c r="H93" s="33"/>
      <c r="I93" s="33"/>
      <c r="J93" s="34"/>
      <c r="K93" s="34"/>
      <c r="L93" s="34"/>
      <c r="M93" s="34"/>
      <c r="N93" s="34"/>
      <c r="O93" s="34"/>
      <c r="P93" s="34"/>
      <c r="Q93" s="33"/>
      <c r="R93" s="33"/>
      <c r="S93" s="33"/>
      <c r="T93" s="34"/>
      <c r="U93" s="34"/>
      <c r="V93" s="34"/>
      <c r="W93" s="34"/>
      <c r="X93" s="34"/>
      <c r="Y93" s="34"/>
      <c r="Z93" s="34"/>
      <c r="AA93" s="34"/>
      <c r="AB93" s="34"/>
      <c r="AC93" s="34"/>
    </row>
    <row r="94" spans="1:29" ht="14.25" customHeight="1" x14ac:dyDescent="0.2">
      <c r="A94" s="34"/>
      <c r="B94" s="34"/>
      <c r="C94" s="33"/>
      <c r="D94" s="34"/>
      <c r="E94" s="34"/>
      <c r="F94" s="34"/>
      <c r="G94" s="34"/>
      <c r="H94" s="33"/>
      <c r="I94" s="33"/>
      <c r="J94" s="34"/>
      <c r="K94" s="34"/>
      <c r="L94" s="34"/>
      <c r="M94" s="33"/>
      <c r="N94" s="33"/>
      <c r="O94" s="33"/>
      <c r="P94" s="33"/>
      <c r="Q94" s="34"/>
      <c r="R94" s="33"/>
      <c r="S94" s="33"/>
      <c r="T94" s="34"/>
      <c r="U94" s="34"/>
      <c r="V94" s="34"/>
      <c r="W94" s="34"/>
      <c r="X94" s="34"/>
      <c r="Y94" s="34"/>
      <c r="Z94" s="34"/>
      <c r="AA94" s="34"/>
      <c r="AB94" s="34"/>
      <c r="AC94" s="34"/>
    </row>
    <row r="95" spans="1:29" ht="14.25" customHeight="1" x14ac:dyDescent="0.2">
      <c r="A95" s="34"/>
      <c r="B95" s="34"/>
      <c r="C95" s="33"/>
      <c r="D95" s="34"/>
      <c r="E95" s="34"/>
      <c r="F95" s="34"/>
      <c r="G95" s="34"/>
      <c r="H95" s="33"/>
      <c r="I95" s="33"/>
      <c r="J95" s="34"/>
      <c r="K95" s="34"/>
      <c r="L95" s="34"/>
      <c r="M95" s="34"/>
      <c r="N95" s="34"/>
      <c r="O95" s="34"/>
      <c r="P95" s="34"/>
      <c r="Q95" s="33"/>
      <c r="R95" s="33"/>
      <c r="S95" s="33"/>
      <c r="T95" s="34"/>
      <c r="U95" s="34"/>
      <c r="V95" s="34"/>
      <c r="W95" s="34"/>
      <c r="X95" s="34"/>
      <c r="Y95" s="34"/>
      <c r="Z95" s="34"/>
      <c r="AA95" s="34"/>
      <c r="AB95" s="34"/>
      <c r="AC95" s="34"/>
    </row>
    <row r="96" spans="1:29" ht="14.25" customHeight="1" x14ac:dyDescent="0.2">
      <c r="A96" s="34"/>
      <c r="B96" s="34"/>
      <c r="C96" s="33"/>
      <c r="D96" s="34"/>
      <c r="E96" s="34"/>
      <c r="F96" s="34"/>
      <c r="G96" s="34"/>
      <c r="H96" s="33"/>
      <c r="I96" s="33"/>
      <c r="J96" s="34"/>
      <c r="K96" s="34"/>
      <c r="L96" s="34"/>
      <c r="M96" s="33"/>
      <c r="N96" s="33"/>
      <c r="O96" s="33"/>
      <c r="P96" s="33"/>
      <c r="Q96" s="34"/>
      <c r="R96" s="33"/>
      <c r="S96" s="33"/>
      <c r="T96" s="34"/>
      <c r="U96" s="34"/>
      <c r="V96" s="34"/>
      <c r="W96" s="34"/>
      <c r="X96" s="34"/>
      <c r="Y96" s="34"/>
      <c r="Z96" s="34"/>
      <c r="AA96" s="34"/>
      <c r="AB96" s="34"/>
      <c r="AC96" s="34"/>
    </row>
    <row r="97" spans="1:29" ht="14.25" customHeight="1" x14ac:dyDescent="0.2">
      <c r="A97" s="34"/>
      <c r="B97" s="34"/>
      <c r="C97" s="33"/>
      <c r="D97" s="34"/>
      <c r="E97" s="34"/>
      <c r="F97" s="34"/>
      <c r="G97" s="34"/>
      <c r="H97" s="33"/>
      <c r="I97" s="33"/>
      <c r="J97" s="34"/>
      <c r="K97" s="34"/>
      <c r="L97" s="34"/>
      <c r="M97" s="33"/>
      <c r="N97" s="33"/>
      <c r="O97" s="33"/>
      <c r="P97" s="33"/>
      <c r="Q97" s="34"/>
      <c r="R97" s="33"/>
      <c r="S97" s="33"/>
      <c r="T97" s="34"/>
      <c r="U97" s="34"/>
      <c r="V97" s="34"/>
      <c r="W97" s="34"/>
      <c r="X97" s="34"/>
      <c r="Y97" s="34"/>
      <c r="Z97" s="34"/>
      <c r="AA97" s="34"/>
      <c r="AB97" s="34"/>
      <c r="AC97" s="34"/>
    </row>
    <row r="98" spans="1:29" ht="14.25" customHeight="1" x14ac:dyDescent="0.2">
      <c r="A98" s="34"/>
      <c r="B98" s="34"/>
      <c r="C98" s="33"/>
      <c r="D98" s="34"/>
      <c r="E98" s="34"/>
      <c r="F98" s="34"/>
      <c r="G98" s="34"/>
      <c r="H98" s="33"/>
      <c r="I98" s="33"/>
      <c r="J98" s="34"/>
      <c r="K98" s="34"/>
      <c r="L98" s="34"/>
      <c r="M98" s="33"/>
      <c r="N98" s="33"/>
      <c r="O98" s="33"/>
      <c r="P98" s="33"/>
      <c r="Q98" s="34"/>
      <c r="R98" s="33"/>
      <c r="S98" s="34"/>
      <c r="T98" s="34"/>
      <c r="U98" s="34"/>
      <c r="V98" s="34"/>
      <c r="W98" s="34"/>
      <c r="X98" s="34"/>
      <c r="Y98" s="34"/>
      <c r="Z98" s="34"/>
      <c r="AA98" s="34"/>
      <c r="AB98" s="34"/>
      <c r="AC98" s="34"/>
    </row>
    <row r="99" spans="1:29" ht="14.25" customHeight="1" x14ac:dyDescent="0.2">
      <c r="A99" s="34"/>
      <c r="B99" s="34"/>
      <c r="C99" s="33"/>
      <c r="D99" s="34"/>
      <c r="E99" s="34"/>
      <c r="F99" s="34"/>
      <c r="G99" s="34"/>
      <c r="H99" s="33"/>
      <c r="I99" s="33"/>
      <c r="J99" s="34"/>
      <c r="K99" s="34"/>
      <c r="L99" s="34"/>
      <c r="M99" s="33"/>
      <c r="N99" s="33"/>
      <c r="O99" s="33"/>
      <c r="P99" s="33"/>
      <c r="Q99" s="34"/>
      <c r="R99" s="33"/>
      <c r="S99" s="33"/>
      <c r="T99" s="34"/>
      <c r="U99" s="34"/>
      <c r="V99" s="34"/>
      <c r="W99" s="34"/>
      <c r="X99" s="34"/>
      <c r="Y99" s="34"/>
      <c r="Z99" s="34"/>
      <c r="AA99" s="34"/>
      <c r="AB99" s="34"/>
      <c r="AC99" s="34"/>
    </row>
    <row r="100" spans="1:29" ht="14.25" customHeight="1" x14ac:dyDescent="0.2">
      <c r="A100" s="34"/>
      <c r="B100" s="34"/>
      <c r="C100" s="33"/>
      <c r="D100" s="34"/>
      <c r="E100" s="34"/>
      <c r="F100" s="34"/>
      <c r="G100" s="34"/>
      <c r="H100" s="33"/>
      <c r="I100" s="33"/>
      <c r="J100" s="34"/>
      <c r="K100" s="34"/>
      <c r="L100" s="34"/>
      <c r="M100" s="33"/>
      <c r="N100" s="33"/>
      <c r="O100" s="33"/>
      <c r="P100" s="33"/>
      <c r="Q100" s="34"/>
      <c r="R100" s="33"/>
      <c r="S100" s="33"/>
      <c r="T100" s="34"/>
      <c r="U100" s="34"/>
      <c r="V100" s="34"/>
      <c r="W100" s="34"/>
      <c r="X100" s="34"/>
      <c r="Y100" s="34"/>
      <c r="Z100" s="34"/>
      <c r="AA100" s="34"/>
      <c r="AB100" s="34"/>
      <c r="AC100" s="34"/>
    </row>
    <row r="101" spans="1:29" ht="14.25" customHeight="1" x14ac:dyDescent="0.2">
      <c r="A101" s="34"/>
      <c r="B101" s="34"/>
      <c r="C101" s="33"/>
      <c r="D101" s="34"/>
      <c r="E101" s="34"/>
      <c r="F101" s="34"/>
      <c r="G101" s="34"/>
      <c r="H101" s="33"/>
      <c r="I101" s="33"/>
      <c r="J101" s="34"/>
      <c r="K101" s="34"/>
      <c r="L101" s="34"/>
      <c r="M101" s="33"/>
      <c r="N101" s="33"/>
      <c r="O101" s="33"/>
      <c r="P101" s="33"/>
      <c r="Q101" s="34"/>
      <c r="R101" s="33"/>
      <c r="S101" s="33"/>
      <c r="T101" s="34"/>
      <c r="U101" s="34"/>
      <c r="V101" s="34"/>
      <c r="W101" s="34"/>
      <c r="X101" s="34"/>
      <c r="Y101" s="34"/>
      <c r="Z101" s="34"/>
      <c r="AA101" s="34"/>
      <c r="AB101" s="34"/>
      <c r="AC101" s="34"/>
    </row>
    <row r="102" spans="1:29" ht="14.25" customHeight="1" x14ac:dyDescent="0.2">
      <c r="A102" s="34"/>
      <c r="B102" s="34"/>
      <c r="C102" s="33"/>
      <c r="D102" s="34"/>
      <c r="E102" s="34"/>
      <c r="F102" s="34"/>
      <c r="G102" s="34"/>
      <c r="H102" s="33"/>
      <c r="I102" s="33"/>
      <c r="J102" s="34"/>
      <c r="K102" s="34"/>
      <c r="L102" s="34"/>
      <c r="M102" s="34"/>
      <c r="N102" s="34"/>
      <c r="O102" s="34"/>
      <c r="P102" s="34"/>
      <c r="Q102" s="33"/>
      <c r="R102" s="33"/>
      <c r="S102" s="33"/>
      <c r="T102" s="34"/>
      <c r="U102" s="34"/>
      <c r="V102" s="34"/>
      <c r="W102" s="34"/>
      <c r="X102" s="34"/>
      <c r="Y102" s="34"/>
      <c r="Z102" s="34"/>
      <c r="AA102" s="34"/>
      <c r="AB102" s="34"/>
      <c r="AC102" s="34"/>
    </row>
    <row r="103" spans="1:29" ht="14.25" customHeight="1" x14ac:dyDescent="0.2">
      <c r="A103" s="34"/>
      <c r="B103" s="34"/>
      <c r="C103" s="33"/>
      <c r="D103" s="34"/>
      <c r="E103" s="34"/>
      <c r="F103" s="34"/>
      <c r="G103" s="34"/>
      <c r="H103" s="33"/>
      <c r="I103" s="33"/>
      <c r="J103" s="34"/>
      <c r="K103" s="34"/>
      <c r="L103" s="34"/>
      <c r="M103" s="33"/>
      <c r="N103" s="33"/>
      <c r="O103" s="33"/>
      <c r="P103" s="33"/>
      <c r="Q103" s="34"/>
      <c r="R103" s="33"/>
      <c r="S103" s="33"/>
      <c r="T103" s="34"/>
      <c r="U103" s="34"/>
      <c r="V103" s="34"/>
      <c r="W103" s="34"/>
      <c r="X103" s="34"/>
      <c r="Y103" s="34"/>
      <c r="Z103" s="34"/>
      <c r="AA103" s="34"/>
      <c r="AB103" s="34"/>
      <c r="AC103" s="34"/>
    </row>
    <row r="104" spans="1:29" ht="14.25" customHeight="1" x14ac:dyDescent="0.2">
      <c r="A104" s="34"/>
      <c r="B104" s="34"/>
      <c r="C104" s="33"/>
      <c r="D104" s="34"/>
      <c r="E104" s="34"/>
      <c r="F104" s="34"/>
      <c r="G104" s="34"/>
      <c r="H104" s="33"/>
      <c r="I104" s="33"/>
      <c r="J104" s="34"/>
      <c r="K104" s="34"/>
      <c r="L104" s="34"/>
      <c r="M104" s="33"/>
      <c r="N104" s="33"/>
      <c r="O104" s="33"/>
      <c r="P104" s="33"/>
      <c r="Q104" s="34"/>
      <c r="R104" s="33"/>
      <c r="S104" s="33"/>
      <c r="T104" s="34"/>
      <c r="U104" s="34"/>
      <c r="V104" s="34"/>
      <c r="W104" s="34"/>
      <c r="X104" s="34"/>
      <c r="Y104" s="34"/>
      <c r="Z104" s="34"/>
      <c r="AA104" s="34"/>
      <c r="AB104" s="34"/>
      <c r="AC104" s="34"/>
    </row>
    <row r="105" spans="1:29" ht="14.25" customHeight="1" x14ac:dyDescent="0.2">
      <c r="A105" s="34"/>
      <c r="B105" s="34"/>
      <c r="C105" s="33"/>
      <c r="D105" s="34"/>
      <c r="E105" s="34"/>
      <c r="F105" s="34"/>
      <c r="G105" s="34"/>
      <c r="H105" s="33"/>
      <c r="I105" s="33"/>
      <c r="J105" s="34"/>
      <c r="K105" s="34"/>
      <c r="L105" s="34"/>
      <c r="M105" s="33"/>
      <c r="N105" s="33"/>
      <c r="O105" s="33"/>
      <c r="P105" s="33"/>
      <c r="Q105" s="34"/>
      <c r="R105" s="33"/>
      <c r="S105" s="33"/>
      <c r="T105" s="34"/>
      <c r="U105" s="34"/>
      <c r="V105" s="34"/>
      <c r="W105" s="34"/>
      <c r="X105" s="34"/>
      <c r="Y105" s="34"/>
      <c r="Z105" s="34"/>
      <c r="AA105" s="34"/>
      <c r="AB105" s="34"/>
      <c r="AC105" s="34"/>
    </row>
    <row r="106" spans="1:29" ht="14.25" customHeight="1" x14ac:dyDescent="0.2">
      <c r="A106" s="34"/>
      <c r="B106" s="34"/>
      <c r="C106" s="33"/>
      <c r="D106" s="34"/>
      <c r="E106" s="34"/>
      <c r="F106" s="34"/>
      <c r="G106" s="34"/>
      <c r="H106" s="33"/>
      <c r="I106" s="33"/>
      <c r="J106" s="34"/>
      <c r="K106" s="34"/>
      <c r="L106" s="34"/>
      <c r="M106" s="33"/>
      <c r="N106" s="33"/>
      <c r="O106" s="33"/>
      <c r="P106" s="33"/>
      <c r="Q106" s="34"/>
      <c r="R106" s="33"/>
      <c r="S106" s="33"/>
      <c r="T106" s="34"/>
      <c r="U106" s="34"/>
      <c r="V106" s="34"/>
      <c r="W106" s="34"/>
      <c r="X106" s="34"/>
      <c r="Y106" s="34"/>
      <c r="Z106" s="34"/>
      <c r="AA106" s="34"/>
      <c r="AB106" s="34"/>
      <c r="AC106" s="34"/>
    </row>
    <row r="107" spans="1:29" ht="14.25" customHeight="1" x14ac:dyDescent="0.2">
      <c r="A107" s="34"/>
      <c r="B107" s="34"/>
      <c r="C107" s="33"/>
      <c r="D107" s="34"/>
      <c r="E107" s="34"/>
      <c r="F107" s="34"/>
      <c r="G107" s="34"/>
      <c r="H107" s="33"/>
      <c r="I107" s="33"/>
      <c r="J107" s="34"/>
      <c r="K107" s="34"/>
      <c r="L107" s="34"/>
      <c r="M107" s="34"/>
      <c r="N107" s="34"/>
      <c r="O107" s="34"/>
      <c r="P107" s="34"/>
      <c r="Q107" s="33"/>
      <c r="R107" s="33"/>
      <c r="S107" s="33"/>
      <c r="T107" s="34"/>
      <c r="U107" s="34"/>
      <c r="V107" s="34"/>
      <c r="W107" s="34"/>
      <c r="X107" s="34"/>
      <c r="Y107" s="34"/>
      <c r="Z107" s="34"/>
      <c r="AA107" s="34"/>
      <c r="AB107" s="34"/>
      <c r="AC107" s="34"/>
    </row>
    <row r="108" spans="1:29" ht="14.25" customHeight="1" x14ac:dyDescent="0.2">
      <c r="A108" s="34"/>
      <c r="B108" s="34"/>
      <c r="C108" s="33"/>
      <c r="D108" s="34"/>
      <c r="E108" s="34"/>
      <c r="F108" s="34"/>
      <c r="G108" s="34"/>
      <c r="H108" s="33"/>
      <c r="I108" s="33"/>
      <c r="J108" s="34"/>
      <c r="K108" s="34"/>
      <c r="L108" s="34"/>
      <c r="M108" s="33"/>
      <c r="N108" s="33"/>
      <c r="O108" s="33"/>
      <c r="P108" s="33"/>
      <c r="Q108" s="34"/>
      <c r="R108" s="33"/>
      <c r="S108" s="33"/>
      <c r="T108" s="34"/>
      <c r="U108" s="34"/>
      <c r="V108" s="34"/>
      <c r="W108" s="34"/>
      <c r="X108" s="34"/>
      <c r="Y108" s="34"/>
      <c r="Z108" s="34"/>
      <c r="AA108" s="34"/>
      <c r="AB108" s="34"/>
      <c r="AC108" s="34"/>
    </row>
    <row r="109" spans="1:29" ht="14.25" customHeight="1" x14ac:dyDescent="0.2">
      <c r="A109" s="34"/>
      <c r="B109" s="34"/>
      <c r="C109" s="33"/>
      <c r="D109" s="34"/>
      <c r="E109" s="34"/>
      <c r="F109" s="34"/>
      <c r="G109" s="34"/>
      <c r="H109" s="33"/>
      <c r="I109" s="33"/>
      <c r="J109" s="34"/>
      <c r="K109" s="34"/>
      <c r="L109" s="34"/>
      <c r="M109" s="34"/>
      <c r="N109" s="34"/>
      <c r="O109" s="34"/>
      <c r="P109" s="34"/>
      <c r="Q109" s="33"/>
      <c r="R109" s="33"/>
      <c r="S109" s="33"/>
      <c r="T109" s="34"/>
      <c r="U109" s="34"/>
      <c r="V109" s="34"/>
      <c r="W109" s="34"/>
      <c r="X109" s="34"/>
      <c r="Y109" s="34"/>
      <c r="Z109" s="34"/>
      <c r="AA109" s="34"/>
      <c r="AB109" s="34"/>
      <c r="AC109" s="34"/>
    </row>
    <row r="110" spans="1:29" ht="14.25" customHeight="1" x14ac:dyDescent="0.2">
      <c r="A110" s="34"/>
      <c r="B110" s="34"/>
      <c r="C110" s="33"/>
      <c r="D110" s="34"/>
      <c r="E110" s="34"/>
      <c r="F110" s="34"/>
      <c r="G110" s="34"/>
      <c r="H110" s="33"/>
      <c r="I110" s="33"/>
      <c r="J110" s="34"/>
      <c r="K110" s="34"/>
      <c r="L110" s="34"/>
      <c r="M110" s="34"/>
      <c r="N110" s="34"/>
      <c r="O110" s="34"/>
      <c r="P110" s="34"/>
      <c r="Q110" s="33"/>
      <c r="R110" s="33"/>
      <c r="S110" s="33"/>
      <c r="T110" s="34"/>
      <c r="U110" s="34"/>
      <c r="V110" s="34"/>
      <c r="W110" s="34"/>
      <c r="X110" s="34"/>
      <c r="Y110" s="34"/>
      <c r="Z110" s="34"/>
      <c r="AA110" s="34"/>
      <c r="AB110" s="34"/>
      <c r="AC110" s="34"/>
    </row>
    <row r="111" spans="1:29" ht="14.25" customHeight="1" x14ac:dyDescent="0.2">
      <c r="A111" s="34"/>
      <c r="B111" s="34"/>
      <c r="C111" s="33"/>
      <c r="D111" s="34"/>
      <c r="E111" s="34"/>
      <c r="F111" s="34"/>
      <c r="G111" s="34"/>
      <c r="H111" s="33"/>
      <c r="I111" s="33"/>
      <c r="J111" s="34"/>
      <c r="K111" s="34"/>
      <c r="L111" s="34"/>
      <c r="M111" s="33"/>
      <c r="N111" s="33"/>
      <c r="O111" s="33"/>
      <c r="P111" s="33"/>
      <c r="Q111" s="34"/>
      <c r="R111" s="33"/>
      <c r="S111" s="34"/>
      <c r="T111" s="34"/>
      <c r="U111" s="34"/>
      <c r="V111" s="34"/>
      <c r="W111" s="34"/>
      <c r="X111" s="34"/>
      <c r="Y111" s="34"/>
      <c r="Z111" s="34"/>
      <c r="AA111" s="34"/>
      <c r="AB111" s="34"/>
      <c r="AC111" s="34"/>
    </row>
    <row r="112" spans="1:29" ht="14.25" customHeight="1" x14ac:dyDescent="0.2">
      <c r="A112" s="34"/>
      <c r="B112" s="34"/>
      <c r="C112" s="33"/>
      <c r="D112" s="34"/>
      <c r="E112" s="34"/>
      <c r="F112" s="34"/>
      <c r="G112" s="34"/>
      <c r="H112" s="33"/>
      <c r="I112" s="33"/>
      <c r="J112" s="34"/>
      <c r="K112" s="34"/>
      <c r="L112" s="34"/>
      <c r="M112" s="33"/>
      <c r="N112" s="33"/>
      <c r="O112" s="33"/>
      <c r="P112" s="33"/>
      <c r="Q112" s="34"/>
      <c r="R112" s="33"/>
      <c r="S112" s="33"/>
      <c r="T112" s="34"/>
      <c r="U112" s="34"/>
      <c r="V112" s="34"/>
      <c r="W112" s="34"/>
      <c r="X112" s="34"/>
      <c r="Y112" s="34"/>
      <c r="Z112" s="34"/>
      <c r="AA112" s="34"/>
      <c r="AB112" s="34"/>
      <c r="AC112" s="34"/>
    </row>
    <row r="113" spans="1:29" ht="14.25" customHeight="1" x14ac:dyDescent="0.2">
      <c r="A113" s="34"/>
      <c r="B113" s="34"/>
      <c r="C113" s="33"/>
      <c r="D113" s="34"/>
      <c r="E113" s="34"/>
      <c r="F113" s="34"/>
      <c r="G113" s="34"/>
      <c r="H113" s="33"/>
      <c r="I113" s="33"/>
      <c r="J113" s="34"/>
      <c r="K113" s="34"/>
      <c r="L113" s="34"/>
      <c r="M113" s="34"/>
      <c r="N113" s="34"/>
      <c r="O113" s="34"/>
      <c r="P113" s="34"/>
      <c r="Q113" s="33"/>
      <c r="R113" s="33"/>
      <c r="S113" s="34"/>
      <c r="T113" s="34"/>
      <c r="U113" s="34"/>
      <c r="V113" s="34"/>
      <c r="W113" s="34"/>
      <c r="X113" s="34"/>
      <c r="Y113" s="34"/>
      <c r="Z113" s="34"/>
      <c r="AA113" s="34"/>
      <c r="AB113" s="34"/>
      <c r="AC113" s="34"/>
    </row>
    <row r="114" spans="1:29" ht="14.25" customHeight="1" x14ac:dyDescent="0.2">
      <c r="A114" s="34"/>
      <c r="B114" s="34"/>
      <c r="C114" s="33"/>
      <c r="D114" s="34"/>
      <c r="E114" s="34"/>
      <c r="F114" s="34"/>
      <c r="G114" s="34"/>
      <c r="H114" s="33"/>
      <c r="I114" s="33"/>
      <c r="J114" s="34"/>
      <c r="K114" s="34"/>
      <c r="L114" s="34"/>
      <c r="M114" s="33"/>
      <c r="N114" s="33"/>
      <c r="O114" s="33"/>
      <c r="P114" s="33"/>
      <c r="Q114" s="34"/>
      <c r="R114" s="33"/>
      <c r="S114" s="33"/>
      <c r="T114" s="34"/>
      <c r="U114" s="34"/>
      <c r="V114" s="34"/>
      <c r="W114" s="34"/>
      <c r="X114" s="34"/>
      <c r="Y114" s="34"/>
      <c r="Z114" s="34"/>
      <c r="AA114" s="34"/>
      <c r="AB114" s="34"/>
      <c r="AC114" s="34"/>
    </row>
    <row r="115" spans="1:29" ht="14.25" customHeight="1" x14ac:dyDescent="0.2">
      <c r="A115" s="34"/>
      <c r="B115" s="34"/>
      <c r="C115" s="33"/>
      <c r="D115" s="34"/>
      <c r="E115" s="34"/>
      <c r="F115" s="34"/>
      <c r="G115" s="34"/>
      <c r="H115" s="33"/>
      <c r="I115" s="33"/>
      <c r="J115" s="34"/>
      <c r="K115" s="34"/>
      <c r="L115" s="34"/>
      <c r="M115" s="33"/>
      <c r="N115" s="33"/>
      <c r="O115" s="33"/>
      <c r="P115" s="33"/>
      <c r="Q115" s="34"/>
      <c r="R115" s="33"/>
      <c r="S115" s="33"/>
      <c r="T115" s="34"/>
      <c r="U115" s="34"/>
      <c r="V115" s="34"/>
      <c r="W115" s="34"/>
      <c r="X115" s="34"/>
      <c r="Y115" s="34"/>
      <c r="Z115" s="34"/>
      <c r="AA115" s="34"/>
      <c r="AB115" s="34"/>
      <c r="AC115" s="34"/>
    </row>
    <row r="116" spans="1:29" ht="14.25" customHeight="1" x14ac:dyDescent="0.2">
      <c r="A116" s="34"/>
      <c r="B116" s="34"/>
      <c r="C116" s="33"/>
      <c r="D116" s="34"/>
      <c r="E116" s="34"/>
      <c r="F116" s="34"/>
      <c r="G116" s="34"/>
      <c r="H116" s="33"/>
      <c r="I116" s="33"/>
      <c r="J116" s="34"/>
      <c r="K116" s="34"/>
      <c r="L116" s="34"/>
      <c r="M116" s="33"/>
      <c r="N116" s="33"/>
      <c r="O116" s="33"/>
      <c r="P116" s="33"/>
      <c r="Q116" s="34"/>
      <c r="R116" s="33"/>
      <c r="S116" s="33"/>
      <c r="T116" s="34"/>
      <c r="U116" s="34"/>
      <c r="V116" s="34"/>
      <c r="W116" s="34"/>
      <c r="X116" s="34"/>
      <c r="Y116" s="34"/>
      <c r="Z116" s="34"/>
      <c r="AA116" s="34"/>
      <c r="AB116" s="34"/>
      <c r="AC116" s="34"/>
    </row>
    <row r="117" spans="1:29" ht="14.25" customHeight="1" x14ac:dyDescent="0.2">
      <c r="A117" s="34"/>
      <c r="B117" s="34"/>
      <c r="C117" s="33"/>
      <c r="D117" s="34"/>
      <c r="E117" s="34"/>
      <c r="F117" s="34"/>
      <c r="G117" s="34"/>
      <c r="H117" s="33"/>
      <c r="I117" s="33"/>
      <c r="J117" s="34"/>
      <c r="K117" s="34"/>
      <c r="L117" s="34"/>
      <c r="M117" s="33"/>
      <c r="N117" s="33"/>
      <c r="O117" s="33"/>
      <c r="P117" s="33"/>
      <c r="Q117" s="34"/>
      <c r="R117" s="33"/>
      <c r="S117" s="33"/>
      <c r="T117" s="34"/>
      <c r="U117" s="34"/>
      <c r="V117" s="34"/>
      <c r="W117" s="34"/>
      <c r="X117" s="34"/>
      <c r="Y117" s="34"/>
      <c r="Z117" s="34"/>
      <c r="AA117" s="34"/>
      <c r="AB117" s="34"/>
      <c r="AC117" s="34"/>
    </row>
    <row r="118" spans="1:29" ht="14.25" customHeight="1" x14ac:dyDescent="0.2">
      <c r="A118" s="34"/>
      <c r="B118" s="34"/>
      <c r="C118" s="33"/>
      <c r="D118" s="34"/>
      <c r="E118" s="34"/>
      <c r="F118" s="34"/>
      <c r="G118" s="34"/>
      <c r="H118" s="33"/>
      <c r="I118" s="33"/>
      <c r="J118" s="34"/>
      <c r="K118" s="34"/>
      <c r="L118" s="34"/>
      <c r="M118" s="33"/>
      <c r="N118" s="33"/>
      <c r="O118" s="33"/>
      <c r="P118" s="33"/>
      <c r="Q118" s="34"/>
      <c r="R118" s="33"/>
      <c r="S118" s="33"/>
      <c r="T118" s="34"/>
      <c r="U118" s="34"/>
      <c r="V118" s="34"/>
      <c r="W118" s="34"/>
      <c r="X118" s="34"/>
      <c r="Y118" s="34"/>
      <c r="Z118" s="34"/>
      <c r="AA118" s="34"/>
      <c r="AB118" s="34"/>
      <c r="AC118" s="34"/>
    </row>
    <row r="119" spans="1:29" ht="14.25" customHeight="1" x14ac:dyDescent="0.2">
      <c r="A119" s="34"/>
      <c r="B119" s="34"/>
      <c r="C119" s="33"/>
      <c r="D119" s="34"/>
      <c r="E119" s="34"/>
      <c r="F119" s="34"/>
      <c r="G119" s="34"/>
      <c r="H119" s="33"/>
      <c r="I119" s="33"/>
      <c r="J119" s="34"/>
      <c r="K119" s="34"/>
      <c r="L119" s="34"/>
      <c r="M119" s="34"/>
      <c r="N119" s="34"/>
      <c r="O119" s="34"/>
      <c r="P119" s="34"/>
      <c r="Q119" s="33"/>
      <c r="R119" s="33"/>
      <c r="S119" s="33"/>
      <c r="T119" s="34"/>
      <c r="U119" s="34"/>
      <c r="V119" s="34"/>
      <c r="W119" s="34"/>
      <c r="X119" s="34"/>
      <c r="Y119" s="34"/>
      <c r="Z119" s="34"/>
      <c r="AA119" s="34"/>
      <c r="AB119" s="34"/>
      <c r="AC119" s="34"/>
    </row>
    <row r="120" spans="1:29" ht="14.25" customHeight="1" x14ac:dyDescent="0.2">
      <c r="A120" s="34"/>
      <c r="B120" s="34"/>
      <c r="C120" s="33"/>
      <c r="D120" s="34"/>
      <c r="E120" s="34"/>
      <c r="F120" s="34"/>
      <c r="G120" s="34"/>
      <c r="H120" s="33"/>
      <c r="I120" s="33"/>
      <c r="J120" s="34"/>
      <c r="K120" s="34"/>
      <c r="L120" s="34"/>
      <c r="M120" s="33"/>
      <c r="N120" s="33"/>
      <c r="O120" s="33"/>
      <c r="P120" s="33"/>
      <c r="Q120" s="34"/>
      <c r="R120" s="33"/>
      <c r="S120" s="33"/>
      <c r="T120" s="34"/>
      <c r="U120" s="34"/>
      <c r="V120" s="34"/>
      <c r="W120" s="34"/>
      <c r="X120" s="34"/>
      <c r="Y120" s="34"/>
      <c r="Z120" s="34"/>
      <c r="AA120" s="34"/>
      <c r="AB120" s="34"/>
      <c r="AC120" s="34"/>
    </row>
    <row r="121" spans="1:29" ht="14.25" customHeight="1" x14ac:dyDescent="0.2">
      <c r="A121" s="34"/>
      <c r="B121" s="34"/>
      <c r="C121" s="33"/>
      <c r="D121" s="34"/>
      <c r="E121" s="34"/>
      <c r="F121" s="34"/>
      <c r="G121" s="34"/>
      <c r="H121" s="33"/>
      <c r="I121" s="33"/>
      <c r="J121" s="34"/>
      <c r="K121" s="34"/>
      <c r="L121" s="34"/>
      <c r="M121" s="33"/>
      <c r="N121" s="33"/>
      <c r="O121" s="33"/>
      <c r="P121" s="33"/>
      <c r="Q121" s="34"/>
      <c r="R121" s="33"/>
      <c r="S121" s="33"/>
      <c r="T121" s="34"/>
      <c r="U121" s="34"/>
      <c r="V121" s="34"/>
      <c r="W121" s="34"/>
      <c r="X121" s="34"/>
      <c r="Y121" s="34"/>
      <c r="Z121" s="34"/>
      <c r="AA121" s="34"/>
      <c r="AB121" s="34"/>
      <c r="AC121" s="34"/>
    </row>
    <row r="122" spans="1:29" ht="14.25" customHeight="1" x14ac:dyDescent="0.2">
      <c r="A122" s="34"/>
      <c r="B122" s="34"/>
      <c r="C122" s="33"/>
      <c r="D122" s="34"/>
      <c r="E122" s="34"/>
      <c r="F122" s="34"/>
      <c r="G122" s="34"/>
      <c r="H122" s="33"/>
      <c r="I122" s="33"/>
      <c r="J122" s="34"/>
      <c r="K122" s="34"/>
      <c r="L122" s="34"/>
      <c r="M122" s="33"/>
      <c r="N122" s="33"/>
      <c r="O122" s="33"/>
      <c r="P122" s="33"/>
      <c r="Q122" s="34"/>
      <c r="R122" s="33"/>
      <c r="S122" s="33"/>
      <c r="T122" s="34"/>
      <c r="U122" s="34"/>
      <c r="V122" s="34"/>
      <c r="W122" s="34"/>
      <c r="X122" s="34"/>
      <c r="Y122" s="34"/>
      <c r="Z122" s="34"/>
      <c r="AA122" s="34"/>
      <c r="AB122" s="34"/>
      <c r="AC122" s="34"/>
    </row>
    <row r="123" spans="1:29" ht="14.25" customHeight="1" x14ac:dyDescent="0.2">
      <c r="A123" s="34"/>
      <c r="B123" s="34"/>
      <c r="C123" s="33"/>
      <c r="D123" s="34"/>
      <c r="E123" s="34"/>
      <c r="F123" s="34"/>
      <c r="G123" s="34"/>
      <c r="H123" s="33"/>
      <c r="I123" s="33"/>
      <c r="J123" s="34"/>
      <c r="K123" s="34"/>
      <c r="L123" s="34"/>
      <c r="M123" s="33"/>
      <c r="N123" s="33"/>
      <c r="O123" s="33"/>
      <c r="P123" s="33"/>
      <c r="Q123" s="34"/>
      <c r="R123" s="33"/>
      <c r="S123" s="33"/>
      <c r="T123" s="34"/>
      <c r="U123" s="34"/>
      <c r="V123" s="34"/>
      <c r="W123" s="34"/>
      <c r="X123" s="34"/>
      <c r="Y123" s="34"/>
      <c r="Z123" s="34"/>
      <c r="AA123" s="34"/>
      <c r="AB123" s="34"/>
      <c r="AC123" s="34"/>
    </row>
    <row r="124" spans="1:29" ht="14.25" customHeight="1" x14ac:dyDescent="0.2">
      <c r="A124" s="34"/>
      <c r="B124" s="34"/>
      <c r="C124" s="33"/>
      <c r="D124" s="34"/>
      <c r="E124" s="34"/>
      <c r="F124" s="34"/>
      <c r="G124" s="34"/>
      <c r="H124" s="33"/>
      <c r="I124" s="33"/>
      <c r="J124" s="34"/>
      <c r="K124" s="34"/>
      <c r="L124" s="34"/>
      <c r="M124" s="33"/>
      <c r="N124" s="33"/>
      <c r="O124" s="33"/>
      <c r="P124" s="33"/>
      <c r="Q124" s="34"/>
      <c r="R124" s="33"/>
      <c r="S124" s="33"/>
      <c r="T124" s="34"/>
      <c r="U124" s="34"/>
      <c r="V124" s="34"/>
      <c r="W124" s="34"/>
      <c r="X124" s="34"/>
      <c r="Y124" s="34"/>
      <c r="Z124" s="34"/>
      <c r="AA124" s="34"/>
      <c r="AB124" s="34"/>
      <c r="AC124" s="34"/>
    </row>
    <row r="125" spans="1:29" ht="14.25" customHeight="1" x14ac:dyDescent="0.2">
      <c r="A125" s="34"/>
      <c r="B125" s="34"/>
      <c r="C125" s="33"/>
      <c r="D125" s="34"/>
      <c r="E125" s="34"/>
      <c r="F125" s="34"/>
      <c r="G125" s="34"/>
      <c r="H125" s="33"/>
      <c r="I125" s="33"/>
      <c r="J125" s="34"/>
      <c r="K125" s="34"/>
      <c r="L125" s="34"/>
      <c r="M125" s="33"/>
      <c r="N125" s="33"/>
      <c r="O125" s="33"/>
      <c r="P125" s="33"/>
      <c r="Q125" s="34"/>
      <c r="R125" s="33"/>
      <c r="S125" s="34"/>
      <c r="T125" s="34"/>
      <c r="U125" s="34"/>
      <c r="V125" s="34"/>
      <c r="W125" s="34"/>
      <c r="X125" s="34"/>
      <c r="Y125" s="34"/>
      <c r="Z125" s="34"/>
      <c r="AA125" s="34"/>
      <c r="AB125" s="34"/>
      <c r="AC125" s="34"/>
    </row>
    <row r="126" spans="1:29" ht="14.25" customHeight="1" x14ac:dyDescent="0.2">
      <c r="A126" s="34"/>
      <c r="B126" s="34"/>
      <c r="C126" s="33"/>
      <c r="D126" s="34"/>
      <c r="E126" s="34"/>
      <c r="F126" s="34"/>
      <c r="G126" s="34"/>
      <c r="H126" s="33"/>
      <c r="I126" s="33"/>
      <c r="J126" s="34"/>
      <c r="K126" s="34"/>
      <c r="L126" s="34"/>
      <c r="M126" s="33"/>
      <c r="N126" s="33"/>
      <c r="O126" s="33"/>
      <c r="P126" s="33"/>
      <c r="Q126" s="34"/>
      <c r="R126" s="33"/>
      <c r="S126" s="33"/>
      <c r="T126" s="34"/>
      <c r="U126" s="34"/>
      <c r="V126" s="34"/>
      <c r="W126" s="34"/>
      <c r="X126" s="34"/>
      <c r="Y126" s="34"/>
      <c r="Z126" s="34"/>
      <c r="AA126" s="34"/>
      <c r="AB126" s="34"/>
      <c r="AC126" s="34"/>
    </row>
    <row r="127" spans="1:29" ht="14.25" customHeight="1" x14ac:dyDescent="0.2">
      <c r="A127" s="34"/>
      <c r="B127" s="34"/>
      <c r="C127" s="33"/>
      <c r="D127" s="34"/>
      <c r="E127" s="34"/>
      <c r="F127" s="34"/>
      <c r="G127" s="34"/>
      <c r="H127" s="33"/>
      <c r="I127" s="33"/>
      <c r="J127" s="34"/>
      <c r="K127" s="34"/>
      <c r="L127" s="34"/>
      <c r="M127" s="33"/>
      <c r="N127" s="33"/>
      <c r="O127" s="33"/>
      <c r="P127" s="33"/>
      <c r="Q127" s="34"/>
      <c r="R127" s="33"/>
      <c r="S127" s="33"/>
      <c r="T127" s="34"/>
      <c r="U127" s="34"/>
      <c r="V127" s="34"/>
      <c r="W127" s="34"/>
      <c r="X127" s="34"/>
      <c r="Y127" s="34"/>
      <c r="Z127" s="34"/>
      <c r="AA127" s="34"/>
      <c r="AB127" s="34"/>
      <c r="AC127" s="34"/>
    </row>
    <row r="128" spans="1:29" ht="14.25" customHeight="1" x14ac:dyDescent="0.2">
      <c r="A128" s="34"/>
      <c r="B128" s="34"/>
      <c r="C128" s="33"/>
      <c r="D128" s="34"/>
      <c r="E128" s="34"/>
      <c r="F128" s="34"/>
      <c r="G128" s="34"/>
      <c r="H128" s="33"/>
      <c r="I128" s="33"/>
      <c r="J128" s="34"/>
      <c r="K128" s="34"/>
      <c r="L128" s="34"/>
      <c r="M128" s="33"/>
      <c r="N128" s="33"/>
      <c r="O128" s="33"/>
      <c r="P128" s="33"/>
      <c r="Q128" s="34"/>
      <c r="R128" s="33"/>
      <c r="S128" s="33"/>
      <c r="T128" s="34"/>
      <c r="U128" s="34"/>
      <c r="V128" s="34"/>
      <c r="W128" s="34"/>
      <c r="X128" s="34"/>
      <c r="Y128" s="34"/>
      <c r="Z128" s="34"/>
      <c r="AA128" s="34"/>
      <c r="AB128" s="34"/>
      <c r="AC128" s="34"/>
    </row>
    <row r="129" spans="1:29" ht="14.25" customHeight="1" x14ac:dyDescent="0.2">
      <c r="A129" s="34"/>
      <c r="B129" s="34"/>
      <c r="C129" s="33"/>
      <c r="D129" s="34"/>
      <c r="E129" s="34"/>
      <c r="F129" s="34"/>
      <c r="G129" s="34"/>
      <c r="H129" s="33"/>
      <c r="I129" s="33"/>
      <c r="J129" s="34"/>
      <c r="K129" s="34"/>
      <c r="L129" s="34"/>
      <c r="M129" s="34"/>
      <c r="N129" s="34"/>
      <c r="O129" s="34"/>
      <c r="P129" s="34"/>
      <c r="Q129" s="33"/>
      <c r="R129" s="33"/>
      <c r="S129" s="33"/>
      <c r="T129" s="34"/>
      <c r="U129" s="34"/>
      <c r="V129" s="34"/>
      <c r="W129" s="34"/>
      <c r="X129" s="34"/>
      <c r="Y129" s="34"/>
      <c r="Z129" s="34"/>
      <c r="AA129" s="34"/>
      <c r="AB129" s="34"/>
      <c r="AC129" s="34"/>
    </row>
    <row r="130" spans="1:29" ht="14.25" customHeight="1" x14ac:dyDescent="0.2">
      <c r="A130" s="34"/>
      <c r="B130" s="34"/>
      <c r="C130" s="33"/>
      <c r="D130" s="34"/>
      <c r="E130" s="34"/>
      <c r="F130" s="34"/>
      <c r="G130" s="34"/>
      <c r="H130" s="33"/>
      <c r="I130" s="33"/>
      <c r="J130" s="34"/>
      <c r="K130" s="34"/>
      <c r="L130" s="34"/>
      <c r="M130" s="34"/>
      <c r="N130" s="34"/>
      <c r="O130" s="34"/>
      <c r="P130" s="34"/>
      <c r="Q130" s="33"/>
      <c r="R130" s="33"/>
      <c r="S130" s="33"/>
      <c r="T130" s="34"/>
      <c r="U130" s="34"/>
      <c r="V130" s="34"/>
      <c r="W130" s="34"/>
      <c r="X130" s="34"/>
      <c r="Y130" s="34"/>
      <c r="Z130" s="34"/>
      <c r="AA130" s="34"/>
      <c r="AB130" s="34"/>
      <c r="AC130" s="34"/>
    </row>
    <row r="131" spans="1:29" ht="14.25" customHeight="1" x14ac:dyDescent="0.2">
      <c r="A131" s="34"/>
      <c r="B131" s="34"/>
      <c r="C131" s="33"/>
      <c r="D131" s="34"/>
      <c r="E131" s="34"/>
      <c r="F131" s="34"/>
      <c r="G131" s="34"/>
      <c r="H131" s="33"/>
      <c r="I131" s="33"/>
      <c r="J131" s="34"/>
      <c r="K131" s="34"/>
      <c r="L131" s="34"/>
      <c r="M131" s="33"/>
      <c r="N131" s="33"/>
      <c r="O131" s="33"/>
      <c r="P131" s="33"/>
      <c r="Q131" s="34"/>
      <c r="R131" s="33"/>
      <c r="S131" s="33"/>
      <c r="T131" s="34"/>
      <c r="U131" s="34"/>
      <c r="V131" s="34"/>
      <c r="W131" s="34"/>
      <c r="X131" s="34"/>
      <c r="Y131" s="34"/>
      <c r="Z131" s="34"/>
      <c r="AA131" s="34"/>
      <c r="AB131" s="34"/>
      <c r="AC131" s="34"/>
    </row>
    <row r="132" spans="1:29" ht="14.25" customHeight="1" x14ac:dyDescent="0.2">
      <c r="A132" s="34"/>
      <c r="B132" s="34"/>
      <c r="C132" s="33"/>
      <c r="D132" s="34"/>
      <c r="E132" s="34"/>
      <c r="F132" s="34"/>
      <c r="G132" s="34"/>
      <c r="H132" s="33"/>
      <c r="I132" s="33"/>
      <c r="J132" s="34"/>
      <c r="K132" s="34"/>
      <c r="L132" s="34"/>
      <c r="M132" s="34"/>
      <c r="N132" s="34"/>
      <c r="O132" s="34"/>
      <c r="P132" s="34"/>
      <c r="Q132" s="33"/>
      <c r="R132" s="33"/>
      <c r="S132" s="33"/>
      <c r="T132" s="34"/>
      <c r="U132" s="34"/>
      <c r="V132" s="34"/>
      <c r="W132" s="34"/>
      <c r="X132" s="34"/>
      <c r="Y132" s="34"/>
      <c r="Z132" s="34"/>
      <c r="AA132" s="34"/>
      <c r="AB132" s="34"/>
      <c r="AC132" s="34"/>
    </row>
    <row r="133" spans="1:29" ht="14.25" customHeight="1" x14ac:dyDescent="0.2">
      <c r="A133" s="34"/>
      <c r="B133" s="34"/>
      <c r="C133" s="33"/>
      <c r="D133" s="34"/>
      <c r="E133" s="34"/>
      <c r="F133" s="34"/>
      <c r="G133" s="34"/>
      <c r="H133" s="33"/>
      <c r="I133" s="33"/>
      <c r="J133" s="34"/>
      <c r="K133" s="34"/>
      <c r="L133" s="34"/>
      <c r="M133" s="33"/>
      <c r="N133" s="33"/>
      <c r="O133" s="33"/>
      <c r="P133" s="33"/>
      <c r="Q133" s="34"/>
      <c r="R133" s="33"/>
      <c r="S133" s="33"/>
      <c r="T133" s="34"/>
      <c r="U133" s="34"/>
      <c r="V133" s="34"/>
      <c r="W133" s="34"/>
      <c r="X133" s="34"/>
      <c r="Y133" s="34"/>
      <c r="Z133" s="34"/>
      <c r="AA133" s="34"/>
      <c r="AB133" s="34"/>
      <c r="AC133" s="34"/>
    </row>
    <row r="134" spans="1:29" ht="14.25" customHeight="1" x14ac:dyDescent="0.2">
      <c r="A134" s="34"/>
      <c r="B134" s="34"/>
      <c r="C134" s="33"/>
      <c r="D134" s="34"/>
      <c r="E134" s="34"/>
      <c r="F134" s="34"/>
      <c r="G134" s="34"/>
      <c r="H134" s="33"/>
      <c r="I134" s="33"/>
      <c r="J134" s="34"/>
      <c r="K134" s="34"/>
      <c r="L134" s="34"/>
      <c r="M134" s="33"/>
      <c r="N134" s="33"/>
      <c r="O134" s="33"/>
      <c r="P134" s="33"/>
      <c r="Q134" s="34"/>
      <c r="R134" s="33"/>
      <c r="S134" s="33"/>
      <c r="T134" s="34"/>
      <c r="U134" s="34"/>
      <c r="V134" s="34"/>
      <c r="W134" s="34"/>
      <c r="X134" s="34"/>
      <c r="Y134" s="34"/>
      <c r="Z134" s="34"/>
      <c r="AA134" s="34"/>
      <c r="AB134" s="34"/>
      <c r="AC134" s="34"/>
    </row>
    <row r="135" spans="1:29" ht="14.25" customHeight="1" x14ac:dyDescent="0.2">
      <c r="A135" s="34"/>
      <c r="B135" s="34"/>
      <c r="C135" s="33"/>
      <c r="D135" s="34"/>
      <c r="E135" s="34"/>
      <c r="F135" s="34"/>
      <c r="G135" s="34"/>
      <c r="H135" s="33"/>
      <c r="I135" s="33"/>
      <c r="J135" s="34"/>
      <c r="K135" s="34"/>
      <c r="L135" s="34"/>
      <c r="M135" s="34"/>
      <c r="N135" s="34"/>
      <c r="O135" s="34"/>
      <c r="P135" s="34"/>
      <c r="Q135" s="33"/>
      <c r="R135" s="33"/>
      <c r="S135" s="33"/>
      <c r="T135" s="34"/>
      <c r="U135" s="34"/>
      <c r="V135" s="34"/>
      <c r="W135" s="34"/>
      <c r="X135" s="34"/>
      <c r="Y135" s="34"/>
      <c r="Z135" s="34"/>
      <c r="AA135" s="34"/>
      <c r="AB135" s="34"/>
      <c r="AC135" s="34"/>
    </row>
    <row r="136" spans="1:29" ht="14.25" customHeight="1" x14ac:dyDescent="0.2">
      <c r="A136" s="34"/>
      <c r="B136" s="34"/>
      <c r="C136" s="33"/>
      <c r="D136" s="34"/>
      <c r="E136" s="34"/>
      <c r="F136" s="34"/>
      <c r="G136" s="34"/>
      <c r="H136" s="33"/>
      <c r="I136" s="33"/>
      <c r="J136" s="34"/>
      <c r="K136" s="34"/>
      <c r="L136" s="34"/>
      <c r="M136" s="33"/>
      <c r="N136" s="33"/>
      <c r="O136" s="33"/>
      <c r="P136" s="33"/>
      <c r="Q136" s="34"/>
      <c r="R136" s="33"/>
      <c r="S136" s="33"/>
      <c r="T136" s="34"/>
      <c r="U136" s="34"/>
      <c r="V136" s="34"/>
      <c r="W136" s="34"/>
      <c r="X136" s="34"/>
      <c r="Y136" s="34"/>
      <c r="Z136" s="34"/>
      <c r="AA136" s="34"/>
      <c r="AB136" s="34"/>
      <c r="AC136" s="34"/>
    </row>
    <row r="137" spans="1:29" ht="14.25" customHeight="1" x14ac:dyDescent="0.2">
      <c r="A137" s="34"/>
      <c r="B137" s="34"/>
      <c r="C137" s="33"/>
      <c r="D137" s="34"/>
      <c r="E137" s="34"/>
      <c r="F137" s="34"/>
      <c r="G137" s="34"/>
      <c r="H137" s="33"/>
      <c r="I137" s="33"/>
      <c r="J137" s="34"/>
      <c r="K137" s="34"/>
      <c r="L137" s="34"/>
      <c r="M137" s="33"/>
      <c r="N137" s="33"/>
      <c r="O137" s="33"/>
      <c r="P137" s="33"/>
      <c r="Q137" s="34"/>
      <c r="R137" s="33"/>
      <c r="S137" s="33"/>
      <c r="T137" s="34"/>
      <c r="U137" s="34"/>
      <c r="V137" s="34"/>
      <c r="W137" s="34"/>
      <c r="X137" s="34"/>
      <c r="Y137" s="34"/>
      <c r="Z137" s="34"/>
      <c r="AA137" s="34"/>
      <c r="AB137" s="34"/>
      <c r="AC137" s="34"/>
    </row>
    <row r="138" spans="1:29" ht="14.25" customHeight="1" x14ac:dyDescent="0.2">
      <c r="A138" s="34"/>
      <c r="B138" s="34"/>
      <c r="C138" s="33"/>
      <c r="D138" s="34"/>
      <c r="E138" s="34"/>
      <c r="F138" s="34"/>
      <c r="G138" s="34"/>
      <c r="H138" s="33"/>
      <c r="I138" s="33"/>
      <c r="J138" s="34"/>
      <c r="K138" s="34"/>
      <c r="L138" s="34"/>
      <c r="M138" s="33"/>
      <c r="N138" s="33"/>
      <c r="O138" s="33"/>
      <c r="P138" s="33"/>
      <c r="Q138" s="34"/>
      <c r="R138" s="33"/>
      <c r="S138" s="33"/>
      <c r="T138" s="34"/>
      <c r="U138" s="34"/>
      <c r="V138" s="34"/>
      <c r="W138" s="34"/>
      <c r="X138" s="34"/>
      <c r="Y138" s="34"/>
      <c r="Z138" s="34"/>
      <c r="AA138" s="34"/>
      <c r="AB138" s="34"/>
      <c r="AC138" s="34"/>
    </row>
    <row r="139" spans="1:29" ht="14.25" customHeight="1" x14ac:dyDescent="0.2">
      <c r="A139" s="34"/>
      <c r="B139" s="34"/>
      <c r="C139" s="33"/>
      <c r="D139" s="34"/>
      <c r="E139" s="34"/>
      <c r="F139" s="34"/>
      <c r="G139" s="34"/>
      <c r="H139" s="33"/>
      <c r="I139" s="33"/>
      <c r="J139" s="34"/>
      <c r="K139" s="34"/>
      <c r="L139" s="34"/>
      <c r="M139" s="34"/>
      <c r="N139" s="34"/>
      <c r="O139" s="34"/>
      <c r="P139" s="34"/>
      <c r="Q139" s="33"/>
      <c r="R139" s="33"/>
      <c r="S139" s="33"/>
      <c r="T139" s="34"/>
      <c r="U139" s="34"/>
      <c r="V139" s="34"/>
      <c r="W139" s="34"/>
      <c r="X139" s="34"/>
      <c r="Y139" s="34"/>
      <c r="Z139" s="34"/>
      <c r="AA139" s="34"/>
      <c r="AB139" s="34"/>
      <c r="AC139" s="34"/>
    </row>
    <row r="140" spans="1:29" ht="14.25" customHeight="1" x14ac:dyDescent="0.2">
      <c r="A140" s="34"/>
      <c r="B140" s="34"/>
      <c r="C140" s="33"/>
      <c r="D140" s="34"/>
      <c r="E140" s="34"/>
      <c r="F140" s="34"/>
      <c r="G140" s="34"/>
      <c r="H140" s="33"/>
      <c r="I140" s="33"/>
      <c r="J140" s="34"/>
      <c r="K140" s="34"/>
      <c r="L140" s="34"/>
      <c r="M140" s="33"/>
      <c r="N140" s="33"/>
      <c r="O140" s="33"/>
      <c r="P140" s="33"/>
      <c r="Q140" s="34"/>
      <c r="R140" s="33"/>
      <c r="S140" s="33"/>
      <c r="T140" s="34"/>
      <c r="U140" s="34"/>
      <c r="V140" s="34"/>
      <c r="W140" s="34"/>
      <c r="X140" s="34"/>
      <c r="Y140" s="34"/>
      <c r="Z140" s="34"/>
      <c r="AA140" s="34"/>
      <c r="AB140" s="34"/>
      <c r="AC140" s="34"/>
    </row>
    <row r="141" spans="1:29" ht="14.25" customHeight="1" x14ac:dyDescent="0.2">
      <c r="A141" s="34"/>
      <c r="B141" s="34"/>
      <c r="C141" s="33"/>
      <c r="D141" s="34"/>
      <c r="E141" s="34"/>
      <c r="F141" s="34"/>
      <c r="G141" s="34"/>
      <c r="H141" s="33"/>
      <c r="I141" s="33"/>
      <c r="J141" s="34"/>
      <c r="K141" s="34"/>
      <c r="L141" s="34"/>
      <c r="M141" s="33"/>
      <c r="N141" s="33"/>
      <c r="O141" s="33"/>
      <c r="P141" s="33"/>
      <c r="Q141" s="34"/>
      <c r="R141" s="33"/>
      <c r="S141" s="34"/>
      <c r="T141" s="34"/>
      <c r="U141" s="34"/>
      <c r="V141" s="34"/>
      <c r="W141" s="34"/>
      <c r="X141" s="34"/>
      <c r="Y141" s="34"/>
      <c r="Z141" s="34"/>
      <c r="AA141" s="34"/>
      <c r="AB141" s="34"/>
      <c r="AC141" s="34"/>
    </row>
    <row r="142" spans="1:29" ht="14.25" customHeight="1" x14ac:dyDescent="0.2">
      <c r="A142" s="34"/>
      <c r="B142" s="34"/>
      <c r="C142" s="33"/>
      <c r="D142" s="34"/>
      <c r="E142" s="34"/>
      <c r="F142" s="34"/>
      <c r="G142" s="34"/>
      <c r="H142" s="33"/>
      <c r="I142" s="33"/>
      <c r="J142" s="34"/>
      <c r="K142" s="34"/>
      <c r="L142" s="34"/>
      <c r="M142" s="34"/>
      <c r="N142" s="34"/>
      <c r="O142" s="34"/>
      <c r="P142" s="34"/>
      <c r="Q142" s="33"/>
      <c r="R142" s="33"/>
      <c r="S142" s="33"/>
      <c r="T142" s="34"/>
      <c r="U142" s="34"/>
      <c r="V142" s="34"/>
      <c r="W142" s="34"/>
      <c r="X142" s="34"/>
      <c r="Y142" s="34"/>
      <c r="Z142" s="34"/>
      <c r="AA142" s="34"/>
      <c r="AB142" s="34"/>
      <c r="AC142" s="34"/>
    </row>
    <row r="143" spans="1:29" ht="14.25" customHeight="1" x14ac:dyDescent="0.2">
      <c r="A143" s="34"/>
      <c r="B143" s="34"/>
      <c r="C143" s="33"/>
      <c r="D143" s="34"/>
      <c r="E143" s="34"/>
      <c r="F143" s="34"/>
      <c r="G143" s="34"/>
      <c r="H143" s="33"/>
      <c r="I143" s="33"/>
      <c r="J143" s="34"/>
      <c r="K143" s="34"/>
      <c r="L143" s="34"/>
      <c r="M143" s="33"/>
      <c r="N143" s="33"/>
      <c r="O143" s="33"/>
      <c r="P143" s="33"/>
      <c r="Q143" s="34"/>
      <c r="R143" s="33"/>
      <c r="S143" s="33"/>
      <c r="T143" s="34"/>
      <c r="U143" s="34"/>
      <c r="V143" s="34"/>
      <c r="W143" s="34"/>
      <c r="X143" s="34"/>
      <c r="Y143" s="34"/>
      <c r="Z143" s="34"/>
      <c r="AA143" s="34"/>
      <c r="AB143" s="34"/>
      <c r="AC143" s="34"/>
    </row>
    <row r="144" spans="1:29" ht="14.25" customHeight="1" x14ac:dyDescent="0.2">
      <c r="A144" s="34"/>
      <c r="B144" s="34"/>
      <c r="C144" s="33"/>
      <c r="D144" s="34"/>
      <c r="E144" s="34"/>
      <c r="F144" s="34"/>
      <c r="G144" s="34"/>
      <c r="H144" s="33"/>
      <c r="I144" s="33"/>
      <c r="J144" s="34"/>
      <c r="K144" s="34"/>
      <c r="L144" s="34"/>
      <c r="M144" s="33"/>
      <c r="N144" s="33"/>
      <c r="O144" s="33"/>
      <c r="P144" s="33"/>
      <c r="Q144" s="34"/>
      <c r="R144" s="33"/>
      <c r="S144" s="33"/>
      <c r="T144" s="34"/>
      <c r="U144" s="34"/>
      <c r="V144" s="34"/>
      <c r="W144" s="34"/>
      <c r="X144" s="34"/>
      <c r="Y144" s="34"/>
      <c r="Z144" s="34"/>
      <c r="AA144" s="34"/>
      <c r="AB144" s="34"/>
      <c r="AC144" s="34"/>
    </row>
    <row r="145" spans="1:29" ht="14.25" customHeight="1" x14ac:dyDescent="0.2">
      <c r="A145" s="34"/>
      <c r="B145" s="34"/>
      <c r="C145" s="33"/>
      <c r="D145" s="34"/>
      <c r="E145" s="34"/>
      <c r="F145" s="34"/>
      <c r="G145" s="34"/>
      <c r="H145" s="33"/>
      <c r="I145" s="33"/>
      <c r="J145" s="34"/>
      <c r="K145" s="34"/>
      <c r="L145" s="34"/>
      <c r="M145" s="34"/>
      <c r="N145" s="34"/>
      <c r="O145" s="34"/>
      <c r="P145" s="34"/>
      <c r="Q145" s="33"/>
      <c r="R145" s="33"/>
      <c r="S145" s="34"/>
      <c r="T145" s="34"/>
      <c r="U145" s="34"/>
      <c r="V145" s="34"/>
      <c r="W145" s="34"/>
      <c r="X145" s="34"/>
      <c r="Y145" s="34"/>
      <c r="Z145" s="34"/>
      <c r="AA145" s="34"/>
      <c r="AB145" s="34"/>
      <c r="AC145" s="34"/>
    </row>
    <row r="146" spans="1:29" ht="14.25" customHeight="1" x14ac:dyDescent="0.2">
      <c r="A146" s="34"/>
      <c r="B146" s="34"/>
      <c r="C146" s="33"/>
      <c r="D146" s="34"/>
      <c r="E146" s="34"/>
      <c r="F146" s="34"/>
      <c r="G146" s="34"/>
      <c r="H146" s="33"/>
      <c r="I146" s="33"/>
      <c r="J146" s="34"/>
      <c r="K146" s="34"/>
      <c r="L146" s="34"/>
      <c r="M146" s="33"/>
      <c r="N146" s="33"/>
      <c r="O146" s="33"/>
      <c r="P146" s="33"/>
      <c r="Q146" s="34"/>
      <c r="R146" s="33"/>
      <c r="S146" s="33"/>
      <c r="T146" s="34"/>
      <c r="U146" s="34"/>
      <c r="V146" s="34"/>
      <c r="W146" s="34"/>
      <c r="X146" s="34"/>
      <c r="Y146" s="34"/>
      <c r="Z146" s="34"/>
      <c r="AA146" s="34"/>
      <c r="AB146" s="34"/>
      <c r="AC146" s="34"/>
    </row>
    <row r="147" spans="1:29" ht="14.25" customHeight="1" x14ac:dyDescent="0.2">
      <c r="A147" s="34"/>
      <c r="B147" s="34"/>
      <c r="C147" s="33"/>
      <c r="D147" s="34"/>
      <c r="E147" s="34"/>
      <c r="F147" s="34"/>
      <c r="G147" s="34"/>
      <c r="H147" s="33"/>
      <c r="I147" s="33"/>
      <c r="J147" s="34"/>
      <c r="K147" s="34"/>
      <c r="L147" s="34"/>
      <c r="M147" s="33"/>
      <c r="N147" s="33"/>
      <c r="O147" s="33"/>
      <c r="P147" s="33"/>
      <c r="Q147" s="34"/>
      <c r="R147" s="33"/>
      <c r="S147" s="33"/>
      <c r="T147" s="34"/>
      <c r="U147" s="34"/>
      <c r="V147" s="34"/>
      <c r="W147" s="34"/>
      <c r="X147" s="34"/>
      <c r="Y147" s="34"/>
      <c r="Z147" s="34"/>
      <c r="AA147" s="34"/>
      <c r="AB147" s="34"/>
      <c r="AC147" s="34"/>
    </row>
    <row r="148" spans="1:29" ht="14.25" customHeight="1" x14ac:dyDescent="0.2">
      <c r="A148" s="34"/>
      <c r="B148" s="34"/>
      <c r="C148" s="33"/>
      <c r="D148" s="34"/>
      <c r="E148" s="34"/>
      <c r="F148" s="34"/>
      <c r="G148" s="34"/>
      <c r="H148" s="33"/>
      <c r="I148" s="33"/>
      <c r="J148" s="34"/>
      <c r="K148" s="34"/>
      <c r="L148" s="34"/>
      <c r="M148" s="33"/>
      <c r="N148" s="33"/>
      <c r="O148" s="33"/>
      <c r="P148" s="33"/>
      <c r="Q148" s="34"/>
      <c r="R148" s="33"/>
      <c r="S148" s="34"/>
      <c r="T148" s="34"/>
      <c r="U148" s="34"/>
      <c r="V148" s="34"/>
      <c r="W148" s="34"/>
      <c r="X148" s="34"/>
      <c r="Y148" s="34"/>
      <c r="Z148" s="34"/>
      <c r="AA148" s="34"/>
      <c r="AB148" s="34"/>
      <c r="AC148" s="34"/>
    </row>
    <row r="149" spans="1:29" ht="14.25" customHeight="1" x14ac:dyDescent="0.2">
      <c r="A149" s="34"/>
      <c r="B149" s="34"/>
      <c r="C149" s="33"/>
      <c r="D149" s="34"/>
      <c r="E149" s="34"/>
      <c r="F149" s="34"/>
      <c r="G149" s="34"/>
      <c r="H149" s="33"/>
      <c r="I149" s="33"/>
      <c r="J149" s="34"/>
      <c r="K149" s="34"/>
      <c r="L149" s="34"/>
      <c r="M149" s="33"/>
      <c r="N149" s="33"/>
      <c r="O149" s="33"/>
      <c r="P149" s="33"/>
      <c r="Q149" s="34"/>
      <c r="R149" s="33"/>
      <c r="S149" s="33"/>
      <c r="T149" s="34"/>
      <c r="U149" s="34"/>
      <c r="V149" s="34"/>
      <c r="W149" s="34"/>
      <c r="X149" s="34"/>
      <c r="Y149" s="34"/>
      <c r="Z149" s="34"/>
      <c r="AA149" s="34"/>
      <c r="AB149" s="34"/>
      <c r="AC149" s="34"/>
    </row>
    <row r="150" spans="1:29" ht="14.25" customHeight="1" x14ac:dyDescent="0.2">
      <c r="A150" s="34"/>
      <c r="B150" s="34"/>
      <c r="C150" s="33"/>
      <c r="D150" s="34"/>
      <c r="E150" s="34"/>
      <c r="F150" s="34"/>
      <c r="G150" s="34"/>
      <c r="H150" s="33"/>
      <c r="I150" s="33"/>
      <c r="J150" s="34"/>
      <c r="K150" s="34"/>
      <c r="L150" s="34"/>
      <c r="M150" s="34"/>
      <c r="N150" s="34"/>
      <c r="O150" s="34"/>
      <c r="P150" s="34"/>
      <c r="Q150" s="33"/>
      <c r="R150" s="33"/>
      <c r="S150" s="33"/>
      <c r="T150" s="34"/>
      <c r="U150" s="34"/>
      <c r="V150" s="34"/>
      <c r="W150" s="34"/>
      <c r="X150" s="34"/>
      <c r="Y150" s="34"/>
      <c r="Z150" s="34"/>
      <c r="AA150" s="34"/>
      <c r="AB150" s="34"/>
      <c r="AC150" s="34"/>
    </row>
    <row r="151" spans="1:29" ht="14.25" customHeight="1" x14ac:dyDescent="0.2">
      <c r="A151" s="34"/>
      <c r="B151" s="34"/>
      <c r="C151" s="33"/>
      <c r="D151" s="34"/>
      <c r="E151" s="34"/>
      <c r="F151" s="34"/>
      <c r="G151" s="34"/>
      <c r="H151" s="33"/>
      <c r="I151" s="33"/>
      <c r="J151" s="34"/>
      <c r="K151" s="34"/>
      <c r="L151" s="34"/>
      <c r="M151" s="33"/>
      <c r="N151" s="33"/>
      <c r="O151" s="33"/>
      <c r="P151" s="33"/>
      <c r="Q151" s="34"/>
      <c r="R151" s="33"/>
      <c r="S151" s="33"/>
      <c r="T151" s="34"/>
      <c r="U151" s="34"/>
      <c r="V151" s="34"/>
      <c r="W151" s="34"/>
      <c r="X151" s="34"/>
      <c r="Y151" s="34"/>
      <c r="Z151" s="34"/>
      <c r="AA151" s="34"/>
      <c r="AB151" s="34"/>
      <c r="AC151" s="34"/>
    </row>
    <row r="152" spans="1:29" ht="14.25" customHeight="1" x14ac:dyDescent="0.2">
      <c r="A152" s="34"/>
      <c r="B152" s="34"/>
      <c r="C152" s="33"/>
      <c r="D152" s="34"/>
      <c r="E152" s="34"/>
      <c r="F152" s="34"/>
      <c r="G152" s="34"/>
      <c r="H152" s="33"/>
      <c r="I152" s="33"/>
      <c r="J152" s="34"/>
      <c r="K152" s="34"/>
      <c r="L152" s="34"/>
      <c r="M152" s="34"/>
      <c r="N152" s="34"/>
      <c r="O152" s="34"/>
      <c r="P152" s="34"/>
      <c r="Q152" s="33"/>
      <c r="R152" s="33"/>
      <c r="S152" s="33"/>
      <c r="T152" s="34"/>
      <c r="U152" s="34"/>
      <c r="V152" s="34"/>
      <c r="W152" s="34"/>
      <c r="X152" s="34"/>
      <c r="Y152" s="34"/>
      <c r="Z152" s="34"/>
      <c r="AA152" s="34"/>
      <c r="AB152" s="34"/>
      <c r="AC152" s="34"/>
    </row>
    <row r="153" spans="1:29" ht="14.25" customHeight="1" x14ac:dyDescent="0.2">
      <c r="A153" s="34"/>
      <c r="B153" s="34"/>
      <c r="C153" s="33"/>
      <c r="D153" s="34"/>
      <c r="E153" s="34"/>
      <c r="F153" s="34"/>
      <c r="G153" s="34"/>
      <c r="H153" s="33"/>
      <c r="I153" s="33"/>
      <c r="J153" s="34"/>
      <c r="K153" s="34"/>
      <c r="L153" s="34"/>
      <c r="M153" s="33"/>
      <c r="N153" s="33"/>
      <c r="O153" s="33"/>
      <c r="P153" s="33"/>
      <c r="Q153" s="34"/>
      <c r="R153" s="33"/>
      <c r="S153" s="33"/>
      <c r="T153" s="34"/>
      <c r="U153" s="34"/>
      <c r="V153" s="34"/>
      <c r="W153" s="34"/>
      <c r="X153" s="34"/>
      <c r="Y153" s="34"/>
      <c r="Z153" s="34"/>
      <c r="AA153" s="34"/>
      <c r="AB153" s="34"/>
      <c r="AC153" s="34"/>
    </row>
    <row r="154" spans="1:29" ht="14.25" customHeight="1" x14ac:dyDescent="0.2">
      <c r="A154" s="34"/>
      <c r="B154" s="34"/>
      <c r="C154" s="33"/>
      <c r="D154" s="34"/>
      <c r="E154" s="34"/>
      <c r="F154" s="34"/>
      <c r="G154" s="34"/>
      <c r="H154" s="33"/>
      <c r="I154" s="33"/>
      <c r="J154" s="34"/>
      <c r="K154" s="34"/>
      <c r="L154" s="34"/>
      <c r="M154" s="34"/>
      <c r="N154" s="34"/>
      <c r="O154" s="34"/>
      <c r="P154" s="34"/>
      <c r="Q154" s="33"/>
      <c r="R154" s="33"/>
      <c r="S154" s="33"/>
      <c r="T154" s="34"/>
      <c r="U154" s="34"/>
      <c r="V154" s="34"/>
      <c r="W154" s="34"/>
      <c r="X154" s="34"/>
      <c r="Y154" s="34"/>
      <c r="Z154" s="34"/>
      <c r="AA154" s="34"/>
      <c r="AB154" s="34"/>
      <c r="AC154" s="34"/>
    </row>
    <row r="155" spans="1:29" ht="14.25" customHeight="1" x14ac:dyDescent="0.2">
      <c r="A155" s="34"/>
      <c r="B155" s="34"/>
      <c r="C155" s="33"/>
      <c r="D155" s="34"/>
      <c r="E155" s="34"/>
      <c r="F155" s="34"/>
      <c r="G155" s="34"/>
      <c r="H155" s="33"/>
      <c r="I155" s="33"/>
      <c r="J155" s="34"/>
      <c r="K155" s="34"/>
      <c r="L155" s="34"/>
      <c r="M155" s="34"/>
      <c r="N155" s="34"/>
      <c r="O155" s="34"/>
      <c r="P155" s="34"/>
      <c r="Q155" s="33"/>
      <c r="R155" s="33"/>
      <c r="S155" s="33"/>
      <c r="T155" s="34"/>
      <c r="U155" s="34"/>
      <c r="V155" s="34"/>
      <c r="W155" s="34"/>
      <c r="X155" s="34"/>
      <c r="Y155" s="34"/>
      <c r="Z155" s="34"/>
      <c r="AA155" s="34"/>
      <c r="AB155" s="34"/>
      <c r="AC155" s="34"/>
    </row>
    <row r="156" spans="1:29" ht="14.25" customHeight="1" x14ac:dyDescent="0.2">
      <c r="A156" s="34"/>
      <c r="B156" s="34"/>
      <c r="C156" s="33"/>
      <c r="D156" s="34"/>
      <c r="E156" s="34"/>
      <c r="F156" s="34"/>
      <c r="G156" s="34"/>
      <c r="H156" s="33"/>
      <c r="I156" s="33"/>
      <c r="J156" s="34"/>
      <c r="K156" s="34"/>
      <c r="L156" s="34"/>
      <c r="M156" s="33"/>
      <c r="N156" s="33"/>
      <c r="O156" s="33"/>
      <c r="P156" s="33"/>
      <c r="Q156" s="34"/>
      <c r="R156" s="33"/>
      <c r="S156" s="33"/>
      <c r="T156" s="34"/>
      <c r="U156" s="34"/>
      <c r="V156" s="34"/>
      <c r="W156" s="34"/>
      <c r="X156" s="34"/>
      <c r="Y156" s="34"/>
      <c r="Z156" s="34"/>
      <c r="AA156" s="34"/>
      <c r="AB156" s="34"/>
      <c r="AC156" s="34"/>
    </row>
    <row r="157" spans="1:29" ht="14.25" customHeight="1" x14ac:dyDescent="0.2">
      <c r="A157" s="34"/>
      <c r="B157" s="34"/>
      <c r="C157" s="33"/>
      <c r="D157" s="34"/>
      <c r="E157" s="34"/>
      <c r="F157" s="34"/>
      <c r="G157" s="34"/>
      <c r="H157" s="33"/>
      <c r="I157" s="33"/>
      <c r="J157" s="34"/>
      <c r="K157" s="34"/>
      <c r="L157" s="34"/>
      <c r="M157" s="33"/>
      <c r="N157" s="33"/>
      <c r="O157" s="33"/>
      <c r="P157" s="33"/>
      <c r="Q157" s="34"/>
      <c r="R157" s="33"/>
      <c r="S157" s="33"/>
      <c r="T157" s="34"/>
      <c r="U157" s="34"/>
      <c r="V157" s="34"/>
      <c r="W157" s="34"/>
      <c r="X157" s="34"/>
      <c r="Y157" s="34"/>
      <c r="Z157" s="34"/>
      <c r="AA157" s="34"/>
      <c r="AB157" s="34"/>
      <c r="AC157" s="34"/>
    </row>
    <row r="158" spans="1:29" ht="14.25" customHeight="1" x14ac:dyDescent="0.2">
      <c r="A158" s="34"/>
      <c r="B158" s="34"/>
      <c r="C158" s="33"/>
      <c r="D158" s="34"/>
      <c r="E158" s="34"/>
      <c r="F158" s="34"/>
      <c r="G158" s="34"/>
      <c r="H158" s="33"/>
      <c r="I158" s="33"/>
      <c r="J158" s="34"/>
      <c r="K158" s="34"/>
      <c r="L158" s="34"/>
      <c r="M158" s="33"/>
      <c r="N158" s="33"/>
      <c r="O158" s="33"/>
      <c r="P158" s="33"/>
      <c r="Q158" s="34"/>
      <c r="R158" s="33"/>
      <c r="S158" s="34"/>
      <c r="T158" s="34"/>
      <c r="U158" s="34"/>
      <c r="V158" s="34"/>
      <c r="W158" s="34"/>
      <c r="X158" s="34"/>
      <c r="Y158" s="34"/>
      <c r="Z158" s="34"/>
      <c r="AA158" s="34"/>
      <c r="AB158" s="34"/>
      <c r="AC158" s="34"/>
    </row>
    <row r="159" spans="1:29" ht="14.25" customHeight="1" x14ac:dyDescent="0.2">
      <c r="A159" s="34"/>
      <c r="B159" s="34"/>
      <c r="C159" s="33"/>
      <c r="D159" s="34"/>
      <c r="E159" s="34"/>
      <c r="F159" s="34"/>
      <c r="G159" s="34"/>
      <c r="H159" s="33"/>
      <c r="I159" s="33"/>
      <c r="J159" s="34"/>
      <c r="K159" s="34"/>
      <c r="L159" s="34"/>
      <c r="M159" s="33"/>
      <c r="N159" s="33"/>
      <c r="O159" s="33"/>
      <c r="P159" s="33"/>
      <c r="Q159" s="34"/>
      <c r="R159" s="33"/>
      <c r="S159" s="34"/>
      <c r="T159" s="34"/>
      <c r="U159" s="34"/>
      <c r="V159" s="34"/>
      <c r="W159" s="34"/>
      <c r="X159" s="34"/>
      <c r="Y159" s="34"/>
      <c r="Z159" s="34"/>
      <c r="AA159" s="34"/>
      <c r="AB159" s="34"/>
      <c r="AC159" s="34"/>
    </row>
    <row r="160" spans="1:29" ht="14.25" customHeight="1" x14ac:dyDescent="0.2">
      <c r="A160" s="34"/>
      <c r="B160" s="34"/>
      <c r="C160" s="33"/>
      <c r="D160" s="34"/>
      <c r="E160" s="34"/>
      <c r="F160" s="34"/>
      <c r="G160" s="34"/>
      <c r="H160" s="33"/>
      <c r="I160" s="33"/>
      <c r="J160" s="34"/>
      <c r="K160" s="34"/>
      <c r="L160" s="34"/>
      <c r="M160" s="34"/>
      <c r="N160" s="34"/>
      <c r="O160" s="34"/>
      <c r="P160" s="34"/>
      <c r="Q160" s="33"/>
      <c r="R160" s="33"/>
      <c r="S160" s="33"/>
      <c r="T160" s="34"/>
      <c r="U160" s="34"/>
      <c r="V160" s="34"/>
      <c r="W160" s="34"/>
      <c r="X160" s="34"/>
      <c r="Y160" s="34"/>
      <c r="Z160" s="34"/>
      <c r="AA160" s="34"/>
      <c r="AB160" s="34"/>
      <c r="AC160" s="34"/>
    </row>
    <row r="161" spans="1:29" ht="14.25" customHeight="1" x14ac:dyDescent="0.2">
      <c r="A161" s="34"/>
      <c r="B161" s="34"/>
      <c r="C161" s="33"/>
      <c r="D161" s="34"/>
      <c r="E161" s="34"/>
      <c r="F161" s="34"/>
      <c r="G161" s="34"/>
      <c r="H161" s="33"/>
      <c r="I161" s="33"/>
      <c r="J161" s="34"/>
      <c r="K161" s="34"/>
      <c r="L161" s="34"/>
      <c r="M161" s="33"/>
      <c r="N161" s="33"/>
      <c r="O161" s="33"/>
      <c r="P161" s="33"/>
      <c r="Q161" s="34"/>
      <c r="R161" s="33"/>
      <c r="S161" s="33"/>
      <c r="T161" s="34"/>
      <c r="U161" s="34"/>
      <c r="V161" s="34"/>
      <c r="W161" s="34"/>
      <c r="X161" s="34"/>
      <c r="Y161" s="34"/>
      <c r="Z161" s="34"/>
      <c r="AA161" s="34"/>
      <c r="AB161" s="34"/>
      <c r="AC161" s="34"/>
    </row>
    <row r="162" spans="1:29" ht="14.25" customHeight="1" x14ac:dyDescent="0.2">
      <c r="A162" s="34"/>
      <c r="B162" s="34"/>
      <c r="C162" s="33"/>
      <c r="D162" s="34"/>
      <c r="E162" s="34"/>
      <c r="F162" s="34"/>
      <c r="G162" s="34"/>
      <c r="H162" s="33"/>
      <c r="I162" s="33"/>
      <c r="J162" s="34"/>
      <c r="K162" s="34"/>
      <c r="L162" s="34"/>
      <c r="M162" s="33"/>
      <c r="N162" s="33"/>
      <c r="O162" s="33"/>
      <c r="P162" s="33"/>
      <c r="Q162" s="34"/>
      <c r="R162" s="33"/>
      <c r="S162" s="33"/>
      <c r="T162" s="34"/>
      <c r="U162" s="34"/>
      <c r="V162" s="34"/>
      <c r="W162" s="34"/>
      <c r="X162" s="34"/>
      <c r="Y162" s="34"/>
      <c r="Z162" s="34"/>
      <c r="AA162" s="34"/>
      <c r="AB162" s="34"/>
      <c r="AC162" s="34"/>
    </row>
    <row r="163" spans="1:29" ht="14.25" customHeight="1" x14ac:dyDescent="0.2">
      <c r="A163" s="34"/>
      <c r="B163" s="34"/>
      <c r="C163" s="33"/>
      <c r="D163" s="34"/>
      <c r="E163" s="34"/>
      <c r="F163" s="34"/>
      <c r="G163" s="34"/>
      <c r="H163" s="33"/>
      <c r="I163" s="33"/>
      <c r="J163" s="34"/>
      <c r="K163" s="34"/>
      <c r="L163" s="34"/>
      <c r="M163" s="33"/>
      <c r="N163" s="33"/>
      <c r="O163" s="33"/>
      <c r="P163" s="33"/>
      <c r="Q163" s="34"/>
      <c r="R163" s="33"/>
      <c r="S163" s="33"/>
      <c r="T163" s="34"/>
      <c r="U163" s="34"/>
      <c r="V163" s="34"/>
      <c r="W163" s="34"/>
      <c r="X163" s="34"/>
      <c r="Y163" s="34"/>
      <c r="Z163" s="34"/>
      <c r="AA163" s="34"/>
      <c r="AB163" s="34"/>
      <c r="AC163" s="34"/>
    </row>
    <row r="164" spans="1:29" ht="14.25" customHeight="1" x14ac:dyDescent="0.2">
      <c r="A164" s="34"/>
      <c r="B164" s="34"/>
      <c r="C164" s="33"/>
      <c r="D164" s="34"/>
      <c r="E164" s="34"/>
      <c r="F164" s="34"/>
      <c r="G164" s="34"/>
      <c r="H164" s="33"/>
      <c r="I164" s="33"/>
      <c r="J164" s="34"/>
      <c r="K164" s="34"/>
      <c r="L164" s="34"/>
      <c r="M164" s="33"/>
      <c r="N164" s="33"/>
      <c r="O164" s="33"/>
      <c r="P164" s="33"/>
      <c r="Q164" s="34"/>
      <c r="R164" s="33"/>
      <c r="S164" s="33"/>
      <c r="T164" s="34"/>
      <c r="U164" s="34"/>
      <c r="V164" s="34"/>
      <c r="W164" s="34"/>
      <c r="X164" s="34"/>
      <c r="Y164" s="34"/>
      <c r="Z164" s="34"/>
      <c r="AA164" s="34"/>
      <c r="AB164" s="34"/>
      <c r="AC164" s="34"/>
    </row>
    <row r="165" spans="1:29" ht="14.25" customHeight="1" x14ac:dyDescent="0.2">
      <c r="A165" s="34"/>
      <c r="B165" s="34"/>
      <c r="C165" s="33"/>
      <c r="D165" s="34"/>
      <c r="E165" s="34"/>
      <c r="F165" s="34"/>
      <c r="G165" s="34"/>
      <c r="H165" s="33"/>
      <c r="I165" s="33"/>
      <c r="J165" s="34"/>
      <c r="K165" s="34"/>
      <c r="L165" s="34"/>
      <c r="M165" s="33"/>
      <c r="N165" s="33"/>
      <c r="O165" s="33"/>
      <c r="P165" s="33"/>
      <c r="Q165" s="34"/>
      <c r="R165" s="33"/>
      <c r="S165" s="33"/>
      <c r="T165" s="34"/>
      <c r="U165" s="34"/>
      <c r="V165" s="34"/>
      <c r="W165" s="34"/>
      <c r="X165" s="34"/>
      <c r="Y165" s="34"/>
      <c r="Z165" s="34"/>
      <c r="AA165" s="34"/>
      <c r="AB165" s="34"/>
      <c r="AC165" s="34"/>
    </row>
    <row r="166" spans="1:29" ht="14.25" customHeight="1" x14ac:dyDescent="0.2">
      <c r="A166" s="34"/>
      <c r="B166" s="34"/>
      <c r="C166" s="33"/>
      <c r="D166" s="34"/>
      <c r="E166" s="34"/>
      <c r="F166" s="34"/>
      <c r="G166" s="34"/>
      <c r="H166" s="33"/>
      <c r="I166" s="33"/>
      <c r="J166" s="34"/>
      <c r="K166" s="34"/>
      <c r="L166" s="34"/>
      <c r="M166" s="33"/>
      <c r="N166" s="33"/>
      <c r="O166" s="33"/>
      <c r="P166" s="33"/>
      <c r="Q166" s="34"/>
      <c r="R166" s="33"/>
      <c r="S166" s="33"/>
      <c r="T166" s="34"/>
      <c r="U166" s="34"/>
      <c r="V166" s="34"/>
      <c r="W166" s="34"/>
      <c r="X166" s="34"/>
      <c r="Y166" s="34"/>
      <c r="Z166" s="34"/>
      <c r="AA166" s="34"/>
      <c r="AB166" s="34"/>
      <c r="AC166" s="34"/>
    </row>
    <row r="167" spans="1:29" ht="14.25" customHeight="1" x14ac:dyDescent="0.2">
      <c r="A167" s="34"/>
      <c r="B167" s="34"/>
      <c r="C167" s="33"/>
      <c r="D167" s="34"/>
      <c r="E167" s="34"/>
      <c r="F167" s="34"/>
      <c r="G167" s="34"/>
      <c r="H167" s="33"/>
      <c r="I167" s="33"/>
      <c r="J167" s="34"/>
      <c r="K167" s="34"/>
      <c r="L167" s="34"/>
      <c r="M167" s="33"/>
      <c r="N167" s="33"/>
      <c r="O167" s="33"/>
      <c r="P167" s="33"/>
      <c r="Q167" s="34"/>
      <c r="R167" s="33"/>
      <c r="S167" s="33"/>
      <c r="T167" s="34"/>
      <c r="U167" s="34"/>
      <c r="V167" s="34"/>
      <c r="W167" s="34"/>
      <c r="X167" s="34"/>
      <c r="Y167" s="34"/>
      <c r="Z167" s="34"/>
      <c r="AA167" s="34"/>
      <c r="AB167" s="34"/>
      <c r="AC167" s="34"/>
    </row>
    <row r="168" spans="1:29" ht="14.25" customHeight="1" x14ac:dyDescent="0.2">
      <c r="A168" s="34"/>
      <c r="B168" s="34"/>
      <c r="C168" s="33"/>
      <c r="D168" s="34"/>
      <c r="E168" s="34"/>
      <c r="F168" s="34"/>
      <c r="G168" s="34"/>
      <c r="H168" s="33"/>
      <c r="I168" s="33"/>
      <c r="J168" s="34"/>
      <c r="K168" s="34"/>
      <c r="L168" s="34"/>
      <c r="M168" s="33"/>
      <c r="N168" s="33"/>
      <c r="O168" s="33"/>
      <c r="P168" s="33"/>
      <c r="Q168" s="34"/>
      <c r="R168" s="33"/>
      <c r="S168" s="33"/>
      <c r="T168" s="34"/>
      <c r="U168" s="34"/>
      <c r="V168" s="34"/>
      <c r="W168" s="34"/>
      <c r="X168" s="34"/>
      <c r="Y168" s="34"/>
      <c r="Z168" s="34"/>
      <c r="AA168" s="34"/>
      <c r="AB168" s="34"/>
      <c r="AC168" s="34"/>
    </row>
    <row r="169" spans="1:29" ht="14.25" customHeight="1" x14ac:dyDescent="0.2">
      <c r="A169" s="34"/>
      <c r="B169" s="34"/>
      <c r="C169" s="33"/>
      <c r="D169" s="34"/>
      <c r="E169" s="34"/>
      <c r="F169" s="34"/>
      <c r="G169" s="34"/>
      <c r="H169" s="33"/>
      <c r="I169" s="33"/>
      <c r="J169" s="34"/>
      <c r="K169" s="34"/>
      <c r="L169" s="34"/>
      <c r="M169" s="34"/>
      <c r="N169" s="34"/>
      <c r="O169" s="34"/>
      <c r="P169" s="34"/>
      <c r="Q169" s="33"/>
      <c r="R169" s="33"/>
      <c r="S169" s="33"/>
      <c r="T169" s="34"/>
      <c r="U169" s="34"/>
      <c r="V169" s="34"/>
      <c r="W169" s="34"/>
      <c r="X169" s="34"/>
      <c r="Y169" s="34"/>
      <c r="Z169" s="34"/>
      <c r="AA169" s="34"/>
      <c r="AB169" s="34"/>
      <c r="AC169" s="34"/>
    </row>
    <row r="170" spans="1:29" ht="14.25" customHeight="1" x14ac:dyDescent="0.2">
      <c r="A170" s="34"/>
      <c r="B170" s="34"/>
      <c r="C170" s="33"/>
      <c r="D170" s="34"/>
      <c r="E170" s="34"/>
      <c r="F170" s="34"/>
      <c r="G170" s="34"/>
      <c r="H170" s="33"/>
      <c r="I170" s="33"/>
      <c r="J170" s="34"/>
      <c r="K170" s="34"/>
      <c r="L170" s="34"/>
      <c r="M170" s="33"/>
      <c r="N170" s="33"/>
      <c r="O170" s="33"/>
      <c r="P170" s="33"/>
      <c r="Q170" s="34"/>
      <c r="R170" s="33"/>
      <c r="S170" s="33"/>
      <c r="T170" s="34"/>
      <c r="U170" s="34"/>
      <c r="V170" s="34"/>
      <c r="W170" s="34"/>
      <c r="X170" s="34"/>
      <c r="Y170" s="34"/>
      <c r="Z170" s="34"/>
      <c r="AA170" s="34"/>
      <c r="AB170" s="34"/>
      <c r="AC170" s="34"/>
    </row>
    <row r="171" spans="1:29" ht="14.25" customHeight="1" x14ac:dyDescent="0.2">
      <c r="A171" s="34"/>
      <c r="B171" s="34"/>
      <c r="C171" s="33"/>
      <c r="D171" s="34"/>
      <c r="E171" s="34"/>
      <c r="F171" s="34"/>
      <c r="G171" s="34"/>
      <c r="H171" s="33"/>
      <c r="I171" s="33"/>
      <c r="J171" s="34"/>
      <c r="K171" s="34"/>
      <c r="L171" s="34"/>
      <c r="M171" s="33"/>
      <c r="N171" s="33"/>
      <c r="O171" s="33"/>
      <c r="P171" s="33"/>
      <c r="Q171" s="34"/>
      <c r="R171" s="33"/>
      <c r="S171" s="33"/>
      <c r="T171" s="34"/>
      <c r="U171" s="34"/>
      <c r="V171" s="34"/>
      <c r="W171" s="34"/>
      <c r="X171" s="34"/>
      <c r="Y171" s="34"/>
      <c r="Z171" s="34"/>
      <c r="AA171" s="34"/>
      <c r="AB171" s="34"/>
      <c r="AC171" s="34"/>
    </row>
    <row r="172" spans="1:29" ht="14.25" customHeight="1" x14ac:dyDescent="0.2">
      <c r="A172" s="34"/>
      <c r="B172" s="34"/>
      <c r="C172" s="33"/>
      <c r="D172" s="34"/>
      <c r="E172" s="34"/>
      <c r="F172" s="34"/>
      <c r="G172" s="34"/>
      <c r="H172" s="33"/>
      <c r="I172" s="33"/>
      <c r="J172" s="34"/>
      <c r="K172" s="34"/>
      <c r="L172" s="34"/>
      <c r="M172" s="33"/>
      <c r="N172" s="33"/>
      <c r="O172" s="33"/>
      <c r="P172" s="33"/>
      <c r="Q172" s="34"/>
      <c r="R172" s="33"/>
      <c r="S172" s="33"/>
      <c r="T172" s="34"/>
      <c r="U172" s="34"/>
      <c r="V172" s="34"/>
      <c r="W172" s="34"/>
      <c r="X172" s="34"/>
      <c r="Y172" s="34"/>
      <c r="Z172" s="34"/>
      <c r="AA172" s="34"/>
      <c r="AB172" s="34"/>
      <c r="AC172" s="34"/>
    </row>
    <row r="173" spans="1:29" ht="14.25" customHeight="1" x14ac:dyDescent="0.2">
      <c r="A173" s="34"/>
      <c r="B173" s="34"/>
      <c r="C173" s="33"/>
      <c r="D173" s="34"/>
      <c r="E173" s="34"/>
      <c r="F173" s="34"/>
      <c r="G173" s="34"/>
      <c r="H173" s="33"/>
      <c r="I173" s="33"/>
      <c r="J173" s="34"/>
      <c r="K173" s="34"/>
      <c r="L173" s="34"/>
      <c r="M173" s="33"/>
      <c r="N173" s="33"/>
      <c r="O173" s="33"/>
      <c r="P173" s="33"/>
      <c r="Q173" s="34"/>
      <c r="R173" s="33"/>
      <c r="S173" s="33"/>
      <c r="T173" s="34"/>
      <c r="U173" s="34"/>
      <c r="V173" s="34"/>
      <c r="W173" s="34"/>
      <c r="X173" s="34"/>
      <c r="Y173" s="34"/>
      <c r="Z173" s="34"/>
      <c r="AA173" s="34"/>
      <c r="AB173" s="34"/>
      <c r="AC173" s="34"/>
    </row>
    <row r="174" spans="1:29" ht="14.25" customHeight="1" x14ac:dyDescent="0.2">
      <c r="A174" s="34"/>
      <c r="B174" s="34"/>
      <c r="C174" s="33"/>
      <c r="D174" s="34"/>
      <c r="E174" s="34"/>
      <c r="F174" s="34"/>
      <c r="G174" s="34"/>
      <c r="H174" s="33"/>
      <c r="I174" s="33"/>
      <c r="J174" s="34"/>
      <c r="K174" s="34"/>
      <c r="L174" s="34"/>
      <c r="M174" s="33"/>
      <c r="N174" s="33"/>
      <c r="O174" s="33"/>
      <c r="P174" s="33"/>
      <c r="Q174" s="34"/>
      <c r="R174" s="33"/>
      <c r="S174" s="33"/>
      <c r="T174" s="34"/>
      <c r="U174" s="34"/>
      <c r="V174" s="34"/>
      <c r="W174" s="34"/>
      <c r="X174" s="34"/>
      <c r="Y174" s="34"/>
      <c r="Z174" s="34"/>
      <c r="AA174" s="34"/>
      <c r="AB174" s="34"/>
      <c r="AC174" s="34"/>
    </row>
    <row r="175" spans="1:29" ht="14.25" customHeight="1" x14ac:dyDescent="0.2">
      <c r="A175" s="34"/>
      <c r="B175" s="34"/>
      <c r="C175" s="33"/>
      <c r="D175" s="34"/>
      <c r="E175" s="34"/>
      <c r="F175" s="34"/>
      <c r="G175" s="34"/>
      <c r="H175" s="33"/>
      <c r="I175" s="33"/>
      <c r="J175" s="34"/>
      <c r="K175" s="34"/>
      <c r="L175" s="34"/>
      <c r="M175" s="33"/>
      <c r="N175" s="33"/>
      <c r="O175" s="33"/>
      <c r="P175" s="33"/>
      <c r="Q175" s="34"/>
      <c r="R175" s="33"/>
      <c r="S175" s="33"/>
      <c r="T175" s="34"/>
      <c r="U175" s="34"/>
      <c r="V175" s="34"/>
      <c r="W175" s="34"/>
      <c r="X175" s="34"/>
      <c r="Y175" s="34"/>
      <c r="Z175" s="34"/>
      <c r="AA175" s="34"/>
      <c r="AB175" s="34"/>
      <c r="AC175" s="34"/>
    </row>
    <row r="176" spans="1:29" ht="14.25" customHeight="1" x14ac:dyDescent="0.2">
      <c r="A176" s="34"/>
      <c r="B176" s="34"/>
      <c r="C176" s="33"/>
      <c r="D176" s="34"/>
      <c r="E176" s="34"/>
      <c r="F176" s="34"/>
      <c r="G176" s="34"/>
      <c r="H176" s="33"/>
      <c r="I176" s="33"/>
      <c r="J176" s="34"/>
      <c r="K176" s="34"/>
      <c r="L176" s="34"/>
      <c r="M176" s="34"/>
      <c r="N176" s="34"/>
      <c r="O176" s="34"/>
      <c r="P176" s="34"/>
      <c r="Q176" s="33"/>
      <c r="R176" s="33"/>
      <c r="S176" s="33"/>
      <c r="T176" s="34"/>
      <c r="U176" s="34"/>
      <c r="V176" s="34"/>
      <c r="W176" s="34"/>
      <c r="X176" s="34"/>
      <c r="Y176" s="34"/>
      <c r="Z176" s="34"/>
      <c r="AA176" s="34"/>
      <c r="AB176" s="34"/>
      <c r="AC176" s="34"/>
    </row>
    <row r="177" spans="1:29" ht="14.25" customHeight="1" x14ac:dyDescent="0.2">
      <c r="A177" s="34"/>
      <c r="B177" s="34"/>
      <c r="C177" s="33"/>
      <c r="D177" s="34"/>
      <c r="E177" s="34"/>
      <c r="F177" s="34"/>
      <c r="G177" s="34"/>
      <c r="H177" s="33"/>
      <c r="I177" s="33"/>
      <c r="J177" s="34"/>
      <c r="K177" s="34"/>
      <c r="L177" s="34"/>
      <c r="M177" s="33"/>
      <c r="N177" s="33"/>
      <c r="O177" s="33"/>
      <c r="P177" s="33"/>
      <c r="Q177" s="34"/>
      <c r="R177" s="33"/>
      <c r="S177" s="33"/>
      <c r="T177" s="34"/>
      <c r="U177" s="34"/>
      <c r="V177" s="34"/>
      <c r="W177" s="34"/>
      <c r="X177" s="34"/>
      <c r="Y177" s="34"/>
      <c r="Z177" s="34"/>
      <c r="AA177" s="34"/>
      <c r="AB177" s="34"/>
      <c r="AC177" s="34"/>
    </row>
    <row r="178" spans="1:29" ht="14.25" customHeight="1" x14ac:dyDescent="0.2">
      <c r="A178" s="34"/>
      <c r="B178" s="34"/>
      <c r="C178" s="33"/>
      <c r="D178" s="34"/>
      <c r="E178" s="34"/>
      <c r="F178" s="34"/>
      <c r="G178" s="34"/>
      <c r="H178" s="33"/>
      <c r="I178" s="33"/>
      <c r="J178" s="34"/>
      <c r="K178" s="34"/>
      <c r="L178" s="34"/>
      <c r="M178" s="33"/>
      <c r="N178" s="33"/>
      <c r="O178" s="33"/>
      <c r="P178" s="33"/>
      <c r="Q178" s="34"/>
      <c r="R178" s="33"/>
      <c r="S178" s="33"/>
      <c r="T178" s="34"/>
      <c r="U178" s="34"/>
      <c r="V178" s="34"/>
      <c r="W178" s="34"/>
      <c r="X178" s="34"/>
      <c r="Y178" s="34"/>
      <c r="Z178" s="34"/>
      <c r="AA178" s="34"/>
      <c r="AB178" s="34"/>
      <c r="AC178" s="34"/>
    </row>
    <row r="179" spans="1:29" ht="14.25" customHeight="1" x14ac:dyDescent="0.2">
      <c r="A179" s="34"/>
      <c r="B179" s="34"/>
      <c r="C179" s="33"/>
      <c r="D179" s="34"/>
      <c r="E179" s="34"/>
      <c r="F179" s="34"/>
      <c r="G179" s="34"/>
      <c r="H179" s="33"/>
      <c r="I179" s="33"/>
      <c r="J179" s="34"/>
      <c r="K179" s="34"/>
      <c r="L179" s="34"/>
      <c r="M179" s="34"/>
      <c r="N179" s="34"/>
      <c r="O179" s="34"/>
      <c r="P179" s="34"/>
      <c r="Q179" s="33"/>
      <c r="R179" s="33"/>
      <c r="S179" s="33"/>
      <c r="T179" s="34"/>
      <c r="U179" s="34"/>
      <c r="V179" s="34"/>
      <c r="W179" s="34"/>
      <c r="X179" s="34"/>
      <c r="Y179" s="34"/>
      <c r="Z179" s="34"/>
      <c r="AA179" s="34"/>
      <c r="AB179" s="34"/>
      <c r="AC179" s="34"/>
    </row>
    <row r="180" spans="1:29" ht="14.25" customHeight="1" x14ac:dyDescent="0.2">
      <c r="A180" s="34"/>
      <c r="B180" s="34"/>
      <c r="C180" s="33"/>
      <c r="D180" s="34"/>
      <c r="E180" s="34"/>
      <c r="F180" s="34"/>
      <c r="G180" s="34"/>
      <c r="H180" s="33"/>
      <c r="I180" s="33"/>
      <c r="J180" s="34"/>
      <c r="K180" s="34"/>
      <c r="L180" s="34"/>
      <c r="M180" s="33"/>
      <c r="N180" s="33"/>
      <c r="O180" s="33"/>
      <c r="P180" s="33"/>
      <c r="Q180" s="34"/>
      <c r="R180" s="33"/>
      <c r="S180" s="33"/>
      <c r="T180" s="34"/>
      <c r="U180" s="34"/>
      <c r="V180" s="34"/>
      <c r="W180" s="34"/>
      <c r="X180" s="34"/>
      <c r="Y180" s="34"/>
      <c r="Z180" s="34"/>
      <c r="AA180" s="34"/>
      <c r="AB180" s="34"/>
      <c r="AC180" s="34"/>
    </row>
    <row r="181" spans="1:29" ht="14.25" customHeight="1" x14ac:dyDescent="0.2">
      <c r="A181" s="34"/>
      <c r="B181" s="34"/>
      <c r="C181" s="33"/>
      <c r="D181" s="34"/>
      <c r="E181" s="34"/>
      <c r="F181" s="34"/>
      <c r="G181" s="34"/>
      <c r="H181" s="33"/>
      <c r="I181" s="33"/>
      <c r="J181" s="34"/>
      <c r="K181" s="34"/>
      <c r="L181" s="34"/>
      <c r="M181" s="33"/>
      <c r="N181" s="33"/>
      <c r="O181" s="33"/>
      <c r="P181" s="33"/>
      <c r="Q181" s="34"/>
      <c r="R181" s="33"/>
      <c r="S181" s="33"/>
      <c r="T181" s="34"/>
      <c r="U181" s="34"/>
      <c r="V181" s="34"/>
      <c r="W181" s="34"/>
      <c r="X181" s="34"/>
      <c r="Y181" s="34"/>
      <c r="Z181" s="34"/>
      <c r="AA181" s="34"/>
      <c r="AB181" s="34"/>
      <c r="AC181" s="34"/>
    </row>
    <row r="182" spans="1:29" ht="14.25" customHeight="1" x14ac:dyDescent="0.2">
      <c r="A182" s="34"/>
      <c r="B182" s="34"/>
      <c r="C182" s="33"/>
      <c r="D182" s="34"/>
      <c r="E182" s="34"/>
      <c r="F182" s="34"/>
      <c r="G182" s="34"/>
      <c r="H182" s="33"/>
      <c r="I182" s="33"/>
      <c r="J182" s="34"/>
      <c r="K182" s="34"/>
      <c r="L182" s="34"/>
      <c r="M182" s="33"/>
      <c r="N182" s="33"/>
      <c r="O182" s="33"/>
      <c r="P182" s="33"/>
      <c r="Q182" s="34"/>
      <c r="R182" s="33"/>
      <c r="S182" s="33"/>
      <c r="T182" s="34"/>
      <c r="U182" s="34"/>
      <c r="V182" s="34"/>
      <c r="W182" s="34"/>
      <c r="X182" s="34"/>
      <c r="Y182" s="34"/>
      <c r="Z182" s="34"/>
      <c r="AA182" s="34"/>
      <c r="AB182" s="34"/>
      <c r="AC182" s="34"/>
    </row>
    <row r="183" spans="1:29" ht="14.25" customHeight="1" x14ac:dyDescent="0.2">
      <c r="A183" s="34"/>
      <c r="B183" s="34"/>
      <c r="C183" s="33"/>
      <c r="D183" s="34"/>
      <c r="E183" s="34"/>
      <c r="F183" s="34"/>
      <c r="G183" s="34"/>
      <c r="H183" s="33"/>
      <c r="I183" s="33"/>
      <c r="J183" s="34"/>
      <c r="K183" s="34"/>
      <c r="L183" s="34"/>
      <c r="M183" s="33"/>
      <c r="N183" s="33"/>
      <c r="O183" s="33"/>
      <c r="P183" s="33"/>
      <c r="Q183" s="34"/>
      <c r="R183" s="33"/>
      <c r="S183" s="33"/>
      <c r="T183" s="34"/>
      <c r="U183" s="34"/>
      <c r="V183" s="34"/>
      <c r="W183" s="34"/>
      <c r="X183" s="34"/>
      <c r="Y183" s="34"/>
      <c r="Z183" s="34"/>
      <c r="AA183" s="34"/>
      <c r="AB183" s="34"/>
      <c r="AC183" s="34"/>
    </row>
    <row r="184" spans="1:29" ht="14.25" customHeight="1" x14ac:dyDescent="0.2">
      <c r="A184" s="34"/>
      <c r="B184" s="34"/>
      <c r="C184" s="33"/>
      <c r="D184" s="34"/>
      <c r="E184" s="34"/>
      <c r="F184" s="34"/>
      <c r="G184" s="34"/>
      <c r="H184" s="33"/>
      <c r="I184" s="33"/>
      <c r="J184" s="34"/>
      <c r="K184" s="34"/>
      <c r="L184" s="34"/>
      <c r="M184" s="34"/>
      <c r="N184" s="34"/>
      <c r="O184" s="34"/>
      <c r="P184" s="34"/>
      <c r="Q184" s="33"/>
      <c r="R184" s="33"/>
      <c r="S184" s="33"/>
      <c r="T184" s="34"/>
      <c r="U184" s="34"/>
      <c r="V184" s="34"/>
      <c r="W184" s="34"/>
      <c r="X184" s="34"/>
      <c r="Y184" s="34"/>
      <c r="Z184" s="34"/>
      <c r="AA184" s="34"/>
      <c r="AB184" s="34"/>
      <c r="AC184" s="34"/>
    </row>
    <row r="185" spans="1:29" ht="14.25" customHeight="1" x14ac:dyDescent="0.2">
      <c r="A185" s="34"/>
      <c r="B185" s="34"/>
      <c r="C185" s="33"/>
      <c r="D185" s="34"/>
      <c r="E185" s="34"/>
      <c r="F185" s="34"/>
      <c r="G185" s="34"/>
      <c r="H185" s="33"/>
      <c r="I185" s="33"/>
      <c r="J185" s="34"/>
      <c r="K185" s="34"/>
      <c r="L185" s="34"/>
      <c r="M185" s="34"/>
      <c r="N185" s="34"/>
      <c r="O185" s="34"/>
      <c r="P185" s="34"/>
      <c r="Q185" s="33"/>
      <c r="R185" s="33"/>
      <c r="S185" s="33"/>
      <c r="T185" s="34"/>
      <c r="U185" s="34"/>
      <c r="V185" s="34"/>
      <c r="W185" s="34"/>
      <c r="X185" s="34"/>
      <c r="Y185" s="34"/>
      <c r="Z185" s="34"/>
      <c r="AA185" s="34"/>
      <c r="AB185" s="34"/>
      <c r="AC185" s="34"/>
    </row>
    <row r="186" spans="1:29" ht="14.25" customHeight="1" x14ac:dyDescent="0.2">
      <c r="A186" s="34"/>
      <c r="B186" s="34"/>
      <c r="C186" s="33"/>
      <c r="D186" s="34"/>
      <c r="E186" s="34"/>
      <c r="F186" s="34"/>
      <c r="G186" s="34"/>
      <c r="H186" s="33"/>
      <c r="I186" s="33"/>
      <c r="J186" s="34"/>
      <c r="K186" s="34"/>
      <c r="L186" s="34"/>
      <c r="M186" s="33"/>
      <c r="N186" s="33"/>
      <c r="O186" s="33"/>
      <c r="P186" s="33"/>
      <c r="Q186" s="34"/>
      <c r="R186" s="33"/>
      <c r="S186" s="33"/>
      <c r="T186" s="34"/>
      <c r="U186" s="34"/>
      <c r="V186" s="34"/>
      <c r="W186" s="34"/>
      <c r="X186" s="34"/>
      <c r="Y186" s="34"/>
      <c r="Z186" s="34"/>
      <c r="AA186" s="34"/>
      <c r="AB186" s="34"/>
      <c r="AC186" s="34"/>
    </row>
    <row r="187" spans="1:29" ht="14.25" customHeight="1" x14ac:dyDescent="0.2">
      <c r="A187" s="34"/>
      <c r="B187" s="34"/>
      <c r="C187" s="33"/>
      <c r="D187" s="34"/>
      <c r="E187" s="34"/>
      <c r="F187" s="34"/>
      <c r="G187" s="34"/>
      <c r="H187" s="33"/>
      <c r="I187" s="33"/>
      <c r="J187" s="34"/>
      <c r="K187" s="34"/>
      <c r="L187" s="34"/>
      <c r="M187" s="33"/>
      <c r="N187" s="33"/>
      <c r="O187" s="33"/>
      <c r="P187" s="33"/>
      <c r="Q187" s="34"/>
      <c r="R187" s="33"/>
      <c r="S187" s="33"/>
      <c r="T187" s="34"/>
      <c r="U187" s="34"/>
      <c r="V187" s="34"/>
      <c r="W187" s="34"/>
      <c r="X187" s="34"/>
      <c r="Y187" s="34"/>
      <c r="Z187" s="34"/>
      <c r="AA187" s="34"/>
      <c r="AB187" s="34"/>
      <c r="AC187" s="34"/>
    </row>
    <row r="188" spans="1:29" ht="14.25" customHeight="1" x14ac:dyDescent="0.2">
      <c r="A188" s="34"/>
      <c r="B188" s="34"/>
      <c r="C188" s="33"/>
      <c r="D188" s="34"/>
      <c r="E188" s="34"/>
      <c r="F188" s="34"/>
      <c r="G188" s="34"/>
      <c r="H188" s="33"/>
      <c r="I188" s="33"/>
      <c r="J188" s="34"/>
      <c r="K188" s="34"/>
      <c r="L188" s="34"/>
      <c r="M188" s="33"/>
      <c r="N188" s="33"/>
      <c r="O188" s="33"/>
      <c r="P188" s="33"/>
      <c r="Q188" s="34"/>
      <c r="R188" s="33"/>
      <c r="S188" s="33"/>
      <c r="T188" s="34"/>
      <c r="U188" s="34"/>
      <c r="V188" s="34"/>
      <c r="W188" s="34"/>
      <c r="X188" s="34"/>
      <c r="Y188" s="34"/>
      <c r="Z188" s="34"/>
      <c r="AA188" s="34"/>
      <c r="AB188" s="34"/>
      <c r="AC188" s="34"/>
    </row>
    <row r="189" spans="1:29" ht="14.25" customHeight="1" x14ac:dyDescent="0.2">
      <c r="A189" s="34"/>
      <c r="B189" s="34"/>
      <c r="C189" s="33"/>
      <c r="D189" s="34"/>
      <c r="E189" s="34"/>
      <c r="F189" s="34"/>
      <c r="G189" s="34"/>
      <c r="H189" s="33"/>
      <c r="I189" s="33"/>
      <c r="J189" s="34"/>
      <c r="K189" s="34"/>
      <c r="L189" s="34"/>
      <c r="M189" s="33"/>
      <c r="N189" s="33"/>
      <c r="O189" s="33"/>
      <c r="P189" s="33"/>
      <c r="Q189" s="34"/>
      <c r="R189" s="33"/>
      <c r="S189" s="33"/>
      <c r="T189" s="34"/>
      <c r="U189" s="34"/>
      <c r="V189" s="34"/>
      <c r="W189" s="34"/>
      <c r="X189" s="34"/>
      <c r="Y189" s="34"/>
      <c r="Z189" s="34"/>
      <c r="AA189" s="34"/>
      <c r="AB189" s="34"/>
      <c r="AC189" s="34"/>
    </row>
    <row r="190" spans="1:29" ht="14.25" customHeight="1" x14ac:dyDescent="0.2">
      <c r="A190" s="34"/>
      <c r="B190" s="34"/>
      <c r="C190" s="33"/>
      <c r="D190" s="34"/>
      <c r="E190" s="34"/>
      <c r="F190" s="34"/>
      <c r="G190" s="34"/>
      <c r="H190" s="33"/>
      <c r="I190" s="33"/>
      <c r="J190" s="34"/>
      <c r="K190" s="34"/>
      <c r="L190" s="34"/>
      <c r="M190" s="33"/>
      <c r="N190" s="33"/>
      <c r="O190" s="33"/>
      <c r="P190" s="33"/>
      <c r="Q190" s="34"/>
      <c r="R190" s="33"/>
      <c r="S190" s="33"/>
      <c r="T190" s="34"/>
      <c r="U190" s="34"/>
      <c r="V190" s="34"/>
      <c r="W190" s="34"/>
      <c r="X190" s="34"/>
      <c r="Y190" s="34"/>
      <c r="Z190" s="34"/>
      <c r="AA190" s="34"/>
      <c r="AB190" s="34"/>
      <c r="AC190" s="34"/>
    </row>
    <row r="191" spans="1:29" ht="14.25" customHeight="1" x14ac:dyDescent="0.2">
      <c r="A191" s="34"/>
      <c r="B191" s="34"/>
      <c r="C191" s="33"/>
      <c r="D191" s="34"/>
      <c r="E191" s="34"/>
      <c r="F191" s="34"/>
      <c r="G191" s="34"/>
      <c r="H191" s="33"/>
      <c r="I191" s="33"/>
      <c r="J191" s="34"/>
      <c r="K191" s="34"/>
      <c r="L191" s="34"/>
      <c r="M191" s="33"/>
      <c r="N191" s="33"/>
      <c r="O191" s="33"/>
      <c r="P191" s="33"/>
      <c r="Q191" s="34"/>
      <c r="R191" s="33"/>
      <c r="S191" s="33"/>
      <c r="T191" s="34"/>
      <c r="U191" s="34"/>
      <c r="V191" s="34"/>
      <c r="W191" s="34"/>
      <c r="X191" s="34"/>
      <c r="Y191" s="34"/>
      <c r="Z191" s="34"/>
      <c r="AA191" s="34"/>
      <c r="AB191" s="34"/>
      <c r="AC191" s="34"/>
    </row>
    <row r="192" spans="1:29" ht="14.25" customHeight="1" x14ac:dyDescent="0.2">
      <c r="A192" s="34"/>
      <c r="B192" s="34"/>
      <c r="C192" s="33"/>
      <c r="D192" s="34"/>
      <c r="E192" s="34"/>
      <c r="F192" s="34"/>
      <c r="G192" s="34"/>
      <c r="H192" s="33"/>
      <c r="I192" s="33"/>
      <c r="J192" s="34"/>
      <c r="K192" s="34"/>
      <c r="L192" s="34"/>
      <c r="M192" s="33"/>
      <c r="N192" s="33"/>
      <c r="O192" s="33"/>
      <c r="P192" s="33"/>
      <c r="Q192" s="34"/>
      <c r="R192" s="33"/>
      <c r="S192" s="34"/>
      <c r="T192" s="34"/>
      <c r="U192" s="34"/>
      <c r="V192" s="34"/>
      <c r="W192" s="34"/>
      <c r="X192" s="34"/>
      <c r="Y192" s="34"/>
      <c r="Z192" s="34"/>
      <c r="AA192" s="34"/>
      <c r="AB192" s="34"/>
      <c r="AC192" s="34"/>
    </row>
    <row r="193" spans="1:29" ht="14.25" customHeight="1" x14ac:dyDescent="0.2">
      <c r="A193" s="34"/>
      <c r="B193" s="34"/>
      <c r="C193" s="33"/>
      <c r="D193" s="34"/>
      <c r="E193" s="34"/>
      <c r="F193" s="34"/>
      <c r="G193" s="34"/>
      <c r="H193" s="33"/>
      <c r="I193" s="33"/>
      <c r="J193" s="34"/>
      <c r="K193" s="34"/>
      <c r="L193" s="34"/>
      <c r="M193" s="33"/>
      <c r="N193" s="33"/>
      <c r="O193" s="33"/>
      <c r="P193" s="33"/>
      <c r="Q193" s="34"/>
      <c r="R193" s="33"/>
      <c r="S193" s="34"/>
      <c r="T193" s="34"/>
      <c r="U193" s="34"/>
      <c r="V193" s="34"/>
      <c r="W193" s="34"/>
      <c r="X193" s="34"/>
      <c r="Y193" s="34"/>
      <c r="Z193" s="34"/>
      <c r="AA193" s="34"/>
      <c r="AB193" s="34"/>
      <c r="AC193" s="34"/>
    </row>
    <row r="194" spans="1:29" ht="14.25" customHeight="1" x14ac:dyDescent="0.2">
      <c r="A194" s="34"/>
      <c r="B194" s="34"/>
      <c r="C194" s="33"/>
      <c r="D194" s="34"/>
      <c r="E194" s="34"/>
      <c r="F194" s="34"/>
      <c r="G194" s="34"/>
      <c r="H194" s="33"/>
      <c r="I194" s="33"/>
      <c r="J194" s="34"/>
      <c r="K194" s="34"/>
      <c r="L194" s="34"/>
      <c r="M194" s="33"/>
      <c r="N194" s="33"/>
      <c r="O194" s="33"/>
      <c r="P194" s="33"/>
      <c r="Q194" s="34"/>
      <c r="R194" s="33"/>
      <c r="S194" s="33"/>
      <c r="T194" s="34"/>
      <c r="U194" s="34"/>
      <c r="V194" s="34"/>
      <c r="W194" s="34"/>
      <c r="X194" s="34"/>
      <c r="Y194" s="34"/>
      <c r="Z194" s="34"/>
      <c r="AA194" s="34"/>
      <c r="AB194" s="34"/>
      <c r="AC194" s="34"/>
    </row>
    <row r="195" spans="1:29" ht="14.25" customHeight="1" x14ac:dyDescent="0.2">
      <c r="A195" s="34"/>
      <c r="B195" s="34"/>
      <c r="C195" s="33"/>
      <c r="D195" s="34"/>
      <c r="E195" s="34"/>
      <c r="F195" s="34"/>
      <c r="G195" s="34"/>
      <c r="H195" s="33"/>
      <c r="I195" s="33"/>
      <c r="J195" s="34"/>
      <c r="K195" s="34"/>
      <c r="L195" s="34"/>
      <c r="M195" s="33"/>
      <c r="N195" s="33"/>
      <c r="O195" s="33"/>
      <c r="P195" s="33"/>
      <c r="Q195" s="34"/>
      <c r="R195" s="33"/>
      <c r="S195" s="33"/>
      <c r="T195" s="34"/>
      <c r="U195" s="34"/>
      <c r="V195" s="34"/>
      <c r="W195" s="34"/>
      <c r="X195" s="34"/>
      <c r="Y195" s="34"/>
      <c r="Z195" s="34"/>
      <c r="AA195" s="34"/>
      <c r="AB195" s="34"/>
      <c r="AC195" s="34"/>
    </row>
    <row r="196" spans="1:29" ht="14.25" customHeight="1" x14ac:dyDescent="0.2">
      <c r="A196" s="34"/>
      <c r="B196" s="34"/>
      <c r="C196" s="33"/>
      <c r="D196" s="34"/>
      <c r="E196" s="34"/>
      <c r="F196" s="34"/>
      <c r="G196" s="34"/>
      <c r="H196" s="33"/>
      <c r="I196" s="33"/>
      <c r="J196" s="34"/>
      <c r="K196" s="34"/>
      <c r="L196" s="34"/>
      <c r="M196" s="33"/>
      <c r="N196" s="33"/>
      <c r="O196" s="33"/>
      <c r="P196" s="33"/>
      <c r="Q196" s="34"/>
      <c r="R196" s="33"/>
      <c r="S196" s="33"/>
      <c r="T196" s="34"/>
      <c r="U196" s="34"/>
      <c r="V196" s="34"/>
      <c r="W196" s="34"/>
      <c r="X196" s="34"/>
      <c r="Y196" s="34"/>
      <c r="Z196" s="34"/>
      <c r="AA196" s="34"/>
      <c r="AB196" s="34"/>
      <c r="AC196" s="34"/>
    </row>
    <row r="197" spans="1:29" ht="14.25" customHeight="1" x14ac:dyDescent="0.2">
      <c r="A197" s="34"/>
      <c r="B197" s="34"/>
      <c r="C197" s="33"/>
      <c r="D197" s="34"/>
      <c r="E197" s="34"/>
      <c r="F197" s="34"/>
      <c r="G197" s="34"/>
      <c r="H197" s="33"/>
      <c r="I197" s="33"/>
      <c r="J197" s="34"/>
      <c r="K197" s="34"/>
      <c r="L197" s="34"/>
      <c r="M197" s="33"/>
      <c r="N197" s="33"/>
      <c r="O197" s="33"/>
      <c r="P197" s="33"/>
      <c r="Q197" s="34"/>
      <c r="R197" s="33"/>
      <c r="S197" s="33"/>
      <c r="T197" s="34"/>
      <c r="U197" s="34"/>
      <c r="V197" s="34"/>
      <c r="W197" s="34"/>
      <c r="X197" s="34"/>
      <c r="Y197" s="34"/>
      <c r="Z197" s="34"/>
      <c r="AA197" s="34"/>
      <c r="AB197" s="34"/>
      <c r="AC197" s="34"/>
    </row>
    <row r="198" spans="1:29" ht="14.25" customHeight="1" x14ac:dyDescent="0.2">
      <c r="A198" s="34"/>
      <c r="B198" s="34"/>
      <c r="C198" s="33"/>
      <c r="D198" s="34"/>
      <c r="E198" s="34"/>
      <c r="F198" s="34"/>
      <c r="G198" s="34"/>
      <c r="H198" s="33"/>
      <c r="I198" s="33"/>
      <c r="J198" s="34"/>
      <c r="K198" s="34"/>
      <c r="L198" s="34"/>
      <c r="M198" s="33"/>
      <c r="N198" s="33"/>
      <c r="O198" s="33"/>
      <c r="P198" s="33"/>
      <c r="Q198" s="34"/>
      <c r="R198" s="33"/>
      <c r="S198" s="33"/>
      <c r="T198" s="34"/>
      <c r="U198" s="34"/>
      <c r="V198" s="34"/>
      <c r="W198" s="34"/>
      <c r="X198" s="34"/>
      <c r="Y198" s="34"/>
      <c r="Z198" s="34"/>
      <c r="AA198" s="34"/>
      <c r="AB198" s="34"/>
      <c r="AC198" s="34"/>
    </row>
    <row r="199" spans="1:29" ht="14.25" customHeight="1" x14ac:dyDescent="0.2">
      <c r="A199" s="34"/>
      <c r="B199" s="34"/>
      <c r="C199" s="33"/>
      <c r="D199" s="34"/>
      <c r="E199" s="34"/>
      <c r="F199" s="34"/>
      <c r="G199" s="34"/>
      <c r="H199" s="33"/>
      <c r="I199" s="33"/>
      <c r="J199" s="34"/>
      <c r="K199" s="34"/>
      <c r="L199" s="34"/>
      <c r="M199" s="33"/>
      <c r="N199" s="33"/>
      <c r="O199" s="33"/>
      <c r="P199" s="33"/>
      <c r="Q199" s="34"/>
      <c r="R199" s="33"/>
      <c r="S199" s="33"/>
      <c r="T199" s="34"/>
      <c r="U199" s="34"/>
      <c r="V199" s="34"/>
      <c r="W199" s="34"/>
      <c r="X199" s="34"/>
      <c r="Y199" s="34"/>
      <c r="Z199" s="34"/>
      <c r="AA199" s="34"/>
      <c r="AB199" s="34"/>
      <c r="AC199" s="34"/>
    </row>
    <row r="200" spans="1:29" ht="14.25" customHeight="1" x14ac:dyDescent="0.2">
      <c r="A200" s="34"/>
      <c r="B200" s="34"/>
      <c r="C200" s="33"/>
      <c r="D200" s="34"/>
      <c r="E200" s="34"/>
      <c r="F200" s="34"/>
      <c r="G200" s="34"/>
      <c r="H200" s="33"/>
      <c r="I200" s="33"/>
      <c r="J200" s="34"/>
      <c r="K200" s="34"/>
      <c r="L200" s="34"/>
      <c r="M200" s="33"/>
      <c r="N200" s="33"/>
      <c r="O200" s="33"/>
      <c r="P200" s="33"/>
      <c r="Q200" s="34"/>
      <c r="R200" s="33"/>
      <c r="S200" s="33"/>
      <c r="T200" s="34"/>
      <c r="U200" s="34"/>
      <c r="V200" s="34"/>
      <c r="W200" s="34"/>
      <c r="X200" s="34"/>
      <c r="Y200" s="34"/>
      <c r="Z200" s="34"/>
      <c r="AA200" s="34"/>
      <c r="AB200" s="34"/>
      <c r="AC200" s="34"/>
    </row>
    <row r="201" spans="1:29" ht="14.25" customHeight="1" x14ac:dyDescent="0.2">
      <c r="A201" s="34"/>
      <c r="B201" s="34"/>
      <c r="C201" s="33"/>
      <c r="D201" s="34"/>
      <c r="E201" s="34"/>
      <c r="F201" s="34"/>
      <c r="G201" s="34"/>
      <c r="H201" s="33"/>
      <c r="I201" s="33"/>
      <c r="J201" s="34"/>
      <c r="K201" s="34"/>
      <c r="L201" s="34"/>
      <c r="M201" s="33"/>
      <c r="N201" s="33"/>
      <c r="O201" s="33"/>
      <c r="P201" s="33"/>
      <c r="Q201" s="34"/>
      <c r="R201" s="33"/>
      <c r="S201" s="34"/>
      <c r="T201" s="34"/>
      <c r="U201" s="34"/>
      <c r="V201" s="34"/>
      <c r="W201" s="34"/>
      <c r="X201" s="34"/>
      <c r="Y201" s="34"/>
      <c r="Z201" s="34"/>
      <c r="AA201" s="34"/>
      <c r="AB201" s="34"/>
      <c r="AC201" s="34"/>
    </row>
    <row r="202" spans="1:29" ht="14.25" customHeight="1" x14ac:dyDescent="0.2">
      <c r="A202" s="34"/>
      <c r="B202" s="34"/>
      <c r="C202" s="33"/>
      <c r="D202" s="34"/>
      <c r="E202" s="34"/>
      <c r="F202" s="34"/>
      <c r="G202" s="34"/>
      <c r="H202" s="33"/>
      <c r="I202" s="33"/>
      <c r="J202" s="34"/>
      <c r="K202" s="34"/>
      <c r="L202" s="34"/>
      <c r="M202" s="33"/>
      <c r="N202" s="33"/>
      <c r="O202" s="33"/>
      <c r="P202" s="33"/>
      <c r="Q202" s="34"/>
      <c r="R202" s="33"/>
      <c r="S202" s="33"/>
      <c r="T202" s="34"/>
      <c r="U202" s="34"/>
      <c r="V202" s="34"/>
      <c r="W202" s="34"/>
      <c r="X202" s="34"/>
      <c r="Y202" s="34"/>
      <c r="Z202" s="34"/>
      <c r="AA202" s="34"/>
      <c r="AB202" s="34"/>
      <c r="AC202" s="34"/>
    </row>
    <row r="203" spans="1:29" ht="14.25" customHeight="1" x14ac:dyDescent="0.2">
      <c r="A203" s="34"/>
      <c r="B203" s="34"/>
      <c r="C203" s="33"/>
      <c r="D203" s="34"/>
      <c r="E203" s="34"/>
      <c r="F203" s="34"/>
      <c r="G203" s="34"/>
      <c r="H203" s="33"/>
      <c r="I203" s="33"/>
      <c r="J203" s="34"/>
      <c r="K203" s="34"/>
      <c r="L203" s="34"/>
      <c r="M203" s="33"/>
      <c r="N203" s="33"/>
      <c r="O203" s="33"/>
      <c r="P203" s="33"/>
      <c r="Q203" s="34"/>
      <c r="R203" s="33"/>
      <c r="S203" s="33"/>
      <c r="T203" s="34"/>
      <c r="U203" s="34"/>
      <c r="V203" s="34"/>
      <c r="W203" s="34"/>
      <c r="X203" s="34"/>
      <c r="Y203" s="34"/>
      <c r="Z203" s="34"/>
      <c r="AA203" s="34"/>
      <c r="AB203" s="34"/>
      <c r="AC203" s="34"/>
    </row>
    <row r="204" spans="1:29" ht="14.25" customHeight="1" x14ac:dyDescent="0.2">
      <c r="A204" s="34"/>
      <c r="B204" s="34"/>
      <c r="C204" s="33"/>
      <c r="D204" s="34"/>
      <c r="E204" s="34"/>
      <c r="F204" s="34"/>
      <c r="G204" s="34"/>
      <c r="H204" s="33"/>
      <c r="I204" s="33"/>
      <c r="J204" s="34"/>
      <c r="K204" s="34"/>
      <c r="L204" s="34"/>
      <c r="M204" s="33"/>
      <c r="N204" s="33"/>
      <c r="O204" s="33"/>
      <c r="P204" s="33"/>
      <c r="Q204" s="34"/>
      <c r="R204" s="33"/>
      <c r="S204" s="34"/>
      <c r="T204" s="34"/>
      <c r="U204" s="34"/>
      <c r="V204" s="34"/>
      <c r="W204" s="34"/>
      <c r="X204" s="34"/>
      <c r="Y204" s="34"/>
      <c r="Z204" s="34"/>
      <c r="AA204" s="34"/>
      <c r="AB204" s="34"/>
      <c r="AC204" s="34"/>
    </row>
    <row r="205" spans="1:29" ht="14.25" customHeight="1" x14ac:dyDescent="0.2">
      <c r="A205" s="34"/>
      <c r="B205" s="34"/>
      <c r="C205" s="33"/>
      <c r="D205" s="34"/>
      <c r="E205" s="34"/>
      <c r="F205" s="34"/>
      <c r="G205" s="34"/>
      <c r="H205" s="33"/>
      <c r="I205" s="33"/>
      <c r="J205" s="34"/>
      <c r="K205" s="34"/>
      <c r="L205" s="34"/>
      <c r="M205" s="34"/>
      <c r="N205" s="34"/>
      <c r="O205" s="34"/>
      <c r="P205" s="34"/>
      <c r="Q205" s="33"/>
      <c r="R205" s="33"/>
      <c r="S205" s="34"/>
      <c r="T205" s="34"/>
      <c r="U205" s="34"/>
      <c r="V205" s="34"/>
      <c r="W205" s="34"/>
      <c r="X205" s="34"/>
      <c r="Y205" s="34"/>
      <c r="Z205" s="34"/>
      <c r="AA205" s="34"/>
      <c r="AB205" s="34"/>
      <c r="AC205" s="34"/>
    </row>
    <row r="206" spans="1:29" ht="14.25" customHeight="1" x14ac:dyDescent="0.2">
      <c r="A206" s="34"/>
      <c r="B206" s="34"/>
      <c r="C206" s="33"/>
      <c r="D206" s="34"/>
      <c r="E206" s="34"/>
      <c r="F206" s="34"/>
      <c r="G206" s="34"/>
      <c r="H206" s="33"/>
      <c r="I206" s="33"/>
      <c r="J206" s="34"/>
      <c r="K206" s="34"/>
      <c r="L206" s="34"/>
      <c r="M206" s="34"/>
      <c r="N206" s="34"/>
      <c r="O206" s="34"/>
      <c r="P206" s="34"/>
      <c r="Q206" s="33"/>
      <c r="R206" s="33"/>
      <c r="S206" s="33"/>
      <c r="T206" s="34"/>
      <c r="U206" s="34"/>
      <c r="V206" s="34"/>
      <c r="W206" s="34"/>
      <c r="X206" s="34"/>
      <c r="Y206" s="34"/>
      <c r="Z206" s="34"/>
      <c r="AA206" s="34"/>
      <c r="AB206" s="34"/>
      <c r="AC206" s="34"/>
    </row>
    <row r="207" spans="1:29" ht="14.25" customHeight="1" x14ac:dyDescent="0.2">
      <c r="A207" s="34"/>
      <c r="B207" s="34"/>
      <c r="C207" s="33"/>
      <c r="D207" s="34"/>
      <c r="E207" s="34"/>
      <c r="F207" s="34"/>
      <c r="G207" s="34"/>
      <c r="H207" s="33"/>
      <c r="I207" s="33"/>
      <c r="J207" s="34"/>
      <c r="K207" s="34"/>
      <c r="L207" s="34"/>
      <c r="M207" s="34"/>
      <c r="N207" s="34"/>
      <c r="O207" s="34"/>
      <c r="P207" s="34"/>
      <c r="Q207" s="33"/>
      <c r="R207" s="33"/>
      <c r="S207" s="34"/>
      <c r="T207" s="34"/>
      <c r="U207" s="34"/>
      <c r="V207" s="34"/>
      <c r="W207" s="34"/>
      <c r="X207" s="34"/>
      <c r="Y207" s="34"/>
      <c r="Z207" s="34"/>
      <c r="AA207" s="34"/>
      <c r="AB207" s="34"/>
      <c r="AC207" s="34"/>
    </row>
    <row r="208" spans="1:29" ht="14.25" customHeight="1" x14ac:dyDescent="0.2">
      <c r="A208" s="34"/>
      <c r="B208" s="34"/>
      <c r="C208" s="33"/>
      <c r="D208" s="34"/>
      <c r="E208" s="34"/>
      <c r="F208" s="34"/>
      <c r="G208" s="34"/>
      <c r="H208" s="33"/>
      <c r="I208" s="33"/>
      <c r="J208" s="34"/>
      <c r="K208" s="34"/>
      <c r="L208" s="34"/>
      <c r="M208" s="34"/>
      <c r="N208" s="34"/>
      <c r="O208" s="34"/>
      <c r="P208" s="34"/>
      <c r="Q208" s="33"/>
      <c r="R208" s="33"/>
      <c r="S208" s="34"/>
      <c r="T208" s="34"/>
      <c r="U208" s="34"/>
      <c r="V208" s="34"/>
      <c r="W208" s="34"/>
      <c r="X208" s="34"/>
      <c r="Y208" s="34"/>
      <c r="Z208" s="34"/>
      <c r="AA208" s="34"/>
      <c r="AB208" s="34"/>
      <c r="AC208" s="34"/>
    </row>
    <row r="209" spans="1:29" ht="14.25" customHeight="1" x14ac:dyDescent="0.2">
      <c r="A209" s="34"/>
      <c r="B209" s="34"/>
      <c r="C209" s="33"/>
      <c r="D209" s="34"/>
      <c r="E209" s="34"/>
      <c r="F209" s="34"/>
      <c r="G209" s="34"/>
      <c r="H209" s="33"/>
      <c r="I209" s="33"/>
      <c r="J209" s="34"/>
      <c r="K209" s="34"/>
      <c r="L209" s="34"/>
      <c r="M209" s="34"/>
      <c r="N209" s="34"/>
      <c r="O209" s="34"/>
      <c r="P209" s="34"/>
      <c r="Q209" s="33"/>
      <c r="R209" s="33"/>
      <c r="S209" s="33"/>
      <c r="T209" s="34"/>
      <c r="U209" s="34"/>
      <c r="V209" s="34"/>
      <c r="W209" s="34"/>
      <c r="X209" s="34"/>
      <c r="Y209" s="34"/>
      <c r="Z209" s="34"/>
      <c r="AA209" s="34"/>
      <c r="AB209" s="34"/>
      <c r="AC209" s="34"/>
    </row>
    <row r="210" spans="1:29" ht="14.25" customHeight="1" x14ac:dyDescent="0.2">
      <c r="A210" s="34"/>
      <c r="B210" s="34"/>
      <c r="C210" s="33"/>
      <c r="D210" s="34"/>
      <c r="E210" s="34"/>
      <c r="F210" s="34"/>
      <c r="G210" s="34"/>
      <c r="H210" s="33"/>
      <c r="I210" s="33"/>
      <c r="J210" s="34"/>
      <c r="K210" s="34"/>
      <c r="L210" s="34"/>
      <c r="M210" s="34"/>
      <c r="N210" s="34"/>
      <c r="O210" s="34"/>
      <c r="P210" s="34"/>
      <c r="Q210" s="33"/>
      <c r="R210" s="33"/>
      <c r="S210" s="33"/>
      <c r="T210" s="34"/>
      <c r="U210" s="34"/>
      <c r="V210" s="34"/>
      <c r="W210" s="34"/>
      <c r="X210" s="34"/>
      <c r="Y210" s="34"/>
      <c r="Z210" s="34"/>
      <c r="AA210" s="34"/>
      <c r="AB210" s="34"/>
      <c r="AC210" s="34"/>
    </row>
    <row r="211" spans="1:29" ht="14.25" customHeight="1" x14ac:dyDescent="0.2">
      <c r="A211" s="34"/>
      <c r="B211" s="34"/>
      <c r="C211" s="33"/>
      <c r="D211" s="34"/>
      <c r="E211" s="34"/>
      <c r="F211" s="34"/>
      <c r="G211" s="34"/>
      <c r="H211" s="33"/>
      <c r="I211" s="33"/>
      <c r="J211" s="34"/>
      <c r="K211" s="34"/>
      <c r="L211" s="34"/>
      <c r="M211" s="34"/>
      <c r="N211" s="34"/>
      <c r="O211" s="34"/>
      <c r="P211" s="34"/>
      <c r="Q211" s="33"/>
      <c r="R211" s="33"/>
      <c r="S211" s="33"/>
      <c r="T211" s="34"/>
      <c r="U211" s="34"/>
      <c r="V211" s="34"/>
      <c r="W211" s="34"/>
      <c r="X211" s="34"/>
      <c r="Y211" s="34"/>
      <c r="Z211" s="34"/>
      <c r="AA211" s="34"/>
      <c r="AB211" s="34"/>
      <c r="AC211" s="34"/>
    </row>
    <row r="212" spans="1:29" ht="14.25" customHeight="1" x14ac:dyDescent="0.2">
      <c r="A212" s="34"/>
      <c r="B212" s="34"/>
      <c r="C212" s="33"/>
      <c r="D212" s="34"/>
      <c r="E212" s="34"/>
      <c r="F212" s="34"/>
      <c r="G212" s="34"/>
      <c r="H212" s="33"/>
      <c r="I212" s="33"/>
      <c r="J212" s="34"/>
      <c r="K212" s="34"/>
      <c r="L212" s="34"/>
      <c r="M212" s="34"/>
      <c r="N212" s="34"/>
      <c r="O212" s="34"/>
      <c r="P212" s="34"/>
      <c r="Q212" s="33"/>
      <c r="R212" s="33"/>
      <c r="S212" s="33"/>
      <c r="T212" s="34"/>
      <c r="U212" s="34"/>
      <c r="V212" s="34"/>
      <c r="W212" s="34"/>
      <c r="X212" s="34"/>
      <c r="Y212" s="34"/>
      <c r="Z212" s="34"/>
      <c r="AA212" s="34"/>
      <c r="AB212" s="34"/>
      <c r="AC212" s="34"/>
    </row>
    <row r="213" spans="1:29" ht="14.25" customHeight="1" x14ac:dyDescent="0.2">
      <c r="A213" s="34"/>
      <c r="B213" s="34"/>
      <c r="C213" s="33"/>
      <c r="D213" s="34"/>
      <c r="E213" s="34"/>
      <c r="F213" s="34"/>
      <c r="G213" s="34"/>
      <c r="H213" s="33"/>
      <c r="I213" s="33"/>
      <c r="J213" s="34"/>
      <c r="K213" s="34"/>
      <c r="L213" s="34"/>
      <c r="M213" s="34"/>
      <c r="N213" s="34"/>
      <c r="O213" s="34"/>
      <c r="P213" s="34"/>
      <c r="Q213" s="33"/>
      <c r="R213" s="33"/>
      <c r="S213" s="33"/>
      <c r="T213" s="34"/>
      <c r="U213" s="34"/>
      <c r="V213" s="34"/>
      <c r="W213" s="34"/>
      <c r="X213" s="34"/>
      <c r="Y213" s="34"/>
      <c r="Z213" s="34"/>
      <c r="AA213" s="34"/>
      <c r="AB213" s="34"/>
      <c r="AC213" s="34"/>
    </row>
    <row r="214" spans="1:29" ht="14.25" customHeight="1" x14ac:dyDescent="0.2">
      <c r="A214" s="34"/>
      <c r="B214" s="34"/>
      <c r="C214" s="33"/>
      <c r="D214" s="34"/>
      <c r="E214" s="34"/>
      <c r="F214" s="34"/>
      <c r="G214" s="34"/>
      <c r="H214" s="33"/>
      <c r="I214" s="33"/>
      <c r="J214" s="34"/>
      <c r="K214" s="34"/>
      <c r="L214" s="34"/>
      <c r="M214" s="33"/>
      <c r="N214" s="33"/>
      <c r="O214" s="33"/>
      <c r="P214" s="33"/>
      <c r="Q214" s="34"/>
      <c r="R214" s="33"/>
      <c r="S214" s="33"/>
      <c r="T214" s="34"/>
      <c r="U214" s="34"/>
      <c r="V214" s="34"/>
      <c r="W214" s="34"/>
      <c r="X214" s="34"/>
      <c r="Y214" s="34"/>
      <c r="Z214" s="34"/>
      <c r="AA214" s="34"/>
      <c r="AB214" s="34"/>
      <c r="AC214" s="34"/>
    </row>
    <row r="215" spans="1:29" ht="14.25" customHeight="1" x14ac:dyDescent="0.2">
      <c r="A215" s="34"/>
      <c r="B215" s="34"/>
      <c r="C215" s="33"/>
      <c r="D215" s="34"/>
      <c r="E215" s="34"/>
      <c r="F215" s="34"/>
      <c r="G215" s="34"/>
      <c r="H215" s="33"/>
      <c r="I215" s="33"/>
      <c r="J215" s="34"/>
      <c r="K215" s="34"/>
      <c r="L215" s="34"/>
      <c r="M215" s="34"/>
      <c r="N215" s="34"/>
      <c r="O215" s="34"/>
      <c r="P215" s="34"/>
      <c r="Q215" s="33"/>
      <c r="R215" s="33"/>
      <c r="S215" s="33"/>
      <c r="T215" s="34"/>
      <c r="U215" s="34"/>
      <c r="V215" s="34"/>
      <c r="W215" s="34"/>
      <c r="X215" s="34"/>
      <c r="Y215" s="34"/>
      <c r="Z215" s="34"/>
      <c r="AA215" s="34"/>
      <c r="AB215" s="34"/>
      <c r="AC215" s="34"/>
    </row>
    <row r="216" spans="1:29" ht="14.25" customHeight="1" x14ac:dyDescent="0.2">
      <c r="A216" s="34"/>
      <c r="B216" s="34"/>
      <c r="C216" s="33"/>
      <c r="D216" s="34"/>
      <c r="E216" s="34"/>
      <c r="F216" s="34"/>
      <c r="G216" s="34"/>
      <c r="H216" s="33"/>
      <c r="I216" s="33"/>
      <c r="J216" s="34"/>
      <c r="K216" s="34"/>
      <c r="L216" s="34"/>
      <c r="M216" s="33"/>
      <c r="N216" s="33"/>
      <c r="O216" s="33"/>
      <c r="P216" s="33"/>
      <c r="Q216" s="34"/>
      <c r="R216" s="33"/>
      <c r="S216" s="33"/>
      <c r="T216" s="34"/>
      <c r="U216" s="34"/>
      <c r="V216" s="34"/>
      <c r="W216" s="34"/>
      <c r="X216" s="34"/>
      <c r="Y216" s="34"/>
      <c r="Z216" s="34"/>
      <c r="AA216" s="34"/>
      <c r="AB216" s="34"/>
      <c r="AC216" s="34"/>
    </row>
    <row r="217" spans="1:29" ht="14.25" customHeight="1" x14ac:dyDescent="0.2">
      <c r="A217" s="34"/>
      <c r="B217" s="34"/>
      <c r="C217" s="33"/>
      <c r="D217" s="34"/>
      <c r="E217" s="34"/>
      <c r="F217" s="34"/>
      <c r="G217" s="34"/>
      <c r="H217" s="33"/>
      <c r="I217" s="33"/>
      <c r="J217" s="34"/>
      <c r="K217" s="34"/>
      <c r="L217" s="34"/>
      <c r="M217" s="33"/>
      <c r="N217" s="33"/>
      <c r="O217" s="33"/>
      <c r="P217" s="33"/>
      <c r="Q217" s="34"/>
      <c r="R217" s="33"/>
      <c r="S217" s="34"/>
      <c r="T217" s="34"/>
      <c r="U217" s="34"/>
      <c r="V217" s="34"/>
      <c r="W217" s="34"/>
      <c r="X217" s="34"/>
      <c r="Y217" s="34"/>
      <c r="Z217" s="34"/>
      <c r="AA217" s="34"/>
      <c r="AB217" s="34"/>
      <c r="AC217" s="34"/>
    </row>
    <row r="218" spans="1:29" ht="14.25" customHeight="1" x14ac:dyDescent="0.2">
      <c r="A218" s="34"/>
      <c r="B218" s="34"/>
      <c r="C218" s="33"/>
      <c r="D218" s="34"/>
      <c r="E218" s="34"/>
      <c r="F218" s="34"/>
      <c r="G218" s="34"/>
      <c r="H218" s="33"/>
      <c r="I218" s="33"/>
      <c r="J218" s="34"/>
      <c r="K218" s="34"/>
      <c r="L218" s="34"/>
      <c r="M218" s="33"/>
      <c r="N218" s="33"/>
      <c r="O218" s="33"/>
      <c r="P218" s="33"/>
      <c r="Q218" s="34"/>
      <c r="R218" s="33"/>
      <c r="S218" s="33"/>
      <c r="T218" s="34"/>
      <c r="U218" s="34"/>
      <c r="V218" s="34"/>
      <c r="W218" s="34"/>
      <c r="X218" s="34"/>
      <c r="Y218" s="34"/>
      <c r="Z218" s="34"/>
      <c r="AA218" s="34"/>
      <c r="AB218" s="34"/>
      <c r="AC218" s="34"/>
    </row>
    <row r="219" spans="1:29" ht="14.25" customHeight="1" x14ac:dyDescent="0.2">
      <c r="A219" s="34"/>
      <c r="B219" s="34"/>
      <c r="C219" s="33"/>
      <c r="D219" s="34"/>
      <c r="E219" s="34"/>
      <c r="F219" s="34"/>
      <c r="G219" s="34"/>
      <c r="H219" s="33"/>
      <c r="I219" s="33"/>
      <c r="J219" s="34"/>
      <c r="K219" s="34"/>
      <c r="L219" s="34"/>
      <c r="M219" s="34"/>
      <c r="N219" s="34"/>
      <c r="O219" s="34"/>
      <c r="P219" s="34"/>
      <c r="Q219" s="33"/>
      <c r="R219" s="33"/>
      <c r="S219" s="34"/>
      <c r="T219" s="34"/>
      <c r="U219" s="34"/>
      <c r="V219" s="34"/>
      <c r="W219" s="34"/>
      <c r="X219" s="34"/>
      <c r="Y219" s="34"/>
      <c r="Z219" s="34"/>
      <c r="AA219" s="34"/>
      <c r="AB219" s="34"/>
      <c r="AC219" s="34"/>
    </row>
    <row r="220" spans="1:29" ht="14.25" customHeight="1" x14ac:dyDescent="0.2">
      <c r="A220" s="34"/>
      <c r="B220" s="34"/>
      <c r="C220" s="33"/>
      <c r="D220" s="34"/>
      <c r="E220" s="34"/>
      <c r="F220" s="34"/>
      <c r="G220" s="34"/>
      <c r="H220" s="33"/>
      <c r="I220" s="33"/>
      <c r="J220" s="34"/>
      <c r="K220" s="34"/>
      <c r="L220" s="34"/>
      <c r="M220" s="34"/>
      <c r="N220" s="34"/>
      <c r="O220" s="34"/>
      <c r="P220" s="34"/>
      <c r="Q220" s="33"/>
      <c r="R220" s="33"/>
      <c r="S220" s="33"/>
      <c r="T220" s="34"/>
      <c r="U220" s="34"/>
      <c r="V220" s="34"/>
      <c r="W220" s="34"/>
      <c r="X220" s="34"/>
      <c r="Y220" s="34"/>
      <c r="Z220" s="34"/>
      <c r="AA220" s="34"/>
      <c r="AB220" s="34"/>
      <c r="AC220" s="34"/>
    </row>
    <row r="221" spans="1:29" ht="14.25" customHeight="1" x14ac:dyDescent="0.2">
      <c r="A221" s="34"/>
      <c r="B221" s="34"/>
      <c r="C221" s="33"/>
      <c r="D221" s="34"/>
      <c r="E221" s="34"/>
      <c r="F221" s="34"/>
      <c r="G221" s="34"/>
      <c r="H221" s="33"/>
      <c r="I221" s="33"/>
      <c r="J221" s="34"/>
      <c r="K221" s="34"/>
      <c r="L221" s="34"/>
      <c r="M221" s="33"/>
      <c r="N221" s="33"/>
      <c r="O221" s="33"/>
      <c r="P221" s="33"/>
      <c r="Q221" s="34"/>
      <c r="R221" s="33"/>
      <c r="S221" s="33"/>
      <c r="T221" s="34"/>
      <c r="U221" s="34"/>
      <c r="V221" s="34"/>
      <c r="W221" s="34"/>
      <c r="X221" s="34"/>
      <c r="Y221" s="34"/>
      <c r="Z221" s="34"/>
      <c r="AA221" s="34"/>
      <c r="AB221" s="34"/>
      <c r="AC221" s="34"/>
    </row>
    <row r="222" spans="1:29" ht="14.25" customHeight="1" x14ac:dyDescent="0.2">
      <c r="A222" s="34"/>
      <c r="B222" s="34"/>
      <c r="C222" s="33"/>
      <c r="D222" s="34"/>
      <c r="E222" s="34"/>
      <c r="F222" s="34"/>
      <c r="G222" s="34"/>
      <c r="H222" s="33"/>
      <c r="I222" s="33"/>
      <c r="J222" s="34"/>
      <c r="K222" s="34"/>
      <c r="L222" s="34"/>
      <c r="M222" s="33"/>
      <c r="N222" s="33"/>
      <c r="O222" s="33"/>
      <c r="P222" s="33"/>
      <c r="Q222" s="34"/>
      <c r="R222" s="33"/>
      <c r="S222" s="33"/>
      <c r="T222" s="34"/>
      <c r="U222" s="34"/>
      <c r="V222" s="34"/>
      <c r="W222" s="34"/>
      <c r="X222" s="34"/>
      <c r="Y222" s="34"/>
      <c r="Z222" s="34"/>
      <c r="AA222" s="34"/>
      <c r="AB222" s="34"/>
      <c r="AC222" s="34"/>
    </row>
    <row r="223" spans="1:29" ht="14.25" customHeight="1" x14ac:dyDescent="0.2">
      <c r="A223" s="34"/>
      <c r="B223" s="34"/>
      <c r="C223" s="33"/>
      <c r="D223" s="34"/>
      <c r="E223" s="34"/>
      <c r="F223" s="34"/>
      <c r="G223" s="34"/>
      <c r="H223" s="33"/>
      <c r="I223" s="33"/>
      <c r="J223" s="34"/>
      <c r="K223" s="34"/>
      <c r="L223" s="34"/>
      <c r="M223" s="33"/>
      <c r="N223" s="33"/>
      <c r="O223" s="33"/>
      <c r="P223" s="33"/>
      <c r="Q223" s="34"/>
      <c r="R223" s="33"/>
      <c r="S223" s="33"/>
      <c r="T223" s="34"/>
      <c r="U223" s="34"/>
      <c r="V223" s="34"/>
      <c r="W223" s="34"/>
      <c r="X223" s="34"/>
      <c r="Y223" s="34"/>
      <c r="Z223" s="34"/>
      <c r="AA223" s="34"/>
      <c r="AB223" s="34"/>
      <c r="AC223" s="34"/>
    </row>
    <row r="224" spans="1:29" ht="14.25" customHeight="1" x14ac:dyDescent="0.2">
      <c r="A224" s="34"/>
      <c r="B224" s="34"/>
      <c r="C224" s="33"/>
      <c r="D224" s="34"/>
      <c r="E224" s="34"/>
      <c r="F224" s="34"/>
      <c r="G224" s="34"/>
      <c r="H224" s="33"/>
      <c r="I224" s="33"/>
      <c r="J224" s="34"/>
      <c r="K224" s="34"/>
      <c r="L224" s="34"/>
      <c r="M224" s="34"/>
      <c r="N224" s="34"/>
      <c r="O224" s="34"/>
      <c r="P224" s="34"/>
      <c r="Q224" s="33"/>
      <c r="R224" s="33"/>
      <c r="S224" s="33"/>
      <c r="T224" s="34"/>
      <c r="U224" s="34"/>
      <c r="V224" s="34"/>
      <c r="W224" s="34"/>
      <c r="X224" s="34"/>
      <c r="Y224" s="34"/>
      <c r="Z224" s="34"/>
      <c r="AA224" s="34"/>
      <c r="AB224" s="34"/>
      <c r="AC224" s="34"/>
    </row>
    <row r="225" spans="1:29" ht="14.25" customHeight="1" x14ac:dyDescent="0.2">
      <c r="A225" s="34"/>
      <c r="B225" s="34"/>
      <c r="C225" s="33"/>
      <c r="D225" s="34"/>
      <c r="E225" s="34"/>
      <c r="F225" s="34"/>
      <c r="G225" s="34"/>
      <c r="H225" s="33"/>
      <c r="I225" s="33"/>
      <c r="J225" s="34"/>
      <c r="K225" s="34"/>
      <c r="L225" s="34"/>
      <c r="M225" s="34"/>
      <c r="N225" s="34"/>
      <c r="O225" s="34"/>
      <c r="P225" s="34"/>
      <c r="Q225" s="33"/>
      <c r="R225" s="33"/>
      <c r="S225" s="33"/>
      <c r="T225" s="34"/>
      <c r="U225" s="34"/>
      <c r="V225" s="34"/>
      <c r="W225" s="34"/>
      <c r="X225" s="34"/>
      <c r="Y225" s="34"/>
      <c r="Z225" s="34"/>
      <c r="AA225" s="34"/>
      <c r="AB225" s="34"/>
      <c r="AC225" s="34"/>
    </row>
    <row r="226" spans="1:29" ht="14.25" customHeight="1" x14ac:dyDescent="0.2">
      <c r="A226" s="34"/>
      <c r="B226" s="34"/>
      <c r="C226" s="33"/>
      <c r="D226" s="34"/>
      <c r="E226" s="34"/>
      <c r="F226" s="34"/>
      <c r="G226" s="34"/>
      <c r="H226" s="33"/>
      <c r="I226" s="33"/>
      <c r="J226" s="34"/>
      <c r="K226" s="34"/>
      <c r="L226" s="34"/>
      <c r="M226" s="33"/>
      <c r="N226" s="33"/>
      <c r="O226" s="33"/>
      <c r="P226" s="33"/>
      <c r="Q226" s="34"/>
      <c r="R226" s="33"/>
      <c r="S226" s="33"/>
      <c r="T226" s="34"/>
      <c r="U226" s="34"/>
      <c r="V226" s="34"/>
      <c r="W226" s="34"/>
      <c r="X226" s="34"/>
      <c r="Y226" s="34"/>
      <c r="Z226" s="34"/>
      <c r="AA226" s="34"/>
      <c r="AB226" s="34"/>
      <c r="AC226" s="34"/>
    </row>
    <row r="227" spans="1:29" ht="14.25" customHeight="1" x14ac:dyDescent="0.2">
      <c r="A227" s="34"/>
      <c r="B227" s="34"/>
      <c r="C227" s="33"/>
      <c r="D227" s="34"/>
      <c r="E227" s="34"/>
      <c r="F227" s="34"/>
      <c r="G227" s="34"/>
      <c r="H227" s="33"/>
      <c r="I227" s="33"/>
      <c r="J227" s="34"/>
      <c r="K227" s="34"/>
      <c r="L227" s="34"/>
      <c r="M227" s="33"/>
      <c r="N227" s="33"/>
      <c r="O227" s="33"/>
      <c r="P227" s="33"/>
      <c r="Q227" s="34"/>
      <c r="R227" s="33"/>
      <c r="S227" s="33"/>
      <c r="T227" s="34"/>
      <c r="U227" s="34"/>
      <c r="V227" s="34"/>
      <c r="W227" s="34"/>
      <c r="X227" s="34"/>
      <c r="Y227" s="34"/>
      <c r="Z227" s="34"/>
      <c r="AA227" s="34"/>
      <c r="AB227" s="34"/>
      <c r="AC227" s="34"/>
    </row>
    <row r="228" spans="1:29" ht="14.25" customHeight="1" x14ac:dyDescent="0.2">
      <c r="A228" s="34"/>
      <c r="B228" s="34"/>
      <c r="C228" s="33"/>
      <c r="D228" s="34"/>
      <c r="E228" s="34"/>
      <c r="F228" s="34"/>
      <c r="G228" s="34"/>
      <c r="H228" s="33"/>
      <c r="I228" s="33"/>
      <c r="J228" s="34"/>
      <c r="K228" s="34"/>
      <c r="L228" s="34"/>
      <c r="M228" s="33"/>
      <c r="N228" s="33"/>
      <c r="O228" s="33"/>
      <c r="P228" s="33"/>
      <c r="Q228" s="34"/>
      <c r="R228" s="33"/>
      <c r="S228" s="33"/>
      <c r="T228" s="34"/>
      <c r="U228" s="34"/>
      <c r="V228" s="34"/>
      <c r="W228" s="34"/>
      <c r="X228" s="34"/>
      <c r="Y228" s="34"/>
      <c r="Z228" s="34"/>
      <c r="AA228" s="34"/>
      <c r="AB228" s="34"/>
      <c r="AC228" s="34"/>
    </row>
    <row r="229" spans="1:29" ht="14.25" customHeight="1" x14ac:dyDescent="0.2">
      <c r="A229" s="34"/>
      <c r="B229" s="34"/>
      <c r="C229" s="33"/>
      <c r="D229" s="34"/>
      <c r="E229" s="34"/>
      <c r="F229" s="34"/>
      <c r="G229" s="34"/>
      <c r="H229" s="33"/>
      <c r="I229" s="33"/>
      <c r="J229" s="34"/>
      <c r="K229" s="34"/>
      <c r="L229" s="34"/>
      <c r="M229" s="34"/>
      <c r="N229" s="34"/>
      <c r="O229" s="34"/>
      <c r="P229" s="34"/>
      <c r="Q229" s="33"/>
      <c r="R229" s="33"/>
      <c r="S229" s="33"/>
      <c r="T229" s="34"/>
      <c r="U229" s="34"/>
      <c r="V229" s="34"/>
      <c r="W229" s="34"/>
      <c r="X229" s="34"/>
      <c r="Y229" s="34"/>
      <c r="Z229" s="34"/>
      <c r="AA229" s="34"/>
      <c r="AB229" s="34"/>
      <c r="AC229" s="34"/>
    </row>
    <row r="230" spans="1:29" ht="14.25" customHeight="1" x14ac:dyDescent="0.2">
      <c r="A230" s="34"/>
      <c r="B230" s="34"/>
      <c r="C230" s="33"/>
      <c r="D230" s="34"/>
      <c r="E230" s="34"/>
      <c r="F230" s="34"/>
      <c r="G230" s="34"/>
      <c r="H230" s="33"/>
      <c r="I230" s="33"/>
      <c r="J230" s="34"/>
      <c r="K230" s="34"/>
      <c r="L230" s="34"/>
      <c r="M230" s="33"/>
      <c r="N230" s="33"/>
      <c r="O230" s="33"/>
      <c r="P230" s="33"/>
      <c r="Q230" s="34"/>
      <c r="R230" s="33"/>
      <c r="S230" s="33"/>
      <c r="T230" s="34"/>
      <c r="U230" s="34"/>
      <c r="V230" s="34"/>
      <c r="W230" s="34"/>
      <c r="X230" s="34"/>
      <c r="Y230" s="34"/>
      <c r="Z230" s="34"/>
      <c r="AA230" s="34"/>
      <c r="AB230" s="34"/>
      <c r="AC230" s="34"/>
    </row>
    <row r="231" spans="1:29" ht="14.25" customHeight="1" x14ac:dyDescent="0.2">
      <c r="A231" s="34"/>
      <c r="B231" s="34"/>
      <c r="C231" s="33"/>
      <c r="D231" s="34"/>
      <c r="E231" s="34"/>
      <c r="F231" s="34"/>
      <c r="G231" s="34"/>
      <c r="H231" s="33"/>
      <c r="I231" s="33"/>
      <c r="J231" s="34"/>
      <c r="K231" s="34"/>
      <c r="L231" s="34"/>
      <c r="M231" s="34"/>
      <c r="N231" s="34"/>
      <c r="O231" s="34"/>
      <c r="P231" s="34"/>
      <c r="Q231" s="33"/>
      <c r="R231" s="33"/>
      <c r="S231" s="33"/>
      <c r="T231" s="34"/>
      <c r="U231" s="34"/>
      <c r="V231" s="34"/>
      <c r="W231" s="34"/>
      <c r="X231" s="34"/>
      <c r="Y231" s="34"/>
      <c r="Z231" s="34"/>
      <c r="AA231" s="34"/>
      <c r="AB231" s="34"/>
      <c r="AC231" s="34"/>
    </row>
    <row r="232" spans="1:29" ht="14.25" customHeight="1" x14ac:dyDescent="0.2">
      <c r="A232" s="34"/>
      <c r="B232" s="34"/>
      <c r="C232" s="33"/>
      <c r="D232" s="34"/>
      <c r="E232" s="34"/>
      <c r="F232" s="34"/>
      <c r="G232" s="34"/>
      <c r="H232" s="33"/>
      <c r="I232" s="33"/>
      <c r="J232" s="34"/>
      <c r="K232" s="34"/>
      <c r="L232" s="34"/>
      <c r="M232" s="33"/>
      <c r="N232" s="33"/>
      <c r="O232" s="33"/>
      <c r="P232" s="33"/>
      <c r="Q232" s="34"/>
      <c r="R232" s="33"/>
      <c r="S232" s="33"/>
      <c r="T232" s="34"/>
      <c r="U232" s="34"/>
      <c r="V232" s="34"/>
      <c r="W232" s="34"/>
      <c r="X232" s="34"/>
      <c r="Y232" s="34"/>
      <c r="Z232" s="34"/>
      <c r="AA232" s="34"/>
      <c r="AB232" s="34"/>
      <c r="AC232" s="34"/>
    </row>
    <row r="233" spans="1:29" ht="14.25" customHeight="1" x14ac:dyDescent="0.2">
      <c r="A233" s="34"/>
      <c r="B233" s="34"/>
      <c r="C233" s="33"/>
      <c r="D233" s="34"/>
      <c r="E233" s="34"/>
      <c r="F233" s="34"/>
      <c r="G233" s="34"/>
      <c r="H233" s="33"/>
      <c r="I233" s="33"/>
      <c r="J233" s="34"/>
      <c r="K233" s="34"/>
      <c r="L233" s="34"/>
      <c r="M233" s="33"/>
      <c r="N233" s="33"/>
      <c r="O233" s="33"/>
      <c r="P233" s="33"/>
      <c r="Q233" s="34"/>
      <c r="R233" s="33"/>
      <c r="S233" s="34"/>
      <c r="T233" s="34"/>
      <c r="U233" s="34"/>
      <c r="V233" s="34"/>
      <c r="W233" s="34"/>
      <c r="X233" s="34"/>
      <c r="Y233" s="34"/>
      <c r="Z233" s="34"/>
      <c r="AA233" s="34"/>
      <c r="AB233" s="34"/>
      <c r="AC233" s="34"/>
    </row>
    <row r="234" spans="1:29" ht="14.25" customHeight="1" x14ac:dyDescent="0.2">
      <c r="A234" s="34"/>
      <c r="B234" s="34"/>
      <c r="C234" s="33"/>
      <c r="D234" s="34"/>
      <c r="E234" s="34"/>
      <c r="F234" s="34"/>
      <c r="G234" s="34"/>
      <c r="H234" s="33"/>
      <c r="I234" s="33"/>
      <c r="J234" s="34"/>
      <c r="K234" s="34"/>
      <c r="L234" s="34"/>
      <c r="M234" s="34"/>
      <c r="N234" s="34"/>
      <c r="O234" s="34"/>
      <c r="P234" s="34"/>
      <c r="Q234" s="33"/>
      <c r="R234" s="33"/>
      <c r="S234" s="33"/>
      <c r="T234" s="34"/>
      <c r="U234" s="34"/>
      <c r="V234" s="34"/>
      <c r="W234" s="34"/>
      <c r="X234" s="34"/>
      <c r="Y234" s="34"/>
      <c r="Z234" s="34"/>
      <c r="AA234" s="34"/>
      <c r="AB234" s="34"/>
      <c r="AC234" s="34"/>
    </row>
    <row r="235" spans="1:29" ht="14.25" customHeight="1" x14ac:dyDescent="0.2">
      <c r="A235" s="34"/>
      <c r="B235" s="34"/>
      <c r="C235" s="33"/>
      <c r="D235" s="34"/>
      <c r="E235" s="34"/>
      <c r="F235" s="34"/>
      <c r="G235" s="34"/>
      <c r="H235" s="33"/>
      <c r="I235" s="33"/>
      <c r="J235" s="34"/>
      <c r="K235" s="34"/>
      <c r="L235" s="34"/>
      <c r="M235" s="33"/>
      <c r="N235" s="33"/>
      <c r="O235" s="33"/>
      <c r="P235" s="33"/>
      <c r="Q235" s="34"/>
      <c r="R235" s="33"/>
      <c r="S235" s="33"/>
      <c r="T235" s="34"/>
      <c r="U235" s="34"/>
      <c r="V235" s="34"/>
      <c r="W235" s="34"/>
      <c r="X235" s="34"/>
      <c r="Y235" s="34"/>
      <c r="Z235" s="34"/>
      <c r="AA235" s="34"/>
      <c r="AB235" s="34"/>
      <c r="AC235" s="34"/>
    </row>
    <row r="236" spans="1:29" ht="14.25" customHeight="1" x14ac:dyDescent="0.2">
      <c r="A236" s="34"/>
      <c r="B236" s="34"/>
      <c r="C236" s="33"/>
      <c r="D236" s="34"/>
      <c r="E236" s="34"/>
      <c r="F236" s="34"/>
      <c r="G236" s="34"/>
      <c r="H236" s="33"/>
      <c r="I236" s="33"/>
      <c r="J236" s="34"/>
      <c r="K236" s="34"/>
      <c r="L236" s="34"/>
      <c r="M236" s="34"/>
      <c r="N236" s="34"/>
      <c r="O236" s="34"/>
      <c r="P236" s="34"/>
      <c r="Q236" s="33"/>
      <c r="R236" s="33"/>
      <c r="S236" s="33"/>
      <c r="T236" s="34"/>
      <c r="U236" s="34"/>
      <c r="V236" s="34"/>
      <c r="W236" s="34"/>
      <c r="X236" s="34"/>
      <c r="Y236" s="34"/>
      <c r="Z236" s="34"/>
      <c r="AA236" s="34"/>
      <c r="AB236" s="34"/>
      <c r="AC236" s="34"/>
    </row>
    <row r="237" spans="1:29" ht="14.25" customHeight="1" x14ac:dyDescent="0.2">
      <c r="A237" s="34"/>
      <c r="B237" s="34"/>
      <c r="C237" s="33"/>
      <c r="D237" s="34"/>
      <c r="E237" s="34"/>
      <c r="F237" s="34"/>
      <c r="G237" s="34"/>
      <c r="H237" s="33"/>
      <c r="I237" s="33"/>
      <c r="J237" s="34"/>
      <c r="K237" s="34"/>
      <c r="L237" s="34"/>
      <c r="M237" s="33"/>
      <c r="N237" s="33"/>
      <c r="O237" s="33"/>
      <c r="P237" s="33"/>
      <c r="Q237" s="34"/>
      <c r="R237" s="33"/>
      <c r="S237" s="33"/>
      <c r="T237" s="34"/>
      <c r="U237" s="34"/>
      <c r="V237" s="34"/>
      <c r="W237" s="34"/>
      <c r="X237" s="34"/>
      <c r="Y237" s="34"/>
      <c r="Z237" s="34"/>
      <c r="AA237" s="34"/>
      <c r="AB237" s="34"/>
      <c r="AC237" s="34"/>
    </row>
    <row r="238" spans="1:29" ht="14.25" customHeight="1" x14ac:dyDescent="0.2">
      <c r="A238" s="34"/>
      <c r="B238" s="34"/>
      <c r="C238" s="33"/>
      <c r="D238" s="34"/>
      <c r="E238" s="34"/>
      <c r="F238" s="34"/>
      <c r="G238" s="34"/>
      <c r="H238" s="33"/>
      <c r="I238" s="33"/>
      <c r="J238" s="34"/>
      <c r="K238" s="34"/>
      <c r="L238" s="34"/>
      <c r="M238" s="33"/>
      <c r="N238" s="33"/>
      <c r="O238" s="33"/>
      <c r="P238" s="33"/>
      <c r="Q238" s="34"/>
      <c r="R238" s="33"/>
      <c r="S238" s="33"/>
      <c r="T238" s="34"/>
      <c r="U238" s="34"/>
      <c r="V238" s="34"/>
      <c r="W238" s="34"/>
      <c r="X238" s="34"/>
      <c r="Y238" s="34"/>
      <c r="Z238" s="34"/>
      <c r="AA238" s="34"/>
      <c r="AB238" s="34"/>
      <c r="AC238" s="34"/>
    </row>
    <row r="239" spans="1:29" ht="14.25" customHeight="1" x14ac:dyDescent="0.2">
      <c r="A239" s="34"/>
      <c r="B239" s="34"/>
      <c r="C239" s="33"/>
      <c r="D239" s="34"/>
      <c r="E239" s="34"/>
      <c r="F239" s="34"/>
      <c r="G239" s="34"/>
      <c r="H239" s="33"/>
      <c r="I239" s="33"/>
      <c r="J239" s="34"/>
      <c r="K239" s="34"/>
      <c r="L239" s="34"/>
      <c r="M239" s="34"/>
      <c r="N239" s="34"/>
      <c r="O239" s="34"/>
      <c r="P239" s="34"/>
      <c r="Q239" s="33"/>
      <c r="R239" s="33"/>
      <c r="S239" s="34"/>
      <c r="T239" s="34"/>
      <c r="U239" s="34"/>
      <c r="V239" s="34"/>
      <c r="W239" s="34"/>
      <c r="X239" s="34"/>
      <c r="Y239" s="34"/>
      <c r="Z239" s="34"/>
      <c r="AA239" s="34"/>
      <c r="AB239" s="34"/>
      <c r="AC239" s="34"/>
    </row>
    <row r="240" spans="1:29" ht="14.25" customHeight="1" x14ac:dyDescent="0.2">
      <c r="A240" s="34"/>
      <c r="B240" s="34"/>
      <c r="C240" s="33"/>
      <c r="D240" s="34"/>
      <c r="E240" s="34"/>
      <c r="F240" s="34"/>
      <c r="G240" s="34"/>
      <c r="H240" s="33"/>
      <c r="I240" s="33"/>
      <c r="J240" s="34"/>
      <c r="K240" s="34"/>
      <c r="L240" s="34"/>
      <c r="M240" s="33"/>
      <c r="N240" s="33"/>
      <c r="O240" s="33"/>
      <c r="P240" s="33"/>
      <c r="Q240" s="34"/>
      <c r="R240" s="33"/>
      <c r="S240" s="33"/>
      <c r="T240" s="34"/>
      <c r="U240" s="34"/>
      <c r="V240" s="34"/>
      <c r="W240" s="34"/>
      <c r="X240" s="34"/>
      <c r="Y240" s="34"/>
      <c r="Z240" s="34"/>
      <c r="AA240" s="34"/>
      <c r="AB240" s="34"/>
      <c r="AC240" s="34"/>
    </row>
    <row r="241" spans="1:29" ht="14.25" customHeight="1" x14ac:dyDescent="0.2">
      <c r="A241" s="34"/>
      <c r="B241" s="34"/>
      <c r="C241" s="33"/>
      <c r="D241" s="34"/>
      <c r="E241" s="34"/>
      <c r="F241" s="34"/>
      <c r="G241" s="34"/>
      <c r="H241" s="33"/>
      <c r="I241" s="33"/>
      <c r="J241" s="34"/>
      <c r="K241" s="34"/>
      <c r="L241" s="34"/>
      <c r="M241" s="33"/>
      <c r="N241" s="33"/>
      <c r="O241" s="33"/>
      <c r="P241" s="33"/>
      <c r="Q241" s="34"/>
      <c r="R241" s="33"/>
      <c r="S241" s="34"/>
      <c r="T241" s="34"/>
      <c r="U241" s="34"/>
      <c r="V241" s="34"/>
      <c r="W241" s="34"/>
      <c r="X241" s="34"/>
      <c r="Y241" s="34"/>
      <c r="Z241" s="34"/>
      <c r="AA241" s="34"/>
      <c r="AB241" s="34"/>
      <c r="AC241" s="34"/>
    </row>
    <row r="242" spans="1:29" ht="14.25" customHeight="1" x14ac:dyDescent="0.2">
      <c r="A242" s="34"/>
      <c r="B242" s="34"/>
      <c r="C242" s="33"/>
      <c r="D242" s="34"/>
      <c r="E242" s="34"/>
      <c r="F242" s="34"/>
      <c r="G242" s="34"/>
      <c r="H242" s="33"/>
      <c r="I242" s="33"/>
      <c r="J242" s="34"/>
      <c r="K242" s="34"/>
      <c r="L242" s="34"/>
      <c r="M242" s="33"/>
      <c r="N242" s="33"/>
      <c r="O242" s="33"/>
      <c r="P242" s="33"/>
      <c r="Q242" s="34"/>
      <c r="R242" s="33"/>
      <c r="S242" s="33"/>
      <c r="T242" s="34"/>
      <c r="U242" s="34"/>
      <c r="V242" s="34"/>
      <c r="W242" s="34"/>
      <c r="X242" s="34"/>
      <c r="Y242" s="34"/>
      <c r="Z242" s="34"/>
      <c r="AA242" s="34"/>
      <c r="AB242" s="34"/>
      <c r="AC242" s="34"/>
    </row>
    <row r="243" spans="1:29" ht="14.25" customHeight="1" x14ac:dyDescent="0.2">
      <c r="A243" s="34"/>
      <c r="B243" s="34"/>
      <c r="C243" s="33"/>
      <c r="D243" s="34"/>
      <c r="E243" s="34"/>
      <c r="F243" s="34"/>
      <c r="G243" s="34"/>
      <c r="H243" s="33"/>
      <c r="I243" s="33"/>
      <c r="J243" s="34"/>
      <c r="K243" s="34"/>
      <c r="L243" s="34"/>
      <c r="M243" s="33"/>
      <c r="N243" s="33"/>
      <c r="O243" s="33"/>
      <c r="P243" s="33"/>
      <c r="Q243" s="34"/>
      <c r="R243" s="33"/>
      <c r="S243" s="33"/>
      <c r="T243" s="34"/>
      <c r="U243" s="34"/>
      <c r="V243" s="34"/>
      <c r="W243" s="34"/>
      <c r="X243" s="34"/>
      <c r="Y243" s="34"/>
      <c r="Z243" s="34"/>
      <c r="AA243" s="34"/>
      <c r="AB243" s="34"/>
      <c r="AC243" s="34"/>
    </row>
    <row r="244" spans="1:29" ht="14.25" customHeight="1" x14ac:dyDescent="0.2">
      <c r="A244" s="34"/>
      <c r="B244" s="34"/>
      <c r="C244" s="33"/>
      <c r="D244" s="34"/>
      <c r="E244" s="34"/>
      <c r="F244" s="34"/>
      <c r="G244" s="34"/>
      <c r="H244" s="33"/>
      <c r="I244" s="33"/>
      <c r="J244" s="34"/>
      <c r="K244" s="34"/>
      <c r="L244" s="34"/>
      <c r="M244" s="34"/>
      <c r="N244" s="34"/>
      <c r="O244" s="34"/>
      <c r="P244" s="34"/>
      <c r="Q244" s="33"/>
      <c r="R244" s="33"/>
      <c r="S244" s="33"/>
      <c r="T244" s="34"/>
      <c r="U244" s="34"/>
      <c r="V244" s="34"/>
      <c r="W244" s="34"/>
      <c r="X244" s="34"/>
      <c r="Y244" s="34"/>
      <c r="Z244" s="34"/>
      <c r="AA244" s="34"/>
      <c r="AB244" s="34"/>
      <c r="AC244" s="34"/>
    </row>
    <row r="245" spans="1:29" ht="14.25" customHeight="1" x14ac:dyDescent="0.2">
      <c r="A245" s="34"/>
      <c r="B245" s="34"/>
      <c r="C245" s="33"/>
      <c r="D245" s="34"/>
      <c r="E245" s="34"/>
      <c r="F245" s="34"/>
      <c r="G245" s="34"/>
      <c r="H245" s="33"/>
      <c r="I245" s="33"/>
      <c r="J245" s="34"/>
      <c r="K245" s="34"/>
      <c r="L245" s="34"/>
      <c r="M245" s="34"/>
      <c r="N245" s="34"/>
      <c r="O245" s="34"/>
      <c r="P245" s="34"/>
      <c r="Q245" s="33"/>
      <c r="R245" s="33"/>
      <c r="S245" s="33"/>
      <c r="T245" s="34"/>
      <c r="U245" s="34"/>
      <c r="V245" s="34"/>
      <c r="W245" s="34"/>
      <c r="X245" s="34"/>
      <c r="Y245" s="34"/>
      <c r="Z245" s="34"/>
      <c r="AA245" s="34"/>
      <c r="AB245" s="34"/>
      <c r="AC245" s="34"/>
    </row>
    <row r="246" spans="1:29" ht="14.25" customHeight="1" x14ac:dyDescent="0.2">
      <c r="A246" s="34"/>
      <c r="B246" s="34"/>
      <c r="C246" s="33"/>
      <c r="D246" s="34"/>
      <c r="E246" s="34"/>
      <c r="F246" s="34"/>
      <c r="G246" s="34"/>
      <c r="H246" s="33"/>
      <c r="I246" s="33"/>
      <c r="J246" s="34"/>
      <c r="K246" s="34"/>
      <c r="L246" s="34"/>
      <c r="M246" s="33"/>
      <c r="N246" s="33"/>
      <c r="O246" s="33"/>
      <c r="P246" s="33"/>
      <c r="Q246" s="34"/>
      <c r="R246" s="33"/>
      <c r="S246" s="33"/>
      <c r="T246" s="34"/>
      <c r="U246" s="34"/>
      <c r="V246" s="34"/>
      <c r="W246" s="34"/>
      <c r="X246" s="34"/>
      <c r="Y246" s="34"/>
      <c r="Z246" s="34"/>
      <c r="AA246" s="34"/>
      <c r="AB246" s="34"/>
      <c r="AC246" s="34"/>
    </row>
    <row r="247" spans="1:29" ht="14.25" customHeight="1" x14ac:dyDescent="0.2">
      <c r="A247" s="34"/>
      <c r="B247" s="34"/>
      <c r="C247" s="33"/>
      <c r="D247" s="34"/>
      <c r="E247" s="34"/>
      <c r="F247" s="34"/>
      <c r="G247" s="34"/>
      <c r="H247" s="33"/>
      <c r="I247" s="33"/>
      <c r="J247" s="34"/>
      <c r="K247" s="34"/>
      <c r="L247" s="34"/>
      <c r="M247" s="33"/>
      <c r="N247" s="33"/>
      <c r="O247" s="33"/>
      <c r="P247" s="33"/>
      <c r="Q247" s="34"/>
      <c r="R247" s="33"/>
      <c r="S247" s="33"/>
      <c r="T247" s="34"/>
      <c r="U247" s="34"/>
      <c r="V247" s="34"/>
      <c r="W247" s="34"/>
      <c r="X247" s="34"/>
      <c r="Y247" s="34"/>
      <c r="Z247" s="34"/>
      <c r="AA247" s="34"/>
      <c r="AB247" s="34"/>
      <c r="AC247" s="34"/>
    </row>
    <row r="248" spans="1:29" ht="14.25" customHeight="1" x14ac:dyDescent="0.2">
      <c r="A248" s="34"/>
      <c r="B248" s="34"/>
      <c r="C248" s="33"/>
      <c r="D248" s="34"/>
      <c r="E248" s="34"/>
      <c r="F248" s="34"/>
      <c r="G248" s="34"/>
      <c r="H248" s="33"/>
      <c r="I248" s="33"/>
      <c r="J248" s="34"/>
      <c r="K248" s="34"/>
      <c r="L248" s="34"/>
      <c r="M248" s="33"/>
      <c r="N248" s="33"/>
      <c r="O248" s="33"/>
      <c r="P248" s="33"/>
      <c r="Q248" s="34"/>
      <c r="R248" s="33"/>
      <c r="S248" s="33"/>
      <c r="T248" s="34"/>
      <c r="U248" s="34"/>
      <c r="V248" s="34"/>
      <c r="W248" s="34"/>
      <c r="X248" s="34"/>
      <c r="Y248" s="34"/>
      <c r="Z248" s="34"/>
      <c r="AA248" s="34"/>
      <c r="AB248" s="34"/>
      <c r="AC248" s="34"/>
    </row>
    <row r="249" spans="1:29" ht="14.25" customHeight="1" x14ac:dyDescent="0.2">
      <c r="A249" s="34"/>
      <c r="B249" s="34"/>
      <c r="C249" s="33"/>
      <c r="D249" s="34"/>
      <c r="E249" s="34"/>
      <c r="F249" s="34"/>
      <c r="G249" s="34"/>
      <c r="H249" s="33"/>
      <c r="I249" s="33"/>
      <c r="J249" s="34"/>
      <c r="K249" s="34"/>
      <c r="L249" s="34"/>
      <c r="M249" s="33"/>
      <c r="N249" s="33"/>
      <c r="O249" s="33"/>
      <c r="P249" s="33"/>
      <c r="Q249" s="34"/>
      <c r="R249" s="33"/>
      <c r="S249" s="33"/>
      <c r="T249" s="34"/>
      <c r="U249" s="34"/>
      <c r="V249" s="34"/>
      <c r="W249" s="34"/>
      <c r="X249" s="34"/>
      <c r="Y249" s="34"/>
      <c r="Z249" s="34"/>
      <c r="AA249" s="34"/>
      <c r="AB249" s="34"/>
      <c r="AC249" s="34"/>
    </row>
    <row r="250" spans="1:29" ht="14.25" customHeight="1" x14ac:dyDescent="0.2">
      <c r="A250" s="34"/>
      <c r="B250" s="34"/>
      <c r="C250" s="33"/>
      <c r="D250" s="34"/>
      <c r="E250" s="34"/>
      <c r="F250" s="34"/>
      <c r="G250" s="34"/>
      <c r="H250" s="33"/>
      <c r="I250" s="33"/>
      <c r="J250" s="34"/>
      <c r="K250" s="34"/>
      <c r="L250" s="34"/>
      <c r="M250" s="34"/>
      <c r="N250" s="34"/>
      <c r="O250" s="34"/>
      <c r="P250" s="34"/>
      <c r="Q250" s="33"/>
      <c r="R250" s="33"/>
      <c r="S250" s="33"/>
      <c r="T250" s="34"/>
      <c r="U250" s="34"/>
      <c r="V250" s="34"/>
      <c r="W250" s="34"/>
      <c r="X250" s="34"/>
      <c r="Y250" s="34"/>
      <c r="Z250" s="34"/>
      <c r="AA250" s="34"/>
      <c r="AB250" s="34"/>
      <c r="AC250" s="34"/>
    </row>
    <row r="251" spans="1:29" ht="14.25" customHeight="1" x14ac:dyDescent="0.2">
      <c r="A251" s="34"/>
      <c r="B251" s="34"/>
      <c r="C251" s="33"/>
      <c r="D251" s="34"/>
      <c r="E251" s="34"/>
      <c r="F251" s="34"/>
      <c r="G251" s="34"/>
      <c r="H251" s="33"/>
      <c r="I251" s="33"/>
      <c r="J251" s="34"/>
      <c r="K251" s="34"/>
      <c r="L251" s="34"/>
      <c r="M251" s="33"/>
      <c r="N251" s="33"/>
      <c r="O251" s="33"/>
      <c r="P251" s="33"/>
      <c r="Q251" s="34"/>
      <c r="R251" s="33"/>
      <c r="S251" s="33"/>
      <c r="T251" s="34"/>
      <c r="U251" s="34"/>
      <c r="V251" s="34"/>
      <c r="W251" s="34"/>
      <c r="X251" s="34"/>
      <c r="Y251" s="34"/>
      <c r="Z251" s="34"/>
      <c r="AA251" s="34"/>
      <c r="AB251" s="34"/>
      <c r="AC251" s="34"/>
    </row>
    <row r="252" spans="1:29" ht="14.25" customHeight="1" x14ac:dyDescent="0.2">
      <c r="A252" s="34"/>
      <c r="B252" s="34"/>
      <c r="C252" s="33"/>
      <c r="D252" s="34"/>
      <c r="E252" s="34"/>
      <c r="F252" s="34"/>
      <c r="G252" s="34"/>
      <c r="H252" s="33"/>
      <c r="I252" s="33"/>
      <c r="J252" s="34"/>
      <c r="K252" s="34"/>
      <c r="L252" s="34"/>
      <c r="M252" s="33"/>
      <c r="N252" s="33"/>
      <c r="O252" s="33"/>
      <c r="P252" s="33"/>
      <c r="Q252" s="34"/>
      <c r="R252" s="33"/>
      <c r="S252" s="33"/>
      <c r="T252" s="34"/>
      <c r="U252" s="34"/>
      <c r="V252" s="34"/>
      <c r="W252" s="34"/>
      <c r="X252" s="34"/>
      <c r="Y252" s="34"/>
      <c r="Z252" s="34"/>
      <c r="AA252" s="34"/>
      <c r="AB252" s="34"/>
      <c r="AC252" s="34"/>
    </row>
    <row r="253" spans="1:29" ht="14.25" customHeight="1" x14ac:dyDescent="0.2">
      <c r="A253" s="34"/>
      <c r="B253" s="34"/>
      <c r="C253" s="33"/>
      <c r="D253" s="34"/>
      <c r="E253" s="34"/>
      <c r="F253" s="34"/>
      <c r="G253" s="34"/>
      <c r="H253" s="33"/>
      <c r="I253" s="33"/>
      <c r="J253" s="34"/>
      <c r="K253" s="34"/>
      <c r="L253" s="34"/>
      <c r="M253" s="33"/>
      <c r="N253" s="33"/>
      <c r="O253" s="33"/>
      <c r="P253" s="33"/>
      <c r="Q253" s="34"/>
      <c r="R253" s="33"/>
      <c r="S253" s="33"/>
      <c r="T253" s="34"/>
      <c r="U253" s="34"/>
      <c r="V253" s="34"/>
      <c r="W253" s="34"/>
      <c r="X253" s="34"/>
      <c r="Y253" s="34"/>
      <c r="Z253" s="34"/>
      <c r="AA253" s="34"/>
      <c r="AB253" s="34"/>
      <c r="AC253" s="34"/>
    </row>
    <row r="254" spans="1:29" ht="14.25" customHeight="1" x14ac:dyDescent="0.2">
      <c r="A254" s="34"/>
      <c r="B254" s="34"/>
      <c r="C254" s="33"/>
      <c r="D254" s="34"/>
      <c r="E254" s="34"/>
      <c r="F254" s="34"/>
      <c r="G254" s="34"/>
      <c r="H254" s="33"/>
      <c r="I254" s="33"/>
      <c r="J254" s="34"/>
      <c r="K254" s="34"/>
      <c r="L254" s="34"/>
      <c r="M254" s="33"/>
      <c r="N254" s="33"/>
      <c r="O254" s="33"/>
      <c r="P254" s="33"/>
      <c r="Q254" s="34"/>
      <c r="R254" s="33"/>
      <c r="S254" s="33"/>
      <c r="T254" s="34"/>
      <c r="U254" s="34"/>
      <c r="V254" s="34"/>
      <c r="W254" s="34"/>
      <c r="X254" s="34"/>
      <c r="Y254" s="34"/>
      <c r="Z254" s="34"/>
      <c r="AA254" s="34"/>
      <c r="AB254" s="34"/>
      <c r="AC254" s="34"/>
    </row>
    <row r="255" spans="1:29" ht="14.25" customHeight="1" x14ac:dyDescent="0.2">
      <c r="A255" s="34"/>
      <c r="B255" s="34"/>
      <c r="C255" s="33"/>
      <c r="D255" s="34"/>
      <c r="E255" s="34"/>
      <c r="F255" s="34"/>
      <c r="G255" s="34"/>
      <c r="H255" s="33"/>
      <c r="I255" s="33"/>
      <c r="J255" s="34"/>
      <c r="K255" s="34"/>
      <c r="L255" s="34"/>
      <c r="M255" s="34"/>
      <c r="N255" s="34"/>
      <c r="O255" s="34"/>
      <c r="P255" s="34"/>
      <c r="Q255" s="33"/>
      <c r="R255" s="33"/>
      <c r="S255" s="33"/>
      <c r="T255" s="34"/>
      <c r="U255" s="34"/>
      <c r="V255" s="34"/>
      <c r="W255" s="34"/>
      <c r="X255" s="34"/>
      <c r="Y255" s="34"/>
      <c r="Z255" s="34"/>
      <c r="AA255" s="34"/>
      <c r="AB255" s="34"/>
      <c r="AC255" s="34"/>
    </row>
    <row r="256" spans="1:29" ht="14.25" customHeight="1" x14ac:dyDescent="0.2">
      <c r="A256" s="34"/>
      <c r="B256" s="34"/>
      <c r="C256" s="33"/>
      <c r="D256" s="34"/>
      <c r="E256" s="34"/>
      <c r="F256" s="34"/>
      <c r="G256" s="34"/>
      <c r="H256" s="33"/>
      <c r="I256" s="33"/>
      <c r="J256" s="34"/>
      <c r="K256" s="34"/>
      <c r="L256" s="34"/>
      <c r="M256" s="33"/>
      <c r="N256" s="33"/>
      <c r="O256" s="33"/>
      <c r="P256" s="33"/>
      <c r="Q256" s="34"/>
      <c r="R256" s="33"/>
      <c r="S256" s="33"/>
      <c r="T256" s="34"/>
      <c r="U256" s="34"/>
      <c r="V256" s="34"/>
      <c r="W256" s="34"/>
      <c r="X256" s="34"/>
      <c r="Y256" s="34"/>
      <c r="Z256" s="34"/>
      <c r="AA256" s="34"/>
      <c r="AB256" s="34"/>
      <c r="AC256" s="34"/>
    </row>
    <row r="257" spans="1:29" ht="14.25" customHeight="1" x14ac:dyDescent="0.2">
      <c r="A257" s="34"/>
      <c r="B257" s="34"/>
      <c r="C257" s="33"/>
      <c r="D257" s="34"/>
      <c r="E257" s="34"/>
      <c r="F257" s="34"/>
      <c r="G257" s="34"/>
      <c r="H257" s="33"/>
      <c r="I257" s="33"/>
      <c r="J257" s="34"/>
      <c r="K257" s="34"/>
      <c r="L257" s="34"/>
      <c r="M257" s="34"/>
      <c r="N257" s="34"/>
      <c r="O257" s="34"/>
      <c r="P257" s="34"/>
      <c r="Q257" s="33"/>
      <c r="R257" s="33"/>
      <c r="S257" s="33"/>
      <c r="T257" s="34"/>
      <c r="U257" s="34"/>
      <c r="V257" s="34"/>
      <c r="W257" s="34"/>
      <c r="X257" s="34"/>
      <c r="Y257" s="34"/>
      <c r="Z257" s="34"/>
      <c r="AA257" s="34"/>
      <c r="AB257" s="34"/>
      <c r="AC257" s="34"/>
    </row>
    <row r="258" spans="1:29" ht="15.75" customHeight="1" x14ac:dyDescent="0.2">
      <c r="A258" s="34"/>
      <c r="B258" s="34"/>
      <c r="C258" s="33"/>
      <c r="D258" s="34"/>
      <c r="E258" s="34"/>
      <c r="F258" s="34"/>
      <c r="G258" s="34"/>
      <c r="H258" s="33"/>
      <c r="I258" s="33"/>
      <c r="J258" s="34"/>
      <c r="K258" s="34"/>
      <c r="L258" s="34"/>
      <c r="M258" s="34"/>
      <c r="N258" s="34"/>
      <c r="O258" s="34"/>
      <c r="P258" s="34"/>
      <c r="Q258" s="34"/>
      <c r="R258" s="34"/>
      <c r="S258" s="34"/>
      <c r="T258" s="34"/>
      <c r="U258" s="34"/>
      <c r="V258" s="34"/>
      <c r="W258" s="34"/>
      <c r="X258" s="34"/>
      <c r="Y258" s="34"/>
      <c r="Z258" s="34"/>
      <c r="AA258" s="34"/>
      <c r="AB258" s="34"/>
      <c r="AC258" s="34"/>
    </row>
    <row r="259" spans="1:29" ht="15.75" customHeight="1" x14ac:dyDescent="0.2">
      <c r="A259" s="34"/>
      <c r="B259" s="34"/>
      <c r="C259" s="33"/>
      <c r="D259" s="34"/>
      <c r="E259" s="34"/>
      <c r="F259" s="34"/>
      <c r="G259" s="34"/>
      <c r="H259" s="33"/>
      <c r="I259" s="33"/>
      <c r="J259" s="34"/>
      <c r="K259" s="34"/>
      <c r="L259" s="34"/>
      <c r="M259" s="34"/>
      <c r="N259" s="34"/>
      <c r="O259" s="34"/>
      <c r="P259" s="34"/>
      <c r="Q259" s="34"/>
      <c r="R259" s="34"/>
      <c r="S259" s="34"/>
      <c r="T259" s="34"/>
      <c r="U259" s="34"/>
      <c r="V259" s="34"/>
      <c r="W259" s="34"/>
      <c r="X259" s="34"/>
      <c r="Y259" s="34"/>
      <c r="Z259" s="34"/>
      <c r="AA259" s="34"/>
      <c r="AB259" s="34"/>
      <c r="AC259" s="34"/>
    </row>
    <row r="260" spans="1:29" ht="15.75" customHeight="1" x14ac:dyDescent="0.2">
      <c r="A260" s="34"/>
      <c r="B260" s="34"/>
      <c r="C260" s="33"/>
      <c r="D260" s="34"/>
      <c r="E260" s="34"/>
      <c r="F260" s="34"/>
      <c r="G260" s="34"/>
      <c r="H260" s="33"/>
      <c r="I260" s="33"/>
      <c r="J260" s="34"/>
      <c r="K260" s="34"/>
      <c r="L260" s="34"/>
      <c r="M260" s="34"/>
      <c r="N260" s="34"/>
      <c r="O260" s="34"/>
      <c r="P260" s="34"/>
      <c r="Q260" s="34"/>
      <c r="R260" s="34"/>
      <c r="S260" s="34"/>
      <c r="T260" s="34"/>
      <c r="U260" s="34"/>
      <c r="V260" s="34"/>
      <c r="W260" s="34"/>
      <c r="X260" s="34"/>
      <c r="Y260" s="34"/>
      <c r="Z260" s="34"/>
      <c r="AA260" s="34"/>
      <c r="AB260" s="34"/>
      <c r="AC260" s="34"/>
    </row>
    <row r="261" spans="1:29" ht="15.75" customHeight="1" x14ac:dyDescent="0.2">
      <c r="A261" s="34"/>
      <c r="B261" s="34"/>
      <c r="C261" s="33"/>
      <c r="D261" s="34"/>
      <c r="E261" s="34"/>
      <c r="F261" s="34"/>
      <c r="G261" s="34"/>
      <c r="H261" s="33"/>
      <c r="I261" s="33"/>
      <c r="J261" s="34"/>
      <c r="K261" s="34"/>
      <c r="L261" s="34"/>
      <c r="M261" s="34"/>
      <c r="N261" s="34"/>
      <c r="O261" s="34"/>
      <c r="P261" s="34"/>
      <c r="Q261" s="34"/>
      <c r="R261" s="34"/>
      <c r="S261" s="34"/>
      <c r="T261" s="34"/>
      <c r="U261" s="34"/>
      <c r="V261" s="34"/>
      <c r="W261" s="34"/>
      <c r="X261" s="34"/>
      <c r="Y261" s="34"/>
      <c r="Z261" s="34"/>
      <c r="AA261" s="34"/>
      <c r="AB261" s="34"/>
      <c r="AC261" s="34"/>
    </row>
    <row r="262" spans="1:29" ht="15.75" customHeight="1" x14ac:dyDescent="0.2">
      <c r="A262" s="34"/>
      <c r="B262" s="34"/>
      <c r="C262" s="33"/>
      <c r="D262" s="34"/>
      <c r="E262" s="34"/>
      <c r="F262" s="34"/>
      <c r="G262" s="34"/>
      <c r="H262" s="33"/>
      <c r="I262" s="33"/>
      <c r="J262" s="34"/>
      <c r="K262" s="34"/>
      <c r="L262" s="34"/>
      <c r="M262" s="34"/>
      <c r="N262" s="34"/>
      <c r="O262" s="34"/>
      <c r="P262" s="34"/>
      <c r="Q262" s="34"/>
      <c r="R262" s="34"/>
      <c r="S262" s="34"/>
      <c r="T262" s="34"/>
      <c r="U262" s="34"/>
      <c r="V262" s="34"/>
      <c r="W262" s="34"/>
      <c r="X262" s="34"/>
      <c r="Y262" s="34"/>
      <c r="Z262" s="34"/>
      <c r="AA262" s="34"/>
      <c r="AB262" s="34"/>
      <c r="AC262" s="34"/>
    </row>
    <row r="263" spans="1:29" ht="15.75" customHeight="1" x14ac:dyDescent="0.2">
      <c r="A263" s="34"/>
      <c r="B263" s="34"/>
      <c r="C263" s="33"/>
      <c r="D263" s="34"/>
      <c r="E263" s="34"/>
      <c r="F263" s="34"/>
      <c r="G263" s="34"/>
      <c r="H263" s="33"/>
      <c r="I263" s="33"/>
      <c r="J263" s="34"/>
      <c r="K263" s="34"/>
      <c r="L263" s="34"/>
      <c r="M263" s="34"/>
      <c r="N263" s="34"/>
      <c r="O263" s="34"/>
      <c r="P263" s="34"/>
      <c r="Q263" s="34"/>
      <c r="R263" s="34"/>
      <c r="S263" s="34"/>
      <c r="T263" s="34"/>
      <c r="U263" s="34"/>
      <c r="V263" s="34"/>
      <c r="W263" s="34"/>
      <c r="X263" s="34"/>
      <c r="Y263" s="34"/>
      <c r="Z263" s="34"/>
      <c r="AA263" s="34"/>
      <c r="AB263" s="34"/>
      <c r="AC263" s="34"/>
    </row>
    <row r="264" spans="1:29" ht="15.75" customHeight="1" x14ac:dyDescent="0.2">
      <c r="A264" s="34"/>
      <c r="B264" s="34"/>
      <c r="C264" s="33"/>
      <c r="D264" s="34"/>
      <c r="E264" s="34"/>
      <c r="F264" s="34"/>
      <c r="G264" s="34"/>
      <c r="H264" s="33"/>
      <c r="I264" s="33"/>
      <c r="J264" s="34"/>
      <c r="K264" s="34"/>
      <c r="L264" s="34"/>
      <c r="M264" s="34"/>
      <c r="N264" s="34"/>
      <c r="O264" s="34"/>
      <c r="P264" s="34"/>
      <c r="Q264" s="34"/>
      <c r="R264" s="34"/>
      <c r="S264" s="34"/>
      <c r="T264" s="34"/>
      <c r="U264" s="34"/>
      <c r="V264" s="34"/>
      <c r="W264" s="34"/>
      <c r="X264" s="34"/>
      <c r="Y264" s="34"/>
      <c r="Z264" s="34"/>
      <c r="AA264" s="34"/>
      <c r="AB264" s="34"/>
      <c r="AC264" s="34"/>
    </row>
    <row r="265" spans="1:29" ht="15.75" customHeight="1" x14ac:dyDescent="0.2">
      <c r="A265" s="34"/>
      <c r="B265" s="34"/>
      <c r="C265" s="33"/>
      <c r="D265" s="34"/>
      <c r="E265" s="34"/>
      <c r="F265" s="34"/>
      <c r="G265" s="34"/>
      <c r="H265" s="33"/>
      <c r="I265" s="33"/>
      <c r="J265" s="34"/>
      <c r="K265" s="34"/>
      <c r="L265" s="34"/>
      <c r="M265" s="34"/>
      <c r="N265" s="34"/>
      <c r="O265" s="34"/>
      <c r="P265" s="34"/>
      <c r="Q265" s="34"/>
      <c r="R265" s="34"/>
      <c r="S265" s="34"/>
      <c r="T265" s="34"/>
      <c r="U265" s="34"/>
      <c r="V265" s="34"/>
      <c r="W265" s="34"/>
      <c r="X265" s="34"/>
      <c r="Y265" s="34"/>
      <c r="Z265" s="34"/>
      <c r="AA265" s="34"/>
      <c r="AB265" s="34"/>
      <c r="AC265" s="34"/>
    </row>
    <row r="266" spans="1:29" ht="15.75" customHeight="1" x14ac:dyDescent="0.2">
      <c r="A266" s="34"/>
      <c r="B266" s="34"/>
      <c r="C266" s="33"/>
      <c r="D266" s="34"/>
      <c r="E266" s="34"/>
      <c r="F266" s="34"/>
      <c r="G266" s="34"/>
      <c r="H266" s="33"/>
      <c r="I266" s="33"/>
      <c r="J266" s="34"/>
      <c r="K266" s="34"/>
      <c r="L266" s="34"/>
      <c r="M266" s="34"/>
      <c r="N266" s="34"/>
      <c r="O266" s="34"/>
      <c r="P266" s="34"/>
      <c r="Q266" s="34"/>
      <c r="R266" s="34"/>
      <c r="S266" s="34"/>
      <c r="T266" s="34"/>
      <c r="U266" s="34"/>
      <c r="V266" s="34"/>
      <c r="W266" s="34"/>
      <c r="X266" s="34"/>
      <c r="Y266" s="34"/>
      <c r="Z266" s="34"/>
      <c r="AA266" s="34"/>
      <c r="AB266" s="34"/>
      <c r="AC266" s="34"/>
    </row>
    <row r="267" spans="1:29" ht="15.75" customHeight="1" x14ac:dyDescent="0.2">
      <c r="A267" s="34"/>
      <c r="B267" s="34"/>
      <c r="C267" s="33"/>
      <c r="D267" s="34"/>
      <c r="E267" s="34"/>
      <c r="F267" s="34"/>
      <c r="G267" s="34"/>
      <c r="H267" s="33"/>
      <c r="I267" s="33"/>
      <c r="J267" s="34"/>
      <c r="K267" s="34"/>
      <c r="L267" s="34"/>
      <c r="M267" s="34"/>
      <c r="N267" s="34"/>
      <c r="O267" s="34"/>
      <c r="P267" s="34"/>
      <c r="Q267" s="34"/>
      <c r="R267" s="34"/>
      <c r="S267" s="34"/>
      <c r="T267" s="34"/>
      <c r="U267" s="34"/>
      <c r="V267" s="34"/>
      <c r="W267" s="34"/>
      <c r="X267" s="34"/>
      <c r="Y267" s="34"/>
      <c r="Z267" s="34"/>
      <c r="AA267" s="34"/>
      <c r="AB267" s="34"/>
      <c r="AC267" s="34"/>
    </row>
    <row r="268" spans="1:29" ht="15.75" customHeight="1" x14ac:dyDescent="0.2">
      <c r="A268" s="34"/>
      <c r="B268" s="34"/>
      <c r="C268" s="33"/>
      <c r="D268" s="34"/>
      <c r="E268" s="34"/>
      <c r="F268" s="34"/>
      <c r="G268" s="34"/>
      <c r="H268" s="33"/>
      <c r="I268" s="33"/>
      <c r="J268" s="34"/>
      <c r="K268" s="34"/>
      <c r="L268" s="34"/>
      <c r="M268" s="34"/>
      <c r="N268" s="34"/>
      <c r="O268" s="34"/>
      <c r="P268" s="34"/>
      <c r="Q268" s="34"/>
      <c r="R268" s="34"/>
      <c r="S268" s="34"/>
      <c r="T268" s="34"/>
      <c r="U268" s="34"/>
      <c r="V268" s="34"/>
      <c r="W268" s="34"/>
      <c r="X268" s="34"/>
      <c r="Y268" s="34"/>
      <c r="Z268" s="34"/>
      <c r="AA268" s="34"/>
      <c r="AB268" s="34"/>
      <c r="AC268" s="34"/>
    </row>
    <row r="269" spans="1:29" ht="15.75" customHeight="1" x14ac:dyDescent="0.2">
      <c r="A269" s="34"/>
      <c r="B269" s="34"/>
      <c r="C269" s="33"/>
      <c r="D269" s="34"/>
      <c r="E269" s="34"/>
      <c r="F269" s="34"/>
      <c r="G269" s="34"/>
      <c r="H269" s="33"/>
      <c r="I269" s="33"/>
      <c r="J269" s="34"/>
      <c r="K269" s="34"/>
      <c r="L269" s="34"/>
      <c r="M269" s="34"/>
      <c r="N269" s="34"/>
      <c r="O269" s="34"/>
      <c r="P269" s="34"/>
      <c r="Q269" s="34"/>
      <c r="R269" s="34"/>
      <c r="S269" s="34"/>
      <c r="T269" s="34"/>
      <c r="U269" s="34"/>
      <c r="V269" s="34"/>
      <c r="W269" s="34"/>
      <c r="X269" s="34"/>
      <c r="Y269" s="34"/>
      <c r="Z269" s="34"/>
      <c r="AA269" s="34"/>
      <c r="AB269" s="34"/>
      <c r="AC269" s="34"/>
    </row>
    <row r="270" spans="1:29" ht="15.75" customHeight="1" x14ac:dyDescent="0.2">
      <c r="A270" s="34"/>
      <c r="B270" s="34"/>
      <c r="C270" s="33"/>
      <c r="D270" s="34"/>
      <c r="E270" s="34"/>
      <c r="F270" s="34"/>
      <c r="G270" s="34"/>
      <c r="H270" s="33"/>
      <c r="I270" s="33"/>
      <c r="J270" s="34"/>
      <c r="K270" s="34"/>
      <c r="L270" s="34"/>
      <c r="M270" s="34"/>
      <c r="N270" s="34"/>
      <c r="O270" s="34"/>
      <c r="P270" s="34"/>
      <c r="Q270" s="34"/>
      <c r="R270" s="34"/>
      <c r="S270" s="34"/>
      <c r="T270" s="34"/>
      <c r="U270" s="34"/>
      <c r="V270" s="34"/>
      <c r="W270" s="34"/>
      <c r="X270" s="34"/>
      <c r="Y270" s="34"/>
      <c r="Z270" s="34"/>
      <c r="AA270" s="34"/>
      <c r="AB270" s="34"/>
      <c r="AC270" s="34"/>
    </row>
    <row r="271" spans="1:29" ht="15.75" customHeight="1" x14ac:dyDescent="0.2">
      <c r="A271" s="34"/>
      <c r="B271" s="34"/>
      <c r="C271" s="33"/>
      <c r="D271" s="34"/>
      <c r="E271" s="34"/>
      <c r="F271" s="34"/>
      <c r="G271" s="34"/>
      <c r="H271" s="33"/>
      <c r="I271" s="33"/>
      <c r="J271" s="34"/>
      <c r="K271" s="34"/>
      <c r="L271" s="34"/>
      <c r="M271" s="34"/>
      <c r="N271" s="34"/>
      <c r="O271" s="34"/>
      <c r="P271" s="34"/>
      <c r="Q271" s="34"/>
      <c r="R271" s="34"/>
      <c r="S271" s="34"/>
      <c r="T271" s="34"/>
      <c r="U271" s="34"/>
      <c r="V271" s="34"/>
      <c r="W271" s="34"/>
      <c r="X271" s="34"/>
      <c r="Y271" s="34"/>
      <c r="Z271" s="34"/>
      <c r="AA271" s="34"/>
      <c r="AB271" s="34"/>
      <c r="AC271" s="34"/>
    </row>
    <row r="272" spans="1:29" ht="15.75" customHeight="1" x14ac:dyDescent="0.2">
      <c r="A272" s="34"/>
      <c r="B272" s="34"/>
      <c r="C272" s="33"/>
      <c r="D272" s="34"/>
      <c r="E272" s="34"/>
      <c r="F272" s="34"/>
      <c r="G272" s="34"/>
      <c r="H272" s="33"/>
      <c r="I272" s="33"/>
      <c r="J272" s="34"/>
      <c r="K272" s="34"/>
      <c r="L272" s="34"/>
      <c r="M272" s="34"/>
      <c r="N272" s="34"/>
      <c r="O272" s="34"/>
      <c r="P272" s="34"/>
      <c r="Q272" s="34"/>
      <c r="R272" s="34"/>
      <c r="S272" s="34"/>
      <c r="T272" s="34"/>
      <c r="U272" s="34"/>
      <c r="V272" s="34"/>
      <c r="W272" s="34"/>
      <c r="X272" s="34"/>
      <c r="Y272" s="34"/>
      <c r="Z272" s="34"/>
      <c r="AA272" s="34"/>
      <c r="AB272" s="34"/>
      <c r="AC272" s="34"/>
    </row>
    <row r="273" spans="1:29" ht="15.75" customHeight="1" x14ac:dyDescent="0.2">
      <c r="A273" s="34"/>
      <c r="B273" s="34"/>
      <c r="C273" s="33"/>
      <c r="D273" s="34"/>
      <c r="E273" s="34"/>
      <c r="F273" s="34"/>
      <c r="G273" s="34"/>
      <c r="H273" s="33"/>
      <c r="I273" s="33"/>
      <c r="J273" s="34"/>
      <c r="K273" s="34"/>
      <c r="L273" s="34"/>
      <c r="M273" s="34"/>
      <c r="N273" s="34"/>
      <c r="O273" s="34"/>
      <c r="P273" s="34"/>
      <c r="Q273" s="34"/>
      <c r="R273" s="34"/>
      <c r="S273" s="34"/>
      <c r="T273" s="34"/>
      <c r="U273" s="34"/>
      <c r="V273" s="34"/>
      <c r="W273" s="34"/>
      <c r="X273" s="34"/>
      <c r="Y273" s="34"/>
      <c r="Z273" s="34"/>
      <c r="AA273" s="34"/>
      <c r="AB273" s="34"/>
      <c r="AC273" s="34"/>
    </row>
    <row r="274" spans="1:29" ht="15.75" customHeight="1" x14ac:dyDescent="0.2">
      <c r="A274" s="34"/>
      <c r="B274" s="34"/>
      <c r="C274" s="33"/>
      <c r="D274" s="34"/>
      <c r="E274" s="34"/>
      <c r="F274" s="34"/>
      <c r="G274" s="34"/>
      <c r="H274" s="33"/>
      <c r="I274" s="33"/>
      <c r="J274" s="34"/>
      <c r="K274" s="34"/>
      <c r="L274" s="34"/>
      <c r="M274" s="34"/>
      <c r="N274" s="34"/>
      <c r="O274" s="34"/>
      <c r="P274" s="34"/>
      <c r="Q274" s="34"/>
      <c r="R274" s="34"/>
      <c r="S274" s="34"/>
      <c r="T274" s="34"/>
      <c r="U274" s="34"/>
      <c r="V274" s="34"/>
      <c r="W274" s="34"/>
      <c r="X274" s="34"/>
      <c r="Y274" s="34"/>
      <c r="Z274" s="34"/>
      <c r="AA274" s="34"/>
      <c r="AB274" s="34"/>
      <c r="AC274" s="34"/>
    </row>
    <row r="275" spans="1:29" ht="15.75" customHeight="1" x14ac:dyDescent="0.2">
      <c r="A275" s="34"/>
      <c r="B275" s="34"/>
      <c r="C275" s="33"/>
      <c r="D275" s="34"/>
      <c r="E275" s="34"/>
      <c r="F275" s="34"/>
      <c r="G275" s="34"/>
      <c r="H275" s="33"/>
      <c r="I275" s="33"/>
      <c r="J275" s="34"/>
      <c r="K275" s="34"/>
      <c r="L275" s="34"/>
      <c r="M275" s="34"/>
      <c r="N275" s="34"/>
      <c r="O275" s="34"/>
      <c r="P275" s="34"/>
      <c r="Q275" s="34"/>
      <c r="R275" s="34"/>
      <c r="S275" s="34"/>
      <c r="T275" s="34"/>
      <c r="U275" s="34"/>
      <c r="V275" s="34"/>
      <c r="W275" s="34"/>
      <c r="X275" s="34"/>
      <c r="Y275" s="34"/>
      <c r="Z275" s="34"/>
      <c r="AA275" s="34"/>
      <c r="AB275" s="34"/>
      <c r="AC275" s="34"/>
    </row>
    <row r="276" spans="1:29" ht="15.75" customHeight="1" x14ac:dyDescent="0.2">
      <c r="A276" s="34"/>
      <c r="B276" s="34"/>
      <c r="C276" s="33"/>
      <c r="D276" s="34"/>
      <c r="E276" s="34"/>
      <c r="F276" s="34"/>
      <c r="G276" s="34"/>
      <c r="H276" s="33"/>
      <c r="I276" s="33"/>
      <c r="J276" s="34"/>
      <c r="K276" s="34"/>
      <c r="L276" s="34"/>
      <c r="M276" s="34"/>
      <c r="N276" s="34"/>
      <c r="O276" s="34"/>
      <c r="P276" s="34"/>
      <c r="Q276" s="34"/>
      <c r="R276" s="34"/>
      <c r="S276" s="34"/>
      <c r="T276" s="34"/>
      <c r="U276" s="34"/>
      <c r="V276" s="34"/>
      <c r="W276" s="34"/>
      <c r="X276" s="34"/>
      <c r="Y276" s="34"/>
      <c r="Z276" s="34"/>
      <c r="AA276" s="34"/>
      <c r="AB276" s="34"/>
      <c r="AC276" s="34"/>
    </row>
    <row r="277" spans="1:29" ht="15.75" customHeight="1" x14ac:dyDescent="0.2">
      <c r="A277" s="34"/>
      <c r="B277" s="34"/>
      <c r="C277" s="33"/>
      <c r="D277" s="34"/>
      <c r="E277" s="34"/>
      <c r="F277" s="34"/>
      <c r="G277" s="34"/>
      <c r="H277" s="33"/>
      <c r="I277" s="33"/>
      <c r="J277" s="34"/>
      <c r="K277" s="34"/>
      <c r="L277" s="34"/>
      <c r="M277" s="34"/>
      <c r="N277" s="34"/>
      <c r="O277" s="34"/>
      <c r="P277" s="34"/>
      <c r="Q277" s="34"/>
      <c r="R277" s="34"/>
      <c r="S277" s="34"/>
      <c r="T277" s="34"/>
      <c r="U277" s="34"/>
      <c r="V277" s="34"/>
      <c r="W277" s="34"/>
      <c r="X277" s="34"/>
      <c r="Y277" s="34"/>
      <c r="Z277" s="34"/>
      <c r="AA277" s="34"/>
      <c r="AB277" s="34"/>
      <c r="AC277" s="34"/>
    </row>
    <row r="278" spans="1:29" ht="15.75" customHeight="1" x14ac:dyDescent="0.2">
      <c r="A278" s="34"/>
      <c r="B278" s="34"/>
      <c r="C278" s="33"/>
      <c r="D278" s="34"/>
      <c r="E278" s="34"/>
      <c r="F278" s="34"/>
      <c r="G278" s="34"/>
      <c r="H278" s="33"/>
      <c r="I278" s="33"/>
      <c r="J278" s="34"/>
      <c r="K278" s="34"/>
      <c r="L278" s="34"/>
      <c r="M278" s="34"/>
      <c r="N278" s="34"/>
      <c r="O278" s="34"/>
      <c r="P278" s="34"/>
      <c r="Q278" s="34"/>
      <c r="R278" s="34"/>
      <c r="S278" s="34"/>
      <c r="T278" s="34"/>
      <c r="U278" s="34"/>
      <c r="V278" s="34"/>
      <c r="W278" s="34"/>
      <c r="X278" s="34"/>
      <c r="Y278" s="34"/>
      <c r="Z278" s="34"/>
      <c r="AA278" s="34"/>
      <c r="AB278" s="34"/>
      <c r="AC278" s="34"/>
    </row>
    <row r="279" spans="1:29" ht="15.75" customHeight="1" x14ac:dyDescent="0.2">
      <c r="A279" s="34"/>
      <c r="B279" s="34"/>
      <c r="C279" s="33"/>
      <c r="D279" s="34"/>
      <c r="E279" s="34"/>
      <c r="F279" s="34"/>
      <c r="G279" s="34"/>
      <c r="H279" s="33"/>
      <c r="I279" s="33"/>
      <c r="J279" s="34"/>
      <c r="K279" s="34"/>
      <c r="L279" s="34"/>
      <c r="M279" s="34"/>
      <c r="N279" s="34"/>
      <c r="O279" s="34"/>
      <c r="P279" s="34"/>
      <c r="Q279" s="34"/>
      <c r="R279" s="34"/>
      <c r="S279" s="34"/>
      <c r="T279" s="34"/>
      <c r="U279" s="34"/>
      <c r="V279" s="34"/>
      <c r="W279" s="34"/>
      <c r="X279" s="34"/>
      <c r="Y279" s="34"/>
      <c r="Z279" s="34"/>
      <c r="AA279" s="34"/>
      <c r="AB279" s="34"/>
      <c r="AC279" s="34"/>
    </row>
    <row r="280" spans="1:29" ht="15.75" customHeight="1" x14ac:dyDescent="0.2">
      <c r="A280" s="34"/>
      <c r="B280" s="34"/>
      <c r="C280" s="33"/>
      <c r="D280" s="34"/>
      <c r="E280" s="34"/>
      <c r="F280" s="34"/>
      <c r="G280" s="34"/>
      <c r="H280" s="33"/>
      <c r="I280" s="33"/>
      <c r="J280" s="34"/>
      <c r="K280" s="34"/>
      <c r="L280" s="34"/>
      <c r="M280" s="34"/>
      <c r="N280" s="34"/>
      <c r="O280" s="34"/>
      <c r="P280" s="34"/>
      <c r="Q280" s="34"/>
      <c r="R280" s="34"/>
      <c r="S280" s="34"/>
      <c r="T280" s="34"/>
      <c r="U280" s="34"/>
      <c r="V280" s="34"/>
      <c r="W280" s="34"/>
      <c r="X280" s="34"/>
      <c r="Y280" s="34"/>
      <c r="Z280" s="34"/>
      <c r="AA280" s="34"/>
      <c r="AB280" s="34"/>
      <c r="AC280" s="34"/>
    </row>
    <row r="281" spans="1:29" ht="15.75" customHeight="1" x14ac:dyDescent="0.2">
      <c r="A281" s="34"/>
      <c r="B281" s="34"/>
      <c r="C281" s="33"/>
      <c r="D281" s="34"/>
      <c r="E281" s="34"/>
      <c r="F281" s="34"/>
      <c r="G281" s="34"/>
      <c r="H281" s="33"/>
      <c r="I281" s="33"/>
      <c r="J281" s="34"/>
      <c r="K281" s="34"/>
      <c r="L281" s="34"/>
      <c r="M281" s="34"/>
      <c r="N281" s="34"/>
      <c r="O281" s="34"/>
      <c r="P281" s="34"/>
      <c r="Q281" s="34"/>
      <c r="R281" s="34"/>
      <c r="S281" s="34"/>
      <c r="T281" s="34"/>
      <c r="U281" s="34"/>
      <c r="V281" s="34"/>
      <c r="W281" s="34"/>
      <c r="X281" s="34"/>
      <c r="Y281" s="34"/>
      <c r="Z281" s="34"/>
      <c r="AA281" s="34"/>
      <c r="AB281" s="34"/>
      <c r="AC281" s="34"/>
    </row>
    <row r="282" spans="1:29" ht="15.75" customHeight="1" x14ac:dyDescent="0.2">
      <c r="A282" s="34"/>
      <c r="B282" s="34"/>
      <c r="C282" s="33"/>
      <c r="D282" s="34"/>
      <c r="E282" s="34"/>
      <c r="F282" s="34"/>
      <c r="G282" s="34"/>
      <c r="H282" s="33"/>
      <c r="I282" s="33"/>
      <c r="J282" s="34"/>
      <c r="K282" s="34"/>
      <c r="L282" s="34"/>
      <c r="M282" s="34"/>
      <c r="N282" s="34"/>
      <c r="O282" s="34"/>
      <c r="P282" s="34"/>
      <c r="Q282" s="34"/>
      <c r="R282" s="34"/>
      <c r="S282" s="34"/>
      <c r="T282" s="34"/>
      <c r="U282" s="34"/>
      <c r="V282" s="34"/>
      <c r="W282" s="34"/>
      <c r="X282" s="34"/>
      <c r="Y282" s="34"/>
      <c r="Z282" s="34"/>
      <c r="AA282" s="34"/>
      <c r="AB282" s="34"/>
      <c r="AC282" s="34"/>
    </row>
    <row r="283" spans="1:29" ht="15.75" customHeight="1" x14ac:dyDescent="0.2">
      <c r="A283" s="34"/>
      <c r="B283" s="34"/>
      <c r="C283" s="33"/>
      <c r="D283" s="34"/>
      <c r="E283" s="34"/>
      <c r="F283" s="34"/>
      <c r="G283" s="34"/>
      <c r="H283" s="33"/>
      <c r="I283" s="33"/>
      <c r="J283" s="34"/>
      <c r="K283" s="34"/>
      <c r="L283" s="34"/>
      <c r="M283" s="34"/>
      <c r="N283" s="34"/>
      <c r="O283" s="34"/>
      <c r="P283" s="34"/>
      <c r="Q283" s="34"/>
      <c r="R283" s="34"/>
      <c r="S283" s="34"/>
      <c r="T283" s="34"/>
      <c r="U283" s="34"/>
      <c r="V283" s="34"/>
      <c r="W283" s="34"/>
      <c r="X283" s="34"/>
      <c r="Y283" s="34"/>
      <c r="Z283" s="34"/>
      <c r="AA283" s="34"/>
      <c r="AB283" s="34"/>
      <c r="AC283" s="34"/>
    </row>
    <row r="284" spans="1:29" ht="15.75" customHeight="1" x14ac:dyDescent="0.2">
      <c r="A284" s="34"/>
      <c r="B284" s="34"/>
      <c r="C284" s="33"/>
      <c r="D284" s="34"/>
      <c r="E284" s="34"/>
      <c r="F284" s="34"/>
      <c r="G284" s="34"/>
      <c r="H284" s="33"/>
      <c r="I284" s="33"/>
      <c r="J284" s="34"/>
      <c r="K284" s="34"/>
      <c r="L284" s="34"/>
      <c r="M284" s="34"/>
      <c r="N284" s="34"/>
      <c r="O284" s="34"/>
      <c r="P284" s="34"/>
      <c r="Q284" s="34"/>
      <c r="R284" s="34"/>
      <c r="S284" s="34"/>
      <c r="T284" s="34"/>
      <c r="U284" s="34"/>
      <c r="V284" s="34"/>
      <c r="W284" s="34"/>
      <c r="X284" s="34"/>
      <c r="Y284" s="34"/>
      <c r="Z284" s="34"/>
      <c r="AA284" s="34"/>
      <c r="AB284" s="34"/>
      <c r="AC284" s="34"/>
    </row>
    <row r="285" spans="1:29" ht="15.75" customHeight="1" x14ac:dyDescent="0.2">
      <c r="A285" s="34"/>
      <c r="B285" s="34"/>
      <c r="C285" s="33"/>
      <c r="D285" s="34"/>
      <c r="E285" s="34"/>
      <c r="F285" s="34"/>
      <c r="G285" s="34"/>
      <c r="H285" s="33"/>
      <c r="I285" s="33"/>
      <c r="J285" s="34"/>
      <c r="K285" s="34"/>
      <c r="L285" s="34"/>
      <c r="M285" s="34"/>
      <c r="N285" s="34"/>
      <c r="O285" s="34"/>
      <c r="P285" s="34"/>
      <c r="Q285" s="34"/>
      <c r="R285" s="34"/>
      <c r="S285" s="34"/>
      <c r="T285" s="34"/>
      <c r="U285" s="34"/>
      <c r="V285" s="34"/>
      <c r="W285" s="34"/>
      <c r="X285" s="34"/>
      <c r="Y285" s="34"/>
      <c r="Z285" s="34"/>
      <c r="AA285" s="34"/>
      <c r="AB285" s="34"/>
      <c r="AC285" s="34"/>
    </row>
    <row r="286" spans="1:29" ht="15.75" customHeight="1" x14ac:dyDescent="0.2">
      <c r="A286" s="34"/>
      <c r="B286" s="34"/>
      <c r="C286" s="33"/>
      <c r="D286" s="34"/>
      <c r="E286" s="34"/>
      <c r="F286" s="34"/>
      <c r="G286" s="34"/>
      <c r="H286" s="33"/>
      <c r="I286" s="33"/>
      <c r="J286" s="34"/>
      <c r="K286" s="34"/>
      <c r="L286" s="34"/>
      <c r="M286" s="34"/>
      <c r="N286" s="34"/>
      <c r="O286" s="34"/>
      <c r="P286" s="34"/>
      <c r="Q286" s="34"/>
      <c r="R286" s="34"/>
      <c r="S286" s="34"/>
      <c r="T286" s="34"/>
      <c r="U286" s="34"/>
      <c r="V286" s="34"/>
      <c r="W286" s="34"/>
      <c r="X286" s="34"/>
      <c r="Y286" s="34"/>
      <c r="Z286" s="34"/>
      <c r="AA286" s="34"/>
      <c r="AB286" s="34"/>
      <c r="AC286" s="34"/>
    </row>
    <row r="287" spans="1:29" ht="15.75" customHeight="1" x14ac:dyDescent="0.2">
      <c r="A287" s="34"/>
      <c r="B287" s="34"/>
      <c r="C287" s="33"/>
      <c r="D287" s="34"/>
      <c r="E287" s="34"/>
      <c r="F287" s="34"/>
      <c r="G287" s="34"/>
      <c r="H287" s="33"/>
      <c r="I287" s="33"/>
      <c r="J287" s="34"/>
      <c r="K287" s="34"/>
      <c r="L287" s="34"/>
      <c r="M287" s="34"/>
      <c r="N287" s="34"/>
      <c r="O287" s="34"/>
      <c r="P287" s="34"/>
      <c r="Q287" s="34"/>
      <c r="R287" s="34"/>
      <c r="S287" s="34"/>
      <c r="T287" s="34"/>
      <c r="U287" s="34"/>
      <c r="V287" s="34"/>
      <c r="W287" s="34"/>
      <c r="X287" s="34"/>
      <c r="Y287" s="34"/>
      <c r="Z287" s="34"/>
      <c r="AA287" s="34"/>
      <c r="AB287" s="34"/>
      <c r="AC287" s="34"/>
    </row>
    <row r="288" spans="1:29" ht="15.75" customHeight="1" x14ac:dyDescent="0.2">
      <c r="A288" s="34"/>
      <c r="B288" s="34"/>
      <c r="C288" s="33"/>
      <c r="D288" s="34"/>
      <c r="E288" s="34"/>
      <c r="F288" s="34"/>
      <c r="G288" s="34"/>
      <c r="H288" s="33"/>
      <c r="I288" s="33"/>
      <c r="J288" s="34"/>
      <c r="K288" s="34"/>
      <c r="L288" s="34"/>
      <c r="M288" s="34"/>
      <c r="N288" s="34"/>
      <c r="O288" s="34"/>
      <c r="P288" s="34"/>
      <c r="Q288" s="34"/>
      <c r="R288" s="34"/>
      <c r="S288" s="34"/>
      <c r="T288" s="34"/>
      <c r="U288" s="34"/>
      <c r="V288" s="34"/>
      <c r="W288" s="34"/>
      <c r="X288" s="34"/>
      <c r="Y288" s="34"/>
      <c r="Z288" s="34"/>
      <c r="AA288" s="34"/>
      <c r="AB288" s="34"/>
      <c r="AC288" s="34"/>
    </row>
    <row r="289" spans="1:29" ht="15.75" customHeight="1" x14ac:dyDescent="0.2">
      <c r="A289" s="34"/>
      <c r="B289" s="34"/>
      <c r="C289" s="33"/>
      <c r="D289" s="34"/>
      <c r="E289" s="34"/>
      <c r="F289" s="34"/>
      <c r="G289" s="34"/>
      <c r="H289" s="33"/>
      <c r="I289" s="33"/>
      <c r="J289" s="34"/>
      <c r="K289" s="34"/>
      <c r="L289" s="34"/>
      <c r="M289" s="34"/>
      <c r="N289" s="34"/>
      <c r="O289" s="34"/>
      <c r="P289" s="34"/>
      <c r="Q289" s="34"/>
      <c r="R289" s="34"/>
      <c r="S289" s="34"/>
      <c r="T289" s="34"/>
      <c r="U289" s="34"/>
      <c r="V289" s="34"/>
      <c r="W289" s="34"/>
      <c r="X289" s="34"/>
      <c r="Y289" s="34"/>
      <c r="Z289" s="34"/>
      <c r="AA289" s="34"/>
      <c r="AB289" s="34"/>
      <c r="AC289" s="34"/>
    </row>
    <row r="290" spans="1:29" ht="15.75" customHeight="1" x14ac:dyDescent="0.2">
      <c r="A290" s="34"/>
      <c r="B290" s="34"/>
      <c r="C290" s="33"/>
      <c r="D290" s="34"/>
      <c r="E290" s="34"/>
      <c r="F290" s="34"/>
      <c r="G290" s="34"/>
      <c r="H290" s="33"/>
      <c r="I290" s="33"/>
      <c r="J290" s="34"/>
      <c r="K290" s="34"/>
      <c r="L290" s="34"/>
      <c r="M290" s="34"/>
      <c r="N290" s="34"/>
      <c r="O290" s="34"/>
      <c r="P290" s="34"/>
      <c r="Q290" s="34"/>
      <c r="R290" s="34"/>
      <c r="S290" s="34"/>
      <c r="T290" s="34"/>
      <c r="U290" s="34"/>
      <c r="V290" s="34"/>
      <c r="W290" s="34"/>
      <c r="X290" s="34"/>
      <c r="Y290" s="34"/>
      <c r="Z290" s="34"/>
      <c r="AA290" s="34"/>
      <c r="AB290" s="34"/>
      <c r="AC290" s="34"/>
    </row>
    <row r="291" spans="1:29" ht="15.75" customHeight="1" x14ac:dyDescent="0.2">
      <c r="A291" s="34"/>
      <c r="B291" s="34"/>
      <c r="C291" s="33"/>
      <c r="D291" s="34"/>
      <c r="E291" s="34"/>
      <c r="F291" s="34"/>
      <c r="G291" s="34"/>
      <c r="H291" s="33"/>
      <c r="I291" s="33"/>
      <c r="J291" s="34"/>
      <c r="K291" s="34"/>
      <c r="L291" s="34"/>
      <c r="M291" s="34"/>
      <c r="N291" s="34"/>
      <c r="O291" s="34"/>
      <c r="P291" s="34"/>
      <c r="Q291" s="34"/>
      <c r="R291" s="34"/>
      <c r="S291" s="34"/>
      <c r="T291" s="34"/>
      <c r="U291" s="34"/>
      <c r="V291" s="34"/>
      <c r="W291" s="34"/>
      <c r="X291" s="34"/>
      <c r="Y291" s="34"/>
      <c r="Z291" s="34"/>
      <c r="AA291" s="34"/>
      <c r="AB291" s="34"/>
      <c r="AC291" s="34"/>
    </row>
    <row r="292" spans="1:29" ht="15.75" customHeight="1" x14ac:dyDescent="0.2">
      <c r="A292" s="34"/>
      <c r="B292" s="34"/>
      <c r="C292" s="33"/>
      <c r="D292" s="34"/>
      <c r="E292" s="34"/>
      <c r="F292" s="34"/>
      <c r="G292" s="34"/>
      <c r="H292" s="33"/>
      <c r="I292" s="33"/>
      <c r="J292" s="34"/>
      <c r="K292" s="34"/>
      <c r="L292" s="34"/>
      <c r="M292" s="34"/>
      <c r="N292" s="34"/>
      <c r="O292" s="34"/>
      <c r="P292" s="34"/>
      <c r="Q292" s="34"/>
      <c r="R292" s="34"/>
      <c r="S292" s="34"/>
      <c r="T292" s="34"/>
      <c r="U292" s="34"/>
      <c r="V292" s="34"/>
      <c r="W292" s="34"/>
      <c r="X292" s="34"/>
      <c r="Y292" s="34"/>
      <c r="Z292" s="34"/>
      <c r="AA292" s="34"/>
      <c r="AB292" s="34"/>
      <c r="AC292" s="34"/>
    </row>
    <row r="293" spans="1:29" ht="15.75" customHeight="1" x14ac:dyDescent="0.2">
      <c r="A293" s="34"/>
      <c r="B293" s="34"/>
      <c r="C293" s="33"/>
      <c r="D293" s="34"/>
      <c r="E293" s="34"/>
      <c r="F293" s="34"/>
      <c r="G293" s="34"/>
      <c r="H293" s="33"/>
      <c r="I293" s="33"/>
      <c r="J293" s="34"/>
      <c r="K293" s="34"/>
      <c r="L293" s="34"/>
      <c r="M293" s="34"/>
      <c r="N293" s="34"/>
      <c r="O293" s="34"/>
      <c r="P293" s="34"/>
      <c r="Q293" s="34"/>
      <c r="R293" s="34"/>
      <c r="S293" s="34"/>
      <c r="T293" s="34"/>
      <c r="U293" s="34"/>
      <c r="V293" s="34"/>
      <c r="W293" s="34"/>
      <c r="X293" s="34"/>
      <c r="Y293" s="34"/>
      <c r="Z293" s="34"/>
      <c r="AA293" s="34"/>
      <c r="AB293" s="34"/>
      <c r="AC293" s="34"/>
    </row>
    <row r="294" spans="1:29" ht="15.75" customHeight="1" x14ac:dyDescent="0.2">
      <c r="A294" s="34"/>
      <c r="B294" s="34"/>
      <c r="C294" s="33"/>
      <c r="D294" s="34"/>
      <c r="E294" s="34"/>
      <c r="F294" s="34"/>
      <c r="G294" s="34"/>
      <c r="H294" s="33"/>
      <c r="I294" s="33"/>
      <c r="J294" s="34"/>
      <c r="K294" s="34"/>
      <c r="L294" s="34"/>
      <c r="M294" s="34"/>
      <c r="N294" s="34"/>
      <c r="O294" s="34"/>
      <c r="P294" s="34"/>
      <c r="Q294" s="34"/>
      <c r="R294" s="34"/>
      <c r="S294" s="34"/>
      <c r="T294" s="34"/>
      <c r="U294" s="34"/>
      <c r="V294" s="34"/>
      <c r="W294" s="34"/>
      <c r="X294" s="34"/>
      <c r="Y294" s="34"/>
      <c r="Z294" s="34"/>
      <c r="AA294" s="34"/>
      <c r="AB294" s="34"/>
      <c r="AC294" s="34"/>
    </row>
    <row r="295" spans="1:29" ht="15.75" customHeight="1" x14ac:dyDescent="0.2">
      <c r="A295" s="34"/>
      <c r="B295" s="34"/>
      <c r="C295" s="33"/>
      <c r="D295" s="34"/>
      <c r="E295" s="34"/>
      <c r="F295" s="34"/>
      <c r="G295" s="34"/>
      <c r="H295" s="33"/>
      <c r="I295" s="33"/>
      <c r="J295" s="34"/>
      <c r="K295" s="34"/>
      <c r="L295" s="34"/>
      <c r="M295" s="34"/>
      <c r="N295" s="34"/>
      <c r="O295" s="34"/>
      <c r="P295" s="34"/>
      <c r="Q295" s="34"/>
      <c r="R295" s="34"/>
      <c r="S295" s="34"/>
      <c r="T295" s="34"/>
      <c r="U295" s="34"/>
      <c r="V295" s="34"/>
      <c r="W295" s="34"/>
      <c r="X295" s="34"/>
      <c r="Y295" s="34"/>
      <c r="Z295" s="34"/>
      <c r="AA295" s="34"/>
      <c r="AB295" s="34"/>
      <c r="AC295" s="34"/>
    </row>
    <row r="296" spans="1:29" ht="15.75" customHeight="1" x14ac:dyDescent="0.2">
      <c r="A296" s="34"/>
      <c r="B296" s="34"/>
      <c r="C296" s="33"/>
      <c r="D296" s="34"/>
      <c r="E296" s="34"/>
      <c r="F296" s="34"/>
      <c r="G296" s="34"/>
      <c r="H296" s="33"/>
      <c r="I296" s="33"/>
      <c r="J296" s="34"/>
      <c r="K296" s="34"/>
      <c r="L296" s="34"/>
      <c r="M296" s="34"/>
      <c r="N296" s="34"/>
      <c r="O296" s="34"/>
      <c r="P296" s="34"/>
      <c r="Q296" s="34"/>
      <c r="R296" s="34"/>
      <c r="S296" s="34"/>
      <c r="T296" s="34"/>
      <c r="U296" s="34"/>
      <c r="V296" s="34"/>
      <c r="W296" s="34"/>
      <c r="X296" s="34"/>
      <c r="Y296" s="34"/>
      <c r="Z296" s="34"/>
      <c r="AA296" s="34"/>
      <c r="AB296" s="34"/>
      <c r="AC296" s="34"/>
    </row>
    <row r="297" spans="1:29" ht="15.75" customHeight="1" x14ac:dyDescent="0.2">
      <c r="A297" s="34"/>
      <c r="B297" s="34"/>
      <c r="C297" s="33"/>
      <c r="D297" s="34"/>
      <c r="E297" s="34"/>
      <c r="F297" s="34"/>
      <c r="G297" s="34"/>
      <c r="H297" s="33"/>
      <c r="I297" s="33"/>
      <c r="J297" s="34"/>
      <c r="K297" s="34"/>
      <c r="L297" s="34"/>
      <c r="M297" s="34"/>
      <c r="N297" s="34"/>
      <c r="O297" s="34"/>
      <c r="P297" s="34"/>
      <c r="Q297" s="34"/>
      <c r="R297" s="34"/>
      <c r="S297" s="34"/>
      <c r="T297" s="34"/>
      <c r="U297" s="34"/>
      <c r="V297" s="34"/>
      <c r="W297" s="34"/>
      <c r="X297" s="34"/>
      <c r="Y297" s="34"/>
      <c r="Z297" s="34"/>
      <c r="AA297" s="34"/>
      <c r="AB297" s="34"/>
      <c r="AC297" s="34"/>
    </row>
    <row r="298" spans="1:29" ht="15.75" customHeight="1" x14ac:dyDescent="0.2">
      <c r="A298" s="34"/>
      <c r="B298" s="34"/>
      <c r="C298" s="33"/>
      <c r="D298" s="34"/>
      <c r="E298" s="34"/>
      <c r="F298" s="34"/>
      <c r="G298" s="34"/>
      <c r="H298" s="33"/>
      <c r="I298" s="33"/>
      <c r="J298" s="34"/>
      <c r="K298" s="34"/>
      <c r="L298" s="34"/>
      <c r="M298" s="34"/>
      <c r="N298" s="34"/>
      <c r="O298" s="34"/>
      <c r="P298" s="34"/>
      <c r="Q298" s="34"/>
      <c r="R298" s="34"/>
      <c r="S298" s="34"/>
      <c r="T298" s="34"/>
      <c r="U298" s="34"/>
      <c r="V298" s="34"/>
      <c r="W298" s="34"/>
      <c r="X298" s="34"/>
      <c r="Y298" s="34"/>
      <c r="Z298" s="34"/>
      <c r="AA298" s="34"/>
      <c r="AB298" s="34"/>
      <c r="AC298" s="34"/>
    </row>
    <row r="299" spans="1:29" ht="15.75" customHeight="1" x14ac:dyDescent="0.2">
      <c r="A299" s="34"/>
      <c r="B299" s="34"/>
      <c r="C299" s="33"/>
      <c r="D299" s="34"/>
      <c r="E299" s="34"/>
      <c r="F299" s="34"/>
      <c r="G299" s="34"/>
      <c r="H299" s="33"/>
      <c r="I299" s="33"/>
      <c r="J299" s="34"/>
      <c r="K299" s="34"/>
      <c r="L299" s="34"/>
      <c r="M299" s="34"/>
      <c r="N299" s="34"/>
      <c r="O299" s="34"/>
      <c r="P299" s="34"/>
      <c r="Q299" s="34"/>
      <c r="R299" s="34"/>
      <c r="S299" s="34"/>
      <c r="T299" s="34"/>
      <c r="U299" s="34"/>
      <c r="V299" s="34"/>
      <c r="W299" s="34"/>
      <c r="X299" s="34"/>
      <c r="Y299" s="34"/>
      <c r="Z299" s="34"/>
      <c r="AA299" s="34"/>
      <c r="AB299" s="34"/>
      <c r="AC299" s="34"/>
    </row>
    <row r="300" spans="1:29" ht="15.75" customHeight="1" x14ac:dyDescent="0.2">
      <c r="A300" s="34"/>
      <c r="B300" s="34"/>
      <c r="C300" s="33"/>
      <c r="D300" s="34"/>
      <c r="E300" s="34"/>
      <c r="F300" s="34"/>
      <c r="G300" s="34"/>
      <c r="H300" s="33"/>
      <c r="I300" s="33"/>
      <c r="J300" s="34"/>
      <c r="K300" s="34"/>
      <c r="L300" s="34"/>
      <c r="M300" s="34"/>
      <c r="N300" s="34"/>
      <c r="O300" s="34"/>
      <c r="P300" s="34"/>
      <c r="Q300" s="34"/>
      <c r="R300" s="34"/>
      <c r="S300" s="34"/>
      <c r="T300" s="34"/>
      <c r="U300" s="34"/>
      <c r="V300" s="34"/>
      <c r="W300" s="34"/>
      <c r="X300" s="34"/>
      <c r="Y300" s="34"/>
      <c r="Z300" s="34"/>
      <c r="AA300" s="34"/>
      <c r="AB300" s="34"/>
      <c r="AC300" s="34"/>
    </row>
    <row r="301" spans="1:29" ht="15.75" customHeight="1" x14ac:dyDescent="0.2">
      <c r="A301" s="34"/>
      <c r="B301" s="34"/>
      <c r="C301" s="33"/>
      <c r="D301" s="34"/>
      <c r="E301" s="34"/>
      <c r="F301" s="34"/>
      <c r="G301" s="34"/>
      <c r="H301" s="33"/>
      <c r="I301" s="33"/>
      <c r="J301" s="34"/>
      <c r="K301" s="34"/>
      <c r="L301" s="34"/>
      <c r="M301" s="34"/>
      <c r="N301" s="34"/>
      <c r="O301" s="34"/>
      <c r="P301" s="34"/>
      <c r="Q301" s="34"/>
      <c r="R301" s="34"/>
      <c r="S301" s="34"/>
      <c r="T301" s="34"/>
      <c r="U301" s="34"/>
      <c r="V301" s="34"/>
      <c r="W301" s="34"/>
      <c r="X301" s="34"/>
      <c r="Y301" s="34"/>
      <c r="Z301" s="34"/>
      <c r="AA301" s="34"/>
      <c r="AB301" s="34"/>
      <c r="AC301" s="34"/>
    </row>
    <row r="302" spans="1:29" ht="15.75" customHeight="1" x14ac:dyDescent="0.2">
      <c r="A302" s="34"/>
      <c r="B302" s="34"/>
      <c r="C302" s="33"/>
      <c r="D302" s="34"/>
      <c r="E302" s="34"/>
      <c r="F302" s="34"/>
      <c r="G302" s="34"/>
      <c r="H302" s="33"/>
      <c r="I302" s="33"/>
      <c r="J302" s="34"/>
      <c r="K302" s="34"/>
      <c r="L302" s="34"/>
      <c r="M302" s="34"/>
      <c r="N302" s="34"/>
      <c r="O302" s="34"/>
      <c r="P302" s="34"/>
      <c r="Q302" s="34"/>
      <c r="R302" s="34"/>
      <c r="S302" s="34"/>
      <c r="T302" s="34"/>
      <c r="U302" s="34"/>
      <c r="V302" s="34"/>
      <c r="W302" s="34"/>
      <c r="X302" s="34"/>
      <c r="Y302" s="34"/>
      <c r="Z302" s="34"/>
      <c r="AA302" s="34"/>
      <c r="AB302" s="34"/>
      <c r="AC302" s="34"/>
    </row>
    <row r="303" spans="1:29" ht="15.75" customHeight="1" x14ac:dyDescent="0.2">
      <c r="A303" s="34"/>
      <c r="B303" s="34"/>
      <c r="C303" s="33"/>
      <c r="D303" s="34"/>
      <c r="E303" s="34"/>
      <c r="F303" s="34"/>
      <c r="G303" s="34"/>
      <c r="H303" s="33"/>
      <c r="I303" s="33"/>
      <c r="J303" s="34"/>
      <c r="K303" s="34"/>
      <c r="L303" s="34"/>
      <c r="M303" s="34"/>
      <c r="N303" s="34"/>
      <c r="O303" s="34"/>
      <c r="P303" s="34"/>
      <c r="Q303" s="34"/>
      <c r="R303" s="34"/>
      <c r="S303" s="34"/>
      <c r="T303" s="34"/>
      <c r="U303" s="34"/>
      <c r="V303" s="34"/>
      <c r="W303" s="34"/>
      <c r="X303" s="34"/>
      <c r="Y303" s="34"/>
      <c r="Z303" s="34"/>
      <c r="AA303" s="34"/>
      <c r="AB303" s="34"/>
      <c r="AC303" s="34"/>
    </row>
    <row r="304" spans="1:29" ht="15.75" customHeight="1" x14ac:dyDescent="0.2">
      <c r="A304" s="34"/>
      <c r="B304" s="34"/>
      <c r="C304" s="33"/>
      <c r="D304" s="34"/>
      <c r="E304" s="34"/>
      <c r="F304" s="34"/>
      <c r="G304" s="34"/>
      <c r="H304" s="33"/>
      <c r="I304" s="33"/>
      <c r="J304" s="34"/>
      <c r="K304" s="34"/>
      <c r="L304" s="34"/>
      <c r="M304" s="34"/>
      <c r="N304" s="34"/>
      <c r="O304" s="34"/>
      <c r="P304" s="34"/>
      <c r="Q304" s="34"/>
      <c r="R304" s="34"/>
      <c r="S304" s="34"/>
      <c r="T304" s="34"/>
      <c r="U304" s="34"/>
      <c r="V304" s="34"/>
      <c r="W304" s="34"/>
      <c r="X304" s="34"/>
      <c r="Y304" s="34"/>
      <c r="Z304" s="34"/>
      <c r="AA304" s="34"/>
      <c r="AB304" s="34"/>
      <c r="AC304" s="34"/>
    </row>
    <row r="305" spans="1:29" ht="15.75" customHeight="1" x14ac:dyDescent="0.2">
      <c r="A305" s="34"/>
      <c r="B305" s="34"/>
      <c r="C305" s="33"/>
      <c r="D305" s="34"/>
      <c r="E305" s="34"/>
      <c r="F305" s="34"/>
      <c r="G305" s="34"/>
      <c r="H305" s="33"/>
      <c r="I305" s="33"/>
      <c r="J305" s="34"/>
      <c r="K305" s="34"/>
      <c r="L305" s="34"/>
      <c r="M305" s="34"/>
      <c r="N305" s="34"/>
      <c r="O305" s="34"/>
      <c r="P305" s="34"/>
      <c r="Q305" s="34"/>
      <c r="R305" s="34"/>
      <c r="S305" s="34"/>
      <c r="T305" s="34"/>
      <c r="U305" s="34"/>
      <c r="V305" s="34"/>
      <c r="W305" s="34"/>
      <c r="X305" s="34"/>
      <c r="Y305" s="34"/>
      <c r="Z305" s="34"/>
      <c r="AA305" s="34"/>
      <c r="AB305" s="34"/>
      <c r="AC305" s="34"/>
    </row>
    <row r="306" spans="1:29" ht="15.75" customHeight="1" x14ac:dyDescent="0.2">
      <c r="A306" s="34"/>
      <c r="B306" s="34"/>
      <c r="C306" s="33"/>
      <c r="D306" s="34"/>
      <c r="E306" s="34"/>
      <c r="F306" s="34"/>
      <c r="G306" s="34"/>
      <c r="H306" s="33"/>
      <c r="I306" s="33"/>
      <c r="J306" s="34"/>
      <c r="K306" s="34"/>
      <c r="L306" s="34"/>
      <c r="M306" s="34"/>
      <c r="N306" s="34"/>
      <c r="O306" s="34"/>
      <c r="P306" s="34"/>
      <c r="Q306" s="34"/>
      <c r="R306" s="34"/>
      <c r="S306" s="34"/>
      <c r="T306" s="34"/>
      <c r="U306" s="34"/>
      <c r="V306" s="34"/>
      <c r="W306" s="34"/>
      <c r="X306" s="34"/>
      <c r="Y306" s="34"/>
      <c r="Z306" s="34"/>
      <c r="AA306" s="34"/>
      <c r="AB306" s="34"/>
      <c r="AC306" s="34"/>
    </row>
    <row r="307" spans="1:29" ht="15.75" customHeight="1" x14ac:dyDescent="0.2">
      <c r="A307" s="34"/>
      <c r="B307" s="34"/>
      <c r="C307" s="33"/>
      <c r="D307" s="34"/>
      <c r="E307" s="34"/>
      <c r="F307" s="34"/>
      <c r="G307" s="34"/>
      <c r="H307" s="33"/>
      <c r="I307" s="33"/>
      <c r="J307" s="34"/>
      <c r="K307" s="34"/>
      <c r="L307" s="34"/>
      <c r="M307" s="34"/>
      <c r="N307" s="34"/>
      <c r="O307" s="34"/>
      <c r="P307" s="34"/>
      <c r="Q307" s="34"/>
      <c r="R307" s="34"/>
      <c r="S307" s="34"/>
      <c r="T307" s="34"/>
      <c r="U307" s="34"/>
      <c r="V307" s="34"/>
      <c r="W307" s="34"/>
      <c r="X307" s="34"/>
      <c r="Y307" s="34"/>
      <c r="Z307" s="34"/>
      <c r="AA307" s="34"/>
      <c r="AB307" s="34"/>
      <c r="AC307" s="34"/>
    </row>
    <row r="308" spans="1:29" ht="15.75" customHeight="1" x14ac:dyDescent="0.2">
      <c r="A308" s="34"/>
      <c r="B308" s="34"/>
      <c r="C308" s="33"/>
      <c r="D308" s="34"/>
      <c r="E308" s="34"/>
      <c r="F308" s="34"/>
      <c r="G308" s="34"/>
      <c r="H308" s="33"/>
      <c r="I308" s="33"/>
      <c r="J308" s="34"/>
      <c r="K308" s="34"/>
      <c r="L308" s="34"/>
      <c r="M308" s="34"/>
      <c r="N308" s="34"/>
      <c r="O308" s="34"/>
      <c r="P308" s="34"/>
      <c r="Q308" s="34"/>
      <c r="R308" s="34"/>
      <c r="S308" s="34"/>
      <c r="T308" s="34"/>
      <c r="U308" s="34"/>
      <c r="V308" s="34"/>
      <c r="W308" s="34"/>
      <c r="X308" s="34"/>
      <c r="Y308" s="34"/>
      <c r="Z308" s="34"/>
      <c r="AA308" s="34"/>
      <c r="AB308" s="34"/>
      <c r="AC308" s="34"/>
    </row>
    <row r="309" spans="1:29" ht="15.75" customHeight="1" x14ac:dyDescent="0.2">
      <c r="A309" s="34"/>
      <c r="B309" s="34"/>
      <c r="C309" s="33"/>
      <c r="D309" s="34"/>
      <c r="E309" s="34"/>
      <c r="F309" s="34"/>
      <c r="G309" s="34"/>
      <c r="H309" s="33"/>
      <c r="I309" s="33"/>
      <c r="J309" s="34"/>
      <c r="K309" s="34"/>
      <c r="L309" s="34"/>
      <c r="M309" s="34"/>
      <c r="N309" s="34"/>
      <c r="O309" s="34"/>
      <c r="P309" s="34"/>
      <c r="Q309" s="34"/>
      <c r="R309" s="34"/>
      <c r="S309" s="34"/>
      <c r="T309" s="34"/>
      <c r="U309" s="34"/>
      <c r="V309" s="34"/>
      <c r="W309" s="34"/>
      <c r="X309" s="34"/>
      <c r="Y309" s="34"/>
      <c r="Z309" s="34"/>
      <c r="AA309" s="34"/>
      <c r="AB309" s="34"/>
      <c r="AC309" s="34"/>
    </row>
    <row r="310" spans="1:29" ht="15.75" customHeight="1" x14ac:dyDescent="0.2">
      <c r="A310" s="34"/>
      <c r="B310" s="34"/>
      <c r="C310" s="33"/>
      <c r="D310" s="34"/>
      <c r="E310" s="34"/>
      <c r="F310" s="34"/>
      <c r="G310" s="34"/>
      <c r="H310" s="33"/>
      <c r="I310" s="33"/>
      <c r="J310" s="34"/>
      <c r="K310" s="34"/>
      <c r="L310" s="34"/>
      <c r="M310" s="34"/>
      <c r="N310" s="34"/>
      <c r="O310" s="34"/>
      <c r="P310" s="34"/>
      <c r="Q310" s="34"/>
      <c r="R310" s="34"/>
      <c r="S310" s="34"/>
      <c r="T310" s="34"/>
      <c r="U310" s="34"/>
      <c r="V310" s="34"/>
      <c r="W310" s="34"/>
      <c r="X310" s="34"/>
      <c r="Y310" s="34"/>
      <c r="Z310" s="34"/>
      <c r="AA310" s="34"/>
      <c r="AB310" s="34"/>
      <c r="AC310" s="34"/>
    </row>
    <row r="311" spans="1:29" ht="15.75" customHeight="1" x14ac:dyDescent="0.2">
      <c r="A311" s="34"/>
      <c r="B311" s="34"/>
      <c r="C311" s="33"/>
      <c r="D311" s="34"/>
      <c r="E311" s="34"/>
      <c r="F311" s="34"/>
      <c r="G311" s="34"/>
      <c r="H311" s="33"/>
      <c r="I311" s="33"/>
      <c r="J311" s="34"/>
      <c r="K311" s="34"/>
      <c r="L311" s="34"/>
      <c r="M311" s="34"/>
      <c r="N311" s="34"/>
      <c r="O311" s="34"/>
      <c r="P311" s="34"/>
      <c r="Q311" s="34"/>
      <c r="R311" s="34"/>
      <c r="S311" s="34"/>
      <c r="T311" s="34"/>
      <c r="U311" s="34"/>
      <c r="V311" s="34"/>
      <c r="W311" s="34"/>
      <c r="X311" s="34"/>
      <c r="Y311" s="34"/>
      <c r="Z311" s="34"/>
      <c r="AA311" s="34"/>
      <c r="AB311" s="34"/>
      <c r="AC311" s="34"/>
    </row>
    <row r="312" spans="1:29" ht="15.75" customHeight="1" x14ac:dyDescent="0.2">
      <c r="A312" s="34"/>
      <c r="B312" s="34"/>
      <c r="C312" s="33"/>
      <c r="D312" s="34"/>
      <c r="E312" s="34"/>
      <c r="F312" s="34"/>
      <c r="G312" s="34"/>
      <c r="H312" s="33"/>
      <c r="I312" s="33"/>
      <c r="J312" s="34"/>
      <c r="K312" s="34"/>
      <c r="L312" s="34"/>
      <c r="M312" s="34"/>
      <c r="N312" s="34"/>
      <c r="O312" s="34"/>
      <c r="P312" s="34"/>
      <c r="Q312" s="34"/>
      <c r="R312" s="34"/>
      <c r="S312" s="34"/>
      <c r="T312" s="34"/>
      <c r="U312" s="34"/>
      <c r="V312" s="34"/>
      <c r="W312" s="34"/>
      <c r="X312" s="34"/>
      <c r="Y312" s="34"/>
      <c r="Z312" s="34"/>
      <c r="AA312" s="34"/>
      <c r="AB312" s="34"/>
      <c r="AC312" s="34"/>
    </row>
    <row r="313" spans="1:29" ht="15.75" customHeight="1" x14ac:dyDescent="0.2">
      <c r="A313" s="34"/>
      <c r="B313" s="34"/>
      <c r="C313" s="33"/>
      <c r="D313" s="34"/>
      <c r="E313" s="34"/>
      <c r="F313" s="34"/>
      <c r="G313" s="34"/>
      <c r="H313" s="33"/>
      <c r="I313" s="33"/>
      <c r="J313" s="34"/>
      <c r="K313" s="34"/>
      <c r="L313" s="34"/>
      <c r="M313" s="34"/>
      <c r="N313" s="34"/>
      <c r="O313" s="34"/>
      <c r="P313" s="34"/>
      <c r="Q313" s="34"/>
      <c r="R313" s="34"/>
      <c r="S313" s="34"/>
      <c r="T313" s="34"/>
      <c r="U313" s="34"/>
      <c r="V313" s="34"/>
      <c r="W313" s="34"/>
      <c r="X313" s="34"/>
      <c r="Y313" s="34"/>
      <c r="Z313" s="34"/>
      <c r="AA313" s="34"/>
      <c r="AB313" s="34"/>
      <c r="AC313" s="34"/>
    </row>
    <row r="314" spans="1:29" ht="15.75" customHeight="1" x14ac:dyDescent="0.2">
      <c r="A314" s="34"/>
      <c r="B314" s="34"/>
      <c r="C314" s="33"/>
      <c r="D314" s="34"/>
      <c r="E314" s="34"/>
      <c r="F314" s="34"/>
      <c r="G314" s="34"/>
      <c r="H314" s="33"/>
      <c r="I314" s="33"/>
      <c r="J314" s="34"/>
      <c r="K314" s="34"/>
      <c r="L314" s="34"/>
      <c r="M314" s="34"/>
      <c r="N314" s="34"/>
      <c r="O314" s="34"/>
      <c r="P314" s="34"/>
      <c r="Q314" s="34"/>
      <c r="R314" s="34"/>
      <c r="S314" s="34"/>
      <c r="T314" s="34"/>
      <c r="U314" s="34"/>
      <c r="V314" s="34"/>
      <c r="W314" s="34"/>
      <c r="X314" s="34"/>
      <c r="Y314" s="34"/>
      <c r="Z314" s="34"/>
      <c r="AA314" s="34"/>
      <c r="AB314" s="34"/>
      <c r="AC314" s="34"/>
    </row>
    <row r="315" spans="1:29" ht="15.75" customHeight="1" x14ac:dyDescent="0.2">
      <c r="A315" s="34"/>
      <c r="B315" s="34"/>
      <c r="C315" s="33"/>
      <c r="D315" s="34"/>
      <c r="E315" s="34"/>
      <c r="F315" s="34"/>
      <c r="G315" s="34"/>
      <c r="H315" s="33"/>
      <c r="I315" s="33"/>
      <c r="J315" s="34"/>
      <c r="K315" s="34"/>
      <c r="L315" s="34"/>
      <c r="M315" s="34"/>
      <c r="N315" s="34"/>
      <c r="O315" s="34"/>
      <c r="P315" s="34"/>
      <c r="Q315" s="34"/>
      <c r="R315" s="34"/>
      <c r="S315" s="34"/>
      <c r="T315" s="34"/>
      <c r="U315" s="34"/>
      <c r="V315" s="34"/>
      <c r="W315" s="34"/>
      <c r="X315" s="34"/>
      <c r="Y315" s="34"/>
      <c r="Z315" s="34"/>
      <c r="AA315" s="34"/>
      <c r="AB315" s="34"/>
      <c r="AC315" s="34"/>
    </row>
    <row r="316" spans="1:29" ht="15.75" customHeight="1" x14ac:dyDescent="0.2">
      <c r="A316" s="34"/>
      <c r="B316" s="34"/>
      <c r="C316" s="33"/>
      <c r="D316" s="34"/>
      <c r="E316" s="34"/>
      <c r="F316" s="34"/>
      <c r="G316" s="34"/>
      <c r="H316" s="33"/>
      <c r="I316" s="33"/>
      <c r="J316" s="34"/>
      <c r="K316" s="34"/>
      <c r="L316" s="34"/>
      <c r="M316" s="34"/>
      <c r="N316" s="34"/>
      <c r="O316" s="34"/>
      <c r="P316" s="34"/>
      <c r="Q316" s="34"/>
      <c r="R316" s="34"/>
      <c r="S316" s="34"/>
      <c r="T316" s="34"/>
      <c r="U316" s="34"/>
      <c r="V316" s="34"/>
      <c r="W316" s="34"/>
      <c r="X316" s="34"/>
      <c r="Y316" s="34"/>
      <c r="Z316" s="34"/>
      <c r="AA316" s="34"/>
      <c r="AB316" s="34"/>
      <c r="AC316" s="34"/>
    </row>
    <row r="317" spans="1:29" ht="15.75" customHeight="1" x14ac:dyDescent="0.2">
      <c r="A317" s="34"/>
      <c r="B317" s="34"/>
      <c r="C317" s="33"/>
      <c r="D317" s="34"/>
      <c r="E317" s="34"/>
      <c r="F317" s="34"/>
      <c r="G317" s="34"/>
      <c r="H317" s="33"/>
      <c r="I317" s="33"/>
      <c r="J317" s="34"/>
      <c r="K317" s="34"/>
      <c r="L317" s="34"/>
      <c r="M317" s="34"/>
      <c r="N317" s="34"/>
      <c r="O317" s="34"/>
      <c r="P317" s="34"/>
      <c r="Q317" s="34"/>
      <c r="R317" s="34"/>
      <c r="S317" s="34"/>
      <c r="T317" s="34"/>
      <c r="U317" s="34"/>
      <c r="V317" s="34"/>
      <c r="W317" s="34"/>
      <c r="X317" s="34"/>
      <c r="Y317" s="34"/>
      <c r="Z317" s="34"/>
      <c r="AA317" s="34"/>
      <c r="AB317" s="34"/>
      <c r="AC317" s="34"/>
    </row>
    <row r="318" spans="1:29" ht="15.75" customHeight="1" x14ac:dyDescent="0.2">
      <c r="A318" s="34"/>
      <c r="B318" s="34"/>
      <c r="C318" s="33"/>
      <c r="D318" s="34"/>
      <c r="E318" s="34"/>
      <c r="F318" s="34"/>
      <c r="G318" s="34"/>
      <c r="H318" s="33"/>
      <c r="I318" s="33"/>
      <c r="J318" s="34"/>
      <c r="K318" s="34"/>
      <c r="L318" s="34"/>
      <c r="M318" s="34"/>
      <c r="N318" s="34"/>
      <c r="O318" s="34"/>
      <c r="P318" s="34"/>
      <c r="Q318" s="34"/>
      <c r="R318" s="34"/>
      <c r="S318" s="34"/>
      <c r="T318" s="34"/>
      <c r="U318" s="34"/>
      <c r="V318" s="34"/>
      <c r="W318" s="34"/>
      <c r="X318" s="34"/>
      <c r="Y318" s="34"/>
      <c r="Z318" s="34"/>
      <c r="AA318" s="34"/>
      <c r="AB318" s="34"/>
      <c r="AC318" s="34"/>
    </row>
    <row r="319" spans="1:29" ht="15.75" customHeight="1" x14ac:dyDescent="0.2">
      <c r="A319" s="34"/>
      <c r="B319" s="34"/>
      <c r="C319" s="33"/>
      <c r="D319" s="34"/>
      <c r="E319" s="34"/>
      <c r="F319" s="34"/>
      <c r="G319" s="34"/>
      <c r="H319" s="33"/>
      <c r="I319" s="33"/>
      <c r="J319" s="34"/>
      <c r="K319" s="34"/>
      <c r="L319" s="34"/>
      <c r="M319" s="34"/>
      <c r="N319" s="34"/>
      <c r="O319" s="34"/>
      <c r="P319" s="34"/>
      <c r="Q319" s="34"/>
      <c r="R319" s="34"/>
      <c r="S319" s="34"/>
      <c r="T319" s="34"/>
      <c r="U319" s="34"/>
      <c r="V319" s="34"/>
      <c r="W319" s="34"/>
      <c r="X319" s="34"/>
      <c r="Y319" s="34"/>
      <c r="Z319" s="34"/>
      <c r="AA319" s="34"/>
      <c r="AB319" s="34"/>
      <c r="AC319" s="34"/>
    </row>
    <row r="320" spans="1:29" ht="15.75" customHeight="1" x14ac:dyDescent="0.2">
      <c r="A320" s="34"/>
      <c r="B320" s="34"/>
      <c r="C320" s="33"/>
      <c r="D320" s="34"/>
      <c r="E320" s="34"/>
      <c r="F320" s="34"/>
      <c r="G320" s="34"/>
      <c r="H320" s="33"/>
      <c r="I320" s="33"/>
      <c r="J320" s="34"/>
      <c r="K320" s="34"/>
      <c r="L320" s="34"/>
      <c r="M320" s="34"/>
      <c r="N320" s="34"/>
      <c r="O320" s="34"/>
      <c r="P320" s="34"/>
      <c r="Q320" s="34"/>
      <c r="R320" s="34"/>
      <c r="S320" s="34"/>
      <c r="T320" s="34"/>
      <c r="U320" s="34"/>
      <c r="V320" s="34"/>
      <c r="W320" s="34"/>
      <c r="X320" s="34"/>
      <c r="Y320" s="34"/>
      <c r="Z320" s="34"/>
      <c r="AA320" s="34"/>
      <c r="AB320" s="34"/>
      <c r="AC320" s="34"/>
    </row>
    <row r="321" spans="1:29" ht="15.75" customHeight="1" x14ac:dyDescent="0.2">
      <c r="A321" s="34"/>
      <c r="B321" s="34"/>
      <c r="C321" s="33"/>
      <c r="D321" s="34"/>
      <c r="E321" s="34"/>
      <c r="F321" s="34"/>
      <c r="G321" s="34"/>
      <c r="H321" s="33"/>
      <c r="I321" s="33"/>
      <c r="J321" s="34"/>
      <c r="K321" s="34"/>
      <c r="L321" s="34"/>
      <c r="M321" s="34"/>
      <c r="N321" s="34"/>
      <c r="O321" s="34"/>
      <c r="P321" s="34"/>
      <c r="Q321" s="34"/>
      <c r="R321" s="34"/>
      <c r="S321" s="34"/>
      <c r="T321" s="34"/>
      <c r="U321" s="34"/>
      <c r="V321" s="34"/>
      <c r="W321" s="34"/>
      <c r="X321" s="34"/>
      <c r="Y321" s="34"/>
      <c r="Z321" s="34"/>
      <c r="AA321" s="34"/>
      <c r="AB321" s="34"/>
      <c r="AC321" s="34"/>
    </row>
    <row r="322" spans="1:29" ht="15.75" customHeight="1" x14ac:dyDescent="0.2">
      <c r="A322" s="34"/>
      <c r="B322" s="34"/>
      <c r="C322" s="33"/>
      <c r="D322" s="34"/>
      <c r="E322" s="34"/>
      <c r="F322" s="34"/>
      <c r="G322" s="34"/>
      <c r="H322" s="33"/>
      <c r="I322" s="33"/>
      <c r="J322" s="34"/>
      <c r="K322" s="34"/>
      <c r="L322" s="34"/>
      <c r="M322" s="34"/>
      <c r="N322" s="34"/>
      <c r="O322" s="34"/>
      <c r="P322" s="34"/>
      <c r="Q322" s="34"/>
      <c r="R322" s="34"/>
      <c r="S322" s="34"/>
      <c r="T322" s="34"/>
      <c r="U322" s="34"/>
      <c r="V322" s="34"/>
      <c r="W322" s="34"/>
      <c r="X322" s="34"/>
      <c r="Y322" s="34"/>
      <c r="Z322" s="34"/>
      <c r="AA322" s="34"/>
      <c r="AB322" s="34"/>
      <c r="AC322" s="34"/>
    </row>
    <row r="323" spans="1:29" ht="15.75" customHeight="1" x14ac:dyDescent="0.2">
      <c r="A323" s="34"/>
      <c r="B323" s="34"/>
      <c r="C323" s="33"/>
      <c r="D323" s="34"/>
      <c r="E323" s="34"/>
      <c r="F323" s="34"/>
      <c r="G323" s="34"/>
      <c r="H323" s="33"/>
      <c r="I323" s="33"/>
      <c r="J323" s="34"/>
      <c r="K323" s="34"/>
      <c r="L323" s="34"/>
      <c r="M323" s="34"/>
      <c r="N323" s="34"/>
      <c r="O323" s="34"/>
      <c r="P323" s="34"/>
      <c r="Q323" s="34"/>
      <c r="R323" s="34"/>
      <c r="S323" s="34"/>
      <c r="T323" s="34"/>
      <c r="U323" s="34"/>
      <c r="V323" s="34"/>
      <c r="W323" s="34"/>
      <c r="X323" s="34"/>
      <c r="Y323" s="34"/>
      <c r="Z323" s="34"/>
      <c r="AA323" s="34"/>
      <c r="AB323" s="34"/>
      <c r="AC323" s="34"/>
    </row>
    <row r="324" spans="1:29" ht="15.75" customHeight="1" x14ac:dyDescent="0.2">
      <c r="A324" s="34"/>
      <c r="B324" s="34"/>
      <c r="C324" s="33"/>
      <c r="D324" s="34"/>
      <c r="E324" s="34"/>
      <c r="F324" s="34"/>
      <c r="G324" s="34"/>
      <c r="H324" s="33"/>
      <c r="I324" s="33"/>
      <c r="J324" s="34"/>
      <c r="K324" s="34"/>
      <c r="L324" s="34"/>
      <c r="M324" s="34"/>
      <c r="N324" s="34"/>
      <c r="O324" s="34"/>
      <c r="P324" s="34"/>
      <c r="Q324" s="34"/>
      <c r="R324" s="34"/>
      <c r="S324" s="34"/>
      <c r="T324" s="34"/>
      <c r="U324" s="34"/>
      <c r="V324" s="34"/>
      <c r="W324" s="34"/>
      <c r="X324" s="34"/>
      <c r="Y324" s="34"/>
      <c r="Z324" s="34"/>
      <c r="AA324" s="34"/>
      <c r="AB324" s="34"/>
      <c r="AC324" s="34"/>
    </row>
    <row r="325" spans="1:29" ht="15.75" customHeight="1" x14ac:dyDescent="0.2">
      <c r="A325" s="34"/>
      <c r="B325" s="34"/>
      <c r="C325" s="33"/>
      <c r="D325" s="34"/>
      <c r="E325" s="34"/>
      <c r="F325" s="34"/>
      <c r="G325" s="34"/>
      <c r="H325" s="33"/>
      <c r="I325" s="33"/>
      <c r="J325" s="34"/>
      <c r="K325" s="34"/>
      <c r="L325" s="34"/>
      <c r="M325" s="34"/>
      <c r="N325" s="34"/>
      <c r="O325" s="34"/>
      <c r="P325" s="34"/>
      <c r="Q325" s="34"/>
      <c r="R325" s="34"/>
      <c r="S325" s="34"/>
      <c r="T325" s="34"/>
      <c r="U325" s="34"/>
      <c r="V325" s="34"/>
      <c r="W325" s="34"/>
      <c r="X325" s="34"/>
      <c r="Y325" s="34"/>
      <c r="Z325" s="34"/>
      <c r="AA325" s="34"/>
      <c r="AB325" s="34"/>
      <c r="AC325" s="34"/>
    </row>
    <row r="326" spans="1:29" ht="15.75" customHeight="1" x14ac:dyDescent="0.2">
      <c r="A326" s="34"/>
      <c r="B326" s="34"/>
      <c r="C326" s="33"/>
      <c r="D326" s="34"/>
      <c r="E326" s="34"/>
      <c r="F326" s="34"/>
      <c r="G326" s="34"/>
      <c r="H326" s="33"/>
      <c r="I326" s="33"/>
      <c r="J326" s="34"/>
      <c r="K326" s="34"/>
      <c r="L326" s="34"/>
      <c r="M326" s="34"/>
      <c r="N326" s="34"/>
      <c r="O326" s="34"/>
      <c r="P326" s="34"/>
      <c r="Q326" s="34"/>
      <c r="R326" s="34"/>
      <c r="S326" s="34"/>
      <c r="T326" s="34"/>
      <c r="U326" s="34"/>
      <c r="V326" s="34"/>
      <c r="W326" s="34"/>
      <c r="X326" s="34"/>
      <c r="Y326" s="34"/>
      <c r="Z326" s="34"/>
      <c r="AA326" s="34"/>
      <c r="AB326" s="34"/>
      <c r="AC326" s="34"/>
    </row>
    <row r="327" spans="1:29" ht="15.75" customHeight="1" x14ac:dyDescent="0.2">
      <c r="A327" s="34"/>
      <c r="B327" s="34"/>
      <c r="C327" s="33"/>
      <c r="D327" s="34"/>
      <c r="E327" s="34"/>
      <c r="F327" s="34"/>
      <c r="G327" s="34"/>
      <c r="H327" s="33"/>
      <c r="I327" s="33"/>
      <c r="J327" s="34"/>
      <c r="K327" s="34"/>
      <c r="L327" s="34"/>
      <c r="M327" s="34"/>
      <c r="N327" s="34"/>
      <c r="O327" s="34"/>
      <c r="P327" s="34"/>
      <c r="Q327" s="34"/>
      <c r="R327" s="34"/>
      <c r="S327" s="34"/>
      <c r="T327" s="34"/>
      <c r="U327" s="34"/>
      <c r="V327" s="34"/>
      <c r="W327" s="34"/>
      <c r="X327" s="34"/>
      <c r="Y327" s="34"/>
      <c r="Z327" s="34"/>
      <c r="AA327" s="34"/>
      <c r="AB327" s="34"/>
      <c r="AC327" s="34"/>
    </row>
    <row r="328" spans="1:29" ht="15.75" customHeight="1" x14ac:dyDescent="0.2">
      <c r="A328" s="34"/>
      <c r="B328" s="34"/>
      <c r="C328" s="33"/>
      <c r="D328" s="34"/>
      <c r="E328" s="34"/>
      <c r="F328" s="34"/>
      <c r="G328" s="34"/>
      <c r="H328" s="33"/>
      <c r="I328" s="33"/>
      <c r="J328" s="34"/>
      <c r="K328" s="34"/>
      <c r="L328" s="34"/>
      <c r="M328" s="34"/>
      <c r="N328" s="34"/>
      <c r="O328" s="34"/>
      <c r="P328" s="34"/>
      <c r="Q328" s="34"/>
      <c r="R328" s="34"/>
      <c r="S328" s="34"/>
      <c r="T328" s="34"/>
      <c r="U328" s="34"/>
      <c r="V328" s="34"/>
      <c r="W328" s="34"/>
      <c r="X328" s="34"/>
      <c r="Y328" s="34"/>
      <c r="Z328" s="34"/>
      <c r="AA328" s="34"/>
      <c r="AB328" s="34"/>
      <c r="AC328" s="34"/>
    </row>
    <row r="329" spans="1:29" ht="15.75" customHeight="1" x14ac:dyDescent="0.2">
      <c r="A329" s="34"/>
      <c r="B329" s="34"/>
      <c r="C329" s="33"/>
      <c r="D329" s="34"/>
      <c r="E329" s="34"/>
      <c r="F329" s="34"/>
      <c r="G329" s="34"/>
      <c r="H329" s="33"/>
      <c r="I329" s="33"/>
      <c r="J329" s="34"/>
      <c r="K329" s="34"/>
      <c r="L329" s="34"/>
      <c r="M329" s="34"/>
      <c r="N329" s="34"/>
      <c r="O329" s="34"/>
      <c r="P329" s="34"/>
      <c r="Q329" s="34"/>
      <c r="R329" s="34"/>
      <c r="S329" s="34"/>
      <c r="T329" s="34"/>
      <c r="U329" s="34"/>
      <c r="V329" s="34"/>
      <c r="W329" s="34"/>
      <c r="X329" s="34"/>
      <c r="Y329" s="34"/>
      <c r="Z329" s="34"/>
      <c r="AA329" s="34"/>
      <c r="AB329" s="34"/>
      <c r="AC329" s="34"/>
    </row>
    <row r="330" spans="1:29" ht="15.75" customHeight="1" x14ac:dyDescent="0.2">
      <c r="A330" s="34"/>
      <c r="B330" s="34"/>
      <c r="C330" s="33"/>
      <c r="D330" s="34"/>
      <c r="E330" s="34"/>
      <c r="F330" s="34"/>
      <c r="G330" s="34"/>
      <c r="H330" s="33"/>
      <c r="I330" s="33"/>
      <c r="J330" s="34"/>
      <c r="K330" s="34"/>
      <c r="L330" s="34"/>
      <c r="M330" s="34"/>
      <c r="N330" s="34"/>
      <c r="O330" s="34"/>
      <c r="P330" s="34"/>
      <c r="Q330" s="34"/>
      <c r="R330" s="34"/>
      <c r="S330" s="34"/>
      <c r="T330" s="34"/>
      <c r="U330" s="34"/>
      <c r="V330" s="34"/>
      <c r="W330" s="34"/>
      <c r="X330" s="34"/>
      <c r="Y330" s="34"/>
      <c r="Z330" s="34"/>
      <c r="AA330" s="34"/>
      <c r="AB330" s="34"/>
      <c r="AC330" s="34"/>
    </row>
    <row r="331" spans="1:29" ht="15.75" customHeight="1" x14ac:dyDescent="0.2">
      <c r="A331" s="34"/>
      <c r="B331" s="34"/>
      <c r="C331" s="33"/>
      <c r="D331" s="34"/>
      <c r="E331" s="34"/>
      <c r="F331" s="34"/>
      <c r="G331" s="34"/>
      <c r="H331" s="33"/>
      <c r="I331" s="33"/>
      <c r="J331" s="34"/>
      <c r="K331" s="34"/>
      <c r="L331" s="34"/>
      <c r="M331" s="34"/>
      <c r="N331" s="34"/>
      <c r="O331" s="34"/>
      <c r="P331" s="34"/>
      <c r="Q331" s="34"/>
      <c r="R331" s="34"/>
      <c r="S331" s="34"/>
      <c r="T331" s="34"/>
      <c r="U331" s="34"/>
      <c r="V331" s="34"/>
      <c r="W331" s="34"/>
      <c r="X331" s="34"/>
      <c r="Y331" s="34"/>
      <c r="Z331" s="34"/>
      <c r="AA331" s="34"/>
      <c r="AB331" s="34"/>
      <c r="AC331" s="34"/>
    </row>
    <row r="332" spans="1:29" ht="15.75" customHeight="1" x14ac:dyDescent="0.2">
      <c r="A332" s="34"/>
      <c r="B332" s="34"/>
      <c r="C332" s="33"/>
      <c r="D332" s="34"/>
      <c r="E332" s="34"/>
      <c r="F332" s="34"/>
      <c r="G332" s="34"/>
      <c r="H332" s="33"/>
      <c r="I332" s="33"/>
      <c r="J332" s="34"/>
      <c r="K332" s="34"/>
      <c r="L332" s="34"/>
      <c r="M332" s="34"/>
      <c r="N332" s="34"/>
      <c r="O332" s="34"/>
      <c r="P332" s="34"/>
      <c r="Q332" s="34"/>
      <c r="R332" s="34"/>
      <c r="S332" s="34"/>
      <c r="T332" s="34"/>
      <c r="U332" s="34"/>
      <c r="V332" s="34"/>
      <c r="W332" s="34"/>
      <c r="X332" s="34"/>
      <c r="Y332" s="34"/>
      <c r="Z332" s="34"/>
      <c r="AA332" s="34"/>
      <c r="AB332" s="34"/>
      <c r="AC332" s="34"/>
    </row>
    <row r="333" spans="1:29" ht="15.75" customHeight="1" x14ac:dyDescent="0.2">
      <c r="A333" s="34"/>
      <c r="B333" s="34"/>
      <c r="C333" s="33"/>
      <c r="D333" s="34"/>
      <c r="E333" s="34"/>
      <c r="F333" s="34"/>
      <c r="G333" s="34"/>
      <c r="H333" s="33"/>
      <c r="I333" s="33"/>
      <c r="J333" s="34"/>
      <c r="K333" s="34"/>
      <c r="L333" s="34"/>
      <c r="M333" s="34"/>
      <c r="N333" s="34"/>
      <c r="O333" s="34"/>
      <c r="P333" s="34"/>
      <c r="Q333" s="34"/>
      <c r="R333" s="34"/>
      <c r="S333" s="34"/>
      <c r="T333" s="34"/>
      <c r="U333" s="34"/>
      <c r="V333" s="34"/>
      <c r="W333" s="34"/>
      <c r="X333" s="34"/>
      <c r="Y333" s="34"/>
      <c r="Z333" s="34"/>
      <c r="AA333" s="34"/>
      <c r="AB333" s="34"/>
      <c r="AC333" s="34"/>
    </row>
    <row r="334" spans="1:29" ht="15.75" customHeight="1" x14ac:dyDescent="0.2">
      <c r="A334" s="34"/>
      <c r="B334" s="34"/>
      <c r="C334" s="33"/>
      <c r="D334" s="34"/>
      <c r="E334" s="34"/>
      <c r="F334" s="34"/>
      <c r="G334" s="34"/>
      <c r="H334" s="33"/>
      <c r="I334" s="33"/>
      <c r="J334" s="34"/>
      <c r="K334" s="34"/>
      <c r="L334" s="34"/>
      <c r="M334" s="34"/>
      <c r="N334" s="34"/>
      <c r="O334" s="34"/>
      <c r="P334" s="34"/>
      <c r="Q334" s="34"/>
      <c r="R334" s="34"/>
      <c r="S334" s="34"/>
      <c r="T334" s="34"/>
      <c r="U334" s="34"/>
      <c r="V334" s="34"/>
      <c r="W334" s="34"/>
      <c r="X334" s="34"/>
      <c r="Y334" s="34"/>
      <c r="Z334" s="34"/>
      <c r="AA334" s="34"/>
      <c r="AB334" s="34"/>
      <c r="AC334" s="34"/>
    </row>
    <row r="335" spans="1:29" ht="15.75" customHeight="1" x14ac:dyDescent="0.2">
      <c r="A335" s="34"/>
      <c r="B335" s="34"/>
      <c r="C335" s="33"/>
      <c r="D335" s="34"/>
      <c r="E335" s="34"/>
      <c r="F335" s="34"/>
      <c r="G335" s="34"/>
      <c r="H335" s="33"/>
      <c r="I335" s="33"/>
      <c r="J335" s="34"/>
      <c r="K335" s="34"/>
      <c r="L335" s="34"/>
      <c r="M335" s="34"/>
      <c r="N335" s="34"/>
      <c r="O335" s="34"/>
      <c r="P335" s="34"/>
      <c r="Q335" s="34"/>
      <c r="R335" s="34"/>
      <c r="S335" s="34"/>
      <c r="T335" s="34"/>
      <c r="U335" s="34"/>
      <c r="V335" s="34"/>
      <c r="W335" s="34"/>
      <c r="X335" s="34"/>
      <c r="Y335" s="34"/>
      <c r="Z335" s="34"/>
      <c r="AA335" s="34"/>
      <c r="AB335" s="34"/>
      <c r="AC335" s="34"/>
    </row>
    <row r="336" spans="1:29" ht="15.75" customHeight="1" x14ac:dyDescent="0.2">
      <c r="A336" s="34"/>
      <c r="B336" s="34"/>
      <c r="C336" s="33"/>
      <c r="D336" s="34"/>
      <c r="E336" s="34"/>
      <c r="F336" s="34"/>
      <c r="G336" s="34"/>
      <c r="H336" s="33"/>
      <c r="I336" s="33"/>
      <c r="J336" s="34"/>
      <c r="K336" s="34"/>
      <c r="L336" s="34"/>
      <c r="M336" s="34"/>
      <c r="N336" s="34"/>
      <c r="O336" s="34"/>
      <c r="P336" s="34"/>
      <c r="Q336" s="34"/>
      <c r="R336" s="34"/>
      <c r="S336" s="34"/>
      <c r="T336" s="34"/>
      <c r="U336" s="34"/>
      <c r="V336" s="34"/>
      <c r="W336" s="34"/>
      <c r="X336" s="34"/>
      <c r="Y336" s="34"/>
      <c r="Z336" s="34"/>
      <c r="AA336" s="34"/>
      <c r="AB336" s="34"/>
      <c r="AC336" s="34"/>
    </row>
    <row r="337" spans="1:29" ht="15.75" customHeight="1" x14ac:dyDescent="0.2">
      <c r="A337" s="34"/>
      <c r="B337" s="34"/>
      <c r="C337" s="33"/>
      <c r="D337" s="34"/>
      <c r="E337" s="34"/>
      <c r="F337" s="34"/>
      <c r="G337" s="34"/>
      <c r="H337" s="33"/>
      <c r="I337" s="33"/>
      <c r="J337" s="34"/>
      <c r="K337" s="34"/>
      <c r="L337" s="34"/>
      <c r="M337" s="34"/>
      <c r="N337" s="34"/>
      <c r="O337" s="34"/>
      <c r="P337" s="34"/>
      <c r="Q337" s="34"/>
      <c r="R337" s="34"/>
      <c r="S337" s="34"/>
      <c r="T337" s="34"/>
      <c r="U337" s="34"/>
      <c r="V337" s="34"/>
      <c r="W337" s="34"/>
      <c r="X337" s="34"/>
      <c r="Y337" s="34"/>
      <c r="Z337" s="34"/>
      <c r="AA337" s="34"/>
      <c r="AB337" s="34"/>
      <c r="AC337" s="34"/>
    </row>
    <row r="338" spans="1:29" ht="15.75" customHeight="1" x14ac:dyDescent="0.2">
      <c r="A338" s="34"/>
      <c r="B338" s="34"/>
      <c r="C338" s="33"/>
      <c r="D338" s="34"/>
      <c r="E338" s="34"/>
      <c r="F338" s="34"/>
      <c r="G338" s="34"/>
      <c r="H338" s="33"/>
      <c r="I338" s="33"/>
      <c r="J338" s="34"/>
      <c r="K338" s="34"/>
      <c r="L338" s="34"/>
      <c r="M338" s="34"/>
      <c r="N338" s="34"/>
      <c r="O338" s="34"/>
      <c r="P338" s="34"/>
      <c r="Q338" s="34"/>
      <c r="R338" s="34"/>
      <c r="S338" s="34"/>
      <c r="T338" s="34"/>
      <c r="U338" s="34"/>
      <c r="V338" s="34"/>
      <c r="W338" s="34"/>
      <c r="X338" s="34"/>
      <c r="Y338" s="34"/>
      <c r="Z338" s="34"/>
      <c r="AA338" s="34"/>
      <c r="AB338" s="34"/>
      <c r="AC338" s="34"/>
    </row>
    <row r="339" spans="1:29" ht="15.75" customHeight="1" x14ac:dyDescent="0.2">
      <c r="A339" s="34"/>
      <c r="B339" s="34"/>
      <c r="C339" s="33"/>
      <c r="D339" s="34"/>
      <c r="E339" s="34"/>
      <c r="F339" s="34"/>
      <c r="G339" s="34"/>
      <c r="H339" s="33"/>
      <c r="I339" s="33"/>
      <c r="J339" s="34"/>
      <c r="K339" s="34"/>
      <c r="L339" s="34"/>
      <c r="M339" s="34"/>
      <c r="N339" s="34"/>
      <c r="O339" s="34"/>
      <c r="P339" s="34"/>
      <c r="Q339" s="34"/>
      <c r="R339" s="34"/>
      <c r="S339" s="34"/>
      <c r="T339" s="34"/>
      <c r="U339" s="34"/>
      <c r="V339" s="34"/>
      <c r="W339" s="34"/>
      <c r="X339" s="34"/>
      <c r="Y339" s="34"/>
      <c r="Z339" s="34"/>
      <c r="AA339" s="34"/>
      <c r="AB339" s="34"/>
      <c r="AC339" s="34"/>
    </row>
    <row r="340" spans="1:29" ht="15.75" customHeight="1" x14ac:dyDescent="0.2">
      <c r="A340" s="34"/>
      <c r="B340" s="34"/>
      <c r="C340" s="33"/>
      <c r="D340" s="34"/>
      <c r="E340" s="34"/>
      <c r="F340" s="34"/>
      <c r="G340" s="34"/>
      <c r="H340" s="33"/>
      <c r="I340" s="33"/>
      <c r="J340" s="34"/>
      <c r="K340" s="34"/>
      <c r="L340" s="34"/>
      <c r="M340" s="34"/>
      <c r="N340" s="34"/>
      <c r="O340" s="34"/>
      <c r="P340" s="34"/>
      <c r="Q340" s="34"/>
      <c r="R340" s="34"/>
      <c r="S340" s="34"/>
      <c r="T340" s="34"/>
      <c r="U340" s="34"/>
      <c r="V340" s="34"/>
      <c r="W340" s="34"/>
      <c r="X340" s="34"/>
      <c r="Y340" s="34"/>
      <c r="Z340" s="34"/>
      <c r="AA340" s="34"/>
      <c r="AB340" s="34"/>
      <c r="AC340" s="34"/>
    </row>
    <row r="341" spans="1:29" ht="15.75" customHeight="1" x14ac:dyDescent="0.2">
      <c r="A341" s="34"/>
      <c r="B341" s="34"/>
      <c r="C341" s="33"/>
      <c r="D341" s="34"/>
      <c r="E341" s="34"/>
      <c r="F341" s="34"/>
      <c r="G341" s="34"/>
      <c r="H341" s="33"/>
      <c r="I341" s="33"/>
      <c r="J341" s="34"/>
      <c r="K341" s="34"/>
      <c r="L341" s="34"/>
      <c r="M341" s="34"/>
      <c r="N341" s="34"/>
      <c r="O341" s="34"/>
      <c r="P341" s="34"/>
      <c r="Q341" s="34"/>
      <c r="R341" s="34"/>
      <c r="S341" s="34"/>
      <c r="T341" s="34"/>
      <c r="U341" s="34"/>
      <c r="V341" s="34"/>
      <c r="W341" s="34"/>
      <c r="X341" s="34"/>
      <c r="Y341" s="34"/>
      <c r="Z341" s="34"/>
      <c r="AA341" s="34"/>
      <c r="AB341" s="34"/>
      <c r="AC341" s="34"/>
    </row>
    <row r="342" spans="1:29" ht="15.75" customHeight="1" x14ac:dyDescent="0.2">
      <c r="A342" s="34"/>
      <c r="B342" s="34"/>
      <c r="C342" s="33"/>
      <c r="D342" s="34"/>
      <c r="E342" s="34"/>
      <c r="F342" s="34"/>
      <c r="G342" s="34"/>
      <c r="H342" s="33"/>
      <c r="I342" s="33"/>
      <c r="J342" s="34"/>
      <c r="K342" s="34"/>
      <c r="L342" s="34"/>
      <c r="M342" s="34"/>
      <c r="N342" s="34"/>
      <c r="O342" s="34"/>
      <c r="P342" s="34"/>
      <c r="Q342" s="34"/>
      <c r="R342" s="34"/>
      <c r="S342" s="34"/>
      <c r="T342" s="34"/>
      <c r="U342" s="34"/>
      <c r="V342" s="34"/>
      <c r="W342" s="34"/>
      <c r="X342" s="34"/>
      <c r="Y342" s="34"/>
      <c r="Z342" s="34"/>
      <c r="AA342" s="34"/>
      <c r="AB342" s="34"/>
      <c r="AC342" s="34"/>
    </row>
    <row r="343" spans="1:29" ht="15.75" customHeight="1" x14ac:dyDescent="0.2">
      <c r="A343" s="34"/>
      <c r="B343" s="34"/>
      <c r="C343" s="33"/>
      <c r="D343" s="34"/>
      <c r="E343" s="34"/>
      <c r="F343" s="34"/>
      <c r="G343" s="34"/>
      <c r="H343" s="33"/>
      <c r="I343" s="33"/>
      <c r="J343" s="34"/>
      <c r="K343" s="34"/>
      <c r="L343" s="34"/>
      <c r="M343" s="34"/>
      <c r="N343" s="34"/>
      <c r="O343" s="34"/>
      <c r="P343" s="34"/>
      <c r="Q343" s="34"/>
      <c r="R343" s="34"/>
      <c r="S343" s="34"/>
      <c r="T343" s="34"/>
      <c r="U343" s="34"/>
      <c r="V343" s="34"/>
      <c r="W343" s="34"/>
      <c r="X343" s="34"/>
      <c r="Y343" s="34"/>
      <c r="Z343" s="34"/>
      <c r="AA343" s="34"/>
      <c r="AB343" s="34"/>
      <c r="AC343" s="34"/>
    </row>
    <row r="344" spans="1:29" ht="15.75" customHeight="1" x14ac:dyDescent="0.2">
      <c r="A344" s="34"/>
      <c r="B344" s="34"/>
      <c r="C344" s="33"/>
      <c r="D344" s="34"/>
      <c r="E344" s="34"/>
      <c r="F344" s="34"/>
      <c r="G344" s="34"/>
      <c r="H344" s="33"/>
      <c r="I344" s="33"/>
      <c r="J344" s="34"/>
      <c r="K344" s="34"/>
      <c r="L344" s="34"/>
      <c r="M344" s="34"/>
      <c r="N344" s="34"/>
      <c r="O344" s="34"/>
      <c r="P344" s="34"/>
      <c r="Q344" s="34"/>
      <c r="R344" s="34"/>
      <c r="S344" s="34"/>
      <c r="T344" s="34"/>
      <c r="U344" s="34"/>
      <c r="V344" s="34"/>
      <c r="W344" s="34"/>
      <c r="X344" s="34"/>
      <c r="Y344" s="34"/>
      <c r="Z344" s="34"/>
      <c r="AA344" s="34"/>
      <c r="AB344" s="34"/>
      <c r="AC344" s="34"/>
    </row>
    <row r="345" spans="1:29" ht="15.75" customHeight="1" x14ac:dyDescent="0.2">
      <c r="A345" s="34"/>
      <c r="B345" s="34"/>
      <c r="C345" s="33"/>
      <c r="D345" s="34"/>
      <c r="E345" s="34"/>
      <c r="F345" s="34"/>
      <c r="G345" s="34"/>
      <c r="H345" s="33"/>
      <c r="I345" s="33"/>
      <c r="J345" s="34"/>
      <c r="K345" s="34"/>
      <c r="L345" s="34"/>
      <c r="M345" s="34"/>
      <c r="N345" s="34"/>
      <c r="O345" s="34"/>
      <c r="P345" s="34"/>
      <c r="Q345" s="34"/>
      <c r="R345" s="34"/>
      <c r="S345" s="34"/>
      <c r="T345" s="34"/>
      <c r="U345" s="34"/>
      <c r="V345" s="34"/>
      <c r="W345" s="34"/>
      <c r="X345" s="34"/>
      <c r="Y345" s="34"/>
      <c r="Z345" s="34"/>
      <c r="AA345" s="34"/>
      <c r="AB345" s="34"/>
      <c r="AC345" s="34"/>
    </row>
    <row r="346" spans="1:29" ht="15.75" customHeight="1" x14ac:dyDescent="0.2">
      <c r="A346" s="34"/>
      <c r="B346" s="34"/>
      <c r="C346" s="33"/>
      <c r="D346" s="34"/>
      <c r="E346" s="34"/>
      <c r="F346" s="34"/>
      <c r="G346" s="34"/>
      <c r="H346" s="33"/>
      <c r="I346" s="33"/>
      <c r="J346" s="34"/>
      <c r="K346" s="34"/>
      <c r="L346" s="34"/>
      <c r="M346" s="34"/>
      <c r="N346" s="34"/>
      <c r="O346" s="34"/>
      <c r="P346" s="34"/>
      <c r="Q346" s="34"/>
      <c r="R346" s="34"/>
      <c r="S346" s="34"/>
      <c r="T346" s="34"/>
      <c r="U346" s="34"/>
      <c r="V346" s="34"/>
      <c r="W346" s="34"/>
      <c r="X346" s="34"/>
      <c r="Y346" s="34"/>
      <c r="Z346" s="34"/>
      <c r="AA346" s="34"/>
      <c r="AB346" s="34"/>
      <c r="AC346" s="34"/>
    </row>
    <row r="347" spans="1:29" ht="15.75" customHeight="1" x14ac:dyDescent="0.2">
      <c r="A347" s="34"/>
      <c r="B347" s="34"/>
      <c r="C347" s="33"/>
      <c r="D347" s="34"/>
      <c r="E347" s="34"/>
      <c r="F347" s="34"/>
      <c r="G347" s="34"/>
      <c r="H347" s="33"/>
      <c r="I347" s="33"/>
      <c r="J347" s="34"/>
      <c r="K347" s="34"/>
      <c r="L347" s="34"/>
      <c r="M347" s="34"/>
      <c r="N347" s="34"/>
      <c r="O347" s="34"/>
      <c r="P347" s="34"/>
      <c r="Q347" s="34"/>
      <c r="R347" s="34"/>
      <c r="S347" s="34"/>
      <c r="T347" s="34"/>
      <c r="U347" s="34"/>
      <c r="V347" s="34"/>
      <c r="W347" s="34"/>
      <c r="X347" s="34"/>
      <c r="Y347" s="34"/>
      <c r="Z347" s="34"/>
      <c r="AA347" s="34"/>
      <c r="AB347" s="34"/>
      <c r="AC347" s="34"/>
    </row>
    <row r="348" spans="1:29" ht="15.75" customHeight="1" x14ac:dyDescent="0.2">
      <c r="A348" s="34"/>
      <c r="B348" s="34"/>
      <c r="C348" s="33"/>
      <c r="D348" s="34"/>
      <c r="E348" s="34"/>
      <c r="F348" s="34"/>
      <c r="G348" s="34"/>
      <c r="H348" s="33"/>
      <c r="I348" s="33"/>
      <c r="J348" s="34"/>
      <c r="K348" s="34"/>
      <c r="L348" s="34"/>
      <c r="M348" s="34"/>
      <c r="N348" s="34"/>
      <c r="O348" s="34"/>
      <c r="P348" s="34"/>
      <c r="Q348" s="34"/>
      <c r="R348" s="34"/>
      <c r="S348" s="34"/>
      <c r="T348" s="34"/>
      <c r="U348" s="34"/>
      <c r="V348" s="34"/>
      <c r="W348" s="34"/>
      <c r="X348" s="34"/>
      <c r="Y348" s="34"/>
      <c r="Z348" s="34"/>
      <c r="AA348" s="34"/>
      <c r="AB348" s="34"/>
      <c r="AC348" s="34"/>
    </row>
    <row r="349" spans="1:29" ht="15.75" customHeight="1" x14ac:dyDescent="0.2">
      <c r="A349" s="34"/>
      <c r="B349" s="34"/>
      <c r="C349" s="33"/>
      <c r="D349" s="34"/>
      <c r="E349" s="34"/>
      <c r="F349" s="34"/>
      <c r="G349" s="34"/>
      <c r="H349" s="33"/>
      <c r="I349" s="33"/>
      <c r="J349" s="34"/>
      <c r="K349" s="34"/>
      <c r="L349" s="34"/>
      <c r="M349" s="34"/>
      <c r="N349" s="34"/>
      <c r="O349" s="34"/>
      <c r="P349" s="34"/>
      <c r="Q349" s="34"/>
      <c r="R349" s="34"/>
      <c r="S349" s="34"/>
      <c r="T349" s="34"/>
      <c r="U349" s="34"/>
      <c r="V349" s="34"/>
      <c r="W349" s="34"/>
      <c r="X349" s="34"/>
      <c r="Y349" s="34"/>
      <c r="Z349" s="34"/>
      <c r="AA349" s="34"/>
      <c r="AB349" s="34"/>
      <c r="AC349" s="34"/>
    </row>
    <row r="350" spans="1:29" ht="15.75" customHeight="1" x14ac:dyDescent="0.2">
      <c r="A350" s="34"/>
      <c r="B350" s="34"/>
      <c r="C350" s="33"/>
      <c r="D350" s="34"/>
      <c r="E350" s="34"/>
      <c r="F350" s="34"/>
      <c r="G350" s="34"/>
      <c r="H350" s="33"/>
      <c r="I350" s="33"/>
      <c r="J350" s="34"/>
      <c r="K350" s="34"/>
      <c r="L350" s="34"/>
      <c r="M350" s="34"/>
      <c r="N350" s="34"/>
      <c r="O350" s="34"/>
      <c r="P350" s="34"/>
      <c r="Q350" s="34"/>
      <c r="R350" s="34"/>
      <c r="S350" s="34"/>
      <c r="T350" s="34"/>
      <c r="U350" s="34"/>
      <c r="V350" s="34"/>
      <c r="W350" s="34"/>
      <c r="X350" s="34"/>
      <c r="Y350" s="34"/>
      <c r="Z350" s="34"/>
      <c r="AA350" s="34"/>
      <c r="AB350" s="34"/>
      <c r="AC350" s="34"/>
    </row>
    <row r="351" spans="1:29" ht="15.75" customHeight="1" x14ac:dyDescent="0.2">
      <c r="A351" s="34"/>
      <c r="B351" s="34"/>
      <c r="C351" s="33"/>
      <c r="D351" s="34"/>
      <c r="E351" s="34"/>
      <c r="F351" s="34"/>
      <c r="G351" s="34"/>
      <c r="H351" s="33"/>
      <c r="I351" s="33"/>
      <c r="J351" s="34"/>
      <c r="K351" s="34"/>
      <c r="L351" s="34"/>
      <c r="M351" s="34"/>
      <c r="N351" s="34"/>
      <c r="O351" s="34"/>
      <c r="P351" s="34"/>
      <c r="Q351" s="34"/>
      <c r="R351" s="34"/>
      <c r="S351" s="34"/>
      <c r="T351" s="34"/>
      <c r="U351" s="34"/>
      <c r="V351" s="34"/>
      <c r="W351" s="34"/>
      <c r="X351" s="34"/>
      <c r="Y351" s="34"/>
      <c r="Z351" s="34"/>
      <c r="AA351" s="34"/>
      <c r="AB351" s="34"/>
      <c r="AC351" s="34"/>
    </row>
    <row r="352" spans="1:29" ht="15.75" customHeight="1" x14ac:dyDescent="0.2">
      <c r="A352" s="34"/>
      <c r="B352" s="34"/>
      <c r="C352" s="33"/>
      <c r="D352" s="34"/>
      <c r="E352" s="34"/>
      <c r="F352" s="34"/>
      <c r="G352" s="34"/>
      <c r="H352" s="33"/>
      <c r="I352" s="33"/>
      <c r="J352" s="34"/>
      <c r="K352" s="34"/>
      <c r="L352" s="34"/>
      <c r="M352" s="34"/>
      <c r="N352" s="34"/>
      <c r="O352" s="34"/>
      <c r="P352" s="34"/>
      <c r="Q352" s="34"/>
      <c r="R352" s="34"/>
      <c r="S352" s="34"/>
      <c r="T352" s="34"/>
      <c r="U352" s="34"/>
      <c r="V352" s="34"/>
      <c r="W352" s="34"/>
      <c r="X352" s="34"/>
      <c r="Y352" s="34"/>
      <c r="Z352" s="34"/>
      <c r="AA352" s="34"/>
      <c r="AB352" s="34"/>
      <c r="AC352" s="34"/>
    </row>
    <row r="353" spans="1:29" ht="15.75" customHeight="1" x14ac:dyDescent="0.2">
      <c r="A353" s="34"/>
      <c r="B353" s="34"/>
      <c r="C353" s="33"/>
      <c r="D353" s="34"/>
      <c r="E353" s="34"/>
      <c r="F353" s="34"/>
      <c r="G353" s="34"/>
      <c r="H353" s="33"/>
      <c r="I353" s="33"/>
      <c r="J353" s="34"/>
      <c r="K353" s="34"/>
      <c r="L353" s="34"/>
      <c r="M353" s="34"/>
      <c r="N353" s="34"/>
      <c r="O353" s="34"/>
      <c r="P353" s="34"/>
      <c r="Q353" s="34"/>
      <c r="R353" s="34"/>
      <c r="S353" s="34"/>
      <c r="T353" s="34"/>
      <c r="U353" s="34"/>
      <c r="V353" s="34"/>
      <c r="W353" s="34"/>
      <c r="X353" s="34"/>
      <c r="Y353" s="34"/>
      <c r="Z353" s="34"/>
      <c r="AA353" s="34"/>
      <c r="AB353" s="34"/>
      <c r="AC353" s="34"/>
    </row>
    <row r="354" spans="1:29" ht="15.75" customHeight="1" x14ac:dyDescent="0.2">
      <c r="A354" s="34"/>
      <c r="B354" s="34"/>
      <c r="C354" s="33"/>
      <c r="D354" s="34"/>
      <c r="E354" s="34"/>
      <c r="F354" s="34"/>
      <c r="G354" s="34"/>
      <c r="H354" s="33"/>
      <c r="I354" s="33"/>
      <c r="J354" s="34"/>
      <c r="K354" s="34"/>
      <c r="L354" s="34"/>
      <c r="M354" s="34"/>
      <c r="N354" s="34"/>
      <c r="O354" s="34"/>
      <c r="P354" s="34"/>
      <c r="Q354" s="34"/>
      <c r="R354" s="34"/>
      <c r="S354" s="34"/>
      <c r="T354" s="34"/>
      <c r="U354" s="34"/>
      <c r="V354" s="34"/>
      <c r="W354" s="34"/>
      <c r="X354" s="34"/>
      <c r="Y354" s="34"/>
      <c r="Z354" s="34"/>
      <c r="AA354" s="34"/>
      <c r="AB354" s="34"/>
      <c r="AC354" s="34"/>
    </row>
    <row r="355" spans="1:29" ht="15.75" customHeight="1" x14ac:dyDescent="0.2">
      <c r="A355" s="34"/>
      <c r="B355" s="34"/>
      <c r="C355" s="33"/>
      <c r="D355" s="34"/>
      <c r="E355" s="34"/>
      <c r="F355" s="34"/>
      <c r="G355" s="34"/>
      <c r="H355" s="33"/>
      <c r="I355" s="33"/>
      <c r="J355" s="34"/>
      <c r="K355" s="34"/>
      <c r="L355" s="34"/>
      <c r="M355" s="34"/>
      <c r="N355" s="34"/>
      <c r="O355" s="34"/>
      <c r="P355" s="34"/>
      <c r="Q355" s="34"/>
      <c r="R355" s="34"/>
      <c r="S355" s="34"/>
      <c r="T355" s="34"/>
      <c r="U355" s="34"/>
      <c r="V355" s="34"/>
      <c r="W355" s="34"/>
      <c r="X355" s="34"/>
      <c r="Y355" s="34"/>
      <c r="Z355" s="34"/>
      <c r="AA355" s="34"/>
      <c r="AB355" s="34"/>
      <c r="AC355" s="34"/>
    </row>
    <row r="356" spans="1:29" ht="15.75" customHeight="1" x14ac:dyDescent="0.2">
      <c r="A356" s="34"/>
      <c r="B356" s="34"/>
      <c r="C356" s="33"/>
      <c r="D356" s="34"/>
      <c r="E356" s="34"/>
      <c r="F356" s="34"/>
      <c r="G356" s="34"/>
      <c r="H356" s="33"/>
      <c r="I356" s="33"/>
      <c r="J356" s="34"/>
      <c r="K356" s="34"/>
      <c r="L356" s="34"/>
      <c r="M356" s="34"/>
      <c r="N356" s="34"/>
      <c r="O356" s="34"/>
      <c r="P356" s="34"/>
      <c r="Q356" s="34"/>
      <c r="R356" s="34"/>
      <c r="S356" s="34"/>
      <c r="T356" s="34"/>
      <c r="U356" s="34"/>
      <c r="V356" s="34"/>
      <c r="W356" s="34"/>
      <c r="X356" s="34"/>
      <c r="Y356" s="34"/>
      <c r="Z356" s="34"/>
      <c r="AA356" s="34"/>
      <c r="AB356" s="34"/>
      <c r="AC356" s="34"/>
    </row>
    <row r="357" spans="1:29" ht="15.75" customHeight="1" x14ac:dyDescent="0.2">
      <c r="A357" s="34"/>
      <c r="B357" s="34"/>
      <c r="C357" s="33"/>
      <c r="D357" s="34"/>
      <c r="E357" s="34"/>
      <c r="F357" s="34"/>
      <c r="G357" s="34"/>
      <c r="H357" s="33"/>
      <c r="I357" s="33"/>
      <c r="J357" s="34"/>
      <c r="K357" s="34"/>
      <c r="L357" s="34"/>
      <c r="M357" s="34"/>
      <c r="N357" s="34"/>
      <c r="O357" s="34"/>
      <c r="P357" s="34"/>
      <c r="Q357" s="34"/>
      <c r="R357" s="34"/>
      <c r="S357" s="34"/>
      <c r="T357" s="34"/>
      <c r="U357" s="34"/>
      <c r="V357" s="34"/>
      <c r="W357" s="34"/>
      <c r="X357" s="34"/>
      <c r="Y357" s="34"/>
      <c r="Z357" s="34"/>
      <c r="AA357" s="34"/>
      <c r="AB357" s="34"/>
      <c r="AC357" s="34"/>
    </row>
    <row r="358" spans="1:29" ht="15.75" customHeight="1" x14ac:dyDescent="0.2">
      <c r="A358" s="34"/>
      <c r="B358" s="34"/>
      <c r="C358" s="33"/>
      <c r="D358" s="34"/>
      <c r="E358" s="34"/>
      <c r="F358" s="34"/>
      <c r="G358" s="34"/>
      <c r="H358" s="33"/>
      <c r="I358" s="33"/>
      <c r="J358" s="34"/>
      <c r="K358" s="34"/>
      <c r="L358" s="34"/>
      <c r="M358" s="34"/>
      <c r="N358" s="34"/>
      <c r="O358" s="34"/>
      <c r="P358" s="34"/>
      <c r="Q358" s="34"/>
      <c r="R358" s="34"/>
      <c r="S358" s="34"/>
      <c r="T358" s="34"/>
      <c r="U358" s="34"/>
      <c r="V358" s="34"/>
      <c r="W358" s="34"/>
      <c r="X358" s="34"/>
      <c r="Y358" s="34"/>
      <c r="Z358" s="34"/>
      <c r="AA358" s="34"/>
      <c r="AB358" s="34"/>
      <c r="AC358" s="34"/>
    </row>
    <row r="359" spans="1:29" ht="15.75" customHeight="1" x14ac:dyDescent="0.2">
      <c r="A359" s="34"/>
      <c r="B359" s="34"/>
      <c r="C359" s="33"/>
      <c r="D359" s="34"/>
      <c r="E359" s="34"/>
      <c r="F359" s="34"/>
      <c r="G359" s="34"/>
      <c r="H359" s="33"/>
      <c r="I359" s="33"/>
      <c r="J359" s="34"/>
      <c r="K359" s="34"/>
      <c r="L359" s="34"/>
      <c r="M359" s="34"/>
      <c r="N359" s="34"/>
      <c r="O359" s="34"/>
      <c r="P359" s="34"/>
      <c r="Q359" s="34"/>
      <c r="R359" s="34"/>
      <c r="S359" s="34"/>
      <c r="T359" s="34"/>
      <c r="U359" s="34"/>
      <c r="V359" s="34"/>
      <c r="W359" s="34"/>
      <c r="X359" s="34"/>
      <c r="Y359" s="34"/>
      <c r="Z359" s="34"/>
      <c r="AA359" s="34"/>
      <c r="AB359" s="34"/>
      <c r="AC359" s="34"/>
    </row>
    <row r="360" spans="1:29" ht="15.75" customHeight="1" x14ac:dyDescent="0.2">
      <c r="A360" s="34"/>
      <c r="B360" s="34"/>
      <c r="C360" s="33"/>
      <c r="D360" s="34"/>
      <c r="E360" s="34"/>
      <c r="F360" s="34"/>
      <c r="G360" s="34"/>
      <c r="H360" s="33"/>
      <c r="I360" s="33"/>
      <c r="J360" s="34"/>
      <c r="K360" s="34"/>
      <c r="L360" s="34"/>
      <c r="M360" s="34"/>
      <c r="N360" s="34"/>
      <c r="O360" s="34"/>
      <c r="P360" s="34"/>
      <c r="Q360" s="34"/>
      <c r="R360" s="34"/>
      <c r="S360" s="34"/>
      <c r="T360" s="34"/>
      <c r="U360" s="34"/>
      <c r="V360" s="34"/>
      <c r="W360" s="34"/>
      <c r="X360" s="34"/>
      <c r="Y360" s="34"/>
      <c r="Z360" s="34"/>
      <c r="AA360" s="34"/>
      <c r="AB360" s="34"/>
      <c r="AC360" s="34"/>
    </row>
    <row r="361" spans="1:29" ht="15.75" customHeight="1" x14ac:dyDescent="0.2">
      <c r="A361" s="34"/>
      <c r="B361" s="34"/>
      <c r="C361" s="33"/>
      <c r="D361" s="34"/>
      <c r="E361" s="34"/>
      <c r="F361" s="34"/>
      <c r="G361" s="34"/>
      <c r="H361" s="33"/>
      <c r="I361" s="33"/>
      <c r="J361" s="34"/>
      <c r="K361" s="34"/>
      <c r="L361" s="34"/>
      <c r="M361" s="34"/>
      <c r="N361" s="34"/>
      <c r="O361" s="34"/>
      <c r="P361" s="34"/>
      <c r="Q361" s="34"/>
      <c r="R361" s="34"/>
      <c r="S361" s="34"/>
      <c r="T361" s="34"/>
      <c r="U361" s="34"/>
      <c r="V361" s="34"/>
      <c r="W361" s="34"/>
      <c r="X361" s="34"/>
      <c r="Y361" s="34"/>
      <c r="Z361" s="34"/>
      <c r="AA361" s="34"/>
      <c r="AB361" s="34"/>
      <c r="AC361" s="34"/>
    </row>
    <row r="362" spans="1:29" ht="15.75" customHeight="1" x14ac:dyDescent="0.2">
      <c r="A362" s="34"/>
      <c r="B362" s="34"/>
      <c r="C362" s="33"/>
      <c r="D362" s="34"/>
      <c r="E362" s="34"/>
      <c r="F362" s="34"/>
      <c r="G362" s="34"/>
      <c r="H362" s="33"/>
      <c r="I362" s="33"/>
      <c r="J362" s="34"/>
      <c r="K362" s="34"/>
      <c r="L362" s="34"/>
      <c r="M362" s="34"/>
      <c r="N362" s="34"/>
      <c r="O362" s="34"/>
      <c r="P362" s="34"/>
      <c r="Q362" s="34"/>
      <c r="R362" s="34"/>
      <c r="S362" s="34"/>
      <c r="T362" s="34"/>
      <c r="U362" s="34"/>
      <c r="V362" s="34"/>
      <c r="W362" s="34"/>
      <c r="X362" s="34"/>
      <c r="Y362" s="34"/>
      <c r="Z362" s="34"/>
      <c r="AA362" s="34"/>
      <c r="AB362" s="34"/>
      <c r="AC362" s="34"/>
    </row>
    <row r="363" spans="1:29" ht="15.75" customHeight="1" x14ac:dyDescent="0.2">
      <c r="A363" s="34"/>
      <c r="B363" s="34"/>
      <c r="C363" s="33"/>
      <c r="D363" s="34"/>
      <c r="E363" s="34"/>
      <c r="F363" s="34"/>
      <c r="G363" s="34"/>
      <c r="H363" s="33"/>
      <c r="I363" s="33"/>
      <c r="J363" s="34"/>
      <c r="K363" s="34"/>
      <c r="L363" s="34"/>
      <c r="M363" s="34"/>
      <c r="N363" s="34"/>
      <c r="O363" s="34"/>
      <c r="P363" s="34"/>
      <c r="Q363" s="34"/>
      <c r="R363" s="34"/>
      <c r="S363" s="34"/>
      <c r="T363" s="34"/>
      <c r="U363" s="34"/>
      <c r="V363" s="34"/>
      <c r="W363" s="34"/>
      <c r="X363" s="34"/>
      <c r="Y363" s="34"/>
      <c r="Z363" s="34"/>
      <c r="AA363" s="34"/>
      <c r="AB363" s="34"/>
      <c r="AC363" s="34"/>
    </row>
    <row r="364" spans="1:29" ht="15.75" customHeight="1" x14ac:dyDescent="0.2">
      <c r="A364" s="34"/>
      <c r="B364" s="34"/>
      <c r="C364" s="33"/>
      <c r="D364" s="34"/>
      <c r="E364" s="34"/>
      <c r="F364" s="34"/>
      <c r="G364" s="34"/>
      <c r="H364" s="33"/>
      <c r="I364" s="33"/>
      <c r="J364" s="34"/>
      <c r="K364" s="34"/>
      <c r="L364" s="34"/>
      <c r="M364" s="34"/>
      <c r="N364" s="34"/>
      <c r="O364" s="34"/>
      <c r="P364" s="34"/>
      <c r="Q364" s="34"/>
      <c r="R364" s="34"/>
      <c r="S364" s="34"/>
      <c r="T364" s="34"/>
      <c r="U364" s="34"/>
      <c r="V364" s="34"/>
      <c r="W364" s="34"/>
      <c r="X364" s="34"/>
      <c r="Y364" s="34"/>
      <c r="Z364" s="34"/>
      <c r="AA364" s="34"/>
      <c r="AB364" s="34"/>
      <c r="AC364" s="34"/>
    </row>
    <row r="365" spans="1:29" ht="15.75" customHeight="1" x14ac:dyDescent="0.2">
      <c r="A365" s="34"/>
      <c r="B365" s="34"/>
      <c r="C365" s="33"/>
      <c r="D365" s="34"/>
      <c r="E365" s="34"/>
      <c r="F365" s="34"/>
      <c r="G365" s="34"/>
      <c r="H365" s="33"/>
      <c r="I365" s="33"/>
      <c r="J365" s="34"/>
      <c r="K365" s="34"/>
      <c r="L365" s="34"/>
      <c r="M365" s="34"/>
      <c r="N365" s="34"/>
      <c r="O365" s="34"/>
      <c r="P365" s="34"/>
      <c r="Q365" s="34"/>
      <c r="R365" s="34"/>
      <c r="S365" s="34"/>
      <c r="T365" s="34"/>
      <c r="U365" s="34"/>
      <c r="V365" s="34"/>
      <c r="W365" s="34"/>
      <c r="X365" s="34"/>
      <c r="Y365" s="34"/>
      <c r="Z365" s="34"/>
      <c r="AA365" s="34"/>
      <c r="AB365" s="34"/>
      <c r="AC365" s="34"/>
    </row>
    <row r="366" spans="1:29" ht="15.75" customHeight="1" x14ac:dyDescent="0.2">
      <c r="A366" s="34"/>
      <c r="B366" s="34"/>
      <c r="C366" s="33"/>
      <c r="D366" s="34"/>
      <c r="E366" s="34"/>
      <c r="F366" s="34"/>
      <c r="G366" s="34"/>
      <c r="H366" s="33"/>
      <c r="I366" s="33"/>
      <c r="J366" s="34"/>
      <c r="K366" s="34"/>
      <c r="L366" s="34"/>
      <c r="M366" s="34"/>
      <c r="N366" s="34"/>
      <c r="O366" s="34"/>
      <c r="P366" s="34"/>
      <c r="Q366" s="34"/>
      <c r="R366" s="34"/>
      <c r="S366" s="34"/>
      <c r="T366" s="34"/>
      <c r="U366" s="34"/>
      <c r="V366" s="34"/>
      <c r="W366" s="34"/>
      <c r="X366" s="34"/>
      <c r="Y366" s="34"/>
      <c r="Z366" s="34"/>
      <c r="AA366" s="34"/>
      <c r="AB366" s="34"/>
      <c r="AC366" s="34"/>
    </row>
    <row r="367" spans="1:29" ht="15.75" customHeight="1" x14ac:dyDescent="0.2">
      <c r="A367" s="34"/>
      <c r="B367" s="34"/>
      <c r="C367" s="33"/>
      <c r="D367" s="34"/>
      <c r="E367" s="34"/>
      <c r="F367" s="34"/>
      <c r="G367" s="34"/>
      <c r="H367" s="33"/>
      <c r="I367" s="33"/>
      <c r="J367" s="34"/>
      <c r="K367" s="34"/>
      <c r="L367" s="34"/>
      <c r="M367" s="34"/>
      <c r="N367" s="34"/>
      <c r="O367" s="34"/>
      <c r="P367" s="34"/>
      <c r="Q367" s="34"/>
      <c r="R367" s="34"/>
      <c r="S367" s="34"/>
      <c r="T367" s="34"/>
      <c r="U367" s="34"/>
      <c r="V367" s="34"/>
      <c r="W367" s="34"/>
      <c r="X367" s="34"/>
      <c r="Y367" s="34"/>
      <c r="Z367" s="34"/>
      <c r="AA367" s="34"/>
      <c r="AB367" s="34"/>
      <c r="AC367" s="34"/>
    </row>
    <row r="368" spans="1:29" ht="15.75" customHeight="1" x14ac:dyDescent="0.2">
      <c r="A368" s="34"/>
      <c r="B368" s="34"/>
      <c r="C368" s="33"/>
      <c r="D368" s="34"/>
      <c r="E368" s="34"/>
      <c r="F368" s="34"/>
      <c r="G368" s="34"/>
      <c r="H368" s="33"/>
      <c r="I368" s="33"/>
      <c r="J368" s="34"/>
      <c r="K368" s="34"/>
      <c r="L368" s="34"/>
      <c r="M368" s="34"/>
      <c r="N368" s="34"/>
      <c r="O368" s="34"/>
      <c r="P368" s="34"/>
      <c r="Q368" s="34"/>
      <c r="R368" s="34"/>
      <c r="S368" s="34"/>
      <c r="T368" s="34"/>
      <c r="U368" s="34"/>
      <c r="V368" s="34"/>
      <c r="W368" s="34"/>
      <c r="X368" s="34"/>
      <c r="Y368" s="34"/>
      <c r="Z368" s="34"/>
      <c r="AA368" s="34"/>
      <c r="AB368" s="34"/>
      <c r="AC368" s="34"/>
    </row>
    <row r="369" spans="1:29" ht="15.75" customHeight="1" x14ac:dyDescent="0.2">
      <c r="A369" s="34"/>
      <c r="B369" s="34"/>
      <c r="C369" s="33"/>
      <c r="D369" s="34"/>
      <c r="E369" s="34"/>
      <c r="F369" s="34"/>
      <c r="G369" s="34"/>
      <c r="H369" s="33"/>
      <c r="I369" s="33"/>
      <c r="J369" s="34"/>
      <c r="K369" s="34"/>
      <c r="L369" s="34"/>
      <c r="M369" s="34"/>
      <c r="N369" s="34"/>
      <c r="O369" s="34"/>
      <c r="P369" s="34"/>
      <c r="Q369" s="34"/>
      <c r="R369" s="34"/>
      <c r="S369" s="34"/>
      <c r="T369" s="34"/>
      <c r="U369" s="34"/>
      <c r="V369" s="34"/>
      <c r="W369" s="34"/>
      <c r="X369" s="34"/>
      <c r="Y369" s="34"/>
      <c r="Z369" s="34"/>
      <c r="AA369" s="34"/>
      <c r="AB369" s="34"/>
      <c r="AC369" s="34"/>
    </row>
    <row r="370" spans="1:29" ht="15.75" customHeight="1" x14ac:dyDescent="0.2">
      <c r="A370" s="34"/>
      <c r="B370" s="34"/>
      <c r="C370" s="33"/>
      <c r="D370" s="34"/>
      <c r="E370" s="34"/>
      <c r="F370" s="34"/>
      <c r="G370" s="34"/>
      <c r="H370" s="33"/>
      <c r="I370" s="33"/>
      <c r="J370" s="34"/>
      <c r="K370" s="34"/>
      <c r="L370" s="34"/>
      <c r="M370" s="34"/>
      <c r="N370" s="34"/>
      <c r="O370" s="34"/>
      <c r="P370" s="34"/>
      <c r="Q370" s="34"/>
      <c r="R370" s="34"/>
      <c r="S370" s="34"/>
      <c r="T370" s="34"/>
      <c r="U370" s="34"/>
      <c r="V370" s="34"/>
      <c r="W370" s="34"/>
      <c r="X370" s="34"/>
      <c r="Y370" s="34"/>
      <c r="Z370" s="34"/>
      <c r="AA370" s="34"/>
      <c r="AB370" s="34"/>
      <c r="AC370" s="34"/>
    </row>
    <row r="371" spans="1:29" ht="15.75" customHeight="1" x14ac:dyDescent="0.2">
      <c r="A371" s="34"/>
      <c r="B371" s="34"/>
      <c r="C371" s="33"/>
      <c r="D371" s="34"/>
      <c r="E371" s="34"/>
      <c r="F371" s="34"/>
      <c r="G371" s="34"/>
      <c r="H371" s="33"/>
      <c r="I371" s="33"/>
      <c r="J371" s="34"/>
      <c r="K371" s="34"/>
      <c r="L371" s="34"/>
      <c r="M371" s="34"/>
      <c r="N371" s="34"/>
      <c r="O371" s="34"/>
      <c r="P371" s="34"/>
      <c r="Q371" s="34"/>
      <c r="R371" s="34"/>
      <c r="S371" s="34"/>
      <c r="T371" s="34"/>
      <c r="U371" s="34"/>
      <c r="V371" s="34"/>
      <c r="W371" s="34"/>
      <c r="X371" s="34"/>
      <c r="Y371" s="34"/>
      <c r="Z371" s="34"/>
      <c r="AA371" s="34"/>
      <c r="AB371" s="34"/>
      <c r="AC371" s="34"/>
    </row>
    <row r="372" spans="1:29" ht="15.75" customHeight="1" x14ac:dyDescent="0.2">
      <c r="A372" s="34"/>
      <c r="B372" s="34"/>
      <c r="C372" s="33"/>
      <c r="D372" s="34"/>
      <c r="E372" s="34"/>
      <c r="F372" s="34"/>
      <c r="G372" s="34"/>
      <c r="H372" s="33"/>
      <c r="I372" s="33"/>
      <c r="J372" s="34"/>
      <c r="K372" s="34"/>
      <c r="L372" s="34"/>
      <c r="M372" s="34"/>
      <c r="N372" s="34"/>
      <c r="O372" s="34"/>
      <c r="P372" s="34"/>
      <c r="Q372" s="34"/>
      <c r="R372" s="34"/>
      <c r="S372" s="34"/>
      <c r="T372" s="34"/>
      <c r="U372" s="34"/>
      <c r="V372" s="34"/>
      <c r="W372" s="34"/>
      <c r="X372" s="34"/>
      <c r="Y372" s="34"/>
      <c r="Z372" s="34"/>
      <c r="AA372" s="34"/>
      <c r="AB372" s="34"/>
      <c r="AC372" s="34"/>
    </row>
    <row r="373" spans="1:29" ht="15.75" customHeight="1" x14ac:dyDescent="0.2">
      <c r="A373" s="34"/>
      <c r="B373" s="34"/>
      <c r="C373" s="33"/>
      <c r="D373" s="34"/>
      <c r="E373" s="34"/>
      <c r="F373" s="34"/>
      <c r="G373" s="34"/>
      <c r="H373" s="33"/>
      <c r="I373" s="33"/>
      <c r="J373" s="34"/>
      <c r="K373" s="34"/>
      <c r="L373" s="34"/>
      <c r="M373" s="34"/>
      <c r="N373" s="34"/>
      <c r="O373" s="34"/>
      <c r="P373" s="34"/>
      <c r="Q373" s="34"/>
      <c r="R373" s="34"/>
      <c r="S373" s="34"/>
      <c r="T373" s="34"/>
      <c r="U373" s="34"/>
      <c r="V373" s="34"/>
      <c r="W373" s="34"/>
      <c r="X373" s="34"/>
      <c r="Y373" s="34"/>
      <c r="Z373" s="34"/>
      <c r="AA373" s="34"/>
      <c r="AB373" s="34"/>
      <c r="AC373" s="34"/>
    </row>
    <row r="374" spans="1:29" ht="15.75" customHeight="1" x14ac:dyDescent="0.2">
      <c r="A374" s="34"/>
      <c r="B374" s="34"/>
      <c r="C374" s="33"/>
      <c r="D374" s="34"/>
      <c r="E374" s="34"/>
      <c r="F374" s="34"/>
      <c r="G374" s="34"/>
      <c r="H374" s="33"/>
      <c r="I374" s="33"/>
      <c r="J374" s="34"/>
      <c r="K374" s="34"/>
      <c r="L374" s="34"/>
      <c r="M374" s="34"/>
      <c r="N374" s="34"/>
      <c r="O374" s="34"/>
      <c r="P374" s="34"/>
      <c r="Q374" s="34"/>
      <c r="R374" s="34"/>
      <c r="S374" s="34"/>
      <c r="T374" s="34"/>
      <c r="U374" s="34"/>
      <c r="V374" s="34"/>
      <c r="W374" s="34"/>
      <c r="X374" s="34"/>
      <c r="Y374" s="34"/>
      <c r="Z374" s="34"/>
      <c r="AA374" s="34"/>
      <c r="AB374" s="34"/>
      <c r="AC374" s="34"/>
    </row>
    <row r="375" spans="1:29" ht="15.75" customHeight="1" x14ac:dyDescent="0.2">
      <c r="A375" s="34"/>
      <c r="B375" s="34"/>
      <c r="C375" s="33"/>
      <c r="D375" s="34"/>
      <c r="E375" s="34"/>
      <c r="F375" s="34"/>
      <c r="G375" s="34"/>
      <c r="H375" s="33"/>
      <c r="I375" s="33"/>
      <c r="J375" s="34"/>
      <c r="K375" s="34"/>
      <c r="L375" s="34"/>
      <c r="M375" s="34"/>
      <c r="N375" s="34"/>
      <c r="O375" s="34"/>
      <c r="P375" s="34"/>
      <c r="Q375" s="34"/>
      <c r="R375" s="34"/>
      <c r="S375" s="34"/>
      <c r="T375" s="34"/>
      <c r="U375" s="34"/>
      <c r="V375" s="34"/>
      <c r="W375" s="34"/>
      <c r="X375" s="34"/>
      <c r="Y375" s="34"/>
      <c r="Z375" s="34"/>
      <c r="AA375" s="34"/>
      <c r="AB375" s="34"/>
      <c r="AC375" s="34"/>
    </row>
    <row r="376" spans="1:29" ht="15.75" customHeight="1" x14ac:dyDescent="0.2">
      <c r="A376" s="34"/>
      <c r="B376" s="34"/>
      <c r="C376" s="33"/>
      <c r="D376" s="34"/>
      <c r="E376" s="34"/>
      <c r="F376" s="34"/>
      <c r="G376" s="34"/>
      <c r="H376" s="33"/>
      <c r="I376" s="33"/>
      <c r="J376" s="34"/>
      <c r="K376" s="34"/>
      <c r="L376" s="34"/>
      <c r="M376" s="34"/>
      <c r="N376" s="34"/>
      <c r="O376" s="34"/>
      <c r="P376" s="34"/>
      <c r="Q376" s="34"/>
      <c r="R376" s="34"/>
      <c r="S376" s="34"/>
      <c r="T376" s="34"/>
      <c r="U376" s="34"/>
      <c r="V376" s="34"/>
      <c r="W376" s="34"/>
      <c r="X376" s="34"/>
      <c r="Y376" s="34"/>
      <c r="Z376" s="34"/>
      <c r="AA376" s="34"/>
      <c r="AB376" s="34"/>
      <c r="AC376" s="34"/>
    </row>
    <row r="377" spans="1:29" ht="15.75" customHeight="1" x14ac:dyDescent="0.2">
      <c r="A377" s="34"/>
      <c r="B377" s="34"/>
      <c r="C377" s="33"/>
      <c r="D377" s="34"/>
      <c r="E377" s="34"/>
      <c r="F377" s="34"/>
      <c r="G377" s="34"/>
      <c r="H377" s="33"/>
      <c r="I377" s="33"/>
      <c r="J377" s="34"/>
      <c r="K377" s="34"/>
      <c r="L377" s="34"/>
      <c r="M377" s="34"/>
      <c r="N377" s="34"/>
      <c r="O377" s="34"/>
      <c r="P377" s="34"/>
      <c r="Q377" s="34"/>
      <c r="R377" s="34"/>
      <c r="S377" s="34"/>
      <c r="T377" s="34"/>
      <c r="U377" s="34"/>
      <c r="V377" s="34"/>
      <c r="W377" s="34"/>
      <c r="X377" s="34"/>
      <c r="Y377" s="34"/>
      <c r="Z377" s="34"/>
      <c r="AA377" s="34"/>
      <c r="AB377" s="34"/>
      <c r="AC377" s="34"/>
    </row>
    <row r="378" spans="1:29" ht="15.75" customHeight="1" x14ac:dyDescent="0.2">
      <c r="A378" s="34"/>
      <c r="B378" s="34"/>
      <c r="C378" s="33"/>
      <c r="D378" s="34"/>
      <c r="E378" s="34"/>
      <c r="F378" s="34"/>
      <c r="G378" s="34"/>
      <c r="H378" s="33"/>
      <c r="I378" s="33"/>
      <c r="J378" s="34"/>
      <c r="K378" s="34"/>
      <c r="L378" s="34"/>
      <c r="M378" s="34"/>
      <c r="N378" s="34"/>
      <c r="O378" s="34"/>
      <c r="P378" s="34"/>
      <c r="Q378" s="34"/>
      <c r="R378" s="34"/>
      <c r="S378" s="34"/>
      <c r="T378" s="34"/>
      <c r="U378" s="34"/>
      <c r="V378" s="34"/>
      <c r="W378" s="34"/>
      <c r="X378" s="34"/>
      <c r="Y378" s="34"/>
      <c r="Z378" s="34"/>
      <c r="AA378" s="34"/>
      <c r="AB378" s="34"/>
      <c r="AC378" s="34"/>
    </row>
    <row r="379" spans="1:29" ht="15.75" customHeight="1" x14ac:dyDescent="0.2">
      <c r="A379" s="34"/>
      <c r="B379" s="34"/>
      <c r="C379" s="33"/>
      <c r="D379" s="34"/>
      <c r="E379" s="34"/>
      <c r="F379" s="34"/>
      <c r="G379" s="34"/>
      <c r="H379" s="33"/>
      <c r="I379" s="33"/>
      <c r="J379" s="34"/>
      <c r="K379" s="34"/>
      <c r="L379" s="34"/>
      <c r="M379" s="34"/>
      <c r="N379" s="34"/>
      <c r="O379" s="34"/>
      <c r="P379" s="34"/>
      <c r="Q379" s="34"/>
      <c r="R379" s="34"/>
      <c r="S379" s="34"/>
      <c r="T379" s="34"/>
      <c r="U379" s="34"/>
      <c r="V379" s="34"/>
      <c r="W379" s="34"/>
      <c r="X379" s="34"/>
      <c r="Y379" s="34"/>
      <c r="Z379" s="34"/>
      <c r="AA379" s="34"/>
      <c r="AB379" s="34"/>
      <c r="AC379" s="34"/>
    </row>
    <row r="380" spans="1:29" ht="15.75" customHeight="1" x14ac:dyDescent="0.2">
      <c r="A380" s="34"/>
      <c r="B380" s="34"/>
      <c r="C380" s="33"/>
      <c r="D380" s="34"/>
      <c r="E380" s="34"/>
      <c r="F380" s="34"/>
      <c r="G380" s="34"/>
      <c r="H380" s="33"/>
      <c r="I380" s="33"/>
      <c r="J380" s="34"/>
      <c r="K380" s="34"/>
      <c r="L380" s="34"/>
      <c r="M380" s="34"/>
      <c r="N380" s="34"/>
      <c r="O380" s="34"/>
      <c r="P380" s="34"/>
      <c r="Q380" s="34"/>
      <c r="R380" s="34"/>
      <c r="S380" s="34"/>
      <c r="T380" s="34"/>
      <c r="U380" s="34"/>
      <c r="V380" s="34"/>
      <c r="W380" s="34"/>
      <c r="X380" s="34"/>
      <c r="Y380" s="34"/>
      <c r="Z380" s="34"/>
      <c r="AA380" s="34"/>
      <c r="AB380" s="34"/>
      <c r="AC380" s="34"/>
    </row>
    <row r="381" spans="1:29" ht="15.75" customHeight="1" x14ac:dyDescent="0.2">
      <c r="A381" s="34"/>
      <c r="B381" s="34"/>
      <c r="C381" s="33"/>
      <c r="D381" s="34"/>
      <c r="E381" s="34"/>
      <c r="F381" s="34"/>
      <c r="G381" s="34"/>
      <c r="H381" s="33"/>
      <c r="I381" s="33"/>
      <c r="J381" s="34"/>
      <c r="K381" s="34"/>
      <c r="L381" s="34"/>
      <c r="M381" s="34"/>
      <c r="N381" s="34"/>
      <c r="O381" s="34"/>
      <c r="P381" s="34"/>
      <c r="Q381" s="34"/>
      <c r="R381" s="34"/>
      <c r="S381" s="34"/>
      <c r="T381" s="34"/>
      <c r="U381" s="34"/>
      <c r="V381" s="34"/>
      <c r="W381" s="34"/>
      <c r="X381" s="34"/>
      <c r="Y381" s="34"/>
      <c r="Z381" s="34"/>
      <c r="AA381" s="34"/>
      <c r="AB381" s="34"/>
      <c r="AC381" s="34"/>
    </row>
    <row r="382" spans="1:29" ht="15.75" customHeight="1" x14ac:dyDescent="0.2">
      <c r="A382" s="34"/>
      <c r="B382" s="34"/>
      <c r="C382" s="33"/>
      <c r="D382" s="34"/>
      <c r="E382" s="34"/>
      <c r="F382" s="34"/>
      <c r="G382" s="34"/>
      <c r="H382" s="33"/>
      <c r="I382" s="33"/>
      <c r="J382" s="34"/>
      <c r="K382" s="34"/>
      <c r="L382" s="34"/>
      <c r="M382" s="34"/>
      <c r="N382" s="34"/>
      <c r="O382" s="34"/>
      <c r="P382" s="34"/>
      <c r="Q382" s="34"/>
      <c r="R382" s="34"/>
      <c r="S382" s="34"/>
      <c r="T382" s="34"/>
      <c r="U382" s="34"/>
      <c r="V382" s="34"/>
      <c r="W382" s="34"/>
      <c r="X382" s="34"/>
      <c r="Y382" s="34"/>
      <c r="Z382" s="34"/>
      <c r="AA382" s="34"/>
      <c r="AB382" s="34"/>
      <c r="AC382" s="34"/>
    </row>
    <row r="383" spans="1:29" ht="15.75" customHeight="1" x14ac:dyDescent="0.2">
      <c r="A383" s="34"/>
      <c r="B383" s="34"/>
      <c r="C383" s="33"/>
      <c r="D383" s="34"/>
      <c r="E383" s="34"/>
      <c r="F383" s="34"/>
      <c r="G383" s="34"/>
      <c r="H383" s="33"/>
      <c r="I383" s="33"/>
      <c r="J383" s="34"/>
      <c r="K383" s="34"/>
      <c r="L383" s="34"/>
      <c r="M383" s="34"/>
      <c r="N383" s="34"/>
      <c r="O383" s="34"/>
      <c r="P383" s="34"/>
      <c r="Q383" s="34"/>
      <c r="R383" s="34"/>
      <c r="S383" s="34"/>
      <c r="T383" s="34"/>
      <c r="U383" s="34"/>
      <c r="V383" s="34"/>
      <c r="W383" s="34"/>
      <c r="X383" s="34"/>
      <c r="Y383" s="34"/>
      <c r="Z383" s="34"/>
      <c r="AA383" s="34"/>
      <c r="AB383" s="34"/>
      <c r="AC383" s="34"/>
    </row>
    <row r="384" spans="1:29" ht="15.75" customHeight="1" x14ac:dyDescent="0.2">
      <c r="A384" s="34"/>
      <c r="B384" s="34"/>
      <c r="C384" s="33"/>
      <c r="D384" s="34"/>
      <c r="E384" s="34"/>
      <c r="F384" s="34"/>
      <c r="G384" s="34"/>
      <c r="H384" s="33"/>
      <c r="I384" s="33"/>
      <c r="J384" s="34"/>
      <c r="K384" s="34"/>
      <c r="L384" s="34"/>
      <c r="M384" s="34"/>
      <c r="N384" s="34"/>
      <c r="O384" s="34"/>
      <c r="P384" s="34"/>
      <c r="Q384" s="34"/>
      <c r="R384" s="34"/>
      <c r="S384" s="34"/>
      <c r="T384" s="34"/>
      <c r="U384" s="34"/>
      <c r="V384" s="34"/>
      <c r="W384" s="34"/>
      <c r="X384" s="34"/>
      <c r="Y384" s="34"/>
      <c r="Z384" s="34"/>
      <c r="AA384" s="34"/>
      <c r="AB384" s="34"/>
      <c r="AC384" s="34"/>
    </row>
    <row r="385" spans="1:29" ht="15.75" customHeight="1" x14ac:dyDescent="0.2">
      <c r="A385" s="34"/>
      <c r="B385" s="34"/>
      <c r="C385" s="33"/>
      <c r="D385" s="34"/>
      <c r="E385" s="34"/>
      <c r="F385" s="34"/>
      <c r="G385" s="34"/>
      <c r="H385" s="33"/>
      <c r="I385" s="33"/>
      <c r="J385" s="34"/>
      <c r="K385" s="34"/>
      <c r="L385" s="34"/>
      <c r="M385" s="34"/>
      <c r="N385" s="34"/>
      <c r="O385" s="34"/>
      <c r="P385" s="34"/>
      <c r="Q385" s="34"/>
      <c r="R385" s="34"/>
      <c r="S385" s="34"/>
      <c r="T385" s="34"/>
      <c r="U385" s="34"/>
      <c r="V385" s="34"/>
      <c r="W385" s="34"/>
      <c r="X385" s="34"/>
      <c r="Y385" s="34"/>
      <c r="Z385" s="34"/>
      <c r="AA385" s="34"/>
      <c r="AB385" s="34"/>
      <c r="AC385" s="34"/>
    </row>
    <row r="386" spans="1:29" ht="15.75" customHeight="1" x14ac:dyDescent="0.2">
      <c r="A386" s="34"/>
      <c r="B386" s="34"/>
      <c r="C386" s="33"/>
      <c r="D386" s="34"/>
      <c r="E386" s="34"/>
      <c r="F386" s="34"/>
      <c r="G386" s="34"/>
      <c r="H386" s="33"/>
      <c r="I386" s="33"/>
      <c r="J386" s="34"/>
      <c r="K386" s="34"/>
      <c r="L386" s="34"/>
      <c r="M386" s="34"/>
      <c r="N386" s="34"/>
      <c r="O386" s="34"/>
      <c r="P386" s="34"/>
      <c r="Q386" s="34"/>
      <c r="R386" s="34"/>
      <c r="S386" s="34"/>
      <c r="T386" s="34"/>
      <c r="U386" s="34"/>
      <c r="V386" s="34"/>
      <c r="W386" s="34"/>
      <c r="X386" s="34"/>
      <c r="Y386" s="34"/>
      <c r="Z386" s="34"/>
      <c r="AA386" s="34"/>
      <c r="AB386" s="34"/>
      <c r="AC386" s="34"/>
    </row>
    <row r="387" spans="1:29" ht="15.75" customHeight="1" x14ac:dyDescent="0.2">
      <c r="A387" s="34"/>
      <c r="B387" s="34"/>
      <c r="C387" s="33"/>
      <c r="D387" s="34"/>
      <c r="E387" s="34"/>
      <c r="F387" s="34"/>
      <c r="G387" s="34"/>
      <c r="H387" s="33"/>
      <c r="I387" s="33"/>
      <c r="J387" s="34"/>
      <c r="K387" s="34"/>
      <c r="L387" s="34"/>
      <c r="M387" s="34"/>
      <c r="N387" s="34"/>
      <c r="O387" s="34"/>
      <c r="P387" s="34"/>
      <c r="Q387" s="34"/>
      <c r="R387" s="34"/>
      <c r="S387" s="34"/>
      <c r="T387" s="34"/>
      <c r="U387" s="34"/>
      <c r="V387" s="34"/>
      <c r="W387" s="34"/>
      <c r="X387" s="34"/>
      <c r="Y387" s="34"/>
      <c r="Z387" s="34"/>
      <c r="AA387" s="34"/>
      <c r="AB387" s="34"/>
      <c r="AC387" s="34"/>
    </row>
    <row r="388" spans="1:29" ht="15.75" customHeight="1" x14ac:dyDescent="0.2">
      <c r="A388" s="34"/>
      <c r="B388" s="34"/>
      <c r="C388" s="33"/>
      <c r="D388" s="34"/>
      <c r="E388" s="34"/>
      <c r="F388" s="34"/>
      <c r="G388" s="34"/>
      <c r="H388" s="33"/>
      <c r="I388" s="33"/>
      <c r="J388" s="34"/>
      <c r="K388" s="34"/>
      <c r="L388" s="34"/>
      <c r="M388" s="34"/>
      <c r="N388" s="34"/>
      <c r="O388" s="34"/>
      <c r="P388" s="34"/>
      <c r="Q388" s="34"/>
      <c r="R388" s="34"/>
      <c r="S388" s="34"/>
      <c r="T388" s="34"/>
      <c r="U388" s="34"/>
      <c r="V388" s="34"/>
      <c r="W388" s="34"/>
      <c r="X388" s="34"/>
      <c r="Y388" s="34"/>
      <c r="Z388" s="34"/>
      <c r="AA388" s="34"/>
      <c r="AB388" s="34"/>
      <c r="AC388" s="34"/>
    </row>
    <row r="389" spans="1:29" ht="15.75" customHeight="1" x14ac:dyDescent="0.2">
      <c r="A389" s="34"/>
      <c r="B389" s="34"/>
      <c r="C389" s="33"/>
      <c r="D389" s="34"/>
      <c r="E389" s="34"/>
      <c r="F389" s="34"/>
      <c r="G389" s="34"/>
      <c r="H389" s="33"/>
      <c r="I389" s="33"/>
      <c r="J389" s="34"/>
      <c r="K389" s="34"/>
      <c r="L389" s="34"/>
      <c r="M389" s="34"/>
      <c r="N389" s="34"/>
      <c r="O389" s="34"/>
      <c r="P389" s="34"/>
      <c r="Q389" s="34"/>
      <c r="R389" s="34"/>
      <c r="S389" s="34"/>
      <c r="T389" s="34"/>
      <c r="U389" s="34"/>
      <c r="V389" s="34"/>
      <c r="W389" s="34"/>
      <c r="X389" s="34"/>
      <c r="Y389" s="34"/>
      <c r="Z389" s="34"/>
      <c r="AA389" s="34"/>
      <c r="AB389" s="34"/>
      <c r="AC389" s="34"/>
    </row>
    <row r="390" spans="1:29" ht="15.75" customHeight="1" x14ac:dyDescent="0.2">
      <c r="A390" s="34"/>
      <c r="B390" s="34"/>
      <c r="C390" s="33"/>
      <c r="D390" s="34"/>
      <c r="E390" s="34"/>
      <c r="F390" s="34"/>
      <c r="G390" s="34"/>
      <c r="H390" s="33"/>
      <c r="I390" s="33"/>
      <c r="J390" s="34"/>
      <c r="K390" s="34"/>
      <c r="L390" s="34"/>
      <c r="M390" s="34"/>
      <c r="N390" s="34"/>
      <c r="O390" s="34"/>
      <c r="P390" s="34"/>
      <c r="Q390" s="34"/>
      <c r="R390" s="34"/>
      <c r="S390" s="34"/>
      <c r="T390" s="34"/>
      <c r="U390" s="34"/>
      <c r="V390" s="34"/>
      <c r="W390" s="34"/>
      <c r="X390" s="34"/>
      <c r="Y390" s="34"/>
      <c r="Z390" s="34"/>
      <c r="AA390" s="34"/>
      <c r="AB390" s="34"/>
      <c r="AC390" s="34"/>
    </row>
    <row r="391" spans="1:29" ht="15.75" customHeight="1" x14ac:dyDescent="0.2">
      <c r="A391" s="34"/>
      <c r="B391" s="34"/>
      <c r="C391" s="33"/>
      <c r="D391" s="34"/>
      <c r="E391" s="34"/>
      <c r="F391" s="34"/>
      <c r="G391" s="34"/>
      <c r="H391" s="33"/>
      <c r="I391" s="33"/>
      <c r="J391" s="34"/>
      <c r="K391" s="34"/>
      <c r="L391" s="34"/>
      <c r="M391" s="34"/>
      <c r="N391" s="34"/>
      <c r="O391" s="34"/>
      <c r="P391" s="34"/>
      <c r="Q391" s="34"/>
      <c r="R391" s="34"/>
      <c r="S391" s="34"/>
      <c r="T391" s="34"/>
      <c r="U391" s="34"/>
      <c r="V391" s="34"/>
      <c r="W391" s="34"/>
      <c r="X391" s="34"/>
      <c r="Y391" s="34"/>
      <c r="Z391" s="34"/>
      <c r="AA391" s="34"/>
      <c r="AB391" s="34"/>
      <c r="AC391" s="34"/>
    </row>
    <row r="392" spans="1:29" ht="15.75" customHeight="1" x14ac:dyDescent="0.2">
      <c r="A392" s="34"/>
      <c r="B392" s="34"/>
      <c r="C392" s="33"/>
      <c r="D392" s="34"/>
      <c r="E392" s="34"/>
      <c r="F392" s="34"/>
      <c r="G392" s="34"/>
      <c r="H392" s="33"/>
      <c r="I392" s="33"/>
      <c r="J392" s="34"/>
      <c r="K392" s="34"/>
      <c r="L392" s="34"/>
      <c r="M392" s="34"/>
      <c r="N392" s="34"/>
      <c r="O392" s="34"/>
      <c r="P392" s="34"/>
      <c r="Q392" s="34"/>
      <c r="R392" s="34"/>
      <c r="S392" s="34"/>
      <c r="T392" s="34"/>
      <c r="U392" s="34"/>
      <c r="V392" s="34"/>
      <c r="W392" s="34"/>
      <c r="X392" s="34"/>
      <c r="Y392" s="34"/>
      <c r="Z392" s="34"/>
      <c r="AA392" s="34"/>
      <c r="AB392" s="34"/>
      <c r="AC392" s="34"/>
    </row>
    <row r="393" spans="1:29" ht="15.75" customHeight="1" x14ac:dyDescent="0.2">
      <c r="A393" s="34"/>
      <c r="B393" s="34"/>
      <c r="C393" s="33"/>
      <c r="D393" s="34"/>
      <c r="E393" s="34"/>
      <c r="F393" s="34"/>
      <c r="G393" s="34"/>
      <c r="H393" s="33"/>
      <c r="I393" s="33"/>
      <c r="J393" s="34"/>
      <c r="K393" s="34"/>
      <c r="L393" s="34"/>
      <c r="M393" s="34"/>
      <c r="N393" s="34"/>
      <c r="O393" s="34"/>
      <c r="P393" s="34"/>
      <c r="Q393" s="34"/>
      <c r="R393" s="34"/>
      <c r="S393" s="34"/>
      <c r="T393" s="34"/>
      <c r="U393" s="34"/>
      <c r="V393" s="34"/>
      <c r="W393" s="34"/>
      <c r="X393" s="34"/>
      <c r="Y393" s="34"/>
      <c r="Z393" s="34"/>
      <c r="AA393" s="34"/>
      <c r="AB393" s="34"/>
      <c r="AC393" s="34"/>
    </row>
    <row r="394" spans="1:29" ht="15.75" customHeight="1" x14ac:dyDescent="0.2">
      <c r="A394" s="34"/>
      <c r="B394" s="34"/>
      <c r="C394" s="33"/>
      <c r="D394" s="34"/>
      <c r="E394" s="34"/>
      <c r="F394" s="34"/>
      <c r="G394" s="34"/>
      <c r="H394" s="33"/>
      <c r="I394" s="33"/>
      <c r="J394" s="34"/>
      <c r="K394" s="34"/>
      <c r="L394" s="34"/>
      <c r="M394" s="34"/>
      <c r="N394" s="34"/>
      <c r="O394" s="34"/>
      <c r="P394" s="34"/>
      <c r="Q394" s="34"/>
      <c r="R394" s="34"/>
      <c r="S394" s="34"/>
      <c r="T394" s="34"/>
      <c r="U394" s="34"/>
      <c r="V394" s="34"/>
      <c r="W394" s="34"/>
      <c r="X394" s="34"/>
      <c r="Y394" s="34"/>
      <c r="Z394" s="34"/>
      <c r="AA394" s="34"/>
      <c r="AB394" s="34"/>
      <c r="AC394" s="34"/>
    </row>
    <row r="395" spans="1:29" ht="15.75" customHeight="1" x14ac:dyDescent="0.2">
      <c r="A395" s="34"/>
      <c r="B395" s="34"/>
      <c r="C395" s="33"/>
      <c r="D395" s="34"/>
      <c r="E395" s="34"/>
      <c r="F395" s="34"/>
      <c r="G395" s="34"/>
      <c r="H395" s="33"/>
      <c r="I395" s="33"/>
      <c r="J395" s="34"/>
      <c r="K395" s="34"/>
      <c r="L395" s="34"/>
      <c r="M395" s="34"/>
      <c r="N395" s="34"/>
      <c r="O395" s="34"/>
      <c r="P395" s="34"/>
      <c r="Q395" s="34"/>
      <c r="R395" s="34"/>
      <c r="S395" s="34"/>
      <c r="T395" s="34"/>
      <c r="U395" s="34"/>
      <c r="V395" s="34"/>
      <c r="W395" s="34"/>
      <c r="X395" s="34"/>
      <c r="Y395" s="34"/>
      <c r="Z395" s="34"/>
      <c r="AA395" s="34"/>
      <c r="AB395" s="34"/>
      <c r="AC395" s="34"/>
    </row>
    <row r="396" spans="1:29" ht="15.75" customHeight="1" x14ac:dyDescent="0.2">
      <c r="A396" s="34"/>
      <c r="B396" s="34"/>
      <c r="C396" s="33"/>
      <c r="D396" s="34"/>
      <c r="E396" s="34"/>
      <c r="F396" s="34"/>
      <c r="G396" s="34"/>
      <c r="H396" s="33"/>
      <c r="I396" s="33"/>
      <c r="J396" s="34"/>
      <c r="K396" s="34"/>
      <c r="L396" s="34"/>
      <c r="M396" s="34"/>
      <c r="N396" s="34"/>
      <c r="O396" s="34"/>
      <c r="P396" s="34"/>
      <c r="Q396" s="34"/>
      <c r="R396" s="34"/>
      <c r="S396" s="34"/>
      <c r="T396" s="34"/>
      <c r="U396" s="34"/>
      <c r="V396" s="34"/>
      <c r="W396" s="34"/>
      <c r="X396" s="34"/>
      <c r="Y396" s="34"/>
      <c r="Z396" s="34"/>
      <c r="AA396" s="34"/>
      <c r="AB396" s="34"/>
      <c r="AC396" s="34"/>
    </row>
    <row r="397" spans="1:29" ht="15.75" customHeight="1" x14ac:dyDescent="0.2">
      <c r="A397" s="34"/>
      <c r="B397" s="34"/>
      <c r="C397" s="33"/>
      <c r="D397" s="34"/>
      <c r="E397" s="34"/>
      <c r="F397" s="34"/>
      <c r="G397" s="34"/>
      <c r="H397" s="33"/>
      <c r="I397" s="33"/>
      <c r="J397" s="34"/>
      <c r="K397" s="34"/>
      <c r="L397" s="34"/>
      <c r="M397" s="34"/>
      <c r="N397" s="34"/>
      <c r="O397" s="34"/>
      <c r="P397" s="34"/>
      <c r="Q397" s="34"/>
      <c r="R397" s="34"/>
      <c r="S397" s="34"/>
      <c r="T397" s="34"/>
      <c r="U397" s="34"/>
      <c r="V397" s="34"/>
      <c r="W397" s="34"/>
      <c r="X397" s="34"/>
      <c r="Y397" s="34"/>
      <c r="Z397" s="34"/>
      <c r="AA397" s="34"/>
      <c r="AB397" s="34"/>
      <c r="AC397" s="34"/>
    </row>
    <row r="398" spans="1:29" ht="15.75" customHeight="1" x14ac:dyDescent="0.2">
      <c r="A398" s="34"/>
      <c r="B398" s="34"/>
      <c r="C398" s="33"/>
      <c r="D398" s="34"/>
      <c r="E398" s="34"/>
      <c r="F398" s="34"/>
      <c r="G398" s="34"/>
      <c r="H398" s="33"/>
      <c r="I398" s="33"/>
      <c r="J398" s="34"/>
      <c r="K398" s="34"/>
      <c r="L398" s="34"/>
      <c r="M398" s="34"/>
      <c r="N398" s="34"/>
      <c r="O398" s="34"/>
      <c r="P398" s="34"/>
      <c r="Q398" s="34"/>
      <c r="R398" s="34"/>
      <c r="S398" s="34"/>
      <c r="T398" s="34"/>
      <c r="U398" s="34"/>
      <c r="V398" s="34"/>
      <c r="W398" s="34"/>
      <c r="X398" s="34"/>
      <c r="Y398" s="34"/>
      <c r="Z398" s="34"/>
      <c r="AA398" s="34"/>
      <c r="AB398" s="34"/>
      <c r="AC398" s="34"/>
    </row>
    <row r="399" spans="1:29" ht="15.75" customHeight="1" x14ac:dyDescent="0.2">
      <c r="A399" s="34"/>
      <c r="B399" s="34"/>
      <c r="C399" s="33"/>
      <c r="D399" s="34"/>
      <c r="E399" s="34"/>
      <c r="F399" s="34"/>
      <c r="G399" s="34"/>
      <c r="H399" s="33"/>
      <c r="I399" s="33"/>
      <c r="J399" s="34"/>
      <c r="K399" s="34"/>
      <c r="L399" s="34"/>
      <c r="M399" s="34"/>
      <c r="N399" s="34"/>
      <c r="O399" s="34"/>
      <c r="P399" s="34"/>
      <c r="Q399" s="34"/>
      <c r="R399" s="34"/>
      <c r="S399" s="34"/>
      <c r="T399" s="34"/>
      <c r="U399" s="34"/>
      <c r="V399" s="34"/>
      <c r="W399" s="34"/>
      <c r="X399" s="34"/>
      <c r="Y399" s="34"/>
      <c r="Z399" s="34"/>
      <c r="AA399" s="34"/>
      <c r="AB399" s="34"/>
      <c r="AC399" s="34"/>
    </row>
    <row r="400" spans="1:29" ht="15.75" customHeight="1" x14ac:dyDescent="0.2">
      <c r="A400" s="34"/>
      <c r="B400" s="34"/>
      <c r="C400" s="33"/>
      <c r="D400" s="34"/>
      <c r="E400" s="34"/>
      <c r="F400" s="34"/>
      <c r="G400" s="34"/>
      <c r="H400" s="33"/>
      <c r="I400" s="33"/>
      <c r="J400" s="34"/>
      <c r="K400" s="34"/>
      <c r="L400" s="34"/>
      <c r="M400" s="34"/>
      <c r="N400" s="34"/>
      <c r="O400" s="34"/>
      <c r="P400" s="34"/>
      <c r="Q400" s="34"/>
      <c r="R400" s="34"/>
      <c r="S400" s="34"/>
      <c r="T400" s="34"/>
      <c r="U400" s="34"/>
      <c r="V400" s="34"/>
      <c r="W400" s="34"/>
      <c r="X400" s="34"/>
      <c r="Y400" s="34"/>
      <c r="Z400" s="34"/>
      <c r="AA400" s="34"/>
      <c r="AB400" s="34"/>
      <c r="AC400" s="34"/>
    </row>
    <row r="401" spans="1:29" ht="15.75" customHeight="1" x14ac:dyDescent="0.2">
      <c r="A401" s="34"/>
      <c r="B401" s="34"/>
      <c r="C401" s="33"/>
      <c r="D401" s="34"/>
      <c r="E401" s="34"/>
      <c r="F401" s="34"/>
      <c r="G401" s="34"/>
      <c r="H401" s="33"/>
      <c r="I401" s="33"/>
      <c r="J401" s="34"/>
      <c r="K401" s="34"/>
      <c r="L401" s="34"/>
      <c r="M401" s="34"/>
      <c r="N401" s="34"/>
      <c r="O401" s="34"/>
      <c r="P401" s="34"/>
      <c r="Q401" s="34"/>
      <c r="R401" s="34"/>
      <c r="S401" s="34"/>
      <c r="T401" s="34"/>
      <c r="U401" s="34"/>
      <c r="V401" s="34"/>
      <c r="W401" s="34"/>
      <c r="X401" s="34"/>
      <c r="Y401" s="34"/>
      <c r="Z401" s="34"/>
      <c r="AA401" s="34"/>
      <c r="AB401" s="34"/>
      <c r="AC401" s="34"/>
    </row>
    <row r="402" spans="1:29" ht="15.75" customHeight="1" x14ac:dyDescent="0.2">
      <c r="A402" s="34"/>
      <c r="B402" s="34"/>
      <c r="C402" s="33"/>
      <c r="D402" s="34"/>
      <c r="E402" s="34"/>
      <c r="F402" s="34"/>
      <c r="G402" s="34"/>
      <c r="H402" s="33"/>
      <c r="I402" s="33"/>
      <c r="J402" s="34"/>
      <c r="K402" s="34"/>
      <c r="L402" s="34"/>
      <c r="M402" s="34"/>
      <c r="N402" s="34"/>
      <c r="O402" s="34"/>
      <c r="P402" s="34"/>
      <c r="Q402" s="34"/>
      <c r="R402" s="34"/>
      <c r="S402" s="34"/>
      <c r="T402" s="34"/>
      <c r="U402" s="34"/>
      <c r="V402" s="34"/>
      <c r="W402" s="34"/>
      <c r="X402" s="34"/>
      <c r="Y402" s="34"/>
      <c r="Z402" s="34"/>
      <c r="AA402" s="34"/>
      <c r="AB402" s="34"/>
      <c r="AC402" s="34"/>
    </row>
    <row r="403" spans="1:29" ht="15.75" customHeight="1" x14ac:dyDescent="0.2">
      <c r="A403" s="34"/>
      <c r="B403" s="34"/>
      <c r="C403" s="33"/>
      <c r="D403" s="34"/>
      <c r="E403" s="34"/>
      <c r="F403" s="34"/>
      <c r="G403" s="34"/>
      <c r="H403" s="33"/>
      <c r="I403" s="33"/>
      <c r="J403" s="34"/>
      <c r="K403" s="34"/>
      <c r="L403" s="34"/>
      <c r="M403" s="34"/>
      <c r="N403" s="34"/>
      <c r="O403" s="34"/>
      <c r="P403" s="34"/>
      <c r="Q403" s="34"/>
      <c r="R403" s="34"/>
      <c r="S403" s="34"/>
      <c r="T403" s="34"/>
      <c r="U403" s="34"/>
      <c r="V403" s="34"/>
      <c r="W403" s="34"/>
      <c r="X403" s="34"/>
      <c r="Y403" s="34"/>
      <c r="Z403" s="34"/>
      <c r="AA403" s="34"/>
      <c r="AB403" s="34"/>
      <c r="AC403" s="34"/>
    </row>
    <row r="404" spans="1:29" ht="15.75" customHeight="1" x14ac:dyDescent="0.2">
      <c r="A404" s="34"/>
      <c r="B404" s="34"/>
      <c r="C404" s="33"/>
      <c r="D404" s="34"/>
      <c r="E404" s="34"/>
      <c r="F404" s="34"/>
      <c r="G404" s="34"/>
      <c r="H404" s="33"/>
      <c r="I404" s="33"/>
      <c r="J404" s="34"/>
      <c r="K404" s="34"/>
      <c r="L404" s="34"/>
      <c r="M404" s="34"/>
      <c r="N404" s="34"/>
      <c r="O404" s="34"/>
      <c r="P404" s="34"/>
      <c r="Q404" s="34"/>
      <c r="R404" s="34"/>
      <c r="S404" s="34"/>
      <c r="T404" s="34"/>
      <c r="U404" s="34"/>
      <c r="V404" s="34"/>
      <c r="W404" s="34"/>
      <c r="X404" s="34"/>
      <c r="Y404" s="34"/>
      <c r="Z404" s="34"/>
      <c r="AA404" s="34"/>
      <c r="AB404" s="34"/>
      <c r="AC404" s="34"/>
    </row>
    <row r="405" spans="1:29" ht="15.75" customHeight="1" x14ac:dyDescent="0.2">
      <c r="A405" s="34"/>
      <c r="B405" s="34"/>
      <c r="C405" s="33"/>
      <c r="D405" s="34"/>
      <c r="E405" s="34"/>
      <c r="F405" s="34"/>
      <c r="G405" s="34"/>
      <c r="H405" s="33"/>
      <c r="I405" s="33"/>
      <c r="J405" s="34"/>
      <c r="K405" s="34"/>
      <c r="L405" s="34"/>
      <c r="M405" s="34"/>
      <c r="N405" s="34"/>
      <c r="O405" s="34"/>
      <c r="P405" s="34"/>
      <c r="Q405" s="34"/>
      <c r="R405" s="34"/>
      <c r="S405" s="34"/>
      <c r="T405" s="34"/>
      <c r="U405" s="34"/>
      <c r="V405" s="34"/>
      <c r="W405" s="34"/>
      <c r="X405" s="34"/>
      <c r="Y405" s="34"/>
      <c r="Z405" s="34"/>
      <c r="AA405" s="34"/>
      <c r="AB405" s="34"/>
      <c r="AC405" s="34"/>
    </row>
    <row r="406" spans="1:29" ht="15.75" customHeight="1" x14ac:dyDescent="0.2">
      <c r="A406" s="34"/>
      <c r="B406" s="34"/>
      <c r="C406" s="33"/>
      <c r="D406" s="34"/>
      <c r="E406" s="34"/>
      <c r="F406" s="34"/>
      <c r="G406" s="34"/>
      <c r="H406" s="33"/>
      <c r="I406" s="33"/>
      <c r="J406" s="34"/>
      <c r="K406" s="34"/>
      <c r="L406" s="34"/>
      <c r="M406" s="34"/>
      <c r="N406" s="34"/>
      <c r="O406" s="34"/>
      <c r="P406" s="34"/>
      <c r="Q406" s="34"/>
      <c r="R406" s="34"/>
      <c r="S406" s="34"/>
      <c r="T406" s="34"/>
      <c r="U406" s="34"/>
      <c r="V406" s="34"/>
      <c r="W406" s="34"/>
      <c r="X406" s="34"/>
      <c r="Y406" s="34"/>
      <c r="Z406" s="34"/>
      <c r="AA406" s="34"/>
      <c r="AB406" s="34"/>
      <c r="AC406" s="34"/>
    </row>
    <row r="407" spans="1:29" ht="15.75" customHeight="1" x14ac:dyDescent="0.2">
      <c r="A407" s="34"/>
      <c r="B407" s="34"/>
      <c r="C407" s="33"/>
      <c r="D407" s="34"/>
      <c r="E407" s="34"/>
      <c r="F407" s="34"/>
      <c r="G407" s="34"/>
      <c r="H407" s="33"/>
      <c r="I407" s="33"/>
      <c r="J407" s="34"/>
      <c r="K407" s="34"/>
      <c r="L407" s="34"/>
      <c r="M407" s="34"/>
      <c r="N407" s="34"/>
      <c r="O407" s="34"/>
      <c r="P407" s="34"/>
      <c r="Q407" s="34"/>
      <c r="R407" s="34"/>
      <c r="S407" s="34"/>
      <c r="T407" s="34"/>
      <c r="U407" s="34"/>
      <c r="V407" s="34"/>
      <c r="W407" s="34"/>
      <c r="X407" s="34"/>
      <c r="Y407" s="34"/>
      <c r="Z407" s="34"/>
      <c r="AA407" s="34"/>
      <c r="AB407" s="34"/>
      <c r="AC407" s="34"/>
    </row>
    <row r="408" spans="1:29" ht="15.75" customHeight="1" x14ac:dyDescent="0.2">
      <c r="A408" s="34"/>
      <c r="B408" s="34"/>
      <c r="C408" s="33"/>
      <c r="D408" s="34"/>
      <c r="E408" s="34"/>
      <c r="F408" s="34"/>
      <c r="G408" s="34"/>
      <c r="H408" s="33"/>
      <c r="I408" s="33"/>
      <c r="J408" s="34"/>
      <c r="K408" s="34"/>
      <c r="L408" s="34"/>
      <c r="M408" s="34"/>
      <c r="N408" s="34"/>
      <c r="O408" s="34"/>
      <c r="P408" s="34"/>
      <c r="Q408" s="34"/>
      <c r="R408" s="34"/>
      <c r="S408" s="34"/>
      <c r="T408" s="34"/>
      <c r="U408" s="34"/>
      <c r="V408" s="34"/>
      <c r="W408" s="34"/>
      <c r="X408" s="34"/>
      <c r="Y408" s="34"/>
      <c r="Z408" s="34"/>
      <c r="AA408" s="34"/>
      <c r="AB408" s="34"/>
      <c r="AC408" s="34"/>
    </row>
    <row r="409" spans="1:29" ht="15.75" customHeight="1" x14ac:dyDescent="0.2">
      <c r="A409" s="34"/>
      <c r="B409" s="34"/>
      <c r="C409" s="33"/>
      <c r="D409" s="34"/>
      <c r="E409" s="34"/>
      <c r="F409" s="34"/>
      <c r="G409" s="34"/>
      <c r="H409" s="33"/>
      <c r="I409" s="33"/>
      <c r="J409" s="34"/>
      <c r="K409" s="34"/>
      <c r="L409" s="34"/>
      <c r="M409" s="34"/>
      <c r="N409" s="34"/>
      <c r="O409" s="34"/>
      <c r="P409" s="34"/>
      <c r="Q409" s="34"/>
      <c r="R409" s="34"/>
      <c r="S409" s="34"/>
      <c r="T409" s="34"/>
      <c r="U409" s="34"/>
      <c r="V409" s="34"/>
      <c r="W409" s="34"/>
      <c r="X409" s="34"/>
      <c r="Y409" s="34"/>
      <c r="Z409" s="34"/>
      <c r="AA409" s="34"/>
      <c r="AB409" s="34"/>
      <c r="AC409" s="34"/>
    </row>
    <row r="410" spans="1:29" ht="15.75" customHeight="1" x14ac:dyDescent="0.2">
      <c r="A410" s="34"/>
      <c r="B410" s="34"/>
      <c r="C410" s="33"/>
      <c r="D410" s="34"/>
      <c r="E410" s="34"/>
      <c r="F410" s="34"/>
      <c r="G410" s="34"/>
      <c r="H410" s="33"/>
      <c r="I410" s="33"/>
      <c r="J410" s="34"/>
      <c r="K410" s="34"/>
      <c r="L410" s="34"/>
      <c r="M410" s="34"/>
      <c r="N410" s="34"/>
      <c r="O410" s="34"/>
      <c r="P410" s="34"/>
      <c r="Q410" s="34"/>
      <c r="R410" s="34"/>
      <c r="S410" s="34"/>
      <c r="T410" s="34"/>
      <c r="U410" s="34"/>
      <c r="V410" s="34"/>
      <c r="W410" s="34"/>
      <c r="X410" s="34"/>
      <c r="Y410" s="34"/>
      <c r="Z410" s="34"/>
      <c r="AA410" s="34"/>
      <c r="AB410" s="34"/>
      <c r="AC410" s="34"/>
    </row>
    <row r="411" spans="1:29" ht="15.75" customHeight="1" x14ac:dyDescent="0.2">
      <c r="A411" s="34"/>
      <c r="B411" s="34"/>
      <c r="C411" s="33"/>
      <c r="D411" s="34"/>
      <c r="E411" s="34"/>
      <c r="F411" s="34"/>
      <c r="G411" s="34"/>
      <c r="H411" s="33"/>
      <c r="I411" s="33"/>
      <c r="J411" s="34"/>
      <c r="K411" s="34"/>
      <c r="L411" s="34"/>
      <c r="M411" s="34"/>
      <c r="N411" s="34"/>
      <c r="O411" s="34"/>
      <c r="P411" s="34"/>
      <c r="Q411" s="34"/>
      <c r="R411" s="34"/>
      <c r="S411" s="34"/>
      <c r="T411" s="34"/>
      <c r="U411" s="34"/>
      <c r="V411" s="34"/>
      <c r="W411" s="34"/>
      <c r="X411" s="34"/>
      <c r="Y411" s="34"/>
      <c r="Z411" s="34"/>
      <c r="AA411" s="34"/>
      <c r="AB411" s="34"/>
      <c r="AC411" s="34"/>
    </row>
    <row r="412" spans="1:29" ht="15.75" customHeight="1" x14ac:dyDescent="0.2">
      <c r="A412" s="34"/>
      <c r="B412" s="34"/>
      <c r="C412" s="33"/>
      <c r="D412" s="34"/>
      <c r="E412" s="34"/>
      <c r="F412" s="34"/>
      <c r="G412" s="34"/>
      <c r="H412" s="33"/>
      <c r="I412" s="33"/>
      <c r="J412" s="34"/>
      <c r="K412" s="34"/>
      <c r="L412" s="34"/>
      <c r="M412" s="34"/>
      <c r="N412" s="34"/>
      <c r="O412" s="34"/>
      <c r="P412" s="34"/>
      <c r="Q412" s="34"/>
      <c r="R412" s="34"/>
      <c r="S412" s="34"/>
      <c r="T412" s="34"/>
      <c r="U412" s="34"/>
      <c r="V412" s="34"/>
      <c r="W412" s="34"/>
      <c r="X412" s="34"/>
      <c r="Y412" s="34"/>
      <c r="Z412" s="34"/>
      <c r="AA412" s="34"/>
      <c r="AB412" s="34"/>
      <c r="AC412" s="34"/>
    </row>
    <row r="413" spans="1:29" ht="15.75" customHeight="1" x14ac:dyDescent="0.2">
      <c r="A413" s="34"/>
      <c r="B413" s="34"/>
      <c r="C413" s="33"/>
      <c r="D413" s="34"/>
      <c r="E413" s="34"/>
      <c r="F413" s="34"/>
      <c r="G413" s="34"/>
      <c r="H413" s="33"/>
      <c r="I413" s="33"/>
      <c r="J413" s="34"/>
      <c r="K413" s="34"/>
      <c r="L413" s="34"/>
      <c r="M413" s="34"/>
      <c r="N413" s="34"/>
      <c r="O413" s="34"/>
      <c r="P413" s="34"/>
      <c r="Q413" s="34"/>
      <c r="R413" s="34"/>
      <c r="S413" s="34"/>
      <c r="T413" s="34"/>
      <c r="U413" s="34"/>
      <c r="V413" s="34"/>
      <c r="W413" s="34"/>
      <c r="X413" s="34"/>
      <c r="Y413" s="34"/>
      <c r="Z413" s="34"/>
      <c r="AA413" s="34"/>
      <c r="AB413" s="34"/>
      <c r="AC413" s="34"/>
    </row>
    <row r="414" spans="1:29" ht="15.75" customHeight="1" x14ac:dyDescent="0.2">
      <c r="A414" s="34"/>
      <c r="B414" s="34"/>
      <c r="C414" s="33"/>
      <c r="D414" s="34"/>
      <c r="E414" s="34"/>
      <c r="F414" s="34"/>
      <c r="G414" s="34"/>
      <c r="H414" s="33"/>
      <c r="I414" s="33"/>
      <c r="J414" s="34"/>
      <c r="K414" s="34"/>
      <c r="L414" s="34"/>
      <c r="M414" s="34"/>
      <c r="N414" s="34"/>
      <c r="O414" s="34"/>
      <c r="P414" s="34"/>
      <c r="Q414" s="34"/>
      <c r="R414" s="34"/>
      <c r="S414" s="34"/>
      <c r="T414" s="34"/>
      <c r="U414" s="34"/>
      <c r="V414" s="34"/>
      <c r="W414" s="34"/>
      <c r="X414" s="34"/>
      <c r="Y414" s="34"/>
      <c r="Z414" s="34"/>
      <c r="AA414" s="34"/>
      <c r="AB414" s="34"/>
      <c r="AC414" s="34"/>
    </row>
    <row r="415" spans="1:29" ht="15.75" customHeight="1" x14ac:dyDescent="0.2">
      <c r="A415" s="34"/>
      <c r="B415" s="34"/>
      <c r="C415" s="33"/>
      <c r="D415" s="34"/>
      <c r="E415" s="34"/>
      <c r="F415" s="34"/>
      <c r="G415" s="34"/>
      <c r="H415" s="33"/>
      <c r="I415" s="33"/>
      <c r="J415" s="34"/>
      <c r="K415" s="34"/>
      <c r="L415" s="34"/>
      <c r="M415" s="34"/>
      <c r="N415" s="34"/>
      <c r="O415" s="34"/>
      <c r="P415" s="34"/>
      <c r="Q415" s="34"/>
      <c r="R415" s="34"/>
      <c r="S415" s="34"/>
      <c r="T415" s="34"/>
      <c r="U415" s="34"/>
      <c r="V415" s="34"/>
      <c r="W415" s="34"/>
      <c r="X415" s="34"/>
      <c r="Y415" s="34"/>
      <c r="Z415" s="34"/>
      <c r="AA415" s="34"/>
      <c r="AB415" s="34"/>
      <c r="AC415" s="34"/>
    </row>
    <row r="416" spans="1:29" ht="15.75" customHeight="1" x14ac:dyDescent="0.2">
      <c r="A416" s="34"/>
      <c r="B416" s="34"/>
      <c r="C416" s="33"/>
      <c r="D416" s="34"/>
      <c r="E416" s="34"/>
      <c r="F416" s="34"/>
      <c r="G416" s="34"/>
      <c r="H416" s="33"/>
      <c r="I416" s="33"/>
      <c r="J416" s="34"/>
      <c r="K416" s="34"/>
      <c r="L416" s="34"/>
      <c r="M416" s="34"/>
      <c r="N416" s="34"/>
      <c r="O416" s="34"/>
      <c r="P416" s="34"/>
      <c r="Q416" s="34"/>
      <c r="R416" s="34"/>
      <c r="S416" s="34"/>
      <c r="T416" s="34"/>
      <c r="U416" s="34"/>
      <c r="V416" s="34"/>
      <c r="W416" s="34"/>
      <c r="X416" s="34"/>
      <c r="Y416" s="34"/>
      <c r="Z416" s="34"/>
      <c r="AA416" s="34"/>
      <c r="AB416" s="34"/>
      <c r="AC416" s="34"/>
    </row>
    <row r="417" spans="1:29" ht="15.75" customHeight="1" x14ac:dyDescent="0.2">
      <c r="A417" s="34"/>
      <c r="B417" s="34"/>
      <c r="C417" s="33"/>
      <c r="D417" s="34"/>
      <c r="E417" s="34"/>
      <c r="F417" s="34"/>
      <c r="G417" s="34"/>
      <c r="H417" s="33"/>
      <c r="I417" s="33"/>
      <c r="J417" s="34"/>
      <c r="K417" s="34"/>
      <c r="L417" s="34"/>
      <c r="M417" s="34"/>
      <c r="N417" s="34"/>
      <c r="O417" s="34"/>
      <c r="P417" s="34"/>
      <c r="Q417" s="34"/>
      <c r="R417" s="34"/>
      <c r="S417" s="34"/>
      <c r="T417" s="34"/>
      <c r="U417" s="34"/>
      <c r="V417" s="34"/>
      <c r="W417" s="34"/>
      <c r="X417" s="34"/>
      <c r="Y417" s="34"/>
      <c r="Z417" s="34"/>
      <c r="AA417" s="34"/>
      <c r="AB417" s="34"/>
      <c r="AC417" s="34"/>
    </row>
    <row r="418" spans="1:29" ht="15.75" customHeight="1" x14ac:dyDescent="0.2">
      <c r="A418" s="34"/>
      <c r="B418" s="34"/>
      <c r="C418" s="33"/>
      <c r="D418" s="34"/>
      <c r="E418" s="34"/>
      <c r="F418" s="34"/>
      <c r="G418" s="34"/>
      <c r="H418" s="33"/>
      <c r="I418" s="33"/>
      <c r="J418" s="34"/>
      <c r="K418" s="34"/>
      <c r="L418" s="34"/>
      <c r="M418" s="34"/>
      <c r="N418" s="34"/>
      <c r="O418" s="34"/>
      <c r="P418" s="34"/>
      <c r="Q418" s="34"/>
      <c r="R418" s="34"/>
      <c r="S418" s="34"/>
      <c r="T418" s="34"/>
      <c r="U418" s="34"/>
      <c r="V418" s="34"/>
      <c r="W418" s="34"/>
      <c r="X418" s="34"/>
      <c r="Y418" s="34"/>
      <c r="Z418" s="34"/>
      <c r="AA418" s="34"/>
      <c r="AB418" s="34"/>
      <c r="AC418" s="34"/>
    </row>
    <row r="419" spans="1:29" ht="15.75" customHeight="1" x14ac:dyDescent="0.2">
      <c r="A419" s="34"/>
      <c r="B419" s="34"/>
      <c r="C419" s="33"/>
      <c r="D419" s="34"/>
      <c r="E419" s="34"/>
      <c r="F419" s="34"/>
      <c r="G419" s="34"/>
      <c r="H419" s="33"/>
      <c r="I419" s="33"/>
      <c r="J419" s="34"/>
      <c r="K419" s="34"/>
      <c r="L419" s="34"/>
      <c r="M419" s="34"/>
      <c r="N419" s="34"/>
      <c r="O419" s="34"/>
      <c r="P419" s="34"/>
      <c r="Q419" s="34"/>
      <c r="R419" s="34"/>
      <c r="S419" s="34"/>
      <c r="T419" s="34"/>
      <c r="U419" s="34"/>
      <c r="V419" s="34"/>
      <c r="W419" s="34"/>
      <c r="X419" s="34"/>
      <c r="Y419" s="34"/>
      <c r="Z419" s="34"/>
      <c r="AA419" s="34"/>
      <c r="AB419" s="34"/>
      <c r="AC419" s="34"/>
    </row>
    <row r="420" spans="1:29" ht="15.75" customHeight="1" x14ac:dyDescent="0.2">
      <c r="A420" s="34"/>
      <c r="B420" s="34"/>
      <c r="C420" s="33"/>
      <c r="D420" s="34"/>
      <c r="E420" s="34"/>
      <c r="F420" s="34"/>
      <c r="G420" s="34"/>
      <c r="H420" s="33"/>
      <c r="I420" s="33"/>
      <c r="J420" s="34"/>
      <c r="K420" s="34"/>
      <c r="L420" s="34"/>
      <c r="M420" s="34"/>
      <c r="N420" s="34"/>
      <c r="O420" s="34"/>
      <c r="P420" s="34"/>
      <c r="Q420" s="34"/>
      <c r="R420" s="34"/>
      <c r="S420" s="34"/>
      <c r="T420" s="34"/>
      <c r="U420" s="34"/>
      <c r="V420" s="34"/>
      <c r="W420" s="34"/>
      <c r="X420" s="34"/>
      <c r="Y420" s="34"/>
      <c r="Z420" s="34"/>
      <c r="AA420" s="34"/>
      <c r="AB420" s="34"/>
      <c r="AC420" s="34"/>
    </row>
    <row r="421" spans="1:29" ht="15.75" customHeight="1" x14ac:dyDescent="0.2">
      <c r="A421" s="34"/>
      <c r="B421" s="34"/>
      <c r="C421" s="33"/>
      <c r="D421" s="34"/>
      <c r="E421" s="34"/>
      <c r="F421" s="34"/>
      <c r="G421" s="34"/>
      <c r="H421" s="33"/>
      <c r="I421" s="33"/>
      <c r="J421" s="34"/>
      <c r="K421" s="34"/>
      <c r="L421" s="34"/>
      <c r="M421" s="34"/>
      <c r="N421" s="34"/>
      <c r="O421" s="34"/>
      <c r="P421" s="34"/>
      <c r="Q421" s="34"/>
      <c r="R421" s="34"/>
      <c r="S421" s="34"/>
      <c r="T421" s="34"/>
      <c r="U421" s="34"/>
      <c r="V421" s="34"/>
      <c r="W421" s="34"/>
      <c r="X421" s="34"/>
      <c r="Y421" s="34"/>
      <c r="Z421" s="34"/>
      <c r="AA421" s="34"/>
      <c r="AB421" s="34"/>
      <c r="AC421" s="34"/>
    </row>
    <row r="422" spans="1:29" ht="15.75" customHeight="1" x14ac:dyDescent="0.2">
      <c r="A422" s="34"/>
      <c r="B422" s="34"/>
      <c r="C422" s="33"/>
      <c r="D422" s="34"/>
      <c r="E422" s="34"/>
      <c r="F422" s="34"/>
      <c r="G422" s="34"/>
      <c r="H422" s="33"/>
      <c r="I422" s="33"/>
      <c r="J422" s="34"/>
      <c r="K422" s="34"/>
      <c r="L422" s="34"/>
      <c r="M422" s="34"/>
      <c r="N422" s="34"/>
      <c r="O422" s="34"/>
      <c r="P422" s="34"/>
      <c r="Q422" s="34"/>
      <c r="R422" s="34"/>
      <c r="S422" s="34"/>
      <c r="T422" s="34"/>
      <c r="U422" s="34"/>
      <c r="V422" s="34"/>
      <c r="W422" s="34"/>
      <c r="X422" s="34"/>
      <c r="Y422" s="34"/>
      <c r="Z422" s="34"/>
      <c r="AA422" s="34"/>
      <c r="AB422" s="34"/>
      <c r="AC422" s="34"/>
    </row>
    <row r="423" spans="1:29" ht="15.75" customHeight="1" x14ac:dyDescent="0.2">
      <c r="A423" s="34"/>
      <c r="B423" s="34"/>
      <c r="C423" s="33"/>
      <c r="D423" s="34"/>
      <c r="E423" s="34"/>
      <c r="F423" s="34"/>
      <c r="G423" s="34"/>
      <c r="H423" s="33"/>
      <c r="I423" s="33"/>
      <c r="J423" s="34"/>
      <c r="K423" s="34"/>
      <c r="L423" s="34"/>
      <c r="M423" s="34"/>
      <c r="N423" s="34"/>
      <c r="O423" s="34"/>
      <c r="P423" s="34"/>
      <c r="Q423" s="34"/>
      <c r="R423" s="34"/>
      <c r="S423" s="34"/>
      <c r="T423" s="34"/>
      <c r="U423" s="34"/>
      <c r="V423" s="34"/>
      <c r="W423" s="34"/>
      <c r="X423" s="34"/>
      <c r="Y423" s="34"/>
      <c r="Z423" s="34"/>
      <c r="AA423" s="34"/>
      <c r="AB423" s="34"/>
      <c r="AC423" s="34"/>
    </row>
    <row r="424" spans="1:29" ht="15.75" customHeight="1" x14ac:dyDescent="0.2">
      <c r="A424" s="34"/>
      <c r="B424" s="34"/>
      <c r="C424" s="33"/>
      <c r="D424" s="34"/>
      <c r="E424" s="34"/>
      <c r="F424" s="34"/>
      <c r="G424" s="34"/>
      <c r="H424" s="33"/>
      <c r="I424" s="33"/>
      <c r="J424" s="34"/>
      <c r="K424" s="34"/>
      <c r="L424" s="34"/>
      <c r="M424" s="34"/>
      <c r="N424" s="34"/>
      <c r="O424" s="34"/>
      <c r="P424" s="34"/>
      <c r="Q424" s="34"/>
      <c r="R424" s="34"/>
      <c r="S424" s="34"/>
      <c r="T424" s="34"/>
      <c r="U424" s="34"/>
      <c r="V424" s="34"/>
      <c r="W424" s="34"/>
      <c r="X424" s="34"/>
      <c r="Y424" s="34"/>
      <c r="Z424" s="34"/>
      <c r="AA424" s="34"/>
      <c r="AB424" s="34"/>
      <c r="AC424" s="34"/>
    </row>
    <row r="425" spans="1:29" ht="15.75" customHeight="1" x14ac:dyDescent="0.2">
      <c r="A425" s="34"/>
      <c r="B425" s="34"/>
      <c r="C425" s="33"/>
      <c r="D425" s="34"/>
      <c r="E425" s="34"/>
      <c r="F425" s="34"/>
      <c r="G425" s="34"/>
      <c r="H425" s="33"/>
      <c r="I425" s="33"/>
      <c r="J425" s="34"/>
      <c r="K425" s="34"/>
      <c r="L425" s="34"/>
      <c r="M425" s="34"/>
      <c r="N425" s="34"/>
      <c r="O425" s="34"/>
      <c r="P425" s="34"/>
      <c r="Q425" s="34"/>
      <c r="R425" s="34"/>
      <c r="S425" s="34"/>
      <c r="T425" s="34"/>
      <c r="U425" s="34"/>
      <c r="V425" s="34"/>
      <c r="W425" s="34"/>
      <c r="X425" s="34"/>
      <c r="Y425" s="34"/>
      <c r="Z425" s="34"/>
      <c r="AA425" s="34"/>
      <c r="AB425" s="34"/>
      <c r="AC425" s="34"/>
    </row>
    <row r="426" spans="1:29" ht="15.75" customHeight="1" x14ac:dyDescent="0.2">
      <c r="A426" s="34"/>
      <c r="B426" s="34"/>
      <c r="C426" s="33"/>
      <c r="D426" s="34"/>
      <c r="E426" s="34"/>
      <c r="F426" s="34"/>
      <c r="G426" s="34"/>
      <c r="H426" s="33"/>
      <c r="I426" s="33"/>
      <c r="J426" s="34"/>
      <c r="K426" s="34"/>
      <c r="L426" s="34"/>
      <c r="M426" s="34"/>
      <c r="N426" s="34"/>
      <c r="O426" s="34"/>
      <c r="P426" s="34"/>
      <c r="Q426" s="34"/>
      <c r="R426" s="34"/>
      <c r="S426" s="34"/>
      <c r="T426" s="34"/>
      <c r="U426" s="34"/>
      <c r="V426" s="34"/>
      <c r="W426" s="34"/>
      <c r="X426" s="34"/>
      <c r="Y426" s="34"/>
      <c r="Z426" s="34"/>
      <c r="AA426" s="34"/>
      <c r="AB426" s="34"/>
      <c r="AC426" s="34"/>
    </row>
    <row r="427" spans="1:29" ht="15.75" customHeight="1" x14ac:dyDescent="0.2">
      <c r="A427" s="34"/>
      <c r="B427" s="34"/>
      <c r="C427" s="33"/>
      <c r="D427" s="34"/>
      <c r="E427" s="34"/>
      <c r="F427" s="34"/>
      <c r="G427" s="34"/>
      <c r="H427" s="33"/>
      <c r="I427" s="33"/>
      <c r="J427" s="34"/>
      <c r="K427" s="34"/>
      <c r="L427" s="34"/>
      <c r="M427" s="34"/>
      <c r="N427" s="34"/>
      <c r="O427" s="34"/>
      <c r="P427" s="34"/>
      <c r="Q427" s="34"/>
      <c r="R427" s="34"/>
      <c r="S427" s="34"/>
      <c r="T427" s="34"/>
      <c r="U427" s="34"/>
      <c r="V427" s="34"/>
      <c r="W427" s="34"/>
      <c r="X427" s="34"/>
      <c r="Y427" s="34"/>
      <c r="Z427" s="34"/>
      <c r="AA427" s="34"/>
      <c r="AB427" s="34"/>
      <c r="AC427" s="34"/>
    </row>
    <row r="428" spans="1:29" ht="15.75" customHeight="1" x14ac:dyDescent="0.2">
      <c r="A428" s="34"/>
      <c r="B428" s="34"/>
      <c r="C428" s="33"/>
      <c r="D428" s="34"/>
      <c r="E428" s="34"/>
      <c r="F428" s="34"/>
      <c r="G428" s="34"/>
      <c r="H428" s="33"/>
      <c r="I428" s="33"/>
      <c r="J428" s="34"/>
      <c r="K428" s="34"/>
      <c r="L428" s="34"/>
      <c r="M428" s="34"/>
      <c r="N428" s="34"/>
      <c r="O428" s="34"/>
      <c r="P428" s="34"/>
      <c r="Q428" s="34"/>
      <c r="R428" s="34"/>
      <c r="S428" s="34"/>
      <c r="T428" s="34"/>
      <c r="U428" s="34"/>
      <c r="V428" s="34"/>
      <c r="W428" s="34"/>
      <c r="X428" s="34"/>
      <c r="Y428" s="34"/>
      <c r="Z428" s="34"/>
      <c r="AA428" s="34"/>
      <c r="AB428" s="34"/>
      <c r="AC428" s="34"/>
    </row>
    <row r="429" spans="1:29" ht="15.75" customHeight="1" x14ac:dyDescent="0.2">
      <c r="A429" s="34"/>
      <c r="B429" s="34"/>
      <c r="C429" s="33"/>
      <c r="D429" s="34"/>
      <c r="E429" s="34"/>
      <c r="F429" s="34"/>
      <c r="G429" s="34"/>
      <c r="H429" s="33"/>
      <c r="I429" s="33"/>
      <c r="J429" s="34"/>
      <c r="K429" s="34"/>
      <c r="L429" s="34"/>
      <c r="M429" s="34"/>
      <c r="N429" s="34"/>
      <c r="O429" s="34"/>
      <c r="P429" s="34"/>
      <c r="Q429" s="34"/>
      <c r="R429" s="34"/>
      <c r="S429" s="34"/>
      <c r="T429" s="34"/>
      <c r="U429" s="34"/>
      <c r="V429" s="34"/>
      <c r="W429" s="34"/>
      <c r="X429" s="34"/>
      <c r="Y429" s="34"/>
      <c r="Z429" s="34"/>
      <c r="AA429" s="34"/>
      <c r="AB429" s="34"/>
      <c r="AC429" s="34"/>
    </row>
    <row r="430" spans="1:29" ht="15.75" customHeight="1" x14ac:dyDescent="0.2">
      <c r="A430" s="34"/>
      <c r="B430" s="34"/>
      <c r="C430" s="33"/>
      <c r="D430" s="34"/>
      <c r="E430" s="34"/>
      <c r="F430" s="34"/>
      <c r="G430" s="34"/>
      <c r="H430" s="33"/>
      <c r="I430" s="33"/>
      <c r="J430" s="34"/>
      <c r="K430" s="34"/>
      <c r="L430" s="34"/>
      <c r="M430" s="34"/>
      <c r="N430" s="34"/>
      <c r="O430" s="34"/>
      <c r="P430" s="34"/>
      <c r="Q430" s="34"/>
      <c r="R430" s="34"/>
      <c r="S430" s="34"/>
      <c r="T430" s="34"/>
      <c r="U430" s="34"/>
      <c r="V430" s="34"/>
      <c r="W430" s="34"/>
      <c r="X430" s="34"/>
      <c r="Y430" s="34"/>
      <c r="Z430" s="34"/>
      <c r="AA430" s="34"/>
      <c r="AB430" s="34"/>
      <c r="AC430" s="34"/>
    </row>
    <row r="431" spans="1:29" ht="15.75" customHeight="1" x14ac:dyDescent="0.2">
      <c r="A431" s="34"/>
      <c r="B431" s="34"/>
      <c r="C431" s="33"/>
      <c r="D431" s="34"/>
      <c r="E431" s="34"/>
      <c r="F431" s="34"/>
      <c r="G431" s="34"/>
      <c r="H431" s="33"/>
      <c r="I431" s="33"/>
      <c r="J431" s="34"/>
      <c r="K431" s="34"/>
      <c r="L431" s="34"/>
      <c r="M431" s="34"/>
      <c r="N431" s="34"/>
      <c r="O431" s="34"/>
      <c r="P431" s="34"/>
      <c r="Q431" s="34"/>
      <c r="R431" s="34"/>
      <c r="S431" s="34"/>
      <c r="T431" s="34"/>
      <c r="U431" s="34"/>
      <c r="V431" s="34"/>
      <c r="W431" s="34"/>
      <c r="X431" s="34"/>
      <c r="Y431" s="34"/>
      <c r="Z431" s="34"/>
      <c r="AA431" s="34"/>
      <c r="AB431" s="34"/>
      <c r="AC431" s="34"/>
    </row>
    <row r="432" spans="1:29" ht="15.75" customHeight="1" x14ac:dyDescent="0.2">
      <c r="A432" s="34"/>
      <c r="B432" s="34"/>
      <c r="C432" s="33"/>
      <c r="D432" s="34"/>
      <c r="E432" s="34"/>
      <c r="F432" s="34"/>
      <c r="G432" s="34"/>
      <c r="H432" s="33"/>
      <c r="I432" s="33"/>
      <c r="J432" s="34"/>
      <c r="K432" s="34"/>
      <c r="L432" s="34"/>
      <c r="M432" s="34"/>
      <c r="N432" s="34"/>
      <c r="O432" s="34"/>
      <c r="P432" s="34"/>
      <c r="Q432" s="34"/>
      <c r="R432" s="34"/>
      <c r="S432" s="34"/>
      <c r="T432" s="34"/>
      <c r="U432" s="34"/>
      <c r="V432" s="34"/>
      <c r="W432" s="34"/>
      <c r="X432" s="34"/>
      <c r="Y432" s="34"/>
      <c r="Z432" s="34"/>
      <c r="AA432" s="34"/>
      <c r="AB432" s="34"/>
      <c r="AC432" s="34"/>
    </row>
    <row r="433" spans="1:29" ht="15.75" customHeight="1" x14ac:dyDescent="0.2">
      <c r="A433" s="34"/>
      <c r="B433" s="34"/>
      <c r="C433" s="33"/>
      <c r="D433" s="34"/>
      <c r="E433" s="34"/>
      <c r="F433" s="34"/>
      <c r="G433" s="34"/>
      <c r="H433" s="33"/>
      <c r="I433" s="33"/>
      <c r="J433" s="34"/>
      <c r="K433" s="34"/>
      <c r="L433" s="34"/>
      <c r="M433" s="34"/>
      <c r="N433" s="34"/>
      <c r="O433" s="34"/>
      <c r="P433" s="34"/>
      <c r="Q433" s="34"/>
      <c r="R433" s="34"/>
      <c r="S433" s="34"/>
      <c r="T433" s="34"/>
      <c r="U433" s="34"/>
      <c r="V433" s="34"/>
      <c r="W433" s="34"/>
      <c r="X433" s="34"/>
      <c r="Y433" s="34"/>
      <c r="Z433" s="34"/>
      <c r="AA433" s="34"/>
      <c r="AB433" s="34"/>
      <c r="AC433" s="34"/>
    </row>
    <row r="434" spans="1:29" ht="15.75" customHeight="1" x14ac:dyDescent="0.2">
      <c r="A434" s="34"/>
      <c r="B434" s="34"/>
      <c r="C434" s="33"/>
      <c r="D434" s="34"/>
      <c r="E434" s="34"/>
      <c r="F434" s="34"/>
      <c r="G434" s="34"/>
      <c r="H434" s="33"/>
      <c r="I434" s="33"/>
      <c r="J434" s="34"/>
      <c r="K434" s="34"/>
      <c r="L434" s="34"/>
      <c r="M434" s="34"/>
      <c r="N434" s="34"/>
      <c r="O434" s="34"/>
      <c r="P434" s="34"/>
      <c r="Q434" s="34"/>
      <c r="R434" s="34"/>
      <c r="S434" s="34"/>
      <c r="T434" s="34"/>
      <c r="U434" s="34"/>
      <c r="V434" s="34"/>
      <c r="W434" s="34"/>
      <c r="X434" s="34"/>
      <c r="Y434" s="34"/>
      <c r="Z434" s="34"/>
      <c r="AA434" s="34"/>
      <c r="AB434" s="34"/>
      <c r="AC434" s="34"/>
    </row>
    <row r="435" spans="1:29" ht="15.75" customHeight="1" x14ac:dyDescent="0.2">
      <c r="A435" s="34"/>
      <c r="B435" s="34"/>
      <c r="C435" s="33"/>
      <c r="D435" s="34"/>
      <c r="E435" s="34"/>
      <c r="F435" s="34"/>
      <c r="G435" s="34"/>
      <c r="H435" s="33"/>
      <c r="I435" s="33"/>
      <c r="J435" s="34"/>
      <c r="K435" s="34"/>
      <c r="L435" s="34"/>
      <c r="M435" s="34"/>
      <c r="N435" s="34"/>
      <c r="O435" s="34"/>
      <c r="P435" s="34"/>
      <c r="Q435" s="34"/>
      <c r="R435" s="34"/>
      <c r="S435" s="34"/>
      <c r="T435" s="34"/>
      <c r="U435" s="34"/>
      <c r="V435" s="34"/>
      <c r="W435" s="34"/>
      <c r="X435" s="34"/>
      <c r="Y435" s="34"/>
      <c r="Z435" s="34"/>
      <c r="AA435" s="34"/>
      <c r="AB435" s="34"/>
      <c r="AC435" s="34"/>
    </row>
    <row r="436" spans="1:29" ht="15.75" customHeight="1" x14ac:dyDescent="0.2">
      <c r="A436" s="34"/>
      <c r="B436" s="34"/>
      <c r="C436" s="33"/>
      <c r="D436" s="34"/>
      <c r="E436" s="34"/>
      <c r="F436" s="34"/>
      <c r="G436" s="34"/>
      <c r="H436" s="33"/>
      <c r="I436" s="33"/>
      <c r="J436" s="34"/>
      <c r="K436" s="34"/>
      <c r="L436" s="34"/>
      <c r="M436" s="34"/>
      <c r="N436" s="34"/>
      <c r="O436" s="34"/>
      <c r="P436" s="34"/>
      <c r="Q436" s="34"/>
      <c r="R436" s="34"/>
      <c r="S436" s="34"/>
      <c r="T436" s="34"/>
      <c r="U436" s="34"/>
      <c r="V436" s="34"/>
      <c r="W436" s="34"/>
      <c r="X436" s="34"/>
      <c r="Y436" s="34"/>
      <c r="Z436" s="34"/>
      <c r="AA436" s="34"/>
      <c r="AB436" s="34"/>
      <c r="AC436" s="34"/>
    </row>
    <row r="437" spans="1:29" ht="15.75" customHeight="1" x14ac:dyDescent="0.2">
      <c r="A437" s="34"/>
      <c r="B437" s="34"/>
      <c r="C437" s="33"/>
      <c r="D437" s="34"/>
      <c r="E437" s="34"/>
      <c r="F437" s="34"/>
      <c r="G437" s="34"/>
      <c r="H437" s="33"/>
      <c r="I437" s="33"/>
      <c r="J437" s="34"/>
      <c r="K437" s="34"/>
      <c r="L437" s="34"/>
      <c r="M437" s="34"/>
      <c r="N437" s="34"/>
      <c r="O437" s="34"/>
      <c r="P437" s="34"/>
      <c r="Q437" s="34"/>
      <c r="R437" s="34"/>
      <c r="S437" s="34"/>
      <c r="T437" s="34"/>
      <c r="U437" s="34"/>
      <c r="V437" s="34"/>
      <c r="W437" s="34"/>
      <c r="X437" s="34"/>
      <c r="Y437" s="34"/>
      <c r="Z437" s="34"/>
      <c r="AA437" s="34"/>
      <c r="AB437" s="34"/>
      <c r="AC437" s="34"/>
    </row>
    <row r="438" spans="1:29" ht="15.75" customHeight="1" x14ac:dyDescent="0.2">
      <c r="A438" s="34"/>
      <c r="B438" s="34"/>
      <c r="C438" s="33"/>
      <c r="D438" s="34"/>
      <c r="E438" s="34"/>
      <c r="F438" s="34"/>
      <c r="G438" s="34"/>
      <c r="H438" s="33"/>
      <c r="I438" s="33"/>
      <c r="J438" s="34"/>
      <c r="K438" s="34"/>
      <c r="L438" s="34"/>
      <c r="M438" s="34"/>
      <c r="N438" s="34"/>
      <c r="O438" s="34"/>
      <c r="P438" s="34"/>
      <c r="Q438" s="34"/>
      <c r="R438" s="34"/>
      <c r="S438" s="34"/>
      <c r="T438" s="34"/>
      <c r="U438" s="34"/>
      <c r="V438" s="34"/>
      <c r="W438" s="34"/>
      <c r="X438" s="34"/>
      <c r="Y438" s="34"/>
      <c r="Z438" s="34"/>
      <c r="AA438" s="34"/>
      <c r="AB438" s="34"/>
      <c r="AC438" s="34"/>
    </row>
    <row r="439" spans="1:29" ht="15.75" customHeight="1" x14ac:dyDescent="0.2">
      <c r="A439" s="34"/>
      <c r="B439" s="34"/>
      <c r="C439" s="33"/>
      <c r="D439" s="34"/>
      <c r="E439" s="34"/>
      <c r="F439" s="34"/>
      <c r="G439" s="34"/>
      <c r="H439" s="33"/>
      <c r="I439" s="33"/>
      <c r="J439" s="34"/>
      <c r="K439" s="34"/>
      <c r="L439" s="34"/>
      <c r="M439" s="34"/>
      <c r="N439" s="34"/>
      <c r="O439" s="34"/>
      <c r="P439" s="34"/>
      <c r="Q439" s="34"/>
      <c r="R439" s="34"/>
      <c r="S439" s="34"/>
      <c r="T439" s="34"/>
      <c r="U439" s="34"/>
      <c r="V439" s="34"/>
      <c r="W439" s="34"/>
      <c r="X439" s="34"/>
      <c r="Y439" s="34"/>
      <c r="Z439" s="34"/>
      <c r="AA439" s="34"/>
      <c r="AB439" s="34"/>
      <c r="AC439" s="34"/>
    </row>
    <row r="440" spans="1:29" ht="15.75" customHeight="1" x14ac:dyDescent="0.2">
      <c r="A440" s="34"/>
      <c r="B440" s="34"/>
      <c r="C440" s="33"/>
      <c r="D440" s="34"/>
      <c r="E440" s="34"/>
      <c r="F440" s="34"/>
      <c r="G440" s="34"/>
      <c r="H440" s="33"/>
      <c r="I440" s="33"/>
      <c r="J440" s="34"/>
      <c r="K440" s="34"/>
      <c r="L440" s="34"/>
      <c r="M440" s="34"/>
      <c r="N440" s="34"/>
      <c r="O440" s="34"/>
      <c r="P440" s="34"/>
      <c r="Q440" s="34"/>
      <c r="R440" s="34"/>
      <c r="S440" s="34"/>
      <c r="T440" s="34"/>
      <c r="U440" s="34"/>
      <c r="V440" s="34"/>
      <c r="W440" s="34"/>
      <c r="X440" s="34"/>
      <c r="Y440" s="34"/>
      <c r="Z440" s="34"/>
      <c r="AA440" s="34"/>
      <c r="AB440" s="34"/>
      <c r="AC440" s="34"/>
    </row>
    <row r="441" spans="1:29" ht="15.75" customHeight="1" x14ac:dyDescent="0.2">
      <c r="A441" s="34"/>
      <c r="B441" s="34"/>
      <c r="C441" s="33"/>
      <c r="D441" s="34"/>
      <c r="E441" s="34"/>
      <c r="F441" s="34"/>
      <c r="G441" s="34"/>
      <c r="H441" s="33"/>
      <c r="I441" s="33"/>
      <c r="J441" s="34"/>
      <c r="K441" s="34"/>
      <c r="L441" s="34"/>
      <c r="M441" s="34"/>
      <c r="N441" s="34"/>
      <c r="O441" s="34"/>
      <c r="P441" s="34"/>
      <c r="Q441" s="34"/>
      <c r="R441" s="34"/>
      <c r="S441" s="34"/>
      <c r="T441" s="34"/>
      <c r="U441" s="34"/>
      <c r="V441" s="34"/>
      <c r="W441" s="34"/>
      <c r="X441" s="34"/>
      <c r="Y441" s="34"/>
      <c r="Z441" s="34"/>
      <c r="AA441" s="34"/>
      <c r="AB441" s="34"/>
      <c r="AC441" s="34"/>
    </row>
    <row r="442" spans="1:29" ht="15.75" customHeight="1" x14ac:dyDescent="0.2">
      <c r="A442" s="34"/>
      <c r="B442" s="34"/>
      <c r="C442" s="33"/>
      <c r="D442" s="34"/>
      <c r="E442" s="34"/>
      <c r="F442" s="34"/>
      <c r="G442" s="34"/>
      <c r="H442" s="33"/>
      <c r="I442" s="33"/>
      <c r="J442" s="34"/>
      <c r="K442" s="34"/>
      <c r="L442" s="34"/>
      <c r="M442" s="34"/>
      <c r="N442" s="34"/>
      <c r="O442" s="34"/>
      <c r="P442" s="34"/>
      <c r="Q442" s="34"/>
      <c r="R442" s="34"/>
      <c r="S442" s="34"/>
      <c r="T442" s="34"/>
      <c r="U442" s="34"/>
      <c r="V442" s="34"/>
      <c r="W442" s="34"/>
      <c r="X442" s="34"/>
      <c r="Y442" s="34"/>
      <c r="Z442" s="34"/>
      <c r="AA442" s="34"/>
      <c r="AB442" s="34"/>
      <c r="AC442" s="34"/>
    </row>
    <row r="443" spans="1:29" ht="15.75" customHeight="1" x14ac:dyDescent="0.2">
      <c r="A443" s="34"/>
      <c r="B443" s="34"/>
      <c r="C443" s="33"/>
      <c r="D443" s="34"/>
      <c r="E443" s="34"/>
      <c r="F443" s="34"/>
      <c r="G443" s="34"/>
      <c r="H443" s="33"/>
      <c r="I443" s="33"/>
      <c r="J443" s="34"/>
      <c r="K443" s="34"/>
      <c r="L443" s="34"/>
      <c r="M443" s="34"/>
      <c r="N443" s="34"/>
      <c r="O443" s="34"/>
      <c r="P443" s="34"/>
      <c r="Q443" s="34"/>
      <c r="R443" s="34"/>
      <c r="S443" s="34"/>
      <c r="T443" s="34"/>
      <c r="U443" s="34"/>
      <c r="V443" s="34"/>
      <c r="W443" s="34"/>
      <c r="X443" s="34"/>
      <c r="Y443" s="34"/>
      <c r="Z443" s="34"/>
      <c r="AA443" s="34"/>
      <c r="AB443" s="34"/>
      <c r="AC443" s="34"/>
    </row>
    <row r="444" spans="1:29" ht="15.75" customHeight="1" x14ac:dyDescent="0.2">
      <c r="A444" s="34"/>
      <c r="B444" s="34"/>
      <c r="C444" s="33"/>
      <c r="D444" s="34"/>
      <c r="E444" s="34"/>
      <c r="F444" s="34"/>
      <c r="G444" s="34"/>
      <c r="H444" s="33"/>
      <c r="I444" s="33"/>
      <c r="J444" s="34"/>
      <c r="K444" s="34"/>
      <c r="L444" s="34"/>
      <c r="M444" s="34"/>
      <c r="N444" s="34"/>
      <c r="O444" s="34"/>
      <c r="P444" s="34"/>
      <c r="Q444" s="34"/>
      <c r="R444" s="34"/>
      <c r="S444" s="34"/>
      <c r="T444" s="34"/>
      <c r="U444" s="34"/>
      <c r="V444" s="34"/>
      <c r="W444" s="34"/>
      <c r="X444" s="34"/>
      <c r="Y444" s="34"/>
      <c r="Z444" s="34"/>
      <c r="AA444" s="34"/>
      <c r="AB444" s="34"/>
      <c r="AC444" s="34"/>
    </row>
    <row r="445" spans="1:29" ht="15.75" customHeight="1" x14ac:dyDescent="0.2">
      <c r="A445" s="34"/>
      <c r="B445" s="34"/>
      <c r="C445" s="33"/>
      <c r="D445" s="34"/>
      <c r="E445" s="34"/>
      <c r="F445" s="34"/>
      <c r="G445" s="34"/>
      <c r="H445" s="33"/>
      <c r="I445" s="33"/>
      <c r="J445" s="34"/>
      <c r="K445" s="34"/>
      <c r="L445" s="34"/>
      <c r="M445" s="34"/>
      <c r="N445" s="34"/>
      <c r="O445" s="34"/>
      <c r="P445" s="34"/>
      <c r="Q445" s="34"/>
      <c r="R445" s="34"/>
      <c r="S445" s="34"/>
      <c r="T445" s="34"/>
      <c r="U445" s="34"/>
      <c r="V445" s="34"/>
      <c r="W445" s="34"/>
      <c r="X445" s="34"/>
      <c r="Y445" s="34"/>
      <c r="Z445" s="34"/>
      <c r="AA445" s="34"/>
      <c r="AB445" s="34"/>
      <c r="AC445" s="34"/>
    </row>
    <row r="446" spans="1:29" ht="15.75" customHeight="1" x14ac:dyDescent="0.2">
      <c r="A446" s="34"/>
      <c r="B446" s="34"/>
      <c r="C446" s="33"/>
      <c r="D446" s="34"/>
      <c r="E446" s="34"/>
      <c r="F446" s="34"/>
      <c r="G446" s="34"/>
      <c r="H446" s="33"/>
      <c r="I446" s="33"/>
      <c r="J446" s="34"/>
      <c r="K446" s="34"/>
      <c r="L446" s="34"/>
      <c r="M446" s="34"/>
      <c r="N446" s="34"/>
      <c r="O446" s="34"/>
      <c r="P446" s="34"/>
      <c r="Q446" s="34"/>
      <c r="R446" s="34"/>
      <c r="S446" s="34"/>
      <c r="T446" s="34"/>
      <c r="U446" s="34"/>
      <c r="V446" s="34"/>
      <c r="W446" s="34"/>
      <c r="X446" s="34"/>
      <c r="Y446" s="34"/>
      <c r="Z446" s="34"/>
      <c r="AA446" s="34"/>
      <c r="AB446" s="34"/>
      <c r="AC446" s="34"/>
    </row>
    <row r="447" spans="1:29" ht="15.75" customHeight="1" x14ac:dyDescent="0.2">
      <c r="A447" s="34"/>
      <c r="B447" s="34"/>
      <c r="C447" s="33"/>
      <c r="D447" s="34"/>
      <c r="E447" s="34"/>
      <c r="F447" s="34"/>
      <c r="G447" s="34"/>
      <c r="H447" s="33"/>
      <c r="I447" s="33"/>
      <c r="J447" s="34"/>
      <c r="K447" s="34"/>
      <c r="L447" s="34"/>
      <c r="M447" s="34"/>
      <c r="N447" s="34"/>
      <c r="O447" s="34"/>
      <c r="P447" s="34"/>
      <c r="Q447" s="34"/>
      <c r="R447" s="34"/>
      <c r="S447" s="34"/>
      <c r="T447" s="34"/>
      <c r="U447" s="34"/>
      <c r="V447" s="34"/>
      <c r="W447" s="34"/>
      <c r="X447" s="34"/>
      <c r="Y447" s="34"/>
      <c r="Z447" s="34"/>
      <c r="AA447" s="34"/>
      <c r="AB447" s="34"/>
      <c r="AC447" s="34"/>
    </row>
    <row r="448" spans="1:29" ht="15.75" customHeight="1" x14ac:dyDescent="0.2">
      <c r="A448" s="34"/>
      <c r="B448" s="34"/>
      <c r="C448" s="33"/>
      <c r="D448" s="34"/>
      <c r="E448" s="34"/>
      <c r="F448" s="34"/>
      <c r="G448" s="34"/>
      <c r="H448" s="33"/>
      <c r="I448" s="33"/>
      <c r="J448" s="34"/>
      <c r="K448" s="34"/>
      <c r="L448" s="34"/>
      <c r="M448" s="34"/>
      <c r="N448" s="34"/>
      <c r="O448" s="34"/>
      <c r="P448" s="34"/>
      <c r="Q448" s="34"/>
      <c r="R448" s="34"/>
      <c r="S448" s="34"/>
      <c r="T448" s="34"/>
      <c r="U448" s="34"/>
      <c r="V448" s="34"/>
      <c r="W448" s="34"/>
      <c r="X448" s="34"/>
      <c r="Y448" s="34"/>
      <c r="Z448" s="34"/>
      <c r="AA448" s="34"/>
      <c r="AB448" s="34"/>
      <c r="AC448" s="34"/>
    </row>
    <row r="449" spans="1:29" ht="15.75" customHeight="1" x14ac:dyDescent="0.2">
      <c r="A449" s="34"/>
      <c r="B449" s="34"/>
      <c r="C449" s="33"/>
      <c r="D449" s="34"/>
      <c r="E449" s="34"/>
      <c r="F449" s="34"/>
      <c r="G449" s="34"/>
      <c r="H449" s="33"/>
      <c r="I449" s="33"/>
      <c r="J449" s="34"/>
      <c r="K449" s="34"/>
      <c r="L449" s="34"/>
      <c r="M449" s="34"/>
      <c r="N449" s="34"/>
      <c r="O449" s="34"/>
      <c r="P449" s="34"/>
      <c r="Q449" s="34"/>
      <c r="R449" s="34"/>
      <c r="S449" s="34"/>
      <c r="T449" s="34"/>
      <c r="U449" s="34"/>
      <c r="V449" s="34"/>
      <c r="W449" s="34"/>
      <c r="X449" s="34"/>
      <c r="Y449" s="34"/>
      <c r="Z449" s="34"/>
      <c r="AA449" s="34"/>
      <c r="AB449" s="34"/>
      <c r="AC449" s="34"/>
    </row>
    <row r="450" spans="1:29" ht="15.75" customHeight="1" x14ac:dyDescent="0.2">
      <c r="A450" s="34"/>
      <c r="B450" s="34"/>
      <c r="C450" s="33"/>
      <c r="D450" s="34"/>
      <c r="E450" s="34"/>
      <c r="F450" s="34"/>
      <c r="G450" s="34"/>
      <c r="H450" s="33"/>
      <c r="I450" s="33"/>
      <c r="J450" s="34"/>
      <c r="K450" s="34"/>
      <c r="L450" s="34"/>
      <c r="M450" s="34"/>
      <c r="N450" s="34"/>
      <c r="O450" s="34"/>
      <c r="P450" s="34"/>
      <c r="Q450" s="34"/>
      <c r="R450" s="34"/>
      <c r="S450" s="34"/>
      <c r="T450" s="34"/>
      <c r="U450" s="34"/>
      <c r="V450" s="34"/>
      <c r="W450" s="34"/>
      <c r="X450" s="34"/>
      <c r="Y450" s="34"/>
      <c r="Z450" s="34"/>
      <c r="AA450" s="34"/>
      <c r="AB450" s="34"/>
      <c r="AC450" s="34"/>
    </row>
    <row r="451" spans="1:29" ht="15.75" customHeight="1" x14ac:dyDescent="0.2">
      <c r="A451" s="34"/>
      <c r="B451" s="34"/>
      <c r="C451" s="33"/>
      <c r="D451" s="34"/>
      <c r="E451" s="34"/>
      <c r="F451" s="34"/>
      <c r="G451" s="34"/>
      <c r="H451" s="33"/>
      <c r="I451" s="33"/>
      <c r="J451" s="34"/>
      <c r="K451" s="34"/>
      <c r="L451" s="34"/>
      <c r="M451" s="34"/>
      <c r="N451" s="34"/>
      <c r="O451" s="34"/>
      <c r="P451" s="34"/>
      <c r="Q451" s="34"/>
      <c r="R451" s="34"/>
      <c r="S451" s="34"/>
      <c r="T451" s="34"/>
      <c r="U451" s="34"/>
      <c r="V451" s="34"/>
      <c r="W451" s="34"/>
      <c r="X451" s="34"/>
      <c r="Y451" s="34"/>
      <c r="Z451" s="34"/>
      <c r="AA451" s="34"/>
      <c r="AB451" s="34"/>
      <c r="AC451" s="34"/>
    </row>
    <row r="452" spans="1:29" ht="15.75" customHeight="1" x14ac:dyDescent="0.2">
      <c r="A452" s="34"/>
      <c r="B452" s="34"/>
      <c r="C452" s="33"/>
      <c r="D452" s="34"/>
      <c r="E452" s="34"/>
      <c r="F452" s="34"/>
      <c r="G452" s="34"/>
      <c r="H452" s="33"/>
      <c r="I452" s="33"/>
      <c r="J452" s="34"/>
      <c r="K452" s="34"/>
      <c r="L452" s="34"/>
      <c r="M452" s="34"/>
      <c r="N452" s="34"/>
      <c r="O452" s="34"/>
      <c r="P452" s="34"/>
      <c r="Q452" s="34"/>
      <c r="R452" s="34"/>
      <c r="S452" s="34"/>
      <c r="T452" s="34"/>
      <c r="U452" s="34"/>
      <c r="V452" s="34"/>
      <c r="W452" s="34"/>
      <c r="X452" s="34"/>
      <c r="Y452" s="34"/>
      <c r="Z452" s="34"/>
      <c r="AA452" s="34"/>
      <c r="AB452" s="34"/>
      <c r="AC452" s="34"/>
    </row>
    <row r="453" spans="1:29" ht="15.75" customHeight="1" x14ac:dyDescent="0.2">
      <c r="A453" s="34"/>
      <c r="B453" s="34"/>
      <c r="C453" s="33"/>
      <c r="D453" s="34"/>
      <c r="E453" s="34"/>
      <c r="F453" s="34"/>
      <c r="G453" s="34"/>
      <c r="H453" s="33"/>
      <c r="I453" s="33"/>
      <c r="J453" s="34"/>
      <c r="K453" s="34"/>
      <c r="L453" s="34"/>
      <c r="M453" s="34"/>
      <c r="N453" s="34"/>
      <c r="O453" s="34"/>
      <c r="P453" s="34"/>
      <c r="Q453" s="34"/>
      <c r="R453" s="34"/>
      <c r="S453" s="34"/>
      <c r="T453" s="34"/>
      <c r="U453" s="34"/>
      <c r="V453" s="34"/>
      <c r="W453" s="34"/>
      <c r="X453" s="34"/>
      <c r="Y453" s="34"/>
      <c r="Z453" s="34"/>
      <c r="AA453" s="34"/>
      <c r="AB453" s="34"/>
      <c r="AC453" s="34"/>
    </row>
    <row r="454" spans="1:29" ht="15.75" customHeight="1" x14ac:dyDescent="0.2">
      <c r="A454" s="34"/>
      <c r="B454" s="34"/>
      <c r="C454" s="33"/>
      <c r="D454" s="34"/>
      <c r="E454" s="34"/>
      <c r="F454" s="34"/>
      <c r="G454" s="34"/>
      <c r="H454" s="33"/>
      <c r="I454" s="33"/>
      <c r="J454" s="34"/>
      <c r="K454" s="34"/>
      <c r="L454" s="34"/>
      <c r="M454" s="34"/>
      <c r="N454" s="34"/>
      <c r="O454" s="34"/>
      <c r="P454" s="34"/>
      <c r="Q454" s="34"/>
      <c r="R454" s="34"/>
      <c r="S454" s="34"/>
      <c r="T454" s="34"/>
      <c r="U454" s="34"/>
      <c r="V454" s="34"/>
      <c r="W454" s="34"/>
      <c r="X454" s="34"/>
      <c r="Y454" s="34"/>
      <c r="Z454" s="34"/>
      <c r="AA454" s="34"/>
      <c r="AB454" s="34"/>
      <c r="AC454" s="34"/>
    </row>
    <row r="455" spans="1:29" ht="15.75" customHeight="1" x14ac:dyDescent="0.2">
      <c r="A455" s="34"/>
      <c r="B455" s="34"/>
      <c r="C455" s="33"/>
      <c r="D455" s="34"/>
      <c r="E455" s="34"/>
      <c r="F455" s="34"/>
      <c r="G455" s="34"/>
      <c r="H455" s="33"/>
      <c r="I455" s="33"/>
      <c r="J455" s="34"/>
      <c r="K455" s="34"/>
      <c r="L455" s="34"/>
      <c r="M455" s="34"/>
      <c r="N455" s="34"/>
      <c r="O455" s="34"/>
      <c r="P455" s="34"/>
      <c r="Q455" s="34"/>
      <c r="R455" s="34"/>
      <c r="S455" s="34"/>
      <c r="T455" s="34"/>
      <c r="U455" s="34"/>
      <c r="V455" s="34"/>
      <c r="W455" s="34"/>
      <c r="X455" s="34"/>
      <c r="Y455" s="34"/>
      <c r="Z455" s="34"/>
      <c r="AA455" s="34"/>
      <c r="AB455" s="34"/>
      <c r="AC455" s="34"/>
    </row>
    <row r="456" spans="1:29" ht="15.75" customHeight="1" x14ac:dyDescent="0.2">
      <c r="A456" s="34"/>
      <c r="B456" s="34"/>
      <c r="C456" s="33"/>
      <c r="D456" s="34"/>
      <c r="E456" s="34"/>
      <c r="F456" s="34"/>
      <c r="G456" s="34"/>
      <c r="H456" s="33"/>
      <c r="I456" s="33"/>
      <c r="J456" s="34"/>
      <c r="K456" s="34"/>
      <c r="L456" s="34"/>
      <c r="M456" s="34"/>
      <c r="N456" s="34"/>
      <c r="O456" s="34"/>
      <c r="P456" s="34"/>
      <c r="Q456" s="34"/>
      <c r="R456" s="34"/>
      <c r="S456" s="34"/>
      <c r="T456" s="34"/>
      <c r="U456" s="34"/>
      <c r="V456" s="34"/>
      <c r="W456" s="34"/>
      <c r="X456" s="34"/>
      <c r="Y456" s="34"/>
      <c r="Z456" s="34"/>
      <c r="AA456" s="34"/>
      <c r="AB456" s="34"/>
      <c r="AC456" s="34"/>
    </row>
    <row r="457" spans="1:29" ht="15.75" customHeight="1" x14ac:dyDescent="0.2">
      <c r="A457" s="34"/>
      <c r="B457" s="34"/>
      <c r="C457" s="33"/>
      <c r="D457" s="34"/>
      <c r="E457" s="34"/>
      <c r="F457" s="34"/>
      <c r="G457" s="34"/>
      <c r="H457" s="33"/>
      <c r="I457" s="33"/>
      <c r="J457" s="34"/>
      <c r="K457" s="34"/>
      <c r="L457" s="34"/>
      <c r="M457" s="34"/>
      <c r="N457" s="34"/>
      <c r="O457" s="34"/>
      <c r="P457" s="34"/>
      <c r="Q457" s="34"/>
      <c r="R457" s="34"/>
      <c r="S457" s="34"/>
      <c r="T457" s="34"/>
      <c r="U457" s="34"/>
      <c r="V457" s="34"/>
      <c r="W457" s="34"/>
      <c r="X457" s="34"/>
      <c r="Y457" s="34"/>
      <c r="Z457" s="34"/>
      <c r="AA457" s="34"/>
      <c r="AB457" s="34"/>
      <c r="AC457" s="34"/>
    </row>
    <row r="458" spans="1:29" ht="15.75" customHeight="1" x14ac:dyDescent="0.2">
      <c r="A458" s="34"/>
      <c r="B458" s="34"/>
      <c r="C458" s="33"/>
      <c r="D458" s="34"/>
      <c r="E458" s="34"/>
      <c r="F458" s="34"/>
      <c r="G458" s="34"/>
      <c r="H458" s="33"/>
      <c r="I458" s="33"/>
      <c r="J458" s="34"/>
      <c r="K458" s="34"/>
      <c r="L458" s="34"/>
      <c r="M458" s="34"/>
      <c r="N458" s="34"/>
      <c r="O458" s="34"/>
      <c r="P458" s="34"/>
      <c r="Q458" s="34"/>
      <c r="R458" s="34"/>
      <c r="S458" s="34"/>
      <c r="T458" s="34"/>
      <c r="U458" s="34"/>
      <c r="V458" s="34"/>
      <c r="W458" s="34"/>
      <c r="X458" s="34"/>
      <c r="Y458" s="34"/>
      <c r="Z458" s="34"/>
      <c r="AA458" s="34"/>
      <c r="AB458" s="34"/>
      <c r="AC458" s="34"/>
    </row>
    <row r="459" spans="1:29" ht="15.75" customHeight="1" x14ac:dyDescent="0.2">
      <c r="A459" s="34"/>
      <c r="B459" s="34"/>
      <c r="C459" s="33"/>
      <c r="D459" s="34"/>
      <c r="E459" s="34"/>
      <c r="F459" s="34"/>
      <c r="G459" s="34"/>
      <c r="H459" s="33"/>
      <c r="I459" s="33"/>
      <c r="J459" s="34"/>
      <c r="K459" s="34"/>
      <c r="L459" s="34"/>
      <c r="M459" s="34"/>
      <c r="N459" s="34"/>
      <c r="O459" s="34"/>
      <c r="P459" s="34"/>
      <c r="Q459" s="34"/>
      <c r="R459" s="34"/>
      <c r="S459" s="34"/>
      <c r="T459" s="34"/>
      <c r="U459" s="34"/>
      <c r="V459" s="34"/>
      <c r="W459" s="34"/>
      <c r="X459" s="34"/>
      <c r="Y459" s="34"/>
      <c r="Z459" s="34"/>
      <c r="AA459" s="34"/>
      <c r="AB459" s="34"/>
      <c r="AC459" s="34"/>
    </row>
    <row r="460" spans="1:29" ht="15.75" customHeight="1" x14ac:dyDescent="0.2">
      <c r="A460" s="34"/>
      <c r="B460" s="34"/>
      <c r="C460" s="33"/>
      <c r="D460" s="34"/>
      <c r="E460" s="34"/>
      <c r="F460" s="34"/>
      <c r="G460" s="34"/>
      <c r="H460" s="33"/>
      <c r="I460" s="33"/>
      <c r="J460" s="34"/>
      <c r="K460" s="34"/>
      <c r="L460" s="34"/>
      <c r="M460" s="34"/>
      <c r="N460" s="34"/>
      <c r="O460" s="34"/>
      <c r="P460" s="34"/>
      <c r="Q460" s="34"/>
      <c r="R460" s="34"/>
      <c r="S460" s="34"/>
      <c r="T460" s="34"/>
      <c r="U460" s="34"/>
      <c r="V460" s="34"/>
      <c r="W460" s="34"/>
      <c r="X460" s="34"/>
      <c r="Y460" s="34"/>
      <c r="Z460" s="34"/>
      <c r="AA460" s="34"/>
      <c r="AB460" s="34"/>
      <c r="AC460" s="34"/>
    </row>
    <row r="461" spans="1:29" ht="15.75" customHeight="1" x14ac:dyDescent="0.2">
      <c r="A461" s="34"/>
      <c r="B461" s="34"/>
      <c r="C461" s="33"/>
      <c r="D461" s="34"/>
      <c r="E461" s="34"/>
      <c r="F461" s="34"/>
      <c r="G461" s="34"/>
      <c r="H461" s="33"/>
      <c r="I461" s="33"/>
      <c r="J461" s="34"/>
      <c r="K461" s="34"/>
      <c r="L461" s="34"/>
      <c r="M461" s="34"/>
      <c r="N461" s="34"/>
      <c r="O461" s="34"/>
      <c r="P461" s="34"/>
      <c r="Q461" s="34"/>
      <c r="R461" s="34"/>
      <c r="S461" s="34"/>
      <c r="T461" s="34"/>
      <c r="U461" s="34"/>
      <c r="V461" s="34"/>
      <c r="W461" s="34"/>
      <c r="X461" s="34"/>
      <c r="Y461" s="34"/>
      <c r="Z461" s="34"/>
      <c r="AA461" s="34"/>
      <c r="AB461" s="34"/>
      <c r="AC461" s="34"/>
    </row>
    <row r="462" spans="1:29" ht="15.75" customHeight="1" x14ac:dyDescent="0.2">
      <c r="A462" s="34"/>
      <c r="B462" s="34"/>
      <c r="C462" s="33"/>
      <c r="D462" s="34"/>
      <c r="E462" s="34"/>
      <c r="F462" s="34"/>
      <c r="G462" s="34"/>
      <c r="H462" s="33"/>
      <c r="I462" s="33"/>
      <c r="J462" s="34"/>
      <c r="K462" s="34"/>
      <c r="L462" s="34"/>
      <c r="M462" s="34"/>
      <c r="N462" s="34"/>
      <c r="O462" s="34"/>
      <c r="P462" s="34"/>
      <c r="Q462" s="34"/>
      <c r="R462" s="34"/>
      <c r="S462" s="34"/>
      <c r="T462" s="34"/>
      <c r="U462" s="34"/>
      <c r="V462" s="34"/>
      <c r="W462" s="34"/>
      <c r="X462" s="34"/>
      <c r="Y462" s="34"/>
      <c r="Z462" s="34"/>
      <c r="AA462" s="34"/>
      <c r="AB462" s="34"/>
      <c r="AC462" s="34"/>
    </row>
    <row r="463" spans="1:29" ht="15.75" customHeight="1" x14ac:dyDescent="0.2">
      <c r="A463" s="34"/>
      <c r="B463" s="34"/>
      <c r="C463" s="33"/>
      <c r="D463" s="34"/>
      <c r="E463" s="34"/>
      <c r="F463" s="34"/>
      <c r="G463" s="34"/>
      <c r="H463" s="33"/>
      <c r="I463" s="33"/>
      <c r="J463" s="34"/>
      <c r="K463" s="34"/>
      <c r="L463" s="34"/>
      <c r="M463" s="34"/>
      <c r="N463" s="34"/>
      <c r="O463" s="34"/>
      <c r="P463" s="34"/>
      <c r="Q463" s="34"/>
      <c r="R463" s="34"/>
      <c r="S463" s="34"/>
      <c r="T463" s="34"/>
      <c r="U463" s="34"/>
      <c r="V463" s="34"/>
      <c r="W463" s="34"/>
      <c r="X463" s="34"/>
      <c r="Y463" s="34"/>
      <c r="Z463" s="34"/>
      <c r="AA463" s="34"/>
      <c r="AB463" s="34"/>
      <c r="AC463" s="34"/>
    </row>
    <row r="464" spans="1:29" ht="15.75" customHeight="1" x14ac:dyDescent="0.2">
      <c r="A464" s="34"/>
      <c r="B464" s="34"/>
      <c r="C464" s="33"/>
      <c r="D464" s="34"/>
      <c r="E464" s="34"/>
      <c r="F464" s="34"/>
      <c r="G464" s="34"/>
      <c r="H464" s="33"/>
      <c r="I464" s="33"/>
      <c r="J464" s="34"/>
      <c r="K464" s="34"/>
      <c r="L464" s="34"/>
      <c r="M464" s="34"/>
      <c r="N464" s="34"/>
      <c r="O464" s="34"/>
      <c r="P464" s="34"/>
      <c r="Q464" s="34"/>
      <c r="R464" s="34"/>
      <c r="S464" s="34"/>
      <c r="T464" s="34"/>
      <c r="U464" s="34"/>
      <c r="V464" s="34"/>
      <c r="W464" s="34"/>
      <c r="X464" s="34"/>
      <c r="Y464" s="34"/>
      <c r="Z464" s="34"/>
      <c r="AA464" s="34"/>
      <c r="AB464" s="34"/>
      <c r="AC464" s="34"/>
    </row>
    <row r="465" spans="1:29" ht="15.75" customHeight="1" x14ac:dyDescent="0.2">
      <c r="A465" s="34"/>
      <c r="B465" s="34"/>
      <c r="C465" s="33"/>
      <c r="D465" s="34"/>
      <c r="E465" s="34"/>
      <c r="F465" s="34"/>
      <c r="G465" s="34"/>
      <c r="H465" s="33"/>
      <c r="I465" s="33"/>
      <c r="J465" s="34"/>
      <c r="K465" s="34"/>
      <c r="L465" s="34"/>
      <c r="M465" s="34"/>
      <c r="N465" s="34"/>
      <c r="O465" s="34"/>
      <c r="P465" s="34"/>
      <c r="Q465" s="34"/>
      <c r="R465" s="34"/>
      <c r="S465" s="34"/>
      <c r="T465" s="34"/>
      <c r="U465" s="34"/>
      <c r="V465" s="34"/>
      <c r="W465" s="34"/>
      <c r="X465" s="34"/>
      <c r="Y465" s="34"/>
      <c r="Z465" s="34"/>
      <c r="AA465" s="34"/>
      <c r="AB465" s="34"/>
      <c r="AC465" s="34"/>
    </row>
    <row r="466" spans="1:29" ht="15.75" customHeight="1" x14ac:dyDescent="0.2">
      <c r="A466" s="34"/>
      <c r="B466" s="34"/>
      <c r="C466" s="33"/>
      <c r="D466" s="34"/>
      <c r="E466" s="34"/>
      <c r="F466" s="34"/>
      <c r="G466" s="34"/>
      <c r="H466" s="33"/>
      <c r="I466" s="33"/>
      <c r="J466" s="34"/>
      <c r="K466" s="34"/>
      <c r="L466" s="34"/>
      <c r="M466" s="34"/>
      <c r="N466" s="34"/>
      <c r="O466" s="34"/>
      <c r="P466" s="34"/>
      <c r="Q466" s="34"/>
      <c r="R466" s="34"/>
      <c r="S466" s="34"/>
      <c r="T466" s="34"/>
      <c r="U466" s="34"/>
      <c r="V466" s="34"/>
      <c r="W466" s="34"/>
      <c r="X466" s="34"/>
      <c r="Y466" s="34"/>
      <c r="Z466" s="34"/>
      <c r="AA466" s="34"/>
      <c r="AB466" s="34"/>
      <c r="AC466" s="34"/>
    </row>
    <row r="467" spans="1:29" ht="15.75" customHeight="1" x14ac:dyDescent="0.2">
      <c r="A467" s="34"/>
      <c r="B467" s="34"/>
      <c r="C467" s="33"/>
      <c r="D467" s="34"/>
      <c r="E467" s="34"/>
      <c r="F467" s="34"/>
      <c r="G467" s="34"/>
      <c r="H467" s="33"/>
      <c r="I467" s="33"/>
      <c r="J467" s="34"/>
      <c r="K467" s="34"/>
      <c r="L467" s="34"/>
      <c r="M467" s="34"/>
      <c r="N467" s="34"/>
      <c r="O467" s="34"/>
      <c r="P467" s="34"/>
      <c r="Q467" s="34"/>
      <c r="R467" s="34"/>
      <c r="S467" s="34"/>
      <c r="T467" s="34"/>
      <c r="U467" s="34"/>
      <c r="V467" s="34"/>
      <c r="W467" s="34"/>
      <c r="X467" s="34"/>
      <c r="Y467" s="34"/>
      <c r="Z467" s="34"/>
      <c r="AA467" s="34"/>
      <c r="AB467" s="34"/>
      <c r="AC467" s="34"/>
    </row>
    <row r="468" spans="1:29" ht="15.75" customHeight="1" x14ac:dyDescent="0.2">
      <c r="A468" s="34"/>
      <c r="B468" s="34"/>
      <c r="C468" s="33"/>
      <c r="D468" s="34"/>
      <c r="E468" s="34"/>
      <c r="F468" s="34"/>
      <c r="G468" s="34"/>
      <c r="H468" s="33"/>
      <c r="I468" s="33"/>
      <c r="J468" s="34"/>
      <c r="K468" s="34"/>
      <c r="L468" s="34"/>
      <c r="M468" s="34"/>
      <c r="N468" s="34"/>
      <c r="O468" s="34"/>
      <c r="P468" s="34"/>
      <c r="Q468" s="34"/>
      <c r="R468" s="34"/>
      <c r="S468" s="34"/>
      <c r="T468" s="34"/>
      <c r="U468" s="34"/>
      <c r="V468" s="34"/>
      <c r="W468" s="34"/>
      <c r="X468" s="34"/>
      <c r="Y468" s="34"/>
      <c r="Z468" s="34"/>
      <c r="AA468" s="34"/>
      <c r="AB468" s="34"/>
      <c r="AC468" s="34"/>
    </row>
    <row r="469" spans="1:29" ht="15.75" customHeight="1" x14ac:dyDescent="0.2">
      <c r="A469" s="34"/>
      <c r="B469" s="34"/>
      <c r="C469" s="33"/>
      <c r="D469" s="34"/>
      <c r="E469" s="34"/>
      <c r="F469" s="34"/>
      <c r="G469" s="34"/>
      <c r="H469" s="33"/>
      <c r="I469" s="33"/>
      <c r="J469" s="34"/>
      <c r="K469" s="34"/>
      <c r="L469" s="34"/>
      <c r="M469" s="34"/>
      <c r="N469" s="34"/>
      <c r="O469" s="34"/>
      <c r="P469" s="34"/>
      <c r="Q469" s="34"/>
      <c r="R469" s="34"/>
      <c r="S469" s="34"/>
      <c r="T469" s="34"/>
      <c r="U469" s="34"/>
      <c r="V469" s="34"/>
      <c r="W469" s="34"/>
      <c r="X469" s="34"/>
      <c r="Y469" s="34"/>
      <c r="Z469" s="34"/>
      <c r="AA469" s="34"/>
      <c r="AB469" s="34"/>
      <c r="AC469" s="34"/>
    </row>
    <row r="470" spans="1:29" ht="15.75" customHeight="1" x14ac:dyDescent="0.2">
      <c r="A470" s="34"/>
      <c r="B470" s="34"/>
      <c r="C470" s="33"/>
      <c r="D470" s="34"/>
      <c r="E470" s="34"/>
      <c r="F470" s="34"/>
      <c r="G470" s="34"/>
      <c r="H470" s="33"/>
      <c r="I470" s="33"/>
      <c r="J470" s="34"/>
      <c r="K470" s="34"/>
      <c r="L470" s="34"/>
      <c r="M470" s="34"/>
      <c r="N470" s="34"/>
      <c r="O470" s="34"/>
      <c r="P470" s="34"/>
      <c r="Q470" s="34"/>
      <c r="R470" s="34"/>
      <c r="S470" s="34"/>
      <c r="T470" s="34"/>
      <c r="U470" s="34"/>
      <c r="V470" s="34"/>
      <c r="W470" s="34"/>
      <c r="X470" s="34"/>
      <c r="Y470" s="34"/>
      <c r="Z470" s="34"/>
      <c r="AA470" s="34"/>
      <c r="AB470" s="34"/>
      <c r="AC470" s="34"/>
    </row>
    <row r="471" spans="1:29" ht="15.75" customHeight="1" x14ac:dyDescent="0.2">
      <c r="A471" s="34"/>
      <c r="B471" s="34"/>
      <c r="C471" s="33"/>
      <c r="D471" s="34"/>
      <c r="E471" s="34"/>
      <c r="F471" s="34"/>
      <c r="G471" s="34"/>
      <c r="H471" s="33"/>
      <c r="I471" s="33"/>
      <c r="J471" s="34"/>
      <c r="K471" s="34"/>
      <c r="L471" s="34"/>
      <c r="M471" s="34"/>
      <c r="N471" s="34"/>
      <c r="O471" s="34"/>
      <c r="P471" s="34"/>
      <c r="Q471" s="34"/>
      <c r="R471" s="34"/>
      <c r="S471" s="34"/>
      <c r="T471" s="34"/>
      <c r="U471" s="34"/>
      <c r="V471" s="34"/>
      <c r="W471" s="34"/>
      <c r="X471" s="34"/>
      <c r="Y471" s="34"/>
      <c r="Z471" s="34"/>
      <c r="AA471" s="34"/>
      <c r="AB471" s="34"/>
      <c r="AC471" s="34"/>
    </row>
    <row r="472" spans="1:29" ht="15.75" customHeight="1" x14ac:dyDescent="0.2">
      <c r="A472" s="34"/>
      <c r="B472" s="34"/>
      <c r="C472" s="33"/>
      <c r="D472" s="34"/>
      <c r="E472" s="34"/>
      <c r="F472" s="34"/>
      <c r="G472" s="34"/>
      <c r="H472" s="33"/>
      <c r="I472" s="33"/>
      <c r="J472" s="34"/>
      <c r="K472" s="34"/>
      <c r="L472" s="34"/>
      <c r="M472" s="34"/>
      <c r="N472" s="34"/>
      <c r="O472" s="34"/>
      <c r="P472" s="34"/>
      <c r="Q472" s="34"/>
      <c r="R472" s="34"/>
      <c r="S472" s="34"/>
      <c r="T472" s="34"/>
      <c r="U472" s="34"/>
      <c r="V472" s="34"/>
      <c r="W472" s="34"/>
      <c r="X472" s="34"/>
      <c r="Y472" s="34"/>
      <c r="Z472" s="34"/>
      <c r="AA472" s="34"/>
      <c r="AB472" s="34"/>
      <c r="AC472" s="34"/>
    </row>
    <row r="473" spans="1:29" ht="15.75" customHeight="1" x14ac:dyDescent="0.2">
      <c r="A473" s="34"/>
      <c r="B473" s="34"/>
      <c r="C473" s="33"/>
      <c r="D473" s="34"/>
      <c r="E473" s="34"/>
      <c r="F473" s="34"/>
      <c r="G473" s="34"/>
      <c r="H473" s="33"/>
      <c r="I473" s="33"/>
      <c r="J473" s="34"/>
      <c r="K473" s="34"/>
      <c r="L473" s="34"/>
      <c r="M473" s="34"/>
      <c r="N473" s="34"/>
      <c r="O473" s="34"/>
      <c r="P473" s="34"/>
      <c r="Q473" s="34"/>
      <c r="R473" s="34"/>
      <c r="S473" s="34"/>
      <c r="T473" s="34"/>
      <c r="U473" s="34"/>
      <c r="V473" s="34"/>
      <c r="W473" s="34"/>
      <c r="X473" s="34"/>
      <c r="Y473" s="34"/>
      <c r="Z473" s="34"/>
      <c r="AA473" s="34"/>
      <c r="AB473" s="34"/>
      <c r="AC473" s="34"/>
    </row>
    <row r="474" spans="1:29" ht="15.75" customHeight="1" x14ac:dyDescent="0.2">
      <c r="A474" s="34"/>
      <c r="B474" s="34"/>
      <c r="C474" s="33"/>
      <c r="D474" s="34"/>
      <c r="E474" s="34"/>
      <c r="F474" s="34"/>
      <c r="G474" s="34"/>
      <c r="H474" s="33"/>
      <c r="I474" s="33"/>
      <c r="J474" s="34"/>
      <c r="K474" s="34"/>
      <c r="L474" s="34"/>
      <c r="M474" s="34"/>
      <c r="N474" s="34"/>
      <c r="O474" s="34"/>
      <c r="P474" s="34"/>
      <c r="Q474" s="34"/>
      <c r="R474" s="34"/>
      <c r="S474" s="34"/>
      <c r="T474" s="34"/>
      <c r="U474" s="34"/>
      <c r="V474" s="34"/>
      <c r="W474" s="34"/>
      <c r="X474" s="34"/>
      <c r="Y474" s="34"/>
      <c r="Z474" s="34"/>
      <c r="AA474" s="34"/>
      <c r="AB474" s="34"/>
      <c r="AC474" s="34"/>
    </row>
    <row r="475" spans="1:29" ht="15.75" customHeight="1" x14ac:dyDescent="0.2">
      <c r="A475" s="34"/>
      <c r="B475" s="34"/>
      <c r="C475" s="33"/>
      <c r="D475" s="34"/>
      <c r="E475" s="34"/>
      <c r="F475" s="34"/>
      <c r="G475" s="34"/>
      <c r="H475" s="33"/>
      <c r="I475" s="33"/>
      <c r="J475" s="34"/>
      <c r="K475" s="34"/>
      <c r="L475" s="34"/>
      <c r="M475" s="34"/>
      <c r="N475" s="34"/>
      <c r="O475" s="34"/>
      <c r="P475" s="34"/>
      <c r="Q475" s="34"/>
      <c r="R475" s="34"/>
      <c r="S475" s="34"/>
      <c r="T475" s="34"/>
      <c r="U475" s="34"/>
      <c r="V475" s="34"/>
      <c r="W475" s="34"/>
      <c r="X475" s="34"/>
      <c r="Y475" s="34"/>
      <c r="Z475" s="34"/>
      <c r="AA475" s="34"/>
      <c r="AB475" s="34"/>
      <c r="AC475" s="34"/>
    </row>
    <row r="476" spans="1:29" ht="15.75" customHeight="1" x14ac:dyDescent="0.2">
      <c r="A476" s="34"/>
      <c r="B476" s="34"/>
      <c r="C476" s="33"/>
      <c r="D476" s="34"/>
      <c r="E476" s="34"/>
      <c r="F476" s="34"/>
      <c r="G476" s="34"/>
      <c r="H476" s="33"/>
      <c r="I476" s="33"/>
      <c r="J476" s="34"/>
      <c r="K476" s="34"/>
      <c r="L476" s="34"/>
      <c r="M476" s="34"/>
      <c r="N476" s="34"/>
      <c r="O476" s="34"/>
      <c r="P476" s="34"/>
      <c r="Q476" s="34"/>
      <c r="R476" s="34"/>
      <c r="S476" s="34"/>
      <c r="T476" s="34"/>
      <c r="U476" s="34"/>
      <c r="V476" s="34"/>
      <c r="W476" s="34"/>
      <c r="X476" s="34"/>
      <c r="Y476" s="34"/>
      <c r="Z476" s="34"/>
      <c r="AA476" s="34"/>
      <c r="AB476" s="34"/>
      <c r="AC476" s="34"/>
    </row>
    <row r="477" spans="1:29" ht="15.75" customHeight="1" x14ac:dyDescent="0.2">
      <c r="A477" s="34"/>
      <c r="B477" s="34"/>
      <c r="C477" s="33"/>
      <c r="D477" s="34"/>
      <c r="E477" s="34"/>
      <c r="F477" s="34"/>
      <c r="G477" s="34"/>
      <c r="H477" s="33"/>
      <c r="I477" s="33"/>
      <c r="J477" s="34"/>
      <c r="K477" s="34"/>
      <c r="L477" s="34"/>
      <c r="M477" s="34"/>
      <c r="N477" s="34"/>
      <c r="O477" s="34"/>
      <c r="P477" s="34"/>
      <c r="Q477" s="34"/>
      <c r="R477" s="34"/>
      <c r="S477" s="34"/>
      <c r="T477" s="34"/>
      <c r="U477" s="34"/>
      <c r="V477" s="34"/>
      <c r="W477" s="34"/>
      <c r="X477" s="34"/>
      <c r="Y477" s="34"/>
      <c r="Z477" s="34"/>
      <c r="AA477" s="34"/>
      <c r="AB477" s="34"/>
      <c r="AC477" s="34"/>
    </row>
    <row r="478" spans="1:29" ht="15.75" customHeight="1" x14ac:dyDescent="0.2">
      <c r="A478" s="34"/>
      <c r="B478" s="34"/>
      <c r="C478" s="33"/>
      <c r="D478" s="34"/>
      <c r="E478" s="34"/>
      <c r="F478" s="34"/>
      <c r="G478" s="34"/>
      <c r="H478" s="33"/>
      <c r="I478" s="33"/>
      <c r="J478" s="34"/>
      <c r="K478" s="34"/>
      <c r="L478" s="34"/>
      <c r="M478" s="34"/>
      <c r="N478" s="34"/>
      <c r="O478" s="34"/>
      <c r="P478" s="34"/>
      <c r="Q478" s="34"/>
      <c r="R478" s="34"/>
      <c r="S478" s="34"/>
      <c r="T478" s="34"/>
      <c r="U478" s="34"/>
      <c r="V478" s="34"/>
      <c r="W478" s="34"/>
      <c r="X478" s="34"/>
      <c r="Y478" s="34"/>
      <c r="Z478" s="34"/>
      <c r="AA478" s="34"/>
      <c r="AB478" s="34"/>
      <c r="AC478" s="34"/>
    </row>
    <row r="479" spans="1:29" ht="15.75" customHeight="1" x14ac:dyDescent="0.2">
      <c r="A479" s="34"/>
      <c r="B479" s="34"/>
      <c r="C479" s="33"/>
      <c r="D479" s="34"/>
      <c r="E479" s="34"/>
      <c r="F479" s="34"/>
      <c r="G479" s="34"/>
      <c r="H479" s="33"/>
      <c r="I479" s="33"/>
      <c r="J479" s="34"/>
      <c r="K479" s="34"/>
      <c r="L479" s="34"/>
      <c r="M479" s="34"/>
      <c r="N479" s="34"/>
      <c r="O479" s="34"/>
      <c r="P479" s="34"/>
      <c r="Q479" s="34"/>
      <c r="R479" s="34"/>
      <c r="S479" s="34"/>
      <c r="T479" s="34"/>
      <c r="U479" s="34"/>
      <c r="V479" s="34"/>
      <c r="W479" s="34"/>
      <c r="X479" s="34"/>
      <c r="Y479" s="34"/>
      <c r="Z479" s="34"/>
      <c r="AA479" s="34"/>
      <c r="AB479" s="34"/>
      <c r="AC479" s="34"/>
    </row>
    <row r="480" spans="1:29" ht="15.75" customHeight="1" x14ac:dyDescent="0.2">
      <c r="A480" s="34"/>
      <c r="B480" s="34"/>
      <c r="C480" s="33"/>
      <c r="D480" s="34"/>
      <c r="E480" s="34"/>
      <c r="F480" s="34"/>
      <c r="G480" s="34"/>
      <c r="H480" s="33"/>
      <c r="I480" s="33"/>
      <c r="J480" s="34"/>
      <c r="K480" s="34"/>
      <c r="L480" s="34"/>
      <c r="M480" s="34"/>
      <c r="N480" s="34"/>
      <c r="O480" s="34"/>
      <c r="P480" s="34"/>
      <c r="Q480" s="34"/>
      <c r="R480" s="34"/>
      <c r="S480" s="34"/>
      <c r="T480" s="34"/>
      <c r="U480" s="34"/>
      <c r="V480" s="34"/>
      <c r="W480" s="34"/>
      <c r="X480" s="34"/>
      <c r="Y480" s="34"/>
      <c r="Z480" s="34"/>
      <c r="AA480" s="34"/>
      <c r="AB480" s="34"/>
      <c r="AC480" s="34"/>
    </row>
    <row r="481" spans="1:29" ht="15.75" customHeight="1" x14ac:dyDescent="0.2">
      <c r="A481" s="34"/>
      <c r="B481" s="34"/>
      <c r="C481" s="33"/>
      <c r="D481" s="34"/>
      <c r="E481" s="34"/>
      <c r="F481" s="34"/>
      <c r="G481" s="34"/>
      <c r="H481" s="33"/>
      <c r="I481" s="33"/>
      <c r="J481" s="34"/>
      <c r="K481" s="34"/>
      <c r="L481" s="34"/>
      <c r="M481" s="34"/>
      <c r="N481" s="34"/>
      <c r="O481" s="34"/>
      <c r="P481" s="34"/>
      <c r="Q481" s="34"/>
      <c r="R481" s="34"/>
      <c r="S481" s="34"/>
      <c r="T481" s="34"/>
      <c r="U481" s="34"/>
      <c r="V481" s="34"/>
      <c r="W481" s="34"/>
      <c r="X481" s="34"/>
      <c r="Y481" s="34"/>
      <c r="Z481" s="34"/>
      <c r="AA481" s="34"/>
      <c r="AB481" s="34"/>
      <c r="AC481" s="34"/>
    </row>
    <row r="482" spans="1:29" ht="15.75" customHeight="1" x14ac:dyDescent="0.2">
      <c r="A482" s="34"/>
      <c r="B482" s="34"/>
      <c r="C482" s="33"/>
      <c r="D482" s="34"/>
      <c r="E482" s="34"/>
      <c r="F482" s="34"/>
      <c r="G482" s="34"/>
      <c r="H482" s="33"/>
      <c r="I482" s="33"/>
      <c r="J482" s="34"/>
      <c r="K482" s="34"/>
      <c r="L482" s="34"/>
      <c r="M482" s="34"/>
      <c r="N482" s="34"/>
      <c r="O482" s="34"/>
      <c r="P482" s="34"/>
      <c r="Q482" s="34"/>
      <c r="R482" s="34"/>
      <c r="S482" s="34"/>
      <c r="T482" s="34"/>
      <c r="U482" s="34"/>
      <c r="V482" s="34"/>
      <c r="W482" s="34"/>
      <c r="X482" s="34"/>
      <c r="Y482" s="34"/>
      <c r="Z482" s="34"/>
      <c r="AA482" s="34"/>
      <c r="AB482" s="34"/>
      <c r="AC482" s="34"/>
    </row>
    <row r="483" spans="1:29" ht="15.75" customHeight="1" x14ac:dyDescent="0.2">
      <c r="A483" s="34"/>
      <c r="B483" s="34"/>
      <c r="C483" s="33"/>
      <c r="D483" s="34"/>
      <c r="E483" s="34"/>
      <c r="F483" s="34"/>
      <c r="G483" s="34"/>
      <c r="H483" s="33"/>
      <c r="I483" s="33"/>
      <c r="J483" s="34"/>
      <c r="K483" s="34"/>
      <c r="L483" s="34"/>
      <c r="M483" s="34"/>
      <c r="N483" s="34"/>
      <c r="O483" s="34"/>
      <c r="P483" s="34"/>
      <c r="Q483" s="34"/>
      <c r="R483" s="34"/>
      <c r="S483" s="34"/>
      <c r="T483" s="34"/>
      <c r="U483" s="34"/>
      <c r="V483" s="34"/>
      <c r="W483" s="34"/>
      <c r="X483" s="34"/>
      <c r="Y483" s="34"/>
      <c r="Z483" s="34"/>
      <c r="AA483" s="34"/>
      <c r="AB483" s="34"/>
      <c r="AC483" s="34"/>
    </row>
    <row r="484" spans="1:29" ht="15.75" customHeight="1" x14ac:dyDescent="0.2">
      <c r="A484" s="34"/>
      <c r="B484" s="34"/>
      <c r="C484" s="33"/>
      <c r="D484" s="34"/>
      <c r="E484" s="34"/>
      <c r="F484" s="34"/>
      <c r="G484" s="34"/>
      <c r="H484" s="33"/>
      <c r="I484" s="33"/>
      <c r="J484" s="34"/>
      <c r="K484" s="34"/>
      <c r="L484" s="34"/>
      <c r="M484" s="34"/>
      <c r="N484" s="34"/>
      <c r="O484" s="34"/>
      <c r="P484" s="34"/>
      <c r="Q484" s="34"/>
      <c r="R484" s="34"/>
      <c r="S484" s="34"/>
      <c r="T484" s="34"/>
      <c r="U484" s="34"/>
      <c r="V484" s="34"/>
      <c r="W484" s="34"/>
      <c r="X484" s="34"/>
      <c r="Y484" s="34"/>
      <c r="Z484" s="34"/>
      <c r="AA484" s="34"/>
      <c r="AB484" s="34"/>
      <c r="AC484" s="34"/>
    </row>
    <row r="485" spans="1:29" ht="15.75" customHeight="1" x14ac:dyDescent="0.2">
      <c r="A485" s="34"/>
      <c r="B485" s="34"/>
      <c r="C485" s="33"/>
      <c r="D485" s="34"/>
      <c r="E485" s="34"/>
      <c r="F485" s="34"/>
      <c r="G485" s="34"/>
      <c r="H485" s="33"/>
      <c r="I485" s="33"/>
      <c r="J485" s="34"/>
      <c r="K485" s="34"/>
      <c r="L485" s="34"/>
      <c r="M485" s="34"/>
      <c r="N485" s="34"/>
      <c r="O485" s="34"/>
      <c r="P485" s="34"/>
      <c r="Q485" s="34"/>
      <c r="R485" s="34"/>
      <c r="S485" s="34"/>
      <c r="T485" s="34"/>
      <c r="U485" s="34"/>
      <c r="V485" s="34"/>
      <c r="W485" s="34"/>
      <c r="X485" s="34"/>
      <c r="Y485" s="34"/>
      <c r="Z485" s="34"/>
      <c r="AA485" s="34"/>
      <c r="AB485" s="34"/>
      <c r="AC485" s="34"/>
    </row>
    <row r="486" spans="1:29" ht="15.75" customHeight="1" x14ac:dyDescent="0.2">
      <c r="A486" s="34"/>
      <c r="B486" s="34"/>
      <c r="C486" s="33"/>
      <c r="D486" s="34"/>
      <c r="E486" s="34"/>
      <c r="F486" s="34"/>
      <c r="G486" s="34"/>
      <c r="H486" s="33"/>
      <c r="I486" s="33"/>
      <c r="J486" s="34"/>
      <c r="K486" s="34"/>
      <c r="L486" s="34"/>
      <c r="M486" s="34"/>
      <c r="N486" s="34"/>
      <c r="O486" s="34"/>
      <c r="P486" s="34"/>
      <c r="Q486" s="34"/>
      <c r="R486" s="34"/>
      <c r="S486" s="34"/>
      <c r="T486" s="34"/>
      <c r="U486" s="34"/>
      <c r="V486" s="34"/>
      <c r="W486" s="34"/>
      <c r="X486" s="34"/>
      <c r="Y486" s="34"/>
      <c r="Z486" s="34"/>
      <c r="AA486" s="34"/>
      <c r="AB486" s="34"/>
      <c r="AC486" s="34"/>
    </row>
    <row r="487" spans="1:29" ht="15.75" customHeight="1" x14ac:dyDescent="0.2">
      <c r="A487" s="34"/>
      <c r="B487" s="34"/>
      <c r="C487" s="33"/>
      <c r="D487" s="34"/>
      <c r="E487" s="34"/>
      <c r="F487" s="34"/>
      <c r="G487" s="34"/>
      <c r="H487" s="33"/>
      <c r="I487" s="33"/>
      <c r="J487" s="34"/>
      <c r="K487" s="34"/>
      <c r="L487" s="34"/>
      <c r="M487" s="34"/>
      <c r="N487" s="34"/>
      <c r="O487" s="34"/>
      <c r="P487" s="34"/>
      <c r="Q487" s="34"/>
      <c r="R487" s="34"/>
      <c r="S487" s="34"/>
      <c r="T487" s="34"/>
      <c r="U487" s="34"/>
      <c r="V487" s="34"/>
      <c r="W487" s="34"/>
      <c r="X487" s="34"/>
      <c r="Y487" s="34"/>
      <c r="Z487" s="34"/>
      <c r="AA487" s="34"/>
      <c r="AB487" s="34"/>
      <c r="AC487" s="34"/>
    </row>
    <row r="488" spans="1:29" ht="15.75" customHeight="1" x14ac:dyDescent="0.2">
      <c r="A488" s="34"/>
      <c r="B488" s="34"/>
      <c r="C488" s="33"/>
      <c r="D488" s="34"/>
      <c r="E488" s="34"/>
      <c r="F488" s="34"/>
      <c r="G488" s="34"/>
      <c r="H488" s="33"/>
      <c r="I488" s="33"/>
      <c r="J488" s="34"/>
      <c r="K488" s="34"/>
      <c r="L488" s="34"/>
      <c r="M488" s="34"/>
      <c r="N488" s="34"/>
      <c r="O488" s="34"/>
      <c r="P488" s="34"/>
      <c r="Q488" s="34"/>
      <c r="R488" s="34"/>
      <c r="S488" s="34"/>
      <c r="T488" s="34"/>
      <c r="U488" s="34"/>
      <c r="V488" s="34"/>
      <c r="W488" s="34"/>
      <c r="X488" s="34"/>
      <c r="Y488" s="34"/>
      <c r="Z488" s="34"/>
      <c r="AA488" s="34"/>
      <c r="AB488" s="34"/>
      <c r="AC488" s="34"/>
    </row>
    <row r="489" spans="1:29" ht="15.75" customHeight="1" x14ac:dyDescent="0.2">
      <c r="A489" s="34"/>
      <c r="B489" s="34"/>
      <c r="C489" s="33"/>
      <c r="D489" s="34"/>
      <c r="E489" s="34"/>
      <c r="F489" s="34"/>
      <c r="G489" s="34"/>
      <c r="H489" s="33"/>
      <c r="I489" s="33"/>
      <c r="J489" s="34"/>
      <c r="K489" s="34"/>
      <c r="L489" s="34"/>
      <c r="M489" s="34"/>
      <c r="N489" s="34"/>
      <c r="O489" s="34"/>
      <c r="P489" s="34"/>
      <c r="Q489" s="34"/>
      <c r="R489" s="34"/>
      <c r="S489" s="34"/>
      <c r="T489" s="34"/>
      <c r="U489" s="34"/>
      <c r="V489" s="34"/>
      <c r="W489" s="34"/>
      <c r="X489" s="34"/>
      <c r="Y489" s="34"/>
      <c r="Z489" s="34"/>
      <c r="AA489" s="34"/>
      <c r="AB489" s="34"/>
      <c r="AC489" s="34"/>
    </row>
    <row r="490" spans="1:29" ht="15.75" customHeight="1" x14ac:dyDescent="0.2">
      <c r="A490" s="34"/>
      <c r="B490" s="34"/>
      <c r="C490" s="33"/>
      <c r="D490" s="34"/>
      <c r="E490" s="34"/>
      <c r="F490" s="34"/>
      <c r="G490" s="34"/>
      <c r="H490" s="33"/>
      <c r="I490" s="33"/>
      <c r="J490" s="34"/>
      <c r="K490" s="34"/>
      <c r="L490" s="34"/>
      <c r="M490" s="34"/>
      <c r="N490" s="34"/>
      <c r="O490" s="34"/>
      <c r="P490" s="34"/>
      <c r="Q490" s="34"/>
      <c r="R490" s="34"/>
      <c r="S490" s="34"/>
      <c r="T490" s="34"/>
      <c r="U490" s="34"/>
      <c r="V490" s="34"/>
      <c r="W490" s="34"/>
      <c r="X490" s="34"/>
      <c r="Y490" s="34"/>
      <c r="Z490" s="34"/>
      <c r="AA490" s="34"/>
      <c r="AB490" s="34"/>
      <c r="AC490" s="34"/>
    </row>
    <row r="491" spans="1:29" ht="15.75" customHeight="1" x14ac:dyDescent="0.2">
      <c r="A491" s="34"/>
      <c r="B491" s="34"/>
      <c r="C491" s="33"/>
      <c r="D491" s="34"/>
      <c r="E491" s="34"/>
      <c r="F491" s="34"/>
      <c r="G491" s="34"/>
      <c r="H491" s="33"/>
      <c r="I491" s="33"/>
      <c r="J491" s="34"/>
      <c r="K491" s="34"/>
      <c r="L491" s="34"/>
      <c r="M491" s="34"/>
      <c r="N491" s="34"/>
      <c r="O491" s="34"/>
      <c r="P491" s="34"/>
      <c r="Q491" s="34"/>
      <c r="R491" s="34"/>
      <c r="S491" s="34"/>
      <c r="T491" s="34"/>
      <c r="U491" s="34"/>
      <c r="V491" s="34"/>
      <c r="W491" s="34"/>
      <c r="X491" s="34"/>
      <c r="Y491" s="34"/>
      <c r="Z491" s="34"/>
      <c r="AA491" s="34"/>
      <c r="AB491" s="34"/>
      <c r="AC491" s="34"/>
    </row>
    <row r="492" spans="1:29" ht="15.75" customHeight="1" x14ac:dyDescent="0.2">
      <c r="A492" s="34"/>
      <c r="B492" s="34"/>
      <c r="C492" s="33"/>
      <c r="D492" s="34"/>
      <c r="E492" s="34"/>
      <c r="F492" s="34"/>
      <c r="G492" s="34"/>
      <c r="H492" s="33"/>
      <c r="I492" s="33"/>
      <c r="J492" s="34"/>
      <c r="K492" s="34"/>
      <c r="L492" s="34"/>
      <c r="M492" s="34"/>
      <c r="N492" s="34"/>
      <c r="O492" s="34"/>
      <c r="P492" s="34"/>
      <c r="Q492" s="34"/>
      <c r="R492" s="34"/>
      <c r="S492" s="34"/>
      <c r="T492" s="34"/>
      <c r="U492" s="34"/>
      <c r="V492" s="34"/>
      <c r="W492" s="34"/>
      <c r="X492" s="34"/>
      <c r="Y492" s="34"/>
      <c r="Z492" s="34"/>
      <c r="AA492" s="34"/>
      <c r="AB492" s="34"/>
      <c r="AC492" s="34"/>
    </row>
    <row r="493" spans="1:29" ht="15.75" customHeight="1" x14ac:dyDescent="0.2">
      <c r="A493" s="34"/>
      <c r="B493" s="34"/>
      <c r="C493" s="33"/>
      <c r="D493" s="34"/>
      <c r="E493" s="34"/>
      <c r="F493" s="34"/>
      <c r="G493" s="34"/>
      <c r="H493" s="33"/>
      <c r="I493" s="33"/>
      <c r="J493" s="34"/>
      <c r="K493" s="34"/>
      <c r="L493" s="34"/>
      <c r="M493" s="34"/>
      <c r="N493" s="34"/>
      <c r="O493" s="34"/>
      <c r="P493" s="34"/>
      <c r="Q493" s="34"/>
      <c r="R493" s="34"/>
      <c r="S493" s="34"/>
      <c r="T493" s="34"/>
      <c r="U493" s="34"/>
      <c r="V493" s="34"/>
      <c r="W493" s="34"/>
      <c r="X493" s="34"/>
      <c r="Y493" s="34"/>
      <c r="Z493" s="34"/>
      <c r="AA493" s="34"/>
      <c r="AB493" s="34"/>
      <c r="AC493" s="34"/>
    </row>
    <row r="494" spans="1:29" ht="15.75" customHeight="1" x14ac:dyDescent="0.2">
      <c r="A494" s="34"/>
      <c r="B494" s="34"/>
      <c r="C494" s="33"/>
      <c r="D494" s="34"/>
      <c r="E494" s="34"/>
      <c r="F494" s="34"/>
      <c r="G494" s="34"/>
      <c r="H494" s="33"/>
      <c r="I494" s="33"/>
      <c r="J494" s="34"/>
      <c r="K494" s="34"/>
      <c r="L494" s="34"/>
      <c r="M494" s="34"/>
      <c r="N494" s="34"/>
      <c r="O494" s="34"/>
      <c r="P494" s="34"/>
      <c r="Q494" s="34"/>
      <c r="R494" s="34"/>
      <c r="S494" s="34"/>
      <c r="T494" s="34"/>
      <c r="U494" s="34"/>
      <c r="V494" s="34"/>
      <c r="W494" s="34"/>
      <c r="X494" s="34"/>
      <c r="Y494" s="34"/>
      <c r="Z494" s="34"/>
      <c r="AA494" s="34"/>
      <c r="AB494" s="34"/>
      <c r="AC494" s="34"/>
    </row>
    <row r="495" spans="1:29" ht="15.75" customHeight="1" x14ac:dyDescent="0.2">
      <c r="A495" s="34"/>
      <c r="B495" s="34"/>
      <c r="C495" s="33"/>
      <c r="D495" s="34"/>
      <c r="E495" s="34"/>
      <c r="F495" s="34"/>
      <c r="G495" s="34"/>
      <c r="H495" s="33"/>
      <c r="I495" s="33"/>
      <c r="J495" s="34"/>
      <c r="K495" s="34"/>
      <c r="L495" s="34"/>
      <c r="M495" s="34"/>
      <c r="N495" s="34"/>
      <c r="O495" s="34"/>
      <c r="P495" s="34"/>
      <c r="Q495" s="34"/>
      <c r="R495" s="34"/>
      <c r="S495" s="34"/>
      <c r="T495" s="34"/>
      <c r="U495" s="34"/>
      <c r="V495" s="34"/>
      <c r="W495" s="34"/>
      <c r="X495" s="34"/>
      <c r="Y495" s="34"/>
      <c r="Z495" s="34"/>
      <c r="AA495" s="34"/>
      <c r="AB495" s="34"/>
      <c r="AC495" s="34"/>
    </row>
    <row r="496" spans="1:29" ht="15.75" customHeight="1" x14ac:dyDescent="0.2">
      <c r="A496" s="34"/>
      <c r="B496" s="34"/>
      <c r="C496" s="33"/>
      <c r="D496" s="34"/>
      <c r="E496" s="34"/>
      <c r="F496" s="34"/>
      <c r="G496" s="34"/>
      <c r="H496" s="33"/>
      <c r="I496" s="33"/>
      <c r="J496" s="34"/>
      <c r="K496" s="34"/>
      <c r="L496" s="34"/>
      <c r="M496" s="34"/>
      <c r="N496" s="34"/>
      <c r="O496" s="34"/>
      <c r="P496" s="34"/>
      <c r="Q496" s="34"/>
      <c r="R496" s="34"/>
      <c r="S496" s="34"/>
      <c r="T496" s="34"/>
      <c r="U496" s="34"/>
      <c r="V496" s="34"/>
      <c r="W496" s="34"/>
      <c r="X496" s="34"/>
      <c r="Y496" s="34"/>
      <c r="Z496" s="34"/>
      <c r="AA496" s="34"/>
      <c r="AB496" s="34"/>
      <c r="AC496" s="34"/>
    </row>
    <row r="497" spans="1:29" ht="15.75" customHeight="1" x14ac:dyDescent="0.2">
      <c r="A497" s="34"/>
      <c r="B497" s="34"/>
      <c r="C497" s="33"/>
      <c r="D497" s="34"/>
      <c r="E497" s="34"/>
      <c r="F497" s="34"/>
      <c r="G497" s="34"/>
      <c r="H497" s="33"/>
      <c r="I497" s="33"/>
      <c r="J497" s="34"/>
      <c r="K497" s="34"/>
      <c r="L497" s="34"/>
      <c r="M497" s="34"/>
      <c r="N497" s="34"/>
      <c r="O497" s="34"/>
      <c r="P497" s="34"/>
      <c r="Q497" s="34"/>
      <c r="R497" s="34"/>
      <c r="S497" s="34"/>
      <c r="T497" s="34"/>
      <c r="U497" s="34"/>
      <c r="V497" s="34"/>
      <c r="W497" s="34"/>
      <c r="X497" s="34"/>
      <c r="Y497" s="34"/>
      <c r="Z497" s="34"/>
      <c r="AA497" s="34"/>
      <c r="AB497" s="34"/>
      <c r="AC497" s="34"/>
    </row>
    <row r="498" spans="1:29" ht="15.75" customHeight="1" x14ac:dyDescent="0.2">
      <c r="A498" s="34"/>
      <c r="B498" s="34"/>
      <c r="C498" s="33"/>
      <c r="D498" s="34"/>
      <c r="E498" s="34"/>
      <c r="F498" s="34"/>
      <c r="G498" s="34"/>
      <c r="H498" s="33"/>
      <c r="I498" s="33"/>
      <c r="J498" s="34"/>
      <c r="K498" s="34"/>
      <c r="L498" s="34"/>
      <c r="M498" s="34"/>
      <c r="N498" s="34"/>
      <c r="O498" s="34"/>
      <c r="P498" s="34"/>
      <c r="Q498" s="34"/>
      <c r="R498" s="34"/>
      <c r="S498" s="34"/>
      <c r="T498" s="34"/>
      <c r="U498" s="34"/>
      <c r="V498" s="34"/>
      <c r="W498" s="34"/>
      <c r="X498" s="34"/>
      <c r="Y498" s="34"/>
      <c r="Z498" s="34"/>
      <c r="AA498" s="34"/>
      <c r="AB498" s="34"/>
      <c r="AC498" s="34"/>
    </row>
    <row r="499" spans="1:29" ht="15.75" customHeight="1" x14ac:dyDescent="0.2">
      <c r="A499" s="34"/>
      <c r="B499" s="34"/>
      <c r="C499" s="33"/>
      <c r="D499" s="34"/>
      <c r="E499" s="34"/>
      <c r="F499" s="34"/>
      <c r="G499" s="34"/>
      <c r="H499" s="33"/>
      <c r="I499" s="33"/>
      <c r="J499" s="34"/>
      <c r="K499" s="34"/>
      <c r="L499" s="34"/>
      <c r="M499" s="34"/>
      <c r="N499" s="34"/>
      <c r="O499" s="34"/>
      <c r="P499" s="34"/>
      <c r="Q499" s="34"/>
      <c r="R499" s="34"/>
      <c r="S499" s="34"/>
      <c r="T499" s="34"/>
      <c r="U499" s="34"/>
      <c r="V499" s="34"/>
      <c r="W499" s="34"/>
      <c r="X499" s="34"/>
      <c r="Y499" s="34"/>
      <c r="Z499" s="34"/>
      <c r="AA499" s="34"/>
      <c r="AB499" s="34"/>
      <c r="AC499" s="34"/>
    </row>
    <row r="500" spans="1:29" ht="15.75" customHeight="1" x14ac:dyDescent="0.2">
      <c r="A500" s="34"/>
      <c r="B500" s="34"/>
      <c r="C500" s="33"/>
      <c r="D500" s="34"/>
      <c r="E500" s="34"/>
      <c r="F500" s="34"/>
      <c r="G500" s="34"/>
      <c r="H500" s="33"/>
      <c r="I500" s="33"/>
      <c r="J500" s="34"/>
      <c r="K500" s="34"/>
      <c r="L500" s="34"/>
      <c r="M500" s="34"/>
      <c r="N500" s="34"/>
      <c r="O500" s="34"/>
      <c r="P500" s="34"/>
      <c r="Q500" s="34"/>
      <c r="R500" s="34"/>
      <c r="S500" s="34"/>
      <c r="T500" s="34"/>
      <c r="U500" s="34"/>
      <c r="V500" s="34"/>
      <c r="W500" s="34"/>
      <c r="X500" s="34"/>
      <c r="Y500" s="34"/>
      <c r="Z500" s="34"/>
      <c r="AA500" s="34"/>
      <c r="AB500" s="34"/>
      <c r="AC500" s="34"/>
    </row>
    <row r="501" spans="1:29" ht="15.75" customHeight="1" x14ac:dyDescent="0.2">
      <c r="A501" s="34"/>
      <c r="B501" s="34"/>
      <c r="C501" s="33"/>
      <c r="D501" s="34"/>
      <c r="E501" s="34"/>
      <c r="F501" s="34"/>
      <c r="G501" s="34"/>
      <c r="H501" s="33"/>
      <c r="I501" s="33"/>
      <c r="J501" s="34"/>
      <c r="K501" s="34"/>
      <c r="L501" s="34"/>
      <c r="M501" s="34"/>
      <c r="N501" s="34"/>
      <c r="O501" s="34"/>
      <c r="P501" s="34"/>
      <c r="Q501" s="34"/>
      <c r="R501" s="34"/>
      <c r="S501" s="34"/>
      <c r="T501" s="34"/>
      <c r="U501" s="34"/>
      <c r="V501" s="34"/>
      <c r="W501" s="34"/>
      <c r="X501" s="34"/>
      <c r="Y501" s="34"/>
      <c r="Z501" s="34"/>
      <c r="AA501" s="34"/>
      <c r="AB501" s="34"/>
      <c r="AC501" s="34"/>
    </row>
    <row r="502" spans="1:29" ht="15.75" customHeight="1" x14ac:dyDescent="0.2">
      <c r="A502" s="34"/>
      <c r="B502" s="34"/>
      <c r="C502" s="33"/>
      <c r="D502" s="34"/>
      <c r="E502" s="34"/>
      <c r="F502" s="34"/>
      <c r="G502" s="34"/>
      <c r="H502" s="33"/>
      <c r="I502" s="33"/>
      <c r="J502" s="34"/>
      <c r="K502" s="34"/>
      <c r="L502" s="34"/>
      <c r="M502" s="34"/>
      <c r="N502" s="34"/>
      <c r="O502" s="34"/>
      <c r="P502" s="34"/>
      <c r="Q502" s="34"/>
      <c r="R502" s="34"/>
      <c r="S502" s="34"/>
      <c r="T502" s="34"/>
      <c r="U502" s="34"/>
      <c r="V502" s="34"/>
      <c r="W502" s="34"/>
      <c r="X502" s="34"/>
      <c r="Y502" s="34"/>
      <c r="Z502" s="34"/>
      <c r="AA502" s="34"/>
      <c r="AB502" s="34"/>
      <c r="AC502" s="34"/>
    </row>
    <row r="503" spans="1:29" ht="15.75" customHeight="1" x14ac:dyDescent="0.2">
      <c r="A503" s="34"/>
      <c r="B503" s="34"/>
      <c r="C503" s="33"/>
      <c r="D503" s="34"/>
      <c r="E503" s="34"/>
      <c r="F503" s="34"/>
      <c r="G503" s="34"/>
      <c r="H503" s="33"/>
      <c r="I503" s="33"/>
      <c r="J503" s="34"/>
      <c r="K503" s="34"/>
      <c r="L503" s="34"/>
      <c r="M503" s="34"/>
      <c r="N503" s="34"/>
      <c r="O503" s="34"/>
      <c r="P503" s="34"/>
      <c r="Q503" s="34"/>
      <c r="R503" s="34"/>
      <c r="S503" s="34"/>
      <c r="T503" s="34"/>
      <c r="U503" s="34"/>
      <c r="V503" s="34"/>
      <c r="W503" s="34"/>
      <c r="X503" s="34"/>
      <c r="Y503" s="34"/>
      <c r="Z503" s="34"/>
      <c r="AA503" s="34"/>
      <c r="AB503" s="34"/>
      <c r="AC503" s="34"/>
    </row>
    <row r="504" spans="1:29" ht="15.75" customHeight="1" x14ac:dyDescent="0.2">
      <c r="A504" s="34"/>
      <c r="B504" s="34"/>
      <c r="C504" s="33"/>
      <c r="D504" s="34"/>
      <c r="E504" s="34"/>
      <c r="F504" s="34"/>
      <c r="G504" s="34"/>
      <c r="H504" s="33"/>
      <c r="I504" s="33"/>
      <c r="J504" s="34"/>
      <c r="K504" s="34"/>
      <c r="L504" s="34"/>
      <c r="M504" s="34"/>
      <c r="N504" s="34"/>
      <c r="O504" s="34"/>
      <c r="P504" s="34"/>
      <c r="Q504" s="34"/>
      <c r="R504" s="34"/>
      <c r="S504" s="34"/>
      <c r="T504" s="34"/>
      <c r="U504" s="34"/>
      <c r="V504" s="34"/>
      <c r="W504" s="34"/>
      <c r="X504" s="34"/>
      <c r="Y504" s="34"/>
      <c r="Z504" s="34"/>
      <c r="AA504" s="34"/>
      <c r="AB504" s="34"/>
      <c r="AC504" s="34"/>
    </row>
    <row r="505" spans="1:29" ht="15.75" customHeight="1" x14ac:dyDescent="0.2">
      <c r="A505" s="34"/>
      <c r="B505" s="34"/>
      <c r="C505" s="33"/>
      <c r="D505" s="34"/>
      <c r="E505" s="34"/>
      <c r="F505" s="34"/>
      <c r="G505" s="34"/>
      <c r="H505" s="33"/>
      <c r="I505" s="33"/>
      <c r="J505" s="34"/>
      <c r="K505" s="34"/>
      <c r="L505" s="34"/>
      <c r="M505" s="34"/>
      <c r="N505" s="34"/>
      <c r="O505" s="34"/>
      <c r="P505" s="34"/>
      <c r="Q505" s="34"/>
      <c r="R505" s="34"/>
      <c r="S505" s="34"/>
      <c r="T505" s="34"/>
      <c r="U505" s="34"/>
      <c r="V505" s="34"/>
      <c r="W505" s="34"/>
      <c r="X505" s="34"/>
      <c r="Y505" s="34"/>
      <c r="Z505" s="34"/>
      <c r="AA505" s="34"/>
      <c r="AB505" s="34"/>
      <c r="AC505" s="34"/>
    </row>
    <row r="506" spans="1:29" ht="15.75" customHeight="1" x14ac:dyDescent="0.2">
      <c r="A506" s="34"/>
      <c r="B506" s="34"/>
      <c r="C506" s="33"/>
      <c r="D506" s="34"/>
      <c r="E506" s="34"/>
      <c r="F506" s="34"/>
      <c r="G506" s="34"/>
      <c r="H506" s="33"/>
      <c r="I506" s="33"/>
      <c r="J506" s="34"/>
      <c r="K506" s="34"/>
      <c r="L506" s="34"/>
      <c r="M506" s="34"/>
      <c r="N506" s="34"/>
      <c r="O506" s="34"/>
      <c r="P506" s="34"/>
      <c r="Q506" s="34"/>
      <c r="R506" s="34"/>
      <c r="S506" s="34"/>
      <c r="T506" s="34"/>
      <c r="U506" s="34"/>
      <c r="V506" s="34"/>
      <c r="W506" s="34"/>
      <c r="X506" s="34"/>
      <c r="Y506" s="34"/>
      <c r="Z506" s="34"/>
      <c r="AA506" s="34"/>
      <c r="AB506" s="34"/>
      <c r="AC506" s="34"/>
    </row>
    <row r="507" spans="1:29" ht="15.75" customHeight="1" x14ac:dyDescent="0.2">
      <c r="A507" s="34"/>
      <c r="B507" s="34"/>
      <c r="C507" s="33"/>
      <c r="D507" s="34"/>
      <c r="E507" s="34"/>
      <c r="F507" s="34"/>
      <c r="G507" s="34"/>
      <c r="H507" s="33"/>
      <c r="I507" s="33"/>
      <c r="J507" s="34"/>
      <c r="K507" s="34"/>
      <c r="L507" s="34"/>
      <c r="M507" s="34"/>
      <c r="N507" s="34"/>
      <c r="O507" s="34"/>
      <c r="P507" s="34"/>
      <c r="Q507" s="34"/>
      <c r="R507" s="34"/>
      <c r="S507" s="34"/>
      <c r="T507" s="34"/>
      <c r="U507" s="34"/>
      <c r="V507" s="34"/>
      <c r="W507" s="34"/>
      <c r="X507" s="34"/>
      <c r="Y507" s="34"/>
      <c r="Z507" s="34"/>
      <c r="AA507" s="34"/>
      <c r="AB507" s="34"/>
      <c r="AC507" s="34"/>
    </row>
    <row r="508" spans="1:29" ht="15.75" customHeight="1" x14ac:dyDescent="0.2">
      <c r="A508" s="34"/>
      <c r="B508" s="34"/>
      <c r="C508" s="33"/>
      <c r="D508" s="34"/>
      <c r="E508" s="34"/>
      <c r="F508" s="34"/>
      <c r="G508" s="34"/>
      <c r="H508" s="33"/>
      <c r="I508" s="33"/>
      <c r="J508" s="34"/>
      <c r="K508" s="34"/>
      <c r="L508" s="34"/>
      <c r="M508" s="34"/>
      <c r="N508" s="34"/>
      <c r="O508" s="34"/>
      <c r="P508" s="34"/>
      <c r="Q508" s="34"/>
      <c r="R508" s="34"/>
      <c r="S508" s="34"/>
      <c r="T508" s="34"/>
      <c r="U508" s="34"/>
      <c r="V508" s="34"/>
      <c r="W508" s="34"/>
      <c r="X508" s="34"/>
      <c r="Y508" s="34"/>
      <c r="Z508" s="34"/>
      <c r="AA508" s="34"/>
      <c r="AB508" s="34"/>
      <c r="AC508" s="34"/>
    </row>
    <row r="509" spans="1:29" ht="15.75" customHeight="1" x14ac:dyDescent="0.2">
      <c r="A509" s="34"/>
      <c r="B509" s="34"/>
      <c r="C509" s="33"/>
      <c r="D509" s="34"/>
      <c r="E509" s="34"/>
      <c r="F509" s="34"/>
      <c r="G509" s="34"/>
      <c r="H509" s="33"/>
      <c r="I509" s="33"/>
      <c r="J509" s="34"/>
      <c r="K509" s="34"/>
      <c r="L509" s="34"/>
      <c r="M509" s="34"/>
      <c r="N509" s="34"/>
      <c r="O509" s="34"/>
      <c r="P509" s="34"/>
      <c r="Q509" s="34"/>
      <c r="R509" s="34"/>
      <c r="S509" s="34"/>
      <c r="T509" s="34"/>
      <c r="U509" s="34"/>
      <c r="V509" s="34"/>
      <c r="W509" s="34"/>
      <c r="X509" s="34"/>
      <c r="Y509" s="34"/>
      <c r="Z509" s="34"/>
      <c r="AA509" s="34"/>
      <c r="AB509" s="34"/>
      <c r="AC509" s="34"/>
    </row>
    <row r="510" spans="1:29" ht="15.75" customHeight="1" x14ac:dyDescent="0.2">
      <c r="A510" s="34"/>
      <c r="B510" s="34"/>
      <c r="C510" s="33"/>
      <c r="D510" s="34"/>
      <c r="E510" s="34"/>
      <c r="F510" s="34"/>
      <c r="G510" s="34"/>
      <c r="H510" s="33"/>
      <c r="I510" s="33"/>
      <c r="J510" s="34"/>
      <c r="K510" s="34"/>
      <c r="L510" s="34"/>
      <c r="M510" s="34"/>
      <c r="N510" s="34"/>
      <c r="O510" s="34"/>
      <c r="P510" s="34"/>
      <c r="Q510" s="34"/>
      <c r="R510" s="34"/>
      <c r="S510" s="34"/>
      <c r="T510" s="34"/>
      <c r="U510" s="34"/>
      <c r="V510" s="34"/>
      <c r="W510" s="34"/>
      <c r="X510" s="34"/>
      <c r="Y510" s="34"/>
      <c r="Z510" s="34"/>
      <c r="AA510" s="34"/>
      <c r="AB510" s="34"/>
      <c r="AC510" s="34"/>
    </row>
    <row r="511" spans="1:29" ht="15.75" customHeight="1" x14ac:dyDescent="0.2">
      <c r="A511" s="34"/>
      <c r="B511" s="34"/>
      <c r="C511" s="33"/>
      <c r="D511" s="34"/>
      <c r="E511" s="34"/>
      <c r="F511" s="34"/>
      <c r="G511" s="34"/>
      <c r="H511" s="33"/>
      <c r="I511" s="33"/>
      <c r="J511" s="34"/>
      <c r="K511" s="34"/>
      <c r="L511" s="34"/>
      <c r="M511" s="34"/>
      <c r="N511" s="34"/>
      <c r="O511" s="34"/>
      <c r="P511" s="34"/>
      <c r="Q511" s="34"/>
      <c r="R511" s="34"/>
      <c r="S511" s="34"/>
      <c r="T511" s="34"/>
      <c r="U511" s="34"/>
      <c r="V511" s="34"/>
      <c r="W511" s="34"/>
      <c r="X511" s="34"/>
      <c r="Y511" s="34"/>
      <c r="Z511" s="34"/>
      <c r="AA511" s="34"/>
      <c r="AB511" s="34"/>
      <c r="AC511" s="34"/>
    </row>
    <row r="512" spans="1:29" ht="15.75" customHeight="1" x14ac:dyDescent="0.2">
      <c r="A512" s="34"/>
      <c r="B512" s="34"/>
      <c r="C512" s="33"/>
      <c r="D512" s="34"/>
      <c r="E512" s="34"/>
      <c r="F512" s="34"/>
      <c r="G512" s="34"/>
      <c r="H512" s="33"/>
      <c r="I512" s="33"/>
      <c r="J512" s="34"/>
      <c r="K512" s="34"/>
      <c r="L512" s="34"/>
      <c r="M512" s="34"/>
      <c r="N512" s="34"/>
      <c r="O512" s="34"/>
      <c r="P512" s="34"/>
      <c r="Q512" s="34"/>
      <c r="R512" s="34"/>
      <c r="S512" s="34"/>
      <c r="T512" s="34"/>
      <c r="U512" s="34"/>
      <c r="V512" s="34"/>
      <c r="W512" s="34"/>
      <c r="X512" s="34"/>
      <c r="Y512" s="34"/>
      <c r="Z512" s="34"/>
      <c r="AA512" s="34"/>
      <c r="AB512" s="34"/>
      <c r="AC512" s="34"/>
    </row>
    <row r="513" spans="1:29" ht="15.75" customHeight="1" x14ac:dyDescent="0.2">
      <c r="A513" s="34"/>
      <c r="B513" s="34"/>
      <c r="C513" s="33"/>
      <c r="D513" s="34"/>
      <c r="E513" s="34"/>
      <c r="F513" s="34"/>
      <c r="G513" s="34"/>
      <c r="H513" s="33"/>
      <c r="I513" s="33"/>
      <c r="J513" s="34"/>
      <c r="K513" s="34"/>
      <c r="L513" s="34"/>
      <c r="M513" s="34"/>
      <c r="N513" s="34"/>
      <c r="O513" s="34"/>
      <c r="P513" s="34"/>
      <c r="Q513" s="34"/>
      <c r="R513" s="34"/>
      <c r="S513" s="34"/>
      <c r="T513" s="34"/>
      <c r="U513" s="34"/>
      <c r="V513" s="34"/>
      <c r="W513" s="34"/>
      <c r="X513" s="34"/>
      <c r="Y513" s="34"/>
      <c r="Z513" s="34"/>
      <c r="AA513" s="34"/>
      <c r="AB513" s="34"/>
      <c r="AC513" s="34"/>
    </row>
    <row r="514" spans="1:29" ht="15.75" customHeight="1" x14ac:dyDescent="0.2">
      <c r="A514" s="34"/>
      <c r="B514" s="34"/>
      <c r="C514" s="33"/>
      <c r="D514" s="34"/>
      <c r="E514" s="34"/>
      <c r="F514" s="34"/>
      <c r="G514" s="34"/>
      <c r="H514" s="33"/>
      <c r="I514" s="33"/>
      <c r="J514" s="34"/>
      <c r="K514" s="34"/>
      <c r="L514" s="34"/>
      <c r="M514" s="34"/>
      <c r="N514" s="34"/>
      <c r="O514" s="34"/>
      <c r="P514" s="34"/>
      <c r="Q514" s="34"/>
      <c r="R514" s="34"/>
      <c r="S514" s="34"/>
      <c r="T514" s="34"/>
      <c r="U514" s="34"/>
      <c r="V514" s="34"/>
      <c r="W514" s="34"/>
      <c r="X514" s="34"/>
      <c r="Y514" s="34"/>
      <c r="Z514" s="34"/>
      <c r="AA514" s="34"/>
      <c r="AB514" s="34"/>
      <c r="AC514" s="34"/>
    </row>
    <row r="515" spans="1:29" ht="15.75" customHeight="1" x14ac:dyDescent="0.2">
      <c r="A515" s="34"/>
      <c r="B515" s="34"/>
      <c r="C515" s="33"/>
      <c r="D515" s="34"/>
      <c r="E515" s="34"/>
      <c r="F515" s="34"/>
      <c r="G515" s="34"/>
      <c r="H515" s="33"/>
      <c r="I515" s="33"/>
      <c r="J515" s="34"/>
      <c r="K515" s="34"/>
      <c r="L515" s="34"/>
      <c r="M515" s="34"/>
      <c r="N515" s="34"/>
      <c r="O515" s="34"/>
      <c r="P515" s="34"/>
      <c r="Q515" s="34"/>
      <c r="R515" s="34"/>
      <c r="S515" s="34"/>
      <c r="T515" s="34"/>
      <c r="U515" s="34"/>
      <c r="V515" s="34"/>
      <c r="W515" s="34"/>
      <c r="X515" s="34"/>
      <c r="Y515" s="34"/>
      <c r="Z515" s="34"/>
      <c r="AA515" s="34"/>
      <c r="AB515" s="34"/>
      <c r="AC515" s="34"/>
    </row>
    <row r="516" spans="1:29" ht="15.75" customHeight="1" x14ac:dyDescent="0.2">
      <c r="A516" s="34"/>
      <c r="B516" s="34"/>
      <c r="C516" s="33"/>
      <c r="D516" s="34"/>
      <c r="E516" s="34"/>
      <c r="F516" s="34"/>
      <c r="G516" s="34"/>
      <c r="H516" s="33"/>
      <c r="I516" s="33"/>
      <c r="J516" s="34"/>
      <c r="K516" s="34"/>
      <c r="L516" s="34"/>
      <c r="M516" s="34"/>
      <c r="N516" s="34"/>
      <c r="O516" s="34"/>
      <c r="P516" s="34"/>
      <c r="Q516" s="34"/>
      <c r="R516" s="34"/>
      <c r="S516" s="34"/>
      <c r="T516" s="34"/>
      <c r="U516" s="34"/>
      <c r="V516" s="34"/>
      <c r="W516" s="34"/>
      <c r="X516" s="34"/>
      <c r="Y516" s="34"/>
      <c r="Z516" s="34"/>
      <c r="AA516" s="34"/>
      <c r="AB516" s="34"/>
      <c r="AC516" s="34"/>
    </row>
    <row r="517" spans="1:29" ht="15.75" customHeight="1" x14ac:dyDescent="0.2">
      <c r="A517" s="34"/>
      <c r="B517" s="34"/>
      <c r="C517" s="33"/>
      <c r="D517" s="34"/>
      <c r="E517" s="34"/>
      <c r="F517" s="34"/>
      <c r="G517" s="34"/>
      <c r="H517" s="33"/>
      <c r="I517" s="33"/>
      <c r="J517" s="34"/>
      <c r="K517" s="34"/>
      <c r="L517" s="34"/>
      <c r="M517" s="34"/>
      <c r="N517" s="34"/>
      <c r="O517" s="34"/>
      <c r="P517" s="34"/>
      <c r="Q517" s="34"/>
      <c r="R517" s="34"/>
      <c r="S517" s="34"/>
      <c r="T517" s="34"/>
      <c r="U517" s="34"/>
      <c r="V517" s="34"/>
      <c r="W517" s="34"/>
      <c r="X517" s="34"/>
      <c r="Y517" s="34"/>
      <c r="Z517" s="34"/>
      <c r="AA517" s="34"/>
      <c r="AB517" s="34"/>
      <c r="AC517" s="34"/>
    </row>
    <row r="518" spans="1:29" ht="15.75" customHeight="1" x14ac:dyDescent="0.2">
      <c r="A518" s="34"/>
      <c r="B518" s="34"/>
      <c r="C518" s="33"/>
      <c r="D518" s="34"/>
      <c r="E518" s="34"/>
      <c r="F518" s="34"/>
      <c r="G518" s="34"/>
      <c r="H518" s="33"/>
      <c r="I518" s="33"/>
      <c r="J518" s="34"/>
      <c r="K518" s="34"/>
      <c r="L518" s="34"/>
      <c r="M518" s="34"/>
      <c r="N518" s="34"/>
      <c r="O518" s="34"/>
      <c r="P518" s="34"/>
      <c r="Q518" s="34"/>
      <c r="R518" s="34"/>
      <c r="S518" s="34"/>
      <c r="T518" s="34"/>
      <c r="U518" s="34"/>
      <c r="V518" s="34"/>
      <c r="W518" s="34"/>
      <c r="X518" s="34"/>
      <c r="Y518" s="34"/>
      <c r="Z518" s="34"/>
      <c r="AA518" s="34"/>
      <c r="AB518" s="34"/>
      <c r="AC518" s="34"/>
    </row>
    <row r="519" spans="1:29" ht="15.75" customHeight="1" x14ac:dyDescent="0.2">
      <c r="A519" s="34"/>
      <c r="B519" s="34"/>
      <c r="C519" s="33"/>
      <c r="D519" s="34"/>
      <c r="E519" s="34"/>
      <c r="F519" s="34"/>
      <c r="G519" s="34"/>
      <c r="H519" s="33"/>
      <c r="I519" s="33"/>
      <c r="J519" s="34"/>
      <c r="K519" s="34"/>
      <c r="L519" s="34"/>
      <c r="M519" s="34"/>
      <c r="N519" s="34"/>
      <c r="O519" s="34"/>
      <c r="P519" s="34"/>
      <c r="Q519" s="34"/>
      <c r="R519" s="34"/>
      <c r="S519" s="34"/>
      <c r="T519" s="34"/>
      <c r="U519" s="34"/>
      <c r="V519" s="34"/>
      <c r="W519" s="34"/>
      <c r="X519" s="34"/>
      <c r="Y519" s="34"/>
      <c r="Z519" s="34"/>
      <c r="AA519" s="34"/>
      <c r="AB519" s="34"/>
      <c r="AC519" s="34"/>
    </row>
    <row r="520" spans="1:29" ht="15.75" customHeight="1" x14ac:dyDescent="0.2">
      <c r="A520" s="34"/>
      <c r="B520" s="34"/>
      <c r="C520" s="33"/>
      <c r="D520" s="34"/>
      <c r="E520" s="34"/>
      <c r="F520" s="34"/>
      <c r="G520" s="34"/>
      <c r="H520" s="33"/>
      <c r="I520" s="33"/>
      <c r="J520" s="34"/>
      <c r="K520" s="34"/>
      <c r="L520" s="34"/>
      <c r="M520" s="34"/>
      <c r="N520" s="34"/>
      <c r="O520" s="34"/>
      <c r="P520" s="34"/>
      <c r="Q520" s="34"/>
      <c r="R520" s="34"/>
      <c r="S520" s="34"/>
      <c r="T520" s="34"/>
      <c r="U520" s="34"/>
      <c r="V520" s="34"/>
      <c r="W520" s="34"/>
      <c r="X520" s="34"/>
      <c r="Y520" s="34"/>
      <c r="Z520" s="34"/>
      <c r="AA520" s="34"/>
      <c r="AB520" s="34"/>
      <c r="AC520" s="34"/>
    </row>
    <row r="521" spans="1:29" ht="15.75" customHeight="1" x14ac:dyDescent="0.2">
      <c r="A521" s="34"/>
      <c r="B521" s="34"/>
      <c r="C521" s="33"/>
      <c r="D521" s="34"/>
      <c r="E521" s="34"/>
      <c r="F521" s="34"/>
      <c r="G521" s="34"/>
      <c r="H521" s="33"/>
      <c r="I521" s="33"/>
      <c r="J521" s="34"/>
      <c r="K521" s="34"/>
      <c r="L521" s="34"/>
      <c r="M521" s="34"/>
      <c r="N521" s="34"/>
      <c r="O521" s="34"/>
      <c r="P521" s="34"/>
      <c r="Q521" s="34"/>
      <c r="R521" s="34"/>
      <c r="S521" s="34"/>
      <c r="T521" s="34"/>
      <c r="U521" s="34"/>
      <c r="V521" s="34"/>
      <c r="W521" s="34"/>
      <c r="X521" s="34"/>
      <c r="Y521" s="34"/>
      <c r="Z521" s="34"/>
      <c r="AA521" s="34"/>
      <c r="AB521" s="34"/>
      <c r="AC521" s="34"/>
    </row>
    <row r="522" spans="1:29" ht="15.75" customHeight="1" x14ac:dyDescent="0.2">
      <c r="A522" s="34"/>
      <c r="B522" s="34"/>
      <c r="C522" s="33"/>
      <c r="D522" s="34"/>
      <c r="E522" s="34"/>
      <c r="F522" s="34"/>
      <c r="G522" s="34"/>
      <c r="H522" s="33"/>
      <c r="I522" s="33"/>
      <c r="J522" s="34"/>
      <c r="K522" s="34"/>
      <c r="L522" s="34"/>
      <c r="M522" s="34"/>
      <c r="N522" s="34"/>
      <c r="O522" s="34"/>
      <c r="P522" s="34"/>
      <c r="Q522" s="34"/>
      <c r="R522" s="34"/>
      <c r="S522" s="34"/>
      <c r="T522" s="34"/>
      <c r="U522" s="34"/>
      <c r="V522" s="34"/>
      <c r="W522" s="34"/>
      <c r="X522" s="34"/>
      <c r="Y522" s="34"/>
      <c r="Z522" s="34"/>
      <c r="AA522" s="34"/>
      <c r="AB522" s="34"/>
      <c r="AC522" s="34"/>
    </row>
    <row r="523" spans="1:29" ht="15.75" customHeight="1" x14ac:dyDescent="0.2">
      <c r="A523" s="34"/>
      <c r="B523" s="34"/>
      <c r="C523" s="33"/>
      <c r="D523" s="34"/>
      <c r="E523" s="34"/>
      <c r="F523" s="34"/>
      <c r="G523" s="34"/>
      <c r="H523" s="33"/>
      <c r="I523" s="33"/>
      <c r="J523" s="34"/>
      <c r="K523" s="34"/>
      <c r="L523" s="34"/>
      <c r="M523" s="34"/>
      <c r="N523" s="34"/>
      <c r="O523" s="34"/>
      <c r="P523" s="34"/>
      <c r="Q523" s="34"/>
      <c r="R523" s="34"/>
      <c r="S523" s="34"/>
      <c r="T523" s="34"/>
      <c r="U523" s="34"/>
      <c r="V523" s="34"/>
      <c r="W523" s="34"/>
      <c r="X523" s="34"/>
      <c r="Y523" s="34"/>
      <c r="Z523" s="34"/>
      <c r="AA523" s="34"/>
      <c r="AB523" s="34"/>
      <c r="AC523" s="34"/>
    </row>
    <row r="524" spans="1:29" ht="15.75" customHeight="1" x14ac:dyDescent="0.2">
      <c r="A524" s="34"/>
      <c r="B524" s="34"/>
      <c r="C524" s="33"/>
      <c r="D524" s="34"/>
      <c r="E524" s="34"/>
      <c r="F524" s="34"/>
      <c r="G524" s="34"/>
      <c r="H524" s="33"/>
      <c r="I524" s="33"/>
      <c r="J524" s="34"/>
      <c r="K524" s="34"/>
      <c r="L524" s="34"/>
      <c r="M524" s="34"/>
      <c r="N524" s="34"/>
      <c r="O524" s="34"/>
      <c r="P524" s="34"/>
      <c r="Q524" s="34"/>
      <c r="R524" s="34"/>
      <c r="S524" s="34"/>
      <c r="T524" s="34"/>
      <c r="U524" s="34"/>
      <c r="V524" s="34"/>
      <c r="W524" s="34"/>
      <c r="X524" s="34"/>
      <c r="Y524" s="34"/>
      <c r="Z524" s="34"/>
      <c r="AA524" s="34"/>
      <c r="AB524" s="34"/>
      <c r="AC524" s="34"/>
    </row>
    <row r="525" spans="1:29" ht="15.75" customHeight="1" x14ac:dyDescent="0.2">
      <c r="A525" s="34"/>
      <c r="B525" s="34"/>
      <c r="C525" s="33"/>
      <c r="D525" s="34"/>
      <c r="E525" s="34"/>
      <c r="F525" s="34"/>
      <c r="G525" s="34"/>
      <c r="H525" s="33"/>
      <c r="I525" s="33"/>
      <c r="J525" s="34"/>
      <c r="K525" s="34"/>
      <c r="L525" s="34"/>
      <c r="M525" s="34"/>
      <c r="N525" s="34"/>
      <c r="O525" s="34"/>
      <c r="P525" s="34"/>
      <c r="Q525" s="34"/>
      <c r="R525" s="34"/>
      <c r="S525" s="34"/>
      <c r="T525" s="34"/>
      <c r="U525" s="34"/>
      <c r="V525" s="34"/>
      <c r="W525" s="34"/>
      <c r="X525" s="34"/>
      <c r="Y525" s="34"/>
      <c r="Z525" s="34"/>
      <c r="AA525" s="34"/>
      <c r="AB525" s="34"/>
      <c r="AC525" s="34"/>
    </row>
    <row r="526" spans="1:29" ht="15.75" customHeight="1" x14ac:dyDescent="0.2">
      <c r="A526" s="34"/>
      <c r="B526" s="34"/>
      <c r="C526" s="33"/>
      <c r="D526" s="34"/>
      <c r="E526" s="34"/>
      <c r="F526" s="34"/>
      <c r="G526" s="34"/>
      <c r="H526" s="33"/>
      <c r="I526" s="33"/>
      <c r="J526" s="34"/>
      <c r="K526" s="34"/>
      <c r="L526" s="34"/>
      <c r="M526" s="34"/>
      <c r="N526" s="34"/>
      <c r="O526" s="34"/>
      <c r="P526" s="34"/>
      <c r="Q526" s="34"/>
      <c r="R526" s="34"/>
      <c r="S526" s="34"/>
      <c r="T526" s="34"/>
      <c r="U526" s="34"/>
      <c r="V526" s="34"/>
      <c r="W526" s="34"/>
      <c r="X526" s="34"/>
      <c r="Y526" s="34"/>
      <c r="Z526" s="34"/>
      <c r="AA526" s="34"/>
      <c r="AB526" s="34"/>
      <c r="AC526" s="34"/>
    </row>
    <row r="527" spans="1:29" ht="15.75" customHeight="1" x14ac:dyDescent="0.2">
      <c r="A527" s="34"/>
      <c r="B527" s="34"/>
      <c r="C527" s="33"/>
      <c r="D527" s="34"/>
      <c r="E527" s="34"/>
      <c r="F527" s="34"/>
      <c r="G527" s="34"/>
      <c r="H527" s="33"/>
      <c r="I527" s="33"/>
      <c r="J527" s="34"/>
      <c r="K527" s="34"/>
      <c r="L527" s="34"/>
      <c r="M527" s="34"/>
      <c r="N527" s="34"/>
      <c r="O527" s="34"/>
      <c r="P527" s="34"/>
      <c r="Q527" s="34"/>
      <c r="R527" s="34"/>
      <c r="S527" s="34"/>
      <c r="T527" s="34"/>
      <c r="U527" s="34"/>
      <c r="V527" s="34"/>
      <c r="W527" s="34"/>
      <c r="X527" s="34"/>
      <c r="Y527" s="34"/>
      <c r="Z527" s="34"/>
      <c r="AA527" s="34"/>
      <c r="AB527" s="34"/>
      <c r="AC527" s="34"/>
    </row>
    <row r="528" spans="1:29" ht="15.75" customHeight="1" x14ac:dyDescent="0.2">
      <c r="A528" s="34"/>
      <c r="B528" s="34"/>
      <c r="C528" s="33"/>
      <c r="D528" s="34"/>
      <c r="E528" s="34"/>
      <c r="F528" s="34"/>
      <c r="G528" s="34"/>
      <c r="H528" s="33"/>
      <c r="I528" s="33"/>
      <c r="J528" s="34"/>
      <c r="K528" s="34"/>
      <c r="L528" s="34"/>
      <c r="M528" s="34"/>
      <c r="N528" s="34"/>
      <c r="O528" s="34"/>
      <c r="P528" s="34"/>
      <c r="Q528" s="34"/>
      <c r="R528" s="34"/>
      <c r="S528" s="34"/>
      <c r="T528" s="34"/>
      <c r="U528" s="34"/>
      <c r="V528" s="34"/>
      <c r="W528" s="34"/>
      <c r="X528" s="34"/>
      <c r="Y528" s="34"/>
      <c r="Z528" s="34"/>
      <c r="AA528" s="34"/>
      <c r="AB528" s="34"/>
      <c r="AC528" s="34"/>
    </row>
    <row r="529" spans="1:29" ht="15.75" customHeight="1" x14ac:dyDescent="0.2">
      <c r="A529" s="34"/>
      <c r="B529" s="34"/>
      <c r="C529" s="33"/>
      <c r="D529" s="34"/>
      <c r="E529" s="34"/>
      <c r="F529" s="34"/>
      <c r="G529" s="34"/>
      <c r="H529" s="33"/>
      <c r="I529" s="33"/>
      <c r="J529" s="34"/>
      <c r="K529" s="34"/>
      <c r="L529" s="34"/>
      <c r="M529" s="34"/>
      <c r="N529" s="34"/>
      <c r="O529" s="34"/>
      <c r="P529" s="34"/>
      <c r="Q529" s="34"/>
      <c r="R529" s="34"/>
      <c r="S529" s="34"/>
      <c r="T529" s="34"/>
      <c r="U529" s="34"/>
      <c r="V529" s="34"/>
      <c r="W529" s="34"/>
      <c r="X529" s="34"/>
      <c r="Y529" s="34"/>
      <c r="Z529" s="34"/>
      <c r="AA529" s="34"/>
      <c r="AB529" s="34"/>
      <c r="AC529" s="34"/>
    </row>
    <row r="530" spans="1:29" ht="15.75" customHeight="1" x14ac:dyDescent="0.2">
      <c r="A530" s="34"/>
      <c r="B530" s="34"/>
      <c r="C530" s="33"/>
      <c r="D530" s="34"/>
      <c r="E530" s="34"/>
      <c r="F530" s="34"/>
      <c r="G530" s="34"/>
      <c r="H530" s="33"/>
      <c r="I530" s="33"/>
      <c r="J530" s="34"/>
      <c r="K530" s="34"/>
      <c r="L530" s="34"/>
      <c r="M530" s="34"/>
      <c r="N530" s="34"/>
      <c r="O530" s="34"/>
      <c r="P530" s="34"/>
      <c r="Q530" s="34"/>
      <c r="R530" s="34"/>
      <c r="S530" s="34"/>
      <c r="T530" s="34"/>
      <c r="U530" s="34"/>
      <c r="V530" s="34"/>
      <c r="W530" s="34"/>
      <c r="X530" s="34"/>
      <c r="Y530" s="34"/>
      <c r="Z530" s="34"/>
      <c r="AA530" s="34"/>
      <c r="AB530" s="34"/>
      <c r="AC530" s="34"/>
    </row>
    <row r="531" spans="1:29" ht="15.75" customHeight="1" x14ac:dyDescent="0.2">
      <c r="A531" s="34"/>
      <c r="B531" s="34"/>
      <c r="C531" s="33"/>
      <c r="D531" s="34"/>
      <c r="E531" s="34"/>
      <c r="F531" s="34"/>
      <c r="G531" s="34"/>
      <c r="H531" s="33"/>
      <c r="I531" s="33"/>
      <c r="J531" s="34"/>
      <c r="K531" s="34"/>
      <c r="L531" s="34"/>
      <c r="M531" s="34"/>
      <c r="N531" s="34"/>
      <c r="O531" s="34"/>
      <c r="P531" s="34"/>
      <c r="Q531" s="34"/>
      <c r="R531" s="34"/>
      <c r="S531" s="34"/>
      <c r="T531" s="34"/>
      <c r="U531" s="34"/>
      <c r="V531" s="34"/>
      <c r="W531" s="34"/>
      <c r="X531" s="34"/>
      <c r="Y531" s="34"/>
      <c r="Z531" s="34"/>
      <c r="AA531" s="34"/>
      <c r="AB531" s="34"/>
      <c r="AC531" s="34"/>
    </row>
    <row r="532" spans="1:29" ht="15.75" customHeight="1" x14ac:dyDescent="0.2">
      <c r="A532" s="34"/>
      <c r="B532" s="34"/>
      <c r="C532" s="33"/>
      <c r="D532" s="34"/>
      <c r="E532" s="34"/>
      <c r="F532" s="34"/>
      <c r="G532" s="34"/>
      <c r="H532" s="33"/>
      <c r="I532" s="33"/>
      <c r="J532" s="34"/>
      <c r="K532" s="34"/>
      <c r="L532" s="34"/>
      <c r="M532" s="34"/>
      <c r="N532" s="34"/>
      <c r="O532" s="34"/>
      <c r="P532" s="34"/>
      <c r="Q532" s="34"/>
      <c r="R532" s="34"/>
      <c r="S532" s="34"/>
      <c r="T532" s="34"/>
      <c r="U532" s="34"/>
      <c r="V532" s="34"/>
      <c r="W532" s="34"/>
      <c r="X532" s="34"/>
      <c r="Y532" s="34"/>
      <c r="Z532" s="34"/>
      <c r="AA532" s="34"/>
      <c r="AB532" s="34"/>
      <c r="AC532" s="34"/>
    </row>
    <row r="533" spans="1:29" ht="15.75" customHeight="1" x14ac:dyDescent="0.2">
      <c r="A533" s="34"/>
      <c r="B533" s="34"/>
      <c r="C533" s="33"/>
      <c r="D533" s="34"/>
      <c r="E533" s="34"/>
      <c r="F533" s="34"/>
      <c r="G533" s="34"/>
      <c r="H533" s="33"/>
      <c r="I533" s="33"/>
      <c r="J533" s="34"/>
      <c r="K533" s="34"/>
      <c r="L533" s="34"/>
      <c r="M533" s="34"/>
      <c r="N533" s="34"/>
      <c r="O533" s="34"/>
      <c r="P533" s="34"/>
      <c r="Q533" s="34"/>
      <c r="R533" s="34"/>
      <c r="S533" s="34"/>
      <c r="T533" s="34"/>
      <c r="U533" s="34"/>
      <c r="V533" s="34"/>
      <c r="W533" s="34"/>
      <c r="X533" s="34"/>
      <c r="Y533" s="34"/>
      <c r="Z533" s="34"/>
      <c r="AA533" s="34"/>
      <c r="AB533" s="34"/>
      <c r="AC533" s="34"/>
    </row>
    <row r="534" spans="1:29" ht="15.75" customHeight="1" x14ac:dyDescent="0.2">
      <c r="A534" s="34"/>
      <c r="B534" s="34"/>
      <c r="C534" s="33"/>
      <c r="D534" s="34"/>
      <c r="E534" s="34"/>
      <c r="F534" s="34"/>
      <c r="G534" s="34"/>
      <c r="H534" s="33"/>
      <c r="I534" s="33"/>
      <c r="J534" s="34"/>
      <c r="K534" s="34"/>
      <c r="L534" s="34"/>
      <c r="M534" s="34"/>
      <c r="N534" s="34"/>
      <c r="O534" s="34"/>
      <c r="P534" s="34"/>
      <c r="Q534" s="34"/>
      <c r="R534" s="34"/>
      <c r="S534" s="34"/>
      <c r="T534" s="34"/>
      <c r="U534" s="34"/>
      <c r="V534" s="34"/>
      <c r="W534" s="34"/>
      <c r="X534" s="34"/>
      <c r="Y534" s="34"/>
      <c r="Z534" s="34"/>
      <c r="AA534" s="34"/>
      <c r="AB534" s="34"/>
      <c r="AC534" s="34"/>
    </row>
    <row r="535" spans="1:29" ht="15.75" customHeight="1" x14ac:dyDescent="0.2">
      <c r="A535" s="34"/>
      <c r="B535" s="34"/>
      <c r="C535" s="33"/>
      <c r="D535" s="34"/>
      <c r="E535" s="34"/>
      <c r="F535" s="34"/>
      <c r="G535" s="34"/>
      <c r="H535" s="33"/>
      <c r="I535" s="33"/>
      <c r="J535" s="34"/>
      <c r="K535" s="34"/>
      <c r="L535" s="34"/>
      <c r="M535" s="34"/>
      <c r="N535" s="34"/>
      <c r="O535" s="34"/>
      <c r="P535" s="34"/>
      <c r="Q535" s="34"/>
      <c r="R535" s="34"/>
      <c r="S535" s="34"/>
      <c r="T535" s="34"/>
      <c r="U535" s="34"/>
      <c r="V535" s="34"/>
      <c r="W535" s="34"/>
      <c r="X535" s="34"/>
      <c r="Y535" s="34"/>
      <c r="Z535" s="34"/>
      <c r="AA535" s="34"/>
      <c r="AB535" s="34"/>
      <c r="AC535" s="34"/>
    </row>
    <row r="536" spans="1:29" ht="15.75" customHeight="1" x14ac:dyDescent="0.2">
      <c r="A536" s="34"/>
      <c r="B536" s="34"/>
      <c r="C536" s="33"/>
      <c r="D536" s="34"/>
      <c r="E536" s="34"/>
      <c r="F536" s="34"/>
      <c r="G536" s="34"/>
      <c r="H536" s="33"/>
      <c r="I536" s="33"/>
      <c r="J536" s="34"/>
      <c r="K536" s="34"/>
      <c r="L536" s="34"/>
      <c r="M536" s="34"/>
      <c r="N536" s="34"/>
      <c r="O536" s="34"/>
      <c r="P536" s="34"/>
      <c r="Q536" s="34"/>
      <c r="R536" s="34"/>
      <c r="S536" s="34"/>
      <c r="T536" s="34"/>
      <c r="U536" s="34"/>
      <c r="V536" s="34"/>
      <c r="W536" s="34"/>
      <c r="X536" s="34"/>
      <c r="Y536" s="34"/>
      <c r="Z536" s="34"/>
      <c r="AA536" s="34"/>
      <c r="AB536" s="34"/>
      <c r="AC536" s="34"/>
    </row>
    <row r="537" spans="1:29" ht="15.75" customHeight="1" x14ac:dyDescent="0.2">
      <c r="A537" s="34"/>
      <c r="B537" s="34"/>
      <c r="C537" s="33"/>
      <c r="D537" s="34"/>
      <c r="E537" s="34"/>
      <c r="F537" s="34"/>
      <c r="G537" s="34"/>
      <c r="H537" s="33"/>
      <c r="I537" s="33"/>
      <c r="J537" s="34"/>
      <c r="K537" s="34"/>
      <c r="L537" s="34"/>
      <c r="M537" s="34"/>
      <c r="N537" s="34"/>
      <c r="O537" s="34"/>
      <c r="P537" s="34"/>
      <c r="Q537" s="34"/>
      <c r="R537" s="34"/>
      <c r="S537" s="34"/>
      <c r="T537" s="34"/>
      <c r="U537" s="34"/>
      <c r="V537" s="34"/>
      <c r="W537" s="34"/>
      <c r="X537" s="34"/>
      <c r="Y537" s="34"/>
      <c r="Z537" s="34"/>
      <c r="AA537" s="34"/>
      <c r="AB537" s="34"/>
      <c r="AC537" s="34"/>
    </row>
    <row r="538" spans="1:29" ht="15.75" customHeight="1" x14ac:dyDescent="0.2">
      <c r="A538" s="34"/>
      <c r="B538" s="34"/>
      <c r="C538" s="33"/>
      <c r="D538" s="34"/>
      <c r="E538" s="34"/>
      <c r="F538" s="34"/>
      <c r="G538" s="34"/>
      <c r="H538" s="33"/>
      <c r="I538" s="33"/>
      <c r="J538" s="34"/>
      <c r="K538" s="34"/>
      <c r="L538" s="34"/>
      <c r="M538" s="34"/>
      <c r="N538" s="34"/>
      <c r="O538" s="34"/>
      <c r="P538" s="34"/>
      <c r="Q538" s="34"/>
      <c r="R538" s="34"/>
      <c r="S538" s="34"/>
      <c r="T538" s="34"/>
      <c r="U538" s="34"/>
      <c r="V538" s="34"/>
      <c r="W538" s="34"/>
      <c r="X538" s="34"/>
      <c r="Y538" s="34"/>
      <c r="Z538" s="34"/>
      <c r="AA538" s="34"/>
      <c r="AB538" s="34"/>
      <c r="AC538" s="34"/>
    </row>
    <row r="539" spans="1:29" ht="15.75" customHeight="1" x14ac:dyDescent="0.2">
      <c r="A539" s="34"/>
      <c r="B539" s="34"/>
      <c r="C539" s="33"/>
      <c r="D539" s="34"/>
      <c r="E539" s="34"/>
      <c r="F539" s="34"/>
      <c r="G539" s="34"/>
      <c r="H539" s="33"/>
      <c r="I539" s="33"/>
      <c r="J539" s="34"/>
      <c r="K539" s="34"/>
      <c r="L539" s="34"/>
      <c r="M539" s="34"/>
      <c r="N539" s="34"/>
      <c r="O539" s="34"/>
      <c r="P539" s="34"/>
      <c r="Q539" s="34"/>
      <c r="R539" s="34"/>
      <c r="S539" s="34"/>
      <c r="T539" s="34"/>
      <c r="U539" s="34"/>
      <c r="V539" s="34"/>
      <c r="W539" s="34"/>
      <c r="X539" s="34"/>
      <c r="Y539" s="34"/>
      <c r="Z539" s="34"/>
      <c r="AA539" s="34"/>
      <c r="AB539" s="34"/>
      <c r="AC539" s="34"/>
    </row>
    <row r="540" spans="1:29" ht="15.75" customHeight="1" x14ac:dyDescent="0.2">
      <c r="A540" s="34"/>
      <c r="B540" s="34"/>
      <c r="C540" s="33"/>
      <c r="D540" s="34"/>
      <c r="E540" s="34"/>
      <c r="F540" s="34"/>
      <c r="G540" s="34"/>
      <c r="H540" s="33"/>
      <c r="I540" s="33"/>
      <c r="J540" s="34"/>
      <c r="K540" s="34"/>
      <c r="L540" s="34"/>
      <c r="M540" s="34"/>
      <c r="N540" s="34"/>
      <c r="O540" s="34"/>
      <c r="P540" s="34"/>
      <c r="Q540" s="34"/>
      <c r="R540" s="34"/>
      <c r="S540" s="34"/>
      <c r="T540" s="34"/>
      <c r="U540" s="34"/>
      <c r="V540" s="34"/>
      <c r="W540" s="34"/>
      <c r="X540" s="34"/>
      <c r="Y540" s="34"/>
      <c r="Z540" s="34"/>
      <c r="AA540" s="34"/>
      <c r="AB540" s="34"/>
      <c r="AC540" s="34"/>
    </row>
    <row r="541" spans="1:29" ht="15.75" customHeight="1" x14ac:dyDescent="0.2">
      <c r="A541" s="34"/>
      <c r="B541" s="34"/>
      <c r="C541" s="33"/>
      <c r="D541" s="34"/>
      <c r="E541" s="34"/>
      <c r="F541" s="34"/>
      <c r="G541" s="34"/>
      <c r="H541" s="33"/>
      <c r="I541" s="33"/>
      <c r="J541" s="34"/>
      <c r="K541" s="34"/>
      <c r="L541" s="34"/>
      <c r="M541" s="34"/>
      <c r="N541" s="34"/>
      <c r="O541" s="34"/>
      <c r="P541" s="34"/>
      <c r="Q541" s="34"/>
      <c r="R541" s="34"/>
      <c r="S541" s="34"/>
      <c r="T541" s="34"/>
      <c r="U541" s="34"/>
      <c r="V541" s="34"/>
      <c r="W541" s="34"/>
      <c r="X541" s="34"/>
      <c r="Y541" s="34"/>
      <c r="Z541" s="34"/>
      <c r="AA541" s="34"/>
      <c r="AB541" s="34"/>
      <c r="AC541" s="34"/>
    </row>
    <row r="542" spans="1:29" ht="15.75" customHeight="1" x14ac:dyDescent="0.2">
      <c r="A542" s="34"/>
      <c r="B542" s="34"/>
      <c r="C542" s="33"/>
      <c r="D542" s="34"/>
      <c r="E542" s="34"/>
      <c r="F542" s="34"/>
      <c r="G542" s="34"/>
      <c r="H542" s="33"/>
      <c r="I542" s="33"/>
      <c r="J542" s="34"/>
      <c r="K542" s="34"/>
      <c r="L542" s="34"/>
      <c r="M542" s="34"/>
      <c r="N542" s="34"/>
      <c r="O542" s="34"/>
      <c r="P542" s="34"/>
      <c r="Q542" s="34"/>
      <c r="R542" s="34"/>
      <c r="S542" s="34"/>
      <c r="T542" s="34"/>
      <c r="U542" s="34"/>
      <c r="V542" s="34"/>
      <c r="W542" s="34"/>
      <c r="X542" s="34"/>
      <c r="Y542" s="34"/>
      <c r="Z542" s="34"/>
      <c r="AA542" s="34"/>
      <c r="AB542" s="34"/>
      <c r="AC542" s="34"/>
    </row>
    <row r="543" spans="1:29" ht="15.75" customHeight="1" x14ac:dyDescent="0.2">
      <c r="A543" s="34"/>
      <c r="B543" s="34"/>
      <c r="C543" s="33"/>
      <c r="D543" s="34"/>
      <c r="E543" s="34"/>
      <c r="F543" s="34"/>
      <c r="G543" s="34"/>
      <c r="H543" s="33"/>
      <c r="I543" s="33"/>
      <c r="J543" s="34"/>
      <c r="K543" s="34"/>
      <c r="L543" s="34"/>
      <c r="M543" s="34"/>
      <c r="N543" s="34"/>
      <c r="O543" s="34"/>
      <c r="P543" s="34"/>
      <c r="Q543" s="34"/>
      <c r="R543" s="34"/>
      <c r="S543" s="34"/>
      <c r="T543" s="34"/>
      <c r="U543" s="34"/>
      <c r="V543" s="34"/>
      <c r="W543" s="34"/>
      <c r="X543" s="34"/>
      <c r="Y543" s="34"/>
      <c r="Z543" s="34"/>
      <c r="AA543" s="34"/>
      <c r="AB543" s="34"/>
      <c r="AC543" s="34"/>
    </row>
    <row r="544" spans="1:29" ht="15.75" customHeight="1" x14ac:dyDescent="0.2">
      <c r="A544" s="34"/>
      <c r="B544" s="34"/>
      <c r="C544" s="33"/>
      <c r="D544" s="34"/>
      <c r="E544" s="34"/>
      <c r="F544" s="34"/>
      <c r="G544" s="34"/>
      <c r="H544" s="33"/>
      <c r="I544" s="33"/>
      <c r="J544" s="34"/>
      <c r="K544" s="34"/>
      <c r="L544" s="34"/>
      <c r="M544" s="34"/>
      <c r="N544" s="34"/>
      <c r="O544" s="34"/>
      <c r="P544" s="34"/>
      <c r="Q544" s="34"/>
      <c r="R544" s="34"/>
      <c r="S544" s="34"/>
      <c r="T544" s="34"/>
      <c r="U544" s="34"/>
      <c r="V544" s="34"/>
      <c r="W544" s="34"/>
      <c r="X544" s="34"/>
      <c r="Y544" s="34"/>
      <c r="Z544" s="34"/>
      <c r="AA544" s="34"/>
      <c r="AB544" s="34"/>
      <c r="AC544" s="34"/>
    </row>
    <row r="545" spans="1:29" ht="15.75" customHeight="1" x14ac:dyDescent="0.2">
      <c r="A545" s="34"/>
      <c r="B545" s="34"/>
      <c r="C545" s="33"/>
      <c r="D545" s="34"/>
      <c r="E545" s="34"/>
      <c r="F545" s="34"/>
      <c r="G545" s="34"/>
      <c r="H545" s="33"/>
      <c r="I545" s="33"/>
      <c r="J545" s="34"/>
      <c r="K545" s="34"/>
      <c r="L545" s="34"/>
      <c r="M545" s="34"/>
      <c r="N545" s="34"/>
      <c r="O545" s="34"/>
      <c r="P545" s="34"/>
      <c r="Q545" s="34"/>
      <c r="R545" s="34"/>
      <c r="S545" s="34"/>
      <c r="T545" s="34"/>
      <c r="U545" s="34"/>
      <c r="V545" s="34"/>
      <c r="W545" s="34"/>
      <c r="X545" s="34"/>
      <c r="Y545" s="34"/>
      <c r="Z545" s="34"/>
      <c r="AA545" s="34"/>
      <c r="AB545" s="34"/>
      <c r="AC545" s="34"/>
    </row>
    <row r="546" spans="1:29" ht="15.75" customHeight="1" x14ac:dyDescent="0.2">
      <c r="A546" s="34"/>
      <c r="B546" s="34"/>
      <c r="C546" s="33"/>
      <c r="D546" s="34"/>
      <c r="E546" s="34"/>
      <c r="F546" s="34"/>
      <c r="G546" s="34"/>
      <c r="H546" s="33"/>
      <c r="I546" s="33"/>
      <c r="J546" s="34"/>
      <c r="K546" s="34"/>
      <c r="L546" s="34"/>
      <c r="M546" s="34"/>
      <c r="N546" s="34"/>
      <c r="O546" s="34"/>
      <c r="P546" s="34"/>
      <c r="Q546" s="34"/>
      <c r="R546" s="34"/>
      <c r="S546" s="34"/>
      <c r="T546" s="34"/>
      <c r="U546" s="34"/>
      <c r="V546" s="34"/>
      <c r="W546" s="34"/>
      <c r="X546" s="34"/>
      <c r="Y546" s="34"/>
      <c r="Z546" s="34"/>
      <c r="AA546" s="34"/>
      <c r="AB546" s="34"/>
      <c r="AC546" s="34"/>
    </row>
    <row r="547" spans="1:29" ht="15.75" customHeight="1" x14ac:dyDescent="0.2">
      <c r="A547" s="34"/>
      <c r="B547" s="34"/>
      <c r="C547" s="33"/>
      <c r="D547" s="34"/>
      <c r="E547" s="34"/>
      <c r="F547" s="34"/>
      <c r="G547" s="34"/>
      <c r="H547" s="33"/>
      <c r="I547" s="33"/>
      <c r="J547" s="34"/>
      <c r="K547" s="34"/>
      <c r="L547" s="34"/>
      <c r="M547" s="34"/>
      <c r="N547" s="34"/>
      <c r="O547" s="34"/>
      <c r="P547" s="34"/>
      <c r="Q547" s="34"/>
      <c r="R547" s="34"/>
      <c r="S547" s="34"/>
      <c r="T547" s="34"/>
      <c r="U547" s="34"/>
      <c r="V547" s="34"/>
      <c r="W547" s="34"/>
      <c r="X547" s="34"/>
      <c r="Y547" s="34"/>
      <c r="Z547" s="34"/>
      <c r="AA547" s="34"/>
      <c r="AB547" s="34"/>
      <c r="AC547" s="34"/>
    </row>
    <row r="548" spans="1:29" ht="15.75" customHeight="1" x14ac:dyDescent="0.2">
      <c r="A548" s="34"/>
      <c r="B548" s="34"/>
      <c r="C548" s="33"/>
      <c r="D548" s="34"/>
      <c r="E548" s="34"/>
      <c r="F548" s="34"/>
      <c r="G548" s="34"/>
      <c r="H548" s="33"/>
      <c r="I548" s="33"/>
      <c r="J548" s="34"/>
      <c r="K548" s="34"/>
      <c r="L548" s="34"/>
      <c r="M548" s="34"/>
      <c r="N548" s="34"/>
      <c r="O548" s="34"/>
      <c r="P548" s="34"/>
      <c r="Q548" s="34"/>
      <c r="R548" s="34"/>
      <c r="S548" s="34"/>
      <c r="T548" s="34"/>
      <c r="U548" s="34"/>
      <c r="V548" s="34"/>
      <c r="W548" s="34"/>
      <c r="X548" s="34"/>
      <c r="Y548" s="34"/>
      <c r="Z548" s="34"/>
      <c r="AA548" s="34"/>
      <c r="AB548" s="34"/>
      <c r="AC548" s="34"/>
    </row>
    <row r="549" spans="1:29" ht="15.75" customHeight="1" x14ac:dyDescent="0.2">
      <c r="A549" s="34"/>
      <c r="B549" s="34"/>
      <c r="C549" s="33"/>
      <c r="D549" s="34"/>
      <c r="E549" s="34"/>
      <c r="F549" s="34"/>
      <c r="G549" s="34"/>
      <c r="H549" s="33"/>
      <c r="I549" s="33"/>
      <c r="J549" s="34"/>
      <c r="K549" s="34"/>
      <c r="L549" s="34"/>
      <c r="M549" s="34"/>
      <c r="N549" s="34"/>
      <c r="O549" s="34"/>
      <c r="P549" s="34"/>
      <c r="Q549" s="34"/>
      <c r="R549" s="34"/>
      <c r="S549" s="34"/>
      <c r="T549" s="34"/>
      <c r="U549" s="34"/>
      <c r="V549" s="34"/>
      <c r="W549" s="34"/>
      <c r="X549" s="34"/>
      <c r="Y549" s="34"/>
      <c r="Z549" s="34"/>
      <c r="AA549" s="34"/>
      <c r="AB549" s="34"/>
      <c r="AC549" s="34"/>
    </row>
    <row r="550" spans="1:29" ht="15.75" customHeight="1" x14ac:dyDescent="0.2">
      <c r="A550" s="34"/>
      <c r="B550" s="34"/>
      <c r="C550" s="33"/>
      <c r="D550" s="34"/>
      <c r="E550" s="34"/>
      <c r="F550" s="34"/>
      <c r="G550" s="34"/>
      <c r="H550" s="33"/>
      <c r="I550" s="33"/>
      <c r="J550" s="34"/>
      <c r="K550" s="34"/>
      <c r="L550" s="34"/>
      <c r="M550" s="34"/>
      <c r="N550" s="34"/>
      <c r="O550" s="34"/>
      <c r="P550" s="34"/>
      <c r="Q550" s="34"/>
      <c r="R550" s="34"/>
      <c r="S550" s="34"/>
      <c r="T550" s="34"/>
      <c r="U550" s="34"/>
      <c r="V550" s="34"/>
      <c r="W550" s="34"/>
      <c r="X550" s="34"/>
      <c r="Y550" s="34"/>
      <c r="Z550" s="34"/>
      <c r="AA550" s="34"/>
      <c r="AB550" s="34"/>
      <c r="AC550" s="34"/>
    </row>
    <row r="551" spans="1:29" ht="15.75" customHeight="1" x14ac:dyDescent="0.2">
      <c r="A551" s="34"/>
      <c r="B551" s="34"/>
      <c r="C551" s="33"/>
      <c r="D551" s="34"/>
      <c r="E551" s="34"/>
      <c r="F551" s="34"/>
      <c r="G551" s="34"/>
      <c r="H551" s="33"/>
      <c r="I551" s="33"/>
      <c r="J551" s="34"/>
      <c r="K551" s="34"/>
      <c r="L551" s="34"/>
      <c r="M551" s="34"/>
      <c r="N551" s="34"/>
      <c r="O551" s="34"/>
      <c r="P551" s="34"/>
      <c r="Q551" s="34"/>
      <c r="R551" s="34"/>
      <c r="S551" s="34"/>
      <c r="T551" s="34"/>
      <c r="U551" s="34"/>
      <c r="V551" s="34"/>
      <c r="W551" s="34"/>
      <c r="X551" s="34"/>
      <c r="Y551" s="34"/>
      <c r="Z551" s="34"/>
      <c r="AA551" s="34"/>
      <c r="AB551" s="34"/>
      <c r="AC551" s="34"/>
    </row>
    <row r="552" spans="1:29" ht="15.75" customHeight="1" x14ac:dyDescent="0.2">
      <c r="A552" s="34"/>
      <c r="B552" s="34"/>
      <c r="C552" s="33"/>
      <c r="D552" s="34"/>
      <c r="E552" s="34"/>
      <c r="F552" s="34"/>
      <c r="G552" s="34"/>
      <c r="H552" s="33"/>
      <c r="I552" s="33"/>
      <c r="J552" s="34"/>
      <c r="K552" s="34"/>
      <c r="L552" s="34"/>
      <c r="M552" s="34"/>
      <c r="N552" s="34"/>
      <c r="O552" s="34"/>
      <c r="P552" s="34"/>
      <c r="Q552" s="34"/>
      <c r="R552" s="34"/>
      <c r="S552" s="34"/>
      <c r="T552" s="34"/>
      <c r="U552" s="34"/>
      <c r="V552" s="34"/>
      <c r="W552" s="34"/>
      <c r="X552" s="34"/>
      <c r="Y552" s="34"/>
      <c r="Z552" s="34"/>
      <c r="AA552" s="34"/>
      <c r="AB552" s="34"/>
      <c r="AC552" s="34"/>
    </row>
    <row r="553" spans="1:29" ht="15.75" customHeight="1" x14ac:dyDescent="0.2">
      <c r="A553" s="34"/>
      <c r="B553" s="34"/>
      <c r="C553" s="33"/>
      <c r="D553" s="34"/>
      <c r="E553" s="34"/>
      <c r="F553" s="34"/>
      <c r="G553" s="34"/>
      <c r="H553" s="33"/>
      <c r="I553" s="33"/>
      <c r="J553" s="34"/>
      <c r="K553" s="34"/>
      <c r="L553" s="34"/>
      <c r="M553" s="34"/>
      <c r="N553" s="34"/>
      <c r="O553" s="34"/>
      <c r="P553" s="34"/>
      <c r="Q553" s="34"/>
      <c r="R553" s="34"/>
      <c r="S553" s="34"/>
      <c r="T553" s="34"/>
      <c r="U553" s="34"/>
      <c r="V553" s="34"/>
      <c r="W553" s="34"/>
      <c r="X553" s="34"/>
      <c r="Y553" s="34"/>
      <c r="Z553" s="34"/>
      <c r="AA553" s="34"/>
      <c r="AB553" s="34"/>
      <c r="AC553" s="34"/>
    </row>
    <row r="554" spans="1:29" ht="15.75" customHeight="1" x14ac:dyDescent="0.2">
      <c r="A554" s="34"/>
      <c r="B554" s="34"/>
      <c r="C554" s="33"/>
      <c r="D554" s="34"/>
      <c r="E554" s="34"/>
      <c r="F554" s="34"/>
      <c r="G554" s="34"/>
      <c r="H554" s="33"/>
      <c r="I554" s="33"/>
      <c r="J554" s="34"/>
      <c r="K554" s="34"/>
      <c r="L554" s="34"/>
      <c r="M554" s="34"/>
      <c r="N554" s="34"/>
      <c r="O554" s="34"/>
      <c r="P554" s="34"/>
      <c r="Q554" s="34"/>
      <c r="R554" s="34"/>
      <c r="S554" s="34"/>
      <c r="T554" s="34"/>
      <c r="U554" s="34"/>
      <c r="V554" s="34"/>
      <c r="W554" s="34"/>
      <c r="X554" s="34"/>
      <c r="Y554" s="34"/>
      <c r="Z554" s="34"/>
      <c r="AA554" s="34"/>
      <c r="AB554" s="34"/>
      <c r="AC554" s="34"/>
    </row>
    <row r="555" spans="1:29" ht="15.75" customHeight="1" x14ac:dyDescent="0.2">
      <c r="A555" s="34"/>
      <c r="B555" s="34"/>
      <c r="C555" s="33"/>
      <c r="D555" s="34"/>
      <c r="E555" s="34"/>
      <c r="F555" s="34"/>
      <c r="G555" s="34"/>
      <c r="H555" s="33"/>
      <c r="I555" s="33"/>
      <c r="J555" s="34"/>
      <c r="K555" s="34"/>
      <c r="L555" s="34"/>
      <c r="M555" s="34"/>
      <c r="N555" s="34"/>
      <c r="O555" s="34"/>
      <c r="P555" s="34"/>
      <c r="Q555" s="34"/>
      <c r="R555" s="34"/>
      <c r="S555" s="34"/>
      <c r="T555" s="34"/>
      <c r="U555" s="34"/>
      <c r="V555" s="34"/>
      <c r="W555" s="34"/>
      <c r="X555" s="34"/>
      <c r="Y555" s="34"/>
      <c r="Z555" s="34"/>
      <c r="AA555" s="34"/>
      <c r="AB555" s="34"/>
      <c r="AC555" s="34"/>
    </row>
    <row r="556" spans="1:29" ht="15.75" customHeight="1" x14ac:dyDescent="0.2">
      <c r="A556" s="34"/>
      <c r="B556" s="34"/>
      <c r="C556" s="33"/>
      <c r="D556" s="34"/>
      <c r="E556" s="34"/>
      <c r="F556" s="34"/>
      <c r="G556" s="34"/>
      <c r="H556" s="33"/>
      <c r="I556" s="33"/>
      <c r="J556" s="34"/>
      <c r="K556" s="34"/>
      <c r="L556" s="34"/>
      <c r="M556" s="34"/>
      <c r="N556" s="34"/>
      <c r="O556" s="34"/>
      <c r="P556" s="34"/>
      <c r="Q556" s="34"/>
      <c r="R556" s="34"/>
      <c r="S556" s="34"/>
      <c r="T556" s="34"/>
      <c r="U556" s="34"/>
      <c r="V556" s="34"/>
      <c r="W556" s="34"/>
      <c r="X556" s="34"/>
      <c r="Y556" s="34"/>
      <c r="Z556" s="34"/>
      <c r="AA556" s="34"/>
      <c r="AB556" s="34"/>
      <c r="AC556" s="34"/>
    </row>
    <row r="557" spans="1:29" ht="15.75" customHeight="1" x14ac:dyDescent="0.2">
      <c r="A557" s="34"/>
      <c r="B557" s="34"/>
      <c r="C557" s="33"/>
      <c r="D557" s="34"/>
      <c r="E557" s="34"/>
      <c r="F557" s="34"/>
      <c r="G557" s="34"/>
      <c r="H557" s="33"/>
      <c r="I557" s="33"/>
      <c r="J557" s="34"/>
      <c r="K557" s="34"/>
      <c r="L557" s="34"/>
      <c r="M557" s="34"/>
      <c r="N557" s="34"/>
      <c r="O557" s="34"/>
      <c r="P557" s="34"/>
      <c r="Q557" s="34"/>
      <c r="R557" s="34"/>
      <c r="S557" s="34"/>
      <c r="T557" s="34"/>
      <c r="U557" s="34"/>
      <c r="V557" s="34"/>
      <c r="W557" s="34"/>
      <c r="X557" s="34"/>
      <c r="Y557" s="34"/>
      <c r="Z557" s="34"/>
      <c r="AA557" s="34"/>
      <c r="AB557" s="34"/>
      <c r="AC557" s="34"/>
    </row>
    <row r="558" spans="1:29" ht="15.75" customHeight="1" x14ac:dyDescent="0.2">
      <c r="A558" s="34"/>
      <c r="B558" s="34"/>
      <c r="C558" s="33"/>
      <c r="D558" s="34"/>
      <c r="E558" s="34"/>
      <c r="F558" s="34"/>
      <c r="G558" s="34"/>
      <c r="H558" s="33"/>
      <c r="I558" s="33"/>
      <c r="J558" s="34"/>
      <c r="K558" s="34"/>
      <c r="L558" s="34"/>
      <c r="M558" s="34"/>
      <c r="N558" s="34"/>
      <c r="O558" s="34"/>
      <c r="P558" s="34"/>
      <c r="Q558" s="34"/>
      <c r="R558" s="34"/>
      <c r="S558" s="34"/>
      <c r="T558" s="34"/>
      <c r="U558" s="34"/>
      <c r="V558" s="34"/>
      <c r="W558" s="34"/>
      <c r="X558" s="34"/>
      <c r="Y558" s="34"/>
      <c r="Z558" s="34"/>
      <c r="AA558" s="34"/>
      <c r="AB558" s="34"/>
      <c r="AC558" s="34"/>
    </row>
    <row r="559" spans="1:29" ht="15.75" customHeight="1" x14ac:dyDescent="0.2">
      <c r="A559" s="34"/>
      <c r="B559" s="34"/>
      <c r="C559" s="33"/>
      <c r="D559" s="34"/>
      <c r="E559" s="34"/>
      <c r="F559" s="34"/>
      <c r="G559" s="34"/>
      <c r="H559" s="33"/>
      <c r="I559" s="33"/>
      <c r="J559" s="34"/>
      <c r="K559" s="34"/>
      <c r="L559" s="34"/>
      <c r="M559" s="34"/>
      <c r="N559" s="34"/>
      <c r="O559" s="34"/>
      <c r="P559" s="34"/>
      <c r="Q559" s="34"/>
      <c r="R559" s="34"/>
      <c r="S559" s="34"/>
      <c r="T559" s="34"/>
      <c r="U559" s="34"/>
      <c r="V559" s="34"/>
      <c r="W559" s="34"/>
      <c r="X559" s="34"/>
      <c r="Y559" s="34"/>
      <c r="Z559" s="34"/>
      <c r="AA559" s="34"/>
      <c r="AB559" s="34"/>
      <c r="AC559" s="34"/>
    </row>
    <row r="560" spans="1:29" ht="15.75" customHeight="1" x14ac:dyDescent="0.2">
      <c r="A560" s="34"/>
      <c r="B560" s="34"/>
      <c r="C560" s="33"/>
      <c r="D560" s="34"/>
      <c r="E560" s="34"/>
      <c r="F560" s="34"/>
      <c r="G560" s="34"/>
      <c r="H560" s="33"/>
      <c r="I560" s="33"/>
      <c r="J560" s="34"/>
      <c r="K560" s="34"/>
      <c r="L560" s="34"/>
      <c r="M560" s="34"/>
      <c r="N560" s="34"/>
      <c r="O560" s="34"/>
      <c r="P560" s="34"/>
      <c r="Q560" s="34"/>
      <c r="R560" s="34"/>
      <c r="S560" s="34"/>
      <c r="T560" s="34"/>
      <c r="U560" s="34"/>
      <c r="V560" s="34"/>
      <c r="W560" s="34"/>
      <c r="X560" s="34"/>
      <c r="Y560" s="34"/>
      <c r="Z560" s="34"/>
      <c r="AA560" s="34"/>
      <c r="AB560" s="34"/>
      <c r="AC560" s="34"/>
    </row>
    <row r="561" spans="1:29" ht="15.75" customHeight="1" x14ac:dyDescent="0.2">
      <c r="A561" s="34"/>
      <c r="B561" s="34"/>
      <c r="C561" s="33"/>
      <c r="D561" s="34"/>
      <c r="E561" s="34"/>
      <c r="F561" s="34"/>
      <c r="G561" s="34"/>
      <c r="H561" s="33"/>
      <c r="I561" s="33"/>
      <c r="J561" s="34"/>
      <c r="K561" s="34"/>
      <c r="L561" s="34"/>
      <c r="M561" s="34"/>
      <c r="N561" s="34"/>
      <c r="O561" s="34"/>
      <c r="P561" s="34"/>
      <c r="Q561" s="34"/>
      <c r="R561" s="34"/>
      <c r="S561" s="34"/>
      <c r="T561" s="34"/>
      <c r="U561" s="34"/>
      <c r="V561" s="34"/>
      <c r="W561" s="34"/>
      <c r="X561" s="34"/>
      <c r="Y561" s="34"/>
      <c r="Z561" s="34"/>
      <c r="AA561" s="34"/>
      <c r="AB561" s="34"/>
      <c r="AC561" s="34"/>
    </row>
    <row r="562" spans="1:29" ht="15.75" customHeight="1" x14ac:dyDescent="0.2">
      <c r="A562" s="34"/>
      <c r="B562" s="34"/>
      <c r="C562" s="33"/>
      <c r="D562" s="34"/>
      <c r="E562" s="34"/>
      <c r="F562" s="34"/>
      <c r="G562" s="34"/>
      <c r="H562" s="33"/>
      <c r="I562" s="33"/>
      <c r="J562" s="34"/>
      <c r="K562" s="34"/>
      <c r="L562" s="34"/>
      <c r="M562" s="34"/>
      <c r="N562" s="34"/>
      <c r="O562" s="34"/>
      <c r="P562" s="34"/>
      <c r="Q562" s="34"/>
      <c r="R562" s="34"/>
      <c r="S562" s="34"/>
      <c r="T562" s="34"/>
      <c r="U562" s="34"/>
      <c r="V562" s="34"/>
      <c r="W562" s="34"/>
      <c r="X562" s="34"/>
      <c r="Y562" s="34"/>
      <c r="Z562" s="34"/>
      <c r="AA562" s="34"/>
      <c r="AB562" s="34"/>
      <c r="AC562" s="34"/>
    </row>
    <row r="563" spans="1:29" ht="15.75" customHeight="1" x14ac:dyDescent="0.2">
      <c r="A563" s="34"/>
      <c r="B563" s="34"/>
      <c r="C563" s="33"/>
      <c r="D563" s="34"/>
      <c r="E563" s="34"/>
      <c r="F563" s="34"/>
      <c r="G563" s="34"/>
      <c r="H563" s="33"/>
      <c r="I563" s="33"/>
      <c r="J563" s="34"/>
      <c r="K563" s="34"/>
      <c r="L563" s="34"/>
      <c r="M563" s="34"/>
      <c r="N563" s="34"/>
      <c r="O563" s="34"/>
      <c r="P563" s="34"/>
      <c r="Q563" s="34"/>
      <c r="R563" s="34"/>
      <c r="S563" s="34"/>
      <c r="T563" s="34"/>
      <c r="U563" s="34"/>
      <c r="V563" s="34"/>
      <c r="W563" s="34"/>
      <c r="X563" s="34"/>
      <c r="Y563" s="34"/>
      <c r="Z563" s="34"/>
      <c r="AA563" s="34"/>
      <c r="AB563" s="34"/>
      <c r="AC563" s="34"/>
    </row>
    <row r="564" spans="1:29" ht="15.75" customHeight="1" x14ac:dyDescent="0.2">
      <c r="A564" s="34"/>
      <c r="B564" s="34"/>
      <c r="C564" s="33"/>
      <c r="D564" s="34"/>
      <c r="E564" s="34"/>
      <c r="F564" s="34"/>
      <c r="G564" s="34"/>
      <c r="H564" s="33"/>
      <c r="I564" s="33"/>
      <c r="J564" s="34"/>
      <c r="K564" s="34"/>
      <c r="L564" s="34"/>
      <c r="M564" s="34"/>
      <c r="N564" s="34"/>
      <c r="O564" s="34"/>
      <c r="P564" s="34"/>
      <c r="Q564" s="34"/>
      <c r="R564" s="34"/>
      <c r="S564" s="34"/>
      <c r="T564" s="34"/>
      <c r="U564" s="34"/>
      <c r="V564" s="34"/>
      <c r="W564" s="34"/>
      <c r="X564" s="34"/>
      <c r="Y564" s="34"/>
      <c r="Z564" s="34"/>
      <c r="AA564" s="34"/>
      <c r="AB564" s="34"/>
      <c r="AC564" s="34"/>
    </row>
    <row r="565" spans="1:29" ht="15.75" customHeight="1" x14ac:dyDescent="0.2">
      <c r="A565" s="34"/>
      <c r="B565" s="34"/>
      <c r="C565" s="33"/>
      <c r="D565" s="34"/>
      <c r="E565" s="34"/>
      <c r="F565" s="34"/>
      <c r="G565" s="34"/>
      <c r="H565" s="33"/>
      <c r="I565" s="33"/>
      <c r="J565" s="34"/>
      <c r="K565" s="34"/>
      <c r="L565" s="34"/>
      <c r="M565" s="34"/>
      <c r="N565" s="34"/>
      <c r="O565" s="34"/>
      <c r="P565" s="34"/>
      <c r="Q565" s="34"/>
      <c r="R565" s="34"/>
      <c r="S565" s="34"/>
      <c r="T565" s="34"/>
      <c r="U565" s="34"/>
      <c r="V565" s="34"/>
      <c r="W565" s="34"/>
      <c r="X565" s="34"/>
      <c r="Y565" s="34"/>
      <c r="Z565" s="34"/>
      <c r="AA565" s="34"/>
      <c r="AB565" s="34"/>
      <c r="AC565" s="34"/>
    </row>
    <row r="566" spans="1:29" ht="15.75" customHeight="1" x14ac:dyDescent="0.2">
      <c r="A566" s="34"/>
      <c r="B566" s="34"/>
      <c r="C566" s="33"/>
      <c r="D566" s="34"/>
      <c r="E566" s="34"/>
      <c r="F566" s="34"/>
      <c r="G566" s="34"/>
      <c r="H566" s="33"/>
      <c r="I566" s="33"/>
      <c r="J566" s="34"/>
      <c r="K566" s="34"/>
      <c r="L566" s="34"/>
      <c r="M566" s="34"/>
      <c r="N566" s="34"/>
      <c r="O566" s="34"/>
      <c r="P566" s="34"/>
      <c r="Q566" s="34"/>
      <c r="R566" s="34"/>
      <c r="S566" s="34"/>
      <c r="T566" s="34"/>
      <c r="U566" s="34"/>
      <c r="V566" s="34"/>
      <c r="W566" s="34"/>
      <c r="X566" s="34"/>
      <c r="Y566" s="34"/>
      <c r="Z566" s="34"/>
      <c r="AA566" s="34"/>
      <c r="AB566" s="34"/>
      <c r="AC566" s="34"/>
    </row>
    <row r="567" spans="1:29" ht="15.75" customHeight="1" x14ac:dyDescent="0.2">
      <c r="A567" s="34"/>
      <c r="B567" s="34"/>
      <c r="C567" s="33"/>
      <c r="D567" s="34"/>
      <c r="E567" s="34"/>
      <c r="F567" s="34"/>
      <c r="G567" s="34"/>
      <c r="H567" s="33"/>
      <c r="I567" s="33"/>
      <c r="J567" s="34"/>
      <c r="K567" s="34"/>
      <c r="L567" s="34"/>
      <c r="M567" s="34"/>
      <c r="N567" s="34"/>
      <c r="O567" s="34"/>
      <c r="P567" s="34"/>
      <c r="Q567" s="34"/>
      <c r="R567" s="34"/>
      <c r="S567" s="34"/>
      <c r="T567" s="34"/>
      <c r="U567" s="34"/>
      <c r="V567" s="34"/>
      <c r="W567" s="34"/>
      <c r="X567" s="34"/>
      <c r="Y567" s="34"/>
      <c r="Z567" s="34"/>
      <c r="AA567" s="34"/>
      <c r="AB567" s="34"/>
      <c r="AC567" s="34"/>
    </row>
    <row r="568" spans="1:29" ht="15.75" customHeight="1" x14ac:dyDescent="0.2">
      <c r="A568" s="34"/>
      <c r="B568" s="34"/>
      <c r="C568" s="33"/>
      <c r="D568" s="34"/>
      <c r="E568" s="34"/>
      <c r="F568" s="34"/>
      <c r="G568" s="34"/>
      <c r="H568" s="33"/>
      <c r="I568" s="33"/>
      <c r="J568" s="34"/>
      <c r="K568" s="34"/>
      <c r="L568" s="34"/>
      <c r="M568" s="34"/>
      <c r="N568" s="34"/>
      <c r="O568" s="34"/>
      <c r="P568" s="34"/>
      <c r="Q568" s="34"/>
      <c r="R568" s="34"/>
      <c r="S568" s="34"/>
      <c r="T568" s="34"/>
      <c r="U568" s="34"/>
      <c r="V568" s="34"/>
      <c r="W568" s="34"/>
      <c r="X568" s="34"/>
      <c r="Y568" s="34"/>
      <c r="Z568" s="34"/>
      <c r="AA568" s="34"/>
      <c r="AB568" s="34"/>
      <c r="AC568" s="34"/>
    </row>
    <row r="569" spans="1:29" ht="15.75" customHeight="1" x14ac:dyDescent="0.2">
      <c r="A569" s="34"/>
      <c r="B569" s="34"/>
      <c r="C569" s="33"/>
      <c r="D569" s="34"/>
      <c r="E569" s="34"/>
      <c r="F569" s="34"/>
      <c r="G569" s="34"/>
      <c r="H569" s="33"/>
      <c r="I569" s="33"/>
      <c r="J569" s="34"/>
      <c r="K569" s="34"/>
      <c r="L569" s="34"/>
      <c r="M569" s="34"/>
      <c r="N569" s="34"/>
      <c r="O569" s="34"/>
      <c r="P569" s="34"/>
      <c r="Q569" s="34"/>
      <c r="R569" s="34"/>
      <c r="S569" s="34"/>
      <c r="T569" s="34"/>
      <c r="U569" s="34"/>
      <c r="V569" s="34"/>
      <c r="W569" s="34"/>
      <c r="X569" s="34"/>
      <c r="Y569" s="34"/>
      <c r="Z569" s="34"/>
      <c r="AA569" s="34"/>
      <c r="AB569" s="34"/>
      <c r="AC569" s="34"/>
    </row>
    <row r="570" spans="1:29" ht="15.75" customHeight="1" x14ac:dyDescent="0.2">
      <c r="A570" s="34"/>
      <c r="B570" s="34"/>
      <c r="C570" s="33"/>
      <c r="D570" s="34"/>
      <c r="E570" s="34"/>
      <c r="F570" s="34"/>
      <c r="G570" s="34"/>
      <c r="H570" s="33"/>
      <c r="I570" s="33"/>
      <c r="J570" s="34"/>
      <c r="K570" s="34"/>
      <c r="L570" s="34"/>
      <c r="M570" s="34"/>
      <c r="N570" s="34"/>
      <c r="O570" s="34"/>
      <c r="P570" s="34"/>
      <c r="Q570" s="34"/>
      <c r="R570" s="34"/>
      <c r="S570" s="34"/>
      <c r="T570" s="34"/>
      <c r="U570" s="34"/>
      <c r="V570" s="34"/>
      <c r="W570" s="34"/>
      <c r="X570" s="34"/>
      <c r="Y570" s="34"/>
      <c r="Z570" s="34"/>
      <c r="AA570" s="34"/>
      <c r="AB570" s="34"/>
      <c r="AC570" s="34"/>
    </row>
    <row r="571" spans="1:29" ht="15.75" customHeight="1" x14ac:dyDescent="0.2">
      <c r="A571" s="34"/>
      <c r="B571" s="34"/>
      <c r="C571" s="33"/>
      <c r="D571" s="34"/>
      <c r="E571" s="34"/>
      <c r="F571" s="34"/>
      <c r="G571" s="34"/>
      <c r="H571" s="33"/>
      <c r="I571" s="33"/>
      <c r="J571" s="34"/>
      <c r="K571" s="34"/>
      <c r="L571" s="34"/>
      <c r="M571" s="34"/>
      <c r="N571" s="34"/>
      <c r="O571" s="34"/>
      <c r="P571" s="34"/>
      <c r="Q571" s="34"/>
      <c r="R571" s="34"/>
      <c r="S571" s="34"/>
      <c r="T571" s="34"/>
      <c r="U571" s="34"/>
      <c r="V571" s="34"/>
      <c r="W571" s="34"/>
      <c r="X571" s="34"/>
      <c r="Y571" s="34"/>
      <c r="Z571" s="34"/>
      <c r="AA571" s="34"/>
      <c r="AB571" s="34"/>
      <c r="AC571" s="34"/>
    </row>
    <row r="572" spans="1:29" ht="15.75" customHeight="1" x14ac:dyDescent="0.2">
      <c r="A572" s="34"/>
      <c r="B572" s="34"/>
      <c r="C572" s="33"/>
      <c r="D572" s="34"/>
      <c r="E572" s="34"/>
      <c r="F572" s="34"/>
      <c r="G572" s="34"/>
      <c r="H572" s="33"/>
      <c r="I572" s="33"/>
      <c r="J572" s="34"/>
      <c r="K572" s="34"/>
      <c r="L572" s="34"/>
      <c r="M572" s="34"/>
      <c r="N572" s="34"/>
      <c r="O572" s="34"/>
      <c r="P572" s="34"/>
      <c r="Q572" s="34"/>
      <c r="R572" s="34"/>
      <c r="S572" s="34"/>
      <c r="T572" s="34"/>
      <c r="U572" s="34"/>
      <c r="V572" s="34"/>
      <c r="W572" s="34"/>
      <c r="X572" s="34"/>
      <c r="Y572" s="34"/>
      <c r="Z572" s="34"/>
      <c r="AA572" s="34"/>
      <c r="AB572" s="34"/>
      <c r="AC572" s="34"/>
    </row>
    <row r="573" spans="1:29" ht="15.75" customHeight="1" x14ac:dyDescent="0.2">
      <c r="A573" s="34"/>
      <c r="B573" s="34"/>
      <c r="C573" s="33"/>
      <c r="D573" s="34"/>
      <c r="E573" s="34"/>
      <c r="F573" s="34"/>
      <c r="G573" s="34"/>
      <c r="H573" s="33"/>
      <c r="I573" s="33"/>
      <c r="J573" s="34"/>
      <c r="K573" s="34"/>
      <c r="L573" s="34"/>
      <c r="M573" s="34"/>
      <c r="N573" s="34"/>
      <c r="O573" s="34"/>
      <c r="P573" s="34"/>
      <c r="Q573" s="34"/>
      <c r="R573" s="34"/>
      <c r="S573" s="34"/>
      <c r="T573" s="34"/>
      <c r="U573" s="34"/>
      <c r="V573" s="34"/>
      <c r="W573" s="34"/>
      <c r="X573" s="34"/>
      <c r="Y573" s="34"/>
      <c r="Z573" s="34"/>
      <c r="AA573" s="34"/>
      <c r="AB573" s="34"/>
      <c r="AC573" s="34"/>
    </row>
    <row r="574" spans="1:29" ht="15.75" customHeight="1" x14ac:dyDescent="0.2">
      <c r="A574" s="34"/>
      <c r="B574" s="34"/>
      <c r="C574" s="33"/>
      <c r="D574" s="34"/>
      <c r="E574" s="34"/>
      <c r="F574" s="34"/>
      <c r="G574" s="34"/>
      <c r="H574" s="33"/>
      <c r="I574" s="33"/>
      <c r="J574" s="34"/>
      <c r="K574" s="34"/>
      <c r="L574" s="34"/>
      <c r="M574" s="34"/>
      <c r="N574" s="34"/>
      <c r="O574" s="34"/>
      <c r="P574" s="34"/>
      <c r="Q574" s="34"/>
      <c r="R574" s="34"/>
      <c r="S574" s="34"/>
      <c r="T574" s="34"/>
      <c r="U574" s="34"/>
      <c r="V574" s="34"/>
      <c r="W574" s="34"/>
      <c r="X574" s="34"/>
      <c r="Y574" s="34"/>
      <c r="Z574" s="34"/>
      <c r="AA574" s="34"/>
      <c r="AB574" s="34"/>
      <c r="AC574" s="34"/>
    </row>
    <row r="575" spans="1:29" ht="15.75" customHeight="1" x14ac:dyDescent="0.2">
      <c r="A575" s="34"/>
      <c r="B575" s="34"/>
      <c r="C575" s="33"/>
      <c r="D575" s="34"/>
      <c r="E575" s="34"/>
      <c r="F575" s="34"/>
      <c r="G575" s="34"/>
      <c r="H575" s="33"/>
      <c r="I575" s="33"/>
      <c r="J575" s="34"/>
      <c r="K575" s="34"/>
      <c r="L575" s="34"/>
      <c r="M575" s="34"/>
      <c r="N575" s="34"/>
      <c r="O575" s="34"/>
      <c r="P575" s="34"/>
      <c r="Q575" s="34"/>
      <c r="R575" s="34"/>
      <c r="S575" s="34"/>
      <c r="T575" s="34"/>
      <c r="U575" s="34"/>
      <c r="V575" s="34"/>
      <c r="W575" s="34"/>
      <c r="X575" s="34"/>
      <c r="Y575" s="34"/>
      <c r="Z575" s="34"/>
      <c r="AA575" s="34"/>
      <c r="AB575" s="34"/>
      <c r="AC575" s="34"/>
    </row>
    <row r="576" spans="1:29" ht="15.75" customHeight="1" x14ac:dyDescent="0.2">
      <c r="A576" s="34"/>
      <c r="B576" s="34"/>
      <c r="C576" s="33"/>
      <c r="D576" s="34"/>
      <c r="E576" s="34"/>
      <c r="F576" s="34"/>
      <c r="G576" s="34"/>
      <c r="H576" s="33"/>
      <c r="I576" s="33"/>
      <c r="J576" s="34"/>
      <c r="K576" s="34"/>
      <c r="L576" s="34"/>
      <c r="M576" s="34"/>
      <c r="N576" s="34"/>
      <c r="O576" s="34"/>
      <c r="P576" s="34"/>
      <c r="Q576" s="34"/>
      <c r="R576" s="34"/>
      <c r="S576" s="34"/>
      <c r="T576" s="34"/>
      <c r="U576" s="34"/>
      <c r="V576" s="34"/>
      <c r="W576" s="34"/>
      <c r="X576" s="34"/>
      <c r="Y576" s="34"/>
      <c r="Z576" s="34"/>
      <c r="AA576" s="34"/>
      <c r="AB576" s="34"/>
      <c r="AC576" s="34"/>
    </row>
    <row r="577" spans="1:29" ht="15.75" customHeight="1" x14ac:dyDescent="0.2">
      <c r="A577" s="34"/>
      <c r="B577" s="34"/>
      <c r="C577" s="33"/>
      <c r="D577" s="34"/>
      <c r="E577" s="34"/>
      <c r="F577" s="34"/>
      <c r="G577" s="34"/>
      <c r="H577" s="33"/>
      <c r="I577" s="33"/>
      <c r="J577" s="34"/>
      <c r="K577" s="34"/>
      <c r="L577" s="34"/>
      <c r="M577" s="34"/>
      <c r="N577" s="34"/>
      <c r="O577" s="34"/>
      <c r="P577" s="34"/>
      <c r="Q577" s="34"/>
      <c r="R577" s="34"/>
      <c r="S577" s="34"/>
      <c r="T577" s="34"/>
      <c r="U577" s="34"/>
      <c r="V577" s="34"/>
      <c r="W577" s="34"/>
      <c r="X577" s="34"/>
      <c r="Y577" s="34"/>
      <c r="Z577" s="34"/>
      <c r="AA577" s="34"/>
      <c r="AB577" s="34"/>
      <c r="AC577" s="34"/>
    </row>
    <row r="578" spans="1:29" ht="15.75" customHeight="1" x14ac:dyDescent="0.2">
      <c r="A578" s="34"/>
      <c r="B578" s="34"/>
      <c r="C578" s="33"/>
      <c r="D578" s="34"/>
      <c r="E578" s="34"/>
      <c r="F578" s="34"/>
      <c r="G578" s="34"/>
      <c r="H578" s="33"/>
      <c r="I578" s="33"/>
      <c r="J578" s="34"/>
      <c r="K578" s="34"/>
      <c r="L578" s="34"/>
      <c r="M578" s="34"/>
      <c r="N578" s="34"/>
      <c r="O578" s="34"/>
      <c r="P578" s="34"/>
      <c r="Q578" s="34"/>
      <c r="R578" s="34"/>
      <c r="S578" s="34"/>
      <c r="T578" s="34"/>
      <c r="U578" s="34"/>
      <c r="V578" s="34"/>
      <c r="W578" s="34"/>
      <c r="X578" s="34"/>
      <c r="Y578" s="34"/>
      <c r="Z578" s="34"/>
      <c r="AA578" s="34"/>
      <c r="AB578" s="34"/>
      <c r="AC578" s="34"/>
    </row>
    <row r="579" spans="1:29" ht="15.75" customHeight="1" x14ac:dyDescent="0.2">
      <c r="A579" s="34"/>
      <c r="B579" s="34"/>
      <c r="C579" s="33"/>
      <c r="D579" s="34"/>
      <c r="E579" s="34"/>
      <c r="F579" s="34"/>
      <c r="G579" s="34"/>
      <c r="H579" s="33"/>
      <c r="I579" s="33"/>
      <c r="J579" s="34"/>
      <c r="K579" s="34"/>
      <c r="L579" s="34"/>
      <c r="M579" s="34"/>
      <c r="N579" s="34"/>
      <c r="O579" s="34"/>
      <c r="P579" s="34"/>
      <c r="Q579" s="34"/>
      <c r="R579" s="34"/>
      <c r="S579" s="34"/>
      <c r="T579" s="34"/>
      <c r="U579" s="34"/>
      <c r="V579" s="34"/>
      <c r="W579" s="34"/>
      <c r="X579" s="34"/>
      <c r="Y579" s="34"/>
      <c r="Z579" s="34"/>
      <c r="AA579" s="34"/>
      <c r="AB579" s="34"/>
      <c r="AC579" s="34"/>
    </row>
    <row r="580" spans="1:29" ht="15.75" customHeight="1" x14ac:dyDescent="0.2">
      <c r="A580" s="34"/>
      <c r="B580" s="34"/>
      <c r="C580" s="33"/>
      <c r="D580" s="34"/>
      <c r="E580" s="34"/>
      <c r="F580" s="34"/>
      <c r="G580" s="34"/>
      <c r="H580" s="33"/>
      <c r="I580" s="33"/>
      <c r="J580" s="34"/>
      <c r="K580" s="34"/>
      <c r="L580" s="34"/>
      <c r="M580" s="34"/>
      <c r="N580" s="34"/>
      <c r="O580" s="34"/>
      <c r="P580" s="34"/>
      <c r="Q580" s="34"/>
      <c r="R580" s="34"/>
      <c r="S580" s="34"/>
      <c r="T580" s="34"/>
      <c r="U580" s="34"/>
      <c r="V580" s="34"/>
      <c r="W580" s="34"/>
      <c r="X580" s="34"/>
      <c r="Y580" s="34"/>
      <c r="Z580" s="34"/>
      <c r="AA580" s="34"/>
      <c r="AB580" s="34"/>
      <c r="AC580" s="34"/>
    </row>
    <row r="581" spans="1:29" ht="15.75" customHeight="1" x14ac:dyDescent="0.2">
      <c r="A581" s="34"/>
      <c r="B581" s="34"/>
      <c r="C581" s="33"/>
      <c r="D581" s="34"/>
      <c r="E581" s="34"/>
      <c r="F581" s="34"/>
      <c r="G581" s="34"/>
      <c r="H581" s="33"/>
      <c r="I581" s="33"/>
      <c r="J581" s="34"/>
      <c r="K581" s="34"/>
      <c r="L581" s="34"/>
      <c r="M581" s="34"/>
      <c r="N581" s="34"/>
      <c r="O581" s="34"/>
      <c r="P581" s="34"/>
      <c r="Q581" s="34"/>
      <c r="R581" s="34"/>
      <c r="S581" s="34"/>
      <c r="T581" s="34"/>
      <c r="U581" s="34"/>
      <c r="V581" s="34"/>
      <c r="W581" s="34"/>
      <c r="X581" s="34"/>
      <c r="Y581" s="34"/>
      <c r="Z581" s="34"/>
      <c r="AA581" s="34"/>
      <c r="AB581" s="34"/>
      <c r="AC581" s="34"/>
    </row>
    <row r="582" spans="1:29" ht="15.75" customHeight="1" x14ac:dyDescent="0.2">
      <c r="A582" s="34"/>
      <c r="B582" s="34"/>
      <c r="C582" s="33"/>
      <c r="D582" s="34"/>
      <c r="E582" s="34"/>
      <c r="F582" s="34"/>
      <c r="G582" s="34"/>
      <c r="H582" s="33"/>
      <c r="I582" s="33"/>
      <c r="J582" s="34"/>
      <c r="K582" s="34"/>
      <c r="L582" s="34"/>
      <c r="M582" s="34"/>
      <c r="N582" s="34"/>
      <c r="O582" s="34"/>
      <c r="P582" s="34"/>
      <c r="Q582" s="34"/>
      <c r="R582" s="34"/>
      <c r="S582" s="34"/>
      <c r="T582" s="34"/>
      <c r="U582" s="34"/>
      <c r="V582" s="34"/>
      <c r="W582" s="34"/>
      <c r="X582" s="34"/>
      <c r="Y582" s="34"/>
      <c r="Z582" s="34"/>
      <c r="AA582" s="34"/>
      <c r="AB582" s="34"/>
      <c r="AC582" s="34"/>
    </row>
    <row r="583" spans="1:29" ht="15.75" customHeight="1" x14ac:dyDescent="0.2">
      <c r="A583" s="34"/>
      <c r="B583" s="34"/>
      <c r="C583" s="33"/>
      <c r="D583" s="34"/>
      <c r="E583" s="34"/>
      <c r="F583" s="34"/>
      <c r="G583" s="34"/>
      <c r="H583" s="33"/>
      <c r="I583" s="33"/>
      <c r="J583" s="34"/>
      <c r="K583" s="34"/>
      <c r="L583" s="34"/>
      <c r="M583" s="34"/>
      <c r="N583" s="34"/>
      <c r="O583" s="34"/>
      <c r="P583" s="34"/>
      <c r="Q583" s="34"/>
      <c r="R583" s="34"/>
      <c r="S583" s="34"/>
      <c r="T583" s="34"/>
      <c r="U583" s="34"/>
      <c r="V583" s="34"/>
      <c r="W583" s="34"/>
      <c r="X583" s="34"/>
      <c r="Y583" s="34"/>
      <c r="Z583" s="34"/>
      <c r="AA583" s="34"/>
      <c r="AB583" s="34"/>
      <c r="AC583" s="34"/>
    </row>
    <row r="584" spans="1:29" ht="15.75" customHeight="1" x14ac:dyDescent="0.2">
      <c r="A584" s="34"/>
      <c r="B584" s="34"/>
      <c r="C584" s="33"/>
      <c r="D584" s="34"/>
      <c r="E584" s="34"/>
      <c r="F584" s="34"/>
      <c r="G584" s="34"/>
      <c r="H584" s="33"/>
      <c r="I584" s="33"/>
      <c r="J584" s="34"/>
      <c r="K584" s="34"/>
      <c r="L584" s="34"/>
      <c r="M584" s="34"/>
      <c r="N584" s="34"/>
      <c r="O584" s="34"/>
      <c r="P584" s="34"/>
      <c r="Q584" s="34"/>
      <c r="R584" s="34"/>
      <c r="S584" s="34"/>
      <c r="T584" s="34"/>
      <c r="U584" s="34"/>
      <c r="V584" s="34"/>
      <c r="W584" s="34"/>
      <c r="X584" s="34"/>
      <c r="Y584" s="34"/>
      <c r="Z584" s="34"/>
      <c r="AA584" s="34"/>
      <c r="AB584" s="34"/>
      <c r="AC584" s="34"/>
    </row>
    <row r="585" spans="1:29" ht="15.75" customHeight="1" x14ac:dyDescent="0.2">
      <c r="A585" s="34"/>
      <c r="B585" s="34"/>
      <c r="C585" s="33"/>
      <c r="D585" s="34"/>
      <c r="E585" s="34"/>
      <c r="F585" s="34"/>
      <c r="G585" s="34"/>
      <c r="H585" s="33"/>
      <c r="I585" s="33"/>
      <c r="J585" s="34"/>
      <c r="K585" s="34"/>
      <c r="L585" s="34"/>
      <c r="M585" s="34"/>
      <c r="N585" s="34"/>
      <c r="O585" s="34"/>
      <c r="P585" s="34"/>
      <c r="Q585" s="34"/>
      <c r="R585" s="34"/>
      <c r="S585" s="34"/>
      <c r="T585" s="34"/>
      <c r="U585" s="34"/>
      <c r="V585" s="34"/>
      <c r="W585" s="34"/>
      <c r="X585" s="34"/>
      <c r="Y585" s="34"/>
      <c r="Z585" s="34"/>
      <c r="AA585" s="34"/>
      <c r="AB585" s="34"/>
      <c r="AC585" s="34"/>
    </row>
    <row r="586" spans="1:29" ht="15.75" customHeight="1" x14ac:dyDescent="0.2">
      <c r="A586" s="34"/>
      <c r="B586" s="34"/>
      <c r="C586" s="33"/>
      <c r="D586" s="34"/>
      <c r="E586" s="34"/>
      <c r="F586" s="34"/>
      <c r="G586" s="34"/>
      <c r="H586" s="33"/>
      <c r="I586" s="33"/>
      <c r="J586" s="34"/>
      <c r="K586" s="34"/>
      <c r="L586" s="34"/>
      <c r="M586" s="34"/>
      <c r="N586" s="34"/>
      <c r="O586" s="34"/>
      <c r="P586" s="34"/>
      <c r="Q586" s="34"/>
      <c r="R586" s="34"/>
      <c r="S586" s="34"/>
      <c r="T586" s="34"/>
      <c r="U586" s="34"/>
      <c r="V586" s="34"/>
      <c r="W586" s="34"/>
      <c r="X586" s="34"/>
      <c r="Y586" s="34"/>
      <c r="Z586" s="34"/>
      <c r="AA586" s="34"/>
      <c r="AB586" s="34"/>
      <c r="AC586" s="34"/>
    </row>
    <row r="587" spans="1:29" ht="15.75" customHeight="1" x14ac:dyDescent="0.2">
      <c r="A587" s="34"/>
      <c r="B587" s="34"/>
      <c r="C587" s="33"/>
      <c r="D587" s="34"/>
      <c r="E587" s="34"/>
      <c r="F587" s="34"/>
      <c r="G587" s="34"/>
      <c r="H587" s="33"/>
      <c r="I587" s="33"/>
      <c r="J587" s="34"/>
      <c r="K587" s="34"/>
      <c r="L587" s="34"/>
      <c r="M587" s="34"/>
      <c r="N587" s="34"/>
      <c r="O587" s="34"/>
      <c r="P587" s="34"/>
      <c r="Q587" s="34"/>
      <c r="R587" s="34"/>
      <c r="S587" s="34"/>
      <c r="T587" s="34"/>
      <c r="U587" s="34"/>
      <c r="V587" s="34"/>
      <c r="W587" s="34"/>
      <c r="X587" s="34"/>
      <c r="Y587" s="34"/>
      <c r="Z587" s="34"/>
      <c r="AA587" s="34"/>
      <c r="AB587" s="34"/>
      <c r="AC587" s="34"/>
    </row>
    <row r="588" spans="1:29" ht="15.75" customHeight="1" x14ac:dyDescent="0.2">
      <c r="A588" s="34"/>
      <c r="B588" s="34"/>
      <c r="C588" s="33"/>
      <c r="D588" s="34"/>
      <c r="E588" s="34"/>
      <c r="F588" s="34"/>
      <c r="G588" s="34"/>
      <c r="H588" s="33"/>
      <c r="I588" s="33"/>
      <c r="J588" s="34"/>
      <c r="K588" s="34"/>
      <c r="L588" s="34"/>
      <c r="M588" s="34"/>
      <c r="N588" s="34"/>
      <c r="O588" s="34"/>
      <c r="P588" s="34"/>
      <c r="Q588" s="34"/>
      <c r="R588" s="34"/>
      <c r="S588" s="34"/>
      <c r="T588" s="34"/>
      <c r="U588" s="34"/>
      <c r="V588" s="34"/>
      <c r="W588" s="34"/>
      <c r="X588" s="34"/>
      <c r="Y588" s="34"/>
      <c r="Z588" s="34"/>
      <c r="AA588" s="34"/>
      <c r="AB588" s="34"/>
      <c r="AC588" s="34"/>
    </row>
    <row r="589" spans="1:29" ht="15.75" customHeight="1" x14ac:dyDescent="0.2">
      <c r="A589" s="34"/>
      <c r="B589" s="34"/>
      <c r="C589" s="33"/>
      <c r="D589" s="34"/>
      <c r="E589" s="34"/>
      <c r="F589" s="34"/>
      <c r="G589" s="34"/>
      <c r="H589" s="33"/>
      <c r="I589" s="33"/>
      <c r="J589" s="34"/>
      <c r="K589" s="34"/>
      <c r="L589" s="34"/>
      <c r="M589" s="34"/>
      <c r="N589" s="34"/>
      <c r="O589" s="34"/>
      <c r="P589" s="34"/>
      <c r="Q589" s="34"/>
      <c r="R589" s="34"/>
      <c r="S589" s="34"/>
      <c r="T589" s="34"/>
      <c r="U589" s="34"/>
      <c r="V589" s="34"/>
      <c r="W589" s="34"/>
      <c r="X589" s="34"/>
      <c r="Y589" s="34"/>
      <c r="Z589" s="34"/>
      <c r="AA589" s="34"/>
      <c r="AB589" s="34"/>
      <c r="AC589" s="34"/>
    </row>
    <row r="590" spans="1:29" ht="15.75" customHeight="1" x14ac:dyDescent="0.2">
      <c r="A590" s="34"/>
      <c r="B590" s="34"/>
      <c r="C590" s="33"/>
      <c r="D590" s="34"/>
      <c r="E590" s="34"/>
      <c r="F590" s="34"/>
      <c r="G590" s="34"/>
      <c r="H590" s="33"/>
      <c r="I590" s="33"/>
      <c r="J590" s="34"/>
      <c r="K590" s="34"/>
      <c r="L590" s="34"/>
      <c r="M590" s="34"/>
      <c r="N590" s="34"/>
      <c r="O590" s="34"/>
      <c r="P590" s="34"/>
      <c r="Q590" s="34"/>
      <c r="R590" s="34"/>
      <c r="S590" s="34"/>
      <c r="T590" s="34"/>
      <c r="U590" s="34"/>
      <c r="V590" s="34"/>
      <c r="W590" s="34"/>
      <c r="X590" s="34"/>
      <c r="Y590" s="34"/>
      <c r="Z590" s="34"/>
      <c r="AA590" s="34"/>
      <c r="AB590" s="34"/>
      <c r="AC590" s="34"/>
    </row>
    <row r="591" spans="1:29" ht="15.75" customHeight="1" x14ac:dyDescent="0.2">
      <c r="A591" s="34"/>
      <c r="B591" s="34"/>
      <c r="C591" s="33"/>
      <c r="D591" s="34"/>
      <c r="E591" s="34"/>
      <c r="F591" s="34"/>
      <c r="G591" s="34"/>
      <c r="H591" s="33"/>
      <c r="I591" s="33"/>
      <c r="J591" s="34"/>
      <c r="K591" s="34"/>
      <c r="L591" s="34"/>
      <c r="M591" s="34"/>
      <c r="N591" s="34"/>
      <c r="O591" s="34"/>
      <c r="P591" s="34"/>
      <c r="Q591" s="34"/>
      <c r="R591" s="34"/>
      <c r="S591" s="34"/>
      <c r="T591" s="34"/>
      <c r="U591" s="34"/>
      <c r="V591" s="34"/>
      <c r="W591" s="34"/>
      <c r="X591" s="34"/>
      <c r="Y591" s="34"/>
      <c r="Z591" s="34"/>
      <c r="AA591" s="34"/>
      <c r="AB591" s="34"/>
      <c r="AC591" s="34"/>
    </row>
    <row r="592" spans="1:29" ht="15.75" customHeight="1" x14ac:dyDescent="0.2">
      <c r="A592" s="34"/>
      <c r="B592" s="34"/>
      <c r="C592" s="33"/>
      <c r="D592" s="34"/>
      <c r="E592" s="34"/>
      <c r="F592" s="34"/>
      <c r="G592" s="34"/>
      <c r="H592" s="33"/>
      <c r="I592" s="33"/>
      <c r="J592" s="34"/>
      <c r="K592" s="34"/>
      <c r="L592" s="34"/>
      <c r="M592" s="34"/>
      <c r="N592" s="34"/>
      <c r="O592" s="34"/>
      <c r="P592" s="34"/>
      <c r="Q592" s="34"/>
      <c r="R592" s="34"/>
      <c r="S592" s="34"/>
      <c r="T592" s="34"/>
      <c r="U592" s="34"/>
      <c r="V592" s="34"/>
      <c r="W592" s="34"/>
      <c r="X592" s="34"/>
      <c r="Y592" s="34"/>
      <c r="Z592" s="34"/>
      <c r="AA592" s="34"/>
      <c r="AB592" s="34"/>
      <c r="AC592" s="34"/>
    </row>
    <row r="593" spans="1:29" ht="15.75" customHeight="1" x14ac:dyDescent="0.2">
      <c r="A593" s="34"/>
      <c r="B593" s="34"/>
      <c r="C593" s="33"/>
      <c r="D593" s="34"/>
      <c r="E593" s="34"/>
      <c r="F593" s="34"/>
      <c r="G593" s="34"/>
      <c r="H593" s="33"/>
      <c r="I593" s="33"/>
      <c r="J593" s="34"/>
      <c r="K593" s="34"/>
      <c r="L593" s="34"/>
      <c r="M593" s="34"/>
      <c r="N593" s="34"/>
      <c r="O593" s="34"/>
      <c r="P593" s="34"/>
      <c r="Q593" s="34"/>
      <c r="R593" s="34"/>
      <c r="S593" s="34"/>
      <c r="T593" s="34"/>
      <c r="U593" s="34"/>
      <c r="V593" s="34"/>
      <c r="W593" s="34"/>
      <c r="X593" s="34"/>
      <c r="Y593" s="34"/>
      <c r="Z593" s="34"/>
      <c r="AA593" s="34"/>
      <c r="AB593" s="34"/>
      <c r="AC593" s="34"/>
    </row>
    <row r="594" spans="1:29" ht="15.75" customHeight="1" x14ac:dyDescent="0.2">
      <c r="A594" s="34"/>
      <c r="B594" s="34"/>
      <c r="C594" s="33"/>
      <c r="D594" s="34"/>
      <c r="E594" s="34"/>
      <c r="F594" s="34"/>
      <c r="G594" s="34"/>
      <c r="H594" s="33"/>
      <c r="I594" s="33"/>
      <c r="J594" s="34"/>
      <c r="K594" s="34"/>
      <c r="L594" s="34"/>
      <c r="M594" s="34"/>
      <c r="N594" s="34"/>
      <c r="O594" s="34"/>
      <c r="P594" s="34"/>
      <c r="Q594" s="34"/>
      <c r="R594" s="34"/>
      <c r="S594" s="34"/>
      <c r="T594" s="34"/>
      <c r="U594" s="34"/>
      <c r="V594" s="34"/>
      <c r="W594" s="34"/>
      <c r="X594" s="34"/>
      <c r="Y594" s="34"/>
      <c r="Z594" s="34"/>
      <c r="AA594" s="34"/>
      <c r="AB594" s="34"/>
      <c r="AC594" s="34"/>
    </row>
    <row r="595" spans="1:29" ht="15.75" customHeight="1" x14ac:dyDescent="0.2">
      <c r="A595" s="34"/>
      <c r="B595" s="34"/>
      <c r="C595" s="33"/>
      <c r="D595" s="34"/>
      <c r="E595" s="34"/>
      <c r="F595" s="34"/>
      <c r="G595" s="34"/>
      <c r="H595" s="33"/>
      <c r="I595" s="33"/>
      <c r="J595" s="34"/>
      <c r="K595" s="34"/>
      <c r="L595" s="34"/>
      <c r="M595" s="34"/>
      <c r="N595" s="34"/>
      <c r="O595" s="34"/>
      <c r="P595" s="34"/>
      <c r="Q595" s="34"/>
      <c r="R595" s="34"/>
      <c r="S595" s="34"/>
      <c r="T595" s="34"/>
      <c r="U595" s="34"/>
      <c r="V595" s="34"/>
      <c r="W595" s="34"/>
      <c r="X595" s="34"/>
      <c r="Y595" s="34"/>
      <c r="Z595" s="34"/>
      <c r="AA595" s="34"/>
      <c r="AB595" s="34"/>
      <c r="AC595" s="34"/>
    </row>
    <row r="596" spans="1:29" ht="15.75" customHeight="1" x14ac:dyDescent="0.2">
      <c r="A596" s="34"/>
      <c r="B596" s="34"/>
      <c r="C596" s="33"/>
      <c r="D596" s="34"/>
      <c r="E596" s="34"/>
      <c r="F596" s="34"/>
      <c r="G596" s="34"/>
      <c r="H596" s="33"/>
      <c r="I596" s="33"/>
      <c r="J596" s="34"/>
      <c r="K596" s="34"/>
      <c r="L596" s="34"/>
      <c r="M596" s="34"/>
      <c r="N596" s="34"/>
      <c r="O596" s="34"/>
      <c r="P596" s="34"/>
      <c r="Q596" s="34"/>
      <c r="R596" s="34"/>
      <c r="S596" s="34"/>
      <c r="T596" s="34"/>
      <c r="U596" s="34"/>
      <c r="V596" s="34"/>
      <c r="W596" s="34"/>
      <c r="X596" s="34"/>
      <c r="Y596" s="34"/>
      <c r="Z596" s="34"/>
      <c r="AA596" s="34"/>
      <c r="AB596" s="34"/>
      <c r="AC596" s="34"/>
    </row>
    <row r="597" spans="1:29" ht="15.75" customHeight="1" x14ac:dyDescent="0.2">
      <c r="A597" s="34"/>
      <c r="B597" s="34"/>
      <c r="C597" s="33"/>
      <c r="D597" s="34"/>
      <c r="E597" s="34"/>
      <c r="F597" s="34"/>
      <c r="G597" s="34"/>
      <c r="H597" s="33"/>
      <c r="I597" s="33"/>
      <c r="J597" s="34"/>
      <c r="K597" s="34"/>
      <c r="L597" s="34"/>
      <c r="M597" s="34"/>
      <c r="N597" s="34"/>
      <c r="O597" s="34"/>
      <c r="P597" s="34"/>
      <c r="Q597" s="34"/>
      <c r="R597" s="34"/>
      <c r="S597" s="34"/>
      <c r="T597" s="34"/>
      <c r="U597" s="34"/>
      <c r="V597" s="34"/>
      <c r="W597" s="34"/>
      <c r="X597" s="34"/>
      <c r="Y597" s="34"/>
      <c r="Z597" s="34"/>
      <c r="AA597" s="34"/>
      <c r="AB597" s="34"/>
      <c r="AC597" s="34"/>
    </row>
    <row r="598" spans="1:29" ht="15.75" customHeight="1" x14ac:dyDescent="0.2">
      <c r="A598" s="34"/>
      <c r="B598" s="34"/>
      <c r="C598" s="33"/>
      <c r="D598" s="34"/>
      <c r="E598" s="34"/>
      <c r="F598" s="34"/>
      <c r="G598" s="34"/>
      <c r="H598" s="33"/>
      <c r="I598" s="33"/>
      <c r="J598" s="34"/>
      <c r="K598" s="34"/>
      <c r="L598" s="34"/>
      <c r="M598" s="34"/>
      <c r="N598" s="34"/>
      <c r="O598" s="34"/>
      <c r="P598" s="34"/>
      <c r="Q598" s="34"/>
      <c r="R598" s="34"/>
      <c r="S598" s="34"/>
      <c r="T598" s="34"/>
      <c r="U598" s="34"/>
      <c r="V598" s="34"/>
      <c r="W598" s="34"/>
      <c r="X598" s="34"/>
      <c r="Y598" s="34"/>
      <c r="Z598" s="34"/>
      <c r="AA598" s="34"/>
      <c r="AB598" s="34"/>
      <c r="AC598" s="34"/>
    </row>
    <row r="599" spans="1:29" ht="15.75" customHeight="1" x14ac:dyDescent="0.2">
      <c r="A599" s="34"/>
      <c r="B599" s="34"/>
      <c r="C599" s="33"/>
      <c r="D599" s="34"/>
      <c r="E599" s="34"/>
      <c r="F599" s="34"/>
      <c r="G599" s="34"/>
      <c r="H599" s="33"/>
      <c r="I599" s="33"/>
      <c r="J599" s="34"/>
      <c r="K599" s="34"/>
      <c r="L599" s="34"/>
      <c r="M599" s="34"/>
      <c r="N599" s="34"/>
      <c r="O599" s="34"/>
      <c r="P599" s="34"/>
      <c r="Q599" s="34"/>
      <c r="R599" s="34"/>
      <c r="S599" s="34"/>
      <c r="T599" s="34"/>
      <c r="U599" s="34"/>
      <c r="V599" s="34"/>
      <c r="W599" s="34"/>
      <c r="X599" s="34"/>
      <c r="Y599" s="34"/>
      <c r="Z599" s="34"/>
      <c r="AA599" s="34"/>
      <c r="AB599" s="34"/>
      <c r="AC599" s="34"/>
    </row>
    <row r="600" spans="1:29" ht="15.75" customHeight="1" x14ac:dyDescent="0.2">
      <c r="A600" s="34"/>
      <c r="B600" s="34"/>
      <c r="C600" s="33"/>
      <c r="D600" s="34"/>
      <c r="E600" s="34"/>
      <c r="F600" s="34"/>
      <c r="G600" s="34"/>
      <c r="H600" s="33"/>
      <c r="I600" s="33"/>
      <c r="J600" s="34"/>
      <c r="K600" s="34"/>
      <c r="L600" s="34"/>
      <c r="M600" s="34"/>
      <c r="N600" s="34"/>
      <c r="O600" s="34"/>
      <c r="P600" s="34"/>
      <c r="Q600" s="34"/>
      <c r="R600" s="34"/>
      <c r="S600" s="34"/>
      <c r="T600" s="34"/>
      <c r="U600" s="34"/>
      <c r="V600" s="34"/>
      <c r="W600" s="34"/>
      <c r="X600" s="34"/>
      <c r="Y600" s="34"/>
      <c r="Z600" s="34"/>
      <c r="AA600" s="34"/>
      <c r="AB600" s="34"/>
      <c r="AC600" s="34"/>
    </row>
    <row r="601" spans="1:29" ht="15.75" customHeight="1" x14ac:dyDescent="0.2">
      <c r="A601" s="34"/>
      <c r="B601" s="34"/>
      <c r="C601" s="33"/>
      <c r="D601" s="34"/>
      <c r="E601" s="34"/>
      <c r="F601" s="34"/>
      <c r="G601" s="34"/>
      <c r="H601" s="33"/>
      <c r="I601" s="33"/>
      <c r="J601" s="34"/>
      <c r="K601" s="34"/>
      <c r="L601" s="34"/>
      <c r="M601" s="34"/>
      <c r="N601" s="34"/>
      <c r="O601" s="34"/>
      <c r="P601" s="34"/>
      <c r="Q601" s="34"/>
      <c r="R601" s="34"/>
      <c r="S601" s="34"/>
      <c r="T601" s="34"/>
      <c r="U601" s="34"/>
      <c r="V601" s="34"/>
      <c r="W601" s="34"/>
      <c r="X601" s="34"/>
      <c r="Y601" s="34"/>
      <c r="Z601" s="34"/>
      <c r="AA601" s="34"/>
      <c r="AB601" s="34"/>
      <c r="AC601" s="34"/>
    </row>
    <row r="602" spans="1:29" ht="15.75" customHeight="1" x14ac:dyDescent="0.2">
      <c r="A602" s="34"/>
      <c r="B602" s="34"/>
      <c r="C602" s="33"/>
      <c r="D602" s="34"/>
      <c r="E602" s="34"/>
      <c r="F602" s="34"/>
      <c r="G602" s="34"/>
      <c r="H602" s="33"/>
      <c r="I602" s="33"/>
      <c r="J602" s="34"/>
      <c r="K602" s="34"/>
      <c r="L602" s="34"/>
      <c r="M602" s="34"/>
      <c r="N602" s="34"/>
      <c r="O602" s="34"/>
      <c r="P602" s="34"/>
      <c r="Q602" s="34"/>
      <c r="R602" s="34"/>
      <c r="S602" s="34"/>
      <c r="T602" s="34"/>
      <c r="U602" s="34"/>
      <c r="V602" s="34"/>
      <c r="W602" s="34"/>
      <c r="X602" s="34"/>
      <c r="Y602" s="34"/>
      <c r="Z602" s="34"/>
      <c r="AA602" s="34"/>
      <c r="AB602" s="34"/>
      <c r="AC602" s="34"/>
    </row>
    <row r="603" spans="1:29" ht="15.75" customHeight="1" x14ac:dyDescent="0.2">
      <c r="A603" s="34"/>
      <c r="B603" s="34"/>
      <c r="C603" s="33"/>
      <c r="D603" s="34"/>
      <c r="E603" s="34"/>
      <c r="F603" s="34"/>
      <c r="G603" s="34"/>
      <c r="H603" s="33"/>
      <c r="I603" s="33"/>
      <c r="J603" s="34"/>
      <c r="K603" s="34"/>
      <c r="L603" s="34"/>
      <c r="M603" s="34"/>
      <c r="N603" s="34"/>
      <c r="O603" s="34"/>
      <c r="P603" s="34"/>
      <c r="Q603" s="34"/>
      <c r="R603" s="34"/>
      <c r="S603" s="34"/>
      <c r="T603" s="34"/>
      <c r="U603" s="34"/>
      <c r="V603" s="34"/>
      <c r="W603" s="34"/>
      <c r="X603" s="34"/>
      <c r="Y603" s="34"/>
      <c r="Z603" s="34"/>
      <c r="AA603" s="34"/>
      <c r="AB603" s="34"/>
      <c r="AC603" s="34"/>
    </row>
    <row r="604" spans="1:29" ht="15.75" customHeight="1" x14ac:dyDescent="0.2">
      <c r="A604" s="34"/>
      <c r="B604" s="34"/>
      <c r="C604" s="33"/>
      <c r="D604" s="34"/>
      <c r="E604" s="34"/>
      <c r="F604" s="34"/>
      <c r="G604" s="34"/>
      <c r="H604" s="33"/>
      <c r="I604" s="33"/>
      <c r="J604" s="34"/>
      <c r="K604" s="34"/>
      <c r="L604" s="34"/>
      <c r="M604" s="34"/>
      <c r="N604" s="34"/>
      <c r="O604" s="34"/>
      <c r="P604" s="34"/>
      <c r="Q604" s="34"/>
      <c r="R604" s="34"/>
      <c r="S604" s="34"/>
      <c r="T604" s="34"/>
      <c r="U604" s="34"/>
      <c r="V604" s="34"/>
      <c r="W604" s="34"/>
      <c r="X604" s="34"/>
      <c r="Y604" s="34"/>
      <c r="Z604" s="34"/>
      <c r="AA604" s="34"/>
      <c r="AB604" s="34"/>
      <c r="AC604" s="34"/>
    </row>
    <row r="605" spans="1:29" ht="15.75" customHeight="1" x14ac:dyDescent="0.2">
      <c r="A605" s="34"/>
      <c r="B605" s="34"/>
      <c r="C605" s="33"/>
      <c r="D605" s="34"/>
      <c r="E605" s="34"/>
      <c r="F605" s="34"/>
      <c r="G605" s="34"/>
      <c r="H605" s="33"/>
      <c r="I605" s="33"/>
      <c r="J605" s="34"/>
      <c r="K605" s="34"/>
      <c r="L605" s="34"/>
      <c r="M605" s="34"/>
      <c r="N605" s="34"/>
      <c r="O605" s="34"/>
      <c r="P605" s="34"/>
      <c r="Q605" s="34"/>
      <c r="R605" s="34"/>
      <c r="S605" s="34"/>
      <c r="T605" s="34"/>
      <c r="U605" s="34"/>
      <c r="V605" s="34"/>
      <c r="W605" s="34"/>
      <c r="X605" s="34"/>
      <c r="Y605" s="34"/>
      <c r="Z605" s="34"/>
      <c r="AA605" s="34"/>
      <c r="AB605" s="34"/>
      <c r="AC605" s="34"/>
    </row>
    <row r="606" spans="1:29" ht="15.75" customHeight="1" x14ac:dyDescent="0.2">
      <c r="A606" s="34"/>
      <c r="B606" s="34"/>
      <c r="C606" s="33"/>
      <c r="D606" s="34"/>
      <c r="E606" s="34"/>
      <c r="F606" s="34"/>
      <c r="G606" s="34"/>
      <c r="H606" s="33"/>
      <c r="I606" s="33"/>
      <c r="J606" s="34"/>
      <c r="K606" s="34"/>
      <c r="L606" s="34"/>
      <c r="M606" s="34"/>
      <c r="N606" s="34"/>
      <c r="O606" s="34"/>
      <c r="P606" s="34"/>
      <c r="Q606" s="34"/>
      <c r="R606" s="34"/>
      <c r="S606" s="34"/>
      <c r="T606" s="34"/>
      <c r="U606" s="34"/>
      <c r="V606" s="34"/>
      <c r="W606" s="34"/>
      <c r="X606" s="34"/>
      <c r="Y606" s="34"/>
      <c r="Z606" s="34"/>
      <c r="AA606" s="34"/>
      <c r="AB606" s="34"/>
      <c r="AC606" s="34"/>
    </row>
    <row r="607" spans="1:29" ht="15.75" customHeight="1" x14ac:dyDescent="0.2">
      <c r="A607" s="34"/>
      <c r="B607" s="34"/>
      <c r="C607" s="33"/>
      <c r="D607" s="34"/>
      <c r="E607" s="34"/>
      <c r="F607" s="34"/>
      <c r="G607" s="34"/>
      <c r="H607" s="33"/>
      <c r="I607" s="33"/>
      <c r="J607" s="34"/>
      <c r="K607" s="34"/>
      <c r="L607" s="34"/>
      <c r="M607" s="34"/>
      <c r="N607" s="34"/>
      <c r="O607" s="34"/>
      <c r="P607" s="34"/>
      <c r="Q607" s="34"/>
      <c r="R607" s="34"/>
      <c r="S607" s="34"/>
      <c r="T607" s="34"/>
      <c r="U607" s="34"/>
      <c r="V607" s="34"/>
      <c r="W607" s="34"/>
      <c r="X607" s="34"/>
      <c r="Y607" s="34"/>
      <c r="Z607" s="34"/>
      <c r="AA607" s="34"/>
      <c r="AB607" s="34"/>
      <c r="AC607" s="34"/>
    </row>
    <row r="608" spans="1:29" ht="15.75" customHeight="1" x14ac:dyDescent="0.2">
      <c r="A608" s="34"/>
      <c r="B608" s="34"/>
      <c r="C608" s="33"/>
      <c r="D608" s="34"/>
      <c r="E608" s="34"/>
      <c r="F608" s="34"/>
      <c r="G608" s="34"/>
      <c r="H608" s="33"/>
      <c r="I608" s="33"/>
      <c r="J608" s="34"/>
      <c r="K608" s="34"/>
      <c r="L608" s="34"/>
      <c r="M608" s="34"/>
      <c r="N608" s="34"/>
      <c r="O608" s="34"/>
      <c r="P608" s="34"/>
      <c r="Q608" s="34"/>
      <c r="R608" s="34"/>
      <c r="S608" s="34"/>
      <c r="T608" s="34"/>
      <c r="U608" s="34"/>
      <c r="V608" s="34"/>
      <c r="W608" s="34"/>
      <c r="X608" s="34"/>
      <c r="Y608" s="34"/>
      <c r="Z608" s="34"/>
      <c r="AA608" s="34"/>
      <c r="AB608" s="34"/>
      <c r="AC608" s="34"/>
    </row>
    <row r="609" spans="1:29" ht="15.75" customHeight="1" x14ac:dyDescent="0.2">
      <c r="A609" s="34"/>
      <c r="B609" s="34"/>
      <c r="C609" s="33"/>
      <c r="D609" s="34"/>
      <c r="E609" s="34"/>
      <c r="F609" s="34"/>
      <c r="G609" s="34"/>
      <c r="H609" s="33"/>
      <c r="I609" s="33"/>
      <c r="J609" s="34"/>
      <c r="K609" s="34"/>
      <c r="L609" s="34"/>
      <c r="M609" s="34"/>
      <c r="N609" s="34"/>
      <c r="O609" s="34"/>
      <c r="P609" s="34"/>
      <c r="Q609" s="34"/>
      <c r="R609" s="34"/>
      <c r="S609" s="34"/>
      <c r="T609" s="34"/>
      <c r="U609" s="34"/>
      <c r="V609" s="34"/>
      <c r="W609" s="34"/>
      <c r="X609" s="34"/>
      <c r="Y609" s="34"/>
      <c r="Z609" s="34"/>
      <c r="AA609" s="34"/>
      <c r="AB609" s="34"/>
      <c r="AC609" s="34"/>
    </row>
    <row r="610" spans="1:29" ht="15.75" customHeight="1" x14ac:dyDescent="0.2">
      <c r="A610" s="34"/>
      <c r="B610" s="34"/>
      <c r="C610" s="33"/>
      <c r="D610" s="34"/>
      <c r="E610" s="34"/>
      <c r="F610" s="34"/>
      <c r="G610" s="34"/>
      <c r="H610" s="33"/>
      <c r="I610" s="33"/>
      <c r="J610" s="34"/>
      <c r="K610" s="34"/>
      <c r="L610" s="34"/>
      <c r="M610" s="34"/>
      <c r="N610" s="34"/>
      <c r="O610" s="34"/>
      <c r="P610" s="34"/>
      <c r="Q610" s="34"/>
      <c r="R610" s="34"/>
      <c r="S610" s="34"/>
      <c r="T610" s="34"/>
      <c r="U610" s="34"/>
      <c r="V610" s="34"/>
      <c r="W610" s="34"/>
      <c r="X610" s="34"/>
      <c r="Y610" s="34"/>
      <c r="Z610" s="34"/>
      <c r="AA610" s="34"/>
      <c r="AB610" s="34"/>
      <c r="AC610" s="34"/>
    </row>
    <row r="611" spans="1:29" ht="15.75" customHeight="1" x14ac:dyDescent="0.2">
      <c r="A611" s="34"/>
      <c r="B611" s="34"/>
      <c r="C611" s="33"/>
      <c r="D611" s="34"/>
      <c r="E611" s="34"/>
      <c r="F611" s="34"/>
      <c r="G611" s="34"/>
      <c r="H611" s="33"/>
      <c r="I611" s="33"/>
      <c r="J611" s="34"/>
      <c r="K611" s="34"/>
      <c r="L611" s="34"/>
      <c r="M611" s="34"/>
      <c r="N611" s="34"/>
      <c r="O611" s="34"/>
      <c r="P611" s="34"/>
      <c r="Q611" s="34"/>
      <c r="R611" s="34"/>
      <c r="S611" s="34"/>
      <c r="T611" s="34"/>
      <c r="U611" s="34"/>
      <c r="V611" s="34"/>
      <c r="W611" s="34"/>
      <c r="X611" s="34"/>
      <c r="Y611" s="34"/>
      <c r="Z611" s="34"/>
      <c r="AA611" s="34"/>
      <c r="AB611" s="34"/>
      <c r="AC611" s="34"/>
    </row>
    <row r="612" spans="1:29" ht="15.75" customHeight="1" x14ac:dyDescent="0.2">
      <c r="A612" s="34"/>
      <c r="B612" s="34"/>
      <c r="C612" s="33"/>
      <c r="D612" s="34"/>
      <c r="E612" s="34"/>
      <c r="F612" s="34"/>
      <c r="G612" s="34"/>
      <c r="H612" s="33"/>
      <c r="I612" s="33"/>
      <c r="J612" s="34"/>
      <c r="K612" s="34"/>
      <c r="L612" s="34"/>
      <c r="M612" s="34"/>
      <c r="N612" s="34"/>
      <c r="O612" s="34"/>
      <c r="P612" s="34"/>
      <c r="Q612" s="34"/>
      <c r="R612" s="34"/>
      <c r="S612" s="34"/>
      <c r="T612" s="34"/>
      <c r="U612" s="34"/>
      <c r="V612" s="34"/>
      <c r="W612" s="34"/>
      <c r="X612" s="34"/>
      <c r="Y612" s="34"/>
      <c r="Z612" s="34"/>
      <c r="AA612" s="34"/>
      <c r="AB612" s="34"/>
      <c r="AC612" s="34"/>
    </row>
    <row r="613" spans="1:29" ht="15.75" customHeight="1" x14ac:dyDescent="0.2">
      <c r="A613" s="34"/>
      <c r="B613" s="34"/>
      <c r="C613" s="33"/>
      <c r="D613" s="34"/>
      <c r="E613" s="34"/>
      <c r="F613" s="34"/>
      <c r="G613" s="34"/>
      <c r="H613" s="33"/>
      <c r="I613" s="33"/>
      <c r="J613" s="34"/>
      <c r="K613" s="34"/>
      <c r="L613" s="34"/>
      <c r="M613" s="34"/>
      <c r="N613" s="34"/>
      <c r="O613" s="34"/>
      <c r="P613" s="34"/>
      <c r="Q613" s="34"/>
      <c r="R613" s="34"/>
      <c r="S613" s="34"/>
      <c r="T613" s="34"/>
      <c r="U613" s="34"/>
      <c r="V613" s="34"/>
      <c r="W613" s="34"/>
      <c r="X613" s="34"/>
      <c r="Y613" s="34"/>
      <c r="Z613" s="34"/>
      <c r="AA613" s="34"/>
      <c r="AB613" s="34"/>
      <c r="AC613" s="34"/>
    </row>
    <row r="614" spans="1:29" ht="15.75" customHeight="1" x14ac:dyDescent="0.2">
      <c r="A614" s="34"/>
      <c r="B614" s="34"/>
      <c r="C614" s="33"/>
      <c r="D614" s="34"/>
      <c r="E614" s="34"/>
      <c r="F614" s="34"/>
      <c r="G614" s="34"/>
      <c r="H614" s="33"/>
      <c r="I614" s="33"/>
      <c r="J614" s="34"/>
      <c r="K614" s="34"/>
      <c r="L614" s="34"/>
      <c r="M614" s="34"/>
      <c r="N614" s="34"/>
      <c r="O614" s="34"/>
      <c r="P614" s="34"/>
      <c r="Q614" s="34"/>
      <c r="R614" s="34"/>
      <c r="S614" s="34"/>
      <c r="T614" s="34"/>
      <c r="U614" s="34"/>
      <c r="V614" s="34"/>
      <c r="W614" s="34"/>
      <c r="X614" s="34"/>
      <c r="Y614" s="34"/>
      <c r="Z614" s="34"/>
      <c r="AA614" s="34"/>
      <c r="AB614" s="34"/>
      <c r="AC614" s="34"/>
    </row>
    <row r="615" spans="1:29" ht="15.75" customHeight="1" x14ac:dyDescent="0.2">
      <c r="A615" s="34"/>
      <c r="B615" s="34"/>
      <c r="C615" s="33"/>
      <c r="D615" s="34"/>
      <c r="E615" s="34"/>
      <c r="F615" s="34"/>
      <c r="G615" s="34"/>
      <c r="H615" s="33"/>
      <c r="I615" s="33"/>
      <c r="J615" s="34"/>
      <c r="K615" s="34"/>
      <c r="L615" s="34"/>
      <c r="M615" s="34"/>
      <c r="N615" s="34"/>
      <c r="O615" s="34"/>
      <c r="P615" s="34"/>
      <c r="Q615" s="34"/>
      <c r="R615" s="34"/>
      <c r="S615" s="34"/>
      <c r="T615" s="34"/>
      <c r="U615" s="34"/>
      <c r="V615" s="34"/>
      <c r="W615" s="34"/>
      <c r="X615" s="34"/>
      <c r="Y615" s="34"/>
      <c r="Z615" s="34"/>
      <c r="AA615" s="34"/>
      <c r="AB615" s="34"/>
      <c r="AC615" s="34"/>
    </row>
    <row r="616" spans="1:29" ht="15.75" customHeight="1" x14ac:dyDescent="0.2">
      <c r="A616" s="34"/>
      <c r="B616" s="34"/>
      <c r="C616" s="33"/>
      <c r="D616" s="34"/>
      <c r="E616" s="34"/>
      <c r="F616" s="34"/>
      <c r="G616" s="34"/>
      <c r="H616" s="33"/>
      <c r="I616" s="33"/>
      <c r="J616" s="34"/>
      <c r="K616" s="34"/>
      <c r="L616" s="34"/>
      <c r="M616" s="34"/>
      <c r="N616" s="34"/>
      <c r="O616" s="34"/>
      <c r="P616" s="34"/>
      <c r="Q616" s="34"/>
      <c r="R616" s="34"/>
      <c r="S616" s="34"/>
      <c r="T616" s="34"/>
      <c r="U616" s="34"/>
      <c r="V616" s="34"/>
      <c r="W616" s="34"/>
      <c r="X616" s="34"/>
      <c r="Y616" s="34"/>
      <c r="Z616" s="34"/>
      <c r="AA616" s="34"/>
      <c r="AB616" s="34"/>
      <c r="AC616" s="34"/>
    </row>
    <row r="617" spans="1:29" ht="15.75" customHeight="1" x14ac:dyDescent="0.2">
      <c r="A617" s="34"/>
      <c r="B617" s="34"/>
      <c r="C617" s="33"/>
      <c r="D617" s="34"/>
      <c r="E617" s="34"/>
      <c r="F617" s="34"/>
      <c r="G617" s="34"/>
      <c r="H617" s="33"/>
      <c r="I617" s="33"/>
      <c r="J617" s="34"/>
      <c r="K617" s="34"/>
      <c r="L617" s="34"/>
      <c r="M617" s="34"/>
      <c r="N617" s="34"/>
      <c r="O617" s="34"/>
      <c r="P617" s="34"/>
      <c r="Q617" s="34"/>
      <c r="R617" s="34"/>
      <c r="S617" s="34"/>
      <c r="T617" s="34"/>
      <c r="U617" s="34"/>
      <c r="V617" s="34"/>
      <c r="W617" s="34"/>
      <c r="X617" s="34"/>
      <c r="Y617" s="34"/>
      <c r="Z617" s="34"/>
      <c r="AA617" s="34"/>
      <c r="AB617" s="34"/>
      <c r="AC617" s="34"/>
    </row>
    <row r="618" spans="1:29" ht="15.75" customHeight="1" x14ac:dyDescent="0.2">
      <c r="A618" s="34"/>
      <c r="B618" s="34"/>
      <c r="C618" s="33"/>
      <c r="D618" s="34"/>
      <c r="E618" s="34"/>
      <c r="F618" s="34"/>
      <c r="G618" s="34"/>
      <c r="H618" s="33"/>
      <c r="I618" s="33"/>
      <c r="J618" s="34"/>
      <c r="K618" s="34"/>
      <c r="L618" s="34"/>
      <c r="M618" s="34"/>
      <c r="N618" s="34"/>
      <c r="O618" s="34"/>
      <c r="P618" s="34"/>
      <c r="Q618" s="34"/>
      <c r="R618" s="34"/>
      <c r="S618" s="34"/>
      <c r="T618" s="34"/>
      <c r="U618" s="34"/>
      <c r="V618" s="34"/>
      <c r="W618" s="34"/>
      <c r="X618" s="34"/>
      <c r="Y618" s="34"/>
      <c r="Z618" s="34"/>
      <c r="AA618" s="34"/>
      <c r="AB618" s="34"/>
      <c r="AC618" s="34"/>
    </row>
    <row r="619" spans="1:29" ht="15.75" customHeight="1" x14ac:dyDescent="0.2">
      <c r="A619" s="34"/>
      <c r="B619" s="34"/>
      <c r="C619" s="33"/>
      <c r="D619" s="34"/>
      <c r="E619" s="34"/>
      <c r="F619" s="34"/>
      <c r="G619" s="34"/>
      <c r="H619" s="33"/>
      <c r="I619" s="33"/>
      <c r="J619" s="34"/>
      <c r="K619" s="34"/>
      <c r="L619" s="34"/>
      <c r="M619" s="34"/>
      <c r="N619" s="34"/>
      <c r="O619" s="34"/>
      <c r="P619" s="34"/>
      <c r="Q619" s="34"/>
      <c r="R619" s="34"/>
      <c r="S619" s="34"/>
      <c r="T619" s="34"/>
      <c r="U619" s="34"/>
      <c r="V619" s="34"/>
      <c r="W619" s="34"/>
      <c r="X619" s="34"/>
      <c r="Y619" s="34"/>
      <c r="Z619" s="34"/>
      <c r="AA619" s="34"/>
      <c r="AB619" s="34"/>
      <c r="AC619" s="34"/>
    </row>
    <row r="620" spans="1:29" ht="15.75" customHeight="1" x14ac:dyDescent="0.2">
      <c r="A620" s="34"/>
      <c r="B620" s="34"/>
      <c r="C620" s="33"/>
      <c r="D620" s="34"/>
      <c r="E620" s="34"/>
      <c r="F620" s="34"/>
      <c r="G620" s="34"/>
      <c r="H620" s="33"/>
      <c r="I620" s="33"/>
      <c r="J620" s="34"/>
      <c r="K620" s="34"/>
      <c r="L620" s="34"/>
      <c r="M620" s="34"/>
      <c r="N620" s="34"/>
      <c r="O620" s="34"/>
      <c r="P620" s="34"/>
      <c r="Q620" s="34"/>
      <c r="R620" s="34"/>
      <c r="S620" s="34"/>
      <c r="T620" s="34"/>
      <c r="U620" s="34"/>
      <c r="V620" s="34"/>
      <c r="W620" s="34"/>
      <c r="X620" s="34"/>
      <c r="Y620" s="34"/>
      <c r="Z620" s="34"/>
      <c r="AA620" s="34"/>
      <c r="AB620" s="34"/>
      <c r="AC620" s="34"/>
    </row>
    <row r="621" spans="1:29" ht="15.75" customHeight="1" x14ac:dyDescent="0.2">
      <c r="A621" s="34"/>
      <c r="B621" s="34"/>
      <c r="C621" s="33"/>
      <c r="D621" s="34"/>
      <c r="E621" s="34"/>
      <c r="F621" s="34"/>
      <c r="G621" s="34"/>
      <c r="H621" s="33"/>
      <c r="I621" s="33"/>
      <c r="J621" s="34"/>
      <c r="K621" s="34"/>
      <c r="L621" s="34"/>
      <c r="M621" s="34"/>
      <c r="N621" s="34"/>
      <c r="O621" s="34"/>
      <c r="P621" s="34"/>
      <c r="Q621" s="34"/>
      <c r="R621" s="34"/>
      <c r="S621" s="34"/>
      <c r="T621" s="34"/>
      <c r="U621" s="34"/>
      <c r="V621" s="34"/>
      <c r="W621" s="34"/>
      <c r="X621" s="34"/>
      <c r="Y621" s="34"/>
      <c r="Z621" s="34"/>
      <c r="AA621" s="34"/>
      <c r="AB621" s="34"/>
      <c r="AC621" s="34"/>
    </row>
    <row r="622" spans="1:29" ht="15.75" customHeight="1" x14ac:dyDescent="0.2">
      <c r="A622" s="34"/>
      <c r="B622" s="34"/>
      <c r="C622" s="33"/>
      <c r="D622" s="34"/>
      <c r="E622" s="34"/>
      <c r="F622" s="34"/>
      <c r="G622" s="34"/>
      <c r="H622" s="33"/>
      <c r="I622" s="33"/>
      <c r="J622" s="34"/>
      <c r="K622" s="34"/>
      <c r="L622" s="34"/>
      <c r="M622" s="34"/>
      <c r="N622" s="34"/>
      <c r="O622" s="34"/>
      <c r="P622" s="34"/>
      <c r="Q622" s="34"/>
      <c r="R622" s="34"/>
      <c r="S622" s="34"/>
      <c r="T622" s="34"/>
      <c r="U622" s="34"/>
      <c r="V622" s="34"/>
      <c r="W622" s="34"/>
      <c r="X622" s="34"/>
      <c r="Y622" s="34"/>
      <c r="Z622" s="34"/>
      <c r="AA622" s="34"/>
      <c r="AB622" s="34"/>
      <c r="AC622" s="34"/>
    </row>
    <row r="623" spans="1:29" ht="15.75" customHeight="1" x14ac:dyDescent="0.2">
      <c r="A623" s="34"/>
      <c r="B623" s="34"/>
      <c r="C623" s="33"/>
      <c r="D623" s="34"/>
      <c r="E623" s="34"/>
      <c r="F623" s="34"/>
      <c r="G623" s="34"/>
      <c r="H623" s="33"/>
      <c r="I623" s="33"/>
      <c r="J623" s="34"/>
      <c r="K623" s="34"/>
      <c r="L623" s="34"/>
      <c r="M623" s="34"/>
      <c r="N623" s="34"/>
      <c r="O623" s="34"/>
      <c r="P623" s="34"/>
      <c r="Q623" s="34"/>
      <c r="R623" s="34"/>
      <c r="S623" s="34"/>
      <c r="T623" s="34"/>
      <c r="U623" s="34"/>
      <c r="V623" s="34"/>
      <c r="W623" s="34"/>
      <c r="X623" s="34"/>
      <c r="Y623" s="34"/>
      <c r="Z623" s="34"/>
      <c r="AA623" s="34"/>
      <c r="AB623" s="34"/>
      <c r="AC623" s="34"/>
    </row>
    <row r="624" spans="1:29" ht="15.75" customHeight="1" x14ac:dyDescent="0.2">
      <c r="A624" s="34"/>
      <c r="B624" s="34"/>
      <c r="C624" s="33"/>
      <c r="D624" s="34"/>
      <c r="E624" s="34"/>
      <c r="F624" s="34"/>
      <c r="G624" s="34"/>
      <c r="H624" s="33"/>
      <c r="I624" s="33"/>
      <c r="J624" s="34"/>
      <c r="K624" s="34"/>
      <c r="L624" s="34"/>
      <c r="M624" s="34"/>
      <c r="N624" s="34"/>
      <c r="O624" s="34"/>
      <c r="P624" s="34"/>
      <c r="Q624" s="34"/>
      <c r="R624" s="34"/>
      <c r="S624" s="34"/>
      <c r="T624" s="34"/>
      <c r="U624" s="34"/>
      <c r="V624" s="34"/>
      <c r="W624" s="34"/>
      <c r="X624" s="34"/>
      <c r="Y624" s="34"/>
      <c r="Z624" s="34"/>
      <c r="AA624" s="34"/>
      <c r="AB624" s="34"/>
      <c r="AC624" s="34"/>
    </row>
    <row r="625" spans="1:29" ht="15.75" customHeight="1" x14ac:dyDescent="0.2">
      <c r="A625" s="34"/>
      <c r="B625" s="34"/>
      <c r="C625" s="33"/>
      <c r="D625" s="34"/>
      <c r="E625" s="34"/>
      <c r="F625" s="34"/>
      <c r="G625" s="34"/>
      <c r="H625" s="33"/>
      <c r="I625" s="33"/>
      <c r="J625" s="34"/>
      <c r="K625" s="34"/>
      <c r="L625" s="34"/>
      <c r="M625" s="34"/>
      <c r="N625" s="34"/>
      <c r="O625" s="34"/>
      <c r="P625" s="34"/>
      <c r="Q625" s="34"/>
      <c r="R625" s="34"/>
      <c r="S625" s="34"/>
      <c r="T625" s="34"/>
      <c r="U625" s="34"/>
      <c r="V625" s="34"/>
      <c r="W625" s="34"/>
      <c r="X625" s="34"/>
      <c r="Y625" s="34"/>
      <c r="Z625" s="34"/>
      <c r="AA625" s="34"/>
      <c r="AB625" s="34"/>
      <c r="AC625" s="34"/>
    </row>
    <row r="626" spans="1:29" ht="15.75" customHeight="1" x14ac:dyDescent="0.2">
      <c r="A626" s="34"/>
      <c r="B626" s="34"/>
      <c r="C626" s="33"/>
      <c r="D626" s="34"/>
      <c r="E626" s="34"/>
      <c r="F626" s="34"/>
      <c r="G626" s="34"/>
      <c r="H626" s="33"/>
      <c r="I626" s="33"/>
      <c r="J626" s="34"/>
      <c r="K626" s="34"/>
      <c r="L626" s="34"/>
      <c r="M626" s="34"/>
      <c r="N626" s="34"/>
      <c r="O626" s="34"/>
      <c r="P626" s="34"/>
      <c r="Q626" s="34"/>
      <c r="R626" s="34"/>
      <c r="S626" s="34"/>
      <c r="T626" s="34"/>
      <c r="U626" s="34"/>
      <c r="V626" s="34"/>
      <c r="W626" s="34"/>
      <c r="X626" s="34"/>
      <c r="Y626" s="34"/>
      <c r="Z626" s="34"/>
      <c r="AA626" s="34"/>
      <c r="AB626" s="34"/>
      <c r="AC626" s="34"/>
    </row>
    <row r="627" spans="1:29" ht="15.75" customHeight="1" x14ac:dyDescent="0.2">
      <c r="A627" s="34"/>
      <c r="B627" s="34"/>
      <c r="C627" s="33"/>
      <c r="D627" s="34"/>
      <c r="E627" s="34"/>
      <c r="F627" s="34"/>
      <c r="G627" s="34"/>
      <c r="H627" s="33"/>
      <c r="I627" s="33"/>
      <c r="J627" s="34"/>
      <c r="K627" s="34"/>
      <c r="L627" s="34"/>
      <c r="M627" s="34"/>
      <c r="N627" s="34"/>
      <c r="O627" s="34"/>
      <c r="P627" s="34"/>
      <c r="Q627" s="34"/>
      <c r="R627" s="34"/>
      <c r="S627" s="34"/>
      <c r="T627" s="34"/>
      <c r="U627" s="34"/>
      <c r="V627" s="34"/>
      <c r="W627" s="34"/>
      <c r="X627" s="34"/>
      <c r="Y627" s="34"/>
      <c r="Z627" s="34"/>
      <c r="AA627" s="34"/>
      <c r="AB627" s="34"/>
      <c r="AC627" s="34"/>
    </row>
    <row r="628" spans="1:29" ht="15.75" customHeight="1" x14ac:dyDescent="0.2">
      <c r="A628" s="34"/>
      <c r="B628" s="34"/>
      <c r="C628" s="33"/>
      <c r="D628" s="34"/>
      <c r="E628" s="34"/>
      <c r="F628" s="34"/>
      <c r="G628" s="34"/>
      <c r="H628" s="33"/>
      <c r="I628" s="33"/>
      <c r="J628" s="34"/>
      <c r="K628" s="34"/>
      <c r="L628" s="34"/>
      <c r="M628" s="34"/>
      <c r="N628" s="34"/>
      <c r="O628" s="34"/>
      <c r="P628" s="34"/>
      <c r="Q628" s="34"/>
      <c r="R628" s="34"/>
      <c r="S628" s="34"/>
      <c r="T628" s="34"/>
      <c r="U628" s="34"/>
      <c r="V628" s="34"/>
      <c r="W628" s="34"/>
      <c r="X628" s="34"/>
      <c r="Y628" s="34"/>
      <c r="Z628" s="34"/>
      <c r="AA628" s="34"/>
      <c r="AB628" s="34"/>
      <c r="AC628" s="34"/>
    </row>
    <row r="629" spans="1:29" ht="15.75" customHeight="1" x14ac:dyDescent="0.2">
      <c r="A629" s="34"/>
      <c r="B629" s="34"/>
      <c r="C629" s="33"/>
      <c r="D629" s="34"/>
      <c r="E629" s="34"/>
      <c r="F629" s="34"/>
      <c r="G629" s="34"/>
      <c r="H629" s="33"/>
      <c r="I629" s="33"/>
      <c r="J629" s="34"/>
      <c r="K629" s="34"/>
      <c r="L629" s="34"/>
      <c r="M629" s="34"/>
      <c r="N629" s="34"/>
      <c r="O629" s="34"/>
      <c r="P629" s="34"/>
      <c r="Q629" s="34"/>
      <c r="R629" s="34"/>
      <c r="S629" s="34"/>
      <c r="T629" s="34"/>
      <c r="U629" s="34"/>
      <c r="V629" s="34"/>
      <c r="W629" s="34"/>
      <c r="X629" s="34"/>
      <c r="Y629" s="34"/>
      <c r="Z629" s="34"/>
      <c r="AA629" s="34"/>
      <c r="AB629" s="34"/>
      <c r="AC629" s="34"/>
    </row>
    <row r="630" spans="1:29" ht="15.75" customHeight="1" x14ac:dyDescent="0.2">
      <c r="A630" s="34"/>
      <c r="B630" s="34"/>
      <c r="C630" s="33"/>
      <c r="D630" s="34"/>
      <c r="E630" s="34"/>
      <c r="F630" s="34"/>
      <c r="G630" s="34"/>
      <c r="H630" s="33"/>
      <c r="I630" s="33"/>
      <c r="J630" s="34"/>
      <c r="K630" s="34"/>
      <c r="L630" s="34"/>
      <c r="M630" s="34"/>
      <c r="N630" s="34"/>
      <c r="O630" s="34"/>
      <c r="P630" s="34"/>
      <c r="Q630" s="34"/>
      <c r="R630" s="34"/>
      <c r="S630" s="34"/>
      <c r="T630" s="34"/>
      <c r="U630" s="34"/>
      <c r="V630" s="34"/>
      <c r="W630" s="34"/>
      <c r="X630" s="34"/>
      <c r="Y630" s="34"/>
      <c r="Z630" s="34"/>
      <c r="AA630" s="34"/>
      <c r="AB630" s="34"/>
      <c r="AC630" s="34"/>
    </row>
    <row r="631" spans="1:29" ht="15.75" customHeight="1" x14ac:dyDescent="0.2">
      <c r="A631" s="34"/>
      <c r="B631" s="34"/>
      <c r="C631" s="33"/>
      <c r="D631" s="34"/>
      <c r="E631" s="34"/>
      <c r="F631" s="34"/>
      <c r="G631" s="34"/>
      <c r="H631" s="33"/>
      <c r="I631" s="33"/>
      <c r="J631" s="34"/>
      <c r="K631" s="34"/>
      <c r="L631" s="34"/>
      <c r="M631" s="34"/>
      <c r="N631" s="34"/>
      <c r="O631" s="34"/>
      <c r="P631" s="34"/>
      <c r="Q631" s="34"/>
      <c r="R631" s="34"/>
      <c r="S631" s="34"/>
      <c r="T631" s="34"/>
      <c r="U631" s="34"/>
      <c r="V631" s="34"/>
      <c r="W631" s="34"/>
      <c r="X631" s="34"/>
      <c r="Y631" s="34"/>
      <c r="Z631" s="34"/>
      <c r="AA631" s="34"/>
      <c r="AB631" s="34"/>
      <c r="AC631" s="34"/>
    </row>
    <row r="632" spans="1:29" ht="15.75" customHeight="1" x14ac:dyDescent="0.2">
      <c r="A632" s="34"/>
      <c r="B632" s="34"/>
      <c r="C632" s="33"/>
      <c r="D632" s="34"/>
      <c r="E632" s="34"/>
      <c r="F632" s="34"/>
      <c r="G632" s="34"/>
      <c r="H632" s="33"/>
      <c r="I632" s="33"/>
      <c r="J632" s="34"/>
      <c r="K632" s="34"/>
      <c r="L632" s="34"/>
      <c r="M632" s="34"/>
      <c r="N632" s="34"/>
      <c r="O632" s="34"/>
      <c r="P632" s="34"/>
      <c r="Q632" s="34"/>
      <c r="R632" s="34"/>
      <c r="S632" s="34"/>
      <c r="T632" s="34"/>
      <c r="U632" s="34"/>
      <c r="V632" s="34"/>
      <c r="W632" s="34"/>
      <c r="X632" s="34"/>
      <c r="Y632" s="34"/>
      <c r="Z632" s="34"/>
      <c r="AA632" s="34"/>
      <c r="AB632" s="34"/>
      <c r="AC632" s="34"/>
    </row>
    <row r="633" spans="1:29" ht="15.75" customHeight="1" x14ac:dyDescent="0.2">
      <c r="A633" s="34"/>
      <c r="B633" s="34"/>
      <c r="C633" s="33"/>
      <c r="D633" s="34"/>
      <c r="E633" s="34"/>
      <c r="F633" s="34"/>
      <c r="G633" s="34"/>
      <c r="H633" s="33"/>
      <c r="I633" s="33"/>
      <c r="J633" s="34"/>
      <c r="K633" s="34"/>
      <c r="L633" s="34"/>
      <c r="M633" s="34"/>
      <c r="N633" s="34"/>
      <c r="O633" s="34"/>
      <c r="P633" s="34"/>
      <c r="Q633" s="34"/>
      <c r="R633" s="34"/>
      <c r="S633" s="34"/>
      <c r="T633" s="34"/>
      <c r="U633" s="34"/>
      <c r="V633" s="34"/>
      <c r="W633" s="34"/>
      <c r="X633" s="34"/>
      <c r="Y633" s="34"/>
      <c r="Z633" s="34"/>
      <c r="AA633" s="34"/>
      <c r="AB633" s="34"/>
      <c r="AC633" s="34"/>
    </row>
    <row r="634" spans="1:29" ht="15.75" customHeight="1" x14ac:dyDescent="0.2">
      <c r="A634" s="34"/>
      <c r="B634" s="34"/>
      <c r="C634" s="33"/>
      <c r="D634" s="34"/>
      <c r="E634" s="34"/>
      <c r="F634" s="34"/>
      <c r="G634" s="34"/>
      <c r="H634" s="33"/>
      <c r="I634" s="33"/>
      <c r="J634" s="34"/>
      <c r="K634" s="34"/>
      <c r="L634" s="34"/>
      <c r="M634" s="34"/>
      <c r="N634" s="34"/>
      <c r="O634" s="34"/>
      <c r="P634" s="34"/>
      <c r="Q634" s="34"/>
      <c r="R634" s="34"/>
      <c r="S634" s="34"/>
      <c r="T634" s="34"/>
      <c r="U634" s="34"/>
      <c r="V634" s="34"/>
      <c r="W634" s="34"/>
      <c r="X634" s="34"/>
      <c r="Y634" s="34"/>
      <c r="Z634" s="34"/>
      <c r="AA634" s="34"/>
      <c r="AB634" s="34"/>
      <c r="AC634" s="34"/>
    </row>
    <row r="635" spans="1:29" ht="15.75" customHeight="1" x14ac:dyDescent="0.2">
      <c r="A635" s="34"/>
      <c r="B635" s="34"/>
      <c r="C635" s="33"/>
      <c r="D635" s="34"/>
      <c r="E635" s="34"/>
      <c r="F635" s="34"/>
      <c r="G635" s="34"/>
      <c r="H635" s="33"/>
      <c r="I635" s="33"/>
      <c r="J635" s="34"/>
      <c r="K635" s="34"/>
      <c r="L635" s="34"/>
      <c r="M635" s="34"/>
      <c r="N635" s="34"/>
      <c r="O635" s="34"/>
      <c r="P635" s="34"/>
      <c r="Q635" s="34"/>
      <c r="R635" s="34"/>
      <c r="S635" s="34"/>
      <c r="T635" s="34"/>
      <c r="U635" s="34"/>
      <c r="V635" s="34"/>
      <c r="W635" s="34"/>
      <c r="X635" s="34"/>
      <c r="Y635" s="34"/>
      <c r="Z635" s="34"/>
      <c r="AA635" s="34"/>
      <c r="AB635" s="34"/>
      <c r="AC635" s="34"/>
    </row>
    <row r="636" spans="1:29" ht="15.75" customHeight="1" x14ac:dyDescent="0.2">
      <c r="A636" s="34"/>
      <c r="B636" s="34"/>
      <c r="C636" s="33"/>
      <c r="D636" s="34"/>
      <c r="E636" s="34"/>
      <c r="F636" s="34"/>
      <c r="G636" s="34"/>
      <c r="H636" s="33"/>
      <c r="I636" s="33"/>
      <c r="J636" s="34"/>
      <c r="K636" s="34"/>
      <c r="L636" s="34"/>
      <c r="M636" s="34"/>
      <c r="N636" s="34"/>
      <c r="O636" s="34"/>
      <c r="P636" s="34"/>
      <c r="Q636" s="34"/>
      <c r="R636" s="34"/>
      <c r="S636" s="34"/>
      <c r="T636" s="34"/>
      <c r="U636" s="34"/>
      <c r="V636" s="34"/>
      <c r="W636" s="34"/>
      <c r="X636" s="34"/>
      <c r="Y636" s="34"/>
      <c r="Z636" s="34"/>
      <c r="AA636" s="34"/>
      <c r="AB636" s="34"/>
      <c r="AC636" s="34"/>
    </row>
    <row r="637" spans="1:29" ht="15.75" customHeight="1" x14ac:dyDescent="0.2">
      <c r="A637" s="34"/>
      <c r="B637" s="34"/>
      <c r="C637" s="33"/>
      <c r="D637" s="34"/>
      <c r="E637" s="34"/>
      <c r="F637" s="34"/>
      <c r="G637" s="34"/>
      <c r="H637" s="33"/>
      <c r="I637" s="33"/>
      <c r="J637" s="34"/>
      <c r="K637" s="34"/>
      <c r="L637" s="34"/>
      <c r="M637" s="34"/>
      <c r="N637" s="34"/>
      <c r="O637" s="34"/>
      <c r="P637" s="34"/>
      <c r="Q637" s="34"/>
      <c r="R637" s="34"/>
      <c r="S637" s="34"/>
      <c r="T637" s="34"/>
      <c r="U637" s="34"/>
      <c r="V637" s="34"/>
      <c r="W637" s="34"/>
      <c r="X637" s="34"/>
      <c r="Y637" s="34"/>
      <c r="Z637" s="34"/>
      <c r="AA637" s="34"/>
      <c r="AB637" s="34"/>
      <c r="AC637" s="34"/>
    </row>
    <row r="638" spans="1:29" ht="15.75" customHeight="1" x14ac:dyDescent="0.2">
      <c r="A638" s="34"/>
      <c r="B638" s="34"/>
      <c r="C638" s="33"/>
      <c r="D638" s="34"/>
      <c r="E638" s="34"/>
      <c r="F638" s="34"/>
      <c r="G638" s="34"/>
      <c r="H638" s="33"/>
      <c r="I638" s="33"/>
      <c r="J638" s="34"/>
      <c r="K638" s="34"/>
      <c r="L638" s="34"/>
      <c r="M638" s="34"/>
      <c r="N638" s="34"/>
      <c r="O638" s="34"/>
      <c r="P638" s="34"/>
      <c r="Q638" s="34"/>
      <c r="R638" s="34"/>
      <c r="S638" s="34"/>
      <c r="T638" s="34"/>
      <c r="U638" s="34"/>
      <c r="V638" s="34"/>
      <c r="W638" s="34"/>
      <c r="X638" s="34"/>
      <c r="Y638" s="34"/>
      <c r="Z638" s="34"/>
      <c r="AA638" s="34"/>
      <c r="AB638" s="34"/>
      <c r="AC638" s="34"/>
    </row>
    <row r="639" spans="1:29" ht="15.75" customHeight="1" x14ac:dyDescent="0.2">
      <c r="A639" s="34"/>
      <c r="B639" s="34"/>
      <c r="C639" s="33"/>
      <c r="D639" s="34"/>
      <c r="E639" s="34"/>
      <c r="F639" s="34"/>
      <c r="G639" s="34"/>
      <c r="H639" s="33"/>
      <c r="I639" s="33"/>
      <c r="J639" s="34"/>
      <c r="K639" s="34"/>
      <c r="L639" s="34"/>
      <c r="M639" s="34"/>
      <c r="N639" s="34"/>
      <c r="O639" s="34"/>
      <c r="P639" s="34"/>
      <c r="Q639" s="34"/>
      <c r="R639" s="34"/>
      <c r="S639" s="34"/>
      <c r="T639" s="34"/>
      <c r="U639" s="34"/>
      <c r="V639" s="34"/>
      <c r="W639" s="34"/>
      <c r="X639" s="34"/>
      <c r="Y639" s="34"/>
      <c r="Z639" s="34"/>
      <c r="AA639" s="34"/>
      <c r="AB639" s="34"/>
      <c r="AC639" s="34"/>
    </row>
    <row r="640" spans="1:29" ht="15.75" customHeight="1" x14ac:dyDescent="0.2">
      <c r="A640" s="34"/>
      <c r="B640" s="34"/>
      <c r="C640" s="33"/>
      <c r="D640" s="34"/>
      <c r="E640" s="34"/>
      <c r="F640" s="34"/>
      <c r="G640" s="34"/>
      <c r="H640" s="33"/>
      <c r="I640" s="33"/>
      <c r="J640" s="34"/>
      <c r="K640" s="34"/>
      <c r="L640" s="34"/>
      <c r="M640" s="34"/>
      <c r="N640" s="34"/>
      <c r="O640" s="34"/>
      <c r="P640" s="34"/>
      <c r="Q640" s="34"/>
      <c r="R640" s="34"/>
      <c r="S640" s="34"/>
      <c r="T640" s="34"/>
      <c r="U640" s="34"/>
      <c r="V640" s="34"/>
      <c r="W640" s="34"/>
      <c r="X640" s="34"/>
      <c r="Y640" s="34"/>
      <c r="Z640" s="34"/>
      <c r="AA640" s="34"/>
      <c r="AB640" s="34"/>
      <c r="AC640" s="34"/>
    </row>
    <row r="641" spans="1:29" ht="15.75" customHeight="1" x14ac:dyDescent="0.2">
      <c r="A641" s="34"/>
      <c r="B641" s="34"/>
      <c r="C641" s="33"/>
      <c r="D641" s="34"/>
      <c r="E641" s="34"/>
      <c r="F641" s="34"/>
      <c r="G641" s="34"/>
      <c r="H641" s="33"/>
      <c r="I641" s="33"/>
      <c r="J641" s="34"/>
      <c r="K641" s="34"/>
      <c r="L641" s="34"/>
      <c r="M641" s="34"/>
      <c r="N641" s="34"/>
      <c r="O641" s="34"/>
      <c r="P641" s="34"/>
      <c r="Q641" s="34"/>
      <c r="R641" s="34"/>
      <c r="S641" s="34"/>
      <c r="T641" s="34"/>
      <c r="U641" s="34"/>
      <c r="V641" s="34"/>
      <c r="W641" s="34"/>
      <c r="X641" s="34"/>
      <c r="Y641" s="34"/>
      <c r="Z641" s="34"/>
      <c r="AA641" s="34"/>
      <c r="AB641" s="34"/>
      <c r="AC641" s="34"/>
    </row>
    <row r="642" spans="1:29" ht="15.75" customHeight="1" x14ac:dyDescent="0.2">
      <c r="A642" s="34"/>
      <c r="B642" s="34"/>
      <c r="C642" s="33"/>
      <c r="D642" s="34"/>
      <c r="E642" s="34"/>
      <c r="F642" s="34"/>
      <c r="G642" s="34"/>
      <c r="H642" s="33"/>
      <c r="I642" s="33"/>
      <c r="J642" s="34"/>
      <c r="K642" s="34"/>
      <c r="L642" s="34"/>
      <c r="M642" s="34"/>
      <c r="N642" s="34"/>
      <c r="O642" s="34"/>
      <c r="P642" s="34"/>
      <c r="Q642" s="34"/>
      <c r="R642" s="34"/>
      <c r="S642" s="34"/>
      <c r="T642" s="34"/>
      <c r="U642" s="34"/>
      <c r="V642" s="34"/>
      <c r="W642" s="34"/>
      <c r="X642" s="34"/>
      <c r="Y642" s="34"/>
      <c r="Z642" s="34"/>
      <c r="AA642" s="34"/>
      <c r="AB642" s="34"/>
      <c r="AC642" s="34"/>
    </row>
    <row r="643" spans="1:29" ht="15.75" customHeight="1" x14ac:dyDescent="0.2">
      <c r="A643" s="34"/>
      <c r="B643" s="34"/>
      <c r="C643" s="33"/>
      <c r="D643" s="34"/>
      <c r="E643" s="34"/>
      <c r="F643" s="34"/>
      <c r="G643" s="34"/>
      <c r="H643" s="33"/>
      <c r="I643" s="33"/>
      <c r="J643" s="34"/>
      <c r="K643" s="34"/>
      <c r="L643" s="34"/>
      <c r="M643" s="34"/>
      <c r="N643" s="34"/>
      <c r="O643" s="34"/>
      <c r="P643" s="34"/>
      <c r="Q643" s="34"/>
      <c r="R643" s="34"/>
      <c r="S643" s="34"/>
      <c r="T643" s="34"/>
      <c r="U643" s="34"/>
      <c r="V643" s="34"/>
      <c r="W643" s="34"/>
      <c r="X643" s="34"/>
      <c r="Y643" s="34"/>
      <c r="Z643" s="34"/>
      <c r="AA643" s="34"/>
      <c r="AB643" s="34"/>
      <c r="AC643" s="34"/>
    </row>
    <row r="644" spans="1:29" ht="15.75" customHeight="1" x14ac:dyDescent="0.2">
      <c r="A644" s="34"/>
      <c r="B644" s="34"/>
      <c r="C644" s="33"/>
      <c r="D644" s="34"/>
      <c r="E644" s="34"/>
      <c r="F644" s="34"/>
      <c r="G644" s="34"/>
      <c r="H644" s="33"/>
      <c r="I644" s="33"/>
      <c r="J644" s="34"/>
      <c r="K644" s="34"/>
      <c r="L644" s="34"/>
      <c r="M644" s="34"/>
      <c r="N644" s="34"/>
      <c r="O644" s="34"/>
      <c r="P644" s="34"/>
      <c r="Q644" s="34"/>
      <c r="R644" s="34"/>
      <c r="S644" s="34"/>
      <c r="T644" s="34"/>
      <c r="U644" s="34"/>
      <c r="V644" s="34"/>
      <c r="W644" s="34"/>
      <c r="X644" s="34"/>
      <c r="Y644" s="34"/>
      <c r="Z644" s="34"/>
      <c r="AA644" s="34"/>
      <c r="AB644" s="34"/>
      <c r="AC644" s="34"/>
    </row>
    <row r="645" spans="1:29" ht="15.75" customHeight="1" x14ac:dyDescent="0.2">
      <c r="A645" s="34"/>
      <c r="B645" s="34"/>
      <c r="C645" s="33"/>
      <c r="D645" s="34"/>
      <c r="E645" s="34"/>
      <c r="F645" s="34"/>
      <c r="G645" s="34"/>
      <c r="H645" s="33"/>
      <c r="I645" s="33"/>
      <c r="J645" s="34"/>
      <c r="K645" s="34"/>
      <c r="L645" s="34"/>
      <c r="M645" s="34"/>
      <c r="N645" s="34"/>
      <c r="O645" s="34"/>
      <c r="P645" s="34"/>
      <c r="Q645" s="34"/>
      <c r="R645" s="34"/>
      <c r="S645" s="34"/>
      <c r="T645" s="34"/>
      <c r="U645" s="34"/>
      <c r="V645" s="34"/>
      <c r="W645" s="34"/>
      <c r="X645" s="34"/>
      <c r="Y645" s="34"/>
      <c r="Z645" s="34"/>
      <c r="AA645" s="34"/>
      <c r="AB645" s="34"/>
      <c r="AC645" s="34"/>
    </row>
    <row r="646" spans="1:29" ht="15.75" customHeight="1" x14ac:dyDescent="0.2">
      <c r="A646" s="34"/>
      <c r="B646" s="34"/>
      <c r="C646" s="33"/>
      <c r="D646" s="34"/>
      <c r="E646" s="34"/>
      <c r="F646" s="34"/>
      <c r="G646" s="34"/>
      <c r="H646" s="33"/>
      <c r="I646" s="33"/>
      <c r="J646" s="34"/>
      <c r="K646" s="34"/>
      <c r="L646" s="34"/>
      <c r="M646" s="34"/>
      <c r="N646" s="34"/>
      <c r="O646" s="34"/>
      <c r="P646" s="34"/>
      <c r="Q646" s="34"/>
      <c r="R646" s="34"/>
      <c r="S646" s="34"/>
      <c r="T646" s="34"/>
      <c r="U646" s="34"/>
      <c r="V646" s="34"/>
      <c r="W646" s="34"/>
      <c r="X646" s="34"/>
      <c r="Y646" s="34"/>
      <c r="Z646" s="34"/>
      <c r="AA646" s="34"/>
      <c r="AB646" s="34"/>
      <c r="AC646" s="34"/>
    </row>
    <row r="647" spans="1:29" ht="15.75" customHeight="1" x14ac:dyDescent="0.2">
      <c r="A647" s="34"/>
      <c r="B647" s="34"/>
      <c r="C647" s="33"/>
      <c r="D647" s="34"/>
      <c r="E647" s="34"/>
      <c r="F647" s="34"/>
      <c r="G647" s="34"/>
      <c r="H647" s="33"/>
      <c r="I647" s="33"/>
      <c r="J647" s="34"/>
      <c r="K647" s="34"/>
      <c r="L647" s="34"/>
      <c r="M647" s="34"/>
      <c r="N647" s="34"/>
      <c r="O647" s="34"/>
      <c r="P647" s="34"/>
      <c r="Q647" s="34"/>
      <c r="R647" s="34"/>
      <c r="S647" s="34"/>
      <c r="T647" s="34"/>
      <c r="U647" s="34"/>
      <c r="V647" s="34"/>
      <c r="W647" s="34"/>
      <c r="X647" s="34"/>
      <c r="Y647" s="34"/>
      <c r="Z647" s="34"/>
      <c r="AA647" s="34"/>
      <c r="AB647" s="34"/>
      <c r="AC647" s="34"/>
    </row>
    <row r="648" spans="1:29" ht="15.75" customHeight="1" x14ac:dyDescent="0.2">
      <c r="A648" s="34"/>
      <c r="B648" s="34"/>
      <c r="C648" s="33"/>
      <c r="D648" s="34"/>
      <c r="E648" s="34"/>
      <c r="F648" s="34"/>
      <c r="G648" s="34"/>
      <c r="H648" s="33"/>
      <c r="I648" s="33"/>
      <c r="J648" s="34"/>
      <c r="K648" s="34"/>
      <c r="L648" s="34"/>
      <c r="M648" s="34"/>
      <c r="N648" s="34"/>
      <c r="O648" s="34"/>
      <c r="P648" s="34"/>
      <c r="Q648" s="34"/>
      <c r="R648" s="34"/>
      <c r="S648" s="34"/>
      <c r="T648" s="34"/>
      <c r="U648" s="34"/>
      <c r="V648" s="34"/>
      <c r="W648" s="34"/>
      <c r="X648" s="34"/>
      <c r="Y648" s="34"/>
      <c r="Z648" s="34"/>
      <c r="AA648" s="34"/>
      <c r="AB648" s="34"/>
      <c r="AC648" s="34"/>
    </row>
    <row r="649" spans="1:29" ht="15.75" customHeight="1" x14ac:dyDescent="0.2">
      <c r="A649" s="34"/>
      <c r="B649" s="34"/>
      <c r="C649" s="33"/>
      <c r="D649" s="34"/>
      <c r="E649" s="34"/>
      <c r="F649" s="34"/>
      <c r="G649" s="34"/>
      <c r="H649" s="33"/>
      <c r="I649" s="33"/>
      <c r="J649" s="34"/>
      <c r="K649" s="34"/>
      <c r="L649" s="34"/>
      <c r="M649" s="34"/>
      <c r="N649" s="34"/>
      <c r="O649" s="34"/>
      <c r="P649" s="34"/>
      <c r="Q649" s="34"/>
      <c r="R649" s="34"/>
      <c r="S649" s="34"/>
      <c r="T649" s="34"/>
      <c r="U649" s="34"/>
      <c r="V649" s="34"/>
      <c r="W649" s="34"/>
      <c r="X649" s="34"/>
      <c r="Y649" s="34"/>
      <c r="Z649" s="34"/>
      <c r="AA649" s="34"/>
      <c r="AB649" s="34"/>
      <c r="AC649" s="34"/>
    </row>
    <row r="650" spans="1:29" ht="15.75" customHeight="1" x14ac:dyDescent="0.2">
      <c r="A650" s="34"/>
      <c r="B650" s="34"/>
      <c r="C650" s="33"/>
      <c r="D650" s="34"/>
      <c r="E650" s="34"/>
      <c r="F650" s="34"/>
      <c r="G650" s="34"/>
      <c r="H650" s="33"/>
      <c r="I650" s="33"/>
      <c r="J650" s="34"/>
      <c r="K650" s="34"/>
      <c r="L650" s="34"/>
      <c r="M650" s="34"/>
      <c r="N650" s="34"/>
      <c r="O650" s="34"/>
      <c r="P650" s="34"/>
      <c r="Q650" s="34"/>
      <c r="R650" s="34"/>
      <c r="S650" s="34"/>
      <c r="T650" s="34"/>
      <c r="U650" s="34"/>
      <c r="V650" s="34"/>
      <c r="W650" s="34"/>
      <c r="X650" s="34"/>
      <c r="Y650" s="34"/>
      <c r="Z650" s="34"/>
      <c r="AA650" s="34"/>
      <c r="AB650" s="34"/>
      <c r="AC650" s="34"/>
    </row>
    <row r="651" spans="1:29" ht="15.75" customHeight="1" x14ac:dyDescent="0.2">
      <c r="A651" s="34"/>
      <c r="B651" s="34"/>
      <c r="C651" s="33"/>
      <c r="D651" s="34"/>
      <c r="E651" s="34"/>
      <c r="F651" s="34"/>
      <c r="G651" s="34"/>
      <c r="H651" s="33"/>
      <c r="I651" s="33"/>
      <c r="J651" s="34"/>
      <c r="K651" s="34"/>
      <c r="L651" s="34"/>
      <c r="M651" s="34"/>
      <c r="N651" s="34"/>
      <c r="O651" s="34"/>
      <c r="P651" s="34"/>
      <c r="Q651" s="34"/>
      <c r="R651" s="34"/>
      <c r="S651" s="34"/>
      <c r="T651" s="34"/>
      <c r="U651" s="34"/>
      <c r="V651" s="34"/>
      <c r="W651" s="34"/>
      <c r="X651" s="34"/>
      <c r="Y651" s="34"/>
      <c r="Z651" s="34"/>
      <c r="AA651" s="34"/>
      <c r="AB651" s="34"/>
      <c r="AC651" s="34"/>
    </row>
    <row r="652" spans="1:29" ht="15.75" customHeight="1" x14ac:dyDescent="0.2">
      <c r="A652" s="34"/>
      <c r="B652" s="34"/>
      <c r="C652" s="33"/>
      <c r="D652" s="34"/>
      <c r="E652" s="34"/>
      <c r="F652" s="34"/>
      <c r="G652" s="34"/>
      <c r="H652" s="33"/>
      <c r="I652" s="33"/>
      <c r="J652" s="34"/>
      <c r="K652" s="34"/>
      <c r="L652" s="34"/>
      <c r="M652" s="34"/>
      <c r="N652" s="34"/>
      <c r="O652" s="34"/>
      <c r="P652" s="34"/>
      <c r="Q652" s="34"/>
      <c r="R652" s="34"/>
      <c r="S652" s="34"/>
      <c r="T652" s="34"/>
      <c r="U652" s="34"/>
      <c r="V652" s="34"/>
      <c r="W652" s="34"/>
      <c r="X652" s="34"/>
      <c r="Y652" s="34"/>
      <c r="Z652" s="34"/>
      <c r="AA652" s="34"/>
      <c r="AB652" s="34"/>
      <c r="AC652" s="34"/>
    </row>
    <row r="653" spans="1:29" ht="15.75" customHeight="1" x14ac:dyDescent="0.2">
      <c r="A653" s="34"/>
      <c r="B653" s="34"/>
      <c r="C653" s="33"/>
      <c r="D653" s="34"/>
      <c r="E653" s="34"/>
      <c r="F653" s="34"/>
      <c r="G653" s="34"/>
      <c r="H653" s="33"/>
      <c r="I653" s="33"/>
      <c r="J653" s="34"/>
      <c r="K653" s="34"/>
      <c r="L653" s="34"/>
      <c r="M653" s="34"/>
      <c r="N653" s="34"/>
      <c r="O653" s="34"/>
      <c r="P653" s="34"/>
      <c r="Q653" s="34"/>
      <c r="R653" s="34"/>
      <c r="S653" s="34"/>
      <c r="T653" s="34"/>
      <c r="U653" s="34"/>
      <c r="V653" s="34"/>
      <c r="W653" s="34"/>
      <c r="X653" s="34"/>
      <c r="Y653" s="34"/>
      <c r="Z653" s="34"/>
      <c r="AA653" s="34"/>
      <c r="AB653" s="34"/>
      <c r="AC653" s="34"/>
    </row>
    <row r="654" spans="1:29" ht="15.75" customHeight="1" x14ac:dyDescent="0.2">
      <c r="A654" s="34"/>
      <c r="B654" s="34"/>
      <c r="C654" s="33"/>
      <c r="D654" s="34"/>
      <c r="E654" s="34"/>
      <c r="F654" s="34"/>
      <c r="G654" s="34"/>
      <c r="H654" s="33"/>
      <c r="I654" s="33"/>
      <c r="J654" s="34"/>
      <c r="K654" s="34"/>
      <c r="L654" s="34"/>
      <c r="M654" s="34"/>
      <c r="N654" s="34"/>
      <c r="O654" s="34"/>
      <c r="P654" s="34"/>
      <c r="Q654" s="34"/>
      <c r="R654" s="34"/>
      <c r="S654" s="34"/>
      <c r="T654" s="34"/>
      <c r="U654" s="34"/>
      <c r="V654" s="34"/>
      <c r="W654" s="34"/>
      <c r="X654" s="34"/>
      <c r="Y654" s="34"/>
      <c r="Z654" s="34"/>
      <c r="AA654" s="34"/>
      <c r="AB654" s="34"/>
      <c r="AC654" s="34"/>
    </row>
    <row r="655" spans="1:29" ht="15.75" customHeight="1" x14ac:dyDescent="0.2">
      <c r="A655" s="34"/>
      <c r="B655" s="34"/>
      <c r="C655" s="33"/>
      <c r="D655" s="34"/>
      <c r="E655" s="34"/>
      <c r="F655" s="34"/>
      <c r="G655" s="34"/>
      <c r="H655" s="33"/>
      <c r="I655" s="33"/>
      <c r="J655" s="34"/>
      <c r="K655" s="34"/>
      <c r="L655" s="34"/>
      <c r="M655" s="34"/>
      <c r="N655" s="34"/>
      <c r="O655" s="34"/>
      <c r="P655" s="34"/>
      <c r="Q655" s="34"/>
      <c r="R655" s="34"/>
      <c r="S655" s="34"/>
      <c r="T655" s="34"/>
      <c r="U655" s="34"/>
      <c r="V655" s="34"/>
      <c r="W655" s="34"/>
      <c r="X655" s="34"/>
      <c r="Y655" s="34"/>
      <c r="Z655" s="34"/>
      <c r="AA655" s="34"/>
      <c r="AB655" s="34"/>
      <c r="AC655" s="34"/>
    </row>
    <row r="656" spans="1:29" ht="15.75" customHeight="1" x14ac:dyDescent="0.2">
      <c r="A656" s="34"/>
      <c r="B656" s="34"/>
      <c r="C656" s="33"/>
      <c r="D656" s="34"/>
      <c r="E656" s="34"/>
      <c r="F656" s="34"/>
      <c r="G656" s="34"/>
      <c r="H656" s="33"/>
      <c r="I656" s="33"/>
      <c r="J656" s="34"/>
      <c r="K656" s="34"/>
      <c r="L656" s="34"/>
      <c r="M656" s="34"/>
      <c r="N656" s="34"/>
      <c r="O656" s="34"/>
      <c r="P656" s="34"/>
      <c r="Q656" s="34"/>
      <c r="R656" s="34"/>
      <c r="S656" s="34"/>
      <c r="T656" s="34"/>
      <c r="U656" s="34"/>
      <c r="V656" s="34"/>
      <c r="W656" s="34"/>
      <c r="X656" s="34"/>
      <c r="Y656" s="34"/>
      <c r="Z656" s="34"/>
      <c r="AA656" s="34"/>
      <c r="AB656" s="34"/>
      <c r="AC656" s="34"/>
    </row>
    <row r="657" spans="1:29" ht="15.75" customHeight="1" x14ac:dyDescent="0.2">
      <c r="A657" s="34"/>
      <c r="B657" s="34"/>
      <c r="C657" s="33"/>
      <c r="D657" s="34"/>
      <c r="E657" s="34"/>
      <c r="F657" s="34"/>
      <c r="G657" s="34"/>
      <c r="H657" s="33"/>
      <c r="I657" s="33"/>
      <c r="J657" s="34"/>
      <c r="K657" s="34"/>
      <c r="L657" s="34"/>
      <c r="M657" s="34"/>
      <c r="N657" s="34"/>
      <c r="O657" s="34"/>
      <c r="P657" s="34"/>
      <c r="Q657" s="34"/>
      <c r="R657" s="34"/>
      <c r="S657" s="34"/>
      <c r="T657" s="34"/>
      <c r="U657" s="34"/>
      <c r="V657" s="34"/>
      <c r="W657" s="34"/>
      <c r="X657" s="34"/>
      <c r="Y657" s="34"/>
      <c r="Z657" s="34"/>
      <c r="AA657" s="34"/>
      <c r="AB657" s="34"/>
      <c r="AC657" s="34"/>
    </row>
    <row r="658" spans="1:29" ht="15.75" customHeight="1" x14ac:dyDescent="0.2">
      <c r="A658" s="34"/>
      <c r="B658" s="34"/>
      <c r="C658" s="33"/>
      <c r="D658" s="34"/>
      <c r="E658" s="34"/>
      <c r="F658" s="34"/>
      <c r="G658" s="34"/>
      <c r="H658" s="33"/>
      <c r="I658" s="33"/>
      <c r="J658" s="34"/>
      <c r="K658" s="34"/>
      <c r="L658" s="34"/>
      <c r="M658" s="34"/>
      <c r="N658" s="34"/>
      <c r="O658" s="34"/>
      <c r="P658" s="34"/>
      <c r="Q658" s="34"/>
      <c r="R658" s="34"/>
      <c r="S658" s="34"/>
      <c r="T658" s="34"/>
      <c r="U658" s="34"/>
      <c r="V658" s="34"/>
      <c r="W658" s="34"/>
      <c r="X658" s="34"/>
      <c r="Y658" s="34"/>
      <c r="Z658" s="34"/>
      <c r="AA658" s="34"/>
      <c r="AB658" s="34"/>
      <c r="AC658" s="34"/>
    </row>
    <row r="659" spans="1:29" ht="15.75" customHeight="1" x14ac:dyDescent="0.2">
      <c r="A659" s="34"/>
      <c r="B659" s="34"/>
      <c r="C659" s="33"/>
      <c r="D659" s="34"/>
      <c r="E659" s="34"/>
      <c r="F659" s="34"/>
      <c r="G659" s="34"/>
      <c r="H659" s="33"/>
      <c r="I659" s="33"/>
      <c r="J659" s="34"/>
      <c r="K659" s="34"/>
      <c r="L659" s="34"/>
      <c r="M659" s="34"/>
      <c r="N659" s="34"/>
      <c r="O659" s="34"/>
      <c r="P659" s="34"/>
      <c r="Q659" s="34"/>
      <c r="R659" s="34"/>
      <c r="S659" s="34"/>
      <c r="T659" s="34"/>
      <c r="U659" s="34"/>
      <c r="V659" s="34"/>
      <c r="W659" s="34"/>
      <c r="X659" s="34"/>
      <c r="Y659" s="34"/>
      <c r="Z659" s="34"/>
      <c r="AA659" s="34"/>
      <c r="AB659" s="34"/>
      <c r="AC659" s="34"/>
    </row>
    <row r="660" spans="1:29" ht="15.75" customHeight="1" x14ac:dyDescent="0.2">
      <c r="A660" s="34"/>
      <c r="B660" s="34"/>
      <c r="C660" s="33"/>
      <c r="D660" s="34"/>
      <c r="E660" s="34"/>
      <c r="F660" s="34"/>
      <c r="G660" s="34"/>
      <c r="H660" s="33"/>
      <c r="I660" s="33"/>
      <c r="J660" s="34"/>
      <c r="K660" s="34"/>
      <c r="L660" s="34"/>
      <c r="M660" s="34"/>
      <c r="N660" s="34"/>
      <c r="O660" s="34"/>
      <c r="P660" s="34"/>
      <c r="Q660" s="34"/>
      <c r="R660" s="34"/>
      <c r="S660" s="34"/>
      <c r="T660" s="34"/>
      <c r="U660" s="34"/>
      <c r="V660" s="34"/>
      <c r="W660" s="34"/>
      <c r="X660" s="34"/>
      <c r="Y660" s="34"/>
      <c r="Z660" s="34"/>
      <c r="AA660" s="34"/>
      <c r="AB660" s="34"/>
      <c r="AC660" s="34"/>
    </row>
    <row r="661" spans="1:29" ht="15.75" customHeight="1" x14ac:dyDescent="0.2">
      <c r="A661" s="34"/>
      <c r="B661" s="34"/>
      <c r="C661" s="33"/>
      <c r="D661" s="34"/>
      <c r="E661" s="34"/>
      <c r="F661" s="34"/>
      <c r="G661" s="34"/>
      <c r="H661" s="33"/>
      <c r="I661" s="33"/>
      <c r="J661" s="34"/>
      <c r="K661" s="34"/>
      <c r="L661" s="34"/>
      <c r="M661" s="34"/>
      <c r="N661" s="34"/>
      <c r="O661" s="34"/>
      <c r="P661" s="34"/>
      <c r="Q661" s="34"/>
      <c r="R661" s="34"/>
      <c r="S661" s="34"/>
      <c r="T661" s="34"/>
      <c r="U661" s="34"/>
      <c r="V661" s="34"/>
      <c r="W661" s="34"/>
      <c r="X661" s="34"/>
      <c r="Y661" s="34"/>
      <c r="Z661" s="34"/>
      <c r="AA661" s="34"/>
      <c r="AB661" s="34"/>
      <c r="AC661" s="34"/>
    </row>
    <row r="662" spans="1:29" ht="15.75" customHeight="1" x14ac:dyDescent="0.2">
      <c r="A662" s="34"/>
      <c r="B662" s="34"/>
      <c r="C662" s="33"/>
      <c r="D662" s="34"/>
      <c r="E662" s="34"/>
      <c r="F662" s="34"/>
      <c r="G662" s="34"/>
      <c r="H662" s="33"/>
      <c r="I662" s="33"/>
      <c r="J662" s="34"/>
      <c r="K662" s="34"/>
      <c r="L662" s="34"/>
      <c r="M662" s="34"/>
      <c r="N662" s="34"/>
      <c r="O662" s="34"/>
      <c r="P662" s="34"/>
      <c r="Q662" s="34"/>
      <c r="R662" s="34"/>
      <c r="S662" s="34"/>
      <c r="T662" s="34"/>
      <c r="U662" s="34"/>
      <c r="V662" s="34"/>
      <c r="W662" s="34"/>
      <c r="X662" s="34"/>
      <c r="Y662" s="34"/>
      <c r="Z662" s="34"/>
      <c r="AA662" s="34"/>
      <c r="AB662" s="34"/>
      <c r="AC662" s="34"/>
    </row>
    <row r="663" spans="1:29" ht="15.75" customHeight="1" x14ac:dyDescent="0.2">
      <c r="A663" s="34"/>
      <c r="B663" s="34"/>
      <c r="C663" s="33"/>
      <c r="D663" s="34"/>
      <c r="E663" s="34"/>
      <c r="F663" s="34"/>
      <c r="G663" s="34"/>
      <c r="H663" s="33"/>
      <c r="I663" s="33"/>
      <c r="J663" s="34"/>
      <c r="K663" s="34"/>
      <c r="L663" s="34"/>
      <c r="M663" s="34"/>
      <c r="N663" s="34"/>
      <c r="O663" s="34"/>
      <c r="P663" s="34"/>
      <c r="Q663" s="34"/>
      <c r="R663" s="34"/>
      <c r="S663" s="34"/>
      <c r="T663" s="34"/>
      <c r="U663" s="34"/>
      <c r="V663" s="34"/>
      <c r="W663" s="34"/>
      <c r="X663" s="34"/>
      <c r="Y663" s="34"/>
      <c r="Z663" s="34"/>
      <c r="AA663" s="34"/>
      <c r="AB663" s="34"/>
      <c r="AC663" s="34"/>
    </row>
    <row r="664" spans="1:29" ht="15.75" customHeight="1" x14ac:dyDescent="0.2">
      <c r="A664" s="34"/>
      <c r="B664" s="34"/>
      <c r="C664" s="33"/>
      <c r="D664" s="34"/>
      <c r="E664" s="34"/>
      <c r="F664" s="34"/>
      <c r="G664" s="34"/>
      <c r="H664" s="33"/>
      <c r="I664" s="33"/>
      <c r="J664" s="34"/>
      <c r="K664" s="34"/>
      <c r="L664" s="34"/>
      <c r="M664" s="34"/>
      <c r="N664" s="34"/>
      <c r="O664" s="34"/>
      <c r="P664" s="34"/>
      <c r="Q664" s="34"/>
      <c r="R664" s="34"/>
      <c r="S664" s="34"/>
      <c r="T664" s="34"/>
      <c r="U664" s="34"/>
      <c r="V664" s="34"/>
      <c r="W664" s="34"/>
      <c r="X664" s="34"/>
      <c r="Y664" s="34"/>
      <c r="Z664" s="34"/>
      <c r="AA664" s="34"/>
      <c r="AB664" s="34"/>
      <c r="AC664" s="34"/>
    </row>
    <row r="665" spans="1:29" ht="15.75" customHeight="1" x14ac:dyDescent="0.2">
      <c r="A665" s="34"/>
      <c r="B665" s="34"/>
      <c r="C665" s="33"/>
      <c r="D665" s="34"/>
      <c r="E665" s="34"/>
      <c r="F665" s="34"/>
      <c r="G665" s="34"/>
      <c r="H665" s="33"/>
      <c r="I665" s="33"/>
      <c r="J665" s="34"/>
      <c r="K665" s="34"/>
      <c r="L665" s="34"/>
      <c r="M665" s="34"/>
      <c r="N665" s="34"/>
      <c r="O665" s="34"/>
      <c r="P665" s="34"/>
      <c r="Q665" s="34"/>
      <c r="R665" s="34"/>
      <c r="S665" s="34"/>
      <c r="T665" s="34"/>
      <c r="U665" s="34"/>
      <c r="V665" s="34"/>
      <c r="W665" s="34"/>
      <c r="X665" s="34"/>
      <c r="Y665" s="34"/>
      <c r="Z665" s="34"/>
      <c r="AA665" s="34"/>
      <c r="AB665" s="34"/>
      <c r="AC665" s="34"/>
    </row>
    <row r="666" spans="1:29" ht="15.75" customHeight="1" x14ac:dyDescent="0.2">
      <c r="A666" s="34"/>
      <c r="B666" s="34"/>
      <c r="C666" s="33"/>
      <c r="D666" s="34"/>
      <c r="E666" s="34"/>
      <c r="F666" s="34"/>
      <c r="G666" s="34"/>
      <c r="H666" s="33"/>
      <c r="I666" s="33"/>
      <c r="J666" s="34"/>
      <c r="K666" s="34"/>
      <c r="L666" s="34"/>
      <c r="M666" s="34"/>
      <c r="N666" s="34"/>
      <c r="O666" s="34"/>
      <c r="P666" s="34"/>
      <c r="Q666" s="34"/>
      <c r="R666" s="34"/>
      <c r="S666" s="34"/>
      <c r="T666" s="34"/>
      <c r="U666" s="34"/>
      <c r="V666" s="34"/>
      <c r="W666" s="34"/>
      <c r="X666" s="34"/>
      <c r="Y666" s="34"/>
      <c r="Z666" s="34"/>
      <c r="AA666" s="34"/>
      <c r="AB666" s="34"/>
      <c r="AC666" s="34"/>
    </row>
    <row r="667" spans="1:29" ht="15.75" customHeight="1" x14ac:dyDescent="0.2">
      <c r="A667" s="34"/>
      <c r="B667" s="34"/>
      <c r="C667" s="33"/>
      <c r="D667" s="34"/>
      <c r="E667" s="34"/>
      <c r="F667" s="34"/>
      <c r="G667" s="34"/>
      <c r="H667" s="33"/>
      <c r="I667" s="33"/>
      <c r="J667" s="34"/>
      <c r="K667" s="34"/>
      <c r="L667" s="34"/>
      <c r="M667" s="34"/>
      <c r="N667" s="34"/>
      <c r="O667" s="34"/>
      <c r="P667" s="34"/>
      <c r="Q667" s="34"/>
      <c r="R667" s="34"/>
      <c r="S667" s="34"/>
      <c r="T667" s="34"/>
      <c r="U667" s="34"/>
      <c r="V667" s="34"/>
      <c r="W667" s="34"/>
      <c r="X667" s="34"/>
      <c r="Y667" s="34"/>
      <c r="Z667" s="34"/>
      <c r="AA667" s="34"/>
      <c r="AB667" s="34"/>
      <c r="AC667" s="34"/>
    </row>
    <row r="668" spans="1:29" ht="15.75" customHeight="1" x14ac:dyDescent="0.2">
      <c r="A668" s="34"/>
      <c r="B668" s="34"/>
      <c r="C668" s="33"/>
      <c r="D668" s="34"/>
      <c r="E668" s="34"/>
      <c r="F668" s="34"/>
      <c r="G668" s="34"/>
      <c r="H668" s="33"/>
      <c r="I668" s="33"/>
      <c r="J668" s="34"/>
      <c r="K668" s="34"/>
      <c r="L668" s="34"/>
      <c r="M668" s="34"/>
      <c r="N668" s="34"/>
      <c r="O668" s="34"/>
      <c r="P668" s="34"/>
      <c r="Q668" s="34"/>
      <c r="R668" s="34"/>
      <c r="S668" s="34"/>
      <c r="T668" s="34"/>
      <c r="U668" s="34"/>
      <c r="V668" s="34"/>
      <c r="W668" s="34"/>
      <c r="X668" s="34"/>
      <c r="Y668" s="34"/>
      <c r="Z668" s="34"/>
      <c r="AA668" s="34"/>
      <c r="AB668" s="34"/>
      <c r="AC668" s="34"/>
    </row>
    <row r="669" spans="1:29" ht="15.75" customHeight="1" x14ac:dyDescent="0.2">
      <c r="A669" s="34"/>
      <c r="B669" s="34"/>
      <c r="C669" s="33"/>
      <c r="D669" s="34"/>
      <c r="E669" s="34"/>
      <c r="F669" s="34"/>
      <c r="G669" s="34"/>
      <c r="H669" s="33"/>
      <c r="I669" s="33"/>
      <c r="J669" s="34"/>
      <c r="K669" s="34"/>
      <c r="L669" s="34"/>
      <c r="M669" s="34"/>
      <c r="N669" s="34"/>
      <c r="O669" s="34"/>
      <c r="P669" s="34"/>
      <c r="Q669" s="34"/>
      <c r="R669" s="34"/>
      <c r="S669" s="34"/>
      <c r="T669" s="34"/>
      <c r="U669" s="34"/>
      <c r="V669" s="34"/>
      <c r="W669" s="34"/>
      <c r="X669" s="34"/>
      <c r="Y669" s="34"/>
      <c r="Z669" s="34"/>
      <c r="AA669" s="34"/>
      <c r="AB669" s="34"/>
      <c r="AC669" s="34"/>
    </row>
    <row r="670" spans="1:29" ht="15.75" customHeight="1" x14ac:dyDescent="0.2">
      <c r="A670" s="34"/>
      <c r="B670" s="34"/>
      <c r="C670" s="33"/>
      <c r="D670" s="34"/>
      <c r="E670" s="34"/>
      <c r="F670" s="34"/>
      <c r="G670" s="34"/>
      <c r="H670" s="33"/>
      <c r="I670" s="33"/>
      <c r="J670" s="34"/>
      <c r="K670" s="34"/>
      <c r="L670" s="34"/>
      <c r="M670" s="34"/>
      <c r="N670" s="34"/>
      <c r="O670" s="34"/>
      <c r="P670" s="34"/>
      <c r="Q670" s="34"/>
      <c r="R670" s="34"/>
      <c r="S670" s="34"/>
      <c r="T670" s="34"/>
      <c r="U670" s="34"/>
      <c r="V670" s="34"/>
      <c r="W670" s="34"/>
      <c r="X670" s="34"/>
      <c r="Y670" s="34"/>
      <c r="Z670" s="34"/>
      <c r="AA670" s="34"/>
      <c r="AB670" s="34"/>
      <c r="AC670" s="34"/>
    </row>
    <row r="671" spans="1:29" ht="15.75" customHeight="1" x14ac:dyDescent="0.2">
      <c r="A671" s="34"/>
      <c r="B671" s="34"/>
      <c r="C671" s="33"/>
      <c r="D671" s="34"/>
      <c r="E671" s="34"/>
      <c r="F671" s="34"/>
      <c r="G671" s="34"/>
      <c r="H671" s="33"/>
      <c r="I671" s="33"/>
      <c r="J671" s="34"/>
      <c r="K671" s="34"/>
      <c r="L671" s="34"/>
      <c r="M671" s="34"/>
      <c r="N671" s="34"/>
      <c r="O671" s="34"/>
      <c r="P671" s="34"/>
      <c r="Q671" s="34"/>
      <c r="R671" s="34"/>
      <c r="S671" s="34"/>
      <c r="T671" s="34"/>
      <c r="U671" s="34"/>
      <c r="V671" s="34"/>
      <c r="W671" s="34"/>
      <c r="X671" s="34"/>
      <c r="Y671" s="34"/>
      <c r="Z671" s="34"/>
      <c r="AA671" s="34"/>
      <c r="AB671" s="34"/>
      <c r="AC671" s="34"/>
    </row>
    <row r="672" spans="1:29" ht="15.75" customHeight="1" x14ac:dyDescent="0.2">
      <c r="A672" s="34"/>
      <c r="B672" s="34"/>
      <c r="C672" s="33"/>
      <c r="D672" s="34"/>
      <c r="E672" s="34"/>
      <c r="F672" s="34"/>
      <c r="G672" s="34"/>
      <c r="H672" s="33"/>
      <c r="I672" s="33"/>
      <c r="J672" s="34"/>
      <c r="K672" s="34"/>
      <c r="L672" s="34"/>
      <c r="M672" s="34"/>
      <c r="N672" s="34"/>
      <c r="O672" s="34"/>
      <c r="P672" s="34"/>
      <c r="Q672" s="34"/>
      <c r="R672" s="34"/>
      <c r="S672" s="34"/>
      <c r="T672" s="34"/>
      <c r="U672" s="34"/>
      <c r="V672" s="34"/>
      <c r="W672" s="34"/>
      <c r="X672" s="34"/>
      <c r="Y672" s="34"/>
      <c r="Z672" s="34"/>
      <c r="AA672" s="34"/>
      <c r="AB672" s="34"/>
      <c r="AC672" s="34"/>
    </row>
    <row r="673" spans="1:29" ht="15.75" customHeight="1" x14ac:dyDescent="0.2">
      <c r="A673" s="34"/>
      <c r="B673" s="34"/>
      <c r="C673" s="33"/>
      <c r="D673" s="34"/>
      <c r="E673" s="34"/>
      <c r="F673" s="34"/>
      <c r="G673" s="34"/>
      <c r="H673" s="33"/>
      <c r="I673" s="33"/>
      <c r="J673" s="34"/>
      <c r="K673" s="34"/>
      <c r="L673" s="34"/>
      <c r="M673" s="34"/>
      <c r="N673" s="34"/>
      <c r="O673" s="34"/>
      <c r="P673" s="34"/>
      <c r="Q673" s="34"/>
      <c r="R673" s="34"/>
      <c r="S673" s="34"/>
      <c r="T673" s="34"/>
      <c r="U673" s="34"/>
      <c r="V673" s="34"/>
      <c r="W673" s="34"/>
      <c r="X673" s="34"/>
      <c r="Y673" s="34"/>
      <c r="Z673" s="34"/>
      <c r="AA673" s="34"/>
      <c r="AB673" s="34"/>
      <c r="AC673" s="34"/>
    </row>
    <row r="674" spans="1:29" ht="15.75" customHeight="1" x14ac:dyDescent="0.2">
      <c r="A674" s="34"/>
      <c r="B674" s="34"/>
      <c r="C674" s="33"/>
      <c r="D674" s="34"/>
      <c r="E674" s="34"/>
      <c r="F674" s="34"/>
      <c r="G674" s="34"/>
      <c r="H674" s="33"/>
      <c r="I674" s="33"/>
      <c r="J674" s="34"/>
      <c r="K674" s="34"/>
      <c r="L674" s="34"/>
      <c r="M674" s="34"/>
      <c r="N674" s="34"/>
      <c r="O674" s="34"/>
      <c r="P674" s="34"/>
      <c r="Q674" s="34"/>
      <c r="R674" s="34"/>
      <c r="S674" s="34"/>
      <c r="T674" s="34"/>
      <c r="U674" s="34"/>
      <c r="V674" s="34"/>
      <c r="W674" s="34"/>
      <c r="X674" s="34"/>
      <c r="Y674" s="34"/>
      <c r="Z674" s="34"/>
      <c r="AA674" s="34"/>
      <c r="AB674" s="34"/>
      <c r="AC674" s="34"/>
    </row>
    <row r="675" spans="1:29" ht="15.75" customHeight="1" x14ac:dyDescent="0.2">
      <c r="A675" s="34"/>
      <c r="B675" s="34"/>
      <c r="C675" s="33"/>
      <c r="D675" s="34"/>
      <c r="E675" s="34"/>
      <c r="F675" s="34"/>
      <c r="G675" s="34"/>
      <c r="H675" s="33"/>
      <c r="I675" s="33"/>
      <c r="J675" s="34"/>
      <c r="K675" s="34"/>
      <c r="L675" s="34"/>
      <c r="M675" s="34"/>
      <c r="N675" s="34"/>
      <c r="O675" s="34"/>
      <c r="P675" s="34"/>
      <c r="Q675" s="34"/>
      <c r="R675" s="34"/>
      <c r="S675" s="34"/>
      <c r="T675" s="34"/>
      <c r="U675" s="34"/>
      <c r="V675" s="34"/>
      <c r="W675" s="34"/>
      <c r="X675" s="34"/>
      <c r="Y675" s="34"/>
      <c r="Z675" s="34"/>
      <c r="AA675" s="34"/>
      <c r="AB675" s="34"/>
      <c r="AC675" s="34"/>
    </row>
    <row r="676" spans="1:29" ht="15.75" customHeight="1" x14ac:dyDescent="0.2">
      <c r="A676" s="34"/>
      <c r="B676" s="34"/>
      <c r="C676" s="33"/>
      <c r="D676" s="34"/>
      <c r="E676" s="34"/>
      <c r="F676" s="34"/>
      <c r="G676" s="34"/>
      <c r="H676" s="33"/>
      <c r="I676" s="33"/>
      <c r="J676" s="34"/>
      <c r="K676" s="34"/>
      <c r="L676" s="34"/>
      <c r="M676" s="34"/>
      <c r="N676" s="34"/>
      <c r="O676" s="34"/>
      <c r="P676" s="34"/>
      <c r="Q676" s="34"/>
      <c r="R676" s="34"/>
      <c r="S676" s="34"/>
      <c r="T676" s="34"/>
      <c r="U676" s="34"/>
      <c r="V676" s="34"/>
      <c r="W676" s="34"/>
      <c r="X676" s="34"/>
      <c r="Y676" s="34"/>
      <c r="Z676" s="34"/>
      <c r="AA676" s="34"/>
      <c r="AB676" s="34"/>
      <c r="AC676" s="34"/>
    </row>
    <row r="677" spans="1:29" ht="15.75" customHeight="1" x14ac:dyDescent="0.2">
      <c r="A677" s="34"/>
      <c r="B677" s="34"/>
      <c r="C677" s="33"/>
      <c r="D677" s="34"/>
      <c r="E677" s="34"/>
      <c r="F677" s="34"/>
      <c r="G677" s="34"/>
      <c r="H677" s="33"/>
      <c r="I677" s="33"/>
      <c r="J677" s="34"/>
      <c r="K677" s="34"/>
      <c r="L677" s="34"/>
      <c r="M677" s="34"/>
      <c r="N677" s="34"/>
      <c r="O677" s="34"/>
      <c r="P677" s="34"/>
      <c r="Q677" s="34"/>
      <c r="R677" s="34"/>
      <c r="S677" s="34"/>
      <c r="T677" s="34"/>
      <c r="U677" s="34"/>
      <c r="V677" s="34"/>
      <c r="W677" s="34"/>
      <c r="X677" s="34"/>
      <c r="Y677" s="34"/>
      <c r="Z677" s="34"/>
      <c r="AA677" s="34"/>
      <c r="AB677" s="34"/>
      <c r="AC677" s="34"/>
    </row>
    <row r="678" spans="1:29" ht="15.75" customHeight="1" x14ac:dyDescent="0.2">
      <c r="A678" s="34"/>
      <c r="B678" s="34"/>
      <c r="C678" s="33"/>
      <c r="D678" s="34"/>
      <c r="E678" s="34"/>
      <c r="F678" s="34"/>
      <c r="G678" s="34"/>
      <c r="H678" s="33"/>
      <c r="I678" s="33"/>
      <c r="J678" s="34"/>
      <c r="K678" s="34"/>
      <c r="L678" s="34"/>
      <c r="M678" s="34"/>
      <c r="N678" s="34"/>
      <c r="O678" s="34"/>
      <c r="P678" s="34"/>
      <c r="Q678" s="34"/>
      <c r="R678" s="34"/>
      <c r="S678" s="34"/>
      <c r="T678" s="34"/>
      <c r="U678" s="34"/>
      <c r="V678" s="34"/>
      <c r="W678" s="34"/>
      <c r="X678" s="34"/>
      <c r="Y678" s="34"/>
      <c r="Z678" s="34"/>
      <c r="AA678" s="34"/>
      <c r="AB678" s="34"/>
      <c r="AC678" s="34"/>
    </row>
    <row r="679" spans="1:29" ht="15.75" customHeight="1" x14ac:dyDescent="0.2">
      <c r="A679" s="34"/>
      <c r="B679" s="34"/>
      <c r="C679" s="33"/>
      <c r="D679" s="34"/>
      <c r="E679" s="34"/>
      <c r="F679" s="34"/>
      <c r="G679" s="34"/>
      <c r="H679" s="33"/>
      <c r="I679" s="33"/>
      <c r="J679" s="34"/>
      <c r="K679" s="34"/>
      <c r="L679" s="34"/>
      <c r="M679" s="34"/>
      <c r="N679" s="34"/>
      <c r="O679" s="34"/>
      <c r="P679" s="34"/>
      <c r="Q679" s="34"/>
      <c r="R679" s="34"/>
      <c r="S679" s="34"/>
      <c r="T679" s="34"/>
      <c r="U679" s="34"/>
      <c r="V679" s="34"/>
      <c r="W679" s="34"/>
      <c r="X679" s="34"/>
      <c r="Y679" s="34"/>
      <c r="Z679" s="34"/>
      <c r="AA679" s="34"/>
      <c r="AB679" s="34"/>
      <c r="AC679" s="34"/>
    </row>
    <row r="680" spans="1:29" ht="15.75" customHeight="1" x14ac:dyDescent="0.2">
      <c r="A680" s="34"/>
      <c r="B680" s="34"/>
      <c r="C680" s="33"/>
      <c r="D680" s="34"/>
      <c r="E680" s="34"/>
      <c r="F680" s="34"/>
      <c r="G680" s="34"/>
      <c r="H680" s="33"/>
      <c r="I680" s="33"/>
      <c r="J680" s="34"/>
      <c r="K680" s="34"/>
      <c r="L680" s="34"/>
      <c r="M680" s="34"/>
      <c r="N680" s="34"/>
      <c r="O680" s="34"/>
      <c r="P680" s="34"/>
      <c r="Q680" s="34"/>
      <c r="R680" s="34"/>
      <c r="S680" s="34"/>
      <c r="T680" s="34"/>
      <c r="U680" s="34"/>
      <c r="V680" s="34"/>
      <c r="W680" s="34"/>
      <c r="X680" s="34"/>
      <c r="Y680" s="34"/>
      <c r="Z680" s="34"/>
      <c r="AA680" s="34"/>
      <c r="AB680" s="34"/>
      <c r="AC680" s="34"/>
    </row>
    <row r="681" spans="1:29" ht="15.75" customHeight="1" x14ac:dyDescent="0.2">
      <c r="A681" s="34"/>
      <c r="B681" s="34"/>
      <c r="C681" s="33"/>
      <c r="D681" s="34"/>
      <c r="E681" s="34"/>
      <c r="F681" s="34"/>
      <c r="G681" s="34"/>
      <c r="H681" s="33"/>
      <c r="I681" s="33"/>
      <c r="J681" s="34"/>
      <c r="K681" s="34"/>
      <c r="L681" s="34"/>
      <c r="M681" s="34"/>
      <c r="N681" s="34"/>
      <c r="O681" s="34"/>
      <c r="P681" s="34"/>
      <c r="Q681" s="34"/>
      <c r="R681" s="34"/>
      <c r="S681" s="34"/>
      <c r="T681" s="34"/>
      <c r="U681" s="34"/>
      <c r="V681" s="34"/>
      <c r="W681" s="34"/>
      <c r="X681" s="34"/>
      <c r="Y681" s="34"/>
      <c r="Z681" s="34"/>
      <c r="AA681" s="34"/>
      <c r="AB681" s="34"/>
      <c r="AC681" s="34"/>
    </row>
    <row r="682" spans="1:29" ht="15.75" customHeight="1" x14ac:dyDescent="0.2">
      <c r="A682" s="34"/>
      <c r="B682" s="34"/>
      <c r="C682" s="33"/>
      <c r="D682" s="34"/>
      <c r="E682" s="34"/>
      <c r="F682" s="34"/>
      <c r="G682" s="34"/>
      <c r="H682" s="33"/>
      <c r="I682" s="33"/>
      <c r="J682" s="34"/>
      <c r="K682" s="34"/>
      <c r="L682" s="34"/>
      <c r="M682" s="34"/>
      <c r="N682" s="34"/>
      <c r="O682" s="34"/>
      <c r="P682" s="34"/>
      <c r="Q682" s="34"/>
      <c r="R682" s="34"/>
      <c r="S682" s="34"/>
      <c r="T682" s="34"/>
      <c r="U682" s="34"/>
      <c r="V682" s="34"/>
      <c r="W682" s="34"/>
      <c r="X682" s="34"/>
      <c r="Y682" s="34"/>
      <c r="Z682" s="34"/>
      <c r="AA682" s="34"/>
      <c r="AB682" s="34"/>
      <c r="AC682" s="34"/>
    </row>
    <row r="683" spans="1:29" ht="15.75" customHeight="1" x14ac:dyDescent="0.2">
      <c r="A683" s="34"/>
      <c r="B683" s="34"/>
      <c r="C683" s="33"/>
      <c r="D683" s="34"/>
      <c r="E683" s="34"/>
      <c r="F683" s="34"/>
      <c r="G683" s="34"/>
      <c r="H683" s="33"/>
      <c r="I683" s="33"/>
      <c r="J683" s="34"/>
      <c r="K683" s="34"/>
      <c r="L683" s="34"/>
      <c r="M683" s="34"/>
      <c r="N683" s="34"/>
      <c r="O683" s="34"/>
      <c r="P683" s="34"/>
      <c r="Q683" s="34"/>
      <c r="R683" s="34"/>
      <c r="S683" s="34"/>
      <c r="T683" s="34"/>
      <c r="U683" s="34"/>
      <c r="V683" s="34"/>
      <c r="W683" s="34"/>
      <c r="X683" s="34"/>
      <c r="Y683" s="34"/>
      <c r="Z683" s="34"/>
      <c r="AA683" s="34"/>
      <c r="AB683" s="34"/>
      <c r="AC683" s="34"/>
    </row>
    <row r="684" spans="1:29" ht="15.75" customHeight="1" x14ac:dyDescent="0.2">
      <c r="A684" s="34"/>
      <c r="B684" s="34"/>
      <c r="C684" s="33"/>
      <c r="D684" s="34"/>
      <c r="E684" s="34"/>
      <c r="F684" s="34"/>
      <c r="G684" s="34"/>
      <c r="H684" s="33"/>
      <c r="I684" s="33"/>
      <c r="J684" s="34"/>
      <c r="K684" s="34"/>
      <c r="L684" s="34"/>
      <c r="M684" s="34"/>
      <c r="N684" s="34"/>
      <c r="O684" s="34"/>
      <c r="P684" s="34"/>
      <c r="Q684" s="34"/>
      <c r="R684" s="34"/>
      <c r="S684" s="34"/>
      <c r="T684" s="34"/>
      <c r="U684" s="34"/>
      <c r="V684" s="34"/>
      <c r="W684" s="34"/>
      <c r="X684" s="34"/>
      <c r="Y684" s="34"/>
      <c r="Z684" s="34"/>
      <c r="AA684" s="34"/>
      <c r="AB684" s="34"/>
      <c r="AC684" s="34"/>
    </row>
    <row r="685" spans="1:29" ht="15.75" customHeight="1" x14ac:dyDescent="0.2">
      <c r="A685" s="34"/>
      <c r="B685" s="34"/>
      <c r="C685" s="33"/>
      <c r="D685" s="34"/>
      <c r="E685" s="34"/>
      <c r="F685" s="34"/>
      <c r="G685" s="34"/>
      <c r="H685" s="33"/>
      <c r="I685" s="33"/>
      <c r="J685" s="34"/>
      <c r="K685" s="34"/>
      <c r="L685" s="34"/>
      <c r="M685" s="34"/>
      <c r="N685" s="34"/>
      <c r="O685" s="34"/>
      <c r="P685" s="34"/>
      <c r="Q685" s="34"/>
      <c r="R685" s="34"/>
      <c r="S685" s="34"/>
      <c r="T685" s="34"/>
      <c r="U685" s="34"/>
      <c r="V685" s="34"/>
      <c r="W685" s="34"/>
      <c r="X685" s="34"/>
      <c r="Y685" s="34"/>
      <c r="Z685" s="34"/>
      <c r="AA685" s="34"/>
      <c r="AB685" s="34"/>
      <c r="AC685" s="34"/>
    </row>
    <row r="686" spans="1:29" ht="15.75" customHeight="1" x14ac:dyDescent="0.2">
      <c r="A686" s="34"/>
      <c r="B686" s="34"/>
      <c r="C686" s="33"/>
      <c r="D686" s="34"/>
      <c r="E686" s="34"/>
      <c r="F686" s="34"/>
      <c r="G686" s="34"/>
      <c r="H686" s="33"/>
      <c r="I686" s="33"/>
      <c r="J686" s="34"/>
      <c r="K686" s="34"/>
      <c r="L686" s="34"/>
      <c r="M686" s="34"/>
      <c r="N686" s="34"/>
      <c r="O686" s="34"/>
      <c r="P686" s="34"/>
      <c r="Q686" s="34"/>
      <c r="R686" s="34"/>
      <c r="S686" s="34"/>
      <c r="T686" s="34"/>
      <c r="U686" s="34"/>
      <c r="V686" s="34"/>
      <c r="W686" s="34"/>
      <c r="X686" s="34"/>
      <c r="Y686" s="34"/>
      <c r="Z686" s="34"/>
      <c r="AA686" s="34"/>
      <c r="AB686" s="34"/>
      <c r="AC686" s="34"/>
    </row>
    <row r="687" spans="1:29" ht="15.75" customHeight="1" x14ac:dyDescent="0.2">
      <c r="A687" s="34"/>
      <c r="B687" s="34"/>
      <c r="C687" s="33"/>
      <c r="D687" s="34"/>
      <c r="E687" s="34"/>
      <c r="F687" s="34"/>
      <c r="G687" s="34"/>
      <c r="H687" s="33"/>
      <c r="I687" s="33"/>
      <c r="J687" s="34"/>
      <c r="K687" s="34"/>
      <c r="L687" s="34"/>
      <c r="M687" s="34"/>
      <c r="N687" s="34"/>
      <c r="O687" s="34"/>
      <c r="P687" s="34"/>
      <c r="Q687" s="34"/>
      <c r="R687" s="34"/>
      <c r="S687" s="34"/>
      <c r="T687" s="34"/>
      <c r="U687" s="34"/>
      <c r="V687" s="34"/>
      <c r="W687" s="34"/>
      <c r="X687" s="34"/>
      <c r="Y687" s="34"/>
      <c r="Z687" s="34"/>
      <c r="AA687" s="34"/>
      <c r="AB687" s="34"/>
      <c r="AC687" s="34"/>
    </row>
    <row r="688" spans="1:29" ht="15.75" customHeight="1" x14ac:dyDescent="0.2">
      <c r="A688" s="34"/>
      <c r="B688" s="34"/>
      <c r="C688" s="33"/>
      <c r="D688" s="34"/>
      <c r="E688" s="34"/>
      <c r="F688" s="34"/>
      <c r="G688" s="34"/>
      <c r="H688" s="33"/>
      <c r="I688" s="33"/>
      <c r="J688" s="34"/>
      <c r="K688" s="34"/>
      <c r="L688" s="34"/>
      <c r="M688" s="34"/>
      <c r="N688" s="34"/>
      <c r="O688" s="34"/>
      <c r="P688" s="34"/>
      <c r="Q688" s="34"/>
      <c r="R688" s="34"/>
      <c r="S688" s="34"/>
      <c r="T688" s="34"/>
      <c r="U688" s="34"/>
      <c r="V688" s="34"/>
      <c r="W688" s="34"/>
      <c r="X688" s="34"/>
      <c r="Y688" s="34"/>
      <c r="Z688" s="34"/>
      <c r="AA688" s="34"/>
      <c r="AB688" s="34"/>
      <c r="AC688" s="34"/>
    </row>
    <row r="689" spans="1:29" ht="15.75" customHeight="1" x14ac:dyDescent="0.2">
      <c r="A689" s="34"/>
      <c r="B689" s="34"/>
      <c r="C689" s="33"/>
      <c r="D689" s="34"/>
      <c r="E689" s="34"/>
      <c r="F689" s="34"/>
      <c r="G689" s="34"/>
      <c r="H689" s="33"/>
      <c r="I689" s="33"/>
      <c r="J689" s="34"/>
      <c r="K689" s="34"/>
      <c r="L689" s="34"/>
      <c r="M689" s="34"/>
      <c r="N689" s="34"/>
      <c r="O689" s="34"/>
      <c r="P689" s="34"/>
      <c r="Q689" s="34"/>
      <c r="R689" s="34"/>
      <c r="S689" s="34"/>
      <c r="T689" s="34"/>
      <c r="U689" s="34"/>
      <c r="V689" s="34"/>
      <c r="W689" s="34"/>
      <c r="X689" s="34"/>
      <c r="Y689" s="34"/>
      <c r="Z689" s="34"/>
      <c r="AA689" s="34"/>
      <c r="AB689" s="34"/>
      <c r="AC689" s="34"/>
    </row>
    <row r="690" spans="1:29" ht="15.75" customHeight="1" x14ac:dyDescent="0.2">
      <c r="A690" s="34"/>
      <c r="B690" s="34"/>
      <c r="C690" s="33"/>
      <c r="D690" s="34"/>
      <c r="E690" s="34"/>
      <c r="F690" s="34"/>
      <c r="G690" s="34"/>
      <c r="H690" s="33"/>
      <c r="I690" s="33"/>
      <c r="J690" s="34"/>
      <c r="K690" s="34"/>
      <c r="L690" s="34"/>
      <c r="M690" s="34"/>
      <c r="N690" s="34"/>
      <c r="O690" s="34"/>
      <c r="P690" s="34"/>
      <c r="Q690" s="34"/>
      <c r="R690" s="34"/>
      <c r="S690" s="34"/>
      <c r="T690" s="34"/>
      <c r="U690" s="34"/>
      <c r="V690" s="34"/>
      <c r="W690" s="34"/>
      <c r="X690" s="34"/>
      <c r="Y690" s="34"/>
      <c r="Z690" s="34"/>
      <c r="AA690" s="34"/>
      <c r="AB690" s="34"/>
      <c r="AC690" s="34"/>
    </row>
    <row r="691" spans="1:29" ht="15.75" customHeight="1" x14ac:dyDescent="0.2">
      <c r="A691" s="34"/>
      <c r="B691" s="34"/>
      <c r="C691" s="33"/>
      <c r="D691" s="34"/>
      <c r="E691" s="34"/>
      <c r="F691" s="34"/>
      <c r="G691" s="34"/>
      <c r="H691" s="33"/>
      <c r="I691" s="33"/>
      <c r="J691" s="34"/>
      <c r="K691" s="34"/>
      <c r="L691" s="34"/>
      <c r="M691" s="34"/>
      <c r="N691" s="34"/>
      <c r="O691" s="34"/>
      <c r="P691" s="34"/>
      <c r="Q691" s="34"/>
      <c r="R691" s="34"/>
      <c r="S691" s="34"/>
      <c r="T691" s="34"/>
      <c r="U691" s="34"/>
      <c r="V691" s="34"/>
      <c r="W691" s="34"/>
      <c r="X691" s="34"/>
      <c r="Y691" s="34"/>
      <c r="Z691" s="34"/>
      <c r="AA691" s="34"/>
      <c r="AB691" s="34"/>
      <c r="AC691" s="34"/>
    </row>
    <row r="692" spans="1:29" ht="15.75" customHeight="1" x14ac:dyDescent="0.2">
      <c r="A692" s="34"/>
      <c r="B692" s="34"/>
      <c r="C692" s="33"/>
      <c r="D692" s="34"/>
      <c r="E692" s="34"/>
      <c r="F692" s="34"/>
      <c r="G692" s="34"/>
      <c r="H692" s="33"/>
      <c r="I692" s="33"/>
      <c r="J692" s="34"/>
      <c r="K692" s="34"/>
      <c r="L692" s="34"/>
      <c r="M692" s="34"/>
      <c r="N692" s="34"/>
      <c r="O692" s="34"/>
      <c r="P692" s="34"/>
      <c r="Q692" s="34"/>
      <c r="R692" s="34"/>
      <c r="S692" s="34"/>
      <c r="T692" s="34"/>
      <c r="U692" s="34"/>
      <c r="V692" s="34"/>
      <c r="W692" s="34"/>
      <c r="X692" s="34"/>
      <c r="Y692" s="34"/>
      <c r="Z692" s="34"/>
      <c r="AA692" s="34"/>
      <c r="AB692" s="34"/>
      <c r="AC692" s="34"/>
    </row>
    <row r="693" spans="1:29" ht="15.75" customHeight="1" x14ac:dyDescent="0.2">
      <c r="A693" s="34"/>
      <c r="B693" s="34"/>
      <c r="C693" s="33"/>
      <c r="D693" s="34"/>
      <c r="E693" s="34"/>
      <c r="F693" s="34"/>
      <c r="G693" s="34"/>
      <c r="H693" s="33"/>
      <c r="I693" s="33"/>
      <c r="J693" s="34"/>
      <c r="K693" s="34"/>
      <c r="L693" s="34"/>
      <c r="M693" s="34"/>
      <c r="N693" s="34"/>
      <c r="O693" s="34"/>
      <c r="P693" s="34"/>
      <c r="Q693" s="34"/>
      <c r="R693" s="34"/>
      <c r="S693" s="34"/>
      <c r="T693" s="34"/>
      <c r="U693" s="34"/>
      <c r="V693" s="34"/>
      <c r="W693" s="34"/>
      <c r="X693" s="34"/>
      <c r="Y693" s="34"/>
      <c r="Z693" s="34"/>
      <c r="AA693" s="34"/>
      <c r="AB693" s="34"/>
      <c r="AC693" s="34"/>
    </row>
    <row r="694" spans="1:29" ht="15.75" customHeight="1" x14ac:dyDescent="0.2">
      <c r="A694" s="34"/>
      <c r="B694" s="34"/>
      <c r="C694" s="33"/>
      <c r="D694" s="34"/>
      <c r="E694" s="34"/>
      <c r="F694" s="34"/>
      <c r="G694" s="34"/>
      <c r="H694" s="33"/>
      <c r="I694" s="33"/>
      <c r="J694" s="34"/>
      <c r="K694" s="34"/>
      <c r="L694" s="34"/>
      <c r="M694" s="34"/>
      <c r="N694" s="34"/>
      <c r="O694" s="34"/>
      <c r="P694" s="34"/>
      <c r="Q694" s="34"/>
      <c r="R694" s="34"/>
      <c r="S694" s="34"/>
      <c r="T694" s="34"/>
      <c r="U694" s="34"/>
      <c r="V694" s="34"/>
      <c r="W694" s="34"/>
      <c r="X694" s="34"/>
      <c r="Y694" s="34"/>
      <c r="Z694" s="34"/>
      <c r="AA694" s="34"/>
      <c r="AB694" s="34"/>
      <c r="AC694" s="34"/>
    </row>
    <row r="695" spans="1:29" ht="15.75" customHeight="1" x14ac:dyDescent="0.2">
      <c r="A695" s="34"/>
      <c r="B695" s="34"/>
      <c r="C695" s="33"/>
      <c r="D695" s="34"/>
      <c r="E695" s="34"/>
      <c r="F695" s="34"/>
      <c r="G695" s="34"/>
      <c r="H695" s="33"/>
      <c r="I695" s="33"/>
      <c r="J695" s="34"/>
      <c r="K695" s="34"/>
      <c r="L695" s="34"/>
      <c r="M695" s="34"/>
      <c r="N695" s="34"/>
      <c r="O695" s="34"/>
      <c r="P695" s="34"/>
      <c r="Q695" s="34"/>
      <c r="R695" s="34"/>
      <c r="S695" s="34"/>
      <c r="T695" s="34"/>
      <c r="U695" s="34"/>
      <c r="V695" s="34"/>
      <c r="W695" s="34"/>
      <c r="X695" s="34"/>
      <c r="Y695" s="34"/>
      <c r="Z695" s="34"/>
      <c r="AA695" s="34"/>
      <c r="AB695" s="34"/>
      <c r="AC695" s="34"/>
    </row>
    <row r="696" spans="1:29" ht="15.75" customHeight="1" x14ac:dyDescent="0.2">
      <c r="A696" s="34"/>
      <c r="B696" s="34"/>
      <c r="C696" s="33"/>
      <c r="D696" s="34"/>
      <c r="E696" s="34"/>
      <c r="F696" s="34"/>
      <c r="G696" s="34"/>
      <c r="H696" s="33"/>
      <c r="I696" s="33"/>
      <c r="J696" s="34"/>
      <c r="K696" s="34"/>
      <c r="L696" s="34"/>
      <c r="M696" s="34"/>
      <c r="N696" s="34"/>
      <c r="O696" s="34"/>
      <c r="P696" s="34"/>
      <c r="Q696" s="34"/>
      <c r="R696" s="34"/>
      <c r="S696" s="34"/>
      <c r="T696" s="34"/>
      <c r="U696" s="34"/>
      <c r="V696" s="34"/>
      <c r="W696" s="34"/>
      <c r="X696" s="34"/>
      <c r="Y696" s="34"/>
      <c r="Z696" s="34"/>
      <c r="AA696" s="34"/>
      <c r="AB696" s="34"/>
      <c r="AC696" s="34"/>
    </row>
    <row r="697" spans="1:29" ht="15.75" customHeight="1" x14ac:dyDescent="0.2">
      <c r="A697" s="34"/>
      <c r="B697" s="34"/>
      <c r="C697" s="33"/>
      <c r="D697" s="34"/>
      <c r="E697" s="34"/>
      <c r="F697" s="34"/>
      <c r="G697" s="34"/>
      <c r="H697" s="33"/>
      <c r="I697" s="33"/>
      <c r="J697" s="34"/>
      <c r="K697" s="34"/>
      <c r="L697" s="34"/>
      <c r="M697" s="34"/>
      <c r="N697" s="34"/>
      <c r="O697" s="34"/>
      <c r="P697" s="34"/>
      <c r="Q697" s="34"/>
      <c r="R697" s="34"/>
      <c r="S697" s="34"/>
      <c r="T697" s="34"/>
      <c r="U697" s="34"/>
      <c r="V697" s="34"/>
      <c r="W697" s="34"/>
      <c r="X697" s="34"/>
      <c r="Y697" s="34"/>
      <c r="Z697" s="34"/>
      <c r="AA697" s="34"/>
      <c r="AB697" s="34"/>
      <c r="AC697" s="34"/>
    </row>
    <row r="698" spans="1:29" ht="15.75" customHeight="1" x14ac:dyDescent="0.2">
      <c r="A698" s="34"/>
      <c r="B698" s="34"/>
      <c r="C698" s="33"/>
      <c r="D698" s="34"/>
      <c r="E698" s="34"/>
      <c r="F698" s="34"/>
      <c r="G698" s="34"/>
      <c r="H698" s="33"/>
      <c r="I698" s="33"/>
      <c r="J698" s="34"/>
      <c r="K698" s="34"/>
      <c r="L698" s="34"/>
      <c r="M698" s="34"/>
      <c r="N698" s="34"/>
      <c r="O698" s="34"/>
      <c r="P698" s="34"/>
      <c r="Q698" s="34"/>
      <c r="R698" s="34"/>
      <c r="S698" s="34"/>
      <c r="T698" s="34"/>
      <c r="U698" s="34"/>
      <c r="V698" s="34"/>
      <c r="W698" s="34"/>
      <c r="X698" s="34"/>
      <c r="Y698" s="34"/>
      <c r="Z698" s="34"/>
      <c r="AA698" s="34"/>
      <c r="AB698" s="34"/>
      <c r="AC698" s="34"/>
    </row>
    <row r="699" spans="1:29" ht="15.75" customHeight="1" x14ac:dyDescent="0.2">
      <c r="A699" s="34"/>
      <c r="B699" s="34"/>
      <c r="C699" s="33"/>
      <c r="D699" s="34"/>
      <c r="E699" s="34"/>
      <c r="F699" s="34"/>
      <c r="G699" s="34"/>
      <c r="H699" s="33"/>
      <c r="I699" s="33"/>
      <c r="J699" s="34"/>
      <c r="K699" s="34"/>
      <c r="L699" s="34"/>
      <c r="M699" s="34"/>
      <c r="N699" s="34"/>
      <c r="O699" s="34"/>
      <c r="P699" s="34"/>
      <c r="Q699" s="34"/>
      <c r="R699" s="34"/>
      <c r="S699" s="34"/>
      <c r="T699" s="34"/>
      <c r="U699" s="34"/>
      <c r="V699" s="34"/>
      <c r="W699" s="34"/>
      <c r="X699" s="34"/>
      <c r="Y699" s="34"/>
      <c r="Z699" s="34"/>
      <c r="AA699" s="34"/>
      <c r="AB699" s="34"/>
      <c r="AC699" s="34"/>
    </row>
    <row r="700" spans="1:29" ht="15.75" customHeight="1" x14ac:dyDescent="0.2">
      <c r="A700" s="34"/>
      <c r="B700" s="34"/>
      <c r="C700" s="33"/>
      <c r="D700" s="34"/>
      <c r="E700" s="34"/>
      <c r="F700" s="34"/>
      <c r="G700" s="34"/>
      <c r="H700" s="33"/>
      <c r="I700" s="33"/>
      <c r="J700" s="34"/>
      <c r="K700" s="34"/>
      <c r="L700" s="34"/>
      <c r="M700" s="34"/>
      <c r="N700" s="34"/>
      <c r="O700" s="34"/>
      <c r="P700" s="34"/>
      <c r="Q700" s="34"/>
      <c r="R700" s="34"/>
      <c r="S700" s="34"/>
      <c r="T700" s="34"/>
      <c r="U700" s="34"/>
      <c r="V700" s="34"/>
      <c r="W700" s="34"/>
      <c r="X700" s="34"/>
      <c r="Y700" s="34"/>
      <c r="Z700" s="34"/>
      <c r="AA700" s="34"/>
      <c r="AB700" s="34"/>
      <c r="AC700" s="34"/>
    </row>
    <row r="701" spans="1:29" ht="15.75" customHeight="1" x14ac:dyDescent="0.2">
      <c r="A701" s="34"/>
      <c r="B701" s="34"/>
      <c r="C701" s="33"/>
      <c r="D701" s="34"/>
      <c r="E701" s="34"/>
      <c r="F701" s="34"/>
      <c r="G701" s="34"/>
      <c r="H701" s="33"/>
      <c r="I701" s="33"/>
      <c r="J701" s="34"/>
      <c r="K701" s="34"/>
      <c r="L701" s="34"/>
      <c r="M701" s="34"/>
      <c r="N701" s="34"/>
      <c r="O701" s="34"/>
      <c r="P701" s="34"/>
      <c r="Q701" s="34"/>
      <c r="R701" s="34"/>
      <c r="S701" s="34"/>
      <c r="T701" s="34"/>
      <c r="U701" s="34"/>
      <c r="V701" s="34"/>
      <c r="W701" s="34"/>
      <c r="X701" s="34"/>
      <c r="Y701" s="34"/>
      <c r="Z701" s="34"/>
      <c r="AA701" s="34"/>
      <c r="AB701" s="34"/>
      <c r="AC701" s="34"/>
    </row>
    <row r="702" spans="1:29" ht="15.75" customHeight="1" x14ac:dyDescent="0.2">
      <c r="A702" s="34"/>
      <c r="B702" s="34"/>
      <c r="C702" s="33"/>
      <c r="D702" s="34"/>
      <c r="E702" s="34"/>
      <c r="F702" s="34"/>
      <c r="G702" s="34"/>
      <c r="H702" s="33"/>
      <c r="I702" s="33"/>
      <c r="J702" s="34"/>
      <c r="K702" s="34"/>
      <c r="L702" s="34"/>
      <c r="M702" s="34"/>
      <c r="N702" s="34"/>
      <c r="O702" s="34"/>
      <c r="P702" s="34"/>
      <c r="Q702" s="34"/>
      <c r="R702" s="34"/>
      <c r="S702" s="34"/>
      <c r="T702" s="34"/>
      <c r="U702" s="34"/>
      <c r="V702" s="34"/>
      <c r="W702" s="34"/>
      <c r="X702" s="34"/>
      <c r="Y702" s="34"/>
      <c r="Z702" s="34"/>
      <c r="AA702" s="34"/>
      <c r="AB702" s="34"/>
      <c r="AC702" s="34"/>
    </row>
    <row r="703" spans="1:29" ht="15.75" customHeight="1" x14ac:dyDescent="0.2">
      <c r="A703" s="34"/>
      <c r="B703" s="34"/>
      <c r="C703" s="33"/>
      <c r="D703" s="34"/>
      <c r="E703" s="34"/>
      <c r="F703" s="34"/>
      <c r="G703" s="34"/>
      <c r="H703" s="33"/>
      <c r="I703" s="33"/>
      <c r="J703" s="34"/>
      <c r="K703" s="34"/>
      <c r="L703" s="34"/>
      <c r="M703" s="34"/>
      <c r="N703" s="34"/>
      <c r="O703" s="34"/>
      <c r="P703" s="34"/>
      <c r="Q703" s="34"/>
      <c r="R703" s="34"/>
      <c r="S703" s="34"/>
      <c r="T703" s="34"/>
      <c r="U703" s="34"/>
      <c r="V703" s="34"/>
      <c r="W703" s="34"/>
      <c r="X703" s="34"/>
      <c r="Y703" s="34"/>
      <c r="Z703" s="34"/>
      <c r="AA703" s="34"/>
      <c r="AB703" s="34"/>
      <c r="AC703" s="34"/>
    </row>
    <row r="704" spans="1:29" ht="15.75" customHeight="1" x14ac:dyDescent="0.2">
      <c r="A704" s="34"/>
      <c r="B704" s="34"/>
      <c r="C704" s="33"/>
      <c r="D704" s="34"/>
      <c r="E704" s="34"/>
      <c r="F704" s="34"/>
      <c r="G704" s="34"/>
      <c r="H704" s="33"/>
      <c r="I704" s="33"/>
      <c r="J704" s="34"/>
      <c r="K704" s="34"/>
      <c r="L704" s="34"/>
      <c r="M704" s="34"/>
      <c r="N704" s="34"/>
      <c r="O704" s="34"/>
      <c r="P704" s="34"/>
      <c r="Q704" s="34"/>
      <c r="R704" s="34"/>
      <c r="S704" s="34"/>
      <c r="T704" s="34"/>
      <c r="U704" s="34"/>
      <c r="V704" s="34"/>
      <c r="W704" s="34"/>
      <c r="X704" s="34"/>
      <c r="Y704" s="34"/>
      <c r="Z704" s="34"/>
      <c r="AA704" s="34"/>
      <c r="AB704" s="34"/>
      <c r="AC704" s="34"/>
    </row>
    <row r="705" spans="1:29" ht="15.75" customHeight="1" x14ac:dyDescent="0.2">
      <c r="A705" s="34"/>
      <c r="B705" s="34"/>
      <c r="C705" s="33"/>
      <c r="D705" s="34"/>
      <c r="E705" s="34"/>
      <c r="F705" s="34"/>
      <c r="G705" s="34"/>
      <c r="H705" s="33"/>
      <c r="I705" s="33"/>
      <c r="J705" s="34"/>
      <c r="K705" s="34"/>
      <c r="L705" s="34"/>
      <c r="M705" s="34"/>
      <c r="N705" s="34"/>
      <c r="O705" s="34"/>
      <c r="P705" s="34"/>
      <c r="Q705" s="34"/>
      <c r="R705" s="34"/>
      <c r="S705" s="34"/>
      <c r="T705" s="34"/>
      <c r="U705" s="34"/>
      <c r="V705" s="34"/>
      <c r="W705" s="34"/>
      <c r="X705" s="34"/>
      <c r="Y705" s="34"/>
      <c r="Z705" s="34"/>
      <c r="AA705" s="34"/>
      <c r="AB705" s="34"/>
      <c r="AC705" s="34"/>
    </row>
    <row r="706" spans="1:29" ht="15.75" customHeight="1" x14ac:dyDescent="0.2">
      <c r="A706" s="34"/>
      <c r="B706" s="34"/>
      <c r="C706" s="33"/>
      <c r="D706" s="34"/>
      <c r="E706" s="34"/>
      <c r="F706" s="34"/>
      <c r="G706" s="34"/>
      <c r="H706" s="33"/>
      <c r="I706" s="33"/>
      <c r="J706" s="34"/>
      <c r="K706" s="34"/>
      <c r="L706" s="34"/>
      <c r="M706" s="34"/>
      <c r="N706" s="34"/>
      <c r="O706" s="34"/>
      <c r="P706" s="34"/>
      <c r="Q706" s="34"/>
      <c r="R706" s="34"/>
      <c r="S706" s="34"/>
      <c r="T706" s="34"/>
      <c r="U706" s="34"/>
      <c r="V706" s="34"/>
      <c r="W706" s="34"/>
      <c r="X706" s="34"/>
      <c r="Y706" s="34"/>
      <c r="Z706" s="34"/>
      <c r="AA706" s="34"/>
      <c r="AB706" s="34"/>
      <c r="AC706" s="34"/>
    </row>
    <row r="707" spans="1:29" ht="15.75" customHeight="1" x14ac:dyDescent="0.2">
      <c r="A707" s="34"/>
      <c r="B707" s="34"/>
      <c r="C707" s="33"/>
      <c r="D707" s="34"/>
      <c r="E707" s="34"/>
      <c r="F707" s="34"/>
      <c r="G707" s="34"/>
      <c r="H707" s="33"/>
      <c r="I707" s="33"/>
      <c r="J707" s="34"/>
      <c r="K707" s="34"/>
      <c r="L707" s="34"/>
      <c r="M707" s="34"/>
      <c r="N707" s="34"/>
      <c r="O707" s="34"/>
      <c r="P707" s="34"/>
      <c r="Q707" s="34"/>
      <c r="R707" s="34"/>
      <c r="S707" s="34"/>
      <c r="T707" s="34"/>
      <c r="U707" s="34"/>
      <c r="V707" s="34"/>
      <c r="W707" s="34"/>
      <c r="X707" s="34"/>
      <c r="Y707" s="34"/>
      <c r="Z707" s="34"/>
      <c r="AA707" s="34"/>
      <c r="AB707" s="34"/>
      <c r="AC707" s="34"/>
    </row>
    <row r="708" spans="1:29" ht="15.75" customHeight="1" x14ac:dyDescent="0.2">
      <c r="A708" s="34"/>
      <c r="B708" s="34"/>
      <c r="C708" s="33"/>
      <c r="D708" s="34"/>
      <c r="E708" s="34"/>
      <c r="F708" s="34"/>
      <c r="G708" s="34"/>
      <c r="H708" s="33"/>
      <c r="I708" s="33"/>
      <c r="J708" s="34"/>
      <c r="K708" s="34"/>
      <c r="L708" s="34"/>
      <c r="M708" s="34"/>
      <c r="N708" s="34"/>
      <c r="O708" s="34"/>
      <c r="P708" s="34"/>
      <c r="Q708" s="34"/>
      <c r="R708" s="34"/>
      <c r="S708" s="34"/>
      <c r="T708" s="34"/>
      <c r="U708" s="34"/>
      <c r="V708" s="34"/>
      <c r="W708" s="34"/>
      <c r="X708" s="34"/>
      <c r="Y708" s="34"/>
      <c r="Z708" s="34"/>
      <c r="AA708" s="34"/>
      <c r="AB708" s="34"/>
      <c r="AC708" s="34"/>
    </row>
    <row r="709" spans="1:29" ht="15.75" customHeight="1" x14ac:dyDescent="0.2">
      <c r="A709" s="34"/>
      <c r="B709" s="34"/>
      <c r="C709" s="33"/>
      <c r="D709" s="34"/>
      <c r="E709" s="34"/>
      <c r="F709" s="34"/>
      <c r="G709" s="34"/>
      <c r="H709" s="33"/>
      <c r="I709" s="33"/>
      <c r="J709" s="34"/>
      <c r="K709" s="34"/>
      <c r="L709" s="34"/>
      <c r="M709" s="34"/>
      <c r="N709" s="34"/>
      <c r="O709" s="34"/>
      <c r="P709" s="34"/>
      <c r="Q709" s="34"/>
      <c r="R709" s="34"/>
      <c r="S709" s="34"/>
      <c r="T709" s="34"/>
      <c r="U709" s="34"/>
      <c r="V709" s="34"/>
      <c r="W709" s="34"/>
      <c r="X709" s="34"/>
      <c r="Y709" s="34"/>
      <c r="Z709" s="34"/>
      <c r="AA709" s="34"/>
      <c r="AB709" s="34"/>
      <c r="AC709" s="34"/>
    </row>
    <row r="710" spans="1:29" ht="15.75" customHeight="1" x14ac:dyDescent="0.2">
      <c r="A710" s="34"/>
      <c r="B710" s="34"/>
      <c r="C710" s="33"/>
      <c r="D710" s="34"/>
      <c r="E710" s="34"/>
      <c r="F710" s="34"/>
      <c r="G710" s="34"/>
      <c r="H710" s="33"/>
      <c r="I710" s="33"/>
      <c r="J710" s="34"/>
      <c r="K710" s="34"/>
      <c r="L710" s="34"/>
      <c r="M710" s="34"/>
      <c r="N710" s="34"/>
      <c r="O710" s="34"/>
      <c r="P710" s="34"/>
      <c r="Q710" s="34"/>
      <c r="R710" s="34"/>
      <c r="S710" s="34"/>
      <c r="T710" s="34"/>
      <c r="U710" s="34"/>
      <c r="V710" s="34"/>
      <c r="W710" s="34"/>
      <c r="X710" s="34"/>
      <c r="Y710" s="34"/>
      <c r="Z710" s="34"/>
      <c r="AA710" s="34"/>
      <c r="AB710" s="34"/>
      <c r="AC710" s="34"/>
    </row>
    <row r="711" spans="1:29" ht="15.75" customHeight="1" x14ac:dyDescent="0.2">
      <c r="A711" s="34"/>
      <c r="B711" s="34"/>
      <c r="C711" s="33"/>
      <c r="D711" s="34"/>
      <c r="E711" s="34"/>
      <c r="F711" s="34"/>
      <c r="G711" s="34"/>
      <c r="H711" s="33"/>
      <c r="I711" s="33"/>
      <c r="J711" s="34"/>
      <c r="K711" s="34"/>
      <c r="L711" s="34"/>
      <c r="M711" s="34"/>
      <c r="N711" s="34"/>
      <c r="O711" s="34"/>
      <c r="P711" s="34"/>
      <c r="Q711" s="34"/>
      <c r="R711" s="34"/>
      <c r="S711" s="34"/>
      <c r="T711" s="34"/>
      <c r="U711" s="34"/>
      <c r="V711" s="34"/>
      <c r="W711" s="34"/>
      <c r="X711" s="34"/>
      <c r="Y711" s="34"/>
      <c r="Z711" s="34"/>
      <c r="AA711" s="34"/>
      <c r="AB711" s="34"/>
      <c r="AC711" s="34"/>
    </row>
    <row r="712" spans="1:29" ht="15.75" customHeight="1" x14ac:dyDescent="0.2">
      <c r="A712" s="34"/>
      <c r="B712" s="34"/>
      <c r="C712" s="33"/>
      <c r="D712" s="34"/>
      <c r="E712" s="34"/>
      <c r="F712" s="34"/>
      <c r="G712" s="34"/>
      <c r="H712" s="33"/>
      <c r="I712" s="33"/>
      <c r="J712" s="34"/>
      <c r="K712" s="34"/>
      <c r="L712" s="34"/>
      <c r="M712" s="34"/>
      <c r="N712" s="34"/>
      <c r="O712" s="34"/>
      <c r="P712" s="34"/>
      <c r="Q712" s="34"/>
      <c r="R712" s="34"/>
      <c r="S712" s="34"/>
      <c r="T712" s="34"/>
      <c r="U712" s="34"/>
      <c r="V712" s="34"/>
      <c r="W712" s="34"/>
      <c r="X712" s="34"/>
      <c r="Y712" s="34"/>
      <c r="Z712" s="34"/>
      <c r="AA712" s="34"/>
      <c r="AB712" s="34"/>
      <c r="AC712" s="34"/>
    </row>
    <row r="713" spans="1:29" ht="15.75" customHeight="1" x14ac:dyDescent="0.2">
      <c r="A713" s="34"/>
      <c r="B713" s="34"/>
      <c r="C713" s="33"/>
      <c r="D713" s="34"/>
      <c r="E713" s="34"/>
      <c r="F713" s="34"/>
      <c r="G713" s="34"/>
      <c r="H713" s="33"/>
      <c r="I713" s="33"/>
      <c r="J713" s="34"/>
      <c r="K713" s="34"/>
      <c r="L713" s="34"/>
      <c r="M713" s="34"/>
      <c r="N713" s="34"/>
      <c r="O713" s="34"/>
      <c r="P713" s="34"/>
      <c r="Q713" s="34"/>
      <c r="R713" s="34"/>
      <c r="S713" s="34"/>
      <c r="T713" s="34"/>
      <c r="U713" s="34"/>
      <c r="V713" s="34"/>
      <c r="W713" s="34"/>
      <c r="X713" s="34"/>
      <c r="Y713" s="34"/>
      <c r="Z713" s="34"/>
      <c r="AA713" s="34"/>
      <c r="AB713" s="34"/>
      <c r="AC713" s="34"/>
    </row>
    <row r="714" spans="1:29" ht="15.75" customHeight="1" x14ac:dyDescent="0.2">
      <c r="A714" s="34"/>
      <c r="B714" s="34"/>
      <c r="C714" s="33"/>
      <c r="D714" s="34"/>
      <c r="E714" s="34"/>
      <c r="F714" s="34"/>
      <c r="G714" s="34"/>
      <c r="H714" s="33"/>
      <c r="I714" s="33"/>
      <c r="J714" s="34"/>
      <c r="K714" s="34"/>
      <c r="L714" s="34"/>
      <c r="M714" s="34"/>
      <c r="N714" s="34"/>
      <c r="O714" s="34"/>
      <c r="P714" s="34"/>
      <c r="Q714" s="34"/>
      <c r="R714" s="34"/>
      <c r="S714" s="34"/>
      <c r="T714" s="34"/>
      <c r="U714" s="34"/>
      <c r="V714" s="34"/>
      <c r="W714" s="34"/>
      <c r="X714" s="34"/>
      <c r="Y714" s="34"/>
      <c r="Z714" s="34"/>
      <c r="AA714" s="34"/>
      <c r="AB714" s="34"/>
      <c r="AC714" s="34"/>
    </row>
    <row r="715" spans="1:29" ht="15.75" customHeight="1" x14ac:dyDescent="0.2">
      <c r="A715" s="34"/>
      <c r="B715" s="34"/>
      <c r="C715" s="33"/>
      <c r="D715" s="34"/>
      <c r="E715" s="34"/>
      <c r="F715" s="34"/>
      <c r="G715" s="34"/>
      <c r="H715" s="33"/>
      <c r="I715" s="33"/>
      <c r="J715" s="34"/>
      <c r="K715" s="34"/>
      <c r="L715" s="34"/>
      <c r="M715" s="34"/>
      <c r="N715" s="34"/>
      <c r="O715" s="34"/>
      <c r="P715" s="34"/>
      <c r="Q715" s="34"/>
      <c r="R715" s="34"/>
      <c r="S715" s="34"/>
      <c r="T715" s="34"/>
      <c r="U715" s="34"/>
      <c r="V715" s="34"/>
      <c r="W715" s="34"/>
      <c r="X715" s="34"/>
      <c r="Y715" s="34"/>
      <c r="Z715" s="34"/>
      <c r="AA715" s="34"/>
      <c r="AB715" s="34"/>
      <c r="AC715" s="34"/>
    </row>
    <row r="716" spans="1:29" ht="15.75" customHeight="1" x14ac:dyDescent="0.2">
      <c r="A716" s="34"/>
      <c r="B716" s="34"/>
      <c r="C716" s="33"/>
      <c r="D716" s="34"/>
      <c r="E716" s="34"/>
      <c r="F716" s="34"/>
      <c r="G716" s="34"/>
      <c r="H716" s="33"/>
      <c r="I716" s="33"/>
      <c r="J716" s="34"/>
      <c r="K716" s="34"/>
      <c r="L716" s="34"/>
      <c r="M716" s="34"/>
      <c r="N716" s="34"/>
      <c r="O716" s="34"/>
      <c r="P716" s="34"/>
      <c r="Q716" s="34"/>
      <c r="R716" s="34"/>
      <c r="S716" s="34"/>
      <c r="T716" s="34"/>
      <c r="U716" s="34"/>
      <c r="V716" s="34"/>
      <c r="W716" s="34"/>
      <c r="X716" s="34"/>
      <c r="Y716" s="34"/>
      <c r="Z716" s="34"/>
      <c r="AA716" s="34"/>
      <c r="AB716" s="34"/>
      <c r="AC716" s="34"/>
    </row>
    <row r="717" spans="1:29" ht="15.75" customHeight="1" x14ac:dyDescent="0.2">
      <c r="A717" s="34"/>
      <c r="B717" s="34"/>
      <c r="C717" s="33"/>
      <c r="D717" s="34"/>
      <c r="E717" s="34"/>
      <c r="F717" s="34"/>
      <c r="G717" s="34"/>
      <c r="H717" s="33"/>
      <c r="I717" s="33"/>
      <c r="J717" s="34"/>
      <c r="K717" s="34"/>
      <c r="L717" s="34"/>
      <c r="M717" s="34"/>
      <c r="N717" s="34"/>
      <c r="O717" s="34"/>
      <c r="P717" s="34"/>
      <c r="Q717" s="34"/>
      <c r="R717" s="34"/>
      <c r="S717" s="34"/>
      <c r="T717" s="34"/>
      <c r="U717" s="34"/>
      <c r="V717" s="34"/>
      <c r="W717" s="34"/>
      <c r="X717" s="34"/>
      <c r="Y717" s="34"/>
      <c r="Z717" s="34"/>
      <c r="AA717" s="34"/>
      <c r="AB717" s="34"/>
      <c r="AC717" s="34"/>
    </row>
    <row r="718" spans="1:29" ht="15.75" customHeight="1" x14ac:dyDescent="0.2">
      <c r="A718" s="34"/>
      <c r="B718" s="34"/>
      <c r="C718" s="33"/>
      <c r="D718" s="34"/>
      <c r="E718" s="34"/>
      <c r="F718" s="34"/>
      <c r="G718" s="34"/>
      <c r="H718" s="33"/>
      <c r="I718" s="33"/>
      <c r="J718" s="34"/>
      <c r="K718" s="34"/>
      <c r="L718" s="34"/>
      <c r="M718" s="34"/>
      <c r="N718" s="34"/>
      <c r="O718" s="34"/>
      <c r="P718" s="34"/>
      <c r="Q718" s="34"/>
      <c r="R718" s="34"/>
      <c r="S718" s="34"/>
      <c r="T718" s="34"/>
      <c r="U718" s="34"/>
      <c r="V718" s="34"/>
      <c r="W718" s="34"/>
      <c r="X718" s="34"/>
      <c r="Y718" s="34"/>
      <c r="Z718" s="34"/>
      <c r="AA718" s="34"/>
      <c r="AB718" s="34"/>
      <c r="AC718" s="34"/>
    </row>
    <row r="719" spans="1:29" ht="15.75" customHeight="1" x14ac:dyDescent="0.2">
      <c r="A719" s="34"/>
      <c r="B719" s="34"/>
      <c r="C719" s="33"/>
      <c r="D719" s="34"/>
      <c r="E719" s="34"/>
      <c r="F719" s="34"/>
      <c r="G719" s="34"/>
      <c r="H719" s="33"/>
      <c r="I719" s="33"/>
      <c r="J719" s="34"/>
      <c r="K719" s="34"/>
      <c r="L719" s="34"/>
      <c r="M719" s="34"/>
      <c r="N719" s="34"/>
      <c r="O719" s="34"/>
      <c r="P719" s="34"/>
      <c r="Q719" s="34"/>
      <c r="R719" s="34"/>
      <c r="S719" s="34"/>
      <c r="T719" s="34"/>
      <c r="U719" s="34"/>
      <c r="V719" s="34"/>
      <c r="W719" s="34"/>
      <c r="X719" s="34"/>
      <c r="Y719" s="34"/>
      <c r="Z719" s="34"/>
      <c r="AA719" s="34"/>
      <c r="AB719" s="34"/>
      <c r="AC719" s="34"/>
    </row>
    <row r="720" spans="1:29" ht="15.75" customHeight="1" x14ac:dyDescent="0.2">
      <c r="A720" s="34"/>
      <c r="B720" s="34"/>
      <c r="C720" s="33"/>
      <c r="D720" s="34"/>
      <c r="E720" s="34"/>
      <c r="F720" s="34"/>
      <c r="G720" s="34"/>
      <c r="H720" s="33"/>
      <c r="I720" s="33"/>
      <c r="J720" s="34"/>
      <c r="K720" s="34"/>
      <c r="L720" s="34"/>
      <c r="M720" s="34"/>
      <c r="N720" s="34"/>
      <c r="O720" s="34"/>
      <c r="P720" s="34"/>
      <c r="Q720" s="34"/>
      <c r="R720" s="34"/>
      <c r="S720" s="34"/>
      <c r="T720" s="34"/>
      <c r="U720" s="34"/>
      <c r="V720" s="34"/>
      <c r="W720" s="34"/>
      <c r="X720" s="34"/>
      <c r="Y720" s="34"/>
      <c r="Z720" s="34"/>
      <c r="AA720" s="34"/>
      <c r="AB720" s="34"/>
      <c r="AC720" s="34"/>
    </row>
    <row r="721" spans="1:29" ht="15.75" customHeight="1" x14ac:dyDescent="0.2">
      <c r="A721" s="34"/>
      <c r="B721" s="34"/>
      <c r="C721" s="33"/>
      <c r="D721" s="34"/>
      <c r="E721" s="34"/>
      <c r="F721" s="34"/>
      <c r="G721" s="34"/>
      <c r="H721" s="33"/>
      <c r="I721" s="33"/>
      <c r="J721" s="34"/>
      <c r="K721" s="34"/>
      <c r="L721" s="34"/>
      <c r="M721" s="34"/>
      <c r="N721" s="34"/>
      <c r="O721" s="34"/>
      <c r="P721" s="34"/>
      <c r="Q721" s="34"/>
      <c r="R721" s="34"/>
      <c r="S721" s="34"/>
      <c r="T721" s="34"/>
      <c r="U721" s="34"/>
      <c r="V721" s="34"/>
      <c r="W721" s="34"/>
      <c r="X721" s="34"/>
      <c r="Y721" s="34"/>
      <c r="Z721" s="34"/>
      <c r="AA721" s="34"/>
      <c r="AB721" s="34"/>
      <c r="AC721" s="34"/>
    </row>
    <row r="722" spans="1:29" ht="15.75" customHeight="1" x14ac:dyDescent="0.2">
      <c r="A722" s="34"/>
      <c r="B722" s="34"/>
      <c r="C722" s="33"/>
      <c r="D722" s="34"/>
      <c r="E722" s="34"/>
      <c r="F722" s="34"/>
      <c r="G722" s="34"/>
      <c r="H722" s="33"/>
      <c r="I722" s="33"/>
      <c r="J722" s="34"/>
      <c r="K722" s="34"/>
      <c r="L722" s="34"/>
      <c r="M722" s="34"/>
      <c r="N722" s="34"/>
      <c r="O722" s="34"/>
      <c r="P722" s="34"/>
      <c r="Q722" s="34"/>
      <c r="R722" s="34"/>
      <c r="S722" s="34"/>
      <c r="T722" s="34"/>
      <c r="U722" s="34"/>
      <c r="V722" s="34"/>
      <c r="W722" s="34"/>
      <c r="X722" s="34"/>
      <c r="Y722" s="34"/>
      <c r="Z722" s="34"/>
      <c r="AA722" s="34"/>
      <c r="AB722" s="34"/>
      <c r="AC722" s="34"/>
    </row>
    <row r="723" spans="1:29" ht="15.75" customHeight="1" x14ac:dyDescent="0.2">
      <c r="A723" s="34"/>
      <c r="B723" s="34"/>
      <c r="C723" s="33"/>
      <c r="D723" s="34"/>
      <c r="E723" s="34"/>
      <c r="F723" s="34"/>
      <c r="G723" s="34"/>
      <c r="H723" s="33"/>
      <c r="I723" s="33"/>
      <c r="J723" s="34"/>
      <c r="K723" s="34"/>
      <c r="L723" s="34"/>
      <c r="M723" s="34"/>
      <c r="N723" s="34"/>
      <c r="O723" s="34"/>
      <c r="P723" s="34"/>
      <c r="Q723" s="34"/>
      <c r="R723" s="34"/>
      <c r="S723" s="34"/>
      <c r="T723" s="34"/>
      <c r="U723" s="34"/>
      <c r="V723" s="34"/>
      <c r="W723" s="34"/>
      <c r="X723" s="34"/>
      <c r="Y723" s="34"/>
      <c r="Z723" s="34"/>
      <c r="AA723" s="34"/>
      <c r="AB723" s="34"/>
      <c r="AC723" s="34"/>
    </row>
    <row r="724" spans="1:29" ht="15.75" customHeight="1" x14ac:dyDescent="0.2">
      <c r="A724" s="34"/>
      <c r="B724" s="34"/>
      <c r="C724" s="33"/>
      <c r="D724" s="34"/>
      <c r="E724" s="34"/>
      <c r="F724" s="34"/>
      <c r="G724" s="34"/>
      <c r="H724" s="33"/>
      <c r="I724" s="33"/>
      <c r="J724" s="34"/>
      <c r="K724" s="34"/>
      <c r="L724" s="34"/>
      <c r="M724" s="34"/>
      <c r="N724" s="34"/>
      <c r="O724" s="34"/>
      <c r="P724" s="34"/>
      <c r="Q724" s="34"/>
      <c r="R724" s="34"/>
      <c r="S724" s="34"/>
      <c r="T724" s="34"/>
      <c r="U724" s="34"/>
      <c r="V724" s="34"/>
      <c r="W724" s="34"/>
      <c r="X724" s="34"/>
      <c r="Y724" s="34"/>
      <c r="Z724" s="34"/>
      <c r="AA724" s="34"/>
      <c r="AB724" s="34"/>
      <c r="AC724" s="34"/>
    </row>
    <row r="725" spans="1:29" ht="15.75" customHeight="1" x14ac:dyDescent="0.2">
      <c r="A725" s="34"/>
      <c r="B725" s="34"/>
      <c r="C725" s="33"/>
      <c r="D725" s="34"/>
      <c r="E725" s="34"/>
      <c r="F725" s="34"/>
      <c r="G725" s="34"/>
      <c r="H725" s="33"/>
      <c r="I725" s="33"/>
      <c r="J725" s="34"/>
      <c r="K725" s="34"/>
      <c r="L725" s="34"/>
      <c r="M725" s="34"/>
      <c r="N725" s="34"/>
      <c r="O725" s="34"/>
      <c r="P725" s="34"/>
      <c r="Q725" s="34"/>
      <c r="R725" s="34"/>
      <c r="S725" s="34"/>
      <c r="T725" s="34"/>
      <c r="U725" s="34"/>
      <c r="V725" s="34"/>
      <c r="W725" s="34"/>
      <c r="X725" s="34"/>
      <c r="Y725" s="34"/>
      <c r="Z725" s="34"/>
      <c r="AA725" s="34"/>
      <c r="AB725" s="34"/>
      <c r="AC725" s="34"/>
    </row>
    <row r="726" spans="1:29" ht="15.75" customHeight="1" x14ac:dyDescent="0.2">
      <c r="A726" s="34"/>
      <c r="B726" s="34"/>
      <c r="C726" s="33"/>
      <c r="D726" s="34"/>
      <c r="E726" s="34"/>
      <c r="F726" s="34"/>
      <c r="G726" s="34"/>
      <c r="H726" s="33"/>
      <c r="I726" s="33"/>
      <c r="J726" s="34"/>
      <c r="K726" s="34"/>
      <c r="L726" s="34"/>
      <c r="M726" s="34"/>
      <c r="N726" s="34"/>
      <c r="O726" s="34"/>
      <c r="P726" s="34"/>
      <c r="Q726" s="34"/>
      <c r="R726" s="34"/>
      <c r="S726" s="34"/>
      <c r="T726" s="34"/>
      <c r="U726" s="34"/>
      <c r="V726" s="34"/>
      <c r="W726" s="34"/>
      <c r="X726" s="34"/>
      <c r="Y726" s="34"/>
      <c r="Z726" s="34"/>
      <c r="AA726" s="34"/>
      <c r="AB726" s="34"/>
      <c r="AC726" s="34"/>
    </row>
    <row r="727" spans="1:29" ht="15.75" customHeight="1" x14ac:dyDescent="0.2">
      <c r="A727" s="34"/>
      <c r="B727" s="34"/>
      <c r="C727" s="33"/>
      <c r="D727" s="34"/>
      <c r="E727" s="34"/>
      <c r="F727" s="34"/>
      <c r="G727" s="34"/>
      <c r="H727" s="33"/>
      <c r="I727" s="33"/>
      <c r="J727" s="34"/>
      <c r="K727" s="34"/>
      <c r="L727" s="34"/>
      <c r="M727" s="34"/>
      <c r="N727" s="34"/>
      <c r="O727" s="34"/>
      <c r="P727" s="34"/>
      <c r="Q727" s="34"/>
      <c r="R727" s="34"/>
      <c r="S727" s="34"/>
      <c r="T727" s="34"/>
      <c r="U727" s="34"/>
      <c r="V727" s="34"/>
      <c r="W727" s="34"/>
      <c r="X727" s="34"/>
      <c r="Y727" s="34"/>
      <c r="Z727" s="34"/>
      <c r="AA727" s="34"/>
      <c r="AB727" s="34"/>
      <c r="AC727" s="34"/>
    </row>
    <row r="728" spans="1:29" ht="15.75" customHeight="1" x14ac:dyDescent="0.2">
      <c r="A728" s="34"/>
      <c r="B728" s="34"/>
      <c r="C728" s="33"/>
      <c r="D728" s="34"/>
      <c r="E728" s="34"/>
      <c r="F728" s="34"/>
      <c r="G728" s="34"/>
      <c r="H728" s="33"/>
      <c r="I728" s="33"/>
      <c r="J728" s="34"/>
      <c r="K728" s="34"/>
      <c r="L728" s="34"/>
      <c r="M728" s="34"/>
      <c r="N728" s="34"/>
      <c r="O728" s="34"/>
      <c r="P728" s="34"/>
      <c r="Q728" s="34"/>
      <c r="R728" s="34"/>
      <c r="S728" s="34"/>
      <c r="T728" s="34"/>
      <c r="U728" s="34"/>
      <c r="V728" s="34"/>
      <c r="W728" s="34"/>
      <c r="X728" s="34"/>
      <c r="Y728" s="34"/>
      <c r="Z728" s="34"/>
      <c r="AA728" s="34"/>
      <c r="AB728" s="34"/>
      <c r="AC728" s="34"/>
    </row>
    <row r="729" spans="1:29" ht="15.75" customHeight="1" x14ac:dyDescent="0.2">
      <c r="A729" s="34"/>
      <c r="B729" s="34"/>
      <c r="C729" s="33"/>
      <c r="D729" s="34"/>
      <c r="E729" s="34"/>
      <c r="F729" s="34"/>
      <c r="G729" s="34"/>
      <c r="H729" s="33"/>
      <c r="I729" s="33"/>
      <c r="J729" s="34"/>
      <c r="K729" s="34"/>
      <c r="L729" s="34"/>
      <c r="M729" s="34"/>
      <c r="N729" s="34"/>
      <c r="O729" s="34"/>
      <c r="P729" s="34"/>
      <c r="Q729" s="34"/>
      <c r="R729" s="34"/>
      <c r="S729" s="34"/>
      <c r="T729" s="34"/>
      <c r="U729" s="34"/>
      <c r="V729" s="34"/>
      <c r="W729" s="34"/>
      <c r="X729" s="34"/>
      <c r="Y729" s="34"/>
      <c r="Z729" s="34"/>
      <c r="AA729" s="34"/>
      <c r="AB729" s="34"/>
      <c r="AC729" s="34"/>
    </row>
    <row r="730" spans="1:29" ht="15.75" customHeight="1" x14ac:dyDescent="0.2">
      <c r="A730" s="34"/>
      <c r="B730" s="34"/>
      <c r="C730" s="33"/>
      <c r="D730" s="34"/>
      <c r="E730" s="34"/>
      <c r="F730" s="34"/>
      <c r="G730" s="34"/>
      <c r="H730" s="33"/>
      <c r="I730" s="33"/>
      <c r="J730" s="34"/>
      <c r="K730" s="34"/>
      <c r="L730" s="34"/>
      <c r="M730" s="34"/>
      <c r="N730" s="34"/>
      <c r="O730" s="34"/>
      <c r="P730" s="34"/>
      <c r="Q730" s="34"/>
      <c r="R730" s="34"/>
      <c r="S730" s="34"/>
      <c r="T730" s="34"/>
      <c r="U730" s="34"/>
      <c r="V730" s="34"/>
      <c r="W730" s="34"/>
      <c r="X730" s="34"/>
      <c r="Y730" s="34"/>
      <c r="Z730" s="34"/>
      <c r="AA730" s="34"/>
      <c r="AB730" s="34"/>
      <c r="AC730" s="34"/>
    </row>
    <row r="731" spans="1:29" ht="15.75" customHeight="1" x14ac:dyDescent="0.2">
      <c r="A731" s="34"/>
      <c r="B731" s="34"/>
      <c r="C731" s="33"/>
      <c r="D731" s="34"/>
      <c r="E731" s="34"/>
      <c r="F731" s="34"/>
      <c r="G731" s="34"/>
      <c r="H731" s="33"/>
      <c r="I731" s="33"/>
      <c r="J731" s="34"/>
      <c r="K731" s="34"/>
      <c r="L731" s="34"/>
      <c r="M731" s="34"/>
      <c r="N731" s="34"/>
      <c r="O731" s="34"/>
      <c r="P731" s="34"/>
      <c r="Q731" s="34"/>
      <c r="R731" s="34"/>
      <c r="S731" s="34"/>
      <c r="T731" s="34"/>
      <c r="U731" s="34"/>
      <c r="V731" s="34"/>
      <c r="W731" s="34"/>
      <c r="X731" s="34"/>
      <c r="Y731" s="34"/>
      <c r="Z731" s="34"/>
      <c r="AA731" s="34"/>
      <c r="AB731" s="34"/>
      <c r="AC731" s="34"/>
    </row>
    <row r="732" spans="1:29" ht="15.75" customHeight="1" x14ac:dyDescent="0.2">
      <c r="A732" s="34"/>
      <c r="B732" s="34"/>
      <c r="C732" s="33"/>
      <c r="D732" s="34"/>
      <c r="E732" s="34"/>
      <c r="F732" s="34"/>
      <c r="G732" s="34"/>
      <c r="H732" s="33"/>
      <c r="I732" s="33"/>
      <c r="J732" s="34"/>
      <c r="K732" s="34"/>
      <c r="L732" s="34"/>
      <c r="M732" s="34"/>
      <c r="N732" s="34"/>
      <c r="O732" s="34"/>
      <c r="P732" s="34"/>
      <c r="Q732" s="34"/>
      <c r="R732" s="34"/>
      <c r="S732" s="34"/>
      <c r="T732" s="34"/>
      <c r="U732" s="34"/>
      <c r="V732" s="34"/>
      <c r="W732" s="34"/>
      <c r="X732" s="34"/>
      <c r="Y732" s="34"/>
      <c r="Z732" s="34"/>
      <c r="AA732" s="34"/>
      <c r="AB732" s="34"/>
      <c r="AC732" s="34"/>
    </row>
    <row r="733" spans="1:29" ht="15.75" customHeight="1" x14ac:dyDescent="0.2">
      <c r="A733" s="34"/>
      <c r="B733" s="34"/>
      <c r="C733" s="33"/>
      <c r="D733" s="34"/>
      <c r="E733" s="34"/>
      <c r="F733" s="34"/>
      <c r="G733" s="34"/>
      <c r="H733" s="33"/>
      <c r="I733" s="33"/>
      <c r="J733" s="34"/>
      <c r="K733" s="34"/>
      <c r="L733" s="34"/>
      <c r="M733" s="34"/>
      <c r="N733" s="34"/>
      <c r="O733" s="34"/>
      <c r="P733" s="34"/>
      <c r="Q733" s="34"/>
      <c r="R733" s="34"/>
      <c r="S733" s="34"/>
      <c r="T733" s="34"/>
      <c r="U733" s="34"/>
      <c r="V733" s="34"/>
      <c r="W733" s="34"/>
      <c r="X733" s="34"/>
      <c r="Y733" s="34"/>
      <c r="Z733" s="34"/>
      <c r="AA733" s="34"/>
      <c r="AB733" s="34"/>
      <c r="AC733" s="34"/>
    </row>
    <row r="734" spans="1:29" ht="15.75" customHeight="1" x14ac:dyDescent="0.2">
      <c r="A734" s="34"/>
      <c r="B734" s="34"/>
      <c r="C734" s="33"/>
      <c r="D734" s="34"/>
      <c r="E734" s="34"/>
      <c r="F734" s="34"/>
      <c r="G734" s="34"/>
      <c r="H734" s="33"/>
      <c r="I734" s="33"/>
      <c r="J734" s="34"/>
      <c r="K734" s="34"/>
      <c r="L734" s="34"/>
      <c r="M734" s="34"/>
      <c r="N734" s="34"/>
      <c r="O734" s="34"/>
      <c r="P734" s="34"/>
      <c r="Q734" s="34"/>
      <c r="R734" s="34"/>
      <c r="S734" s="34"/>
      <c r="T734" s="34"/>
      <c r="U734" s="34"/>
      <c r="V734" s="34"/>
      <c r="W734" s="34"/>
      <c r="X734" s="34"/>
      <c r="Y734" s="34"/>
      <c r="Z734" s="34"/>
      <c r="AA734" s="34"/>
      <c r="AB734" s="34"/>
      <c r="AC734" s="34"/>
    </row>
    <row r="735" spans="1:29" ht="15.75" customHeight="1" x14ac:dyDescent="0.2">
      <c r="A735" s="34"/>
      <c r="B735" s="34"/>
      <c r="C735" s="33"/>
      <c r="D735" s="34"/>
      <c r="E735" s="34"/>
      <c r="F735" s="34"/>
      <c r="G735" s="34"/>
      <c r="H735" s="33"/>
      <c r="I735" s="33"/>
      <c r="J735" s="34"/>
      <c r="K735" s="34"/>
      <c r="L735" s="34"/>
      <c r="M735" s="34"/>
      <c r="N735" s="34"/>
      <c r="O735" s="34"/>
      <c r="P735" s="34"/>
      <c r="Q735" s="34"/>
      <c r="R735" s="34"/>
      <c r="S735" s="34"/>
      <c r="T735" s="34"/>
      <c r="U735" s="34"/>
      <c r="V735" s="34"/>
      <c r="W735" s="34"/>
      <c r="X735" s="34"/>
      <c r="Y735" s="34"/>
      <c r="Z735" s="34"/>
      <c r="AA735" s="34"/>
      <c r="AB735" s="34"/>
      <c r="AC735" s="34"/>
    </row>
    <row r="736" spans="1:29" ht="15.75" customHeight="1" x14ac:dyDescent="0.2">
      <c r="A736" s="34"/>
      <c r="B736" s="34"/>
      <c r="C736" s="33"/>
      <c r="D736" s="34"/>
      <c r="E736" s="34"/>
      <c r="F736" s="34"/>
      <c r="G736" s="34"/>
      <c r="H736" s="33"/>
      <c r="I736" s="33"/>
      <c r="J736" s="34"/>
      <c r="K736" s="34"/>
      <c r="L736" s="34"/>
      <c r="M736" s="34"/>
      <c r="N736" s="34"/>
      <c r="O736" s="34"/>
      <c r="P736" s="34"/>
      <c r="Q736" s="34"/>
      <c r="R736" s="34"/>
      <c r="S736" s="34"/>
      <c r="T736" s="34"/>
      <c r="U736" s="34"/>
      <c r="V736" s="34"/>
      <c r="W736" s="34"/>
      <c r="X736" s="34"/>
      <c r="Y736" s="34"/>
      <c r="Z736" s="34"/>
      <c r="AA736" s="34"/>
      <c r="AB736" s="34"/>
      <c r="AC736" s="34"/>
    </row>
    <row r="737" spans="1:29" ht="15.75" customHeight="1" x14ac:dyDescent="0.2">
      <c r="A737" s="34"/>
      <c r="B737" s="34"/>
      <c r="C737" s="33"/>
      <c r="D737" s="34"/>
      <c r="E737" s="34"/>
      <c r="F737" s="34"/>
      <c r="G737" s="34"/>
      <c r="H737" s="33"/>
      <c r="I737" s="33"/>
      <c r="J737" s="34"/>
      <c r="K737" s="34"/>
      <c r="L737" s="34"/>
      <c r="M737" s="34"/>
      <c r="N737" s="34"/>
      <c r="O737" s="34"/>
      <c r="P737" s="34"/>
      <c r="Q737" s="34"/>
      <c r="R737" s="34"/>
      <c r="S737" s="34"/>
      <c r="T737" s="34"/>
      <c r="U737" s="34"/>
      <c r="V737" s="34"/>
      <c r="W737" s="34"/>
      <c r="X737" s="34"/>
      <c r="Y737" s="34"/>
      <c r="Z737" s="34"/>
      <c r="AA737" s="34"/>
      <c r="AB737" s="34"/>
      <c r="AC737" s="34"/>
    </row>
    <row r="738" spans="1:29" ht="15.75" customHeight="1" x14ac:dyDescent="0.2">
      <c r="A738" s="34"/>
      <c r="B738" s="34"/>
      <c r="C738" s="33"/>
      <c r="D738" s="34"/>
      <c r="E738" s="34"/>
      <c r="F738" s="34"/>
      <c r="G738" s="34"/>
      <c r="H738" s="33"/>
      <c r="I738" s="33"/>
      <c r="J738" s="34"/>
      <c r="K738" s="34"/>
      <c r="L738" s="34"/>
      <c r="M738" s="34"/>
      <c r="N738" s="34"/>
      <c r="O738" s="34"/>
      <c r="P738" s="34"/>
      <c r="Q738" s="34"/>
      <c r="R738" s="34"/>
      <c r="S738" s="34"/>
      <c r="T738" s="34"/>
      <c r="U738" s="34"/>
      <c r="V738" s="34"/>
      <c r="W738" s="34"/>
      <c r="X738" s="34"/>
      <c r="Y738" s="34"/>
      <c r="Z738" s="34"/>
      <c r="AA738" s="34"/>
      <c r="AB738" s="34"/>
      <c r="AC738" s="34"/>
    </row>
    <row r="739" spans="1:29" ht="15.75" customHeight="1" x14ac:dyDescent="0.2">
      <c r="A739" s="34"/>
      <c r="B739" s="34"/>
      <c r="C739" s="33"/>
      <c r="D739" s="34"/>
      <c r="E739" s="34"/>
      <c r="F739" s="34"/>
      <c r="G739" s="34"/>
      <c r="H739" s="33"/>
      <c r="I739" s="33"/>
      <c r="J739" s="34"/>
      <c r="K739" s="34"/>
      <c r="L739" s="34"/>
      <c r="M739" s="34"/>
      <c r="N739" s="34"/>
      <c r="O739" s="34"/>
      <c r="P739" s="34"/>
      <c r="Q739" s="34"/>
      <c r="R739" s="34"/>
      <c r="S739" s="34"/>
      <c r="T739" s="34"/>
      <c r="U739" s="34"/>
      <c r="V739" s="34"/>
      <c r="W739" s="34"/>
      <c r="X739" s="34"/>
      <c r="Y739" s="34"/>
      <c r="Z739" s="34"/>
      <c r="AA739" s="34"/>
      <c r="AB739" s="34"/>
      <c r="AC739" s="34"/>
    </row>
    <row r="740" spans="1:29" ht="15.75" customHeight="1" x14ac:dyDescent="0.2">
      <c r="A740" s="34"/>
      <c r="B740" s="34"/>
      <c r="C740" s="33"/>
      <c r="D740" s="34"/>
      <c r="E740" s="34"/>
      <c r="F740" s="34"/>
      <c r="G740" s="34"/>
      <c r="H740" s="33"/>
      <c r="I740" s="33"/>
      <c r="J740" s="34"/>
      <c r="K740" s="34"/>
      <c r="L740" s="34"/>
      <c r="M740" s="34"/>
      <c r="N740" s="34"/>
      <c r="O740" s="34"/>
      <c r="P740" s="34"/>
      <c r="Q740" s="34"/>
      <c r="R740" s="34"/>
      <c r="S740" s="34"/>
      <c r="T740" s="34"/>
      <c r="U740" s="34"/>
      <c r="V740" s="34"/>
      <c r="W740" s="34"/>
      <c r="X740" s="34"/>
      <c r="Y740" s="34"/>
      <c r="Z740" s="34"/>
      <c r="AA740" s="34"/>
      <c r="AB740" s="34"/>
      <c r="AC740" s="34"/>
    </row>
    <row r="741" spans="1:29" ht="15.75" customHeight="1" x14ac:dyDescent="0.2">
      <c r="A741" s="34"/>
      <c r="B741" s="34"/>
      <c r="C741" s="33"/>
      <c r="D741" s="34"/>
      <c r="E741" s="34"/>
      <c r="F741" s="34"/>
      <c r="G741" s="34"/>
      <c r="H741" s="33"/>
      <c r="I741" s="33"/>
      <c r="J741" s="34"/>
      <c r="K741" s="34"/>
      <c r="L741" s="34"/>
      <c r="M741" s="34"/>
      <c r="N741" s="34"/>
      <c r="O741" s="34"/>
      <c r="P741" s="34"/>
      <c r="Q741" s="34"/>
      <c r="R741" s="34"/>
      <c r="S741" s="34"/>
      <c r="T741" s="34"/>
      <c r="U741" s="34"/>
      <c r="V741" s="34"/>
      <c r="W741" s="34"/>
      <c r="X741" s="34"/>
      <c r="Y741" s="34"/>
      <c r="Z741" s="34"/>
      <c r="AA741" s="34"/>
      <c r="AB741" s="34"/>
      <c r="AC741" s="34"/>
    </row>
    <row r="742" spans="1:29" ht="15.75" customHeight="1" x14ac:dyDescent="0.2">
      <c r="A742" s="34"/>
      <c r="B742" s="34"/>
      <c r="C742" s="33"/>
      <c r="D742" s="34"/>
      <c r="E742" s="34"/>
      <c r="F742" s="34"/>
      <c r="G742" s="34"/>
      <c r="H742" s="33"/>
      <c r="I742" s="33"/>
      <c r="J742" s="34"/>
      <c r="K742" s="34"/>
      <c r="L742" s="34"/>
      <c r="M742" s="34"/>
      <c r="N742" s="34"/>
      <c r="O742" s="34"/>
      <c r="P742" s="34"/>
      <c r="Q742" s="34"/>
      <c r="R742" s="34"/>
      <c r="S742" s="34"/>
      <c r="T742" s="34"/>
      <c r="U742" s="34"/>
      <c r="V742" s="34"/>
      <c r="W742" s="34"/>
      <c r="X742" s="34"/>
      <c r="Y742" s="34"/>
      <c r="Z742" s="34"/>
      <c r="AA742" s="34"/>
      <c r="AB742" s="34"/>
      <c r="AC742" s="34"/>
    </row>
    <row r="743" spans="1:29" ht="15.75" customHeight="1" x14ac:dyDescent="0.2">
      <c r="A743" s="34"/>
      <c r="B743" s="34"/>
      <c r="C743" s="33"/>
      <c r="D743" s="34"/>
      <c r="E743" s="34"/>
      <c r="F743" s="34"/>
      <c r="G743" s="34"/>
      <c r="H743" s="33"/>
      <c r="I743" s="33"/>
      <c r="J743" s="34"/>
      <c r="K743" s="34"/>
      <c r="L743" s="34"/>
      <c r="M743" s="34"/>
      <c r="N743" s="34"/>
      <c r="O743" s="34"/>
      <c r="P743" s="34"/>
      <c r="Q743" s="34"/>
      <c r="R743" s="34"/>
      <c r="S743" s="34"/>
      <c r="T743" s="34"/>
      <c r="U743" s="34"/>
      <c r="V743" s="34"/>
      <c r="W743" s="34"/>
      <c r="X743" s="34"/>
      <c r="Y743" s="34"/>
      <c r="Z743" s="34"/>
      <c r="AA743" s="34"/>
      <c r="AB743" s="34"/>
      <c r="AC743" s="34"/>
    </row>
    <row r="744" spans="1:29" ht="15.75" customHeight="1" x14ac:dyDescent="0.2">
      <c r="A744" s="34"/>
      <c r="B744" s="34"/>
      <c r="C744" s="33"/>
      <c r="D744" s="34"/>
      <c r="E744" s="34"/>
      <c r="F744" s="34"/>
      <c r="G744" s="34"/>
      <c r="H744" s="33"/>
      <c r="I744" s="33"/>
      <c r="J744" s="34"/>
      <c r="K744" s="34"/>
      <c r="L744" s="34"/>
      <c r="M744" s="34"/>
      <c r="N744" s="34"/>
      <c r="O744" s="34"/>
      <c r="P744" s="34"/>
      <c r="Q744" s="34"/>
      <c r="R744" s="34"/>
      <c r="S744" s="34"/>
      <c r="T744" s="34"/>
      <c r="U744" s="34"/>
      <c r="V744" s="34"/>
      <c r="W744" s="34"/>
      <c r="X744" s="34"/>
      <c r="Y744" s="34"/>
      <c r="Z744" s="34"/>
      <c r="AA744" s="34"/>
      <c r="AB744" s="34"/>
      <c r="AC744" s="34"/>
    </row>
    <row r="745" spans="1:29" ht="15.75" customHeight="1" x14ac:dyDescent="0.2">
      <c r="A745" s="34"/>
      <c r="B745" s="34"/>
      <c r="C745" s="33"/>
      <c r="D745" s="34"/>
      <c r="E745" s="34"/>
      <c r="F745" s="34"/>
      <c r="G745" s="34"/>
      <c r="H745" s="33"/>
      <c r="I745" s="33"/>
      <c r="J745" s="34"/>
      <c r="K745" s="34"/>
      <c r="L745" s="34"/>
      <c r="M745" s="34"/>
      <c r="N745" s="34"/>
      <c r="O745" s="34"/>
      <c r="P745" s="34"/>
      <c r="Q745" s="34"/>
      <c r="R745" s="34"/>
      <c r="S745" s="34"/>
      <c r="T745" s="34"/>
      <c r="U745" s="34"/>
      <c r="V745" s="34"/>
      <c r="W745" s="34"/>
      <c r="X745" s="34"/>
      <c r="Y745" s="34"/>
      <c r="Z745" s="34"/>
      <c r="AA745" s="34"/>
      <c r="AB745" s="34"/>
      <c r="AC745" s="34"/>
    </row>
    <row r="746" spans="1:29" ht="15.75" customHeight="1" x14ac:dyDescent="0.2">
      <c r="A746" s="34"/>
      <c r="B746" s="34"/>
      <c r="C746" s="33"/>
      <c r="D746" s="34"/>
      <c r="E746" s="34"/>
      <c r="F746" s="34"/>
      <c r="G746" s="34"/>
      <c r="H746" s="33"/>
      <c r="I746" s="33"/>
      <c r="J746" s="34"/>
      <c r="K746" s="34"/>
      <c r="L746" s="34"/>
      <c r="M746" s="34"/>
      <c r="N746" s="34"/>
      <c r="O746" s="34"/>
      <c r="P746" s="34"/>
      <c r="Q746" s="34"/>
      <c r="R746" s="34"/>
      <c r="S746" s="34"/>
      <c r="T746" s="34"/>
      <c r="U746" s="34"/>
      <c r="V746" s="34"/>
      <c r="W746" s="34"/>
      <c r="X746" s="34"/>
      <c r="Y746" s="34"/>
      <c r="Z746" s="34"/>
      <c r="AA746" s="34"/>
      <c r="AB746" s="34"/>
      <c r="AC746" s="34"/>
    </row>
    <row r="747" spans="1:29" ht="15.75" customHeight="1" x14ac:dyDescent="0.2">
      <c r="A747" s="34"/>
      <c r="B747" s="34"/>
      <c r="C747" s="33"/>
      <c r="D747" s="34"/>
      <c r="E747" s="34"/>
      <c r="F747" s="34"/>
      <c r="G747" s="34"/>
      <c r="H747" s="33"/>
      <c r="I747" s="33"/>
      <c r="J747" s="34"/>
      <c r="K747" s="34"/>
      <c r="L747" s="34"/>
      <c r="M747" s="34"/>
      <c r="N747" s="34"/>
      <c r="O747" s="34"/>
      <c r="P747" s="34"/>
      <c r="Q747" s="34"/>
      <c r="R747" s="34"/>
      <c r="S747" s="34"/>
      <c r="T747" s="34"/>
      <c r="U747" s="34"/>
      <c r="V747" s="34"/>
      <c r="W747" s="34"/>
      <c r="X747" s="34"/>
      <c r="Y747" s="34"/>
      <c r="Z747" s="34"/>
      <c r="AA747" s="34"/>
      <c r="AB747" s="34"/>
      <c r="AC747" s="34"/>
    </row>
    <row r="748" spans="1:29" ht="15.75" customHeight="1" x14ac:dyDescent="0.2">
      <c r="A748" s="34"/>
      <c r="B748" s="34"/>
      <c r="C748" s="33"/>
      <c r="D748" s="34"/>
      <c r="E748" s="34"/>
      <c r="F748" s="34"/>
      <c r="G748" s="34"/>
      <c r="H748" s="33"/>
      <c r="I748" s="33"/>
      <c r="J748" s="34"/>
      <c r="K748" s="34"/>
      <c r="L748" s="34"/>
      <c r="M748" s="34"/>
      <c r="N748" s="34"/>
      <c r="O748" s="34"/>
      <c r="P748" s="34"/>
      <c r="Q748" s="34"/>
      <c r="R748" s="34"/>
      <c r="S748" s="34"/>
      <c r="T748" s="34"/>
      <c r="U748" s="34"/>
      <c r="V748" s="34"/>
      <c r="W748" s="34"/>
      <c r="X748" s="34"/>
      <c r="Y748" s="34"/>
      <c r="Z748" s="34"/>
      <c r="AA748" s="34"/>
      <c r="AB748" s="34"/>
      <c r="AC748" s="34"/>
    </row>
    <row r="749" spans="1:29" ht="15.75" customHeight="1" x14ac:dyDescent="0.2">
      <c r="A749" s="34"/>
      <c r="B749" s="34"/>
      <c r="C749" s="33"/>
      <c r="D749" s="34"/>
      <c r="E749" s="34"/>
      <c r="F749" s="34"/>
      <c r="G749" s="34"/>
      <c r="H749" s="33"/>
      <c r="I749" s="33"/>
      <c r="J749" s="34"/>
      <c r="K749" s="34"/>
      <c r="L749" s="34"/>
      <c r="M749" s="34"/>
      <c r="N749" s="34"/>
      <c r="O749" s="34"/>
      <c r="P749" s="34"/>
      <c r="Q749" s="34"/>
      <c r="R749" s="34"/>
      <c r="S749" s="34"/>
      <c r="T749" s="34"/>
      <c r="U749" s="34"/>
      <c r="V749" s="34"/>
      <c r="W749" s="34"/>
      <c r="X749" s="34"/>
      <c r="Y749" s="34"/>
      <c r="Z749" s="34"/>
      <c r="AA749" s="34"/>
      <c r="AB749" s="34"/>
      <c r="AC749" s="34"/>
    </row>
    <row r="750" spans="1:29" ht="15.75" customHeight="1" x14ac:dyDescent="0.2">
      <c r="A750" s="34"/>
      <c r="B750" s="34"/>
      <c r="C750" s="33"/>
      <c r="D750" s="34"/>
      <c r="E750" s="34"/>
      <c r="F750" s="34"/>
      <c r="G750" s="34"/>
      <c r="H750" s="33"/>
      <c r="I750" s="33"/>
      <c r="J750" s="34"/>
      <c r="K750" s="34"/>
      <c r="L750" s="34"/>
      <c r="M750" s="34"/>
      <c r="N750" s="34"/>
      <c r="O750" s="34"/>
      <c r="P750" s="34"/>
      <c r="Q750" s="34"/>
      <c r="R750" s="34"/>
      <c r="S750" s="34"/>
      <c r="T750" s="34"/>
      <c r="U750" s="34"/>
      <c r="V750" s="34"/>
      <c r="W750" s="34"/>
      <c r="X750" s="34"/>
      <c r="Y750" s="34"/>
      <c r="Z750" s="34"/>
      <c r="AA750" s="34"/>
      <c r="AB750" s="34"/>
      <c r="AC750" s="34"/>
    </row>
    <row r="751" spans="1:29" ht="15.75" customHeight="1" x14ac:dyDescent="0.2">
      <c r="A751" s="34"/>
      <c r="B751" s="34"/>
      <c r="C751" s="33"/>
      <c r="D751" s="34"/>
      <c r="E751" s="34"/>
      <c r="F751" s="34"/>
      <c r="G751" s="34"/>
      <c r="H751" s="33"/>
      <c r="I751" s="33"/>
      <c r="J751" s="34"/>
      <c r="K751" s="34"/>
      <c r="L751" s="34"/>
      <c r="M751" s="34"/>
      <c r="N751" s="34"/>
      <c r="O751" s="34"/>
      <c r="P751" s="34"/>
      <c r="Q751" s="34"/>
      <c r="R751" s="34"/>
      <c r="S751" s="34"/>
      <c r="T751" s="34"/>
      <c r="U751" s="34"/>
      <c r="V751" s="34"/>
      <c r="W751" s="34"/>
      <c r="X751" s="34"/>
      <c r="Y751" s="34"/>
      <c r="Z751" s="34"/>
      <c r="AA751" s="34"/>
      <c r="AB751" s="34"/>
      <c r="AC751" s="34"/>
    </row>
    <row r="752" spans="1:29" ht="15.75" customHeight="1" x14ac:dyDescent="0.2">
      <c r="A752" s="34"/>
      <c r="B752" s="34"/>
      <c r="C752" s="33"/>
      <c r="D752" s="34"/>
      <c r="E752" s="34"/>
      <c r="F752" s="34"/>
      <c r="G752" s="34"/>
      <c r="H752" s="33"/>
      <c r="I752" s="33"/>
      <c r="J752" s="34"/>
      <c r="K752" s="34"/>
      <c r="L752" s="34"/>
      <c r="M752" s="34"/>
      <c r="N752" s="34"/>
      <c r="O752" s="34"/>
      <c r="P752" s="34"/>
      <c r="Q752" s="34"/>
      <c r="R752" s="34"/>
      <c r="S752" s="34"/>
      <c r="T752" s="34"/>
      <c r="U752" s="34"/>
      <c r="V752" s="34"/>
      <c r="W752" s="34"/>
      <c r="X752" s="34"/>
      <c r="Y752" s="34"/>
      <c r="Z752" s="34"/>
      <c r="AA752" s="34"/>
      <c r="AB752" s="34"/>
      <c r="AC752" s="34"/>
    </row>
    <row r="753" spans="1:29" ht="15.75" customHeight="1" x14ac:dyDescent="0.2">
      <c r="A753" s="34"/>
      <c r="B753" s="34"/>
      <c r="C753" s="33"/>
      <c r="D753" s="34"/>
      <c r="E753" s="34"/>
      <c r="F753" s="34"/>
      <c r="G753" s="34"/>
      <c r="H753" s="33"/>
      <c r="I753" s="33"/>
      <c r="J753" s="34"/>
      <c r="K753" s="34"/>
      <c r="L753" s="34"/>
      <c r="M753" s="34"/>
      <c r="N753" s="34"/>
      <c r="O753" s="34"/>
      <c r="P753" s="34"/>
      <c r="Q753" s="34"/>
      <c r="R753" s="34"/>
      <c r="S753" s="34"/>
      <c r="T753" s="34"/>
      <c r="U753" s="34"/>
      <c r="V753" s="34"/>
      <c r="W753" s="34"/>
      <c r="X753" s="34"/>
      <c r="Y753" s="34"/>
      <c r="Z753" s="34"/>
      <c r="AA753" s="34"/>
      <c r="AB753" s="34"/>
      <c r="AC753" s="34"/>
    </row>
    <row r="754" spans="1:29" ht="15.75" customHeight="1" x14ac:dyDescent="0.2">
      <c r="A754" s="34"/>
      <c r="B754" s="34"/>
      <c r="C754" s="33"/>
      <c r="D754" s="34"/>
      <c r="E754" s="34"/>
      <c r="F754" s="34"/>
      <c r="G754" s="34"/>
      <c r="H754" s="33"/>
      <c r="I754" s="33"/>
      <c r="J754" s="34"/>
      <c r="K754" s="34"/>
      <c r="L754" s="34"/>
      <c r="M754" s="34"/>
      <c r="N754" s="34"/>
      <c r="O754" s="34"/>
      <c r="P754" s="34"/>
      <c r="Q754" s="34"/>
      <c r="R754" s="34"/>
      <c r="S754" s="34"/>
      <c r="T754" s="34"/>
      <c r="U754" s="34"/>
      <c r="V754" s="34"/>
      <c r="W754" s="34"/>
      <c r="X754" s="34"/>
      <c r="Y754" s="34"/>
      <c r="Z754" s="34"/>
      <c r="AA754" s="34"/>
      <c r="AB754" s="34"/>
      <c r="AC754" s="34"/>
    </row>
    <row r="755" spans="1:29" ht="15.75" customHeight="1" x14ac:dyDescent="0.2">
      <c r="A755" s="34"/>
      <c r="B755" s="34"/>
      <c r="C755" s="33"/>
      <c r="D755" s="34"/>
      <c r="E755" s="34"/>
      <c r="F755" s="34"/>
      <c r="G755" s="34"/>
      <c r="H755" s="33"/>
      <c r="I755" s="33"/>
      <c r="J755" s="34"/>
      <c r="K755" s="34"/>
      <c r="L755" s="34"/>
      <c r="M755" s="34"/>
      <c r="N755" s="34"/>
      <c r="O755" s="34"/>
      <c r="P755" s="34"/>
      <c r="Q755" s="34"/>
      <c r="R755" s="34"/>
      <c r="S755" s="34"/>
      <c r="T755" s="34"/>
      <c r="U755" s="34"/>
      <c r="V755" s="34"/>
      <c r="W755" s="34"/>
      <c r="X755" s="34"/>
      <c r="Y755" s="34"/>
      <c r="Z755" s="34"/>
      <c r="AA755" s="34"/>
      <c r="AB755" s="34"/>
      <c r="AC755" s="34"/>
    </row>
    <row r="756" spans="1:29" ht="15.75" customHeight="1" x14ac:dyDescent="0.2">
      <c r="A756" s="34"/>
      <c r="B756" s="34"/>
      <c r="C756" s="33"/>
      <c r="D756" s="34"/>
      <c r="E756" s="34"/>
      <c r="F756" s="34"/>
      <c r="G756" s="34"/>
      <c r="H756" s="33"/>
      <c r="I756" s="33"/>
      <c r="J756" s="34"/>
      <c r="K756" s="34"/>
      <c r="L756" s="34"/>
      <c r="M756" s="34"/>
      <c r="N756" s="34"/>
      <c r="O756" s="34"/>
      <c r="P756" s="34"/>
      <c r="Q756" s="34"/>
      <c r="R756" s="34"/>
      <c r="S756" s="34"/>
      <c r="T756" s="34"/>
      <c r="U756" s="34"/>
      <c r="V756" s="34"/>
      <c r="W756" s="34"/>
      <c r="X756" s="34"/>
      <c r="Y756" s="34"/>
      <c r="Z756" s="34"/>
      <c r="AA756" s="34"/>
      <c r="AB756" s="34"/>
      <c r="AC756" s="34"/>
    </row>
    <row r="757" spans="1:29" ht="15.75" customHeight="1" x14ac:dyDescent="0.2">
      <c r="A757" s="34"/>
      <c r="B757" s="34"/>
      <c r="C757" s="33"/>
      <c r="D757" s="34"/>
      <c r="E757" s="34"/>
      <c r="F757" s="34"/>
      <c r="G757" s="34"/>
      <c r="H757" s="33"/>
      <c r="I757" s="33"/>
      <c r="J757" s="34"/>
      <c r="K757" s="34"/>
      <c r="L757" s="34"/>
      <c r="M757" s="34"/>
      <c r="N757" s="34"/>
      <c r="O757" s="34"/>
      <c r="P757" s="34"/>
      <c r="Q757" s="34"/>
      <c r="R757" s="34"/>
      <c r="S757" s="34"/>
      <c r="T757" s="34"/>
      <c r="U757" s="34"/>
      <c r="V757" s="34"/>
      <c r="W757" s="34"/>
      <c r="X757" s="34"/>
      <c r="Y757" s="34"/>
      <c r="Z757" s="34"/>
      <c r="AA757" s="34"/>
      <c r="AB757" s="34"/>
      <c r="AC757" s="34"/>
    </row>
    <row r="758" spans="1:29" ht="15.75" customHeight="1" x14ac:dyDescent="0.2">
      <c r="A758" s="34"/>
      <c r="B758" s="34"/>
      <c r="C758" s="33"/>
      <c r="D758" s="34"/>
      <c r="E758" s="34"/>
      <c r="F758" s="34"/>
      <c r="G758" s="34"/>
      <c r="H758" s="33"/>
      <c r="I758" s="33"/>
      <c r="J758" s="34"/>
      <c r="K758" s="34"/>
      <c r="L758" s="34"/>
      <c r="M758" s="34"/>
      <c r="N758" s="34"/>
      <c r="O758" s="34"/>
      <c r="P758" s="34"/>
      <c r="Q758" s="34"/>
      <c r="R758" s="34"/>
      <c r="S758" s="34"/>
      <c r="T758" s="34"/>
      <c r="U758" s="34"/>
      <c r="V758" s="34"/>
      <c r="W758" s="34"/>
      <c r="X758" s="34"/>
      <c r="Y758" s="34"/>
      <c r="Z758" s="34"/>
      <c r="AA758" s="34"/>
      <c r="AB758" s="34"/>
      <c r="AC758" s="34"/>
    </row>
    <row r="759" spans="1:29" ht="15.75" customHeight="1" x14ac:dyDescent="0.2">
      <c r="A759" s="34"/>
      <c r="B759" s="34"/>
      <c r="C759" s="33"/>
      <c r="D759" s="34"/>
      <c r="E759" s="34"/>
      <c r="F759" s="34"/>
      <c r="G759" s="34"/>
      <c r="H759" s="33"/>
      <c r="I759" s="33"/>
      <c r="J759" s="34"/>
      <c r="K759" s="34"/>
      <c r="L759" s="34"/>
      <c r="M759" s="34"/>
      <c r="N759" s="34"/>
      <c r="O759" s="34"/>
      <c r="P759" s="34"/>
      <c r="Q759" s="34"/>
      <c r="R759" s="34"/>
      <c r="S759" s="34"/>
      <c r="T759" s="34"/>
      <c r="U759" s="34"/>
      <c r="V759" s="34"/>
      <c r="W759" s="34"/>
      <c r="X759" s="34"/>
      <c r="Y759" s="34"/>
      <c r="Z759" s="34"/>
      <c r="AA759" s="34"/>
      <c r="AB759" s="34"/>
      <c r="AC759" s="34"/>
    </row>
    <row r="760" spans="1:29" ht="15.75" customHeight="1" x14ac:dyDescent="0.2">
      <c r="A760" s="34"/>
      <c r="B760" s="34"/>
      <c r="C760" s="33"/>
      <c r="D760" s="34"/>
      <c r="E760" s="34"/>
      <c r="F760" s="34"/>
      <c r="G760" s="34"/>
      <c r="H760" s="33"/>
      <c r="I760" s="33"/>
      <c r="J760" s="34"/>
      <c r="K760" s="34"/>
      <c r="L760" s="34"/>
      <c r="M760" s="34"/>
      <c r="N760" s="34"/>
      <c r="O760" s="34"/>
      <c r="P760" s="34"/>
      <c r="Q760" s="34"/>
      <c r="R760" s="34"/>
      <c r="S760" s="34"/>
      <c r="T760" s="34"/>
      <c r="U760" s="34"/>
      <c r="V760" s="34"/>
      <c r="W760" s="34"/>
      <c r="X760" s="34"/>
      <c r="Y760" s="34"/>
      <c r="Z760" s="34"/>
      <c r="AA760" s="34"/>
      <c r="AB760" s="34"/>
      <c r="AC760" s="34"/>
    </row>
    <row r="761" spans="1:29" ht="15.75" customHeight="1" x14ac:dyDescent="0.2">
      <c r="A761" s="34"/>
      <c r="B761" s="34"/>
      <c r="C761" s="33"/>
      <c r="D761" s="34"/>
      <c r="E761" s="34"/>
      <c r="F761" s="34"/>
      <c r="G761" s="34"/>
      <c r="H761" s="33"/>
      <c r="I761" s="33"/>
      <c r="J761" s="34"/>
      <c r="K761" s="34"/>
      <c r="L761" s="34"/>
      <c r="M761" s="34"/>
      <c r="N761" s="34"/>
      <c r="O761" s="34"/>
      <c r="P761" s="34"/>
      <c r="Q761" s="34"/>
      <c r="R761" s="34"/>
      <c r="S761" s="34"/>
      <c r="T761" s="34"/>
      <c r="U761" s="34"/>
      <c r="V761" s="34"/>
      <c r="W761" s="34"/>
      <c r="X761" s="34"/>
      <c r="Y761" s="34"/>
      <c r="Z761" s="34"/>
      <c r="AA761" s="34"/>
      <c r="AB761" s="34"/>
      <c r="AC761" s="34"/>
    </row>
    <row r="762" spans="1:29" ht="15.75" customHeight="1" x14ac:dyDescent="0.2">
      <c r="A762" s="34"/>
      <c r="B762" s="34"/>
      <c r="C762" s="33"/>
      <c r="D762" s="34"/>
      <c r="E762" s="34"/>
      <c r="F762" s="34"/>
      <c r="G762" s="34"/>
      <c r="H762" s="33"/>
      <c r="I762" s="33"/>
      <c r="J762" s="34"/>
      <c r="K762" s="34"/>
      <c r="L762" s="34"/>
      <c r="M762" s="34"/>
      <c r="N762" s="34"/>
      <c r="O762" s="34"/>
      <c r="P762" s="34"/>
      <c r="Q762" s="34"/>
      <c r="R762" s="34"/>
      <c r="S762" s="34"/>
      <c r="T762" s="34"/>
      <c r="U762" s="34"/>
      <c r="V762" s="34"/>
      <c r="W762" s="34"/>
      <c r="X762" s="34"/>
      <c r="Y762" s="34"/>
      <c r="Z762" s="34"/>
      <c r="AA762" s="34"/>
      <c r="AB762" s="34"/>
      <c r="AC762" s="34"/>
    </row>
    <row r="763" spans="1:29" ht="15.75" customHeight="1" x14ac:dyDescent="0.2">
      <c r="A763" s="34"/>
      <c r="B763" s="34"/>
      <c r="C763" s="33"/>
      <c r="D763" s="34"/>
      <c r="E763" s="34"/>
      <c r="F763" s="34"/>
      <c r="G763" s="34"/>
      <c r="H763" s="33"/>
      <c r="I763" s="33"/>
      <c r="J763" s="34"/>
      <c r="K763" s="34"/>
      <c r="L763" s="34"/>
      <c r="M763" s="34"/>
      <c r="N763" s="34"/>
      <c r="O763" s="34"/>
      <c r="P763" s="34"/>
      <c r="Q763" s="34"/>
      <c r="R763" s="34"/>
      <c r="S763" s="34"/>
      <c r="T763" s="34"/>
      <c r="U763" s="34"/>
      <c r="V763" s="34"/>
      <c r="W763" s="34"/>
      <c r="X763" s="34"/>
      <c r="Y763" s="34"/>
      <c r="Z763" s="34"/>
      <c r="AA763" s="34"/>
      <c r="AB763" s="34"/>
      <c r="AC763" s="34"/>
    </row>
    <row r="764" spans="1:29" ht="15.75" customHeight="1" x14ac:dyDescent="0.2">
      <c r="A764" s="34"/>
      <c r="B764" s="34"/>
      <c r="C764" s="33"/>
      <c r="D764" s="34"/>
      <c r="E764" s="34"/>
      <c r="F764" s="34"/>
      <c r="G764" s="34"/>
      <c r="H764" s="33"/>
      <c r="I764" s="33"/>
      <c r="J764" s="34"/>
      <c r="K764" s="34"/>
      <c r="L764" s="34"/>
      <c r="M764" s="34"/>
      <c r="N764" s="34"/>
      <c r="O764" s="34"/>
      <c r="P764" s="34"/>
      <c r="Q764" s="34"/>
      <c r="R764" s="34"/>
      <c r="S764" s="34"/>
      <c r="T764" s="34"/>
      <c r="U764" s="34"/>
      <c r="V764" s="34"/>
      <c r="W764" s="34"/>
      <c r="X764" s="34"/>
      <c r="Y764" s="34"/>
      <c r="Z764" s="34"/>
      <c r="AA764" s="34"/>
      <c r="AB764" s="34"/>
      <c r="AC764" s="34"/>
    </row>
    <row r="765" spans="1:29" ht="15.75" customHeight="1" x14ac:dyDescent="0.2">
      <c r="A765" s="34"/>
      <c r="B765" s="34"/>
      <c r="C765" s="33"/>
      <c r="D765" s="34"/>
      <c r="E765" s="34"/>
      <c r="F765" s="34"/>
      <c r="G765" s="34"/>
      <c r="H765" s="33"/>
      <c r="I765" s="33"/>
      <c r="J765" s="34"/>
      <c r="K765" s="34"/>
      <c r="L765" s="34"/>
      <c r="M765" s="34"/>
      <c r="N765" s="34"/>
      <c r="O765" s="34"/>
      <c r="P765" s="34"/>
      <c r="Q765" s="34"/>
      <c r="R765" s="34"/>
      <c r="S765" s="34"/>
      <c r="T765" s="34"/>
      <c r="U765" s="34"/>
      <c r="V765" s="34"/>
      <c r="W765" s="34"/>
      <c r="X765" s="34"/>
      <c r="Y765" s="34"/>
      <c r="Z765" s="34"/>
      <c r="AA765" s="34"/>
      <c r="AB765" s="34"/>
      <c r="AC765" s="34"/>
    </row>
    <row r="766" spans="1:29" ht="15.75" customHeight="1" x14ac:dyDescent="0.2">
      <c r="A766" s="34"/>
      <c r="B766" s="34"/>
      <c r="C766" s="33"/>
      <c r="D766" s="34"/>
      <c r="E766" s="34"/>
      <c r="F766" s="34"/>
      <c r="G766" s="34"/>
      <c r="H766" s="33"/>
      <c r="I766" s="33"/>
      <c r="J766" s="34"/>
      <c r="K766" s="34"/>
      <c r="L766" s="34"/>
      <c r="M766" s="34"/>
      <c r="N766" s="34"/>
      <c r="O766" s="34"/>
      <c r="P766" s="34"/>
      <c r="Q766" s="34"/>
      <c r="R766" s="34"/>
      <c r="S766" s="34"/>
      <c r="T766" s="34"/>
      <c r="U766" s="34"/>
      <c r="V766" s="34"/>
      <c r="W766" s="34"/>
      <c r="X766" s="34"/>
      <c r="Y766" s="34"/>
      <c r="Z766" s="34"/>
      <c r="AA766" s="34"/>
      <c r="AB766" s="34"/>
      <c r="AC766" s="34"/>
    </row>
    <row r="767" spans="1:29" ht="15.75" customHeight="1" x14ac:dyDescent="0.2">
      <c r="A767" s="34"/>
      <c r="B767" s="34"/>
      <c r="C767" s="33"/>
      <c r="D767" s="34"/>
      <c r="E767" s="34"/>
      <c r="F767" s="34"/>
      <c r="G767" s="34"/>
      <c r="H767" s="33"/>
      <c r="I767" s="33"/>
      <c r="J767" s="34"/>
      <c r="K767" s="34"/>
      <c r="L767" s="34"/>
      <c r="M767" s="34"/>
      <c r="N767" s="34"/>
      <c r="O767" s="34"/>
      <c r="P767" s="34"/>
      <c r="Q767" s="34"/>
      <c r="R767" s="34"/>
      <c r="S767" s="34"/>
      <c r="T767" s="34"/>
      <c r="U767" s="34"/>
      <c r="V767" s="34"/>
      <c r="W767" s="34"/>
      <c r="X767" s="34"/>
      <c r="Y767" s="34"/>
      <c r="Z767" s="34"/>
      <c r="AA767" s="34"/>
      <c r="AB767" s="34"/>
      <c r="AC767" s="34"/>
    </row>
    <row r="768" spans="1:29" ht="15.75" customHeight="1" x14ac:dyDescent="0.2">
      <c r="A768" s="34"/>
      <c r="B768" s="34"/>
      <c r="C768" s="33"/>
      <c r="D768" s="34"/>
      <c r="E768" s="34"/>
      <c r="F768" s="34"/>
      <c r="G768" s="34"/>
      <c r="H768" s="33"/>
      <c r="I768" s="33"/>
      <c r="J768" s="34"/>
      <c r="K768" s="34"/>
      <c r="L768" s="34"/>
      <c r="M768" s="34"/>
      <c r="N768" s="34"/>
      <c r="O768" s="34"/>
      <c r="P768" s="34"/>
      <c r="Q768" s="34"/>
      <c r="R768" s="34"/>
      <c r="S768" s="34"/>
      <c r="T768" s="34"/>
      <c r="U768" s="34"/>
      <c r="V768" s="34"/>
      <c r="W768" s="34"/>
      <c r="X768" s="34"/>
      <c r="Y768" s="34"/>
      <c r="Z768" s="34"/>
      <c r="AA768" s="34"/>
      <c r="AB768" s="34"/>
      <c r="AC768" s="34"/>
    </row>
    <row r="769" spans="1:29" ht="15.75" customHeight="1" x14ac:dyDescent="0.2">
      <c r="A769" s="34"/>
      <c r="B769" s="34"/>
      <c r="C769" s="33"/>
      <c r="D769" s="34"/>
      <c r="E769" s="34"/>
      <c r="F769" s="34"/>
      <c r="G769" s="34"/>
      <c r="H769" s="33"/>
      <c r="I769" s="33"/>
      <c r="J769" s="34"/>
      <c r="K769" s="34"/>
      <c r="L769" s="34"/>
      <c r="M769" s="34"/>
      <c r="N769" s="34"/>
      <c r="O769" s="34"/>
      <c r="P769" s="34"/>
      <c r="Q769" s="34"/>
      <c r="R769" s="34"/>
      <c r="S769" s="34"/>
      <c r="T769" s="34"/>
      <c r="U769" s="34"/>
      <c r="V769" s="34"/>
      <c r="W769" s="34"/>
      <c r="X769" s="34"/>
      <c r="Y769" s="34"/>
      <c r="Z769" s="34"/>
      <c r="AA769" s="34"/>
      <c r="AB769" s="34"/>
      <c r="AC769" s="34"/>
    </row>
    <row r="770" spans="1:29" ht="15.75" customHeight="1" x14ac:dyDescent="0.2">
      <c r="A770" s="34"/>
      <c r="B770" s="34"/>
      <c r="C770" s="33"/>
      <c r="D770" s="34"/>
      <c r="E770" s="34"/>
      <c r="F770" s="34"/>
      <c r="G770" s="34"/>
      <c r="H770" s="33"/>
      <c r="I770" s="33"/>
      <c r="J770" s="34"/>
      <c r="K770" s="34"/>
      <c r="L770" s="34"/>
      <c r="M770" s="34"/>
      <c r="N770" s="34"/>
      <c r="O770" s="34"/>
      <c r="P770" s="34"/>
      <c r="Q770" s="34"/>
      <c r="R770" s="34"/>
      <c r="S770" s="34"/>
      <c r="T770" s="34"/>
      <c r="U770" s="34"/>
      <c r="V770" s="34"/>
      <c r="W770" s="34"/>
      <c r="X770" s="34"/>
      <c r="Y770" s="34"/>
      <c r="Z770" s="34"/>
      <c r="AA770" s="34"/>
      <c r="AB770" s="34"/>
      <c r="AC770" s="34"/>
    </row>
    <row r="771" spans="1:29" ht="15.75" customHeight="1" x14ac:dyDescent="0.2">
      <c r="A771" s="34"/>
      <c r="B771" s="34"/>
      <c r="C771" s="33"/>
      <c r="D771" s="34"/>
      <c r="E771" s="34"/>
      <c r="F771" s="34"/>
      <c r="G771" s="34"/>
      <c r="H771" s="33"/>
      <c r="I771" s="33"/>
      <c r="J771" s="34"/>
      <c r="K771" s="34"/>
      <c r="L771" s="34"/>
      <c r="M771" s="34"/>
      <c r="N771" s="34"/>
      <c r="O771" s="34"/>
      <c r="P771" s="34"/>
      <c r="Q771" s="34"/>
      <c r="R771" s="34"/>
      <c r="S771" s="34"/>
      <c r="T771" s="34"/>
      <c r="U771" s="34"/>
      <c r="V771" s="34"/>
      <c r="W771" s="34"/>
      <c r="X771" s="34"/>
      <c r="Y771" s="34"/>
      <c r="Z771" s="34"/>
      <c r="AA771" s="34"/>
      <c r="AB771" s="34"/>
      <c r="AC771" s="34"/>
    </row>
    <row r="772" spans="1:29" ht="15.75" customHeight="1" x14ac:dyDescent="0.2">
      <c r="A772" s="34"/>
      <c r="B772" s="34"/>
      <c r="C772" s="33"/>
      <c r="D772" s="34"/>
      <c r="E772" s="34"/>
      <c r="F772" s="34"/>
      <c r="G772" s="34"/>
      <c r="H772" s="33"/>
      <c r="I772" s="33"/>
      <c r="J772" s="34"/>
      <c r="K772" s="34"/>
      <c r="L772" s="34"/>
      <c r="M772" s="34"/>
      <c r="N772" s="34"/>
      <c r="O772" s="34"/>
      <c r="P772" s="34"/>
      <c r="Q772" s="34"/>
      <c r="R772" s="34"/>
      <c r="S772" s="34"/>
      <c r="T772" s="34"/>
      <c r="U772" s="34"/>
      <c r="V772" s="34"/>
      <c r="W772" s="34"/>
      <c r="X772" s="34"/>
      <c r="Y772" s="34"/>
      <c r="Z772" s="34"/>
      <c r="AA772" s="34"/>
      <c r="AB772" s="34"/>
      <c r="AC772" s="34"/>
    </row>
    <row r="773" spans="1:29" ht="15.75" customHeight="1" x14ac:dyDescent="0.2">
      <c r="A773" s="34"/>
      <c r="B773" s="34"/>
      <c r="C773" s="33"/>
      <c r="D773" s="34"/>
      <c r="E773" s="34"/>
      <c r="F773" s="34"/>
      <c r="G773" s="34"/>
      <c r="H773" s="33"/>
      <c r="I773" s="33"/>
      <c r="J773" s="34"/>
      <c r="K773" s="34"/>
      <c r="L773" s="34"/>
      <c r="M773" s="34"/>
      <c r="N773" s="34"/>
      <c r="O773" s="34"/>
      <c r="P773" s="34"/>
      <c r="Q773" s="34"/>
      <c r="R773" s="34"/>
      <c r="S773" s="34"/>
      <c r="T773" s="34"/>
      <c r="U773" s="34"/>
      <c r="V773" s="34"/>
      <c r="W773" s="34"/>
      <c r="X773" s="34"/>
      <c r="Y773" s="34"/>
      <c r="Z773" s="34"/>
      <c r="AA773" s="34"/>
      <c r="AB773" s="34"/>
      <c r="AC773" s="34"/>
    </row>
    <row r="774" spans="1:29" ht="15.75" customHeight="1" x14ac:dyDescent="0.2">
      <c r="A774" s="34"/>
      <c r="B774" s="34"/>
      <c r="C774" s="33"/>
      <c r="D774" s="34"/>
      <c r="E774" s="34"/>
      <c r="F774" s="34"/>
      <c r="G774" s="34"/>
      <c r="H774" s="33"/>
      <c r="I774" s="33"/>
      <c r="J774" s="34"/>
      <c r="K774" s="34"/>
      <c r="L774" s="34"/>
      <c r="M774" s="34"/>
      <c r="N774" s="34"/>
      <c r="O774" s="34"/>
      <c r="P774" s="34"/>
      <c r="Q774" s="34"/>
      <c r="R774" s="34"/>
      <c r="S774" s="34"/>
      <c r="T774" s="34"/>
      <c r="U774" s="34"/>
      <c r="V774" s="34"/>
      <c r="W774" s="34"/>
      <c r="X774" s="34"/>
      <c r="Y774" s="34"/>
      <c r="Z774" s="34"/>
      <c r="AA774" s="34"/>
      <c r="AB774" s="34"/>
      <c r="AC774" s="34"/>
    </row>
    <row r="775" spans="1:29" ht="15.75" customHeight="1" x14ac:dyDescent="0.2">
      <c r="A775" s="34"/>
      <c r="B775" s="34"/>
      <c r="C775" s="33"/>
      <c r="D775" s="34"/>
      <c r="E775" s="34"/>
      <c r="F775" s="34"/>
      <c r="G775" s="34"/>
      <c r="H775" s="33"/>
      <c r="I775" s="33"/>
      <c r="J775" s="34"/>
      <c r="K775" s="34"/>
      <c r="L775" s="34"/>
      <c r="M775" s="34"/>
      <c r="N775" s="34"/>
      <c r="O775" s="34"/>
      <c r="P775" s="34"/>
      <c r="Q775" s="34"/>
      <c r="R775" s="34"/>
      <c r="S775" s="34"/>
      <c r="T775" s="34"/>
      <c r="U775" s="34"/>
      <c r="V775" s="34"/>
      <c r="W775" s="34"/>
      <c r="X775" s="34"/>
      <c r="Y775" s="34"/>
      <c r="Z775" s="34"/>
      <c r="AA775" s="34"/>
      <c r="AB775" s="34"/>
      <c r="AC775" s="34"/>
    </row>
    <row r="776" spans="1:29" ht="15.75" customHeight="1" x14ac:dyDescent="0.2">
      <c r="A776" s="34"/>
      <c r="B776" s="34"/>
      <c r="C776" s="33"/>
      <c r="D776" s="34"/>
      <c r="E776" s="34"/>
      <c r="F776" s="34"/>
      <c r="G776" s="34"/>
      <c r="H776" s="33"/>
      <c r="I776" s="33"/>
      <c r="J776" s="34"/>
      <c r="K776" s="34"/>
      <c r="L776" s="34"/>
      <c r="M776" s="34"/>
      <c r="N776" s="34"/>
      <c r="O776" s="34"/>
      <c r="P776" s="34"/>
      <c r="Q776" s="34"/>
      <c r="R776" s="34"/>
      <c r="S776" s="34"/>
      <c r="T776" s="34"/>
      <c r="U776" s="34"/>
      <c r="V776" s="34"/>
      <c r="W776" s="34"/>
      <c r="X776" s="34"/>
      <c r="Y776" s="34"/>
      <c r="Z776" s="34"/>
      <c r="AA776" s="34"/>
      <c r="AB776" s="34"/>
      <c r="AC776" s="34"/>
    </row>
    <row r="777" spans="1:29" ht="15.75" customHeight="1" x14ac:dyDescent="0.2">
      <c r="A777" s="34"/>
      <c r="B777" s="34"/>
      <c r="C777" s="33"/>
      <c r="D777" s="34"/>
      <c r="E777" s="34"/>
      <c r="F777" s="34"/>
      <c r="G777" s="34"/>
      <c r="H777" s="33"/>
      <c r="I777" s="33"/>
      <c r="J777" s="34"/>
      <c r="K777" s="34"/>
      <c r="L777" s="34"/>
      <c r="M777" s="34"/>
      <c r="N777" s="34"/>
      <c r="O777" s="34"/>
      <c r="P777" s="34"/>
      <c r="Q777" s="34"/>
      <c r="R777" s="34"/>
      <c r="S777" s="34"/>
      <c r="T777" s="34"/>
      <c r="U777" s="34"/>
      <c r="V777" s="34"/>
      <c r="W777" s="34"/>
      <c r="X777" s="34"/>
      <c r="Y777" s="34"/>
      <c r="Z777" s="34"/>
      <c r="AA777" s="34"/>
      <c r="AB777" s="34"/>
      <c r="AC777" s="34"/>
    </row>
    <row r="778" spans="1:29" ht="15.75" customHeight="1" x14ac:dyDescent="0.2">
      <c r="A778" s="34"/>
      <c r="B778" s="34"/>
      <c r="C778" s="33"/>
      <c r="D778" s="34"/>
      <c r="E778" s="34"/>
      <c r="F778" s="34"/>
      <c r="G778" s="34"/>
      <c r="H778" s="33"/>
      <c r="I778" s="33"/>
      <c r="J778" s="34"/>
      <c r="K778" s="34"/>
      <c r="L778" s="34"/>
      <c r="M778" s="34"/>
      <c r="N778" s="34"/>
      <c r="O778" s="34"/>
      <c r="P778" s="34"/>
      <c r="Q778" s="34"/>
      <c r="R778" s="34"/>
      <c r="S778" s="34"/>
      <c r="T778" s="34"/>
      <c r="U778" s="34"/>
      <c r="V778" s="34"/>
      <c r="W778" s="34"/>
      <c r="X778" s="34"/>
      <c r="Y778" s="34"/>
      <c r="Z778" s="34"/>
      <c r="AA778" s="34"/>
      <c r="AB778" s="34"/>
      <c r="AC778" s="34"/>
    </row>
    <row r="779" spans="1:29" ht="15.75" customHeight="1" x14ac:dyDescent="0.2">
      <c r="A779" s="34"/>
      <c r="B779" s="34"/>
      <c r="C779" s="33"/>
      <c r="D779" s="34"/>
      <c r="E779" s="34"/>
      <c r="F779" s="34"/>
      <c r="G779" s="34"/>
      <c r="H779" s="33"/>
      <c r="I779" s="33"/>
      <c r="J779" s="34"/>
      <c r="K779" s="34"/>
      <c r="L779" s="34"/>
      <c r="M779" s="34"/>
      <c r="N779" s="34"/>
      <c r="O779" s="34"/>
      <c r="P779" s="34"/>
      <c r="Q779" s="34"/>
      <c r="R779" s="34"/>
      <c r="S779" s="34"/>
      <c r="T779" s="34"/>
      <c r="U779" s="34"/>
      <c r="V779" s="34"/>
      <c r="W779" s="34"/>
      <c r="X779" s="34"/>
      <c r="Y779" s="34"/>
      <c r="Z779" s="34"/>
      <c r="AA779" s="34"/>
      <c r="AB779" s="34"/>
      <c r="AC779" s="34"/>
    </row>
    <row r="780" spans="1:29" ht="15.75" customHeight="1" x14ac:dyDescent="0.2">
      <c r="A780" s="34"/>
      <c r="B780" s="34"/>
      <c r="C780" s="33"/>
      <c r="D780" s="34"/>
      <c r="E780" s="34"/>
      <c r="F780" s="34"/>
      <c r="G780" s="34"/>
      <c r="H780" s="33"/>
      <c r="I780" s="33"/>
      <c r="J780" s="34"/>
      <c r="K780" s="34"/>
      <c r="L780" s="34"/>
      <c r="M780" s="34"/>
      <c r="N780" s="34"/>
      <c r="O780" s="34"/>
      <c r="P780" s="34"/>
      <c r="Q780" s="34"/>
      <c r="R780" s="34"/>
      <c r="S780" s="34"/>
      <c r="T780" s="34"/>
      <c r="U780" s="34"/>
      <c r="V780" s="34"/>
      <c r="W780" s="34"/>
      <c r="X780" s="34"/>
      <c r="Y780" s="34"/>
      <c r="Z780" s="34"/>
      <c r="AA780" s="34"/>
      <c r="AB780" s="34"/>
      <c r="AC780" s="34"/>
    </row>
    <row r="781" spans="1:29" ht="15.75" customHeight="1" x14ac:dyDescent="0.2">
      <c r="A781" s="34"/>
      <c r="B781" s="34"/>
      <c r="C781" s="33"/>
      <c r="D781" s="34"/>
      <c r="E781" s="34"/>
      <c r="F781" s="34"/>
      <c r="G781" s="34"/>
      <c r="H781" s="33"/>
      <c r="I781" s="33"/>
      <c r="J781" s="34"/>
      <c r="K781" s="34"/>
      <c r="L781" s="34"/>
      <c r="M781" s="34"/>
      <c r="N781" s="34"/>
      <c r="O781" s="34"/>
      <c r="P781" s="34"/>
      <c r="Q781" s="34"/>
      <c r="R781" s="34"/>
      <c r="S781" s="34"/>
      <c r="T781" s="34"/>
      <c r="U781" s="34"/>
      <c r="V781" s="34"/>
      <c r="W781" s="34"/>
      <c r="X781" s="34"/>
      <c r="Y781" s="34"/>
      <c r="Z781" s="34"/>
      <c r="AA781" s="34"/>
      <c r="AB781" s="34"/>
      <c r="AC781" s="34"/>
    </row>
    <row r="782" spans="1:29" ht="15.75" customHeight="1" x14ac:dyDescent="0.2">
      <c r="A782" s="34"/>
      <c r="B782" s="34"/>
      <c r="C782" s="33"/>
      <c r="D782" s="34"/>
      <c r="E782" s="34"/>
      <c r="F782" s="34"/>
      <c r="G782" s="34"/>
      <c r="H782" s="33"/>
      <c r="I782" s="33"/>
      <c r="J782" s="34"/>
      <c r="K782" s="34"/>
      <c r="L782" s="34"/>
      <c r="M782" s="34"/>
      <c r="N782" s="34"/>
      <c r="O782" s="34"/>
      <c r="P782" s="34"/>
      <c r="Q782" s="34"/>
      <c r="R782" s="34"/>
      <c r="S782" s="34"/>
      <c r="T782" s="34"/>
      <c r="U782" s="34"/>
      <c r="V782" s="34"/>
      <c r="W782" s="34"/>
      <c r="X782" s="34"/>
      <c r="Y782" s="34"/>
      <c r="Z782" s="34"/>
      <c r="AA782" s="34"/>
      <c r="AB782" s="34"/>
      <c r="AC782" s="34"/>
    </row>
    <row r="783" spans="1:29" ht="15.75" customHeight="1" x14ac:dyDescent="0.2">
      <c r="A783" s="34"/>
      <c r="B783" s="34"/>
      <c r="C783" s="33"/>
      <c r="D783" s="34"/>
      <c r="E783" s="34"/>
      <c r="F783" s="34"/>
      <c r="G783" s="34"/>
      <c r="H783" s="33"/>
      <c r="I783" s="33"/>
      <c r="J783" s="34"/>
      <c r="K783" s="34"/>
      <c r="L783" s="34"/>
      <c r="M783" s="34"/>
      <c r="N783" s="34"/>
      <c r="O783" s="34"/>
      <c r="P783" s="34"/>
      <c r="Q783" s="34"/>
      <c r="R783" s="34"/>
      <c r="S783" s="34"/>
      <c r="T783" s="34"/>
      <c r="U783" s="34"/>
      <c r="V783" s="34"/>
      <c r="W783" s="34"/>
      <c r="X783" s="34"/>
      <c r="Y783" s="34"/>
      <c r="Z783" s="34"/>
      <c r="AA783" s="34"/>
      <c r="AB783" s="34"/>
      <c r="AC783" s="34"/>
    </row>
    <row r="784" spans="1:29" ht="15.75" customHeight="1" x14ac:dyDescent="0.2">
      <c r="A784" s="34"/>
      <c r="B784" s="34"/>
      <c r="C784" s="33"/>
      <c r="D784" s="34"/>
      <c r="E784" s="34"/>
      <c r="F784" s="34"/>
      <c r="G784" s="34"/>
      <c r="H784" s="33"/>
      <c r="I784" s="33"/>
      <c r="J784" s="34"/>
      <c r="K784" s="34"/>
      <c r="L784" s="34"/>
      <c r="M784" s="34"/>
      <c r="N784" s="34"/>
      <c r="O784" s="34"/>
      <c r="P784" s="34"/>
      <c r="Q784" s="34"/>
      <c r="R784" s="34"/>
      <c r="S784" s="34"/>
      <c r="T784" s="34"/>
      <c r="U784" s="34"/>
      <c r="V784" s="34"/>
      <c r="W784" s="34"/>
      <c r="X784" s="34"/>
      <c r="Y784" s="34"/>
      <c r="Z784" s="34"/>
      <c r="AA784" s="34"/>
      <c r="AB784" s="34"/>
      <c r="AC784" s="34"/>
    </row>
    <row r="785" spans="1:29" ht="15.75" customHeight="1" x14ac:dyDescent="0.2">
      <c r="A785" s="34"/>
      <c r="B785" s="34"/>
      <c r="C785" s="33"/>
      <c r="D785" s="34"/>
      <c r="E785" s="34"/>
      <c r="F785" s="34"/>
      <c r="G785" s="34"/>
      <c r="H785" s="33"/>
      <c r="I785" s="33"/>
      <c r="J785" s="34"/>
      <c r="K785" s="34"/>
      <c r="L785" s="34"/>
      <c r="M785" s="34"/>
      <c r="N785" s="34"/>
      <c r="O785" s="34"/>
      <c r="P785" s="34"/>
      <c r="Q785" s="34"/>
      <c r="R785" s="34"/>
      <c r="S785" s="34"/>
      <c r="T785" s="34"/>
      <c r="U785" s="34"/>
      <c r="V785" s="34"/>
      <c r="W785" s="34"/>
      <c r="X785" s="34"/>
      <c r="Y785" s="34"/>
      <c r="Z785" s="34"/>
      <c r="AA785" s="34"/>
      <c r="AB785" s="34"/>
      <c r="AC785" s="34"/>
    </row>
    <row r="786" spans="1:29" ht="15.75" customHeight="1" x14ac:dyDescent="0.2">
      <c r="A786" s="34"/>
      <c r="B786" s="34"/>
      <c r="C786" s="33"/>
      <c r="D786" s="34"/>
      <c r="E786" s="34"/>
      <c r="F786" s="34"/>
      <c r="G786" s="34"/>
      <c r="H786" s="33"/>
      <c r="I786" s="33"/>
      <c r="J786" s="34"/>
      <c r="K786" s="34"/>
      <c r="L786" s="34"/>
      <c r="M786" s="34"/>
      <c r="N786" s="34"/>
      <c r="O786" s="34"/>
      <c r="P786" s="34"/>
      <c r="Q786" s="34"/>
      <c r="R786" s="34"/>
      <c r="S786" s="34"/>
      <c r="T786" s="34"/>
      <c r="U786" s="34"/>
      <c r="V786" s="34"/>
      <c r="W786" s="34"/>
      <c r="X786" s="34"/>
      <c r="Y786" s="34"/>
      <c r="Z786" s="34"/>
      <c r="AA786" s="34"/>
      <c r="AB786" s="34"/>
      <c r="AC786" s="34"/>
    </row>
    <row r="787" spans="1:29" ht="15.75" customHeight="1" x14ac:dyDescent="0.2">
      <c r="A787" s="34"/>
      <c r="B787" s="34"/>
      <c r="C787" s="33"/>
      <c r="D787" s="34"/>
      <c r="E787" s="34"/>
      <c r="F787" s="34"/>
      <c r="G787" s="34"/>
      <c r="H787" s="33"/>
      <c r="I787" s="33"/>
      <c r="J787" s="34"/>
      <c r="K787" s="34"/>
      <c r="L787" s="34"/>
      <c r="M787" s="34"/>
      <c r="N787" s="34"/>
      <c r="O787" s="34"/>
      <c r="P787" s="34"/>
      <c r="Q787" s="34"/>
      <c r="R787" s="34"/>
      <c r="S787" s="34"/>
      <c r="T787" s="34"/>
      <c r="U787" s="34"/>
      <c r="V787" s="34"/>
      <c r="W787" s="34"/>
      <c r="X787" s="34"/>
      <c r="Y787" s="34"/>
      <c r="Z787" s="34"/>
      <c r="AA787" s="34"/>
      <c r="AB787" s="34"/>
      <c r="AC787" s="34"/>
    </row>
    <row r="788" spans="1:29" ht="15.75" customHeight="1" x14ac:dyDescent="0.2">
      <c r="A788" s="34"/>
      <c r="B788" s="34"/>
      <c r="C788" s="33"/>
      <c r="D788" s="34"/>
      <c r="E788" s="34"/>
      <c r="F788" s="34"/>
      <c r="G788" s="34"/>
      <c r="H788" s="33"/>
      <c r="I788" s="33"/>
      <c r="J788" s="34"/>
      <c r="K788" s="34"/>
      <c r="L788" s="34"/>
      <c r="M788" s="34"/>
      <c r="N788" s="34"/>
      <c r="O788" s="34"/>
      <c r="P788" s="34"/>
      <c r="Q788" s="34"/>
      <c r="R788" s="34"/>
      <c r="S788" s="34"/>
      <c r="T788" s="34"/>
      <c r="U788" s="34"/>
      <c r="V788" s="34"/>
      <c r="W788" s="34"/>
      <c r="X788" s="34"/>
      <c r="Y788" s="34"/>
      <c r="Z788" s="34"/>
      <c r="AA788" s="34"/>
      <c r="AB788" s="34"/>
      <c r="AC788" s="34"/>
    </row>
    <row r="789" spans="1:29" ht="15.75" customHeight="1" x14ac:dyDescent="0.2">
      <c r="A789" s="34"/>
      <c r="B789" s="34"/>
      <c r="C789" s="33"/>
      <c r="D789" s="34"/>
      <c r="E789" s="34"/>
      <c r="F789" s="34"/>
      <c r="G789" s="34"/>
      <c r="H789" s="33"/>
      <c r="I789" s="33"/>
      <c r="J789" s="34"/>
      <c r="K789" s="34"/>
      <c r="L789" s="34"/>
      <c r="M789" s="34"/>
      <c r="N789" s="34"/>
      <c r="O789" s="34"/>
      <c r="P789" s="34"/>
      <c r="Q789" s="34"/>
      <c r="R789" s="34"/>
      <c r="S789" s="34"/>
      <c r="T789" s="34"/>
      <c r="U789" s="34"/>
      <c r="V789" s="34"/>
      <c r="W789" s="34"/>
      <c r="X789" s="34"/>
      <c r="Y789" s="34"/>
      <c r="Z789" s="34"/>
      <c r="AA789" s="34"/>
      <c r="AB789" s="34"/>
      <c r="AC789" s="34"/>
    </row>
    <row r="790" spans="1:29" ht="15.75" customHeight="1" x14ac:dyDescent="0.2">
      <c r="A790" s="34"/>
      <c r="B790" s="34"/>
      <c r="C790" s="33"/>
      <c r="D790" s="34"/>
      <c r="E790" s="34"/>
      <c r="F790" s="34"/>
      <c r="G790" s="34"/>
      <c r="H790" s="33"/>
      <c r="I790" s="33"/>
      <c r="J790" s="34"/>
      <c r="K790" s="34"/>
      <c r="L790" s="34"/>
      <c r="M790" s="34"/>
      <c r="N790" s="34"/>
      <c r="O790" s="34"/>
      <c r="P790" s="34"/>
      <c r="Q790" s="34"/>
      <c r="R790" s="34"/>
      <c r="S790" s="34"/>
      <c r="T790" s="34"/>
      <c r="U790" s="34"/>
      <c r="V790" s="34"/>
      <c r="W790" s="34"/>
      <c r="X790" s="34"/>
      <c r="Y790" s="34"/>
      <c r="Z790" s="34"/>
      <c r="AA790" s="34"/>
      <c r="AB790" s="34"/>
      <c r="AC790" s="34"/>
    </row>
    <row r="791" spans="1:29" ht="15.75" customHeight="1" x14ac:dyDescent="0.2">
      <c r="A791" s="34"/>
      <c r="B791" s="34"/>
      <c r="C791" s="33"/>
      <c r="D791" s="34"/>
      <c r="E791" s="34"/>
      <c r="F791" s="34"/>
      <c r="G791" s="34"/>
      <c r="H791" s="33"/>
      <c r="I791" s="33"/>
      <c r="J791" s="34"/>
      <c r="K791" s="34"/>
      <c r="L791" s="34"/>
      <c r="M791" s="34"/>
      <c r="N791" s="34"/>
      <c r="O791" s="34"/>
      <c r="P791" s="34"/>
      <c r="Q791" s="34"/>
      <c r="R791" s="34"/>
      <c r="S791" s="34"/>
      <c r="T791" s="34"/>
      <c r="U791" s="34"/>
      <c r="V791" s="34"/>
      <c r="W791" s="34"/>
      <c r="X791" s="34"/>
      <c r="Y791" s="34"/>
      <c r="Z791" s="34"/>
      <c r="AA791" s="34"/>
      <c r="AB791" s="34"/>
      <c r="AC791" s="34"/>
    </row>
    <row r="792" spans="1:29" ht="15.75" customHeight="1" x14ac:dyDescent="0.2">
      <c r="A792" s="34"/>
      <c r="B792" s="34"/>
      <c r="C792" s="33"/>
      <c r="D792" s="34"/>
      <c r="E792" s="34"/>
      <c r="F792" s="34"/>
      <c r="G792" s="34"/>
      <c r="H792" s="33"/>
      <c r="I792" s="33"/>
      <c r="J792" s="34"/>
      <c r="K792" s="34"/>
      <c r="L792" s="34"/>
      <c r="M792" s="34"/>
      <c r="N792" s="34"/>
      <c r="O792" s="34"/>
      <c r="P792" s="34"/>
      <c r="Q792" s="34"/>
      <c r="R792" s="34"/>
      <c r="S792" s="34"/>
      <c r="T792" s="34"/>
      <c r="U792" s="34"/>
      <c r="V792" s="34"/>
      <c r="W792" s="34"/>
      <c r="X792" s="34"/>
      <c r="Y792" s="34"/>
      <c r="Z792" s="34"/>
      <c r="AA792" s="34"/>
      <c r="AB792" s="34"/>
      <c r="AC792" s="34"/>
    </row>
    <row r="793" spans="1:29" ht="15.75" customHeight="1" x14ac:dyDescent="0.2">
      <c r="A793" s="34"/>
      <c r="B793" s="34"/>
      <c r="C793" s="33"/>
      <c r="D793" s="34"/>
      <c r="E793" s="34"/>
      <c r="F793" s="34"/>
      <c r="G793" s="34"/>
      <c r="H793" s="33"/>
      <c r="I793" s="33"/>
      <c r="J793" s="34"/>
      <c r="K793" s="34"/>
      <c r="L793" s="34"/>
      <c r="M793" s="34"/>
      <c r="N793" s="34"/>
      <c r="O793" s="34"/>
      <c r="P793" s="34"/>
      <c r="Q793" s="34"/>
      <c r="R793" s="34"/>
      <c r="S793" s="34"/>
      <c r="T793" s="34"/>
      <c r="U793" s="34"/>
      <c r="V793" s="34"/>
      <c r="W793" s="34"/>
      <c r="X793" s="34"/>
      <c r="Y793" s="34"/>
      <c r="Z793" s="34"/>
      <c r="AA793" s="34"/>
      <c r="AB793" s="34"/>
      <c r="AC793" s="34"/>
    </row>
    <row r="794" spans="1:29" ht="15.75" customHeight="1" x14ac:dyDescent="0.2">
      <c r="A794" s="34"/>
      <c r="B794" s="34"/>
      <c r="C794" s="33"/>
      <c r="D794" s="34"/>
      <c r="E794" s="34"/>
      <c r="F794" s="34"/>
      <c r="G794" s="34"/>
      <c r="H794" s="33"/>
      <c r="I794" s="33"/>
      <c r="J794" s="34"/>
      <c r="K794" s="34"/>
      <c r="L794" s="34"/>
      <c r="M794" s="34"/>
      <c r="N794" s="34"/>
      <c r="O794" s="34"/>
      <c r="P794" s="34"/>
      <c r="Q794" s="34"/>
      <c r="R794" s="34"/>
      <c r="S794" s="34"/>
      <c r="T794" s="34"/>
      <c r="U794" s="34"/>
      <c r="V794" s="34"/>
      <c r="W794" s="34"/>
      <c r="X794" s="34"/>
      <c r="Y794" s="34"/>
      <c r="Z794" s="34"/>
      <c r="AA794" s="34"/>
      <c r="AB794" s="34"/>
      <c r="AC794" s="34"/>
    </row>
    <row r="795" spans="1:29" ht="15.75" customHeight="1" x14ac:dyDescent="0.2">
      <c r="A795" s="34"/>
      <c r="B795" s="34"/>
      <c r="C795" s="33"/>
      <c r="D795" s="34"/>
      <c r="E795" s="34"/>
      <c r="F795" s="34"/>
      <c r="G795" s="34"/>
      <c r="H795" s="33"/>
      <c r="I795" s="33"/>
      <c r="J795" s="34"/>
      <c r="K795" s="34"/>
      <c r="L795" s="34"/>
      <c r="M795" s="34"/>
      <c r="N795" s="34"/>
      <c r="O795" s="34"/>
      <c r="P795" s="34"/>
      <c r="Q795" s="34"/>
      <c r="R795" s="34"/>
      <c r="S795" s="34"/>
      <c r="T795" s="34"/>
      <c r="U795" s="34"/>
      <c r="V795" s="34"/>
      <c r="W795" s="34"/>
      <c r="X795" s="34"/>
      <c r="Y795" s="34"/>
      <c r="Z795" s="34"/>
      <c r="AA795" s="34"/>
      <c r="AB795" s="34"/>
      <c r="AC795" s="34"/>
    </row>
    <row r="796" spans="1:29" ht="15.75" customHeight="1" x14ac:dyDescent="0.2">
      <c r="A796" s="34"/>
      <c r="B796" s="34"/>
      <c r="C796" s="33"/>
      <c r="D796" s="34"/>
      <c r="E796" s="34"/>
      <c r="F796" s="34"/>
      <c r="G796" s="34"/>
      <c r="H796" s="33"/>
      <c r="I796" s="33"/>
      <c r="J796" s="34"/>
      <c r="K796" s="34"/>
      <c r="L796" s="34"/>
      <c r="M796" s="34"/>
      <c r="N796" s="34"/>
      <c r="O796" s="34"/>
      <c r="P796" s="34"/>
      <c r="Q796" s="34"/>
      <c r="R796" s="34"/>
      <c r="S796" s="34"/>
      <c r="T796" s="34"/>
      <c r="U796" s="34"/>
      <c r="V796" s="34"/>
      <c r="W796" s="34"/>
      <c r="X796" s="34"/>
      <c r="Y796" s="34"/>
      <c r="Z796" s="34"/>
      <c r="AA796" s="34"/>
      <c r="AB796" s="34"/>
      <c r="AC796" s="34"/>
    </row>
    <row r="797" spans="1:29" ht="15.75" customHeight="1" x14ac:dyDescent="0.2">
      <c r="A797" s="34"/>
      <c r="B797" s="34"/>
      <c r="C797" s="33"/>
      <c r="D797" s="34"/>
      <c r="E797" s="34"/>
      <c r="F797" s="34"/>
      <c r="G797" s="34"/>
      <c r="H797" s="33"/>
      <c r="I797" s="33"/>
      <c r="J797" s="34"/>
      <c r="K797" s="34"/>
      <c r="L797" s="34"/>
      <c r="M797" s="34"/>
      <c r="N797" s="34"/>
      <c r="O797" s="34"/>
      <c r="P797" s="34"/>
      <c r="Q797" s="34"/>
      <c r="R797" s="34"/>
      <c r="S797" s="34"/>
      <c r="T797" s="34"/>
      <c r="U797" s="34"/>
      <c r="V797" s="34"/>
      <c r="W797" s="34"/>
      <c r="X797" s="34"/>
      <c r="Y797" s="34"/>
      <c r="Z797" s="34"/>
      <c r="AA797" s="34"/>
      <c r="AB797" s="34"/>
      <c r="AC797" s="34"/>
    </row>
    <row r="798" spans="1:29" ht="15.75" customHeight="1" x14ac:dyDescent="0.2">
      <c r="A798" s="34"/>
      <c r="B798" s="34"/>
      <c r="C798" s="33"/>
      <c r="D798" s="34"/>
      <c r="E798" s="34"/>
      <c r="F798" s="34"/>
      <c r="G798" s="34"/>
      <c r="H798" s="33"/>
      <c r="I798" s="33"/>
      <c r="J798" s="34"/>
      <c r="K798" s="34"/>
      <c r="L798" s="34"/>
      <c r="M798" s="34"/>
      <c r="N798" s="34"/>
      <c r="O798" s="34"/>
      <c r="P798" s="34"/>
      <c r="Q798" s="34"/>
      <c r="R798" s="34"/>
      <c r="S798" s="34"/>
      <c r="T798" s="34"/>
      <c r="U798" s="34"/>
      <c r="V798" s="34"/>
      <c r="W798" s="34"/>
      <c r="X798" s="34"/>
      <c r="Y798" s="34"/>
      <c r="Z798" s="34"/>
      <c r="AA798" s="34"/>
      <c r="AB798" s="34"/>
      <c r="AC798" s="34"/>
    </row>
    <row r="799" spans="1:29" ht="15.75" customHeight="1" x14ac:dyDescent="0.2">
      <c r="A799" s="34"/>
      <c r="B799" s="34"/>
      <c r="C799" s="33"/>
      <c r="D799" s="34"/>
      <c r="E799" s="34"/>
      <c r="F799" s="34"/>
      <c r="G799" s="34"/>
      <c r="H799" s="33"/>
      <c r="I799" s="33"/>
      <c r="J799" s="34"/>
      <c r="K799" s="34"/>
      <c r="L799" s="34"/>
      <c r="M799" s="34"/>
      <c r="N799" s="34"/>
      <c r="O799" s="34"/>
      <c r="P799" s="34"/>
      <c r="Q799" s="34"/>
      <c r="R799" s="34"/>
      <c r="S799" s="34"/>
      <c r="T799" s="34"/>
      <c r="U799" s="34"/>
      <c r="V799" s="34"/>
      <c r="W799" s="34"/>
      <c r="X799" s="34"/>
      <c r="Y799" s="34"/>
      <c r="Z799" s="34"/>
      <c r="AA799" s="34"/>
      <c r="AB799" s="34"/>
      <c r="AC799" s="34"/>
    </row>
    <row r="800" spans="1:29" ht="15.75" customHeight="1" x14ac:dyDescent="0.2">
      <c r="A800" s="34"/>
      <c r="B800" s="34"/>
      <c r="C800" s="33"/>
      <c r="D800" s="34"/>
      <c r="E800" s="34"/>
      <c r="F800" s="34"/>
      <c r="G800" s="34"/>
      <c r="H800" s="33"/>
      <c r="I800" s="33"/>
      <c r="J800" s="34"/>
      <c r="K800" s="34"/>
      <c r="L800" s="34"/>
      <c r="M800" s="34"/>
      <c r="N800" s="34"/>
      <c r="O800" s="34"/>
      <c r="P800" s="34"/>
      <c r="Q800" s="34"/>
      <c r="R800" s="34"/>
      <c r="S800" s="34"/>
      <c r="T800" s="34"/>
      <c r="U800" s="34"/>
      <c r="V800" s="34"/>
      <c r="W800" s="34"/>
      <c r="X800" s="34"/>
      <c r="Y800" s="34"/>
      <c r="Z800" s="34"/>
      <c r="AA800" s="34"/>
      <c r="AB800" s="34"/>
      <c r="AC800" s="34"/>
    </row>
    <row r="801" spans="1:29" ht="15.75" customHeight="1" x14ac:dyDescent="0.2">
      <c r="A801" s="34"/>
      <c r="B801" s="34"/>
      <c r="C801" s="33"/>
      <c r="D801" s="34"/>
      <c r="E801" s="34"/>
      <c r="F801" s="34"/>
      <c r="G801" s="34"/>
      <c r="H801" s="33"/>
      <c r="I801" s="33"/>
      <c r="J801" s="34"/>
      <c r="K801" s="34"/>
      <c r="L801" s="34"/>
      <c r="M801" s="34"/>
      <c r="N801" s="34"/>
      <c r="O801" s="34"/>
      <c r="P801" s="34"/>
      <c r="Q801" s="34"/>
      <c r="R801" s="34"/>
      <c r="S801" s="34"/>
      <c r="T801" s="34"/>
      <c r="U801" s="34"/>
      <c r="V801" s="34"/>
      <c r="W801" s="34"/>
      <c r="X801" s="34"/>
      <c r="Y801" s="34"/>
      <c r="Z801" s="34"/>
      <c r="AA801" s="34"/>
      <c r="AB801" s="34"/>
      <c r="AC801" s="34"/>
    </row>
    <row r="802" spans="1:29" ht="15.75" customHeight="1" x14ac:dyDescent="0.2">
      <c r="A802" s="34"/>
      <c r="B802" s="34"/>
      <c r="C802" s="33"/>
      <c r="D802" s="34"/>
      <c r="E802" s="34"/>
      <c r="F802" s="34"/>
      <c r="G802" s="34"/>
      <c r="H802" s="33"/>
      <c r="I802" s="33"/>
      <c r="J802" s="34"/>
      <c r="K802" s="34"/>
      <c r="L802" s="34"/>
      <c r="M802" s="34"/>
      <c r="N802" s="34"/>
      <c r="O802" s="34"/>
      <c r="P802" s="34"/>
      <c r="Q802" s="34"/>
      <c r="R802" s="34"/>
      <c r="S802" s="34"/>
      <c r="T802" s="34"/>
      <c r="U802" s="34"/>
      <c r="V802" s="34"/>
      <c r="W802" s="34"/>
      <c r="X802" s="34"/>
      <c r="Y802" s="34"/>
      <c r="Z802" s="34"/>
      <c r="AA802" s="34"/>
      <c r="AB802" s="34"/>
      <c r="AC802" s="34"/>
    </row>
    <row r="803" spans="1:29" ht="15.75" customHeight="1" x14ac:dyDescent="0.2">
      <c r="A803" s="34"/>
      <c r="B803" s="34"/>
      <c r="C803" s="33"/>
      <c r="D803" s="34"/>
      <c r="E803" s="34"/>
      <c r="F803" s="34"/>
      <c r="G803" s="34"/>
      <c r="H803" s="33"/>
      <c r="I803" s="33"/>
      <c r="J803" s="34"/>
      <c r="K803" s="34"/>
      <c r="L803" s="34"/>
      <c r="M803" s="34"/>
      <c r="N803" s="34"/>
      <c r="O803" s="34"/>
      <c r="P803" s="34"/>
      <c r="Q803" s="34"/>
      <c r="R803" s="34"/>
      <c r="S803" s="34"/>
      <c r="T803" s="34"/>
      <c r="U803" s="34"/>
      <c r="V803" s="34"/>
      <c r="W803" s="34"/>
      <c r="X803" s="34"/>
      <c r="Y803" s="34"/>
      <c r="Z803" s="34"/>
      <c r="AA803" s="34"/>
      <c r="AB803" s="34"/>
      <c r="AC803" s="34"/>
    </row>
    <row r="804" spans="1:29" ht="15.75" customHeight="1" x14ac:dyDescent="0.2">
      <c r="A804" s="34"/>
      <c r="B804" s="34"/>
      <c r="C804" s="33"/>
      <c r="D804" s="34"/>
      <c r="E804" s="34"/>
      <c r="F804" s="34"/>
      <c r="G804" s="34"/>
      <c r="H804" s="33"/>
      <c r="I804" s="33"/>
      <c r="J804" s="34"/>
      <c r="K804" s="34"/>
      <c r="L804" s="34"/>
      <c r="M804" s="34"/>
      <c r="N804" s="34"/>
      <c r="O804" s="34"/>
      <c r="P804" s="34"/>
      <c r="Q804" s="34"/>
      <c r="R804" s="34"/>
      <c r="S804" s="34"/>
      <c r="T804" s="34"/>
      <c r="U804" s="34"/>
      <c r="V804" s="34"/>
      <c r="W804" s="34"/>
      <c r="X804" s="34"/>
      <c r="Y804" s="34"/>
      <c r="Z804" s="34"/>
      <c r="AA804" s="34"/>
      <c r="AB804" s="34"/>
      <c r="AC804" s="34"/>
    </row>
    <row r="805" spans="1:29" ht="15.75" customHeight="1" x14ac:dyDescent="0.2">
      <c r="A805" s="34"/>
      <c r="B805" s="34"/>
      <c r="C805" s="33"/>
      <c r="D805" s="34"/>
      <c r="E805" s="34"/>
      <c r="F805" s="34"/>
      <c r="G805" s="34"/>
      <c r="H805" s="33"/>
      <c r="I805" s="33"/>
      <c r="J805" s="34"/>
      <c r="K805" s="34"/>
      <c r="L805" s="34"/>
      <c r="M805" s="34"/>
      <c r="N805" s="34"/>
      <c r="O805" s="34"/>
      <c r="P805" s="34"/>
      <c r="Q805" s="34"/>
      <c r="R805" s="34"/>
      <c r="S805" s="34"/>
      <c r="T805" s="34"/>
      <c r="U805" s="34"/>
      <c r="V805" s="34"/>
      <c r="W805" s="34"/>
      <c r="X805" s="34"/>
      <c r="Y805" s="34"/>
      <c r="Z805" s="34"/>
      <c r="AA805" s="34"/>
      <c r="AB805" s="34"/>
      <c r="AC805" s="34"/>
    </row>
    <row r="806" spans="1:29" ht="15.75" customHeight="1" x14ac:dyDescent="0.2">
      <c r="A806" s="34"/>
      <c r="B806" s="34"/>
      <c r="C806" s="33"/>
      <c r="D806" s="34"/>
      <c r="E806" s="34"/>
      <c r="F806" s="34"/>
      <c r="G806" s="34"/>
      <c r="H806" s="33"/>
      <c r="I806" s="33"/>
      <c r="J806" s="34"/>
      <c r="K806" s="34"/>
      <c r="L806" s="34"/>
      <c r="M806" s="34"/>
      <c r="N806" s="34"/>
      <c r="O806" s="34"/>
      <c r="P806" s="34"/>
      <c r="Q806" s="34"/>
      <c r="R806" s="34"/>
      <c r="S806" s="34"/>
      <c r="T806" s="34"/>
      <c r="U806" s="34"/>
      <c r="V806" s="34"/>
      <c r="W806" s="34"/>
      <c r="X806" s="34"/>
      <c r="Y806" s="34"/>
      <c r="Z806" s="34"/>
      <c r="AA806" s="34"/>
      <c r="AB806" s="34"/>
      <c r="AC806" s="34"/>
    </row>
    <row r="807" spans="1:29" ht="15.75" customHeight="1" x14ac:dyDescent="0.2">
      <c r="A807" s="34"/>
      <c r="B807" s="34"/>
      <c r="C807" s="33"/>
      <c r="D807" s="34"/>
      <c r="E807" s="34"/>
      <c r="F807" s="34"/>
      <c r="G807" s="34"/>
      <c r="H807" s="33"/>
      <c r="I807" s="33"/>
      <c r="J807" s="34"/>
      <c r="K807" s="34"/>
      <c r="L807" s="34"/>
      <c r="M807" s="34"/>
      <c r="N807" s="34"/>
      <c r="O807" s="34"/>
      <c r="P807" s="34"/>
      <c r="Q807" s="34"/>
      <c r="R807" s="34"/>
      <c r="S807" s="34"/>
      <c r="T807" s="34"/>
      <c r="U807" s="34"/>
      <c r="V807" s="34"/>
      <c r="W807" s="34"/>
      <c r="X807" s="34"/>
      <c r="Y807" s="34"/>
      <c r="Z807" s="34"/>
      <c r="AA807" s="34"/>
      <c r="AB807" s="34"/>
      <c r="AC807" s="34"/>
    </row>
    <row r="808" spans="1:29" ht="15.75" customHeight="1" x14ac:dyDescent="0.2">
      <c r="A808" s="34"/>
      <c r="B808" s="34"/>
      <c r="C808" s="33"/>
      <c r="D808" s="34"/>
      <c r="E808" s="34"/>
      <c r="F808" s="34"/>
      <c r="G808" s="34"/>
      <c r="H808" s="33"/>
      <c r="I808" s="33"/>
      <c r="J808" s="34"/>
      <c r="K808" s="34"/>
      <c r="L808" s="34"/>
      <c r="M808" s="34"/>
      <c r="N808" s="34"/>
      <c r="O808" s="34"/>
      <c r="P808" s="34"/>
      <c r="Q808" s="34"/>
      <c r="R808" s="34"/>
      <c r="S808" s="34"/>
      <c r="T808" s="34"/>
      <c r="U808" s="34"/>
      <c r="V808" s="34"/>
      <c r="W808" s="34"/>
      <c r="X808" s="34"/>
      <c r="Y808" s="34"/>
      <c r="Z808" s="34"/>
      <c r="AA808" s="34"/>
      <c r="AB808" s="34"/>
      <c r="AC808" s="34"/>
    </row>
    <row r="809" spans="1:29" ht="15.75" customHeight="1" x14ac:dyDescent="0.2">
      <c r="A809" s="34"/>
      <c r="B809" s="34"/>
      <c r="C809" s="33"/>
      <c r="D809" s="34"/>
      <c r="E809" s="34"/>
      <c r="F809" s="34"/>
      <c r="G809" s="34"/>
      <c r="H809" s="33"/>
      <c r="I809" s="33"/>
      <c r="J809" s="34"/>
      <c r="K809" s="34"/>
      <c r="L809" s="34"/>
      <c r="M809" s="34"/>
      <c r="N809" s="34"/>
      <c r="O809" s="34"/>
      <c r="P809" s="34"/>
      <c r="Q809" s="34"/>
      <c r="R809" s="34"/>
      <c r="S809" s="34"/>
      <c r="T809" s="34"/>
      <c r="U809" s="34"/>
      <c r="V809" s="34"/>
      <c r="W809" s="34"/>
      <c r="X809" s="34"/>
      <c r="Y809" s="34"/>
      <c r="Z809" s="34"/>
      <c r="AA809" s="34"/>
      <c r="AB809" s="34"/>
      <c r="AC809" s="34"/>
    </row>
    <row r="810" spans="1:29" ht="15.75" customHeight="1" x14ac:dyDescent="0.2">
      <c r="A810" s="34"/>
      <c r="B810" s="34"/>
      <c r="C810" s="33"/>
      <c r="D810" s="34"/>
      <c r="E810" s="34"/>
      <c r="F810" s="34"/>
      <c r="G810" s="34"/>
      <c r="H810" s="33"/>
      <c r="I810" s="33"/>
      <c r="J810" s="34"/>
      <c r="K810" s="34"/>
      <c r="L810" s="34"/>
      <c r="M810" s="34"/>
      <c r="N810" s="34"/>
      <c r="O810" s="34"/>
      <c r="P810" s="34"/>
      <c r="Q810" s="34"/>
      <c r="R810" s="34"/>
      <c r="S810" s="34"/>
      <c r="T810" s="34"/>
      <c r="U810" s="34"/>
      <c r="V810" s="34"/>
      <c r="W810" s="34"/>
      <c r="X810" s="34"/>
      <c r="Y810" s="34"/>
      <c r="Z810" s="34"/>
      <c r="AA810" s="34"/>
      <c r="AB810" s="34"/>
      <c r="AC810" s="34"/>
    </row>
    <row r="811" spans="1:29" ht="15.75" customHeight="1" x14ac:dyDescent="0.2">
      <c r="A811" s="34"/>
      <c r="B811" s="34"/>
      <c r="C811" s="33"/>
      <c r="D811" s="34"/>
      <c r="E811" s="34"/>
      <c r="F811" s="34"/>
      <c r="G811" s="34"/>
      <c r="H811" s="33"/>
      <c r="I811" s="33"/>
      <c r="J811" s="34"/>
      <c r="K811" s="34"/>
      <c r="L811" s="34"/>
      <c r="M811" s="34"/>
      <c r="N811" s="34"/>
      <c r="O811" s="34"/>
      <c r="P811" s="34"/>
      <c r="Q811" s="34"/>
      <c r="R811" s="34"/>
      <c r="S811" s="34"/>
      <c r="T811" s="34"/>
      <c r="U811" s="34"/>
      <c r="V811" s="34"/>
      <c r="W811" s="34"/>
      <c r="X811" s="34"/>
      <c r="Y811" s="34"/>
      <c r="Z811" s="34"/>
      <c r="AA811" s="34"/>
      <c r="AB811" s="34"/>
      <c r="AC811" s="34"/>
    </row>
    <row r="812" spans="1:29" ht="15.75" customHeight="1" x14ac:dyDescent="0.2">
      <c r="A812" s="34"/>
      <c r="B812" s="34"/>
      <c r="C812" s="33"/>
      <c r="D812" s="34"/>
      <c r="E812" s="34"/>
      <c r="F812" s="34"/>
      <c r="G812" s="34"/>
      <c r="H812" s="33"/>
      <c r="I812" s="33"/>
      <c r="J812" s="34"/>
      <c r="K812" s="34"/>
      <c r="L812" s="34"/>
      <c r="M812" s="34"/>
      <c r="N812" s="34"/>
      <c r="O812" s="34"/>
      <c r="P812" s="34"/>
      <c r="Q812" s="34"/>
      <c r="R812" s="34"/>
      <c r="S812" s="34"/>
      <c r="T812" s="34"/>
      <c r="U812" s="34"/>
      <c r="V812" s="34"/>
      <c r="W812" s="34"/>
      <c r="X812" s="34"/>
      <c r="Y812" s="34"/>
      <c r="Z812" s="34"/>
      <c r="AA812" s="34"/>
      <c r="AB812" s="34"/>
      <c r="AC812" s="34"/>
    </row>
    <row r="813" spans="1:29" ht="15.75" customHeight="1" x14ac:dyDescent="0.2">
      <c r="A813" s="34"/>
      <c r="B813" s="34"/>
      <c r="C813" s="33"/>
      <c r="D813" s="34"/>
      <c r="E813" s="34"/>
      <c r="F813" s="34"/>
      <c r="G813" s="34"/>
      <c r="H813" s="33"/>
      <c r="I813" s="33"/>
      <c r="J813" s="34"/>
      <c r="K813" s="34"/>
      <c r="L813" s="34"/>
      <c r="M813" s="34"/>
      <c r="N813" s="34"/>
      <c r="O813" s="34"/>
      <c r="P813" s="34"/>
      <c r="Q813" s="34"/>
      <c r="R813" s="34"/>
      <c r="S813" s="34"/>
      <c r="T813" s="34"/>
      <c r="U813" s="34"/>
      <c r="V813" s="34"/>
      <c r="W813" s="34"/>
      <c r="X813" s="34"/>
      <c r="Y813" s="34"/>
      <c r="Z813" s="34"/>
      <c r="AA813" s="34"/>
      <c r="AB813" s="34"/>
      <c r="AC813" s="34"/>
    </row>
    <row r="814" spans="1:29" ht="15.75" customHeight="1" x14ac:dyDescent="0.2">
      <c r="A814" s="34"/>
      <c r="B814" s="34"/>
      <c r="C814" s="33"/>
      <c r="D814" s="34"/>
      <c r="E814" s="34"/>
      <c r="F814" s="34"/>
      <c r="G814" s="34"/>
      <c r="H814" s="33"/>
      <c r="I814" s="33"/>
      <c r="J814" s="34"/>
      <c r="K814" s="34"/>
      <c r="L814" s="34"/>
      <c r="M814" s="34"/>
      <c r="N814" s="34"/>
      <c r="O814" s="34"/>
      <c r="P814" s="34"/>
      <c r="Q814" s="34"/>
      <c r="R814" s="34"/>
      <c r="S814" s="34"/>
      <c r="T814" s="34"/>
      <c r="U814" s="34"/>
      <c r="V814" s="34"/>
      <c r="W814" s="34"/>
      <c r="X814" s="34"/>
      <c r="Y814" s="34"/>
      <c r="Z814" s="34"/>
      <c r="AA814" s="34"/>
      <c r="AB814" s="34"/>
      <c r="AC814" s="34"/>
    </row>
    <row r="815" spans="1:29" ht="15.75" customHeight="1" x14ac:dyDescent="0.2">
      <c r="A815" s="34"/>
      <c r="B815" s="34"/>
      <c r="C815" s="33"/>
      <c r="D815" s="34"/>
      <c r="E815" s="34"/>
      <c r="F815" s="34"/>
      <c r="G815" s="34"/>
      <c r="H815" s="33"/>
      <c r="I815" s="33"/>
      <c r="J815" s="34"/>
      <c r="K815" s="34"/>
      <c r="L815" s="34"/>
      <c r="M815" s="34"/>
      <c r="N815" s="34"/>
      <c r="O815" s="34"/>
      <c r="P815" s="34"/>
      <c r="Q815" s="34"/>
      <c r="R815" s="34"/>
      <c r="S815" s="34"/>
      <c r="T815" s="34"/>
      <c r="U815" s="34"/>
      <c r="V815" s="34"/>
      <c r="W815" s="34"/>
      <c r="X815" s="34"/>
      <c r="Y815" s="34"/>
      <c r="Z815" s="34"/>
      <c r="AA815" s="34"/>
      <c r="AB815" s="34"/>
      <c r="AC815" s="34"/>
    </row>
    <row r="816" spans="1:29" ht="15.75" customHeight="1" x14ac:dyDescent="0.2">
      <c r="A816" s="34"/>
      <c r="B816" s="34"/>
      <c r="C816" s="33"/>
      <c r="D816" s="34"/>
      <c r="E816" s="34"/>
      <c r="F816" s="34"/>
      <c r="G816" s="34"/>
      <c r="H816" s="33"/>
      <c r="I816" s="33"/>
      <c r="J816" s="34"/>
      <c r="K816" s="34"/>
      <c r="L816" s="34"/>
      <c r="M816" s="34"/>
      <c r="N816" s="34"/>
      <c r="O816" s="34"/>
      <c r="P816" s="34"/>
      <c r="Q816" s="34"/>
      <c r="R816" s="34"/>
      <c r="S816" s="34"/>
      <c r="T816" s="34"/>
      <c r="U816" s="34"/>
      <c r="V816" s="34"/>
      <c r="W816" s="34"/>
      <c r="X816" s="34"/>
      <c r="Y816" s="34"/>
      <c r="Z816" s="34"/>
      <c r="AA816" s="34"/>
      <c r="AB816" s="34"/>
      <c r="AC816" s="34"/>
    </row>
    <row r="817" spans="1:29" ht="15.75" customHeight="1" x14ac:dyDescent="0.2">
      <c r="A817" s="34"/>
      <c r="B817" s="34"/>
      <c r="C817" s="33"/>
      <c r="D817" s="34"/>
      <c r="E817" s="34"/>
      <c r="F817" s="34"/>
      <c r="G817" s="34"/>
      <c r="H817" s="33"/>
      <c r="I817" s="33"/>
      <c r="J817" s="34"/>
      <c r="K817" s="34"/>
      <c r="L817" s="34"/>
      <c r="M817" s="34"/>
      <c r="N817" s="34"/>
      <c r="O817" s="34"/>
      <c r="P817" s="34"/>
      <c r="Q817" s="34"/>
      <c r="R817" s="34"/>
      <c r="S817" s="34"/>
      <c r="T817" s="34"/>
      <c r="U817" s="34"/>
      <c r="V817" s="34"/>
      <c r="W817" s="34"/>
      <c r="X817" s="34"/>
      <c r="Y817" s="34"/>
      <c r="Z817" s="34"/>
      <c r="AA817" s="34"/>
      <c r="AB817" s="34"/>
      <c r="AC817" s="34"/>
    </row>
    <row r="818" spans="1:29" ht="15.75" customHeight="1" x14ac:dyDescent="0.2">
      <c r="A818" s="34"/>
      <c r="B818" s="34"/>
      <c r="C818" s="33"/>
      <c r="D818" s="34"/>
      <c r="E818" s="34"/>
      <c r="F818" s="34"/>
      <c r="G818" s="34"/>
      <c r="H818" s="33"/>
      <c r="I818" s="33"/>
      <c r="J818" s="34"/>
      <c r="K818" s="34"/>
      <c r="L818" s="34"/>
      <c r="M818" s="34"/>
      <c r="N818" s="34"/>
      <c r="O818" s="34"/>
      <c r="P818" s="34"/>
      <c r="Q818" s="34"/>
      <c r="R818" s="34"/>
      <c r="S818" s="34"/>
      <c r="T818" s="34"/>
      <c r="U818" s="34"/>
      <c r="V818" s="34"/>
      <c r="W818" s="34"/>
      <c r="X818" s="34"/>
      <c r="Y818" s="34"/>
      <c r="Z818" s="34"/>
      <c r="AA818" s="34"/>
      <c r="AB818" s="34"/>
      <c r="AC818" s="34"/>
    </row>
    <row r="819" spans="1:29" ht="15.75" customHeight="1" x14ac:dyDescent="0.2">
      <c r="A819" s="34"/>
      <c r="B819" s="34"/>
      <c r="C819" s="33"/>
      <c r="D819" s="34"/>
      <c r="E819" s="34"/>
      <c r="F819" s="34"/>
      <c r="G819" s="34"/>
      <c r="H819" s="33"/>
      <c r="I819" s="33"/>
      <c r="J819" s="34"/>
      <c r="K819" s="34"/>
      <c r="L819" s="34"/>
      <c r="M819" s="34"/>
      <c r="N819" s="34"/>
      <c r="O819" s="34"/>
      <c r="P819" s="34"/>
      <c r="Q819" s="34"/>
      <c r="R819" s="34"/>
      <c r="S819" s="34"/>
      <c r="T819" s="34"/>
      <c r="U819" s="34"/>
      <c r="V819" s="34"/>
      <c r="W819" s="34"/>
      <c r="X819" s="34"/>
      <c r="Y819" s="34"/>
      <c r="Z819" s="34"/>
      <c r="AA819" s="34"/>
      <c r="AB819" s="34"/>
      <c r="AC819" s="34"/>
    </row>
    <row r="820" spans="1:29" ht="15.75" customHeight="1" x14ac:dyDescent="0.2">
      <c r="A820" s="34"/>
      <c r="B820" s="34"/>
      <c r="C820" s="33"/>
      <c r="D820" s="34"/>
      <c r="E820" s="34"/>
      <c r="F820" s="34"/>
      <c r="G820" s="34"/>
      <c r="H820" s="33"/>
      <c r="I820" s="33"/>
      <c r="J820" s="34"/>
      <c r="K820" s="34"/>
      <c r="L820" s="34"/>
      <c r="M820" s="34"/>
      <c r="N820" s="34"/>
      <c r="O820" s="34"/>
      <c r="P820" s="34"/>
      <c r="Q820" s="34"/>
      <c r="R820" s="34"/>
      <c r="S820" s="34"/>
      <c r="T820" s="34"/>
      <c r="U820" s="34"/>
      <c r="V820" s="34"/>
      <c r="W820" s="34"/>
      <c r="X820" s="34"/>
      <c r="Y820" s="34"/>
      <c r="Z820" s="34"/>
      <c r="AA820" s="34"/>
      <c r="AB820" s="34"/>
      <c r="AC820" s="34"/>
    </row>
    <row r="821" spans="1:29" ht="15.75" customHeight="1" x14ac:dyDescent="0.2">
      <c r="A821" s="34"/>
      <c r="B821" s="34"/>
      <c r="C821" s="33"/>
      <c r="D821" s="34"/>
      <c r="E821" s="34"/>
      <c r="F821" s="34"/>
      <c r="G821" s="34"/>
      <c r="H821" s="33"/>
      <c r="I821" s="33"/>
      <c r="J821" s="34"/>
      <c r="K821" s="34"/>
      <c r="L821" s="34"/>
      <c r="M821" s="34"/>
      <c r="N821" s="34"/>
      <c r="O821" s="34"/>
      <c r="P821" s="34"/>
      <c r="Q821" s="34"/>
      <c r="R821" s="34"/>
      <c r="S821" s="34"/>
      <c r="T821" s="34"/>
      <c r="U821" s="34"/>
      <c r="V821" s="34"/>
      <c r="W821" s="34"/>
      <c r="X821" s="34"/>
      <c r="Y821" s="34"/>
      <c r="Z821" s="34"/>
      <c r="AA821" s="34"/>
      <c r="AB821" s="34"/>
      <c r="AC821" s="34"/>
    </row>
    <row r="822" spans="1:29" ht="15.75" customHeight="1" x14ac:dyDescent="0.2">
      <c r="A822" s="34"/>
      <c r="B822" s="34"/>
      <c r="C822" s="33"/>
      <c r="D822" s="34"/>
      <c r="E822" s="34"/>
      <c r="F822" s="34"/>
      <c r="G822" s="34"/>
      <c r="H822" s="33"/>
      <c r="I822" s="33"/>
      <c r="J822" s="34"/>
      <c r="K822" s="34"/>
      <c r="L822" s="34"/>
      <c r="M822" s="34"/>
      <c r="N822" s="34"/>
      <c r="O822" s="34"/>
      <c r="P822" s="34"/>
      <c r="Q822" s="34"/>
      <c r="R822" s="34"/>
      <c r="S822" s="34"/>
      <c r="T822" s="34"/>
      <c r="U822" s="34"/>
      <c r="V822" s="34"/>
      <c r="W822" s="34"/>
      <c r="X822" s="34"/>
      <c r="Y822" s="34"/>
      <c r="Z822" s="34"/>
      <c r="AA822" s="34"/>
      <c r="AB822" s="34"/>
      <c r="AC822" s="34"/>
    </row>
    <row r="823" spans="1:29" ht="15.75" customHeight="1" x14ac:dyDescent="0.2">
      <c r="A823" s="34"/>
      <c r="B823" s="34"/>
      <c r="C823" s="33"/>
      <c r="D823" s="34"/>
      <c r="E823" s="34"/>
      <c r="F823" s="34"/>
      <c r="G823" s="34"/>
      <c r="H823" s="33"/>
      <c r="I823" s="33"/>
      <c r="J823" s="34"/>
      <c r="K823" s="34"/>
      <c r="L823" s="34"/>
      <c r="M823" s="34"/>
      <c r="N823" s="34"/>
      <c r="O823" s="34"/>
      <c r="P823" s="34"/>
      <c r="Q823" s="34"/>
      <c r="R823" s="34"/>
      <c r="S823" s="34"/>
      <c r="T823" s="34"/>
      <c r="U823" s="34"/>
      <c r="V823" s="34"/>
      <c r="W823" s="34"/>
      <c r="X823" s="34"/>
      <c r="Y823" s="34"/>
      <c r="Z823" s="34"/>
      <c r="AA823" s="34"/>
      <c r="AB823" s="34"/>
      <c r="AC823" s="34"/>
    </row>
    <row r="824" spans="1:29" ht="15.75" customHeight="1" x14ac:dyDescent="0.2">
      <c r="A824" s="34"/>
      <c r="B824" s="34"/>
      <c r="C824" s="33"/>
      <c r="D824" s="34"/>
      <c r="E824" s="34"/>
      <c r="F824" s="34"/>
      <c r="G824" s="34"/>
      <c r="H824" s="33"/>
      <c r="I824" s="33"/>
      <c r="J824" s="34"/>
      <c r="K824" s="34"/>
      <c r="L824" s="34"/>
      <c r="M824" s="34"/>
      <c r="N824" s="34"/>
      <c r="O824" s="34"/>
      <c r="P824" s="34"/>
      <c r="Q824" s="34"/>
      <c r="R824" s="34"/>
      <c r="S824" s="34"/>
      <c r="T824" s="34"/>
      <c r="U824" s="34"/>
      <c r="V824" s="34"/>
      <c r="W824" s="34"/>
      <c r="X824" s="34"/>
      <c r="Y824" s="34"/>
      <c r="Z824" s="34"/>
      <c r="AA824" s="34"/>
      <c r="AB824" s="34"/>
      <c r="AC824" s="34"/>
    </row>
    <row r="825" spans="1:29" ht="15.75" customHeight="1" x14ac:dyDescent="0.2">
      <c r="A825" s="34"/>
      <c r="B825" s="34"/>
      <c r="C825" s="33"/>
      <c r="D825" s="34"/>
      <c r="E825" s="34"/>
      <c r="F825" s="34"/>
      <c r="G825" s="34"/>
      <c r="H825" s="33"/>
      <c r="I825" s="33"/>
      <c r="J825" s="34"/>
      <c r="K825" s="34"/>
      <c r="L825" s="34"/>
      <c r="M825" s="34"/>
      <c r="N825" s="34"/>
      <c r="O825" s="34"/>
      <c r="P825" s="34"/>
      <c r="Q825" s="34"/>
      <c r="R825" s="34"/>
      <c r="S825" s="34"/>
      <c r="T825" s="34"/>
      <c r="U825" s="34"/>
      <c r="V825" s="34"/>
      <c r="W825" s="34"/>
      <c r="X825" s="34"/>
      <c r="Y825" s="34"/>
      <c r="Z825" s="34"/>
      <c r="AA825" s="34"/>
      <c r="AB825" s="34"/>
      <c r="AC825" s="34"/>
    </row>
    <row r="826" spans="1:29" ht="15.75" customHeight="1" x14ac:dyDescent="0.2">
      <c r="A826" s="34"/>
      <c r="B826" s="34"/>
      <c r="C826" s="33"/>
      <c r="D826" s="34"/>
      <c r="E826" s="34"/>
      <c r="F826" s="34"/>
      <c r="G826" s="34"/>
      <c r="H826" s="33"/>
      <c r="I826" s="33"/>
      <c r="J826" s="34"/>
      <c r="K826" s="34"/>
      <c r="L826" s="34"/>
      <c r="M826" s="34"/>
      <c r="N826" s="34"/>
      <c r="O826" s="34"/>
      <c r="P826" s="34"/>
      <c r="Q826" s="34"/>
      <c r="R826" s="34"/>
      <c r="S826" s="34"/>
      <c r="T826" s="34"/>
      <c r="U826" s="34"/>
      <c r="V826" s="34"/>
      <c r="W826" s="34"/>
      <c r="X826" s="34"/>
      <c r="Y826" s="34"/>
      <c r="Z826" s="34"/>
      <c r="AA826" s="34"/>
      <c r="AB826" s="34"/>
      <c r="AC826" s="34"/>
    </row>
    <row r="827" spans="1:29" ht="15.75" customHeight="1" x14ac:dyDescent="0.2">
      <c r="A827" s="34"/>
      <c r="B827" s="34"/>
      <c r="C827" s="33"/>
      <c r="D827" s="34"/>
      <c r="E827" s="34"/>
      <c r="F827" s="34"/>
      <c r="G827" s="34"/>
      <c r="H827" s="33"/>
      <c r="I827" s="33"/>
      <c r="J827" s="34"/>
      <c r="K827" s="34"/>
      <c r="L827" s="34"/>
      <c r="M827" s="34"/>
      <c r="N827" s="34"/>
      <c r="O827" s="34"/>
      <c r="P827" s="34"/>
      <c r="Q827" s="34"/>
      <c r="R827" s="34"/>
      <c r="S827" s="34"/>
      <c r="T827" s="34"/>
      <c r="U827" s="34"/>
      <c r="V827" s="34"/>
      <c r="W827" s="34"/>
      <c r="X827" s="34"/>
      <c r="Y827" s="34"/>
      <c r="Z827" s="34"/>
      <c r="AA827" s="34"/>
      <c r="AB827" s="34"/>
      <c r="AC827" s="34"/>
    </row>
    <row r="828" spans="1:29" ht="15.75" customHeight="1" x14ac:dyDescent="0.2">
      <c r="A828" s="34"/>
      <c r="B828" s="34"/>
      <c r="C828" s="33"/>
      <c r="D828" s="34"/>
      <c r="E828" s="34"/>
      <c r="F828" s="34"/>
      <c r="G828" s="34"/>
      <c r="H828" s="33"/>
      <c r="I828" s="33"/>
      <c r="J828" s="34"/>
      <c r="K828" s="34"/>
      <c r="L828" s="34"/>
      <c r="M828" s="34"/>
      <c r="N828" s="34"/>
      <c r="O828" s="34"/>
      <c r="P828" s="34"/>
      <c r="Q828" s="34"/>
      <c r="R828" s="34"/>
      <c r="S828" s="34"/>
      <c r="T828" s="34"/>
      <c r="U828" s="34"/>
      <c r="V828" s="34"/>
      <c r="W828" s="34"/>
      <c r="X828" s="34"/>
      <c r="Y828" s="34"/>
      <c r="Z828" s="34"/>
      <c r="AA828" s="34"/>
      <c r="AB828" s="34"/>
      <c r="AC828" s="34"/>
    </row>
    <row r="829" spans="1:29" ht="15.75" customHeight="1" x14ac:dyDescent="0.2">
      <c r="A829" s="34"/>
      <c r="B829" s="34"/>
      <c r="C829" s="33"/>
      <c r="D829" s="34"/>
      <c r="E829" s="34"/>
      <c r="F829" s="34"/>
      <c r="G829" s="34"/>
      <c r="H829" s="33"/>
      <c r="I829" s="33"/>
      <c r="J829" s="34"/>
      <c r="K829" s="34"/>
      <c r="L829" s="34"/>
      <c r="M829" s="34"/>
      <c r="N829" s="34"/>
      <c r="O829" s="34"/>
      <c r="P829" s="34"/>
      <c r="Q829" s="34"/>
      <c r="R829" s="34"/>
      <c r="S829" s="34"/>
      <c r="T829" s="34"/>
      <c r="U829" s="34"/>
      <c r="V829" s="34"/>
      <c r="W829" s="34"/>
      <c r="X829" s="34"/>
      <c r="Y829" s="34"/>
      <c r="Z829" s="34"/>
      <c r="AA829" s="34"/>
      <c r="AB829" s="34"/>
      <c r="AC829" s="34"/>
    </row>
    <row r="830" spans="1:29" ht="15.75" customHeight="1" x14ac:dyDescent="0.2">
      <c r="A830" s="34"/>
      <c r="B830" s="34"/>
      <c r="C830" s="33"/>
      <c r="D830" s="34"/>
      <c r="E830" s="34"/>
      <c r="F830" s="34"/>
      <c r="G830" s="34"/>
      <c r="H830" s="33"/>
      <c r="I830" s="33"/>
      <c r="J830" s="34"/>
      <c r="K830" s="34"/>
      <c r="L830" s="34"/>
      <c r="M830" s="34"/>
      <c r="N830" s="34"/>
      <c r="O830" s="34"/>
      <c r="P830" s="34"/>
      <c r="Q830" s="34"/>
      <c r="R830" s="34"/>
      <c r="S830" s="34"/>
      <c r="T830" s="34"/>
      <c r="U830" s="34"/>
      <c r="V830" s="34"/>
      <c r="W830" s="34"/>
      <c r="X830" s="34"/>
      <c r="Y830" s="34"/>
      <c r="Z830" s="34"/>
      <c r="AA830" s="34"/>
      <c r="AB830" s="34"/>
      <c r="AC830" s="34"/>
    </row>
    <row r="831" spans="1:29" ht="15.75" customHeight="1" x14ac:dyDescent="0.2">
      <c r="A831" s="34"/>
      <c r="B831" s="34"/>
      <c r="C831" s="33"/>
      <c r="D831" s="34"/>
      <c r="E831" s="34"/>
      <c r="F831" s="34"/>
      <c r="G831" s="34"/>
      <c r="H831" s="33"/>
      <c r="I831" s="33"/>
      <c r="J831" s="34"/>
      <c r="K831" s="34"/>
      <c r="L831" s="34"/>
      <c r="M831" s="34"/>
      <c r="N831" s="34"/>
      <c r="O831" s="34"/>
      <c r="P831" s="34"/>
      <c r="Q831" s="34"/>
      <c r="R831" s="34"/>
      <c r="S831" s="34"/>
      <c r="T831" s="34"/>
      <c r="U831" s="34"/>
      <c r="V831" s="34"/>
      <c r="W831" s="34"/>
      <c r="X831" s="34"/>
      <c r="Y831" s="34"/>
      <c r="Z831" s="34"/>
      <c r="AA831" s="34"/>
      <c r="AB831" s="34"/>
      <c r="AC831" s="34"/>
    </row>
    <row r="832" spans="1:29" ht="15.75" customHeight="1" x14ac:dyDescent="0.2">
      <c r="A832" s="34"/>
      <c r="B832" s="34"/>
      <c r="C832" s="33"/>
      <c r="D832" s="34"/>
      <c r="E832" s="34"/>
      <c r="F832" s="34"/>
      <c r="G832" s="34"/>
      <c r="H832" s="33"/>
      <c r="I832" s="33"/>
      <c r="J832" s="34"/>
      <c r="K832" s="34"/>
      <c r="L832" s="34"/>
      <c r="M832" s="34"/>
      <c r="N832" s="34"/>
      <c r="O832" s="34"/>
      <c r="P832" s="34"/>
      <c r="Q832" s="34"/>
      <c r="R832" s="34"/>
      <c r="S832" s="34"/>
      <c r="T832" s="34"/>
      <c r="U832" s="34"/>
      <c r="V832" s="34"/>
      <c r="W832" s="34"/>
      <c r="X832" s="34"/>
      <c r="Y832" s="34"/>
      <c r="Z832" s="34"/>
      <c r="AA832" s="34"/>
      <c r="AB832" s="34"/>
      <c r="AC832" s="34"/>
    </row>
    <row r="833" spans="1:29" ht="15.75" customHeight="1" x14ac:dyDescent="0.2">
      <c r="A833" s="34"/>
      <c r="B833" s="34"/>
      <c r="C833" s="33"/>
      <c r="D833" s="34"/>
      <c r="E833" s="34"/>
      <c r="F833" s="34"/>
      <c r="G833" s="34"/>
      <c r="H833" s="33"/>
      <c r="I833" s="33"/>
      <c r="J833" s="34"/>
      <c r="K833" s="34"/>
      <c r="L833" s="34"/>
      <c r="M833" s="34"/>
      <c r="N833" s="34"/>
      <c r="O833" s="34"/>
      <c r="P833" s="34"/>
      <c r="Q833" s="34"/>
      <c r="R833" s="34"/>
      <c r="S833" s="34"/>
      <c r="T833" s="34"/>
      <c r="U833" s="34"/>
      <c r="V833" s="34"/>
      <c r="W833" s="34"/>
      <c r="X833" s="34"/>
      <c r="Y833" s="34"/>
      <c r="Z833" s="34"/>
      <c r="AA833" s="34"/>
      <c r="AB833" s="34"/>
      <c r="AC833" s="34"/>
    </row>
    <row r="834" spans="1:29" ht="15.75" customHeight="1" x14ac:dyDescent="0.2">
      <c r="A834" s="34"/>
      <c r="B834" s="34"/>
      <c r="C834" s="33"/>
      <c r="D834" s="34"/>
      <c r="E834" s="34"/>
      <c r="F834" s="34"/>
      <c r="G834" s="34"/>
      <c r="H834" s="33"/>
      <c r="I834" s="33"/>
      <c r="J834" s="34"/>
      <c r="K834" s="34"/>
      <c r="L834" s="34"/>
      <c r="M834" s="34"/>
      <c r="N834" s="34"/>
      <c r="O834" s="34"/>
      <c r="P834" s="34"/>
      <c r="Q834" s="34"/>
      <c r="R834" s="34"/>
      <c r="S834" s="34"/>
      <c r="T834" s="34"/>
      <c r="U834" s="34"/>
      <c r="V834" s="34"/>
      <c r="W834" s="34"/>
      <c r="X834" s="34"/>
      <c r="Y834" s="34"/>
      <c r="Z834" s="34"/>
      <c r="AA834" s="34"/>
      <c r="AB834" s="34"/>
      <c r="AC834" s="34"/>
    </row>
    <row r="835" spans="1:29" ht="15.75" customHeight="1" x14ac:dyDescent="0.2">
      <c r="A835" s="34"/>
      <c r="B835" s="34"/>
      <c r="C835" s="33"/>
      <c r="D835" s="34"/>
      <c r="E835" s="34"/>
      <c r="F835" s="34"/>
      <c r="G835" s="34"/>
      <c r="H835" s="33"/>
      <c r="I835" s="33"/>
      <c r="J835" s="34"/>
      <c r="K835" s="34"/>
      <c r="L835" s="34"/>
      <c r="M835" s="34"/>
      <c r="N835" s="34"/>
      <c r="O835" s="34"/>
      <c r="P835" s="34"/>
      <c r="Q835" s="34"/>
      <c r="R835" s="34"/>
      <c r="S835" s="34"/>
      <c r="T835" s="34"/>
      <c r="U835" s="34"/>
      <c r="V835" s="34"/>
      <c r="W835" s="34"/>
      <c r="X835" s="34"/>
      <c r="Y835" s="34"/>
      <c r="Z835" s="34"/>
      <c r="AA835" s="34"/>
      <c r="AB835" s="34"/>
      <c r="AC835" s="34"/>
    </row>
    <row r="836" spans="1:29" ht="15.75" customHeight="1" x14ac:dyDescent="0.2">
      <c r="A836" s="34"/>
      <c r="B836" s="34"/>
      <c r="C836" s="33"/>
      <c r="D836" s="34"/>
      <c r="E836" s="34"/>
      <c r="F836" s="34"/>
      <c r="G836" s="34"/>
      <c r="H836" s="33"/>
      <c r="I836" s="33"/>
      <c r="J836" s="34"/>
      <c r="K836" s="34"/>
      <c r="L836" s="34"/>
      <c r="M836" s="34"/>
      <c r="N836" s="34"/>
      <c r="O836" s="34"/>
      <c r="P836" s="34"/>
      <c r="Q836" s="34"/>
      <c r="R836" s="34"/>
      <c r="S836" s="34"/>
      <c r="T836" s="34"/>
      <c r="U836" s="34"/>
      <c r="V836" s="34"/>
      <c r="W836" s="34"/>
      <c r="X836" s="34"/>
      <c r="Y836" s="34"/>
      <c r="Z836" s="34"/>
      <c r="AA836" s="34"/>
      <c r="AB836" s="34"/>
      <c r="AC836" s="34"/>
    </row>
    <row r="837" spans="1:29" ht="15.75" customHeight="1" x14ac:dyDescent="0.2">
      <c r="A837" s="34"/>
      <c r="B837" s="34"/>
      <c r="C837" s="33"/>
      <c r="D837" s="34"/>
      <c r="E837" s="34"/>
      <c r="F837" s="34"/>
      <c r="G837" s="34"/>
      <c r="H837" s="33"/>
      <c r="I837" s="33"/>
      <c r="J837" s="34"/>
      <c r="K837" s="34"/>
      <c r="L837" s="34"/>
      <c r="M837" s="34"/>
      <c r="N837" s="34"/>
      <c r="O837" s="34"/>
      <c r="P837" s="34"/>
      <c r="Q837" s="34"/>
      <c r="R837" s="34"/>
      <c r="S837" s="34"/>
      <c r="T837" s="34"/>
      <c r="U837" s="34"/>
      <c r="V837" s="34"/>
      <c r="W837" s="34"/>
      <c r="X837" s="34"/>
      <c r="Y837" s="34"/>
      <c r="Z837" s="34"/>
      <c r="AA837" s="34"/>
      <c r="AB837" s="34"/>
      <c r="AC837" s="34"/>
    </row>
    <row r="838" spans="1:29" ht="15.75" customHeight="1" x14ac:dyDescent="0.2">
      <c r="A838" s="34"/>
      <c r="B838" s="34"/>
      <c r="C838" s="33"/>
      <c r="D838" s="34"/>
      <c r="E838" s="34"/>
      <c r="F838" s="34"/>
      <c r="G838" s="34"/>
      <c r="H838" s="33"/>
      <c r="I838" s="33"/>
      <c r="J838" s="34"/>
      <c r="K838" s="34"/>
      <c r="L838" s="34"/>
      <c r="M838" s="34"/>
      <c r="N838" s="34"/>
      <c r="O838" s="34"/>
      <c r="P838" s="34"/>
      <c r="Q838" s="34"/>
      <c r="R838" s="34"/>
      <c r="S838" s="34"/>
      <c r="T838" s="34"/>
      <c r="U838" s="34"/>
      <c r="V838" s="34"/>
      <c r="W838" s="34"/>
      <c r="X838" s="34"/>
      <c r="Y838" s="34"/>
      <c r="Z838" s="34"/>
      <c r="AA838" s="34"/>
      <c r="AB838" s="34"/>
      <c r="AC838" s="34"/>
    </row>
    <row r="839" spans="1:29" ht="15.75" customHeight="1" x14ac:dyDescent="0.2">
      <c r="A839" s="34"/>
      <c r="B839" s="34"/>
      <c r="C839" s="33"/>
      <c r="D839" s="34"/>
      <c r="E839" s="34"/>
      <c r="F839" s="34"/>
      <c r="G839" s="34"/>
      <c r="H839" s="33"/>
      <c r="I839" s="33"/>
      <c r="J839" s="34"/>
      <c r="K839" s="34"/>
      <c r="L839" s="34"/>
      <c r="M839" s="34"/>
      <c r="N839" s="34"/>
      <c r="O839" s="34"/>
      <c r="P839" s="34"/>
      <c r="Q839" s="34"/>
      <c r="R839" s="34"/>
      <c r="S839" s="34"/>
      <c r="T839" s="34"/>
      <c r="U839" s="34"/>
      <c r="V839" s="34"/>
      <c r="W839" s="34"/>
      <c r="X839" s="34"/>
      <c r="Y839" s="34"/>
      <c r="Z839" s="34"/>
      <c r="AA839" s="34"/>
      <c r="AB839" s="34"/>
      <c r="AC839" s="34"/>
    </row>
    <row r="840" spans="1:29" ht="15.75" customHeight="1" x14ac:dyDescent="0.2">
      <c r="A840" s="34"/>
      <c r="B840" s="34"/>
      <c r="C840" s="33"/>
      <c r="D840" s="34"/>
      <c r="E840" s="34"/>
      <c r="F840" s="34"/>
      <c r="G840" s="34"/>
      <c r="H840" s="33"/>
      <c r="I840" s="33"/>
      <c r="J840" s="34"/>
      <c r="K840" s="34"/>
      <c r="L840" s="34"/>
      <c r="M840" s="34"/>
      <c r="N840" s="34"/>
      <c r="O840" s="34"/>
      <c r="P840" s="34"/>
      <c r="Q840" s="34"/>
      <c r="R840" s="34"/>
      <c r="S840" s="34"/>
      <c r="T840" s="34"/>
      <c r="U840" s="34"/>
      <c r="V840" s="34"/>
      <c r="W840" s="34"/>
      <c r="X840" s="34"/>
      <c r="Y840" s="34"/>
      <c r="Z840" s="34"/>
      <c r="AA840" s="34"/>
      <c r="AB840" s="34"/>
      <c r="AC840" s="34"/>
    </row>
    <row r="841" spans="1:29" ht="15.75" customHeight="1" x14ac:dyDescent="0.2">
      <c r="A841" s="34"/>
      <c r="B841" s="34"/>
      <c r="C841" s="33"/>
      <c r="D841" s="34"/>
      <c r="E841" s="34"/>
      <c r="F841" s="34"/>
      <c r="G841" s="34"/>
      <c r="H841" s="33"/>
      <c r="I841" s="33"/>
      <c r="J841" s="34"/>
      <c r="K841" s="34"/>
      <c r="L841" s="34"/>
      <c r="M841" s="34"/>
      <c r="N841" s="34"/>
      <c r="O841" s="34"/>
      <c r="P841" s="34"/>
      <c r="Q841" s="34"/>
      <c r="R841" s="34"/>
      <c r="S841" s="34"/>
      <c r="T841" s="34"/>
      <c r="U841" s="34"/>
      <c r="V841" s="34"/>
      <c r="W841" s="34"/>
      <c r="X841" s="34"/>
      <c r="Y841" s="34"/>
      <c r="Z841" s="34"/>
      <c r="AA841" s="34"/>
      <c r="AB841" s="34"/>
      <c r="AC841" s="34"/>
    </row>
    <row r="842" spans="1:29" ht="15.75" customHeight="1" x14ac:dyDescent="0.2">
      <c r="A842" s="34"/>
      <c r="B842" s="34"/>
      <c r="C842" s="33"/>
      <c r="D842" s="34"/>
      <c r="E842" s="34"/>
      <c r="F842" s="34"/>
      <c r="G842" s="34"/>
      <c r="H842" s="33"/>
      <c r="I842" s="33"/>
      <c r="J842" s="34"/>
      <c r="K842" s="34"/>
      <c r="L842" s="34"/>
      <c r="M842" s="34"/>
      <c r="N842" s="34"/>
      <c r="O842" s="34"/>
      <c r="P842" s="34"/>
      <c r="Q842" s="34"/>
      <c r="R842" s="34"/>
      <c r="S842" s="34"/>
      <c r="T842" s="34"/>
      <c r="U842" s="34"/>
      <c r="V842" s="34"/>
      <c r="W842" s="34"/>
      <c r="X842" s="34"/>
      <c r="Y842" s="34"/>
      <c r="Z842" s="34"/>
      <c r="AA842" s="34"/>
      <c r="AB842" s="34"/>
      <c r="AC842" s="34"/>
    </row>
    <row r="843" spans="1:29" ht="15.75" customHeight="1" x14ac:dyDescent="0.2">
      <c r="A843" s="34"/>
      <c r="B843" s="34"/>
      <c r="C843" s="33"/>
      <c r="D843" s="34"/>
      <c r="E843" s="34"/>
      <c r="F843" s="34"/>
      <c r="G843" s="34"/>
      <c r="H843" s="33"/>
      <c r="I843" s="33"/>
      <c r="J843" s="34"/>
      <c r="K843" s="34"/>
      <c r="L843" s="34"/>
      <c r="M843" s="34"/>
      <c r="N843" s="34"/>
      <c r="O843" s="34"/>
      <c r="P843" s="34"/>
      <c r="Q843" s="34"/>
      <c r="R843" s="34"/>
      <c r="S843" s="34"/>
      <c r="T843" s="34"/>
      <c r="U843" s="34"/>
      <c r="V843" s="34"/>
      <c r="W843" s="34"/>
      <c r="X843" s="34"/>
      <c r="Y843" s="34"/>
      <c r="Z843" s="34"/>
      <c r="AA843" s="34"/>
      <c r="AB843" s="34"/>
      <c r="AC843" s="34"/>
    </row>
    <row r="844" spans="1:29" ht="15.75" customHeight="1" x14ac:dyDescent="0.2">
      <c r="A844" s="34"/>
      <c r="B844" s="34"/>
      <c r="C844" s="33"/>
      <c r="D844" s="34"/>
      <c r="E844" s="34"/>
      <c r="F844" s="34"/>
      <c r="G844" s="34"/>
      <c r="H844" s="33"/>
      <c r="I844" s="33"/>
      <c r="J844" s="34"/>
      <c r="K844" s="34"/>
      <c r="L844" s="34"/>
      <c r="M844" s="34"/>
      <c r="N844" s="34"/>
      <c r="O844" s="34"/>
      <c r="P844" s="34"/>
      <c r="Q844" s="34"/>
      <c r="R844" s="34"/>
      <c r="S844" s="34"/>
      <c r="T844" s="34"/>
      <c r="U844" s="34"/>
      <c r="V844" s="34"/>
      <c r="W844" s="34"/>
      <c r="X844" s="34"/>
      <c r="Y844" s="34"/>
      <c r="Z844" s="34"/>
      <c r="AA844" s="34"/>
      <c r="AB844" s="34"/>
      <c r="AC844" s="34"/>
    </row>
    <row r="845" spans="1:29" ht="15.75" customHeight="1" x14ac:dyDescent="0.2">
      <c r="A845" s="34"/>
      <c r="B845" s="34"/>
      <c r="C845" s="33"/>
      <c r="D845" s="34"/>
      <c r="E845" s="34"/>
      <c r="F845" s="34"/>
      <c r="G845" s="34"/>
      <c r="H845" s="33"/>
      <c r="I845" s="33"/>
      <c r="J845" s="34"/>
      <c r="K845" s="34"/>
      <c r="L845" s="34"/>
      <c r="M845" s="34"/>
      <c r="N845" s="34"/>
      <c r="O845" s="34"/>
      <c r="P845" s="34"/>
      <c r="Q845" s="34"/>
      <c r="R845" s="34"/>
      <c r="S845" s="34"/>
      <c r="T845" s="34"/>
      <c r="U845" s="34"/>
      <c r="V845" s="34"/>
      <c r="W845" s="34"/>
      <c r="X845" s="34"/>
      <c r="Y845" s="34"/>
      <c r="Z845" s="34"/>
      <c r="AA845" s="34"/>
      <c r="AB845" s="34"/>
      <c r="AC845" s="34"/>
    </row>
    <row r="846" spans="1:29" ht="15.75" customHeight="1" x14ac:dyDescent="0.2">
      <c r="A846" s="34"/>
      <c r="B846" s="34"/>
      <c r="C846" s="33"/>
      <c r="D846" s="34"/>
      <c r="E846" s="34"/>
      <c r="F846" s="34"/>
      <c r="G846" s="34"/>
      <c r="H846" s="33"/>
      <c r="I846" s="33"/>
      <c r="J846" s="34"/>
      <c r="K846" s="34"/>
      <c r="L846" s="34"/>
      <c r="M846" s="34"/>
      <c r="N846" s="34"/>
      <c r="O846" s="34"/>
      <c r="P846" s="34"/>
      <c r="Q846" s="34"/>
      <c r="R846" s="34"/>
      <c r="S846" s="34"/>
      <c r="T846" s="34"/>
      <c r="U846" s="34"/>
      <c r="V846" s="34"/>
      <c r="W846" s="34"/>
      <c r="X846" s="34"/>
      <c r="Y846" s="34"/>
      <c r="Z846" s="34"/>
      <c r="AA846" s="34"/>
      <c r="AB846" s="34"/>
      <c r="AC846" s="34"/>
    </row>
    <row r="847" spans="1:29" ht="15.75" customHeight="1" x14ac:dyDescent="0.2">
      <c r="A847" s="34"/>
      <c r="B847" s="34"/>
      <c r="C847" s="33"/>
      <c r="D847" s="34"/>
      <c r="E847" s="34"/>
      <c r="F847" s="34"/>
      <c r="G847" s="34"/>
      <c r="H847" s="33"/>
      <c r="I847" s="33"/>
      <c r="J847" s="34"/>
      <c r="K847" s="34"/>
      <c r="L847" s="34"/>
      <c r="M847" s="34"/>
      <c r="N847" s="34"/>
      <c r="O847" s="34"/>
      <c r="P847" s="34"/>
      <c r="Q847" s="34"/>
      <c r="R847" s="34"/>
      <c r="S847" s="34"/>
      <c r="T847" s="34"/>
      <c r="U847" s="34"/>
      <c r="V847" s="34"/>
      <c r="W847" s="34"/>
      <c r="X847" s="34"/>
      <c r="Y847" s="34"/>
      <c r="Z847" s="34"/>
      <c r="AA847" s="34"/>
      <c r="AB847" s="34"/>
      <c r="AC847" s="34"/>
    </row>
    <row r="848" spans="1:29" ht="15.75" customHeight="1" x14ac:dyDescent="0.2">
      <c r="A848" s="34"/>
      <c r="B848" s="34"/>
      <c r="C848" s="33"/>
      <c r="D848" s="34"/>
      <c r="E848" s="34"/>
      <c r="F848" s="34"/>
      <c r="G848" s="34"/>
      <c r="H848" s="33"/>
      <c r="I848" s="33"/>
      <c r="J848" s="34"/>
      <c r="K848" s="34"/>
      <c r="L848" s="34"/>
      <c r="M848" s="34"/>
      <c r="N848" s="34"/>
      <c r="O848" s="34"/>
      <c r="P848" s="34"/>
      <c r="Q848" s="34"/>
      <c r="R848" s="34"/>
      <c r="S848" s="34"/>
      <c r="T848" s="34"/>
      <c r="U848" s="34"/>
      <c r="V848" s="34"/>
      <c r="W848" s="34"/>
      <c r="X848" s="34"/>
      <c r="Y848" s="34"/>
      <c r="Z848" s="34"/>
      <c r="AA848" s="34"/>
      <c r="AB848" s="34"/>
      <c r="AC848" s="34"/>
    </row>
    <row r="849" spans="1:29" ht="15.75" customHeight="1" x14ac:dyDescent="0.2">
      <c r="A849" s="34"/>
      <c r="B849" s="34"/>
      <c r="C849" s="33"/>
      <c r="D849" s="34"/>
      <c r="E849" s="34"/>
      <c r="F849" s="34"/>
      <c r="G849" s="34"/>
      <c r="H849" s="33"/>
      <c r="I849" s="33"/>
      <c r="J849" s="34"/>
      <c r="K849" s="34"/>
      <c r="L849" s="34"/>
      <c r="M849" s="34"/>
      <c r="N849" s="34"/>
      <c r="O849" s="34"/>
      <c r="P849" s="34"/>
      <c r="Q849" s="34"/>
      <c r="R849" s="34"/>
      <c r="S849" s="34"/>
      <c r="T849" s="34"/>
      <c r="U849" s="34"/>
      <c r="V849" s="34"/>
      <c r="W849" s="34"/>
      <c r="X849" s="34"/>
      <c r="Y849" s="34"/>
      <c r="Z849" s="34"/>
      <c r="AA849" s="34"/>
      <c r="AB849" s="34"/>
      <c r="AC849" s="34"/>
    </row>
    <row r="850" spans="1:29" ht="15.75" customHeight="1" x14ac:dyDescent="0.2">
      <c r="A850" s="34"/>
      <c r="B850" s="34"/>
      <c r="C850" s="33"/>
      <c r="D850" s="34"/>
      <c r="E850" s="34"/>
      <c r="F850" s="34"/>
      <c r="G850" s="34"/>
      <c r="H850" s="33"/>
      <c r="I850" s="33"/>
      <c r="J850" s="34"/>
      <c r="K850" s="34"/>
      <c r="L850" s="34"/>
      <c r="M850" s="34"/>
      <c r="N850" s="34"/>
      <c r="O850" s="34"/>
      <c r="P850" s="34"/>
      <c r="Q850" s="34"/>
      <c r="R850" s="34"/>
      <c r="S850" s="34"/>
      <c r="T850" s="34"/>
      <c r="U850" s="34"/>
      <c r="V850" s="34"/>
      <c r="W850" s="34"/>
      <c r="X850" s="34"/>
      <c r="Y850" s="34"/>
      <c r="Z850" s="34"/>
      <c r="AA850" s="34"/>
      <c r="AB850" s="34"/>
      <c r="AC850" s="34"/>
    </row>
    <row r="851" spans="1:29" ht="15.75" customHeight="1" x14ac:dyDescent="0.2">
      <c r="A851" s="34"/>
      <c r="B851" s="34"/>
      <c r="C851" s="33"/>
      <c r="D851" s="34"/>
      <c r="E851" s="34"/>
      <c r="F851" s="34"/>
      <c r="G851" s="34"/>
      <c r="H851" s="33"/>
      <c r="I851" s="33"/>
      <c r="J851" s="34"/>
      <c r="K851" s="34"/>
      <c r="L851" s="34"/>
      <c r="M851" s="34"/>
      <c r="N851" s="34"/>
      <c r="O851" s="34"/>
      <c r="P851" s="34"/>
      <c r="Q851" s="34"/>
      <c r="R851" s="34"/>
      <c r="S851" s="34"/>
      <c r="T851" s="34"/>
      <c r="U851" s="34"/>
      <c r="V851" s="34"/>
      <c r="W851" s="34"/>
      <c r="X851" s="34"/>
      <c r="Y851" s="34"/>
      <c r="Z851" s="34"/>
      <c r="AA851" s="34"/>
      <c r="AB851" s="34"/>
      <c r="AC851" s="34"/>
    </row>
    <row r="852" spans="1:29" ht="15.75" customHeight="1" x14ac:dyDescent="0.2">
      <c r="A852" s="34"/>
      <c r="B852" s="34"/>
      <c r="C852" s="33"/>
      <c r="D852" s="34"/>
      <c r="E852" s="34"/>
      <c r="F852" s="34"/>
      <c r="G852" s="34"/>
      <c r="H852" s="33"/>
      <c r="I852" s="33"/>
      <c r="J852" s="34"/>
      <c r="K852" s="34"/>
      <c r="L852" s="34"/>
      <c r="M852" s="34"/>
      <c r="N852" s="34"/>
      <c r="O852" s="34"/>
      <c r="P852" s="34"/>
      <c r="Q852" s="34"/>
      <c r="R852" s="34"/>
      <c r="S852" s="34"/>
      <c r="T852" s="34"/>
      <c r="U852" s="34"/>
      <c r="V852" s="34"/>
      <c r="W852" s="34"/>
      <c r="X852" s="34"/>
      <c r="Y852" s="34"/>
      <c r="Z852" s="34"/>
      <c r="AA852" s="34"/>
      <c r="AB852" s="34"/>
      <c r="AC852" s="34"/>
    </row>
    <row r="853" spans="1:29" ht="15.75" customHeight="1" x14ac:dyDescent="0.2">
      <c r="A853" s="34"/>
      <c r="B853" s="34"/>
      <c r="C853" s="33"/>
      <c r="D853" s="34"/>
      <c r="E853" s="34"/>
      <c r="F853" s="34"/>
      <c r="G853" s="34"/>
      <c r="H853" s="33"/>
      <c r="I853" s="33"/>
      <c r="J853" s="34"/>
      <c r="K853" s="34"/>
      <c r="L853" s="34"/>
      <c r="M853" s="34"/>
      <c r="N853" s="34"/>
      <c r="O853" s="34"/>
      <c r="P853" s="34"/>
      <c r="Q853" s="34"/>
      <c r="R853" s="34"/>
      <c r="S853" s="34"/>
      <c r="T853" s="34"/>
      <c r="U853" s="34"/>
      <c r="V853" s="34"/>
      <c r="W853" s="34"/>
      <c r="X853" s="34"/>
      <c r="Y853" s="34"/>
      <c r="Z853" s="34"/>
      <c r="AA853" s="34"/>
      <c r="AB853" s="34"/>
      <c r="AC853" s="34"/>
    </row>
    <row r="854" spans="1:29" ht="15.75" customHeight="1" x14ac:dyDescent="0.2">
      <c r="A854" s="34"/>
      <c r="B854" s="34"/>
      <c r="C854" s="33"/>
      <c r="D854" s="34"/>
      <c r="E854" s="34"/>
      <c r="F854" s="34"/>
      <c r="G854" s="34"/>
      <c r="H854" s="33"/>
      <c r="I854" s="33"/>
      <c r="J854" s="34"/>
      <c r="K854" s="34"/>
      <c r="L854" s="34"/>
      <c r="M854" s="34"/>
      <c r="N854" s="34"/>
      <c r="O854" s="34"/>
      <c r="P854" s="34"/>
      <c r="Q854" s="34"/>
      <c r="R854" s="34"/>
      <c r="S854" s="34"/>
      <c r="T854" s="34"/>
      <c r="U854" s="34"/>
      <c r="V854" s="34"/>
      <c r="W854" s="34"/>
      <c r="X854" s="34"/>
      <c r="Y854" s="34"/>
      <c r="Z854" s="34"/>
      <c r="AA854" s="34"/>
      <c r="AB854" s="34"/>
      <c r="AC854" s="34"/>
    </row>
    <row r="855" spans="1:29" ht="15.75" customHeight="1" x14ac:dyDescent="0.2">
      <c r="A855" s="34"/>
      <c r="B855" s="34"/>
      <c r="C855" s="33"/>
      <c r="D855" s="34"/>
      <c r="E855" s="34"/>
      <c r="F855" s="34"/>
      <c r="G855" s="34"/>
      <c r="H855" s="33"/>
      <c r="I855" s="33"/>
      <c r="J855" s="34"/>
      <c r="K855" s="34"/>
      <c r="L855" s="34"/>
      <c r="M855" s="34"/>
      <c r="N855" s="34"/>
      <c r="O855" s="34"/>
      <c r="P855" s="34"/>
      <c r="Q855" s="34"/>
      <c r="R855" s="34"/>
      <c r="S855" s="34"/>
      <c r="T855" s="34"/>
      <c r="U855" s="34"/>
      <c r="V855" s="34"/>
      <c r="W855" s="34"/>
      <c r="X855" s="34"/>
      <c r="Y855" s="34"/>
      <c r="Z855" s="34"/>
      <c r="AA855" s="34"/>
      <c r="AB855" s="34"/>
      <c r="AC855" s="34"/>
    </row>
    <row r="856" spans="1:29" ht="15.75" customHeight="1" x14ac:dyDescent="0.2">
      <c r="A856" s="34"/>
      <c r="B856" s="34"/>
      <c r="C856" s="33"/>
      <c r="D856" s="34"/>
      <c r="E856" s="34"/>
      <c r="F856" s="34"/>
      <c r="G856" s="34"/>
      <c r="H856" s="33"/>
      <c r="I856" s="33"/>
      <c r="J856" s="34"/>
      <c r="K856" s="34"/>
      <c r="L856" s="34"/>
      <c r="M856" s="34"/>
      <c r="N856" s="34"/>
      <c r="O856" s="34"/>
      <c r="P856" s="34"/>
      <c r="Q856" s="34"/>
      <c r="R856" s="34"/>
      <c r="S856" s="34"/>
      <c r="T856" s="34"/>
      <c r="U856" s="34"/>
      <c r="V856" s="34"/>
      <c r="W856" s="34"/>
      <c r="X856" s="34"/>
      <c r="Y856" s="34"/>
      <c r="Z856" s="34"/>
      <c r="AA856" s="34"/>
      <c r="AB856" s="34"/>
      <c r="AC856" s="34"/>
    </row>
    <row r="857" spans="1:29" ht="15.75" customHeight="1" x14ac:dyDescent="0.2">
      <c r="A857" s="34"/>
      <c r="B857" s="34"/>
      <c r="C857" s="33"/>
      <c r="D857" s="34"/>
      <c r="E857" s="34"/>
      <c r="F857" s="34"/>
      <c r="G857" s="34"/>
      <c r="H857" s="33"/>
      <c r="I857" s="33"/>
      <c r="J857" s="34"/>
      <c r="K857" s="34"/>
      <c r="L857" s="34"/>
      <c r="M857" s="34"/>
      <c r="N857" s="34"/>
      <c r="O857" s="34"/>
      <c r="P857" s="34"/>
      <c r="Q857" s="34"/>
      <c r="R857" s="34"/>
      <c r="S857" s="34"/>
      <c r="T857" s="34"/>
      <c r="U857" s="34"/>
      <c r="V857" s="34"/>
      <c r="W857" s="34"/>
      <c r="X857" s="34"/>
      <c r="Y857" s="34"/>
      <c r="Z857" s="34"/>
      <c r="AA857" s="34"/>
      <c r="AB857" s="34"/>
      <c r="AC857" s="34"/>
    </row>
    <row r="858" spans="1:29" ht="15.75" customHeight="1" x14ac:dyDescent="0.2">
      <c r="A858" s="34"/>
      <c r="B858" s="34"/>
      <c r="C858" s="33"/>
      <c r="D858" s="34"/>
      <c r="E858" s="34"/>
      <c r="F858" s="34"/>
      <c r="G858" s="34"/>
      <c r="H858" s="33"/>
      <c r="I858" s="33"/>
      <c r="J858" s="34"/>
      <c r="K858" s="34"/>
      <c r="L858" s="34"/>
      <c r="M858" s="34"/>
      <c r="N858" s="34"/>
      <c r="O858" s="34"/>
      <c r="P858" s="34"/>
      <c r="Q858" s="34"/>
      <c r="R858" s="34"/>
      <c r="S858" s="34"/>
      <c r="T858" s="34"/>
      <c r="U858" s="34"/>
      <c r="V858" s="34"/>
      <c r="W858" s="34"/>
      <c r="X858" s="34"/>
      <c r="Y858" s="34"/>
      <c r="Z858" s="34"/>
      <c r="AA858" s="34"/>
      <c r="AB858" s="34"/>
      <c r="AC858" s="34"/>
    </row>
    <row r="859" spans="1:29" ht="15.75" customHeight="1" x14ac:dyDescent="0.2">
      <c r="A859" s="34"/>
      <c r="B859" s="34"/>
      <c r="C859" s="33"/>
      <c r="D859" s="34"/>
      <c r="E859" s="34"/>
      <c r="F859" s="34"/>
      <c r="G859" s="34"/>
      <c r="H859" s="33"/>
      <c r="I859" s="33"/>
      <c r="J859" s="34"/>
      <c r="K859" s="34"/>
      <c r="L859" s="34"/>
      <c r="M859" s="34"/>
      <c r="N859" s="34"/>
      <c r="O859" s="34"/>
      <c r="P859" s="34"/>
      <c r="Q859" s="34"/>
      <c r="R859" s="34"/>
      <c r="S859" s="34"/>
      <c r="T859" s="34"/>
      <c r="U859" s="34"/>
      <c r="V859" s="34"/>
      <c r="W859" s="34"/>
      <c r="X859" s="34"/>
      <c r="Y859" s="34"/>
      <c r="Z859" s="34"/>
      <c r="AA859" s="34"/>
      <c r="AB859" s="34"/>
      <c r="AC859" s="34"/>
    </row>
    <row r="860" spans="1:29" ht="15.75" customHeight="1" x14ac:dyDescent="0.2">
      <c r="A860" s="34"/>
      <c r="B860" s="34"/>
      <c r="C860" s="33"/>
      <c r="D860" s="34"/>
      <c r="E860" s="34"/>
      <c r="F860" s="34"/>
      <c r="G860" s="34"/>
      <c r="H860" s="33"/>
      <c r="I860" s="33"/>
      <c r="J860" s="34"/>
      <c r="K860" s="34"/>
      <c r="L860" s="34"/>
      <c r="M860" s="34"/>
      <c r="N860" s="34"/>
      <c r="O860" s="34"/>
      <c r="P860" s="34"/>
      <c r="Q860" s="34"/>
      <c r="R860" s="34"/>
      <c r="S860" s="34"/>
      <c r="T860" s="34"/>
      <c r="U860" s="34"/>
      <c r="V860" s="34"/>
      <c r="W860" s="34"/>
      <c r="X860" s="34"/>
      <c r="Y860" s="34"/>
      <c r="Z860" s="34"/>
      <c r="AA860" s="34"/>
      <c r="AB860" s="34"/>
      <c r="AC860" s="34"/>
    </row>
    <row r="861" spans="1:29" ht="15.75" customHeight="1" x14ac:dyDescent="0.2">
      <c r="A861" s="34"/>
      <c r="B861" s="34"/>
      <c r="C861" s="33"/>
      <c r="D861" s="34"/>
      <c r="E861" s="34"/>
      <c r="F861" s="34"/>
      <c r="G861" s="34"/>
      <c r="H861" s="33"/>
      <c r="I861" s="33"/>
      <c r="J861" s="34"/>
      <c r="K861" s="34"/>
      <c r="L861" s="34"/>
      <c r="M861" s="34"/>
      <c r="N861" s="34"/>
      <c r="O861" s="34"/>
      <c r="P861" s="34"/>
      <c r="Q861" s="34"/>
      <c r="R861" s="34"/>
      <c r="S861" s="34"/>
      <c r="T861" s="34"/>
      <c r="U861" s="34"/>
      <c r="V861" s="34"/>
      <c r="W861" s="34"/>
      <c r="X861" s="34"/>
      <c r="Y861" s="34"/>
      <c r="Z861" s="34"/>
      <c r="AA861" s="34"/>
      <c r="AB861" s="34"/>
      <c r="AC861" s="34"/>
    </row>
    <row r="862" spans="1:29" ht="15.75" customHeight="1" x14ac:dyDescent="0.2">
      <c r="A862" s="34"/>
      <c r="B862" s="34"/>
      <c r="C862" s="33"/>
      <c r="D862" s="34"/>
      <c r="E862" s="34"/>
      <c r="F862" s="34"/>
      <c r="G862" s="34"/>
      <c r="H862" s="33"/>
      <c r="I862" s="33"/>
      <c r="J862" s="34"/>
      <c r="K862" s="34"/>
      <c r="L862" s="34"/>
      <c r="M862" s="34"/>
      <c r="N862" s="34"/>
      <c r="O862" s="34"/>
      <c r="P862" s="34"/>
      <c r="Q862" s="34"/>
      <c r="R862" s="34"/>
      <c r="S862" s="34"/>
      <c r="T862" s="34"/>
      <c r="U862" s="34"/>
      <c r="V862" s="34"/>
      <c r="W862" s="34"/>
      <c r="X862" s="34"/>
      <c r="Y862" s="34"/>
      <c r="Z862" s="34"/>
      <c r="AA862" s="34"/>
      <c r="AB862" s="34"/>
      <c r="AC862" s="34"/>
    </row>
    <row r="863" spans="1:29" ht="15.75" customHeight="1" x14ac:dyDescent="0.2">
      <c r="A863" s="34"/>
      <c r="B863" s="34"/>
      <c r="C863" s="33"/>
      <c r="D863" s="34"/>
      <c r="E863" s="34"/>
      <c r="F863" s="34"/>
      <c r="G863" s="34"/>
      <c r="H863" s="33"/>
      <c r="I863" s="33"/>
      <c r="J863" s="34"/>
      <c r="K863" s="34"/>
      <c r="L863" s="34"/>
      <c r="M863" s="34"/>
      <c r="N863" s="34"/>
      <c r="O863" s="34"/>
      <c r="P863" s="34"/>
      <c r="Q863" s="34"/>
      <c r="R863" s="34"/>
      <c r="S863" s="34"/>
      <c r="T863" s="34"/>
      <c r="U863" s="34"/>
      <c r="V863" s="34"/>
      <c r="W863" s="34"/>
      <c r="X863" s="34"/>
      <c r="Y863" s="34"/>
      <c r="Z863" s="34"/>
      <c r="AA863" s="34"/>
      <c r="AB863" s="34"/>
      <c r="AC863" s="34"/>
    </row>
    <row r="864" spans="1:29" ht="15.75" customHeight="1" x14ac:dyDescent="0.2">
      <c r="A864" s="34"/>
      <c r="B864" s="34"/>
      <c r="C864" s="33"/>
      <c r="D864" s="34"/>
      <c r="E864" s="34"/>
      <c r="F864" s="34"/>
      <c r="G864" s="34"/>
      <c r="H864" s="33"/>
      <c r="I864" s="33"/>
      <c r="J864" s="34"/>
      <c r="K864" s="34"/>
      <c r="L864" s="34"/>
      <c r="M864" s="34"/>
      <c r="N864" s="34"/>
      <c r="O864" s="34"/>
      <c r="P864" s="34"/>
      <c r="Q864" s="34"/>
      <c r="R864" s="34"/>
      <c r="S864" s="34"/>
      <c r="T864" s="34"/>
      <c r="U864" s="34"/>
      <c r="V864" s="34"/>
      <c r="W864" s="34"/>
      <c r="X864" s="34"/>
      <c r="Y864" s="34"/>
      <c r="Z864" s="34"/>
      <c r="AA864" s="34"/>
      <c r="AB864" s="34"/>
      <c r="AC864" s="34"/>
    </row>
    <row r="865" spans="1:29" ht="15.75" customHeight="1" x14ac:dyDescent="0.2">
      <c r="A865" s="34"/>
      <c r="B865" s="34"/>
      <c r="C865" s="33"/>
      <c r="D865" s="34"/>
      <c r="E865" s="34"/>
      <c r="F865" s="34"/>
      <c r="G865" s="34"/>
      <c r="H865" s="33"/>
      <c r="I865" s="33"/>
      <c r="J865" s="34"/>
      <c r="K865" s="34"/>
      <c r="L865" s="34"/>
      <c r="M865" s="34"/>
      <c r="N865" s="34"/>
      <c r="O865" s="34"/>
      <c r="P865" s="34"/>
      <c r="Q865" s="34"/>
      <c r="R865" s="34"/>
      <c r="S865" s="34"/>
      <c r="T865" s="34"/>
      <c r="U865" s="34"/>
      <c r="V865" s="34"/>
      <c r="W865" s="34"/>
      <c r="X865" s="34"/>
      <c r="Y865" s="34"/>
      <c r="Z865" s="34"/>
      <c r="AA865" s="34"/>
      <c r="AB865" s="34"/>
      <c r="AC865" s="34"/>
    </row>
    <row r="866" spans="1:29" ht="15.75" customHeight="1" x14ac:dyDescent="0.2">
      <c r="A866" s="34"/>
      <c r="B866" s="34"/>
      <c r="C866" s="33"/>
      <c r="D866" s="34"/>
      <c r="E866" s="34"/>
      <c r="F866" s="34"/>
      <c r="G866" s="34"/>
      <c r="H866" s="33"/>
      <c r="I866" s="33"/>
      <c r="J866" s="34"/>
      <c r="K866" s="34"/>
      <c r="L866" s="34"/>
      <c r="M866" s="34"/>
      <c r="N866" s="34"/>
      <c r="O866" s="34"/>
      <c r="P866" s="34"/>
      <c r="Q866" s="34"/>
      <c r="R866" s="34"/>
      <c r="S866" s="34"/>
      <c r="T866" s="34"/>
      <c r="U866" s="34"/>
      <c r="V866" s="34"/>
      <c r="W866" s="34"/>
      <c r="X866" s="34"/>
      <c r="Y866" s="34"/>
      <c r="Z866" s="34"/>
      <c r="AA866" s="34"/>
      <c r="AB866" s="34"/>
      <c r="AC866" s="34"/>
    </row>
    <row r="867" spans="1:29" ht="15.75" customHeight="1" x14ac:dyDescent="0.2">
      <c r="A867" s="34"/>
      <c r="B867" s="34"/>
      <c r="C867" s="33"/>
      <c r="D867" s="34"/>
      <c r="E867" s="34"/>
      <c r="F867" s="34"/>
      <c r="G867" s="34"/>
      <c r="H867" s="33"/>
      <c r="I867" s="33"/>
      <c r="J867" s="34"/>
      <c r="K867" s="34"/>
      <c r="L867" s="34"/>
      <c r="M867" s="34"/>
      <c r="N867" s="34"/>
      <c r="O867" s="34"/>
      <c r="P867" s="34"/>
      <c r="Q867" s="34"/>
      <c r="R867" s="34"/>
      <c r="S867" s="34"/>
      <c r="T867" s="34"/>
      <c r="U867" s="34"/>
      <c r="V867" s="34"/>
      <c r="W867" s="34"/>
      <c r="X867" s="34"/>
      <c r="Y867" s="34"/>
      <c r="Z867" s="34"/>
      <c r="AA867" s="34"/>
      <c r="AB867" s="34"/>
      <c r="AC867" s="34"/>
    </row>
    <row r="868" spans="1:29" ht="15.75" customHeight="1" x14ac:dyDescent="0.2">
      <c r="A868" s="34"/>
      <c r="B868" s="34"/>
      <c r="C868" s="33"/>
      <c r="D868" s="34"/>
      <c r="E868" s="34"/>
      <c r="F868" s="34"/>
      <c r="G868" s="34"/>
      <c r="H868" s="33"/>
      <c r="I868" s="33"/>
      <c r="J868" s="34"/>
      <c r="K868" s="34"/>
      <c r="L868" s="34"/>
      <c r="M868" s="34"/>
      <c r="N868" s="34"/>
      <c r="O868" s="34"/>
      <c r="P868" s="34"/>
      <c r="Q868" s="34"/>
      <c r="R868" s="34"/>
      <c r="S868" s="34"/>
      <c r="T868" s="34"/>
      <c r="U868" s="34"/>
      <c r="V868" s="34"/>
      <c r="W868" s="34"/>
      <c r="X868" s="34"/>
      <c r="Y868" s="34"/>
      <c r="Z868" s="34"/>
      <c r="AA868" s="34"/>
      <c r="AB868" s="34"/>
      <c r="AC868" s="34"/>
    </row>
    <row r="869" spans="1:29" ht="15.75" customHeight="1" x14ac:dyDescent="0.2">
      <c r="A869" s="34"/>
      <c r="B869" s="34"/>
      <c r="C869" s="33"/>
      <c r="D869" s="34"/>
      <c r="E869" s="34"/>
      <c r="F869" s="34"/>
      <c r="G869" s="34"/>
      <c r="H869" s="33"/>
      <c r="I869" s="33"/>
      <c r="J869" s="34"/>
      <c r="K869" s="34"/>
      <c r="L869" s="34"/>
      <c r="M869" s="34"/>
      <c r="N869" s="34"/>
      <c r="O869" s="34"/>
      <c r="P869" s="34"/>
      <c r="Q869" s="34"/>
      <c r="R869" s="34"/>
      <c r="S869" s="34"/>
      <c r="T869" s="34"/>
      <c r="U869" s="34"/>
      <c r="V869" s="34"/>
      <c r="W869" s="34"/>
      <c r="X869" s="34"/>
      <c r="Y869" s="34"/>
      <c r="Z869" s="34"/>
      <c r="AA869" s="34"/>
      <c r="AB869" s="34"/>
      <c r="AC869" s="34"/>
    </row>
    <row r="870" spans="1:29" ht="15.75" customHeight="1" x14ac:dyDescent="0.2">
      <c r="A870" s="34"/>
      <c r="B870" s="34"/>
      <c r="C870" s="33"/>
      <c r="D870" s="34"/>
      <c r="E870" s="34"/>
      <c r="F870" s="34"/>
      <c r="G870" s="34"/>
      <c r="H870" s="33"/>
      <c r="I870" s="33"/>
      <c r="J870" s="34"/>
      <c r="K870" s="34"/>
      <c r="L870" s="34"/>
      <c r="M870" s="34"/>
      <c r="N870" s="34"/>
      <c r="O870" s="34"/>
      <c r="P870" s="34"/>
      <c r="Q870" s="34"/>
      <c r="R870" s="34"/>
      <c r="S870" s="34"/>
      <c r="T870" s="34"/>
      <c r="U870" s="34"/>
      <c r="V870" s="34"/>
      <c r="W870" s="34"/>
      <c r="X870" s="34"/>
      <c r="Y870" s="34"/>
      <c r="Z870" s="34"/>
      <c r="AA870" s="34"/>
      <c r="AB870" s="34"/>
      <c r="AC870" s="34"/>
    </row>
    <row r="871" spans="1:29" ht="15.75" customHeight="1" x14ac:dyDescent="0.2">
      <c r="A871" s="34"/>
      <c r="B871" s="34"/>
      <c r="C871" s="33"/>
      <c r="D871" s="34"/>
      <c r="E871" s="34"/>
      <c r="F871" s="34"/>
      <c r="G871" s="34"/>
      <c r="H871" s="33"/>
      <c r="I871" s="33"/>
      <c r="J871" s="34"/>
      <c r="K871" s="34"/>
      <c r="L871" s="34"/>
      <c r="M871" s="34"/>
      <c r="N871" s="34"/>
      <c r="O871" s="34"/>
      <c r="P871" s="34"/>
      <c r="Q871" s="34"/>
      <c r="R871" s="34"/>
      <c r="S871" s="34"/>
      <c r="T871" s="34"/>
      <c r="U871" s="34"/>
      <c r="V871" s="34"/>
      <c r="W871" s="34"/>
      <c r="X871" s="34"/>
      <c r="Y871" s="34"/>
      <c r="Z871" s="34"/>
      <c r="AA871" s="34"/>
      <c r="AB871" s="34"/>
      <c r="AC871" s="34"/>
    </row>
    <row r="872" spans="1:29" ht="15.75" customHeight="1" x14ac:dyDescent="0.2">
      <c r="A872" s="34"/>
      <c r="B872" s="34"/>
      <c r="C872" s="33"/>
      <c r="D872" s="34"/>
      <c r="E872" s="34"/>
      <c r="F872" s="34"/>
      <c r="G872" s="34"/>
      <c r="H872" s="33"/>
      <c r="I872" s="33"/>
      <c r="J872" s="34"/>
      <c r="K872" s="34"/>
      <c r="L872" s="34"/>
      <c r="M872" s="34"/>
      <c r="N872" s="34"/>
      <c r="O872" s="34"/>
      <c r="P872" s="34"/>
      <c r="Q872" s="34"/>
      <c r="R872" s="34"/>
      <c r="S872" s="34"/>
      <c r="T872" s="34"/>
      <c r="U872" s="34"/>
      <c r="V872" s="34"/>
      <c r="W872" s="34"/>
      <c r="X872" s="34"/>
      <c r="Y872" s="34"/>
      <c r="Z872" s="34"/>
      <c r="AA872" s="34"/>
      <c r="AB872" s="34"/>
      <c r="AC872" s="34"/>
    </row>
    <row r="873" spans="1:29" ht="15.75" customHeight="1" x14ac:dyDescent="0.2">
      <c r="A873" s="34"/>
      <c r="B873" s="34"/>
      <c r="C873" s="33"/>
      <c r="D873" s="34"/>
      <c r="E873" s="34"/>
      <c r="F873" s="34"/>
      <c r="G873" s="34"/>
      <c r="H873" s="33"/>
      <c r="I873" s="33"/>
      <c r="J873" s="34"/>
      <c r="K873" s="34"/>
      <c r="L873" s="34"/>
      <c r="M873" s="34"/>
      <c r="N873" s="34"/>
      <c r="O873" s="34"/>
      <c r="P873" s="34"/>
      <c r="Q873" s="34"/>
      <c r="R873" s="34"/>
      <c r="S873" s="34"/>
      <c r="T873" s="34"/>
      <c r="U873" s="34"/>
      <c r="V873" s="34"/>
      <c r="W873" s="34"/>
      <c r="X873" s="34"/>
      <c r="Y873" s="34"/>
      <c r="Z873" s="34"/>
      <c r="AA873" s="34"/>
      <c r="AB873" s="34"/>
      <c r="AC873" s="34"/>
    </row>
    <row r="874" spans="1:29" ht="15.75" customHeight="1" x14ac:dyDescent="0.2">
      <c r="A874" s="34"/>
      <c r="B874" s="34"/>
      <c r="C874" s="33"/>
      <c r="D874" s="34"/>
      <c r="E874" s="34"/>
      <c r="F874" s="34"/>
      <c r="G874" s="34"/>
      <c r="H874" s="33"/>
      <c r="I874" s="33"/>
      <c r="J874" s="34"/>
      <c r="K874" s="34"/>
      <c r="L874" s="34"/>
      <c r="M874" s="34"/>
      <c r="N874" s="34"/>
      <c r="O874" s="34"/>
      <c r="P874" s="34"/>
      <c r="Q874" s="34"/>
      <c r="R874" s="34"/>
      <c r="S874" s="34"/>
      <c r="T874" s="34"/>
      <c r="U874" s="34"/>
      <c r="V874" s="34"/>
      <c r="W874" s="34"/>
      <c r="X874" s="34"/>
      <c r="Y874" s="34"/>
      <c r="Z874" s="34"/>
      <c r="AA874" s="34"/>
      <c r="AB874" s="34"/>
      <c r="AC874" s="34"/>
    </row>
    <row r="875" spans="1:29" ht="15.75" customHeight="1" x14ac:dyDescent="0.2">
      <c r="A875" s="34"/>
      <c r="B875" s="34"/>
      <c r="C875" s="33"/>
      <c r="D875" s="34"/>
      <c r="E875" s="34"/>
      <c r="F875" s="34"/>
      <c r="G875" s="34"/>
      <c r="H875" s="33"/>
      <c r="I875" s="33"/>
      <c r="J875" s="34"/>
      <c r="K875" s="34"/>
      <c r="L875" s="34"/>
      <c r="M875" s="34"/>
      <c r="N875" s="34"/>
      <c r="O875" s="34"/>
      <c r="P875" s="34"/>
      <c r="Q875" s="34"/>
      <c r="R875" s="34"/>
      <c r="S875" s="34"/>
      <c r="T875" s="34"/>
      <c r="U875" s="34"/>
      <c r="V875" s="34"/>
      <c r="W875" s="34"/>
      <c r="X875" s="34"/>
      <c r="Y875" s="34"/>
      <c r="Z875" s="34"/>
      <c r="AA875" s="34"/>
      <c r="AB875" s="34"/>
      <c r="AC875" s="34"/>
    </row>
    <row r="876" spans="1:29" ht="15.75" customHeight="1" x14ac:dyDescent="0.2">
      <c r="A876" s="34"/>
      <c r="B876" s="34"/>
      <c r="C876" s="33"/>
      <c r="D876" s="34"/>
      <c r="E876" s="34"/>
      <c r="F876" s="34"/>
      <c r="G876" s="34"/>
      <c r="H876" s="33"/>
      <c r="I876" s="33"/>
      <c r="J876" s="34"/>
      <c r="K876" s="34"/>
      <c r="L876" s="34"/>
      <c r="M876" s="34"/>
      <c r="N876" s="34"/>
      <c r="O876" s="34"/>
      <c r="P876" s="34"/>
      <c r="Q876" s="34"/>
      <c r="R876" s="34"/>
      <c r="S876" s="34"/>
      <c r="T876" s="34"/>
      <c r="U876" s="34"/>
      <c r="V876" s="34"/>
      <c r="W876" s="34"/>
      <c r="X876" s="34"/>
      <c r="Y876" s="34"/>
      <c r="Z876" s="34"/>
      <c r="AA876" s="34"/>
      <c r="AB876" s="34"/>
      <c r="AC876" s="34"/>
    </row>
    <row r="877" spans="1:29" ht="15.75" customHeight="1" x14ac:dyDescent="0.2">
      <c r="A877" s="34"/>
      <c r="B877" s="34"/>
      <c r="C877" s="33"/>
      <c r="D877" s="34"/>
      <c r="E877" s="34"/>
      <c r="F877" s="34"/>
      <c r="G877" s="34"/>
      <c r="H877" s="33"/>
      <c r="I877" s="33"/>
      <c r="J877" s="34"/>
      <c r="K877" s="34"/>
      <c r="L877" s="34"/>
      <c r="M877" s="34"/>
      <c r="N877" s="34"/>
      <c r="O877" s="34"/>
      <c r="P877" s="34"/>
      <c r="Q877" s="34"/>
      <c r="R877" s="34"/>
      <c r="S877" s="34"/>
      <c r="T877" s="34"/>
      <c r="U877" s="34"/>
      <c r="V877" s="34"/>
      <c r="W877" s="34"/>
      <c r="X877" s="34"/>
      <c r="Y877" s="34"/>
      <c r="Z877" s="34"/>
      <c r="AA877" s="34"/>
      <c r="AB877" s="34"/>
      <c r="AC877" s="34"/>
    </row>
    <row r="878" spans="1:29" ht="15.75" customHeight="1" x14ac:dyDescent="0.2">
      <c r="A878" s="34"/>
      <c r="B878" s="34"/>
      <c r="C878" s="33"/>
      <c r="D878" s="34"/>
      <c r="E878" s="34"/>
      <c r="F878" s="34"/>
      <c r="G878" s="34"/>
      <c r="H878" s="33"/>
      <c r="I878" s="33"/>
      <c r="J878" s="34"/>
      <c r="K878" s="34"/>
      <c r="L878" s="34"/>
      <c r="M878" s="34"/>
      <c r="N878" s="34"/>
      <c r="O878" s="34"/>
      <c r="P878" s="34"/>
      <c r="Q878" s="34"/>
      <c r="R878" s="34"/>
      <c r="S878" s="34"/>
      <c r="T878" s="34"/>
      <c r="U878" s="34"/>
      <c r="V878" s="34"/>
      <c r="W878" s="34"/>
      <c r="X878" s="34"/>
      <c r="Y878" s="34"/>
      <c r="Z878" s="34"/>
      <c r="AA878" s="34"/>
      <c r="AB878" s="34"/>
      <c r="AC878" s="34"/>
    </row>
    <row r="879" spans="1:29" ht="15.75" customHeight="1" x14ac:dyDescent="0.2">
      <c r="A879" s="34"/>
      <c r="B879" s="34"/>
      <c r="C879" s="33"/>
      <c r="D879" s="34"/>
      <c r="E879" s="34"/>
      <c r="F879" s="34"/>
      <c r="G879" s="34"/>
      <c r="H879" s="33"/>
      <c r="I879" s="33"/>
      <c r="J879" s="34"/>
      <c r="K879" s="34"/>
      <c r="L879" s="34"/>
      <c r="M879" s="34"/>
      <c r="N879" s="34"/>
      <c r="O879" s="34"/>
      <c r="P879" s="34"/>
      <c r="Q879" s="34"/>
      <c r="R879" s="34"/>
      <c r="S879" s="34"/>
      <c r="T879" s="34"/>
      <c r="U879" s="34"/>
      <c r="V879" s="34"/>
      <c r="W879" s="34"/>
      <c r="X879" s="34"/>
      <c r="Y879" s="34"/>
      <c r="Z879" s="34"/>
      <c r="AA879" s="34"/>
      <c r="AB879" s="34"/>
      <c r="AC879" s="34"/>
    </row>
    <row r="880" spans="1:29" ht="15.75" customHeight="1" x14ac:dyDescent="0.2">
      <c r="A880" s="34"/>
      <c r="B880" s="34"/>
      <c r="C880" s="33"/>
      <c r="D880" s="34"/>
      <c r="E880" s="34"/>
      <c r="F880" s="34"/>
      <c r="G880" s="34"/>
      <c r="H880" s="33"/>
      <c r="I880" s="33"/>
      <c r="J880" s="34"/>
      <c r="K880" s="34"/>
      <c r="L880" s="34"/>
      <c r="M880" s="34"/>
      <c r="N880" s="34"/>
      <c r="O880" s="34"/>
      <c r="P880" s="34"/>
      <c r="Q880" s="34"/>
      <c r="R880" s="34"/>
      <c r="S880" s="34"/>
      <c r="T880" s="34"/>
      <c r="U880" s="34"/>
      <c r="V880" s="34"/>
      <c r="W880" s="34"/>
      <c r="X880" s="34"/>
      <c r="Y880" s="34"/>
      <c r="Z880" s="34"/>
      <c r="AA880" s="34"/>
      <c r="AB880" s="34"/>
      <c r="AC880" s="34"/>
    </row>
    <row r="881" spans="1:29" ht="15.75" customHeight="1" x14ac:dyDescent="0.2">
      <c r="A881" s="34"/>
      <c r="B881" s="34"/>
      <c r="C881" s="33"/>
      <c r="D881" s="34"/>
      <c r="E881" s="34"/>
      <c r="F881" s="34"/>
      <c r="G881" s="34"/>
      <c r="H881" s="33"/>
      <c r="I881" s="33"/>
      <c r="J881" s="34"/>
      <c r="K881" s="34"/>
      <c r="L881" s="34"/>
      <c r="M881" s="34"/>
      <c r="N881" s="34"/>
      <c r="O881" s="34"/>
      <c r="P881" s="34"/>
      <c r="Q881" s="34"/>
      <c r="R881" s="34"/>
      <c r="S881" s="34"/>
      <c r="T881" s="34"/>
      <c r="U881" s="34"/>
      <c r="V881" s="34"/>
      <c r="W881" s="34"/>
      <c r="X881" s="34"/>
      <c r="Y881" s="34"/>
      <c r="Z881" s="34"/>
      <c r="AA881" s="34"/>
      <c r="AB881" s="34"/>
      <c r="AC881" s="34"/>
    </row>
    <row r="882" spans="1:29" ht="15.75" customHeight="1" x14ac:dyDescent="0.2">
      <c r="A882" s="34"/>
      <c r="B882" s="34"/>
      <c r="C882" s="33"/>
      <c r="D882" s="34"/>
      <c r="E882" s="34"/>
      <c r="F882" s="34"/>
      <c r="G882" s="34"/>
      <c r="H882" s="33"/>
      <c r="I882" s="33"/>
      <c r="J882" s="34"/>
      <c r="K882" s="34"/>
      <c r="L882" s="34"/>
      <c r="M882" s="34"/>
      <c r="N882" s="34"/>
      <c r="O882" s="34"/>
      <c r="P882" s="34"/>
      <c r="Q882" s="34"/>
      <c r="R882" s="34"/>
      <c r="S882" s="34"/>
      <c r="T882" s="34"/>
      <c r="U882" s="34"/>
      <c r="V882" s="34"/>
      <c r="W882" s="34"/>
      <c r="X882" s="34"/>
      <c r="Y882" s="34"/>
      <c r="Z882" s="34"/>
      <c r="AA882" s="34"/>
      <c r="AB882" s="34"/>
      <c r="AC882" s="34"/>
    </row>
    <row r="883" spans="1:29" ht="15.75" customHeight="1" x14ac:dyDescent="0.2">
      <c r="A883" s="34"/>
      <c r="B883" s="34"/>
      <c r="C883" s="33"/>
      <c r="D883" s="34"/>
      <c r="E883" s="34"/>
      <c r="F883" s="34"/>
      <c r="G883" s="34"/>
      <c r="H883" s="33"/>
      <c r="I883" s="33"/>
      <c r="J883" s="34"/>
      <c r="K883" s="34"/>
      <c r="L883" s="34"/>
      <c r="M883" s="34"/>
      <c r="N883" s="34"/>
      <c r="O883" s="34"/>
      <c r="P883" s="34"/>
      <c r="Q883" s="34"/>
      <c r="R883" s="34"/>
      <c r="S883" s="34"/>
      <c r="T883" s="34"/>
      <c r="U883" s="34"/>
      <c r="V883" s="34"/>
      <c r="W883" s="34"/>
      <c r="X883" s="34"/>
      <c r="Y883" s="34"/>
      <c r="Z883" s="34"/>
      <c r="AA883" s="34"/>
      <c r="AB883" s="34"/>
      <c r="AC883" s="34"/>
    </row>
    <row r="884" spans="1:29" ht="15.75" customHeight="1" x14ac:dyDescent="0.2">
      <c r="A884" s="34"/>
      <c r="B884" s="34"/>
      <c r="C884" s="33"/>
      <c r="D884" s="34"/>
      <c r="E884" s="34"/>
      <c r="F884" s="34"/>
      <c r="G884" s="34"/>
      <c r="H884" s="33"/>
      <c r="I884" s="33"/>
      <c r="J884" s="34"/>
      <c r="K884" s="34"/>
      <c r="L884" s="34"/>
      <c r="M884" s="34"/>
      <c r="N884" s="34"/>
      <c r="O884" s="34"/>
      <c r="P884" s="34"/>
      <c r="Q884" s="34"/>
      <c r="R884" s="34"/>
      <c r="S884" s="34"/>
      <c r="T884" s="34"/>
      <c r="U884" s="34"/>
      <c r="V884" s="34"/>
      <c r="W884" s="34"/>
      <c r="X884" s="34"/>
      <c r="Y884" s="34"/>
      <c r="Z884" s="34"/>
      <c r="AA884" s="34"/>
      <c r="AB884" s="34"/>
      <c r="AC884" s="34"/>
    </row>
    <row r="885" spans="1:29" ht="15.75" customHeight="1" x14ac:dyDescent="0.2">
      <c r="A885" s="34"/>
      <c r="B885" s="34"/>
      <c r="C885" s="33"/>
      <c r="D885" s="34"/>
      <c r="E885" s="34"/>
      <c r="F885" s="34"/>
      <c r="G885" s="34"/>
      <c r="H885" s="33"/>
      <c r="I885" s="33"/>
      <c r="J885" s="34"/>
      <c r="K885" s="34"/>
      <c r="L885" s="34"/>
      <c r="M885" s="34"/>
      <c r="N885" s="34"/>
      <c r="O885" s="34"/>
      <c r="P885" s="34"/>
      <c r="Q885" s="34"/>
      <c r="R885" s="34"/>
      <c r="S885" s="34"/>
      <c r="T885" s="34"/>
      <c r="U885" s="34"/>
      <c r="V885" s="34"/>
      <c r="W885" s="34"/>
      <c r="X885" s="34"/>
      <c r="Y885" s="34"/>
      <c r="Z885" s="34"/>
      <c r="AA885" s="34"/>
      <c r="AB885" s="34"/>
      <c r="AC885" s="34"/>
    </row>
    <row r="886" spans="1:29" ht="15.75" customHeight="1" x14ac:dyDescent="0.2">
      <c r="A886" s="34"/>
      <c r="B886" s="34"/>
      <c r="C886" s="33"/>
      <c r="D886" s="34"/>
      <c r="E886" s="34"/>
      <c r="F886" s="34"/>
      <c r="G886" s="34"/>
      <c r="H886" s="33"/>
      <c r="I886" s="33"/>
      <c r="J886" s="34"/>
      <c r="K886" s="34"/>
      <c r="L886" s="34"/>
      <c r="M886" s="34"/>
      <c r="N886" s="34"/>
      <c r="O886" s="34"/>
      <c r="P886" s="34"/>
      <c r="Q886" s="34"/>
      <c r="R886" s="34"/>
      <c r="S886" s="34"/>
      <c r="T886" s="34"/>
      <c r="U886" s="34"/>
      <c r="V886" s="34"/>
      <c r="W886" s="34"/>
      <c r="X886" s="34"/>
      <c r="Y886" s="34"/>
      <c r="Z886" s="34"/>
      <c r="AA886" s="34"/>
      <c r="AB886" s="34"/>
      <c r="AC886" s="34"/>
    </row>
    <row r="887" spans="1:29" ht="15.75" customHeight="1" x14ac:dyDescent="0.2">
      <c r="A887" s="34"/>
      <c r="B887" s="34"/>
      <c r="C887" s="33"/>
      <c r="D887" s="34"/>
      <c r="E887" s="34"/>
      <c r="F887" s="34"/>
      <c r="G887" s="34"/>
      <c r="H887" s="33"/>
      <c r="I887" s="33"/>
      <c r="J887" s="34"/>
      <c r="K887" s="34"/>
      <c r="L887" s="34"/>
      <c r="M887" s="34"/>
      <c r="N887" s="34"/>
      <c r="O887" s="34"/>
      <c r="P887" s="34"/>
      <c r="Q887" s="34"/>
      <c r="R887" s="34"/>
      <c r="S887" s="34"/>
      <c r="T887" s="34"/>
      <c r="U887" s="34"/>
      <c r="V887" s="34"/>
      <c r="W887" s="34"/>
      <c r="X887" s="34"/>
      <c r="Y887" s="34"/>
      <c r="Z887" s="34"/>
      <c r="AA887" s="34"/>
      <c r="AB887" s="34"/>
      <c r="AC887" s="34"/>
    </row>
    <row r="888" spans="1:29" ht="15.75" customHeight="1" x14ac:dyDescent="0.2">
      <c r="A888" s="34"/>
      <c r="B888" s="34"/>
      <c r="C888" s="33"/>
      <c r="D888" s="34"/>
      <c r="E888" s="34"/>
      <c r="F888" s="34"/>
      <c r="G888" s="34"/>
      <c r="H888" s="33"/>
      <c r="I888" s="33"/>
      <c r="J888" s="34"/>
      <c r="K888" s="34"/>
      <c r="L888" s="34"/>
      <c r="M888" s="34"/>
      <c r="N888" s="34"/>
      <c r="O888" s="34"/>
      <c r="P888" s="34"/>
      <c r="Q888" s="34"/>
      <c r="R888" s="34"/>
      <c r="S888" s="34"/>
      <c r="T888" s="34"/>
      <c r="U888" s="34"/>
      <c r="V888" s="34"/>
      <c r="W888" s="34"/>
      <c r="X888" s="34"/>
      <c r="Y888" s="34"/>
      <c r="Z888" s="34"/>
      <c r="AA888" s="34"/>
      <c r="AB888" s="34"/>
      <c r="AC888" s="34"/>
    </row>
    <row r="889" spans="1:29" ht="15.75" customHeight="1" x14ac:dyDescent="0.2">
      <c r="A889" s="34"/>
      <c r="B889" s="34"/>
      <c r="C889" s="33"/>
      <c r="D889" s="34"/>
      <c r="E889" s="34"/>
      <c r="F889" s="34"/>
      <c r="G889" s="34"/>
      <c r="H889" s="33"/>
      <c r="I889" s="33"/>
      <c r="J889" s="34"/>
      <c r="K889" s="34"/>
      <c r="L889" s="34"/>
      <c r="M889" s="34"/>
      <c r="N889" s="34"/>
      <c r="O889" s="34"/>
      <c r="P889" s="34"/>
      <c r="Q889" s="34"/>
      <c r="R889" s="34"/>
      <c r="S889" s="34"/>
      <c r="T889" s="34"/>
      <c r="U889" s="34"/>
      <c r="V889" s="34"/>
      <c r="W889" s="34"/>
      <c r="X889" s="34"/>
      <c r="Y889" s="34"/>
      <c r="Z889" s="34"/>
      <c r="AA889" s="34"/>
      <c r="AB889" s="34"/>
      <c r="AC889" s="34"/>
    </row>
    <row r="890" spans="1:29" ht="15.75" customHeight="1" x14ac:dyDescent="0.2">
      <c r="A890" s="34"/>
      <c r="B890" s="34"/>
      <c r="C890" s="33"/>
      <c r="D890" s="34"/>
      <c r="E890" s="34"/>
      <c r="F890" s="34"/>
      <c r="G890" s="34"/>
      <c r="H890" s="33"/>
      <c r="I890" s="33"/>
      <c r="J890" s="34"/>
      <c r="K890" s="34"/>
      <c r="L890" s="34"/>
      <c r="M890" s="34"/>
      <c r="N890" s="34"/>
      <c r="O890" s="34"/>
      <c r="P890" s="34"/>
      <c r="Q890" s="34"/>
      <c r="R890" s="34"/>
      <c r="S890" s="34"/>
      <c r="T890" s="34"/>
      <c r="U890" s="34"/>
      <c r="V890" s="34"/>
      <c r="W890" s="34"/>
      <c r="X890" s="34"/>
      <c r="Y890" s="34"/>
      <c r="Z890" s="34"/>
      <c r="AA890" s="34"/>
      <c r="AB890" s="34"/>
      <c r="AC890" s="34"/>
    </row>
    <row r="891" spans="1:29" ht="15.75" customHeight="1" x14ac:dyDescent="0.2">
      <c r="A891" s="34"/>
      <c r="B891" s="34"/>
      <c r="C891" s="33"/>
      <c r="D891" s="34"/>
      <c r="E891" s="34"/>
      <c r="F891" s="34"/>
      <c r="G891" s="34"/>
      <c r="H891" s="33"/>
      <c r="I891" s="33"/>
      <c r="J891" s="34"/>
      <c r="K891" s="34"/>
      <c r="L891" s="34"/>
      <c r="M891" s="34"/>
      <c r="N891" s="34"/>
      <c r="O891" s="34"/>
      <c r="P891" s="34"/>
      <c r="Q891" s="34"/>
      <c r="R891" s="34"/>
      <c r="S891" s="34"/>
      <c r="T891" s="34"/>
      <c r="U891" s="34"/>
      <c r="V891" s="34"/>
      <c r="W891" s="34"/>
      <c r="X891" s="34"/>
      <c r="Y891" s="34"/>
      <c r="Z891" s="34"/>
      <c r="AA891" s="34"/>
      <c r="AB891" s="34"/>
      <c r="AC891" s="34"/>
    </row>
    <row r="892" spans="1:29" ht="15.75" customHeight="1" x14ac:dyDescent="0.2">
      <c r="A892" s="34"/>
      <c r="B892" s="34"/>
      <c r="C892" s="33"/>
      <c r="D892" s="34"/>
      <c r="E892" s="34"/>
      <c r="F892" s="34"/>
      <c r="G892" s="34"/>
      <c r="H892" s="33"/>
      <c r="I892" s="33"/>
      <c r="J892" s="34"/>
      <c r="K892" s="34"/>
      <c r="L892" s="34"/>
      <c r="M892" s="34"/>
      <c r="N892" s="34"/>
      <c r="O892" s="34"/>
      <c r="P892" s="34"/>
      <c r="Q892" s="34"/>
      <c r="R892" s="34"/>
      <c r="S892" s="34"/>
      <c r="T892" s="34"/>
      <c r="U892" s="34"/>
      <c r="V892" s="34"/>
      <c r="W892" s="34"/>
      <c r="X892" s="34"/>
      <c r="Y892" s="34"/>
      <c r="Z892" s="34"/>
      <c r="AA892" s="34"/>
      <c r="AB892" s="34"/>
      <c r="AC892" s="34"/>
    </row>
    <row r="893" spans="1:29" ht="15.75" customHeight="1" x14ac:dyDescent="0.2">
      <c r="A893" s="34"/>
      <c r="B893" s="34"/>
      <c r="C893" s="33"/>
      <c r="D893" s="34"/>
      <c r="E893" s="34"/>
      <c r="F893" s="34"/>
      <c r="G893" s="34"/>
      <c r="H893" s="33"/>
      <c r="I893" s="33"/>
      <c r="J893" s="34"/>
      <c r="K893" s="34"/>
      <c r="L893" s="34"/>
      <c r="M893" s="34"/>
      <c r="N893" s="34"/>
      <c r="O893" s="34"/>
      <c r="P893" s="34"/>
      <c r="Q893" s="34"/>
      <c r="R893" s="34"/>
      <c r="S893" s="34"/>
      <c r="T893" s="34"/>
      <c r="U893" s="34"/>
      <c r="V893" s="34"/>
      <c r="W893" s="34"/>
      <c r="X893" s="34"/>
      <c r="Y893" s="34"/>
      <c r="Z893" s="34"/>
      <c r="AA893" s="34"/>
      <c r="AB893" s="34"/>
      <c r="AC893" s="34"/>
    </row>
    <row r="894" spans="1:29" ht="15.75" customHeight="1" x14ac:dyDescent="0.2">
      <c r="A894" s="34"/>
      <c r="B894" s="34"/>
      <c r="C894" s="33"/>
      <c r="D894" s="34"/>
      <c r="E894" s="34"/>
      <c r="F894" s="34"/>
      <c r="G894" s="34"/>
      <c r="H894" s="33"/>
      <c r="I894" s="33"/>
      <c r="J894" s="34"/>
      <c r="K894" s="34"/>
      <c r="L894" s="34"/>
      <c r="M894" s="34"/>
      <c r="N894" s="34"/>
      <c r="O894" s="34"/>
      <c r="P894" s="34"/>
      <c r="Q894" s="34"/>
      <c r="R894" s="34"/>
      <c r="S894" s="34"/>
      <c r="T894" s="34"/>
      <c r="U894" s="34"/>
      <c r="V894" s="34"/>
      <c r="W894" s="34"/>
      <c r="X894" s="34"/>
      <c r="Y894" s="34"/>
      <c r="Z894" s="34"/>
      <c r="AA894" s="34"/>
      <c r="AB894" s="34"/>
      <c r="AC894" s="34"/>
    </row>
    <row r="895" spans="1:29" ht="15.75" customHeight="1" x14ac:dyDescent="0.2">
      <c r="A895" s="34"/>
      <c r="B895" s="34"/>
      <c r="C895" s="33"/>
      <c r="D895" s="34"/>
      <c r="E895" s="34"/>
      <c r="F895" s="34"/>
      <c r="G895" s="34"/>
      <c r="H895" s="33"/>
      <c r="I895" s="33"/>
      <c r="J895" s="34"/>
      <c r="K895" s="34"/>
      <c r="L895" s="34"/>
      <c r="M895" s="34"/>
      <c r="N895" s="34"/>
      <c r="O895" s="34"/>
      <c r="P895" s="34"/>
      <c r="Q895" s="34"/>
      <c r="R895" s="34"/>
      <c r="S895" s="34"/>
      <c r="T895" s="34"/>
      <c r="U895" s="34"/>
      <c r="V895" s="34"/>
      <c r="W895" s="34"/>
      <c r="X895" s="34"/>
      <c r="Y895" s="34"/>
      <c r="Z895" s="34"/>
      <c r="AA895" s="34"/>
      <c r="AB895" s="34"/>
      <c r="AC895" s="34"/>
    </row>
    <row r="896" spans="1:29" ht="15.75" customHeight="1" x14ac:dyDescent="0.2">
      <c r="A896" s="34"/>
      <c r="B896" s="34"/>
      <c r="C896" s="33"/>
      <c r="D896" s="34"/>
      <c r="E896" s="34"/>
      <c r="F896" s="34"/>
      <c r="G896" s="34"/>
      <c r="H896" s="33"/>
      <c r="I896" s="33"/>
      <c r="J896" s="34"/>
      <c r="K896" s="34"/>
      <c r="L896" s="34"/>
      <c r="M896" s="34"/>
      <c r="N896" s="34"/>
      <c r="O896" s="34"/>
      <c r="P896" s="34"/>
      <c r="Q896" s="34"/>
      <c r="R896" s="34"/>
      <c r="S896" s="34"/>
      <c r="T896" s="34"/>
      <c r="U896" s="34"/>
      <c r="V896" s="34"/>
      <c r="W896" s="34"/>
      <c r="X896" s="34"/>
      <c r="Y896" s="34"/>
      <c r="Z896" s="34"/>
      <c r="AA896" s="34"/>
      <c r="AB896" s="34"/>
      <c r="AC896" s="34"/>
    </row>
    <row r="897" spans="1:29" ht="15.75" customHeight="1" x14ac:dyDescent="0.2">
      <c r="A897" s="34"/>
      <c r="B897" s="34"/>
      <c r="C897" s="33"/>
      <c r="D897" s="34"/>
      <c r="E897" s="34"/>
      <c r="F897" s="34"/>
      <c r="G897" s="34"/>
      <c r="H897" s="33"/>
      <c r="I897" s="33"/>
      <c r="J897" s="34"/>
      <c r="K897" s="34"/>
      <c r="L897" s="34"/>
      <c r="M897" s="34"/>
      <c r="N897" s="34"/>
      <c r="O897" s="34"/>
      <c r="P897" s="34"/>
      <c r="Q897" s="34"/>
      <c r="R897" s="34"/>
      <c r="S897" s="34"/>
      <c r="T897" s="34"/>
      <c r="U897" s="34"/>
      <c r="V897" s="34"/>
      <c r="W897" s="34"/>
      <c r="X897" s="34"/>
      <c r="Y897" s="34"/>
      <c r="Z897" s="34"/>
      <c r="AA897" s="34"/>
      <c r="AB897" s="34"/>
      <c r="AC897" s="34"/>
    </row>
    <row r="898" spans="1:29" ht="15.75" customHeight="1" x14ac:dyDescent="0.2">
      <c r="A898" s="34"/>
      <c r="B898" s="34"/>
      <c r="C898" s="33"/>
      <c r="D898" s="34"/>
      <c r="E898" s="34"/>
      <c r="F898" s="34"/>
      <c r="G898" s="34"/>
      <c r="H898" s="33"/>
      <c r="I898" s="33"/>
      <c r="J898" s="34"/>
      <c r="K898" s="34"/>
      <c r="L898" s="34"/>
      <c r="M898" s="34"/>
      <c r="N898" s="34"/>
      <c r="O898" s="34"/>
      <c r="P898" s="34"/>
      <c r="Q898" s="34"/>
      <c r="R898" s="34"/>
      <c r="S898" s="34"/>
      <c r="T898" s="34"/>
      <c r="U898" s="34"/>
      <c r="V898" s="34"/>
      <c r="W898" s="34"/>
      <c r="X898" s="34"/>
      <c r="Y898" s="34"/>
      <c r="Z898" s="34"/>
      <c r="AA898" s="34"/>
      <c r="AB898" s="34"/>
      <c r="AC898" s="34"/>
    </row>
    <row r="899" spans="1:29" ht="15.75" customHeight="1" x14ac:dyDescent="0.2">
      <c r="A899" s="34"/>
      <c r="B899" s="34"/>
      <c r="C899" s="33"/>
      <c r="D899" s="34"/>
      <c r="E899" s="34"/>
      <c r="F899" s="34"/>
      <c r="G899" s="34"/>
      <c r="H899" s="33"/>
      <c r="I899" s="33"/>
      <c r="J899" s="34"/>
      <c r="K899" s="34"/>
      <c r="L899" s="34"/>
      <c r="M899" s="34"/>
      <c r="N899" s="34"/>
      <c r="O899" s="34"/>
      <c r="P899" s="34"/>
      <c r="Q899" s="34"/>
      <c r="R899" s="34"/>
      <c r="S899" s="34"/>
      <c r="T899" s="34"/>
      <c r="U899" s="34"/>
      <c r="V899" s="34"/>
      <c r="W899" s="34"/>
      <c r="X899" s="34"/>
      <c r="Y899" s="34"/>
      <c r="Z899" s="34"/>
      <c r="AA899" s="34"/>
      <c r="AB899" s="34"/>
      <c r="AC899" s="34"/>
    </row>
    <row r="900" spans="1:29" ht="15.75" customHeight="1" x14ac:dyDescent="0.2">
      <c r="A900" s="34"/>
      <c r="B900" s="34"/>
      <c r="C900" s="33"/>
      <c r="D900" s="34"/>
      <c r="E900" s="34"/>
      <c r="F900" s="34"/>
      <c r="G900" s="34"/>
      <c r="H900" s="33"/>
      <c r="I900" s="33"/>
      <c r="J900" s="34"/>
      <c r="K900" s="34"/>
      <c r="L900" s="34"/>
      <c r="M900" s="34"/>
      <c r="N900" s="34"/>
      <c r="O900" s="34"/>
      <c r="P900" s="34"/>
      <c r="Q900" s="34"/>
      <c r="R900" s="34"/>
      <c r="S900" s="34"/>
      <c r="T900" s="34"/>
      <c r="U900" s="34"/>
      <c r="V900" s="34"/>
      <c r="W900" s="34"/>
      <c r="X900" s="34"/>
      <c r="Y900" s="34"/>
      <c r="Z900" s="34"/>
      <c r="AA900" s="34"/>
      <c r="AB900" s="34"/>
      <c r="AC900" s="34"/>
    </row>
    <row r="901" spans="1:29" ht="15.75" customHeight="1" x14ac:dyDescent="0.2">
      <c r="A901" s="34"/>
      <c r="B901" s="34"/>
      <c r="C901" s="33"/>
      <c r="D901" s="34"/>
      <c r="E901" s="34"/>
      <c r="F901" s="34"/>
      <c r="G901" s="34"/>
      <c r="H901" s="33"/>
      <c r="I901" s="33"/>
      <c r="J901" s="34"/>
      <c r="K901" s="34"/>
      <c r="L901" s="34"/>
      <c r="M901" s="34"/>
      <c r="N901" s="34"/>
      <c r="O901" s="34"/>
      <c r="P901" s="34"/>
      <c r="Q901" s="34"/>
      <c r="R901" s="34"/>
      <c r="S901" s="34"/>
      <c r="T901" s="34"/>
      <c r="U901" s="34"/>
      <c r="V901" s="34"/>
      <c r="W901" s="34"/>
      <c r="X901" s="34"/>
      <c r="Y901" s="34"/>
      <c r="Z901" s="34"/>
      <c r="AA901" s="34"/>
      <c r="AB901" s="34"/>
      <c r="AC901" s="34"/>
    </row>
    <row r="902" spans="1:29" ht="15.75" customHeight="1" x14ac:dyDescent="0.2">
      <c r="A902" s="34"/>
      <c r="B902" s="34"/>
      <c r="C902" s="33"/>
      <c r="D902" s="34"/>
      <c r="E902" s="34"/>
      <c r="F902" s="34"/>
      <c r="G902" s="34"/>
      <c r="H902" s="33"/>
      <c r="I902" s="33"/>
      <c r="J902" s="34"/>
      <c r="K902" s="34"/>
      <c r="L902" s="34"/>
      <c r="M902" s="34"/>
      <c r="N902" s="34"/>
      <c r="O902" s="34"/>
      <c r="P902" s="34"/>
      <c r="Q902" s="34"/>
      <c r="R902" s="34"/>
      <c r="S902" s="34"/>
      <c r="T902" s="34"/>
      <c r="U902" s="34"/>
      <c r="V902" s="34"/>
      <c r="W902" s="34"/>
      <c r="X902" s="34"/>
      <c r="Y902" s="34"/>
      <c r="Z902" s="34"/>
      <c r="AA902" s="34"/>
      <c r="AB902" s="34"/>
      <c r="AC902" s="34"/>
    </row>
    <row r="903" spans="1:29" ht="15.75" customHeight="1" x14ac:dyDescent="0.2">
      <c r="A903" s="34"/>
      <c r="B903" s="34"/>
      <c r="C903" s="33"/>
      <c r="D903" s="34"/>
      <c r="E903" s="34"/>
      <c r="F903" s="34"/>
      <c r="G903" s="34"/>
      <c r="H903" s="33"/>
      <c r="I903" s="33"/>
      <c r="J903" s="34"/>
      <c r="K903" s="34"/>
      <c r="L903" s="34"/>
      <c r="M903" s="34"/>
      <c r="N903" s="34"/>
      <c r="O903" s="34"/>
      <c r="P903" s="34"/>
      <c r="Q903" s="34"/>
      <c r="R903" s="34"/>
      <c r="S903" s="34"/>
      <c r="T903" s="34"/>
      <c r="U903" s="34"/>
      <c r="V903" s="34"/>
      <c r="W903" s="34"/>
      <c r="X903" s="34"/>
      <c r="Y903" s="34"/>
      <c r="Z903" s="34"/>
      <c r="AA903" s="34"/>
      <c r="AB903" s="34"/>
      <c r="AC903" s="34"/>
    </row>
    <row r="904" spans="1:29" ht="15.75" customHeight="1" x14ac:dyDescent="0.2">
      <c r="A904" s="34"/>
      <c r="B904" s="34"/>
      <c r="C904" s="33"/>
      <c r="D904" s="34"/>
      <c r="E904" s="34"/>
      <c r="F904" s="34"/>
      <c r="G904" s="34"/>
      <c r="H904" s="33"/>
      <c r="I904" s="33"/>
      <c r="J904" s="34"/>
      <c r="K904" s="34"/>
      <c r="L904" s="34"/>
      <c r="M904" s="34"/>
      <c r="N904" s="34"/>
      <c r="O904" s="34"/>
      <c r="P904" s="34"/>
      <c r="Q904" s="34"/>
      <c r="R904" s="34"/>
      <c r="S904" s="34"/>
      <c r="T904" s="34"/>
      <c r="U904" s="34"/>
      <c r="V904" s="34"/>
      <c r="W904" s="34"/>
      <c r="X904" s="34"/>
      <c r="Y904" s="34"/>
      <c r="Z904" s="34"/>
      <c r="AA904" s="34"/>
      <c r="AB904" s="34"/>
      <c r="AC904" s="34"/>
    </row>
    <row r="905" spans="1:29" ht="15.75" customHeight="1" x14ac:dyDescent="0.2">
      <c r="A905" s="34"/>
      <c r="B905" s="34"/>
      <c r="C905" s="33"/>
      <c r="D905" s="34"/>
      <c r="E905" s="34"/>
      <c r="F905" s="34"/>
      <c r="G905" s="34"/>
      <c r="H905" s="33"/>
      <c r="I905" s="33"/>
      <c r="J905" s="34"/>
      <c r="K905" s="34"/>
      <c r="L905" s="34"/>
      <c r="M905" s="34"/>
      <c r="N905" s="34"/>
      <c r="O905" s="34"/>
      <c r="P905" s="34"/>
      <c r="Q905" s="34"/>
      <c r="R905" s="34"/>
      <c r="S905" s="34"/>
      <c r="T905" s="34"/>
      <c r="U905" s="34"/>
      <c r="V905" s="34"/>
      <c r="W905" s="34"/>
      <c r="X905" s="34"/>
      <c r="Y905" s="34"/>
      <c r="Z905" s="34"/>
      <c r="AA905" s="34"/>
      <c r="AB905" s="34"/>
      <c r="AC905" s="34"/>
    </row>
    <row r="906" spans="1:29" ht="15.75" customHeight="1" x14ac:dyDescent="0.2">
      <c r="A906" s="34"/>
      <c r="B906" s="34"/>
      <c r="C906" s="33"/>
      <c r="D906" s="34"/>
      <c r="E906" s="34"/>
      <c r="F906" s="34"/>
      <c r="G906" s="34"/>
      <c r="H906" s="33"/>
      <c r="I906" s="33"/>
      <c r="J906" s="34"/>
      <c r="K906" s="34"/>
      <c r="L906" s="34"/>
      <c r="M906" s="34"/>
      <c r="N906" s="34"/>
      <c r="O906" s="34"/>
      <c r="P906" s="34"/>
      <c r="Q906" s="34"/>
      <c r="R906" s="34"/>
      <c r="S906" s="34"/>
      <c r="T906" s="34"/>
      <c r="U906" s="34"/>
      <c r="V906" s="34"/>
      <c r="W906" s="34"/>
      <c r="X906" s="34"/>
      <c r="Y906" s="34"/>
      <c r="Z906" s="34"/>
      <c r="AA906" s="34"/>
      <c r="AB906" s="34"/>
      <c r="AC906" s="34"/>
    </row>
    <row r="907" spans="1:29" ht="15.75" customHeight="1" x14ac:dyDescent="0.2">
      <c r="A907" s="34"/>
      <c r="B907" s="34"/>
      <c r="C907" s="33"/>
      <c r="D907" s="34"/>
      <c r="E907" s="34"/>
      <c r="F907" s="34"/>
      <c r="G907" s="34"/>
      <c r="H907" s="33"/>
      <c r="I907" s="33"/>
      <c r="J907" s="34"/>
      <c r="K907" s="34"/>
      <c r="L907" s="34"/>
      <c r="M907" s="34"/>
      <c r="N907" s="34"/>
      <c r="O907" s="34"/>
      <c r="P907" s="34"/>
      <c r="Q907" s="34"/>
      <c r="R907" s="34"/>
      <c r="S907" s="34"/>
      <c r="T907" s="34"/>
      <c r="U907" s="34"/>
      <c r="V907" s="34"/>
      <c r="W907" s="34"/>
      <c r="X907" s="34"/>
      <c r="Y907" s="34"/>
      <c r="Z907" s="34"/>
      <c r="AA907" s="34"/>
      <c r="AB907" s="34"/>
      <c r="AC907" s="34"/>
    </row>
    <row r="908" spans="1:29" ht="15.75" customHeight="1" x14ac:dyDescent="0.2">
      <c r="A908" s="34"/>
      <c r="B908" s="34"/>
      <c r="C908" s="33"/>
      <c r="D908" s="34"/>
      <c r="E908" s="34"/>
      <c r="F908" s="34"/>
      <c r="G908" s="34"/>
      <c r="H908" s="33"/>
      <c r="I908" s="33"/>
      <c r="J908" s="34"/>
      <c r="K908" s="34"/>
      <c r="L908" s="34"/>
      <c r="M908" s="34"/>
      <c r="N908" s="34"/>
      <c r="O908" s="34"/>
      <c r="P908" s="34"/>
      <c r="Q908" s="34"/>
      <c r="R908" s="34"/>
      <c r="S908" s="34"/>
      <c r="T908" s="34"/>
      <c r="U908" s="34"/>
      <c r="V908" s="34"/>
      <c r="W908" s="34"/>
      <c r="X908" s="34"/>
      <c r="Y908" s="34"/>
      <c r="Z908" s="34"/>
      <c r="AA908" s="34"/>
      <c r="AB908" s="34"/>
      <c r="AC908" s="34"/>
    </row>
    <row r="909" spans="1:29" ht="15.75" customHeight="1" x14ac:dyDescent="0.2">
      <c r="A909" s="34"/>
      <c r="B909" s="34"/>
      <c r="C909" s="33"/>
      <c r="D909" s="34"/>
      <c r="E909" s="34"/>
      <c r="F909" s="34"/>
      <c r="G909" s="34"/>
      <c r="H909" s="33"/>
      <c r="I909" s="33"/>
      <c r="J909" s="34"/>
      <c r="K909" s="34"/>
      <c r="L909" s="34"/>
      <c r="M909" s="34"/>
      <c r="N909" s="34"/>
      <c r="O909" s="34"/>
      <c r="P909" s="34"/>
      <c r="Q909" s="34"/>
      <c r="R909" s="34"/>
      <c r="S909" s="34"/>
      <c r="T909" s="34"/>
      <c r="U909" s="34"/>
      <c r="V909" s="34"/>
      <c r="W909" s="34"/>
      <c r="X909" s="34"/>
      <c r="Y909" s="34"/>
      <c r="Z909" s="34"/>
      <c r="AA909" s="34"/>
      <c r="AB909" s="34"/>
      <c r="AC909" s="34"/>
    </row>
    <row r="910" spans="1:29" ht="15.75" customHeight="1" x14ac:dyDescent="0.2">
      <c r="A910" s="34"/>
      <c r="B910" s="34"/>
      <c r="C910" s="33"/>
      <c r="D910" s="34"/>
      <c r="E910" s="34"/>
      <c r="F910" s="34"/>
      <c r="G910" s="34"/>
      <c r="H910" s="33"/>
      <c r="I910" s="33"/>
      <c r="J910" s="34"/>
      <c r="K910" s="34"/>
      <c r="L910" s="34"/>
      <c r="M910" s="34"/>
      <c r="N910" s="34"/>
      <c r="O910" s="34"/>
      <c r="P910" s="34"/>
      <c r="Q910" s="34"/>
      <c r="R910" s="34"/>
      <c r="S910" s="34"/>
      <c r="T910" s="34"/>
      <c r="U910" s="34"/>
      <c r="V910" s="34"/>
      <c r="W910" s="34"/>
      <c r="X910" s="34"/>
      <c r="Y910" s="34"/>
      <c r="Z910" s="34"/>
      <c r="AA910" s="34"/>
      <c r="AB910" s="34"/>
      <c r="AC910" s="34"/>
    </row>
    <row r="911" spans="1:29" ht="15.75" customHeight="1" x14ac:dyDescent="0.2">
      <c r="A911" s="34"/>
      <c r="B911" s="34"/>
      <c r="C911" s="33"/>
      <c r="D911" s="34"/>
      <c r="E911" s="34"/>
      <c r="F911" s="34"/>
      <c r="G911" s="34"/>
      <c r="H911" s="33"/>
      <c r="I911" s="33"/>
      <c r="J911" s="34"/>
      <c r="K911" s="34"/>
      <c r="L911" s="34"/>
      <c r="M911" s="34"/>
      <c r="N911" s="34"/>
      <c r="O911" s="34"/>
      <c r="P911" s="34"/>
      <c r="Q911" s="34"/>
      <c r="R911" s="34"/>
      <c r="S911" s="34"/>
      <c r="T911" s="34"/>
      <c r="U911" s="34"/>
      <c r="V911" s="34"/>
      <c r="W911" s="34"/>
      <c r="X911" s="34"/>
      <c r="Y911" s="34"/>
      <c r="Z911" s="34"/>
      <c r="AA911" s="34"/>
      <c r="AB911" s="34"/>
      <c r="AC911" s="34"/>
    </row>
    <row r="912" spans="1:29" ht="15.75" customHeight="1" x14ac:dyDescent="0.2">
      <c r="A912" s="34"/>
      <c r="B912" s="34"/>
      <c r="C912" s="33"/>
      <c r="D912" s="34"/>
      <c r="E912" s="34"/>
      <c r="F912" s="34"/>
      <c r="G912" s="34"/>
      <c r="H912" s="33"/>
      <c r="I912" s="33"/>
      <c r="J912" s="34"/>
      <c r="K912" s="34"/>
      <c r="L912" s="34"/>
      <c r="M912" s="34"/>
      <c r="N912" s="34"/>
      <c r="O912" s="34"/>
      <c r="P912" s="34"/>
      <c r="Q912" s="34"/>
      <c r="R912" s="34"/>
      <c r="S912" s="34"/>
      <c r="T912" s="34"/>
      <c r="U912" s="34"/>
      <c r="V912" s="34"/>
      <c r="W912" s="34"/>
      <c r="X912" s="34"/>
      <c r="Y912" s="34"/>
      <c r="Z912" s="34"/>
      <c r="AA912" s="34"/>
      <c r="AB912" s="34"/>
      <c r="AC912" s="34"/>
    </row>
    <row r="913" spans="1:29" ht="15.75" customHeight="1" x14ac:dyDescent="0.2">
      <c r="A913" s="34"/>
      <c r="B913" s="34"/>
      <c r="C913" s="33"/>
      <c r="D913" s="34"/>
      <c r="E913" s="34"/>
      <c r="F913" s="34"/>
      <c r="G913" s="34"/>
      <c r="H913" s="33"/>
      <c r="I913" s="33"/>
      <c r="J913" s="34"/>
      <c r="K913" s="34"/>
      <c r="L913" s="34"/>
      <c r="M913" s="34"/>
      <c r="N913" s="34"/>
      <c r="O913" s="34"/>
      <c r="P913" s="34"/>
      <c r="Q913" s="34"/>
      <c r="R913" s="34"/>
      <c r="S913" s="34"/>
      <c r="T913" s="34"/>
      <c r="U913" s="34"/>
      <c r="V913" s="34"/>
      <c r="W913" s="34"/>
      <c r="X913" s="34"/>
      <c r="Y913" s="34"/>
      <c r="Z913" s="34"/>
      <c r="AA913" s="34"/>
      <c r="AB913" s="34"/>
      <c r="AC913" s="34"/>
    </row>
    <row r="914" spans="1:29" ht="15.75" customHeight="1" x14ac:dyDescent="0.2">
      <c r="A914" s="34"/>
      <c r="B914" s="34"/>
      <c r="C914" s="33"/>
      <c r="D914" s="34"/>
      <c r="E914" s="34"/>
      <c r="F914" s="34"/>
      <c r="G914" s="34"/>
      <c r="H914" s="33"/>
      <c r="I914" s="33"/>
      <c r="J914" s="34"/>
      <c r="K914" s="34"/>
      <c r="L914" s="34"/>
      <c r="M914" s="34"/>
      <c r="N914" s="34"/>
      <c r="O914" s="34"/>
      <c r="P914" s="34"/>
      <c r="Q914" s="34"/>
      <c r="R914" s="34"/>
      <c r="S914" s="34"/>
      <c r="T914" s="34"/>
      <c r="U914" s="34"/>
      <c r="V914" s="34"/>
      <c r="W914" s="34"/>
      <c r="X914" s="34"/>
      <c r="Y914" s="34"/>
      <c r="Z914" s="34"/>
      <c r="AA914" s="34"/>
      <c r="AB914" s="34"/>
      <c r="AC914" s="34"/>
    </row>
    <row r="915" spans="1:29" ht="15.75" customHeight="1" x14ac:dyDescent="0.2">
      <c r="A915" s="34"/>
      <c r="B915" s="34"/>
      <c r="C915" s="33"/>
      <c r="D915" s="34"/>
      <c r="E915" s="34"/>
      <c r="F915" s="34"/>
      <c r="G915" s="34"/>
      <c r="H915" s="33"/>
      <c r="I915" s="33"/>
      <c r="J915" s="34"/>
      <c r="K915" s="34"/>
      <c r="L915" s="34"/>
      <c r="M915" s="34"/>
      <c r="N915" s="34"/>
      <c r="O915" s="34"/>
      <c r="P915" s="34"/>
      <c r="Q915" s="34"/>
      <c r="R915" s="34"/>
      <c r="S915" s="34"/>
      <c r="T915" s="34"/>
      <c r="U915" s="34"/>
      <c r="V915" s="34"/>
      <c r="W915" s="34"/>
      <c r="X915" s="34"/>
      <c r="Y915" s="34"/>
      <c r="Z915" s="34"/>
      <c r="AA915" s="34"/>
      <c r="AB915" s="34"/>
      <c r="AC915" s="34"/>
    </row>
    <row r="916" spans="1:29" ht="15.75" customHeight="1" x14ac:dyDescent="0.2">
      <c r="A916" s="34"/>
      <c r="B916" s="34"/>
      <c r="C916" s="33"/>
      <c r="D916" s="34"/>
      <c r="E916" s="34"/>
      <c r="F916" s="34"/>
      <c r="G916" s="34"/>
      <c r="H916" s="33"/>
      <c r="I916" s="33"/>
      <c r="J916" s="34"/>
      <c r="K916" s="34"/>
      <c r="L916" s="34"/>
      <c r="M916" s="34"/>
      <c r="N916" s="34"/>
      <c r="O916" s="34"/>
      <c r="P916" s="34"/>
      <c r="Q916" s="34"/>
      <c r="R916" s="34"/>
      <c r="S916" s="34"/>
      <c r="T916" s="34"/>
      <c r="U916" s="34"/>
      <c r="V916" s="34"/>
      <c r="W916" s="34"/>
      <c r="X916" s="34"/>
      <c r="Y916" s="34"/>
      <c r="Z916" s="34"/>
      <c r="AA916" s="34"/>
      <c r="AB916" s="34"/>
      <c r="AC916" s="34"/>
    </row>
    <row r="917" spans="1:29" ht="15.75" customHeight="1" x14ac:dyDescent="0.2">
      <c r="A917" s="34"/>
      <c r="B917" s="34"/>
      <c r="C917" s="33"/>
      <c r="D917" s="34"/>
      <c r="E917" s="34"/>
      <c r="F917" s="34"/>
      <c r="G917" s="34"/>
      <c r="H917" s="33"/>
      <c r="I917" s="33"/>
      <c r="J917" s="34"/>
      <c r="K917" s="34"/>
      <c r="L917" s="34"/>
      <c r="M917" s="34"/>
      <c r="N917" s="34"/>
      <c r="O917" s="34"/>
      <c r="P917" s="34"/>
      <c r="Q917" s="34"/>
      <c r="R917" s="34"/>
      <c r="S917" s="34"/>
      <c r="T917" s="34"/>
      <c r="U917" s="34"/>
      <c r="V917" s="34"/>
      <c r="W917" s="34"/>
      <c r="X917" s="34"/>
      <c r="Y917" s="34"/>
      <c r="Z917" s="34"/>
      <c r="AA917" s="34"/>
      <c r="AB917" s="34"/>
      <c r="AC917" s="34"/>
    </row>
    <row r="918" spans="1:29" ht="15.75" customHeight="1" x14ac:dyDescent="0.2">
      <c r="A918" s="34"/>
      <c r="B918" s="34"/>
      <c r="C918" s="33"/>
      <c r="D918" s="34"/>
      <c r="E918" s="34"/>
      <c r="F918" s="34"/>
      <c r="G918" s="34"/>
      <c r="H918" s="33"/>
      <c r="I918" s="33"/>
      <c r="J918" s="34"/>
      <c r="K918" s="34"/>
      <c r="L918" s="34"/>
      <c r="M918" s="34"/>
      <c r="N918" s="34"/>
      <c r="O918" s="34"/>
      <c r="P918" s="34"/>
      <c r="Q918" s="34"/>
      <c r="R918" s="34"/>
      <c r="S918" s="34"/>
      <c r="T918" s="34"/>
      <c r="U918" s="34"/>
      <c r="V918" s="34"/>
      <c r="W918" s="34"/>
      <c r="X918" s="34"/>
      <c r="Y918" s="34"/>
      <c r="Z918" s="34"/>
      <c r="AA918" s="34"/>
      <c r="AB918" s="34"/>
      <c r="AC918" s="34"/>
    </row>
    <row r="919" spans="1:29" ht="15.75" customHeight="1" x14ac:dyDescent="0.2">
      <c r="A919" s="34"/>
      <c r="B919" s="34"/>
      <c r="C919" s="33"/>
      <c r="D919" s="34"/>
      <c r="E919" s="34"/>
      <c r="F919" s="34"/>
      <c r="G919" s="34"/>
      <c r="H919" s="33"/>
      <c r="I919" s="33"/>
      <c r="J919" s="34"/>
      <c r="K919" s="34"/>
      <c r="L919" s="34"/>
      <c r="M919" s="34"/>
      <c r="N919" s="34"/>
      <c r="O919" s="34"/>
      <c r="P919" s="34"/>
      <c r="Q919" s="34"/>
      <c r="R919" s="34"/>
      <c r="S919" s="34"/>
      <c r="T919" s="34"/>
      <c r="U919" s="34"/>
      <c r="V919" s="34"/>
      <c r="W919" s="34"/>
      <c r="X919" s="34"/>
      <c r="Y919" s="34"/>
      <c r="Z919" s="34"/>
      <c r="AA919" s="34"/>
      <c r="AB919" s="34"/>
      <c r="AC919" s="34"/>
    </row>
    <row r="920" spans="1:29" ht="15.75" customHeight="1" x14ac:dyDescent="0.2">
      <c r="A920" s="34"/>
      <c r="B920" s="34"/>
      <c r="C920" s="33"/>
      <c r="D920" s="34"/>
      <c r="E920" s="34"/>
      <c r="F920" s="34"/>
      <c r="G920" s="34"/>
      <c r="H920" s="33"/>
      <c r="I920" s="33"/>
      <c r="J920" s="34"/>
      <c r="K920" s="34"/>
      <c r="L920" s="34"/>
      <c r="M920" s="34"/>
      <c r="N920" s="34"/>
      <c r="O920" s="34"/>
      <c r="P920" s="34"/>
      <c r="Q920" s="34"/>
      <c r="R920" s="34"/>
      <c r="S920" s="34"/>
      <c r="T920" s="34"/>
      <c r="U920" s="34"/>
      <c r="V920" s="34"/>
      <c r="W920" s="34"/>
      <c r="X920" s="34"/>
      <c r="Y920" s="34"/>
      <c r="Z920" s="34"/>
      <c r="AA920" s="34"/>
      <c r="AB920" s="34"/>
      <c r="AC920" s="34"/>
    </row>
    <row r="921" spans="1:29" ht="15.75" customHeight="1" x14ac:dyDescent="0.2">
      <c r="A921" s="34"/>
      <c r="B921" s="34"/>
      <c r="C921" s="33"/>
      <c r="D921" s="34"/>
      <c r="E921" s="34"/>
      <c r="F921" s="34"/>
      <c r="G921" s="34"/>
      <c r="H921" s="33"/>
      <c r="I921" s="33"/>
      <c r="J921" s="34"/>
      <c r="K921" s="34"/>
      <c r="L921" s="34"/>
      <c r="M921" s="34"/>
      <c r="N921" s="34"/>
      <c r="O921" s="34"/>
      <c r="P921" s="34"/>
      <c r="Q921" s="34"/>
      <c r="R921" s="34"/>
      <c r="S921" s="34"/>
      <c r="T921" s="34"/>
      <c r="U921" s="34"/>
      <c r="V921" s="34"/>
      <c r="W921" s="34"/>
      <c r="X921" s="34"/>
      <c r="Y921" s="34"/>
      <c r="Z921" s="34"/>
      <c r="AA921" s="34"/>
      <c r="AB921" s="34"/>
      <c r="AC921" s="34"/>
    </row>
    <row r="922" spans="1:29" ht="15.75" customHeight="1" x14ac:dyDescent="0.2">
      <c r="A922" s="34"/>
      <c r="B922" s="34"/>
      <c r="C922" s="33"/>
      <c r="D922" s="34"/>
      <c r="E922" s="34"/>
      <c r="F922" s="34"/>
      <c r="G922" s="34"/>
      <c r="H922" s="33"/>
      <c r="I922" s="33"/>
      <c r="J922" s="34"/>
      <c r="K922" s="34"/>
      <c r="L922" s="34"/>
      <c r="M922" s="34"/>
      <c r="N922" s="34"/>
      <c r="O922" s="34"/>
      <c r="P922" s="34"/>
      <c r="Q922" s="34"/>
      <c r="R922" s="34"/>
      <c r="S922" s="34"/>
      <c r="T922" s="34"/>
      <c r="U922" s="34"/>
      <c r="V922" s="34"/>
      <c r="W922" s="34"/>
      <c r="X922" s="34"/>
      <c r="Y922" s="34"/>
      <c r="Z922" s="34"/>
      <c r="AA922" s="34"/>
      <c r="AB922" s="34"/>
      <c r="AC922" s="34"/>
    </row>
    <row r="923" spans="1:29" ht="15.75" customHeight="1" x14ac:dyDescent="0.2">
      <c r="A923" s="34"/>
      <c r="B923" s="34"/>
      <c r="C923" s="33"/>
      <c r="D923" s="34"/>
      <c r="E923" s="34"/>
      <c r="F923" s="34"/>
      <c r="G923" s="34"/>
      <c r="H923" s="33"/>
      <c r="I923" s="33"/>
      <c r="J923" s="34"/>
      <c r="K923" s="34"/>
      <c r="L923" s="34"/>
      <c r="M923" s="34"/>
      <c r="N923" s="34"/>
      <c r="O923" s="34"/>
      <c r="P923" s="34"/>
      <c r="Q923" s="34"/>
      <c r="R923" s="34"/>
      <c r="S923" s="34"/>
      <c r="T923" s="34"/>
      <c r="U923" s="34"/>
      <c r="V923" s="34"/>
      <c r="W923" s="34"/>
      <c r="X923" s="34"/>
      <c r="Y923" s="34"/>
      <c r="Z923" s="34"/>
      <c r="AA923" s="34"/>
      <c r="AB923" s="34"/>
      <c r="AC923" s="34"/>
    </row>
    <row r="924" spans="1:29" ht="15.75" customHeight="1" x14ac:dyDescent="0.2">
      <c r="A924" s="34"/>
      <c r="B924" s="34"/>
      <c r="C924" s="33"/>
      <c r="D924" s="34"/>
      <c r="E924" s="34"/>
      <c r="F924" s="34"/>
      <c r="G924" s="34"/>
      <c r="H924" s="33"/>
      <c r="I924" s="33"/>
      <c r="J924" s="34"/>
      <c r="K924" s="34"/>
      <c r="L924" s="34"/>
      <c r="M924" s="34"/>
      <c r="N924" s="34"/>
      <c r="O924" s="34"/>
      <c r="P924" s="34"/>
      <c r="Q924" s="34"/>
      <c r="R924" s="34"/>
      <c r="S924" s="34"/>
      <c r="T924" s="34"/>
      <c r="U924" s="34"/>
      <c r="V924" s="34"/>
      <c r="W924" s="34"/>
      <c r="X924" s="34"/>
      <c r="Y924" s="34"/>
      <c r="Z924" s="34"/>
      <c r="AA924" s="34"/>
      <c r="AB924" s="34"/>
      <c r="AC924" s="34"/>
    </row>
    <row r="925" spans="1:29" ht="15.75" customHeight="1" x14ac:dyDescent="0.2">
      <c r="A925" s="34"/>
      <c r="B925" s="34"/>
      <c r="C925" s="33"/>
      <c r="D925" s="34"/>
      <c r="E925" s="34"/>
      <c r="F925" s="34"/>
      <c r="G925" s="34"/>
      <c r="H925" s="33"/>
      <c r="I925" s="33"/>
      <c r="J925" s="34"/>
      <c r="K925" s="34"/>
      <c r="L925" s="34"/>
      <c r="M925" s="34"/>
      <c r="N925" s="34"/>
      <c r="O925" s="34"/>
      <c r="P925" s="34"/>
      <c r="Q925" s="34"/>
      <c r="R925" s="34"/>
      <c r="S925" s="34"/>
      <c r="T925" s="34"/>
      <c r="U925" s="34"/>
      <c r="V925" s="34"/>
      <c r="W925" s="34"/>
      <c r="X925" s="34"/>
      <c r="Y925" s="34"/>
      <c r="Z925" s="34"/>
      <c r="AA925" s="34"/>
      <c r="AB925" s="34"/>
      <c r="AC925" s="34"/>
    </row>
    <row r="926" spans="1:29" ht="15.75" customHeight="1" x14ac:dyDescent="0.2">
      <c r="A926" s="34"/>
      <c r="B926" s="34"/>
      <c r="C926" s="33"/>
      <c r="D926" s="34"/>
      <c r="E926" s="34"/>
      <c r="F926" s="34"/>
      <c r="G926" s="34"/>
      <c r="H926" s="33"/>
      <c r="I926" s="33"/>
      <c r="J926" s="34"/>
      <c r="K926" s="34"/>
      <c r="L926" s="34"/>
      <c r="M926" s="34"/>
      <c r="N926" s="34"/>
      <c r="O926" s="34"/>
      <c r="P926" s="34"/>
      <c r="Q926" s="34"/>
      <c r="R926" s="34"/>
      <c r="S926" s="34"/>
      <c r="T926" s="34"/>
      <c r="U926" s="34"/>
      <c r="V926" s="34"/>
      <c r="W926" s="34"/>
      <c r="X926" s="34"/>
      <c r="Y926" s="34"/>
      <c r="Z926" s="34"/>
      <c r="AA926" s="34"/>
      <c r="AB926" s="34"/>
      <c r="AC926" s="34"/>
    </row>
    <row r="927" spans="1:29" ht="14.25" customHeight="1" x14ac:dyDescent="0.2">
      <c r="A927" s="34"/>
      <c r="B927" s="34"/>
      <c r="C927" s="33"/>
      <c r="D927" s="34"/>
      <c r="E927" s="34"/>
      <c r="F927" s="34"/>
      <c r="G927" s="34"/>
      <c r="H927" s="33"/>
      <c r="I927" s="33"/>
      <c r="J927" s="34"/>
      <c r="K927" s="34"/>
      <c r="L927" s="34"/>
      <c r="M927" s="34"/>
      <c r="N927" s="34"/>
      <c r="O927" s="34"/>
      <c r="P927" s="34"/>
      <c r="Q927" s="34"/>
      <c r="R927" s="34"/>
      <c r="S927" s="34"/>
      <c r="T927" s="34"/>
      <c r="U927" s="34"/>
      <c r="V927" s="34"/>
      <c r="W927" s="34"/>
      <c r="X927" s="34"/>
      <c r="Y927" s="34"/>
      <c r="Z927" s="34"/>
      <c r="AA927" s="34"/>
      <c r="AB927" s="34"/>
      <c r="AC927" s="34"/>
    </row>
    <row r="928" spans="1:29" ht="14.25" customHeight="1" x14ac:dyDescent="0.2">
      <c r="A928" s="34"/>
      <c r="B928" s="34"/>
      <c r="C928" s="33"/>
      <c r="D928" s="34"/>
      <c r="E928" s="34"/>
      <c r="F928" s="34"/>
      <c r="G928" s="34"/>
      <c r="H928" s="33"/>
      <c r="I928" s="33"/>
      <c r="J928" s="34"/>
      <c r="K928" s="34"/>
      <c r="L928" s="34"/>
      <c r="M928" s="34"/>
      <c r="N928" s="34"/>
      <c r="O928" s="34"/>
      <c r="P928" s="34"/>
      <c r="Q928" s="34"/>
      <c r="R928" s="34"/>
      <c r="S928" s="34"/>
      <c r="T928" s="34"/>
      <c r="U928" s="34"/>
      <c r="V928" s="34"/>
      <c r="W928" s="34"/>
      <c r="X928" s="34"/>
      <c r="Y928" s="34"/>
      <c r="Z928" s="34"/>
      <c r="AA928" s="34"/>
      <c r="AB928" s="34"/>
      <c r="AC928" s="34"/>
    </row>
    <row r="929" spans="1:29" ht="14.25" customHeight="1" x14ac:dyDescent="0.2">
      <c r="A929" s="34"/>
      <c r="B929" s="34"/>
      <c r="C929" s="33"/>
      <c r="D929" s="34"/>
      <c r="E929" s="34"/>
      <c r="F929" s="34"/>
      <c r="G929" s="34"/>
      <c r="H929" s="33"/>
      <c r="I929" s="33"/>
      <c r="J929" s="34"/>
      <c r="K929" s="34"/>
      <c r="L929" s="34"/>
      <c r="M929" s="34"/>
      <c r="N929" s="34"/>
      <c r="O929" s="34"/>
      <c r="P929" s="34"/>
      <c r="Q929" s="34"/>
      <c r="R929" s="34"/>
      <c r="S929" s="34"/>
      <c r="T929" s="34"/>
      <c r="U929" s="34"/>
      <c r="V929" s="34"/>
      <c r="W929" s="34"/>
      <c r="X929" s="34"/>
      <c r="Y929" s="34"/>
      <c r="Z929" s="34"/>
      <c r="AA929" s="34"/>
      <c r="AB929" s="34"/>
      <c r="AC929" s="34"/>
    </row>
    <row r="930" spans="1:29" ht="14.25" customHeight="1" x14ac:dyDescent="0.2">
      <c r="A930" s="34"/>
      <c r="B930" s="34"/>
      <c r="C930" s="33"/>
      <c r="D930" s="34"/>
      <c r="E930" s="34"/>
      <c r="F930" s="34"/>
      <c r="G930" s="34"/>
      <c r="H930" s="33"/>
      <c r="I930" s="33"/>
      <c r="J930" s="34"/>
      <c r="K930" s="34"/>
      <c r="L930" s="34"/>
      <c r="M930" s="34"/>
      <c r="N930" s="34"/>
      <c r="O930" s="34"/>
      <c r="P930" s="34"/>
      <c r="Q930" s="34"/>
      <c r="R930" s="34"/>
      <c r="S930" s="34"/>
      <c r="T930" s="34"/>
      <c r="U930" s="34"/>
      <c r="V930" s="34"/>
      <c r="W930" s="34"/>
      <c r="X930" s="34"/>
      <c r="Y930" s="34"/>
      <c r="Z930" s="34"/>
      <c r="AA930" s="34"/>
      <c r="AB930" s="34"/>
      <c r="AC930" s="34"/>
    </row>
    <row r="931" spans="1:29" ht="14.25" customHeight="1" x14ac:dyDescent="0.2">
      <c r="A931" s="34"/>
      <c r="B931" s="34"/>
      <c r="C931" s="33"/>
      <c r="D931" s="34"/>
      <c r="E931" s="34"/>
      <c r="F931" s="34"/>
      <c r="G931" s="34"/>
      <c r="H931" s="33"/>
      <c r="I931" s="33"/>
      <c r="J931" s="34"/>
      <c r="K931" s="34"/>
      <c r="L931" s="34"/>
      <c r="M931" s="34"/>
      <c r="N931" s="34"/>
      <c r="O931" s="34"/>
      <c r="P931" s="34"/>
      <c r="Q931" s="34"/>
      <c r="R931" s="34"/>
      <c r="S931" s="34"/>
      <c r="T931" s="34"/>
      <c r="U931" s="34"/>
      <c r="V931" s="34"/>
      <c r="W931" s="34"/>
      <c r="X931" s="34"/>
      <c r="Y931" s="34"/>
      <c r="Z931" s="34"/>
      <c r="AA931" s="34"/>
      <c r="AB931" s="34"/>
      <c r="AC931" s="34"/>
    </row>
    <row r="932" spans="1:29" ht="14.25" customHeight="1" x14ac:dyDescent="0.2">
      <c r="A932" s="34"/>
      <c r="B932" s="34"/>
      <c r="C932" s="33"/>
      <c r="D932" s="34"/>
      <c r="E932" s="34"/>
      <c r="F932" s="34"/>
      <c r="G932" s="34"/>
      <c r="H932" s="33"/>
      <c r="I932" s="33"/>
      <c r="J932" s="34"/>
      <c r="K932" s="34"/>
      <c r="L932" s="34"/>
      <c r="M932" s="34"/>
      <c r="N932" s="34"/>
      <c r="O932" s="34"/>
      <c r="P932" s="34"/>
      <c r="Q932" s="34"/>
      <c r="R932" s="34"/>
      <c r="S932" s="34"/>
      <c r="T932" s="34"/>
      <c r="U932" s="34"/>
      <c r="V932" s="34"/>
      <c r="W932" s="34"/>
      <c r="X932" s="34"/>
      <c r="Y932" s="34"/>
      <c r="Z932" s="34"/>
      <c r="AA932" s="34"/>
      <c r="AB932" s="34"/>
      <c r="AC932" s="34"/>
    </row>
    <row r="933" spans="1:29" ht="14.25" customHeight="1" x14ac:dyDescent="0.2">
      <c r="A933" s="34"/>
      <c r="B933" s="34"/>
      <c r="C933" s="33"/>
      <c r="D933" s="34"/>
      <c r="E933" s="34"/>
      <c r="F933" s="34"/>
      <c r="G933" s="34"/>
      <c r="H933" s="33"/>
      <c r="I933" s="33"/>
      <c r="J933" s="34"/>
      <c r="K933" s="34"/>
      <c r="L933" s="34"/>
      <c r="M933" s="34"/>
      <c r="N933" s="34"/>
      <c r="O933" s="34"/>
      <c r="P933" s="34"/>
      <c r="Q933" s="34"/>
      <c r="R933" s="34"/>
      <c r="S933" s="34"/>
      <c r="T933" s="34"/>
      <c r="U933" s="34"/>
      <c r="V933" s="34"/>
      <c r="W933" s="34"/>
      <c r="X933" s="34"/>
      <c r="Y933" s="34"/>
      <c r="Z933" s="34"/>
      <c r="AA933" s="34"/>
      <c r="AB933" s="34"/>
      <c r="AC933" s="34"/>
    </row>
    <row r="934" spans="1:29" ht="14.25" customHeight="1" x14ac:dyDescent="0.2">
      <c r="A934" s="34"/>
      <c r="B934" s="34"/>
      <c r="C934" s="33"/>
      <c r="D934" s="34"/>
      <c r="E934" s="34"/>
      <c r="F934" s="34"/>
      <c r="G934" s="34"/>
      <c r="H934" s="33"/>
      <c r="I934" s="33"/>
      <c r="J934" s="34"/>
      <c r="K934" s="34"/>
      <c r="L934" s="34"/>
      <c r="M934" s="34"/>
      <c r="N934" s="34"/>
      <c r="O934" s="34"/>
      <c r="P934" s="34"/>
      <c r="Q934" s="34"/>
      <c r="R934" s="34"/>
      <c r="S934" s="34"/>
      <c r="T934" s="34"/>
      <c r="U934" s="34"/>
      <c r="V934" s="34"/>
      <c r="W934" s="34"/>
      <c r="X934" s="34"/>
      <c r="Y934" s="34"/>
      <c r="Z934" s="34"/>
      <c r="AA934" s="34"/>
      <c r="AB934" s="34"/>
      <c r="AC934" s="34"/>
    </row>
    <row r="935" spans="1:29" ht="14.25" customHeight="1" x14ac:dyDescent="0.2">
      <c r="A935" s="34"/>
      <c r="B935" s="34"/>
      <c r="C935" s="33"/>
      <c r="D935" s="34"/>
      <c r="E935" s="34"/>
      <c r="F935" s="34"/>
      <c r="G935" s="34"/>
      <c r="H935" s="33"/>
      <c r="I935" s="33"/>
      <c r="J935" s="34"/>
      <c r="K935" s="34"/>
      <c r="L935" s="34"/>
      <c r="M935" s="34"/>
      <c r="N935" s="34"/>
      <c r="O935" s="34"/>
      <c r="P935" s="34"/>
      <c r="Q935" s="34"/>
      <c r="R935" s="34"/>
      <c r="S935" s="34"/>
      <c r="T935" s="34"/>
      <c r="U935" s="34"/>
      <c r="V935" s="34"/>
      <c r="W935" s="34"/>
      <c r="X935" s="34"/>
      <c r="Y935" s="34"/>
      <c r="Z935" s="34"/>
      <c r="AA935" s="34"/>
      <c r="AB935" s="34"/>
      <c r="AC935" s="34"/>
    </row>
    <row r="936" spans="1:29" ht="14.25" customHeight="1" x14ac:dyDescent="0.2">
      <c r="A936" s="34"/>
      <c r="B936" s="34"/>
      <c r="C936" s="33"/>
      <c r="D936" s="34"/>
      <c r="E936" s="34"/>
      <c r="F936" s="34"/>
      <c r="G936" s="34"/>
      <c r="H936" s="33"/>
      <c r="I936" s="33"/>
      <c r="J936" s="34"/>
      <c r="K936" s="34"/>
      <c r="L936" s="34"/>
      <c r="M936" s="34"/>
      <c r="N936" s="34"/>
      <c r="O936" s="34"/>
      <c r="P936" s="34"/>
      <c r="Q936" s="34"/>
      <c r="R936" s="34"/>
      <c r="S936" s="34"/>
      <c r="T936" s="34"/>
      <c r="U936" s="34"/>
      <c r="V936" s="34"/>
      <c r="W936" s="34"/>
      <c r="X936" s="34"/>
      <c r="Y936" s="34"/>
      <c r="Z936" s="34"/>
      <c r="AA936" s="34"/>
      <c r="AB936" s="34"/>
      <c r="AC936" s="34"/>
    </row>
    <row r="937" spans="1:29" ht="14.25" customHeight="1" x14ac:dyDescent="0.2">
      <c r="A937" s="34"/>
      <c r="B937" s="34"/>
      <c r="C937" s="33"/>
      <c r="D937" s="34"/>
      <c r="E937" s="34"/>
      <c r="F937" s="34"/>
      <c r="G937" s="34"/>
      <c r="H937" s="33"/>
      <c r="I937" s="33"/>
      <c r="J937" s="34"/>
      <c r="K937" s="34"/>
      <c r="L937" s="34"/>
      <c r="M937" s="34"/>
      <c r="N937" s="34"/>
      <c r="O937" s="34"/>
      <c r="P937" s="34"/>
      <c r="Q937" s="34"/>
      <c r="R937" s="34"/>
      <c r="S937" s="34"/>
      <c r="T937" s="34"/>
      <c r="U937" s="34"/>
      <c r="V937" s="34"/>
      <c r="W937" s="34"/>
      <c r="X937" s="34"/>
      <c r="Y937" s="34"/>
      <c r="Z937" s="34"/>
      <c r="AA937" s="34"/>
      <c r="AB937" s="34"/>
      <c r="AC937" s="34"/>
    </row>
    <row r="938" spans="1:29" ht="14.25" customHeight="1" x14ac:dyDescent="0.2">
      <c r="A938" s="34"/>
      <c r="B938" s="34"/>
      <c r="C938" s="33"/>
      <c r="D938" s="34"/>
      <c r="E938" s="34"/>
      <c r="F938" s="34"/>
      <c r="G938" s="34"/>
      <c r="H938" s="33"/>
      <c r="I938" s="33"/>
      <c r="J938" s="34"/>
      <c r="K938" s="34"/>
      <c r="L938" s="34"/>
      <c r="M938" s="34"/>
      <c r="N938" s="34"/>
      <c r="O938" s="34"/>
      <c r="P938" s="34"/>
      <c r="Q938" s="34"/>
      <c r="R938" s="34"/>
      <c r="S938" s="34"/>
      <c r="T938" s="34"/>
      <c r="U938" s="34"/>
      <c r="V938" s="34"/>
      <c r="W938" s="34"/>
      <c r="X938" s="34"/>
      <c r="Y938" s="34"/>
      <c r="Z938" s="34"/>
      <c r="AA938" s="34"/>
      <c r="AB938" s="34"/>
      <c r="AC938" s="34"/>
    </row>
    <row r="939" spans="1:29" ht="14.25" customHeight="1" x14ac:dyDescent="0.2">
      <c r="A939" s="34"/>
      <c r="B939" s="34"/>
      <c r="C939" s="33"/>
      <c r="D939" s="34"/>
      <c r="E939" s="34"/>
      <c r="F939" s="34"/>
      <c r="G939" s="34"/>
      <c r="H939" s="33"/>
      <c r="I939" s="33"/>
      <c r="J939" s="34"/>
      <c r="K939" s="34"/>
      <c r="L939" s="34"/>
      <c r="M939" s="34"/>
      <c r="N939" s="34"/>
      <c r="O939" s="34"/>
      <c r="P939" s="34"/>
      <c r="Q939" s="34"/>
      <c r="R939" s="34"/>
      <c r="S939" s="34"/>
      <c r="T939" s="34"/>
      <c r="U939" s="34"/>
      <c r="V939" s="34"/>
      <c r="W939" s="34"/>
      <c r="X939" s="34"/>
      <c r="Y939" s="34"/>
      <c r="Z939" s="34"/>
      <c r="AA939" s="34"/>
      <c r="AB939" s="34"/>
      <c r="AC939" s="34"/>
    </row>
    <row r="940" spans="1:29" ht="14.25" customHeight="1" x14ac:dyDescent="0.2">
      <c r="A940" s="34"/>
      <c r="B940" s="34"/>
      <c r="C940" s="33"/>
      <c r="D940" s="34"/>
      <c r="E940" s="34"/>
      <c r="F940" s="34"/>
      <c r="G940" s="34"/>
      <c r="H940" s="33"/>
      <c r="I940" s="33"/>
      <c r="J940" s="34"/>
      <c r="K940" s="34"/>
      <c r="L940" s="34"/>
      <c r="M940" s="34"/>
      <c r="N940" s="34"/>
      <c r="O940" s="34"/>
      <c r="P940" s="34"/>
      <c r="Q940" s="34"/>
      <c r="R940" s="34"/>
      <c r="S940" s="34"/>
      <c r="T940" s="34"/>
      <c r="U940" s="34"/>
      <c r="V940" s="34"/>
      <c r="W940" s="34"/>
      <c r="X940" s="34"/>
      <c r="Y940" s="34"/>
      <c r="Z940" s="34"/>
      <c r="AA940" s="34"/>
      <c r="AB940" s="34"/>
      <c r="AC940" s="34"/>
    </row>
    <row r="941" spans="1:29" ht="14.25" customHeight="1" x14ac:dyDescent="0.2">
      <c r="A941" s="34"/>
      <c r="B941" s="34"/>
      <c r="C941" s="33"/>
      <c r="D941" s="34"/>
      <c r="E941" s="34"/>
      <c r="F941" s="34"/>
      <c r="G941" s="34"/>
      <c r="H941" s="33"/>
      <c r="I941" s="33"/>
      <c r="J941" s="34"/>
      <c r="K941" s="34"/>
      <c r="L941" s="34"/>
      <c r="M941" s="34"/>
      <c r="N941" s="34"/>
      <c r="O941" s="34"/>
      <c r="P941" s="34"/>
      <c r="Q941" s="34"/>
      <c r="R941" s="34"/>
      <c r="S941" s="34"/>
      <c r="T941" s="34"/>
      <c r="U941" s="34"/>
      <c r="V941" s="34"/>
      <c r="W941" s="34"/>
      <c r="X941" s="34"/>
      <c r="Y941" s="34"/>
      <c r="Z941" s="34"/>
      <c r="AA941" s="34"/>
      <c r="AB941" s="34"/>
      <c r="AC941" s="34"/>
    </row>
    <row r="942" spans="1:29" ht="14.25" customHeight="1" x14ac:dyDescent="0.2">
      <c r="A942" s="34"/>
      <c r="B942" s="34"/>
      <c r="C942" s="33"/>
      <c r="D942" s="34"/>
      <c r="E942" s="34"/>
      <c r="F942" s="34"/>
      <c r="G942" s="34"/>
      <c r="H942" s="33"/>
      <c r="I942" s="33"/>
      <c r="J942" s="34"/>
      <c r="K942" s="34"/>
      <c r="L942" s="34"/>
      <c r="M942" s="34"/>
      <c r="N942" s="34"/>
      <c r="O942" s="34"/>
      <c r="P942" s="34"/>
      <c r="Q942" s="34"/>
      <c r="R942" s="34"/>
      <c r="S942" s="34"/>
      <c r="T942" s="34"/>
      <c r="U942" s="34"/>
      <c r="V942" s="34"/>
      <c r="W942" s="34"/>
      <c r="X942" s="34"/>
      <c r="Y942" s="34"/>
      <c r="Z942" s="34"/>
      <c r="AA942" s="34"/>
      <c r="AB942" s="34"/>
      <c r="AC942" s="34"/>
    </row>
    <row r="943" spans="1:29" ht="14.25" customHeight="1" x14ac:dyDescent="0.2">
      <c r="A943" s="34"/>
      <c r="B943" s="34"/>
      <c r="C943" s="33"/>
      <c r="D943" s="34"/>
      <c r="E943" s="34"/>
      <c r="F943" s="34"/>
      <c r="G943" s="34"/>
      <c r="H943" s="33"/>
      <c r="I943" s="33"/>
      <c r="J943" s="34"/>
      <c r="K943" s="34"/>
      <c r="L943" s="34"/>
      <c r="M943" s="34"/>
      <c r="N943" s="34"/>
      <c r="O943" s="34"/>
      <c r="P943" s="34"/>
      <c r="Q943" s="34"/>
      <c r="R943" s="34"/>
      <c r="S943" s="34"/>
      <c r="T943" s="34"/>
      <c r="U943" s="34"/>
      <c r="V943" s="34"/>
      <c r="W943" s="34"/>
      <c r="X943" s="34"/>
      <c r="Y943" s="34"/>
      <c r="Z943" s="34"/>
      <c r="AA943" s="34"/>
      <c r="AB943" s="34"/>
      <c r="AC943" s="34"/>
    </row>
    <row r="944" spans="1:29" ht="14.25" customHeight="1" x14ac:dyDescent="0.2">
      <c r="A944" s="34"/>
      <c r="B944" s="34"/>
      <c r="C944" s="33"/>
      <c r="D944" s="34"/>
      <c r="E944" s="34"/>
      <c r="F944" s="34"/>
      <c r="G944" s="34"/>
      <c r="H944" s="33"/>
      <c r="I944" s="33"/>
      <c r="J944" s="34"/>
      <c r="K944" s="34"/>
      <c r="L944" s="34"/>
      <c r="M944" s="34"/>
      <c r="N944" s="34"/>
      <c r="O944" s="34"/>
      <c r="P944" s="34"/>
      <c r="Q944" s="34"/>
      <c r="R944" s="34"/>
      <c r="S944" s="34"/>
      <c r="T944" s="34"/>
      <c r="U944" s="34"/>
      <c r="V944" s="34"/>
      <c r="W944" s="34"/>
      <c r="X944" s="34"/>
      <c r="Y944" s="34"/>
      <c r="Z944" s="34"/>
      <c r="AA944" s="34"/>
      <c r="AB944" s="34"/>
      <c r="AC944" s="34"/>
    </row>
    <row r="945" spans="1:29" ht="14.25" customHeight="1" x14ac:dyDescent="0.2">
      <c r="A945" s="34"/>
      <c r="B945" s="34"/>
      <c r="C945" s="33"/>
      <c r="D945" s="34"/>
      <c r="E945" s="34"/>
      <c r="F945" s="34"/>
      <c r="G945" s="34"/>
      <c r="H945" s="33"/>
      <c r="I945" s="33"/>
      <c r="J945" s="34"/>
      <c r="K945" s="34"/>
      <c r="L945" s="34"/>
      <c r="M945" s="34"/>
      <c r="N945" s="34"/>
      <c r="O945" s="34"/>
      <c r="P945" s="34"/>
      <c r="Q945" s="34"/>
      <c r="R945" s="34"/>
      <c r="S945" s="34"/>
      <c r="T945" s="34"/>
      <c r="U945" s="34"/>
      <c r="V945" s="34"/>
      <c r="W945" s="34"/>
      <c r="X945" s="34"/>
      <c r="Y945" s="34"/>
      <c r="Z945" s="34"/>
      <c r="AA945" s="34"/>
      <c r="AB945" s="34"/>
      <c r="AC945" s="34"/>
    </row>
    <row r="946" spans="1:29" ht="14.25" customHeight="1" x14ac:dyDescent="0.2">
      <c r="A946" s="34"/>
      <c r="B946" s="34"/>
      <c r="C946" s="33"/>
      <c r="D946" s="34"/>
      <c r="E946" s="34"/>
      <c r="F946" s="34"/>
      <c r="G946" s="34"/>
      <c r="H946" s="33"/>
      <c r="I946" s="33"/>
      <c r="J946" s="34"/>
      <c r="K946" s="34"/>
      <c r="L946" s="34"/>
      <c r="M946" s="34"/>
      <c r="N946" s="34"/>
      <c r="O946" s="34"/>
      <c r="P946" s="34"/>
      <c r="Q946" s="34"/>
      <c r="R946" s="34"/>
      <c r="S946" s="34"/>
      <c r="T946" s="34"/>
      <c r="U946" s="34"/>
      <c r="V946" s="34"/>
      <c r="W946" s="34"/>
      <c r="X946" s="34"/>
      <c r="Y946" s="34"/>
      <c r="Z946" s="34"/>
      <c r="AA946" s="34"/>
      <c r="AB946" s="34"/>
      <c r="AC946" s="34"/>
    </row>
    <row r="947" spans="1:29" ht="14.25" customHeight="1" x14ac:dyDescent="0.2">
      <c r="A947" s="34"/>
      <c r="B947" s="34"/>
      <c r="C947" s="33"/>
      <c r="D947" s="34"/>
      <c r="E947" s="34"/>
      <c r="F947" s="34"/>
      <c r="G947" s="34"/>
      <c r="H947" s="33"/>
      <c r="I947" s="33"/>
      <c r="J947" s="34"/>
      <c r="K947" s="34"/>
      <c r="L947" s="34"/>
      <c r="M947" s="34"/>
      <c r="N947" s="34"/>
      <c r="O947" s="34"/>
      <c r="P947" s="34"/>
      <c r="Q947" s="34"/>
      <c r="R947" s="34"/>
      <c r="S947" s="34"/>
      <c r="T947" s="34"/>
      <c r="U947" s="34"/>
      <c r="V947" s="34"/>
      <c r="W947" s="34"/>
      <c r="X947" s="34"/>
      <c r="Y947" s="34"/>
      <c r="Z947" s="34"/>
      <c r="AA947" s="34"/>
      <c r="AB947" s="34"/>
      <c r="AC947" s="34"/>
    </row>
    <row r="948" spans="1:29" ht="14.25" customHeight="1" x14ac:dyDescent="0.2">
      <c r="A948" s="34"/>
      <c r="B948" s="34"/>
      <c r="C948" s="33"/>
      <c r="D948" s="34"/>
      <c r="E948" s="34"/>
      <c r="F948" s="34"/>
      <c r="G948" s="34"/>
      <c r="H948" s="33"/>
      <c r="I948" s="33"/>
      <c r="J948" s="34"/>
      <c r="K948" s="34"/>
      <c r="L948" s="34"/>
      <c r="M948" s="34"/>
      <c r="N948" s="34"/>
      <c r="O948" s="34"/>
      <c r="P948" s="34"/>
      <c r="Q948" s="34"/>
      <c r="R948" s="34"/>
      <c r="S948" s="34"/>
      <c r="T948" s="34"/>
      <c r="U948" s="34"/>
      <c r="V948" s="34"/>
      <c r="W948" s="34"/>
      <c r="X948" s="34"/>
      <c r="Y948" s="34"/>
      <c r="Z948" s="34"/>
      <c r="AA948" s="34"/>
      <c r="AB948" s="34"/>
      <c r="AC948" s="34"/>
    </row>
    <row r="949" spans="1:29" ht="14.25" customHeight="1" x14ac:dyDescent="0.2">
      <c r="A949" s="34"/>
      <c r="B949" s="34"/>
      <c r="C949" s="33"/>
      <c r="D949" s="34"/>
      <c r="E949" s="34"/>
      <c r="F949" s="34"/>
      <c r="G949" s="34"/>
      <c r="H949" s="33"/>
      <c r="I949" s="33"/>
      <c r="J949" s="34"/>
      <c r="K949" s="34"/>
      <c r="L949" s="34"/>
      <c r="M949" s="34"/>
      <c r="N949" s="34"/>
      <c r="O949" s="34"/>
      <c r="P949" s="34"/>
      <c r="Q949" s="34"/>
      <c r="R949" s="34"/>
      <c r="S949" s="34"/>
      <c r="T949" s="34"/>
      <c r="U949" s="34"/>
      <c r="V949" s="34"/>
      <c r="W949" s="34"/>
      <c r="X949" s="34"/>
      <c r="Y949" s="34"/>
      <c r="Z949" s="34"/>
      <c r="AA949" s="34"/>
      <c r="AB949" s="34"/>
      <c r="AC949" s="34"/>
    </row>
    <row r="950" spans="1:29" ht="14.25" customHeight="1" x14ac:dyDescent="0.2">
      <c r="A950" s="34"/>
      <c r="B950" s="34"/>
      <c r="C950" s="33"/>
      <c r="D950" s="34"/>
      <c r="E950" s="34"/>
      <c r="F950" s="34"/>
      <c r="G950" s="34"/>
      <c r="H950" s="33"/>
      <c r="I950" s="33"/>
      <c r="J950" s="34"/>
      <c r="K950" s="34"/>
      <c r="L950" s="34"/>
      <c r="M950" s="34"/>
      <c r="N950" s="34"/>
      <c r="O950" s="34"/>
      <c r="P950" s="34"/>
      <c r="Q950" s="34"/>
      <c r="R950" s="34"/>
      <c r="S950" s="34"/>
      <c r="T950" s="34"/>
      <c r="U950" s="34"/>
      <c r="V950" s="34"/>
      <c r="W950" s="34"/>
      <c r="X950" s="34"/>
      <c r="Y950" s="34"/>
      <c r="Z950" s="34"/>
      <c r="AA950" s="34"/>
      <c r="AB950" s="34"/>
      <c r="AC950" s="34"/>
    </row>
    <row r="951" spans="1:29" ht="14.25" customHeight="1" x14ac:dyDescent="0.2">
      <c r="A951" s="34"/>
      <c r="B951" s="34"/>
      <c r="C951" s="33"/>
      <c r="D951" s="34"/>
      <c r="E951" s="34"/>
      <c r="F951" s="34"/>
      <c r="G951" s="34"/>
      <c r="H951" s="33"/>
      <c r="I951" s="33"/>
      <c r="J951" s="34"/>
      <c r="K951" s="34"/>
      <c r="L951" s="34"/>
      <c r="M951" s="34"/>
      <c r="N951" s="34"/>
      <c r="O951" s="34"/>
      <c r="P951" s="34"/>
      <c r="Q951" s="34"/>
      <c r="R951" s="34"/>
      <c r="S951" s="34"/>
      <c r="T951" s="34"/>
      <c r="U951" s="34"/>
      <c r="V951" s="34"/>
      <c r="W951" s="34"/>
      <c r="X951" s="34"/>
      <c r="Y951" s="34"/>
      <c r="Z951" s="34"/>
      <c r="AA951" s="34"/>
      <c r="AB951" s="34"/>
      <c r="AC951" s="34"/>
    </row>
    <row r="952" spans="1:29" ht="14.25" customHeight="1" x14ac:dyDescent="0.2">
      <c r="A952" s="34"/>
      <c r="B952" s="34"/>
      <c r="C952" s="33"/>
      <c r="D952" s="34"/>
      <c r="E952" s="34"/>
      <c r="F952" s="34"/>
      <c r="G952" s="34"/>
      <c r="H952" s="33"/>
      <c r="I952" s="33"/>
      <c r="J952" s="34"/>
      <c r="K952" s="34"/>
      <c r="L952" s="34"/>
      <c r="M952" s="34"/>
      <c r="N952" s="34"/>
      <c r="O952" s="34"/>
      <c r="P952" s="34"/>
      <c r="Q952" s="34"/>
      <c r="R952" s="34"/>
      <c r="S952" s="34"/>
      <c r="T952" s="34"/>
      <c r="U952" s="34"/>
      <c r="V952" s="34"/>
      <c r="W952" s="34"/>
      <c r="X952" s="34"/>
      <c r="Y952" s="34"/>
      <c r="Z952" s="34"/>
      <c r="AA952" s="34"/>
      <c r="AB952" s="34"/>
      <c r="AC952" s="34"/>
    </row>
    <row r="953" spans="1:29" ht="14.25" customHeight="1" x14ac:dyDescent="0.2">
      <c r="A953" s="34"/>
      <c r="B953" s="34"/>
      <c r="C953" s="33"/>
      <c r="D953" s="34"/>
      <c r="E953" s="34"/>
      <c r="F953" s="34"/>
      <c r="G953" s="34"/>
      <c r="H953" s="33"/>
      <c r="I953" s="33"/>
      <c r="J953" s="34"/>
      <c r="K953" s="34"/>
      <c r="L953" s="34"/>
      <c r="M953" s="34"/>
      <c r="N953" s="34"/>
      <c r="O953" s="34"/>
      <c r="P953" s="34"/>
      <c r="Q953" s="34"/>
      <c r="R953" s="34"/>
      <c r="S953" s="34"/>
      <c r="T953" s="34"/>
      <c r="U953" s="34"/>
      <c r="V953" s="34"/>
      <c r="W953" s="34"/>
      <c r="X953" s="34"/>
      <c r="Y953" s="34"/>
      <c r="Z953" s="34"/>
      <c r="AA953" s="34"/>
      <c r="AB953" s="34"/>
      <c r="AC953" s="34"/>
    </row>
    <row r="954" spans="1:29" ht="14.25" customHeight="1" x14ac:dyDescent="0.2">
      <c r="A954" s="34"/>
      <c r="B954" s="34"/>
      <c r="C954" s="33"/>
      <c r="D954" s="34"/>
      <c r="E954" s="34"/>
      <c r="F954" s="34"/>
      <c r="G954" s="34"/>
      <c r="H954" s="33"/>
      <c r="I954" s="33"/>
      <c r="J954" s="34"/>
      <c r="K954" s="34"/>
      <c r="L954" s="34"/>
      <c r="M954" s="34"/>
      <c r="N954" s="34"/>
      <c r="O954" s="34"/>
      <c r="P954" s="34"/>
      <c r="Q954" s="34"/>
      <c r="R954" s="34"/>
      <c r="S954" s="34"/>
      <c r="T954" s="34"/>
      <c r="U954" s="34"/>
      <c r="V954" s="34"/>
      <c r="W954" s="34"/>
      <c r="X954" s="34"/>
      <c r="Y954" s="34"/>
      <c r="Z954" s="34"/>
      <c r="AA954" s="34"/>
      <c r="AB954" s="34"/>
      <c r="AC954" s="34"/>
    </row>
    <row r="955" spans="1:29" ht="14.25" customHeight="1" x14ac:dyDescent="0.2">
      <c r="A955" s="34"/>
      <c r="B955" s="34"/>
      <c r="C955" s="33"/>
      <c r="D955" s="34"/>
      <c r="E955" s="34"/>
      <c r="F955" s="34"/>
      <c r="G955" s="34"/>
      <c r="H955" s="33"/>
      <c r="I955" s="33"/>
      <c r="J955" s="34"/>
      <c r="K955" s="34"/>
      <c r="L955" s="34"/>
      <c r="M955" s="34"/>
      <c r="N955" s="34"/>
      <c r="O955" s="34"/>
      <c r="P955" s="34"/>
      <c r="Q955" s="34"/>
      <c r="R955" s="34"/>
      <c r="S955" s="34"/>
      <c r="T955" s="34"/>
      <c r="U955" s="34"/>
      <c r="V955" s="34"/>
      <c r="W955" s="34"/>
      <c r="X955" s="34"/>
      <c r="Y955" s="34"/>
      <c r="Z955" s="34"/>
      <c r="AA955" s="34"/>
      <c r="AB955" s="34"/>
      <c r="AC955" s="34"/>
    </row>
    <row r="956" spans="1:29" ht="14.25" customHeight="1" x14ac:dyDescent="0.2">
      <c r="A956" s="34"/>
      <c r="B956" s="34"/>
      <c r="C956" s="33"/>
      <c r="D956" s="34"/>
      <c r="E956" s="34"/>
      <c r="F956" s="34"/>
      <c r="G956" s="34"/>
      <c r="H956" s="33"/>
      <c r="I956" s="33"/>
      <c r="J956" s="34"/>
      <c r="K956" s="34"/>
      <c r="L956" s="34"/>
      <c r="M956" s="34"/>
      <c r="N956" s="34"/>
      <c r="O956" s="34"/>
      <c r="P956" s="34"/>
      <c r="Q956" s="34"/>
      <c r="R956" s="34"/>
      <c r="S956" s="34"/>
      <c r="T956" s="34"/>
      <c r="U956" s="34"/>
      <c r="V956" s="34"/>
      <c r="W956" s="34"/>
      <c r="X956" s="34"/>
      <c r="Y956" s="34"/>
      <c r="Z956" s="34"/>
      <c r="AA956" s="34"/>
      <c r="AB956" s="34"/>
      <c r="AC956" s="34"/>
    </row>
    <row r="957" spans="1:29" ht="14.25" customHeight="1" x14ac:dyDescent="0.2">
      <c r="A957" s="34"/>
      <c r="B957" s="34"/>
      <c r="C957" s="33"/>
      <c r="D957" s="34"/>
      <c r="E957" s="34"/>
      <c r="F957" s="34"/>
      <c r="G957" s="34"/>
      <c r="H957" s="33"/>
      <c r="I957" s="33"/>
      <c r="J957" s="34"/>
      <c r="K957" s="34"/>
      <c r="L957" s="34"/>
      <c r="M957" s="34"/>
      <c r="N957" s="34"/>
      <c r="O957" s="34"/>
      <c r="P957" s="34"/>
      <c r="Q957" s="34"/>
      <c r="R957" s="34"/>
      <c r="S957" s="34"/>
      <c r="T957" s="34"/>
      <c r="U957" s="34"/>
      <c r="V957" s="34"/>
      <c r="W957" s="34"/>
      <c r="X957" s="34"/>
      <c r="Y957" s="34"/>
      <c r="Z957" s="34"/>
      <c r="AA957" s="34"/>
      <c r="AB957" s="34"/>
      <c r="AC957" s="34"/>
    </row>
    <row r="958" spans="1:29" ht="14.25" customHeight="1" x14ac:dyDescent="0.2">
      <c r="A958" s="34"/>
      <c r="B958" s="34"/>
      <c r="C958" s="33"/>
      <c r="D958" s="34"/>
      <c r="E958" s="34"/>
      <c r="F958" s="34"/>
      <c r="G958" s="34"/>
      <c r="H958" s="33"/>
      <c r="I958" s="33"/>
      <c r="J958" s="34"/>
      <c r="K958" s="34"/>
      <c r="L958" s="34"/>
      <c r="M958" s="34"/>
      <c r="N958" s="34"/>
      <c r="O958" s="34"/>
      <c r="P958" s="34"/>
      <c r="Q958" s="34"/>
      <c r="R958" s="34"/>
      <c r="S958" s="34"/>
      <c r="T958" s="34"/>
      <c r="U958" s="34"/>
      <c r="V958" s="34"/>
      <c r="W958" s="34"/>
      <c r="X958" s="34"/>
      <c r="Y958" s="34"/>
      <c r="Z958" s="34"/>
      <c r="AA958" s="34"/>
      <c r="AB958" s="34"/>
      <c r="AC958" s="34"/>
    </row>
    <row r="959" spans="1:29" ht="14.25" customHeight="1" x14ac:dyDescent="0.2">
      <c r="A959" s="34"/>
      <c r="B959" s="34"/>
      <c r="C959" s="33"/>
      <c r="D959" s="34"/>
      <c r="E959" s="34"/>
      <c r="F959" s="34"/>
      <c r="G959" s="34"/>
      <c r="H959" s="33"/>
      <c r="I959" s="33"/>
      <c r="J959" s="34"/>
      <c r="K959" s="34"/>
      <c r="L959" s="34"/>
      <c r="M959" s="34"/>
      <c r="N959" s="34"/>
      <c r="O959" s="34"/>
      <c r="P959" s="34"/>
      <c r="Q959" s="34"/>
      <c r="R959" s="34"/>
      <c r="S959" s="34"/>
      <c r="T959" s="34"/>
      <c r="U959" s="34"/>
      <c r="V959" s="34"/>
      <c r="W959" s="34"/>
      <c r="X959" s="34"/>
      <c r="Y959" s="34"/>
      <c r="Z959" s="34"/>
      <c r="AA959" s="34"/>
      <c r="AB959" s="34"/>
      <c r="AC959" s="34"/>
    </row>
    <row r="960" spans="1:29" ht="14.25" customHeight="1" x14ac:dyDescent="0.2">
      <c r="A960" s="34"/>
      <c r="B960" s="34"/>
      <c r="C960" s="33"/>
      <c r="D960" s="34"/>
      <c r="E960" s="34"/>
      <c r="F960" s="34"/>
      <c r="G960" s="34"/>
      <c r="H960" s="33"/>
      <c r="I960" s="33"/>
      <c r="J960" s="34"/>
      <c r="K960" s="34"/>
      <c r="L960" s="34"/>
      <c r="M960" s="34"/>
      <c r="N960" s="34"/>
      <c r="O960" s="34"/>
      <c r="P960" s="34"/>
      <c r="Q960" s="34"/>
      <c r="R960" s="34"/>
      <c r="S960" s="34"/>
      <c r="T960" s="34"/>
      <c r="U960" s="34"/>
      <c r="V960" s="34"/>
      <c r="W960" s="34"/>
      <c r="X960" s="34"/>
      <c r="Y960" s="34"/>
      <c r="Z960" s="34"/>
      <c r="AA960" s="34"/>
      <c r="AB960" s="34"/>
      <c r="AC960" s="34"/>
    </row>
    <row r="961" spans="1:29" ht="14.25" customHeight="1" x14ac:dyDescent="0.2">
      <c r="A961" s="34"/>
      <c r="B961" s="34"/>
      <c r="C961" s="33"/>
      <c r="D961" s="34"/>
      <c r="E961" s="34"/>
      <c r="F961" s="34"/>
      <c r="G961" s="34"/>
      <c r="H961" s="33"/>
      <c r="I961" s="33"/>
      <c r="J961" s="34"/>
      <c r="K961" s="34"/>
      <c r="L961" s="34"/>
      <c r="M961" s="34"/>
      <c r="N961" s="34"/>
      <c r="O961" s="34"/>
      <c r="P961" s="34"/>
      <c r="Q961" s="34"/>
      <c r="R961" s="34"/>
      <c r="S961" s="34"/>
      <c r="T961" s="34"/>
      <c r="U961" s="34"/>
      <c r="V961" s="34"/>
      <c r="W961" s="34"/>
      <c r="X961" s="34"/>
      <c r="Y961" s="34"/>
      <c r="Z961" s="34"/>
      <c r="AA961" s="34"/>
      <c r="AB961" s="34"/>
      <c r="AC961" s="34"/>
    </row>
    <row r="962" spans="1:29" ht="14.25" customHeight="1" x14ac:dyDescent="0.2">
      <c r="A962" s="34"/>
      <c r="B962" s="34"/>
      <c r="C962" s="33"/>
      <c r="D962" s="34"/>
      <c r="E962" s="34"/>
      <c r="F962" s="34"/>
      <c r="G962" s="34"/>
      <c r="H962" s="33"/>
      <c r="I962" s="33"/>
      <c r="J962" s="34"/>
      <c r="K962" s="34"/>
      <c r="L962" s="34"/>
      <c r="M962" s="34"/>
      <c r="N962" s="34"/>
      <c r="O962" s="34"/>
      <c r="P962" s="34"/>
      <c r="Q962" s="34"/>
      <c r="R962" s="34"/>
      <c r="S962" s="34"/>
      <c r="T962" s="34"/>
      <c r="U962" s="34"/>
      <c r="V962" s="34"/>
      <c r="W962" s="34"/>
      <c r="X962" s="34"/>
      <c r="Y962" s="34"/>
      <c r="Z962" s="34"/>
      <c r="AA962" s="34"/>
      <c r="AB962" s="34"/>
      <c r="AC962" s="34"/>
    </row>
    <row r="963" spans="1:29" ht="14.25" customHeight="1" x14ac:dyDescent="0.2">
      <c r="A963" s="34"/>
      <c r="B963" s="34"/>
      <c r="C963" s="33"/>
      <c r="D963" s="34"/>
      <c r="E963" s="34"/>
      <c r="F963" s="34"/>
      <c r="G963" s="34"/>
      <c r="H963" s="33"/>
      <c r="I963" s="33"/>
      <c r="J963" s="34"/>
      <c r="K963" s="34"/>
      <c r="L963" s="34"/>
      <c r="M963" s="34"/>
      <c r="N963" s="34"/>
      <c r="O963" s="34"/>
      <c r="P963" s="34"/>
      <c r="Q963" s="34"/>
      <c r="R963" s="34"/>
      <c r="S963" s="34"/>
      <c r="T963" s="34"/>
      <c r="U963" s="34"/>
      <c r="V963" s="34"/>
      <c r="W963" s="34"/>
      <c r="X963" s="34"/>
      <c r="Y963" s="34"/>
      <c r="Z963" s="34"/>
      <c r="AA963" s="34"/>
      <c r="AB963" s="34"/>
      <c r="AC963" s="34"/>
    </row>
    <row r="964" spans="1:29" ht="14.25" customHeight="1" x14ac:dyDescent="0.2">
      <c r="A964" s="34"/>
      <c r="B964" s="34"/>
      <c r="C964" s="33"/>
      <c r="D964" s="34"/>
      <c r="E964" s="34"/>
      <c r="F964" s="34"/>
      <c r="G964" s="34"/>
      <c r="H964" s="33"/>
      <c r="I964" s="33"/>
      <c r="J964" s="34"/>
      <c r="K964" s="34"/>
      <c r="L964" s="34"/>
      <c r="M964" s="34"/>
      <c r="N964" s="34"/>
      <c r="O964" s="34"/>
      <c r="P964" s="34"/>
      <c r="Q964" s="34"/>
      <c r="R964" s="34"/>
      <c r="S964" s="34"/>
      <c r="T964" s="34"/>
      <c r="U964" s="34"/>
      <c r="V964" s="34"/>
      <c r="W964" s="34"/>
      <c r="X964" s="34"/>
      <c r="Y964" s="34"/>
      <c r="Z964" s="34"/>
      <c r="AA964" s="34"/>
      <c r="AB964" s="34"/>
      <c r="AC964" s="34"/>
    </row>
    <row r="965" spans="1:29" ht="14.25" customHeight="1" x14ac:dyDescent="0.2">
      <c r="A965" s="34"/>
      <c r="B965" s="34"/>
      <c r="C965" s="33"/>
      <c r="D965" s="34"/>
      <c r="E965" s="34"/>
      <c r="F965" s="34"/>
      <c r="G965" s="34"/>
      <c r="H965" s="33"/>
      <c r="I965" s="33"/>
      <c r="J965" s="34"/>
      <c r="K965" s="34"/>
      <c r="L965" s="34"/>
      <c r="M965" s="34"/>
      <c r="N965" s="34"/>
      <c r="O965" s="34"/>
      <c r="P965" s="34"/>
      <c r="Q965" s="34"/>
      <c r="R965" s="34"/>
      <c r="S965" s="34"/>
      <c r="T965" s="34"/>
      <c r="U965" s="34"/>
      <c r="V965" s="34"/>
      <c r="W965" s="34"/>
      <c r="X965" s="34"/>
      <c r="Y965" s="34"/>
      <c r="Z965" s="34"/>
      <c r="AA965" s="34"/>
      <c r="AB965" s="34"/>
      <c r="AC965" s="34"/>
    </row>
    <row r="966" spans="1:29" ht="14.25" customHeight="1" x14ac:dyDescent="0.2">
      <c r="A966" s="34"/>
      <c r="B966" s="34"/>
      <c r="C966" s="33"/>
      <c r="D966" s="34"/>
      <c r="E966" s="34"/>
      <c r="F966" s="34"/>
      <c r="G966" s="34"/>
      <c r="H966" s="33"/>
      <c r="I966" s="33"/>
      <c r="J966" s="34"/>
      <c r="K966" s="34"/>
      <c r="L966" s="34"/>
      <c r="M966" s="34"/>
      <c r="N966" s="34"/>
      <c r="O966" s="34"/>
      <c r="P966" s="34"/>
      <c r="Q966" s="34"/>
      <c r="R966" s="34"/>
      <c r="S966" s="34"/>
      <c r="T966" s="34"/>
      <c r="U966" s="34"/>
      <c r="V966" s="34"/>
      <c r="W966" s="34"/>
      <c r="X966" s="34"/>
      <c r="Y966" s="34"/>
      <c r="Z966" s="34"/>
      <c r="AA966" s="34"/>
      <c r="AB966" s="34"/>
      <c r="AC966" s="34"/>
    </row>
    <row r="967" spans="1:29" ht="14.25" customHeight="1" x14ac:dyDescent="0.2">
      <c r="A967" s="34"/>
      <c r="B967" s="34"/>
      <c r="C967" s="33"/>
      <c r="D967" s="34"/>
      <c r="E967" s="34"/>
      <c r="F967" s="34"/>
      <c r="G967" s="34"/>
      <c r="H967" s="33"/>
      <c r="I967" s="33"/>
      <c r="J967" s="34"/>
      <c r="K967" s="34"/>
      <c r="L967" s="34"/>
      <c r="M967" s="34"/>
      <c r="N967" s="34"/>
      <c r="O967" s="34"/>
      <c r="P967" s="34"/>
      <c r="Q967" s="34"/>
      <c r="R967" s="34"/>
      <c r="S967" s="34"/>
      <c r="T967" s="34"/>
      <c r="U967" s="34"/>
      <c r="V967" s="34"/>
      <c r="W967" s="34"/>
      <c r="X967" s="34"/>
      <c r="Y967" s="34"/>
      <c r="Z967" s="34"/>
      <c r="AA967" s="34"/>
      <c r="AB967" s="34"/>
      <c r="AC967" s="34"/>
    </row>
    <row r="968" spans="1:29" ht="14.25" customHeight="1" x14ac:dyDescent="0.2">
      <c r="A968" s="34"/>
      <c r="B968" s="34"/>
      <c r="C968" s="33"/>
      <c r="D968" s="34"/>
      <c r="E968" s="34"/>
      <c r="F968" s="34"/>
      <c r="G968" s="34"/>
      <c r="H968" s="33"/>
      <c r="I968" s="33"/>
      <c r="J968" s="34"/>
      <c r="K968" s="34"/>
      <c r="L968" s="34"/>
      <c r="M968" s="34"/>
      <c r="N968" s="34"/>
      <c r="O968" s="34"/>
      <c r="P968" s="34"/>
      <c r="Q968" s="34"/>
      <c r="R968" s="34"/>
      <c r="S968" s="34"/>
      <c r="T968" s="34"/>
      <c r="U968" s="34"/>
      <c r="V968" s="34"/>
      <c r="W968" s="34"/>
      <c r="X968" s="34"/>
      <c r="Y968" s="34"/>
      <c r="Z968" s="34"/>
      <c r="AA968" s="34"/>
      <c r="AB968" s="34"/>
      <c r="AC968" s="34"/>
    </row>
    <row r="969" spans="1:29" ht="14.25" customHeight="1" x14ac:dyDescent="0.2">
      <c r="A969" s="34"/>
      <c r="B969" s="34"/>
      <c r="C969" s="33"/>
      <c r="D969" s="34"/>
      <c r="E969" s="34"/>
      <c r="F969" s="34"/>
      <c r="G969" s="34"/>
      <c r="H969" s="33"/>
      <c r="I969" s="33"/>
      <c r="J969" s="34"/>
      <c r="K969" s="34"/>
      <c r="L969" s="34"/>
      <c r="M969" s="34"/>
      <c r="N969" s="34"/>
      <c r="O969" s="34"/>
      <c r="P969" s="34"/>
      <c r="Q969" s="34"/>
      <c r="R969" s="34"/>
      <c r="S969" s="34"/>
      <c r="T969" s="34"/>
      <c r="U969" s="34"/>
      <c r="V969" s="34"/>
      <c r="W969" s="34"/>
      <c r="X969" s="34"/>
      <c r="Y969" s="34"/>
      <c r="Z969" s="34"/>
      <c r="AA969" s="34"/>
      <c r="AB969" s="34"/>
      <c r="AC969" s="34"/>
    </row>
    <row r="970" spans="1:29" ht="14.25" customHeight="1" x14ac:dyDescent="0.2">
      <c r="A970" s="34"/>
      <c r="B970" s="34"/>
      <c r="C970" s="33"/>
      <c r="D970" s="34"/>
      <c r="E970" s="34"/>
      <c r="F970" s="34"/>
      <c r="G970" s="34"/>
      <c r="H970" s="33"/>
      <c r="I970" s="33"/>
      <c r="J970" s="34"/>
      <c r="K970" s="34"/>
      <c r="L970" s="34"/>
      <c r="M970" s="34"/>
      <c r="N970" s="34"/>
      <c r="O970" s="34"/>
      <c r="P970" s="34"/>
      <c r="Q970" s="34"/>
      <c r="R970" s="34"/>
      <c r="S970" s="34"/>
      <c r="T970" s="34"/>
      <c r="U970" s="34"/>
      <c r="V970" s="34"/>
      <c r="W970" s="34"/>
      <c r="X970" s="34"/>
      <c r="Y970" s="34"/>
      <c r="Z970" s="34"/>
      <c r="AA970" s="34"/>
      <c r="AB970" s="34"/>
      <c r="AC970" s="34"/>
    </row>
    <row r="971" spans="1:29" ht="14.25" customHeight="1" x14ac:dyDescent="0.2">
      <c r="A971" s="34"/>
      <c r="B971" s="34"/>
      <c r="C971" s="33"/>
      <c r="D971" s="34"/>
      <c r="E971" s="34"/>
      <c r="F971" s="34"/>
      <c r="G971" s="34"/>
      <c r="H971" s="33"/>
      <c r="I971" s="33"/>
      <c r="J971" s="34"/>
      <c r="K971" s="34"/>
      <c r="L971" s="34"/>
      <c r="M971" s="34"/>
      <c r="N971" s="34"/>
      <c r="O971" s="34"/>
      <c r="P971" s="34"/>
      <c r="Q971" s="34"/>
      <c r="R971" s="34"/>
      <c r="S971" s="34"/>
      <c r="T971" s="34"/>
      <c r="U971" s="34"/>
      <c r="V971" s="34"/>
      <c r="W971" s="34"/>
      <c r="X971" s="34"/>
      <c r="Y971" s="34"/>
      <c r="Z971" s="34"/>
      <c r="AA971" s="34"/>
      <c r="AB971" s="34"/>
      <c r="AC971" s="34"/>
    </row>
    <row r="972" spans="1:29" ht="14.25" customHeight="1" x14ac:dyDescent="0.2">
      <c r="A972" s="34"/>
      <c r="B972" s="34"/>
      <c r="C972" s="33"/>
      <c r="D972" s="34"/>
      <c r="E972" s="34"/>
      <c r="F972" s="34"/>
      <c r="G972" s="34"/>
      <c r="H972" s="33"/>
      <c r="I972" s="33"/>
      <c r="J972" s="34"/>
      <c r="K972" s="34"/>
      <c r="L972" s="34"/>
      <c r="M972" s="34"/>
      <c r="N972" s="34"/>
      <c r="O972" s="34"/>
      <c r="P972" s="34"/>
      <c r="Q972" s="34"/>
      <c r="R972" s="34"/>
      <c r="S972" s="34"/>
      <c r="T972" s="34"/>
      <c r="U972" s="34"/>
      <c r="V972" s="34"/>
      <c r="W972" s="34"/>
      <c r="X972" s="34"/>
      <c r="Y972" s="34"/>
      <c r="Z972" s="34"/>
      <c r="AA972" s="34"/>
      <c r="AB972" s="34"/>
      <c r="AC972" s="34"/>
    </row>
    <row r="973" spans="1:29" ht="14.25" customHeight="1" x14ac:dyDescent="0.2">
      <c r="A973" s="34"/>
      <c r="B973" s="34"/>
      <c r="C973" s="33"/>
      <c r="D973" s="34"/>
      <c r="E973" s="34"/>
      <c r="F973" s="34"/>
      <c r="G973" s="34"/>
      <c r="H973" s="33"/>
      <c r="I973" s="33"/>
      <c r="J973" s="34"/>
      <c r="K973" s="34"/>
      <c r="L973" s="34"/>
      <c r="M973" s="34"/>
      <c r="N973" s="34"/>
      <c r="O973" s="34"/>
      <c r="P973" s="34"/>
      <c r="Q973" s="34"/>
      <c r="R973" s="34"/>
      <c r="S973" s="34"/>
      <c r="T973" s="34"/>
      <c r="U973" s="34"/>
      <c r="V973" s="34"/>
      <c r="W973" s="34"/>
      <c r="X973" s="34"/>
      <c r="Y973" s="34"/>
      <c r="Z973" s="34"/>
      <c r="AA973" s="34"/>
      <c r="AB973" s="34"/>
      <c r="AC973" s="34"/>
    </row>
    <row r="974" spans="1:29" ht="14.25" customHeight="1" x14ac:dyDescent="0.2">
      <c r="A974" s="34"/>
      <c r="B974" s="34"/>
      <c r="C974" s="33"/>
      <c r="D974" s="34"/>
      <c r="E974" s="34"/>
      <c r="F974" s="34"/>
      <c r="G974" s="34"/>
      <c r="H974" s="33"/>
      <c r="I974" s="33"/>
      <c r="J974" s="34"/>
      <c r="K974" s="34"/>
      <c r="L974" s="34"/>
      <c r="M974" s="34"/>
      <c r="N974" s="34"/>
      <c r="O974" s="34"/>
      <c r="P974" s="34"/>
      <c r="Q974" s="34"/>
      <c r="R974" s="34"/>
      <c r="S974" s="34"/>
      <c r="T974" s="34"/>
      <c r="U974" s="34"/>
      <c r="V974" s="34"/>
      <c r="W974" s="34"/>
      <c r="X974" s="34"/>
      <c r="Y974" s="34"/>
      <c r="Z974" s="34"/>
      <c r="AA974" s="34"/>
      <c r="AB974" s="34"/>
      <c r="AC974" s="34"/>
    </row>
    <row r="975" spans="1:29" ht="14.25" customHeight="1" x14ac:dyDescent="0.2">
      <c r="A975" s="34"/>
      <c r="B975" s="34"/>
      <c r="C975" s="33"/>
      <c r="D975" s="34"/>
      <c r="E975" s="34"/>
      <c r="F975" s="34"/>
      <c r="G975" s="34"/>
      <c r="H975" s="33"/>
      <c r="I975" s="33"/>
      <c r="J975" s="34"/>
      <c r="K975" s="34"/>
      <c r="L975" s="34"/>
      <c r="M975" s="34"/>
      <c r="N975" s="34"/>
      <c r="O975" s="34"/>
      <c r="P975" s="34"/>
      <c r="Q975" s="34"/>
      <c r="R975" s="34"/>
      <c r="S975" s="34"/>
      <c r="T975" s="34"/>
      <c r="U975" s="34"/>
      <c r="V975" s="34"/>
      <c r="W975" s="34"/>
      <c r="X975" s="34"/>
      <c r="Y975" s="34"/>
      <c r="Z975" s="34"/>
      <c r="AA975" s="34"/>
      <c r="AB975" s="34"/>
      <c r="AC975" s="34"/>
    </row>
    <row r="976" spans="1:29" ht="14.25" customHeight="1" x14ac:dyDescent="0.2">
      <c r="A976" s="34"/>
      <c r="B976" s="34"/>
      <c r="C976" s="33"/>
      <c r="D976" s="34"/>
      <c r="E976" s="34"/>
      <c r="F976" s="34"/>
      <c r="G976" s="34"/>
      <c r="H976" s="33"/>
      <c r="I976" s="33"/>
      <c r="J976" s="34"/>
      <c r="K976" s="34"/>
      <c r="L976" s="34"/>
      <c r="M976" s="34"/>
      <c r="N976" s="34"/>
      <c r="O976" s="34"/>
      <c r="P976" s="34"/>
      <c r="Q976" s="34"/>
      <c r="R976" s="34"/>
      <c r="S976" s="34"/>
      <c r="T976" s="34"/>
      <c r="U976" s="34"/>
      <c r="V976" s="34"/>
      <c r="W976" s="34"/>
      <c r="X976" s="34"/>
      <c r="Y976" s="34"/>
      <c r="Z976" s="34"/>
      <c r="AA976" s="34"/>
      <c r="AB976" s="34"/>
      <c r="AC976" s="34"/>
    </row>
    <row r="977" spans="1:29" ht="14.25" customHeight="1" x14ac:dyDescent="0.2">
      <c r="A977" s="34"/>
      <c r="B977" s="34"/>
      <c r="C977" s="33"/>
      <c r="D977" s="34"/>
      <c r="E977" s="34"/>
      <c r="F977" s="34"/>
      <c r="G977" s="34"/>
      <c r="H977" s="33"/>
      <c r="I977" s="33"/>
      <c r="J977" s="34"/>
      <c r="K977" s="34"/>
      <c r="L977" s="34"/>
      <c r="M977" s="34"/>
      <c r="N977" s="34"/>
      <c r="O977" s="34"/>
      <c r="P977" s="34"/>
      <c r="Q977" s="34"/>
      <c r="R977" s="34"/>
      <c r="S977" s="34"/>
      <c r="T977" s="34"/>
      <c r="U977" s="34"/>
      <c r="V977" s="34"/>
      <c r="W977" s="34"/>
      <c r="X977" s="34"/>
      <c r="Y977" s="34"/>
      <c r="Z977" s="34"/>
      <c r="AA977" s="34"/>
      <c r="AB977" s="34"/>
      <c r="AC977" s="34"/>
    </row>
    <row r="978" spans="1:29" ht="14.25" customHeight="1" x14ac:dyDescent="0.2">
      <c r="A978" s="34"/>
      <c r="B978" s="34"/>
      <c r="C978" s="33"/>
      <c r="D978" s="34"/>
      <c r="E978" s="34"/>
      <c r="F978" s="34"/>
      <c r="G978" s="34"/>
      <c r="H978" s="33"/>
      <c r="I978" s="33"/>
      <c r="J978" s="34"/>
      <c r="K978" s="34"/>
      <c r="L978" s="34"/>
      <c r="M978" s="34"/>
      <c r="N978" s="34"/>
      <c r="O978" s="34"/>
      <c r="P978" s="34"/>
      <c r="Q978" s="34"/>
      <c r="R978" s="34"/>
      <c r="S978" s="34"/>
      <c r="T978" s="34"/>
      <c r="U978" s="34"/>
      <c r="V978" s="34"/>
      <c r="W978" s="34"/>
      <c r="X978" s="34"/>
      <c r="Y978" s="34"/>
      <c r="Z978" s="34"/>
      <c r="AA978" s="34"/>
      <c r="AB978" s="34"/>
      <c r="AC978" s="34"/>
    </row>
    <row r="979" spans="1:29" ht="14.25" customHeight="1" x14ac:dyDescent="0.2">
      <c r="A979" s="34"/>
      <c r="B979" s="34"/>
      <c r="C979" s="33"/>
      <c r="D979" s="34"/>
      <c r="E979" s="34"/>
      <c r="F979" s="34"/>
      <c r="G979" s="34"/>
      <c r="H979" s="33"/>
      <c r="I979" s="33"/>
      <c r="J979" s="34"/>
      <c r="K979" s="34"/>
      <c r="L979" s="34"/>
      <c r="M979" s="34"/>
      <c r="N979" s="34"/>
      <c r="O979" s="34"/>
      <c r="P979" s="34"/>
      <c r="Q979" s="34"/>
      <c r="R979" s="34"/>
      <c r="S979" s="34"/>
      <c r="T979" s="34"/>
      <c r="U979" s="34"/>
      <c r="V979" s="34"/>
      <c r="W979" s="34"/>
      <c r="X979" s="34"/>
      <c r="Y979" s="34"/>
      <c r="Z979" s="34"/>
      <c r="AA979" s="34"/>
      <c r="AB979" s="34"/>
      <c r="AC979" s="34"/>
    </row>
    <row r="980" spans="1:29" ht="14.25" customHeight="1" x14ac:dyDescent="0.2">
      <c r="A980" s="34"/>
      <c r="B980" s="34"/>
      <c r="C980" s="33"/>
      <c r="D980" s="34"/>
      <c r="E980" s="34"/>
      <c r="F980" s="34"/>
      <c r="G980" s="34"/>
      <c r="H980" s="33"/>
      <c r="I980" s="33"/>
      <c r="J980" s="34"/>
      <c r="K980" s="34"/>
      <c r="L980" s="34"/>
      <c r="M980" s="34"/>
      <c r="N980" s="34"/>
      <c r="O980" s="34"/>
      <c r="P980" s="34"/>
      <c r="Q980" s="34"/>
      <c r="R980" s="34"/>
      <c r="S980" s="34"/>
      <c r="T980" s="34"/>
      <c r="U980" s="34"/>
      <c r="V980" s="34"/>
      <c r="W980" s="34"/>
      <c r="X980" s="34"/>
      <c r="Y980" s="34"/>
      <c r="Z980" s="34"/>
      <c r="AA980" s="34"/>
      <c r="AB980" s="34"/>
      <c r="AC980" s="34"/>
    </row>
  </sheetData>
  <sortState xmlns:xlrd2="http://schemas.microsoft.com/office/spreadsheetml/2017/richdata2" ref="A2:AC57">
    <sortCondition ref="A2:A57"/>
  </sortState>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FDE40C-36F4-4C69-968F-F6B5747BFD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BASE DE DATOS SCOPUS</vt:lpstr>
      <vt:lpstr>Figura 1</vt:lpstr>
      <vt:lpstr>PLANTILLA</vt:lpstr>
      <vt:lpstr>otros</vt:lpstr>
      <vt:lpstr>IDENTIFICATION - REMOVED</vt:lpstr>
      <vt:lpstr>SCREENING - EXCLUDED</vt:lpstr>
      <vt:lpstr>SCREENING - RETRIEVED</vt:lpstr>
      <vt:lpstr>SCREENING 2- FULL TEXT EXCLUDED</vt:lpstr>
      <vt:lpstr>INCLUDED</vt:lpstr>
      <vt:lpstr>'BASE DE DATOS SCOPUS'!scopus__6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Bejarano</dc:creator>
  <cp:lastModifiedBy>dayssi mercado lopèz</cp:lastModifiedBy>
  <dcterms:created xsi:type="dcterms:W3CDTF">2015-06-05T18:19:34Z</dcterms:created>
  <dcterms:modified xsi:type="dcterms:W3CDTF">2026-04-06T15:18:50Z</dcterms:modified>
</cp:coreProperties>
</file>