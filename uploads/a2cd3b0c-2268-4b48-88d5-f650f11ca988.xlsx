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luis/Downloads/"/>
    </mc:Choice>
  </mc:AlternateContent>
  <xr:revisionPtr revIDLastSave="0" documentId="13_ncr:1_{6318A8E7-463D-1742-AA21-681A25930CBA}" xr6:coauthVersionLast="47" xr6:coauthVersionMax="47" xr10:uidLastSave="{00000000-0000-0000-0000-000000000000}"/>
  <bookViews>
    <workbookView xWindow="30240" yWindow="0" windowWidth="38400" windowHeight="21600" activeTab="8" xr2:uid="{D409AE7C-CC4A-4C53-A10D-52F86A6B72FA}"/>
  </bookViews>
  <sheets>
    <sheet name="BASE DE DATOS SCOPUS" sheetId="1" r:id="rId1"/>
    <sheet name="Figura 1" sheetId="20" state="hidden" r:id="rId2"/>
    <sheet name="PLANTILLA" sheetId="30" state="hidden" r:id="rId3"/>
    <sheet name="otros" sheetId="31" state="hidden" r:id="rId4"/>
    <sheet name="IDENTIFICATION - REMOVED" sheetId="3" r:id="rId5"/>
    <sheet name="SCREENING - EXCLUDED" sheetId="4" r:id="rId6"/>
    <sheet name="SCREENING - RETRIEVED" sheetId="12" r:id="rId7"/>
    <sheet name="SCREENING 2- FULL TEXT EXCLUDED" sheetId="5" r:id="rId8"/>
    <sheet name="INCLUDED" sheetId="7" r:id="rId9"/>
  </sheets>
  <definedNames>
    <definedName name="scopus__6" localSheetId="0">'BASE DE DATOS SCOPUS'!$B$1:$M$16</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7" roundtripDataSignature="AMtx7mgbud0D7ePXwZJyBC+w3zbvk98KyQ=="/>
    </ext>
  </extLst>
</workbook>
</file>

<file path=xl/calcChain.xml><?xml version="1.0" encoding="utf-8"?>
<calcChain xmlns="http://schemas.openxmlformats.org/spreadsheetml/2006/main">
  <c r="D52" i="31" l="1"/>
  <c r="D61" i="31"/>
  <c r="D60" i="31"/>
  <c r="D58" i="31"/>
  <c r="D57" i="31"/>
  <c r="D55" i="31"/>
  <c r="D54" i="31"/>
  <c r="D53" i="31"/>
  <c r="D28" i="30"/>
  <c r="C29" i="30"/>
  <c r="C30" i="30"/>
  <c r="C31" i="30"/>
  <c r="D31" i="30" s="1"/>
  <c r="C32" i="30"/>
  <c r="D32" i="30" s="1"/>
  <c r="C33" i="30"/>
  <c r="C28" i="30"/>
  <c r="B34" i="30"/>
  <c r="D33" i="30"/>
  <c r="D30" i="30"/>
  <c r="D29" i="30"/>
  <c r="K7" i="30"/>
  <c r="K11" i="30"/>
  <c r="K12" i="30"/>
  <c r="K19" i="30"/>
  <c r="K20" i="30"/>
  <c r="L7" i="30"/>
  <c r="L8" i="30"/>
  <c r="L9" i="30"/>
  <c r="L10" i="30"/>
  <c r="L11" i="30"/>
  <c r="L12" i="30"/>
  <c r="L13" i="30"/>
  <c r="L14" i="30"/>
  <c r="L15" i="30"/>
  <c r="L16" i="30"/>
  <c r="L17" i="30"/>
  <c r="L18" i="30"/>
  <c r="L19" i="30"/>
  <c r="L20" i="30"/>
  <c r="L6" i="30"/>
  <c r="K15" i="30"/>
  <c r="B10" i="30"/>
  <c r="C9" i="30" s="1"/>
  <c r="D9" i="30" s="1"/>
  <c r="K13" i="30" l="1"/>
  <c r="K8" i="30"/>
  <c r="K9" i="30"/>
  <c r="K17" i="30"/>
  <c r="D34" i="30"/>
  <c r="C34" i="30"/>
  <c r="K16" i="30"/>
  <c r="K18" i="30"/>
  <c r="K14" i="30"/>
  <c r="K10" i="30"/>
  <c r="K6" i="30"/>
  <c r="H6" i="30"/>
  <c r="J6" i="30"/>
  <c r="G6" i="30"/>
  <c r="I6" i="30"/>
  <c r="C8" i="30"/>
  <c r="D8" i="30" s="1"/>
  <c r="D10" i="30" s="1"/>
  <c r="C10" i="3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RAFAEL</author>
  </authors>
  <commentList>
    <comment ref="O1" authorId="0" shapeId="0" xr:uid="{3633A221-40F9-2F42-8575-75A1E8567A3D}">
      <text>
        <r>
          <rPr>
            <b/>
            <sz val="9"/>
            <color indexed="81"/>
            <rFont val="Tahoma"/>
            <family val="2"/>
          </rPr>
          <t xml:space="preserve">RAFAEL: </t>
        </r>
        <r>
          <rPr>
            <sz val="9"/>
            <color indexed="81"/>
            <rFont val="Tahoma"/>
            <family val="2"/>
          </rPr>
          <t>Buscar los documentos duplicados. Resalte de azul uno de ellos y coloque una "X" en la casilla de "Duplicated". Luego, marque el documento no resaltado con una "X" en las casillas que corresponden a las bases donde se encontraron (esto permitirá saber que el documento estuvo indizado en esas bases). Filtre los duplicados para que queden en la parte superior.</t>
        </r>
      </text>
    </comment>
    <comment ref="P1" authorId="0" shapeId="0" xr:uid="{024FD21C-1BF3-B945-9E9F-58EE40297A5F}">
      <text>
        <r>
          <rPr>
            <b/>
            <sz val="9"/>
            <color rgb="FF000000"/>
            <rFont val="Tahoma"/>
            <family val="2"/>
          </rPr>
          <t>RAFAEL:</t>
        </r>
        <r>
          <rPr>
            <sz val="9"/>
            <color rgb="FF000000"/>
            <rFont val="Tahoma"/>
            <family val="2"/>
          </rPr>
          <t xml:space="preserve">
</t>
        </r>
        <r>
          <rPr>
            <sz val="9"/>
            <color rgb="FF000000"/>
            <rFont val="Tahoma"/>
            <family val="2"/>
          </rPr>
          <t>Opcional y va a depender de los criterios de búsqueda que se dispuso antes de iniciar la elegibiiidad de documentos.</t>
        </r>
      </text>
    </comment>
    <comment ref="Q1" authorId="0" shapeId="0" xr:uid="{3D1EA2D8-EE93-524A-92CA-FBEFD24B8C89}">
      <text>
        <r>
          <rPr>
            <b/>
            <sz val="9"/>
            <color indexed="81"/>
            <rFont val="Tahoma"/>
            <family val="2"/>
          </rPr>
          <t>RAFAEL:</t>
        </r>
        <r>
          <rPr>
            <sz val="9"/>
            <color indexed="81"/>
            <rFont val="Tahoma"/>
            <family val="2"/>
          </rPr>
          <t xml:space="preserve">
Opcional y va a depender de los criterios de búsqueda que se dispuso antes de iniciar la elegibiiidad de documentos.</t>
        </r>
      </text>
    </comment>
    <comment ref="R1" authorId="0" shapeId="0" xr:uid="{AA87EE40-3D18-7D45-A034-4C27CF7B8F5B}">
      <text>
        <r>
          <rPr>
            <b/>
            <sz val="9"/>
            <color indexed="81"/>
            <rFont val="Tahoma"/>
            <family val="2"/>
          </rPr>
          <t>RAFAEL:</t>
        </r>
        <r>
          <rPr>
            <sz val="9"/>
            <color indexed="81"/>
            <rFont val="Tahoma"/>
            <family val="2"/>
          </rPr>
          <t xml:space="preserve">
Opcional y va a depender de los criterios de búsqueda que se dispuso antes de iniciar la elegibiiidad de documentos.</t>
        </r>
      </text>
    </comment>
    <comment ref="S1" authorId="0" shapeId="0" xr:uid="{816370AF-4895-8143-BA88-C1599148A0D4}">
      <text>
        <r>
          <rPr>
            <b/>
            <sz val="9"/>
            <color indexed="81"/>
            <rFont val="Tahoma"/>
            <family val="2"/>
          </rPr>
          <t>RAFAEL:</t>
        </r>
        <r>
          <rPr>
            <sz val="9"/>
            <color indexed="81"/>
            <rFont val="Tahoma"/>
            <family val="2"/>
          </rPr>
          <t xml:space="preserve">
Opcional y va a depender de los criterios de búsqueda que se dispuso antes de iniciar la elegibiiidad de documentos.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RAFAEL</author>
  </authors>
  <commentList>
    <comment ref="P1" authorId="0" shapeId="0" xr:uid="{00000000-0006-0000-0300-000001000000}">
      <text>
        <r>
          <rPr>
            <sz val="11"/>
            <color rgb="FF000000"/>
            <rFont val="Calibri"/>
            <family val="2"/>
          </rPr>
          <t xml:space="preserve">======
</t>
        </r>
        <r>
          <rPr>
            <sz val="11"/>
            <color rgb="FF000000"/>
            <rFont val="Calibri"/>
            <family val="2"/>
          </rPr>
          <t xml:space="preserve">ID#AAAAdVejgmM
</t>
        </r>
        <r>
          <rPr>
            <sz val="11"/>
            <color rgb="FF000000"/>
            <rFont val="Calibri"/>
            <family val="2"/>
          </rPr>
          <t xml:space="preserve">Rafael    (2022-07-29 20:02:29)
</t>
        </r>
        <r>
          <rPr>
            <sz val="11"/>
            <color rgb="FF000000"/>
            <rFont val="Calibri"/>
            <family val="2"/>
          </rPr>
          <t>Se debe revisar que el paper esté relacionado con las variables claves de la RSL, para el caso: gestión del cambio, cultura organizacional y a empresas. Considerar sus terminos asociados. En caso de dudas, por favor, no lo elimine.</t>
        </r>
      </text>
    </comment>
    <comment ref="R1" authorId="0" shapeId="0" xr:uid="{B8573579-A15E-4896-A72F-333F8EF555EC}">
      <text>
        <r>
          <rPr>
            <sz val="11"/>
            <color rgb="FF000000"/>
            <rFont val="Calibri"/>
            <family val="2"/>
          </rPr>
          <t xml:space="preserve">======
</t>
        </r>
        <r>
          <rPr>
            <sz val="11"/>
            <color rgb="FF000000"/>
            <rFont val="Calibri"/>
            <family val="2"/>
          </rPr>
          <t xml:space="preserve">ID#AAAAdVejgmM
</t>
        </r>
        <r>
          <rPr>
            <sz val="11"/>
            <color rgb="FF000000"/>
            <rFont val="Calibri"/>
            <family val="2"/>
          </rPr>
          <t xml:space="preserve">Rafael    (2022-07-29 20:02:29)
</t>
        </r>
        <r>
          <rPr>
            <sz val="11"/>
            <color rgb="FF000000"/>
            <rFont val="Calibri"/>
            <family val="2"/>
          </rPr>
          <t>Se debe revisar que el paper esté relacionado con las variables claves de la RSL, para el caso: gestión del cambio, cultura organizacional y a empresas. Considerar sus terminos asociados. En caso de dudas, por favor, no lo elimine.</t>
        </r>
      </text>
    </comment>
    <comment ref="S1" authorId="1" shapeId="0" xr:uid="{E25D9DDF-6EFA-4B31-9BF4-5EEA526D65FA}">
      <text>
        <r>
          <rPr>
            <b/>
            <sz val="9"/>
            <color rgb="FF000000"/>
            <rFont val="Tahoma"/>
            <family val="2"/>
          </rPr>
          <t>RAFAEL:</t>
        </r>
        <r>
          <rPr>
            <sz val="9"/>
            <color rgb="FF000000"/>
            <rFont val="Tahoma"/>
            <family val="2"/>
          </rPr>
          <t xml:space="preserve">
</t>
        </r>
        <r>
          <rPr>
            <sz val="9"/>
            <color rgb="FF000000"/>
            <rFont val="Tahoma"/>
            <family val="2"/>
          </rPr>
          <t>Luego de la revisión ciega del resumen de cada artículo, ambos investigadores deben decidir si el documento se incluye o no para su análisis de contenido. Se debe debatir solo en caso de dudas o evaluaciones diferentes en la revisión ciega de pares.</t>
        </r>
      </text>
    </comment>
    <comment ref="T1" authorId="0" shapeId="0" xr:uid="{00000000-0006-0000-0300-000004000000}">
      <text>
        <r>
          <rPr>
            <sz val="11"/>
            <color rgb="FF000000"/>
            <rFont val="Calibri"/>
            <family val="2"/>
          </rPr>
          <t xml:space="preserve">======
</t>
        </r>
        <r>
          <rPr>
            <sz val="11"/>
            <color rgb="FF000000"/>
            <rFont val="Calibri"/>
            <family val="2"/>
          </rPr>
          <t xml:space="preserve">ID#AAAAdVejglw
</t>
        </r>
        <r>
          <rPr>
            <sz val="11"/>
            <color rgb="FF000000"/>
            <rFont val="Calibri"/>
            <family val="2"/>
          </rPr>
          <t xml:space="preserve">Rafael    (2022-07-29 20:02:29)
</t>
        </r>
        <r>
          <rPr>
            <sz val="11"/>
            <color rgb="FF000000"/>
            <rFont val="Calibri"/>
            <family val="2"/>
          </rPr>
          <t xml:space="preserve">Incluir un breve razón de la exclusión del artículo. Por ejemplo: "La investigación está referido a una institución pública", "El tema es sobre culturas de grupos sociales de una comunidad".
</t>
        </r>
        <r>
          <rPr>
            <sz val="11"/>
            <color rgb="FF000000"/>
            <rFont val="Calibri"/>
            <family val="2"/>
          </rPr>
          <t>Se debe ser puntual en la razón principal de exclusión.</t>
        </r>
      </text>
    </comment>
  </commentList>
  <extLst>
    <ext xmlns:r="http://schemas.openxmlformats.org/officeDocument/2006/relationships" uri="GoogleSheetsCustomDataVersion1">
      <go:sheetsCustomData xmlns:go="http://customooxmlschemas.google.com/" r:id="rId1" roundtripDataSignature="AMtx7mgPJ77e2KK9qwHeShh4EbmHQMTWS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P1" authorId="0" shapeId="0" xr:uid="{090A76BF-44D6-4C97-B21F-79FFCD6A42CB}">
      <text>
        <r>
          <rPr>
            <sz val="11"/>
            <color theme="1"/>
            <rFont val="Calibri"/>
            <family val="2"/>
            <scheme val="minor"/>
          </rPr>
          <t>======
ID#AAAAdVejgl8
Rafael    (2022-07-29 20:02:29)
Buscar el documento a través de distintas fuentes. Si es de acceso abierto descargarlo desde la web de la página editorial. Si es de acceso privado, revisar en los recursos de la universidad, allí buscar si se tiene acceso a la revista o editorial (IEEE, EMERALD, MDPI, etc.)
Si se logra descargar, colocar Sí, en caso contrario, colocar NO.</t>
        </r>
      </text>
    </comment>
    <comment ref="Q1" authorId="0" shapeId="0" xr:uid="{C89E3429-0CEF-401E-A910-BA24072A95ED}">
      <text>
        <r>
          <rPr>
            <sz val="11"/>
            <color theme="1"/>
            <rFont val="Calibri"/>
            <family val="2"/>
            <scheme val="minor"/>
          </rPr>
          <t>======
ID#AAAAdVejgl4
Rafael    (2022-07-29 20:02:29)
Incluir brevemente la razón por la que no se pudo recuperar el documento.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RAFAEL</author>
  </authors>
  <commentList>
    <comment ref="V1" authorId="0" shapeId="0" xr:uid="{51CF1437-964C-4C66-ABE0-92674C07C069}">
      <text>
        <r>
          <rPr>
            <b/>
            <sz val="9"/>
            <color indexed="81"/>
            <rFont val="Tahoma"/>
            <family val="2"/>
          </rPr>
          <t>RAFAEL:</t>
        </r>
        <r>
          <rPr>
            <sz val="9"/>
            <color indexed="81"/>
            <rFont val="Tahoma"/>
            <family val="2"/>
          </rPr>
          <t xml:space="preserve">
======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 </t>
        </r>
      </text>
    </comment>
    <comment ref="X1" authorId="0" shapeId="0" xr:uid="{5BF141AA-13FE-4B82-98CB-BA20DDE51583}">
      <text>
        <r>
          <rPr>
            <b/>
            <sz val="9"/>
            <color indexed="81"/>
            <rFont val="Tahoma"/>
            <family val="2"/>
          </rPr>
          <t>RAFAEL:</t>
        </r>
        <r>
          <rPr>
            <sz val="9"/>
            <color indexed="81"/>
            <rFont val="Tahoma"/>
            <family val="2"/>
          </rPr>
          <t xml:space="preserve">
======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 </t>
        </r>
      </text>
    </comment>
    <comment ref="Y1" authorId="0" shapeId="0" xr:uid="{6C8DC215-7D6A-470A-A9E0-D3676879A426}">
      <text>
        <r>
          <rPr>
            <b/>
            <sz val="9"/>
            <color indexed="81"/>
            <rFont val="Tahoma"/>
            <family val="2"/>
          </rPr>
          <t>RAFAEL:</t>
        </r>
        <r>
          <rPr>
            <sz val="9"/>
            <color indexed="81"/>
            <rFont val="Tahoma"/>
            <family val="2"/>
          </rPr>
          <t xml:space="preserve">
Luego de la revisión ciega del resumen de cada artículo, ambos investigadores deben decidir si el documento se incluye o no para su análisis de contenido. Se debe debatir solo en caso de dudas o evaluaciones diferentes en la revisión ciega de pares.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9AB18-A4CD-49C4-89B2-1E5F5C539F49}" keepAlive="1" name="Consulta - scopus" description="Conexión a la consulta 'scopus' en el libro." type="5" refreshedVersion="8" background="1" saveData="1">
    <dbPr connection="Provider=Microsoft.Mashup.OleDb.1;Data Source=$Workbook$;Location=scopus;Extended Properties=&quot;&quot;" command="SELECT * FROM [scopus]"/>
  </connection>
  <connection id="2" xr16:uid="{571C28AA-1DA6-495A-BF91-412148F8CE59}" keepAlive="1" name="Consulta - scopus (2)" description="Conexión a la consulta 'scopus (2)' en el libro." type="5" refreshedVersion="0" background="1">
    <dbPr connection="Provider=Microsoft.Mashup.OleDb.1;Data Source=$Workbook$;Location=&quot;scopus (2)&quot;;Extended Properties=&quot;&quot;" command="SELECT * FROM [scopus (2)]"/>
  </connection>
  <connection id="3" xr16:uid="{DC5443FC-C823-4738-A330-E7EA01FCDDD2}" keepAlive="1" name="Consulta - scopus (3)" description="Conexión a la consulta 'scopus (3)' en el libro." type="5" refreshedVersion="0" background="1">
    <dbPr connection="Provider=Microsoft.Mashup.OleDb.1;Data Source=$Workbook$;Location=&quot;scopus (3)&quot;;Extended Properties=&quot;&quot;" command="SELECT * FROM [scopus (3)]"/>
  </connection>
  <connection id="4" xr16:uid="{576E3267-ADEF-459F-9FB1-61A2895193FF}" keepAlive="1" name="Consulta - scopus (4)" description="Conexión a la consulta 'scopus (4)' en el libro." type="5" refreshedVersion="8" background="1" saveData="1">
    <dbPr connection="Provider=Microsoft.Mashup.OleDb.1;Data Source=$Workbook$;Location=&quot;scopus (4)&quot;;Extended Properties=&quot;&quot;" command="SELECT * FROM [scopus (4)]"/>
  </connection>
  <connection id="5" xr16:uid="{909F0CB9-513B-9C48-B78A-AED4093C61B4}" keepAlive="1" name="Consulta - scopus (5)" description="Conexión a la consulta 'scopus (5)' en el libro." type="5" refreshedVersion="8" background="1" saveData="1">
    <dbPr connection="Provider=Microsoft.Mashup.OleDb.1;Data Source=$Workbook$;Location=&quot;scopus (5)&quot;;Extended Properties=&quot;&quot;" command="SELECT * FROM [scopus (5)]"/>
  </connection>
  <connection id="6" xr16:uid="{F135C0C5-16CC-754E-8B87-9E7864ED9847}" keepAlive="1" name="Consulta - scopus (6)" description="Conexión a la consulta 'scopus (6)' en el libro." type="5" refreshedVersion="8" background="1" saveData="1">
    <dbPr connection="Provider=Microsoft.Mashup.OleDb.1;Data Source=$Workbook$;Location=&quot;scopus (6)&quot;;Extended Properties=&quot;&quot;" command="SELECT * FROM [scopus (6)]"/>
  </connection>
  <connection id="7" xr16:uid="{F5BF128D-7034-4E47-AEF3-B63EE8319170}" keepAlive="1" name="Consulta - scopus (7)" description="Conexión a la consulta 'scopus (7)' en el libro." type="5" refreshedVersion="8" background="1" saveData="1">
    <dbPr connection="Provider=Microsoft.Mashup.OleDb.1;Data Source=$Workbook$;Location=&quot;scopus (7)&quot;;Extended Properties=&quot;&quot;" command="SELECT * FROM [scopus (7)]"/>
  </connection>
  <connection id="8" xr16:uid="{146F5E98-9AA1-2445-93B9-8524F9073990}" keepAlive="1" name="Consulta - scopus (8)" description="Conexión a la consulta 'scopus (8)' en el libro." type="5" refreshedVersion="8" background="1" saveData="1">
    <dbPr connection="Provider=Microsoft.Mashup.OleDb.1;Data Source=$Workbook$;Location=&quot;scopus (8)&quot;;Extended Properties=&quot;&quot;" command="SELECT * FROM [scopus (8)]"/>
  </connection>
  <connection id="9" xr16:uid="{54CDC3D7-D782-B74D-BFEB-E41C026417F3}" keepAlive="1" name="Consulta - scopus (9)" description="Conexión a la consulta 'scopus (9)' en el libro." type="5" refreshedVersion="8" background="1" saveData="1">
    <dbPr connection="Provider=Microsoft.Mashup.OleDb.1;Data Source=$Workbook$;Location=&quot;scopus (9)&quot;;Extended Properties=&quot;&quot;" command="SELECT * FROM [scopus (9)]"/>
  </connection>
</connections>
</file>

<file path=xl/sharedStrings.xml><?xml version="1.0" encoding="utf-8"?>
<sst xmlns="http://schemas.openxmlformats.org/spreadsheetml/2006/main" count="18763" uniqueCount="1828">
  <si>
    <t>Authors</t>
  </si>
  <si>
    <t>Title</t>
  </si>
  <si>
    <t>Year</t>
  </si>
  <si>
    <t>Journal</t>
  </si>
  <si>
    <t>Abstract</t>
  </si>
  <si>
    <t>Keywords</t>
  </si>
  <si>
    <t>Publisher/Editorial</t>
  </si>
  <si>
    <t>Language</t>
  </si>
  <si>
    <t>Document Type</t>
  </si>
  <si>
    <t>Cited by</t>
  </si>
  <si>
    <t>DOI</t>
  </si>
  <si>
    <t>City of publication</t>
  </si>
  <si>
    <t>Country of study</t>
  </si>
  <si>
    <t>Scopus</t>
  </si>
  <si>
    <t>WOS</t>
  </si>
  <si>
    <t>English</t>
  </si>
  <si>
    <t>X</t>
  </si>
  <si>
    <t>OXFORD</t>
  </si>
  <si>
    <t>ABINGDON</t>
  </si>
  <si>
    <t>ARDABIL</t>
  </si>
  <si>
    <t>BINGLEY</t>
  </si>
  <si>
    <t>PHILADELPHIA</t>
  </si>
  <si>
    <t>LONDON</t>
  </si>
  <si>
    <t>THOUSAND OAKS</t>
  </si>
  <si>
    <t>RIJEKA</t>
  </si>
  <si>
    <t>CAMBRIDGE</t>
  </si>
  <si>
    <t>NEW YORK</t>
  </si>
  <si>
    <t>HOBOKEN</t>
  </si>
  <si>
    <t>CARY</t>
  </si>
  <si>
    <t>OSLO</t>
  </si>
  <si>
    <t>BOGOTA DC</t>
  </si>
  <si>
    <t>DURRUS, BANTRY</t>
  </si>
  <si>
    <t>BASEL</t>
  </si>
  <si>
    <t>THOROFARE</t>
  </si>
  <si>
    <t>ATHENS</t>
  </si>
  <si>
    <t>BELGRADE</t>
  </si>
  <si>
    <t>POZNAN</t>
  </si>
  <si>
    <t>CLARE</t>
  </si>
  <si>
    <t>OBSERVACIÓN 1
¿Por qué se eliminó el documento?</t>
  </si>
  <si>
    <t>¿Documento recuperado?</t>
  </si>
  <si>
    <t>OBSERVACIÓN 2
¿Por qué no se pudo recuperar el documento?</t>
  </si>
  <si>
    <t>No</t>
  </si>
  <si>
    <t>Sí</t>
  </si>
  <si>
    <t>¿La unidad de información brinda datos relacionados al objetivo de la RSL?</t>
  </si>
  <si>
    <t>¿El estudio presenta enfoques de gestión del cambio en las empresas?</t>
  </si>
  <si>
    <t>¿Se presentan mejoras o cambios en la cultura organizacional?</t>
  </si>
  <si>
    <t>Observaciones
¿Por qué se excluyó el documento?</t>
  </si>
  <si>
    <t xml:space="preserve"> </t>
  </si>
  <si>
    <t>¿En la conclusión, se observa alguna relación con el objetivo de la RSL?</t>
  </si>
  <si>
    <t>¿El propóstito del estudio es acorde al objetivo de la RSL?</t>
  </si>
  <si>
    <t>Yes</t>
  </si>
  <si>
    <t>Not</t>
  </si>
  <si>
    <t>Probably</t>
  </si>
  <si>
    <t>Luego de revisar el resumen ¿El artículo está referido al objetivo de la RSL?</t>
  </si>
  <si>
    <t>Evaluador 1
¿Quién?</t>
  </si>
  <si>
    <t>Evaluador 2
¿Quién?</t>
  </si>
  <si>
    <t>Decisión final
¿Se incluye el documento? (evaluación de pares ciego)</t>
  </si>
  <si>
    <t>Luego de revisar el contenido ¿El artículo está referido al tema u objetivo de la RSL?</t>
  </si>
  <si>
    <t>En duda</t>
  </si>
  <si>
    <t>Año</t>
  </si>
  <si>
    <t>Revista</t>
  </si>
  <si>
    <t>United States</t>
  </si>
  <si>
    <t>Germany</t>
  </si>
  <si>
    <t>Revista de Psicologia (Peru)</t>
  </si>
  <si>
    <t>Rivera O.; Benites S.; Mendigure J.; Bonilla C.A.</t>
  </si>
  <si>
    <t>Therapeutic abandonment in multidrug-resistant tuberculosis: Associated factors in a high burden region in Perú; [Abandono terapéutico en tuberculosis multidrogorresistente: factores asociados en una región de alta carga en Perú]</t>
  </si>
  <si>
    <t>Biomedica</t>
  </si>
  <si>
    <t>Andrade G.; Espinoza A.</t>
  </si>
  <si>
    <t>Significado de psicólogas/os de atención primaria de salud sobre la intervención psicosocial de grupo en el tratamiento de la depresión en Chile</t>
  </si>
  <si>
    <t>Global Health Promotion</t>
  </si>
  <si>
    <t>Nogueira J.; Rocha D.G.; Akerman M.</t>
  </si>
  <si>
    <t>Políticas públicas adoptadas en la pandemia de la COVID-19 en tres países de América Latina: contribuciones de la Promoción de la Salud para no volver al mundo que existía</t>
  </si>
  <si>
    <t>da Cunha C.M.S.L.M.; Henriques M.A.P.; Costa A.C.J.S.</t>
  </si>
  <si>
    <t>Public health nursing: regulation and public health policies; [A enfermagem de saúde pública: regulação e políticas públicas de saúde]; [La enfermería de salud pública: regulación y las políticas públicas de salud]</t>
  </si>
  <si>
    <t>Revista Brasileira de Enfermagem</t>
  </si>
  <si>
    <t>Sanfrutos Velázquez N.</t>
  </si>
  <si>
    <t>La Finaciación de Los Servicios Regionales de Salud. Problemas y Posibles Soluciones</t>
  </si>
  <si>
    <t>Gaceta Sanitaria</t>
  </si>
  <si>
    <t>Gómez-Dantés O.; Frenk J.</t>
  </si>
  <si>
    <t>Chronicle of a century of public health in Mexico: From public health to social protection in health; [Crónica de un siglo de salud pública en México: De la salubridad pública a la protección social en salud]</t>
  </si>
  <si>
    <t>Salud Publica de Mexico</t>
  </si>
  <si>
    <t>Abandonment of therapy in multidrug-resistant tuberculosis: Associated factors in a region with a high burden of the disease in Perú; [Abandono del tratamiento en tuberculosis multirresistente: factores asociados en una región con alta carga de la enfermedad en Perú]</t>
  </si>
  <si>
    <t>Biomedica : revista del Instituto Nacional de Salud</t>
  </si>
  <si>
    <t>Rodríguez-Arenas M.Á.; Martín-Ríos M.D.; Gil-Borrelli C.</t>
  </si>
  <si>
    <t>Public health interventions against hate violence; [Intervenciones en salud pública contra la violencia de odio]</t>
  </si>
  <si>
    <t>Goigoechea Utrillo J.M.; Panella Ros J.; Portella Arguelaget E.</t>
  </si>
  <si>
    <t>Características del Tabaquismo en el Medio Escolar en Andorra</t>
  </si>
  <si>
    <t>Valero C.; Nebot M.; Villalbí J.R.</t>
  </si>
  <si>
    <t>Embarazo en adolescentes en barcelona: distribución, antecedentes y consecuencias</t>
  </si>
  <si>
    <t>dos Anjos V.Á.A.; Tavares G.H.; Ferreira J.S.; da Silva J.V.P.; da Costa F.R.</t>
  </si>
  <si>
    <t>Public health promotion policies and professional guidance in the Outdoor Gyms in Campo Grande/MS, Brazil; [Políticas públicas de promoção de saúde e orientação profissional em AAL em Campo Grande/MS, Brasil]; [Políticas de promoción de la salud pública y orientación profesional en AAL en Campo Grande/MS, Brasil]</t>
  </si>
  <si>
    <t>Retos</t>
  </si>
  <si>
    <t>Alves R.F.; Jiménez-Brobeil S.A.; Do Carmo Eulálio M.; De Andrade D.A.; Do Nascimento Cunha E.C.; Ferreira P.R.A.</t>
  </si>
  <si>
    <t>Public health interventions conducted by psychologists in Brazil, Spain and Portugal; [Intervenciones de psicólogos en la salud pública de Brasil, España y Portugal]</t>
  </si>
  <si>
    <t>Rodríguez R.; Márquez S.; López M.</t>
  </si>
  <si>
    <t>La perspectiva profesional en la reforma de la atención primaria de salud: una aproximación cualitativa</t>
  </si>
  <si>
    <t>Santa María Juárez L.A.</t>
  </si>
  <si>
    <t>Public health interventions: Conceptual basis for the determination of objectives and evaluation; [Intervenciones en salud Pública: Bases Conceptuales Para La Determinación De Objetivos Y Evaluación]</t>
  </si>
  <si>
    <t>Revista Peruana de Medicina Experimental y Salud Publica</t>
  </si>
  <si>
    <t>Medwave</t>
  </si>
  <si>
    <t>Y</t>
  </si>
  <si>
    <t>Base de datos</t>
  </si>
  <si>
    <t>Frecuencias</t>
  </si>
  <si>
    <t>Absoluta (n)</t>
  </si>
  <si>
    <t>Relativa (n/N)</t>
  </si>
  <si>
    <t>Porcentaje (%)</t>
  </si>
  <si>
    <t>Web of Science</t>
  </si>
  <si>
    <t>Total</t>
  </si>
  <si>
    <t>Identificación y selección de estudios a través de bases de datos</t>
  </si>
  <si>
    <t>Identification</t>
  </si>
  <si>
    <t>Screening</t>
  </si>
  <si>
    <t>Registros identificados desde:
Base de datos 1  Web of Science (n = 100)
Base de datos 2 Scopus (n = 200)</t>
  </si>
  <si>
    <t>Registros eliminados antes de la selección:
Registros duplicados eliminados (n = 30 )
Registros marcados como no elegibles por herramientas de automatización (n = 30)
Registros eliminados por otras razones (n = 25 )</t>
  </si>
  <si>
    <t>Registros examinados
(n = 25 )</t>
  </si>
  <si>
    <t>Registros excluidos*
(n = 30 )</t>
  </si>
  <si>
    <t>Informes buscados para recuperar
(n = 25 )</t>
  </si>
  <si>
    <t>Informes no recuperados
(n = 45 )</t>
  </si>
  <si>
    <t>Informes evaluados para elegibilidad
(n = 25 )</t>
  </si>
  <si>
    <t>Informes excluidos:
Razón 1 (n = 24)
Razón 2 (n = 15)
Razón 3 (n = 11 )
etc.(colocar la razón específica)</t>
  </si>
  <si>
    <t>Estudios incluidos en la revisión
(n = 40)</t>
  </si>
  <si>
    <t>Autor (es)</t>
  </si>
  <si>
    <t xml:space="preserve">Título </t>
  </si>
  <si>
    <t xml:space="preserve">País </t>
  </si>
  <si>
    <t>Tendencia de publicaciones por año</t>
  </si>
  <si>
    <t>Tendencia de Revistas o editoriales que publicaron</t>
  </si>
  <si>
    <t>Total general</t>
  </si>
  <si>
    <t>TIPO SCOPUS/WOS</t>
  </si>
  <si>
    <t>Cantidad y porcentaje por idioma de publicación</t>
  </si>
  <si>
    <t>Mayor incidencia de Cantidad de artículos por base de datos</t>
  </si>
  <si>
    <t>Etiquetas de fila</t>
  </si>
  <si>
    <t>Tabla 1</t>
  </si>
  <si>
    <t>Tabla 2</t>
  </si>
  <si>
    <t>N°</t>
  </si>
  <si>
    <t>Figura 2</t>
  </si>
  <si>
    <t>Absoluto (n)</t>
  </si>
  <si>
    <t>Mayor frecuencia de países de publicación</t>
  </si>
  <si>
    <t>Figura 3</t>
  </si>
  <si>
    <t>https://mapinseconds.com</t>
  </si>
  <si>
    <t>Figura 6</t>
  </si>
  <si>
    <t>Figura 7</t>
  </si>
  <si>
    <t xml:space="preserve"> Porcentaje (%)</t>
  </si>
  <si>
    <t>International Journal of Environmental Research and Public Health</t>
  </si>
  <si>
    <t>Scilo</t>
  </si>
  <si>
    <t>Redallyc</t>
  </si>
  <si>
    <t>Peru</t>
  </si>
  <si>
    <t>United Kingdom</t>
  </si>
  <si>
    <t>Switzerland</t>
  </si>
  <si>
    <t>México</t>
  </si>
  <si>
    <t>Uganda</t>
  </si>
  <si>
    <t>Ecuador</t>
  </si>
  <si>
    <t>Redalyc</t>
  </si>
  <si>
    <t>Scielo</t>
  </si>
  <si>
    <t>Google Académico</t>
  </si>
  <si>
    <t>ScienceDirect</t>
  </si>
  <si>
    <t>Web of Science (WoS).</t>
  </si>
  <si>
    <t>Caracteristicas</t>
  </si>
  <si>
    <t>Denominación</t>
  </si>
  <si>
    <t>f</t>
  </si>
  <si>
    <t>Elsevier</t>
  </si>
  <si>
    <t>International Nursing Review</t>
  </si>
  <si>
    <t>Perspectives on Sexual and Reproductive Health</t>
  </si>
  <si>
    <t>Sexual and Reproductive Health Matters</t>
  </si>
  <si>
    <t>Journal of Adolescent Health</t>
  </si>
  <si>
    <t>Journal of Youth and Adolescence</t>
  </si>
  <si>
    <t>Transactions of the Royal Society of Tropical Medicine and Hygiene</t>
  </si>
  <si>
    <t>Reproductive Health</t>
  </si>
  <si>
    <t>Fertility and Sterility</t>
  </si>
  <si>
    <t>Nurse Education in Practice</t>
  </si>
  <si>
    <t>BMC Public Health</t>
  </si>
  <si>
    <t>BMJ Open</t>
  </si>
  <si>
    <t>Journal of Cystic Fibrosis</t>
  </si>
  <si>
    <t>BMC Medical Research Methodology</t>
  </si>
  <si>
    <t>Medicina (Brazil)</t>
  </si>
  <si>
    <t>Journal of School Health</t>
  </si>
  <si>
    <t>Drug and Alcohol Dependence</t>
  </si>
  <si>
    <t>Journal of Aggression, Conflict and Peace Research</t>
  </si>
  <si>
    <t>SSM - Qualitative Research in Health</t>
  </si>
  <si>
    <t>AIDS and Behavior</t>
  </si>
  <si>
    <t>Hepatology</t>
  </si>
  <si>
    <t>Andrology</t>
  </si>
  <si>
    <t>Piaís</t>
  </si>
  <si>
    <t>Perú</t>
  </si>
  <si>
    <t>Brasil</t>
  </si>
  <si>
    <t>Colombia</t>
  </si>
  <si>
    <t>Accesibilidad</t>
  </si>
  <si>
    <t>Acesos libre</t>
  </si>
  <si>
    <t>Acceso restrinjido</t>
  </si>
  <si>
    <t>Enfoque</t>
  </si>
  <si>
    <t>Cuantitativo</t>
  </si>
  <si>
    <t>Cualitativo</t>
  </si>
  <si>
    <t>Wos</t>
  </si>
  <si>
    <t xml:space="preserve">Scielo </t>
  </si>
  <si>
    <t>ProQtes</t>
  </si>
  <si>
    <t>no</t>
  </si>
  <si>
    <t>articulos</t>
  </si>
  <si>
    <t>El contenido era irrelevante ahora.</t>
  </si>
  <si>
    <t>Información desactualizada e imprecisa detectada.</t>
  </si>
  <si>
    <t>Documento redundante con otros existentes.</t>
  </si>
  <si>
    <t>Fuente no era confiable suficiente.</t>
  </si>
  <si>
    <t>Costos elevados para incluirlo.</t>
  </si>
  <si>
    <t>Problemas de accesibilidad y distribución.</t>
  </si>
  <si>
    <t>Complejidad excesiva para el público.</t>
  </si>
  <si>
    <t>Contenía información confidencial sensible.</t>
  </si>
  <si>
    <t>Relevancia limitada para el propósito.</t>
  </si>
  <si>
    <t>Falta de originalidad evidente.</t>
  </si>
  <si>
    <t>Potencial para malinterpretaciones serias.</t>
  </si>
  <si>
    <t>Inconsistencias en los datos encontrados.</t>
  </si>
  <si>
    <t>Longitud excesiva y sin enfoque.</t>
  </si>
  <si>
    <t>Contenido controversial y divisivo innecesario.</t>
  </si>
  <si>
    <t>Carecía de fuentes confiables mencionadas.</t>
  </si>
  <si>
    <t>Traducción deficiente afectaba la precisión.</t>
  </si>
  <si>
    <t>Riesgo legal por derechos de autor.</t>
  </si>
  <si>
    <t>Escaso impacto en el análisis.</t>
  </si>
  <si>
    <t>Sesgo evidente en la perspectiva.</t>
  </si>
  <si>
    <t>Inclusión no justificaba los beneficios</t>
  </si>
  <si>
    <t>DOCUMENT TYPE</t>
  </si>
  <si>
    <t>DUPLICATED</t>
  </si>
  <si>
    <t>NOT ABSTRACT</t>
  </si>
  <si>
    <t>NOT DOI</t>
  </si>
  <si>
    <t>LANGUAGE</t>
  </si>
  <si>
    <t>x</t>
  </si>
  <si>
    <t>Pereira J.D.; Frade S.; Ribeiro R.; Santos M.; Brito M.A.; Machado R.J.</t>
  </si>
  <si>
    <t>Comparison of eHealth Interoperability Standards: HL7 FHIR, OpenEHR, and CDISC</t>
  </si>
  <si>
    <t>Lecture Notes in Networks and Systems</t>
  </si>
  <si>
    <t>10.1007/978-3-031-81685-7_18</t>
  </si>
  <si>
    <t>This paper is a complete description and comparison of some of the most cited eHealth interoperability standards in the literature, openEHR, HL7 FHIR and CDISC. We searched the Scopus database using the keywords interoperability, information systems, and health. It was found that standards are needed to develop interoperability platforms for eHealth. We carried out additional research on the most cited standards, allowing us to analyze the characteristics and particularities of each one and make comparisons. As a result of this work, we defined a list of comparison criteria and evaluated the differences between these standards based on these criteria. The standards compared have some common characteristics, but they also have unique features for each of them, so the selection of the standard to use will depend on the characteristics and requirements of the eHealth platform you want to develop. © The Author(s), under exclusive license to Springer Nature Switzerland AG 2025.</t>
  </si>
  <si>
    <t>CDISC; Comparison; EHealth; HL7 FHIR; openEHR; Standards</t>
  </si>
  <si>
    <t>J.D. Pereira; ALGORITMI Center, Information Systems Department, University of Minho, Guimarães, Portugal; email: jose.pereira@ccg.pt</t>
  </si>
  <si>
    <t>Springer Science and Business Media Deutschland GmbH</t>
  </si>
  <si>
    <t>18th International Conference on Interdisciplinarity in Engineering, INTER-ENG 2024</t>
  </si>
  <si>
    <t>Conference paper</t>
  </si>
  <si>
    <t>Gazzarata R.; Strübin M.; Chronaki C.; Cangioli G.; Saraceno D.; Schreier G.; Beyer S.; Trauner F.; Gredinger G.; Ladenstein R.; de Beijer I.A.E.; Cavalca G.; Trinkunas J.; Cervero Beltran L.; Vanautgaerden M.; Kock-Schoppenhauer A.-K.; Neumann A.; Muraca M.; Filbert A.-L.; Haupt R.; Grabow D.</t>
  </si>
  <si>
    <t>Childhood Cancer Survivorship Passport Challenges in the European Health Data Space</t>
  </si>
  <si>
    <t>Studies in Health Technology and Informatics</t>
  </si>
  <si>
    <t>10.3233/SHTI240651</t>
  </si>
  <si>
    <t>Innovation in cancer therapy has increased childhood cancer survival rates. However, survivors are still at risk of developing late effects. In the digital transformation of the health sector, the Survivorship Passport (SurPass) can support long-term follow-up care plans. Gaps in seamless connectivity among hospital departments, primary care, combined with the time of health professionals required to collect and fill-in health data in SurPass, are barriers to its adoption in daily clinical practice. The PanCareSurPass (PCSP) project was motivated to address these gaps by a new version of SurPass (v2.0) that supports semi-automatic assembly from organizational Electronic Health Record (EHR) systems of the treatment summary data using HL7 FHIR, to create SurPass, and to link it to regional or national digital health infrastructures in six European countries. In this paper we present the methodology used to develop the SurPass technical implementation strategy with special focus on the European Health Data Space (EHDS). The recently provisionally approved EHDS regulation instruments a digital health data ecosystem with opportunities for cost-effective SurPass implementation across Europe. Moving forward, a European HL7 FHIR SurPass Implementation Guide along with synthetic data sets, and validation tools can enrich the European Electronic Health Record Exchange Format (EEHRxF) with use cases on health &amp; wellness of childhood cancer survivors. © 2024 The Authors.</t>
  </si>
  <si>
    <t>Cancer; care plans; digital health; EHDS; EHRxF; European Health Data Space; HL7 FHIR Implementation Guide; oncology; survivor</t>
  </si>
  <si>
    <t>R. Gazzarata; HL7 Europe, Brussels, Belgium; email: roberta.gazzarata@hl7europe.org</t>
  </si>
  <si>
    <t>IOS Press BV</t>
  </si>
  <si>
    <t>Hillmer T.; Riech K.; Gisch S.; Bergh B.; Schreiweis B.; Ulrich H.</t>
  </si>
  <si>
    <t>Advancing Healthcare Research Through Live-Data Integration: Implementing IEEE 11073 and FHIR in Clinical Environment</t>
  </si>
  <si>
    <t>10.3233/SHTI240661</t>
  </si>
  <si>
    <t>The efficient direct integration of real-time medical device data is a promising approach to improve patient care enabling a direct and eminent intervention. This study presents a comprehensive approach for integrating real-time medical device data into clinical environments using the HL7® FHIR® standards and IEEE 11073 Service-Oriented Device Connectivity (SDC). The study proposes a conceptual framework and an opensource proof-of-concept implementation for real-time data integration within the Medical Data Integration Center (MeDIC) at UKSH. Key components include a selective recording mechanism to mitigate storage issues and ensure accurate data capture. Our robust network architecture utilizes Kafka brokers for seamless data transfer in isolated networks. The study demonstrates the selective capturing of real-time data within a clinical setting to enable medical device data for a down-stream processing and analysis. © 2024 The Authors.</t>
  </si>
  <si>
    <t>Data Integration; HL7 FHIR; Interoperability; SDC</t>
  </si>
  <si>
    <t>T. Hillmer; Institute for Medical Informatics and Statistics, Kiel University, University Hospital Schleswig-Holstein, Kiel, Germany; email: tobias.hillmer@uksh.de</t>
  </si>
  <si>
    <t>Gurnani B.; Kaur K.</t>
  </si>
  <si>
    <t>Biosensor-embedded wearables for dry eye monitoring and management</t>
  </si>
  <si>
    <t>Expert Review of Medical Devices</t>
  </si>
  <si>
    <t>10.1080/17434440.2025.2555485</t>
  </si>
  <si>
    <t>Introduction: Dry eye disease (DED) affects over 300 million people worldwide and continues to pose diagnostic challenges due to fluctuating symptoms and reliance on static, clinic-based tests. Conventional methods such as Schirmer’s test and tear osmolarity provide only episodic insights, failing to capture the dynamic behavior of the tear film. Recently, biosensor-embedded wearable devices, including smart contact lenses, eyelid-mounted patches, and sensor-equipped spectacles, have emerged, enabling real-time and continuous tracking of tear metrics and blink patterns. These technologies promise precision diagnostics and patient-specific therapeutic strategies. Areas Covered: This review summarizes recent advances in ocular biosensor wearables for DED. Key innovations include smart lenses with osmolarity and biomarker sensors, microfluidic channels for tear collection, and eyelid-mounted iontronic sensors for blink monitoring. Regulatory pathways such as FDA 510(k), ISO 10,993 safety standards, and HL7 FHIR for data integration are discussed. Early clinical studies support feasibility, though power supply, device miniaturization, and patient adherence remain obstacles. Ethical, economic, and privacy considerations are also highlighted. Expert Opinion: Biosensor-based wearables are redefining DED care, offering precision diagnostics, early intervention, and long-term monitoring. Their success depends on clinical validation, affordability, patient comfort, and seamless integration with telehealth. Interdisciplinary collaboration will be crucial to transition these innovations into routine clinical practice. © 2025 Informa UK Limited, trading as Taylor &amp; Francis Group.</t>
  </si>
  <si>
    <t>artificial intelligence screening; handheld fundus imaging; portable optical coherence tomography; rural eye care; Teleophthalmology</t>
  </si>
  <si>
    <t>B. Gurnani; Neemuch, Gomabai Netralaya, Madhya Pradesh, 485441, India; email: drgurnanibharat25@gmail.com</t>
  </si>
  <si>
    <t>Taylor and Francis Ltd.</t>
  </si>
  <si>
    <t>Article</t>
  </si>
  <si>
    <t>Gulden C.; Macho P.; Reinecke I.; Strantz C.; Prokosch H.-U.; Blasini R.</t>
  </si>
  <si>
    <t>recruIT: A cloud-native clinical trial recruitment support system based on Health Level 7 Fast Healthcare Interoperability Resources (HL7 FHIR) and the Observational Medical Outcomes Partnership Common Data Model (OMOP CDM)</t>
  </si>
  <si>
    <t>Computers in Biology and Medicine</t>
  </si>
  <si>
    <t>10.1016/j.compbiomed.2024.108411</t>
  </si>
  <si>
    <t>Background: Clinical trials (CTs) are foundational to the advancement of evidence-based medicine and recruiting a sufficient number of participants is one of the crucial steps to their successful conduct. Yet, poor recruitment remains the most frequent reason for premature discontinuation or costly extension of clinical trials. Methods: We designed and implemented a novel, open-source software system to support the recruitment process in clinical trials by generating automatic recruitment recommendations. The development is guided by modern, cloud-native design principles and based on Health Level 7 (HL7) Fast Healthcare Interoperability Resources (FHIR) as an interoperability standard with the Observational Medical Outcomes Partnership (OMOP) Common Data Model (CDM) being used as a source of patient data. We evaluated the usability using the system usability scale (SUS) after deploying the application for use by study personnel. Results: The implementation is based on the OMOP CDM as a repository of patient data that is continuously queried for possible trial candidates based on given clinical trial eligibility criteria. A web-based screening list can be used to display the candidates and email notifications about possible new trial participants can be sent automatically. All interactions between services use HL7 FHIR as the communication standard. The system can be installed using standard container technology and supports more sophisticated deployments on Kubernetes clusters. End-users (n = 19) rated the system with a SUS score of 79.9/100. Conclusion: We contribute a novel, open-source implementation to support the patient recruitment process in clinical trials that can be deployed using state-of-the art technologies. According to the SUS score, the system provides good usability. © 2024 The Authors</t>
  </si>
  <si>
    <t>C. Gulden; Department of Medical Informatics, Biometrics and Epidemiology, Erlangen, Friedrich-Alexander Universität Erlangen-Nürnberg Wetterkreuz 15, Tennenlohe, 91058, Germany; email: christian.gulden@fau.de</t>
  </si>
  <si>
    <t>Elsevier Ltd</t>
  </si>
  <si>
    <t>Kobayashi S.; Kimura M.; Kodama Y.; Takada A.; Ohe K.</t>
  </si>
  <si>
    <t>Designing Medication-Related Profiles for Japanese ePrescriptions with HL7 FHIR</t>
  </si>
  <si>
    <t>10.3233/SHTI231184</t>
  </si>
  <si>
    <t>HL7 FHIR is the standard for healthcare information exchange. In November 2022, our medication subgroup developed 8 profiles and 23 extensions for medication procedures in Japan, as part of the JP Core Implementation Guide 1.1. Our work demonstrates the ability of HL7 FHIR to describe Japanese prescription procedures while also addressing the requirements of other countries  © 2024 International Medical Informatics Association (IMIA) and IOS Press.</t>
  </si>
  <si>
    <t>HL7 FHIR; Medication; Prescription</t>
  </si>
  <si>
    <t>S. Kobayashi; National Institute of Public Health, Cambodia; email: kobayashi.s.nj@niph.go.jp</t>
  </si>
  <si>
    <t>Ansari A.; Conte M.; Flynn A.; Paturkar A.</t>
  </si>
  <si>
    <t>A prototype ETL pipeline that uses HL7 FHIR RDF resources when deploying pure functions to enrich knowledge graph patient data</t>
  </si>
  <si>
    <t>Journal of Biomedical Semantics</t>
  </si>
  <si>
    <t>10.1186/s13326-025-00335-4</t>
  </si>
  <si>
    <t>Background: For clinical care and research, knowledge graphs with patient data can be enriched by extracting parameters from a knowledge graph and then using them as inputs to compute new patient features with pure functions. Systematic and transparent methods for enriching knowledge graphs with newly computed patient features are of interest. When enriching the patient data in knowledge graphs this way, existing ontologies and well-known data resource standards can help promote semantic interoperability. Results: We developed and tested a new data processing pipeline for extracting, computing, and returning newly computed results to a large knowledge graph populated with electronic health record and patient survey data. We show that RDF data resource types already specified by Health Level 7's FHIR RDF effort can be programmatically validated and then used by this new data processing pipeline to represent newly derived patient-level features. Conclusions: Knowledge graph technology can be augmented with standards-based semantic data processing pipelines for deploying and tracing the use of pure functions to derive new patient-level features from existing data. Semantic data processing pipelines enable research enterprises to report on new patient-level computations of interest with linked metadata that details the origin and background of every new computation. © The Author(s) 2025.</t>
  </si>
  <si>
    <t>Data enrichment; ETL; FAIR; Fast health interoperability resources; FHIR; Knowledge graphs; Linked data; Pure functions; ShEx validation</t>
  </si>
  <si>
    <t>A. Ansari; Krembil Centre for Neuroinformatics, Centre for Addiction and Mental Health, Toronto, 250 College St., M5T 1R8, Canada; email: adeel.ansari@camh.ca</t>
  </si>
  <si>
    <t>BioMed Central Ltd</t>
  </si>
  <si>
    <t>Lee N.-G.; Kim S.-H.</t>
  </si>
  <si>
    <t>An Original Study on Performance-Optimized EMR-to-HL7 FHIR Conversion Using a Lightweight Library</t>
  </si>
  <si>
    <t>Applied Sciences (Switzerland)</t>
  </si>
  <si>
    <t>10.3390/app16031346</t>
  </si>
  <si>
    <t>Background: Heterogeneous electronic medical record (EMR) systems and institution-specific data structures continue to limit interoperability and large-scale utilization of healthcare data. Although Health Level Seven (HL7) Fast Healthcare Interoperability Resources (FHIR) has been adopted as an international standard, existing conversion approaches often require extensive preprocessing, high implementation costs, or deep system-specific expertise, restricting their applicability, particularly in small and medium-sized hospitals. To address these constraints, we propose a lightweight EMR-to-HL7 FHIR conversion library optimized for small- and medium-sized healthcare providers that operate with limited system resources. Methods: The library adopts a modular architecture comprising data preprocessing, reference management, structural transformation using transform maps, terminology translation, and validation modules. The proposed approach was implemented using the HL7 Application Programming Interface (HAPI) FHIR and evaluated with anonymized EMR data extracted from multiple hospitals in South Korea, with performance and validation results compared against a conventional HAPI FHIR client-based conversion method. Results: This study proposes a standardized FHIR-based medical data conversion library that enables the efficient transformation of diverse EMR data structures into interoperable FHIR. The proposed library achieved approximately 30% lower single-request conversion latency compared to a conventional HAPI FHIR client-based conversion pipeline under identical hardware and runtime conditions. Conclusions: The proposed conversion method provides a lightweight and adaptable solution for EMR-to-FHIR transformation, improving interoperability with reduced implementation effort and supporting scalable medical data exchange across diverse healthcare environments. © 2026 by the authors.</t>
  </si>
  <si>
    <t>EMR-to-FHIR conversion; FHIR interoperability; healthcare data integration</t>
  </si>
  <si>
    <t>S.-H. Kim; Department of IT Convergence Software Engineering, Korea University of Technology &amp; Education (KOREATECH), 1600 Chungjeol-ro, Dongnam-gu, Cheonan-si 31253, Chungcheongnam-do, South Korea; email: sh.kim@koreatech.ac.kr</t>
  </si>
  <si>
    <t>Multidisciplinary Digital Publishing Institute (MDPI)</t>
  </si>
  <si>
    <t>Crisan-Vida M.; Golea I.; Bogdan R.; Stoicu-Tivadar L.</t>
  </si>
  <si>
    <t>Application Using Standard Communication between Medical Facilities</t>
  </si>
  <si>
    <t>10.3233/SHTI210969</t>
  </si>
  <si>
    <t>The web-based application described in this paper will support the patient to receive the treatment quicker and the physician to generate the prescription easier. The patient will have a real time information if their treatment/prescription is available in the pharmacy. Using a cloud solution will have all the information always available and without delays, the only requirement is the Internet connectivity. Using standardized communication as HL7 FHIR, the information exchanged is easier understanded by different medical units, and in the future other medical units can access the patient treatment/prescription and have a medical history, in this way the patient will receive better quality in treatment and health care.  © 2022 The authors and IOS Press.</t>
  </si>
  <si>
    <t>cloud computing; HL7 FHIR; interoperability; Web-based application</t>
  </si>
  <si>
    <t>Zampognaro P.; Paragliola G.; Falanga V.</t>
  </si>
  <si>
    <t>Definition of an FHIR-based multiprotocol IoT home gateway to support the dynamic plug of new devices within instrumented environments</t>
  </si>
  <si>
    <t>Journal of Reliable Intelligent Environments</t>
  </si>
  <si>
    <t>10.1007/s40860-021-00161-2</t>
  </si>
  <si>
    <t>Internet of Things (IoT) technologies have become a milestone advancement in the digital healthcare domain, since the number of IoT medical devices is grown exponentially, and it is now anticipated that by 2020, there will be over 161 million of them connected worldwide. Therefore, in an era of continuous growth, IoT healthcare faces various challenges, such as the collection over multiple protocols (e.g. Bluetooth, MQTT, CoAP, ZigBEE, etc.) the interpretation, as well as the harmonization of the data format that derive from the existing huge amounts of heterogeneous IoT medical devices. In this respect, this study aims at proposing an advanced Home Gateway architecture that offers a unique data collection module, supporting direct data acquisition over multiple protocols (i.e.BLE, MQTT) and indirect data retrieval from cloud health services (i.e. GoogleFit). Moreover, the solution propose a mechanism to automatically convert the original data format, carried over BLE, in HL7 FHIR by exploiting device capabilities semantic annotation implemented by means of FHIR resource as well. The adoption of such annotation enables the dynamic plug of new sensors within the instrumented environment without the need to stop and adapt the gateway. This simplifies the dynamic devices landscape customization requested by the several telemedicine applications contexts (e.g. CVD, Diabetes) and demonstrate, for the first time, a concrete example of using the FHIR standard not only (as usual) for health resources representation and storage but also as instrument to enable seamless integration of IoT devices. The proposed solution also relies on mobile phone technology which is widely adopted aiming at reducing any obstacle for a larger adoption. © 2021, The Author(s).</t>
  </si>
  <si>
    <t>BLE; FHIR; HL7; Home gateway; IoT; MQTT; Sensors</t>
  </si>
  <si>
    <t>G. Paragliola; ICAR, CNR, Naples, Italy; email: giovanni.paragliola@icar.cnr.it</t>
  </si>
  <si>
    <t>Ait Abdelouahid R.; Debauche O.; Mahmoudi S.; Marzak A.</t>
  </si>
  <si>
    <t>Literature Review: Clinical Data Interoperability Models</t>
  </si>
  <si>
    <t>Information (Switzerland)</t>
  </si>
  <si>
    <t>10.3390/info14070364</t>
  </si>
  <si>
    <t>A medical entity (hospital, nursing home, rest home, revalidation center, etc.) usually includes a multitude of information systems that allow for quick decision-making close to the medical sensors. The Internet of Medical Things (IoMT) is an area of IoT that generates a lot of data of different natures (radio, CT scan, medical reports, medical sensor data). However, these systems need to share and exchange medical information in a seamless, timely, and efficient manner with systems that are either within the same entity or other healthcare entities. The lack of inter- and intra-entity interoperability causes major problems in the analysis of patient records and leads to additional financial costs (e.g., redone examinations). To develop a medical data interoperability architecture model that will allow providers and different actors in the medical community to exchange patient summary information with other caregivers and partners to improve the quality of care, the level of data security, and the efficiency of care should take stock of the state of knowledge. This paper discusses the challenges faced by medical entities in sharing and exchanging medical information seamlessly and efficiently. It highlights the need for inter- and intra-entity interoperability to improve the analysis of patient records, reduce financial costs, and enhance the quality of care. The paper reviews existing solutions proposed by various researchers and identifies their limitations. The analysis of the literature has shown that the HL7 FHIR standard is particularly well adapted for exchanging and storing health data, while DICOM, CDA, and JSON can be converted in HL7 FHIR or HL7 FHIR to these formats for interoperability purposes. This approach covers almost all use cases. © 2023 by the authors.</t>
  </si>
  <si>
    <t>CDA; data exchange; DICOM; FHIR; healthcare; HL7; Internet of Medical Things; interoperability; IoMT; medical data</t>
  </si>
  <si>
    <t>R. Ait Abdelouahid; Department of Mathematics and Computer sciences, LTIM, Faculty of sciences Ben M’sick, Hassan II University of Casablanca, Casablanca, 7955, Morocco; email: rachida.aitdabdelouahid@gmail.com</t>
  </si>
  <si>
    <t>Review</t>
  </si>
  <si>
    <t>Yasini M.; Rausch D.; Fleming D.; Jayaraman D.; Willaert M.; Varghese J.T.; Dahlweid M.</t>
  </si>
  <si>
    <t>Leveraging Medical Terminologies via a Multi-Terminology Server to Enhance the Interoperability in Dedalus Solutions</t>
  </si>
  <si>
    <t>10.3233/SHTI250790</t>
  </si>
  <si>
    <t>Achieving interoperability across healthcare systems is essential for improving healthcare delivery. Medical terminologies such as SNOMED CT, LOINC, and ICD play a pivotal role in standardizing clinical data, yet their integration into complex platforms remains challenging. This study evaluates the implementation of Ontoserver, a clinical terminology server based on HL7 FHIR, within Dedalus's software ecosystem to address these challenges. Technical enhancements, including the deployment of a sidecar FHIR resource server and workflow automation tools, facilitated efficient terminology management. A case study on Dedalus's "Trial for Care" platform highlighted the use of Ontoserver’s concept mapping and exploration features to automate the standardization of bespoke codifications. Results showed improved data interoperability, reduced manual effort, enhanced data usability, and streamlined workflow transitions. While challenges such as managing regional standards and optimizing mappings persist, this study underscores the transformative potential of Ontoserver in achieving smarter interoperability and advancing healthcare outcomes. © 2025 The Authors.</t>
  </si>
  <si>
    <t>Data Standardization; HL7 FHIR; Interoperability; Medical Terminologies; Ontoserver</t>
  </si>
  <si>
    <t>M. Yasini; Dedalus Healthcare Middle East, Dubai, DIC Building 2, Suite 203, Dubai Internet City, United Arab Emirates; email: mobin.yasini@dedalus.com</t>
  </si>
  <si>
    <t>Neocleous A.; Papaioannou M.; Savva P.; Miguel F.; Yiasemi C.; Panayides A.; Antoniou Z.; Neofytou M.; Michael C.; Melios P.; Constantinou I.; Cânciu I.-C.; Adamides G.; Christodoulou M.; Pattichis C.</t>
  </si>
  <si>
    <t>eHealth4U: A DEMO of a Prototype National Electronic Health Record for Cyprus</t>
  </si>
  <si>
    <t>10.3233/SHTI230502</t>
  </si>
  <si>
    <t>In this paper we present a demonstration of a prototype national Electronic Health Record platform for Cyprus. This prototype is developed using the HL7 FHIR interoperability standard in combination with terminologies widely adopted by the clinical community such as the SNOMED CT and the LOINC. The system is organized in such a way to be user-friendly for its users, being the doctors and the citizens. The health-related data of this EHR are separated into three main sections, being the 'Medical History', the 'Clinical Examination' and the 'Laboratory results'. Business requirements include the Patient Summary as defined by the guidelines of the eHealth network and the International Patient Summary which are used as the base for all the sections of our EHR, together with additional medical information and functionality such as the organization of medical teams or the history of medical visits and episodes of care. From the doctor's point of view, one can search for patients who have granted the doctor with a consent and read or add/edit their EHR data by initiating a new visit as defined in the Cyprus National Law for eHealth. At the same time, doctors can organize their medical teams by managing the locations of each team and the members that belong to each team. © 2023 The authors and IOS Press.</t>
  </si>
  <si>
    <t>FHIR; International Patient Summary; National EHR</t>
  </si>
  <si>
    <t>A. Neocleous; Nicosia, 1Panepistimiou Avenue. 2109 Aglantzia, Cyprus; email: neocleous.andreas@ucy.ac.cy</t>
  </si>
  <si>
    <t>Doi S.; Yokota S.; Nagae Y.; Takahashi K.; Aoki M.; Ohe K.</t>
  </si>
  <si>
    <t>Mapping Injection Order Messages to Health Level 7 Fast Healthcare Interoperability Resources to Collate Infusion Pump Data</t>
  </si>
  <si>
    <t>Applied Clinical Informatics</t>
  </si>
  <si>
    <t>10.1055/s-0043-1776699</t>
  </si>
  <si>
    <t>Background When administering an infusion to a patient, it is necessary to verify that the infusion pump settings are in accordance with the injection orders provided by the physician. However, the infusion rate entered into the infusion pump by the health care provider cannot be automatically reconciled with the injection order information entered into the electronic medical records (EMRs). This is because of the difficulty in linking the infusion rate entered into the infusion pump by the health care provider with the injection order information entered into the EMRs. Objectives This study investigated a data linkage method for reconciling infusion pump settings with injection orders in the EMRs. Methods We devised and implemented a mechanism to convert injection order information into the Health Level 7 Fast Healthcare Interoperability Resources (FHIR), a new health information exchange standard, and match it with an infusion pump management system in a standard and simple manner using a REpresentational State Transfer (REST) application programming interface (API). The injection order information was extracted fromStandardized StructuredMedical Record Information Exchange version 2 International Organization for Standardization/technical specification 24289:2021 and was converted to the FHIR format using a commercially supplied FHIR conversion module and our own mapping definition. Data were also sent to the infusion pump management system using the REST Web API. Results Information necessary for injection implementation in hospital wards can be transferred to FHIR and linked. The infusion pump management system application screen allowed the confirmation that the two pieces of information matched, and it displayed an error message if they did not. Conclusion Using FHIR, the data linkage between EMRs and infusion pump management systems can be smoothly implemented. We plan to develop a new mechanism that contributes to medical safety through the actual implementation and verification of this matching system. © 2023 Georg Thieme Verlag. All rights reserved.</t>
  </si>
  <si>
    <t>API; data linkage; health information exchanges; HL7 FHIR; infusion pump; REST; SS-MIX; standard mapping</t>
  </si>
  <si>
    <t>S. Doi; Department of Healthcare Information Management, The University of Tokyo Hospital, Tokyo, Hongo 7-3-1, Bunkyo-ku, 113-8655, Japan; email: s.doi@hcc.h.u-Tokyo.ac.jp</t>
  </si>
  <si>
    <t>Georg Thieme Verlag</t>
  </si>
  <si>
    <t>Chronaki C.; Anderson C.; Villadsen J.K.; Hurlen P.; Cangioli G.; Ferrari G.M.; Moen A.</t>
  </si>
  <si>
    <t>An Agile Approach to Accelerate Development and Adoption of Electronic Product Information Standards</t>
  </si>
  <si>
    <t>10.3233/SHTI220547</t>
  </si>
  <si>
    <t>The Medical Product Information found in most medication boxes offer a wealth of information, including terms of active ingredients, excipients, indications, dosage, route of administration, risks, and safety information. Digital health services that help patients, their care givers, and health professionals to manage medication, can be improved with tailored information based on user profile, the patient's Electronic Health Record (EHR) summary, and Medicinal Product Information. The electronic Product information (ePI) comprises the summary of product characteristics, package leaflet, and product label. The European Medicines Agency released in 2021 the first version of the EU proof-of-concept ePI standard based on HL7 FHIR. The Gravitate-Health project uses this common standard as a springboard to implement a federated open-source platform and services that helps advance access, understanding, and adherence by providing trusted medicinal information in an interoperable and scalable way. In this paper, we present the agile technical approach and co-creation process to design, test, and progressively mature interoperability working with the HL7 Vulcan Accelerator and FHIR connectathons.  © 2022 European Federation for Medical Informatics (EFMI) and IOS Press.</t>
  </si>
  <si>
    <t>Citizen Empowerment; electronic product information; HL7 FHIR; International Patient Summary; interoperability; regulatory science</t>
  </si>
  <si>
    <t>C. Chronaki; HL7 Europe, Brussels, 38-40 Square de Meeus, 1000, Belgium; email: chronaki@HL7europe.org</t>
  </si>
  <si>
    <t>Martins D.; Lewerenz S.; Carmo A.; Martins H.</t>
  </si>
  <si>
    <t>Interoperability of telemonitoring data in digital health solutions: a scoping review</t>
  </si>
  <si>
    <t>Frontiers in Digital Health</t>
  </si>
  <si>
    <t>10.3389/fdgth.2025.1502260</t>
  </si>
  <si>
    <t>Objectives: This scoping review explores the existing literature on the interoperability of telemonitoring systems in cross-border healthcare settings. It focuses on identifying technical standards, enablers, and barriers to effective telemonitoring data exchange across healthcare systems and geographies. Methods: A systematic search was conducted across databases (MEDLINE, PubMed, ISI Web of Knowledge, DBLP, and Scopus) from January 2000 to May 2023, using keywords such as “telemonitoring”, “interoperability”, “technical standards”, and “cross-border data exchange”. Eligibility criteria included peer-reviewed studies examining the interoperability of telemonitoring systems across healthcare providers and cross-border settings. A total of 861 studies were identified, and 25 met the inclusion criteria. Results: The review identified diverse technical standards, including HL7 FHIR, ISO/IEEE 11073, and IHE profiles, used in telemonitoring systems. However, significant gaps were found in the literature regarding the operational challenges of telemonitoring systems, particularly in cross-border contexts. Many studies focused on technical aspects, with fewer addressing organizational and legal issues. Data transport types, such as Bluetooth and REST APIs, were mentioned, but no common standard for data exchange between devices was identified. Discussion: The findings highlight the need for further research on the deployment of telemonitoring systems, particularly in cross-border contexts. The lack of harmonization in technical standards poses a barrier to achieving seamless interoperability. The review calls for the development of a robust framework to support telemonitoring integration across healthcare systems. Conclusions: While telemonitoring shows promise in improving healthcare delivery, significant interoperability challenges remain. Developing common standards at the European level is essential to enhance cross-border telemonitoring services and patient care. 2025 Martins, Lewerenz, Carmo and Martins.</t>
  </si>
  <si>
    <t>cross-border exchange of health data; cross-border healthcare; eHealth; interoperability; standards; technical standard; telemonitoring</t>
  </si>
  <si>
    <t>D. Martins; ISCTE Business School, University Institute of Lisbon, Lisbon, Portugal; email: diogorbmartins@hotmail.com</t>
  </si>
  <si>
    <t>Frontiers Media SA</t>
  </si>
  <si>
    <t>Mandirola Brieux H.F.; Masud J.H.B.; La Rosa F.; Biancardi F.F.; Langini P.</t>
  </si>
  <si>
    <t>NEWS-Based Engine for Monitoring Adults Diabetic Patients</t>
  </si>
  <si>
    <t>10.3233/SHTI250850</t>
  </si>
  <si>
    <t>We use an alert engine based on NEWS (National Early Warning Score) to monitor diabetic patients with the aim of identifying early signs of deterioration or complications of patients remotely. The idea is to leverage a scoring system originally designed for pediatric patients to predict clinical deterioration and adapt it to track and monitor diabetic conditions. The benefits of a NEWS-based alert engine for diabetic patients is that it enables early detection of disturbances as it identifies warning signs of diabetic ketoacidosis (DKA) or hypoglycemic events before they become critical. This enables personalized interventions based on individual risk scores. This engine improves the flow of information between healthcare teams, leading to timely responses. Supports physicians with data-driven insights to make better treatment decisions. Adopting a NEWS-based alert engine for diabetic patients significantly enhances the monitoring process, helping to prevent complications and improve outcomes through proactive interventions. © 2025 The Authors.</t>
  </si>
  <si>
    <t>Diabetes Vital sign; HL7 FHIR; NEWS; REST API; Telemedicine</t>
  </si>
  <si>
    <t>H.F. Mandirola Brieux; HL7 Argentina, Argentina; email: hmandirola@gmail.com</t>
  </si>
  <si>
    <t>Gershkovich P.</t>
  </si>
  <si>
    <t>Wearing a fur coat in the summertime: Should digital pathology redefine medical imaging?</t>
  </si>
  <si>
    <t>Journal of Pathology Informatics</t>
  </si>
  <si>
    <t>10.1016/j.jpi.2025.100450</t>
  </si>
  <si>
    <t>Slides are data. Once digitized, they function like any enterprise asset: accessible anywhere, ready for AI, and integrated into cloud workflows. But in pathology, they enter a realm of clinical complexity—demanding systems that handle nuance, integrate diverse data streams, scale effectively, enable computational exploration, and enforce rigorous security. Although the Digital Imaging and Communications in Medicine (DICOM) standard revolutionized radiology, it is imperative to explore its adequacy in addressing modern digital pathology's orchestration needs. Designed more than 30 years ago, DICOM reflects assumptions and architectural choices that predate modular software, cloud computing, and AI-driven workflows. This article shows that by embedding metadata, annotations, and communication protocols into a unified container, DICOM limits interoperability and exposes architectural vulnerabilities. The article begins by examining these innate design risks, then challenges DICOM's interoperability claims, and ultimately presents a modular, standards-aligned alternative. The article argues that separating image data from orchestration logic improves scalability, security, and performance. Standards such as HL7 FHIR (Health Level Seven Fast Healthcare Interoperability Resources) and modern databases manage clinical metadata; formats like Scalable Vector Graphics handle annotations; and fast, cloud-native file transfer protocols, and microservices support tile-level image access. This separation of concerns allows each component to evolve independently, optimizes performance across the system, and better adapts to emerging AI-driven workflows—capabilities that are inherently constrained in monolithic architectures where these elements are tightly coupled. It further shows that security requirements should not be embedded within the DICOM standard itself. Instead, security must be addressed through a layered, format-independent framework that spans systems, networks, applications, and data governance. Security is not a discrete feature but an overarching discipline—defined by its own evolving set of standards and best practices. Overlays such as those outlined in the National Institute of Standards and Technology SP 800-53 support modern Transport Layer Security, single sign-on, cryptographic hashing, and other controls that protect data streams without imposing architectural constraints or restricting technological choices. Pathology stands at a rare inflection point. Unlike radiology, where DICOM is deeply entrenched, pathology workflows still operate in polyglot environments—leveraging proprietary formats, hybrid standards, and emerging cloud-native tools. This diversity, often seen as a limitation, offers a clean slate: an opportunity to architect a modern, modular infrastructure free from legacy constraints. While a full departure from DICOM is unnecessary, pathology is uniquely positioned to prototype the future—to define a more flexible, secure, and interoperable model that other domains in medical imaging may one day follow. With support from forward-looking DICOM advocates, pathology can help reshape not just its own infrastructure, but the trajectory of medical imaging itself. © 2025 The Author(s)</t>
  </si>
  <si>
    <t>AI-driven diagnostics; DICOM; Digital pathology; Healthcare cybersecurity; HL7 FHIR; Interoperability; Modular design; Pathology informatics; Workflow orchestration</t>
  </si>
  <si>
    <t>P. Gershkovich; Department of Pathology, Yale Medical School, Yale University, New Haven, United States; email: peter.gershkovich@yale.edu</t>
  </si>
  <si>
    <t>Elsevier B.V.</t>
  </si>
  <si>
    <t>Dimitrov A.; Duftschmid G.</t>
  </si>
  <si>
    <t>Generation of FHIR-Based International Patient Summaries from ELGA Data</t>
  </si>
  <si>
    <t>10.3233/SHTI220339</t>
  </si>
  <si>
    <t>Patient summaries grant healthcare providers a concise overview of a patient's status. This paper showcases to which degree International Patient Summaries (IPS) represented in HL7 FHIR format can be generated using data from the nationwide Austrian Electronic Health Record system ELGA. A solution is presented which enables the automated software-assembled generation of an IPS using the FHIR Mapping Language. The generated document successfully validates against the IPS profiles. Our results show that all required IPS sections can be supplied from ELGA data. © 2022 The authors, AIT Austrian Institute of Technology and IOS Press.</t>
  </si>
  <si>
    <t>ELGA; FHIR Mapping Language; HL7 CDA; HL7 FHIR; International Patient Summary</t>
  </si>
  <si>
    <t>A. Dimitrov; Section of Medical Information Management, Center for Medical Statistics, Informatics and Intelligent Systems, Medical University of Vienna, Vienna, Spitalgasse 23, 1090, Austria; email: alexander.v.dimitrov@gmail.com</t>
  </si>
  <si>
    <t>Egelkraut R.; Traxler B.; Helm E.; Krauss O.; Schuler A.</t>
  </si>
  <si>
    <t>Open Infrastructure for Standardization of HL7® FHIR® Implementation Guides in Austria</t>
  </si>
  <si>
    <t>10.3233/SHTI220372</t>
  </si>
  <si>
    <t>Background: HL7 Austria is a non-profit association dedicated to improving electronic data communication and interoperability in healthcare using the HL7 international standards. Objectives: We aim to provide an open infrastructure to develop, manage, and maintain HL7 FHIR implementation guides. Methods: We utilize state-of-the-art open-source tooling developed by the FHIR community to support continuous integration. Results: The implementation guides can be published as static HTML websites and maintained using GitHub. Conclusion: The solution supports all steps of a standard's lifecycle, from drafting and reviewing to balloting, publishing, and maintenance. © 2022 The authors, AIT Austrian Institute of Technology and IOS Press.</t>
  </si>
  <si>
    <t>Electronic Health Record; Health Level Seven; Reference Standards</t>
  </si>
  <si>
    <t>R. Egelkraut; HL7 Austria Tc Fhir, Graz, Austria; email: tc-fhir@hl7.at</t>
  </si>
  <si>
    <t>Ileana M.; Petrov P.; Milev V.</t>
  </si>
  <si>
    <t>AI-Enabled Secure and Scalable Distributed Web Architecture for Medical Informatics</t>
  </si>
  <si>
    <t>10.3390/app151910710</t>
  </si>
  <si>
    <t>Current medical informatics systems face critical challenges, including limited scalability across distributed institutions, insufficient real-time AI-driven decision support, and lack of standardized interoperability for heterogeneous medical data exchange. To address these challenges, this paper proposes a novel distributed web system architecture for medical informatics, integrating artificial intelligence techniques and cloud-based services. The system ensures interoperability via HL7 FHIR standards and preserves data privacy and fault tolerance across interconnected medical institutions. A hybrid AI pipeline combining principal component analysis (PCA), K-Means clustering, and convolutional neural networks (CNNs) is applied to diffusion tensor imaging (DTI) data for early detection of neurological anomalies. The architecture leverages containerized microservices orchestrated with Docker Swarm, enabling adaptive resource management and high availability. Experimental validation confirms reduced latency, improved system reliability, and enhanced compliance with medical data exchange protocols. Results demonstrate superior performance with an average latency of 94 ms, a diagnostic accuracy of 91.3%, and enhanced clinical workflow efficiency compared to traditional monolithic architectures. The proposed solution successfully addresses scalability limitations while maintaining data security and regulatory compliance across multi-institutional deployments. This work contributes to the advancement of intelligent, interoperable, and scalable e-health infrastructures aligned with the evolution of digital healthcare ecosystems. © 2025 by the authors.</t>
  </si>
  <si>
    <t>cloud-based EHR systems; custom relationship management; distributed web systems; electronic health records; healthcare data security; healthcare performance optimization; medical data interoperability; medical informatics; patient-centered systems; scalable healthcare solutions</t>
  </si>
  <si>
    <t>M. Ileana; Interdisciplinary Doctoral School, National University of Science and Technology POLITEHNICA Bucharest, Pitesti University Center, Pitesti, 110040, Romania; email: marianileana95@gmail.com</t>
  </si>
  <si>
    <t>Kiourtis A.; Mavrogiorgou A.; Kyriazis D.</t>
  </si>
  <si>
    <t>Health information exchange through a Device-to-Device protocol supporting lossless encoding and decoding</t>
  </si>
  <si>
    <t>Journal of Biomedical Informatics</t>
  </si>
  <si>
    <t>10.1016/j.jbi.2022.104199</t>
  </si>
  <si>
    <t>Despite the availability of secure electronic data transfers, most medical information is still stored on paper, and it is usually shared by mail, fax or the patients themselves. Today's technologies aim to the challenge of sharing healthcare information, since exchanging inaccurate data leads to inefficiency and errors. Currently, there exist numerous techniques for exchanging data, which however require continuous internet connection, thus lacking generic applicability in healthcare, in the cases where no internet connection is available. In this paper, a new Device-to-Device (D2D) protocol is proposed, specifying a series of Bluetooth messages regarding the healthcare information that is being exchanged in short-range distances, between a healthcare-practitioner and a citizen. This information refers to structured and unstructured data, which can be directly exchanged through a globally used communication protocol, extending it for the permission of exchanging HL7 FHIR Bluetooth structured messages. Moreover, for high volume data, the D2D protocol can support lossless compression and decompression, improving its overall efficiency. The protocol is firstly evaluated through exchanging sample data in a real-world scenario, whereas an overall comparison of exchanging multiple sized data either using lossless compression or not is being provided. According to the evaluation results, the D2D protocol specification was strictly followed, successfully providing the ability to exchange healthcare-related data, with Bluetooth being considered the most suitable technology for current needs. For small-sized data, the D2D protocol performs better without the provided lossless compression mechanism, whereas in the case of large-sized data lossless compression is considered as the only option. © 2022 Elsevier Inc.</t>
  </si>
  <si>
    <t>Bluetooth; D2D protocol; Health information exchange; Lossless compression; Lossless encoding</t>
  </si>
  <si>
    <t>A. Kiourtis; University of Piraeus - Department of Digital Systems, Piraeus, Μ. Karaoli &amp; Α. Dimitriou 80, 18534, Greece; email: kiourtis@unipi.gr</t>
  </si>
  <si>
    <t>Academic Press Inc.</t>
  </si>
  <si>
    <t>Löbe M.; Bartow M.; Bialke M.; Gatrio M.; Gulden C.; Sass J.; Stäubert S.; Zautke A.</t>
  </si>
  <si>
    <t>Supporting Interoperability and Transparency of Medical Research Studies with HL7 FHIR</t>
  </si>
  <si>
    <t>10.3233/SHTI250798</t>
  </si>
  <si>
    <t>The broad registration of research studies in international registries would give the research community a good oversight of ongoing projects, but would also serve the information needs of study participants. However, there is currently a lack of widely accepted transparency registers as well as harmonized interfaces for populating and managing them. The German Medical Informatics Initiative (MII) makes healthcare data from German university hospitals available for a variety of research purposes. As a complement to the MII core dataset, an extension module for representing research studies was specified and implemented in HL7 FHIR. This allows both local research projects at the sites and cross-site projects to be represented. One focus was on modeling the criteria for the inclusion or exclusion of subjects and the connection of patients to study participants. This initial version will be supplemented with additional functionalities in the future to enable a semiautomatic synchronization with transparency registers such as the German Portal for Medical Research Data (FDPG). © 2025 The Authors.</t>
  </si>
  <si>
    <t>Clinical research; FAIR; HL7 FHIR; Interoperability; Medical studies; Transparency</t>
  </si>
  <si>
    <t>M. Löbe; Institute for Medical Informatics (IMISE), University of Leipzig, Germany; email: matthias.loebe@imise.uni-leipzig.de</t>
  </si>
  <si>
    <t>Solar M.; Castañeda V.; Ñanculef R.; Dombrovskaia L.; Araya M.</t>
  </si>
  <si>
    <t>A Data Ingestion Procedure towards a Medical Images Repository</t>
  </si>
  <si>
    <t>Sensors</t>
  </si>
  <si>
    <t>10.3390/s24154985</t>
  </si>
  <si>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 © 2024 by the authors.</t>
  </si>
  <si>
    <t>anonymizer; data ingestion; DICOM; HL7 FHIR; interoperability; interoperable platform</t>
  </si>
  <si>
    <t>M. Solar; Departamento de Informática, Universidad Tecnica Federico Santa Maria, Vitacura, Campus Vitacura-Santiago, 7660251, Chile; email: mauricio.solar@usm.cl</t>
  </si>
  <si>
    <t>The proceedings contain 43 papers. The special focus in this conference is on Interdisciplinarity in Engineering. The topics include: Molecular Feature-Based Prediction of Drug-Drug Interactions Using Graph Neural Networks; unsupervised Machine Learning Methods for Detecting Anomalies in the Structural Behavior of a University Laboratory; an Explainable Image Feature Extraction Method for Machine Learning from Chest Radiography Images; experiments with Neural Network for Optimization; a Generalization of a Result for Iterative Functions in Cn; the Contributions of Artificial Intelligence to the Optimization of the Dynamics of Supply Chains 4.0; biomedical Informatics: Considering Predictive Models for Early Detection of Heart Diseases; novel Systems Based on Artificial Intelligence and Numerical Algorithms for Predicting Laboratory Results: A Comparative Study of Original Automatic Prediction Model with Advances in the Field; Efficient Deep Learning-Based Fire and Smoke Detection with YOLO Architecture; application of a 2D Bin Packing Problem to a Vertical Lift Module: Case Study of a Hybrid Genetic Algorithm; reducing Complexity in Purchase and Operations Planning: A Genetic Algorithm for a 1D Cutting Stock Problem; a Biostatistical and Analytical Model for the in vitro Monitoring of Tissue Growth Correlated to Biochemical Signals; utilizing Modern Management Methods in Pathology Services: A Case Study; from Waste to Operational Excellence Through Simulation Techniques in the Hospital Waste Supply Chains; motor Control Disorders (Balance and Coordination) Among Older People: A Systematic Review with the Assistance of EndNote Reference Management Software; Comparison of eHealth Interoperability Standards: HL7 FHIR, OpenEHR, and CDISC; novel Advances in Total Hip Arthroplasty; experimental Analysis of the Gait Cycle Biomechanics in Order to Optimize the Process of Rehabilitation of the Locomotor System; non-linear Analysis of Biosignals.</t>
  </si>
  <si>
    <t>Conference review</t>
  </si>
  <si>
    <t>Torab-Miandoab A.; Samad-Soltani T.; Jodati A.; Rezaei-Hachesu P.</t>
  </si>
  <si>
    <t>Interoperability of heterogeneous health information systems: a systematic literature review</t>
  </si>
  <si>
    <t>BMC Medical Informatics and Decision Making</t>
  </si>
  <si>
    <t>10.1186/s12911-023-02115-5</t>
  </si>
  <si>
    <t>Background: The lack of interoperability between health information systems reduces the quality of care provided to patients and wastes resources. Accordingly, there is an urgent need to develop integration mechanisms among the various health information systems. The aim of this review was to investigate the interoperability requirements for heterogeneous health information systems and to summarize and present them. Methods: In accordance with the PRISMA guideline, a broad electronic search of all literature was conducted on the topic through six databases, including PubMed, Web of science, Scopus, MEDLINE, Cochrane Library and Embase to 25 July 2022. The inclusion criteria were to select English-written articles available in full text with the closest objectives. 36 articles were selected for further analysis. Results: Interoperability has been raised in the field of health information systems from 2003 and now it is one of the topics of interest to researchers. The projects done in this field are mostly in the national scope and to achieve the electronic health record. HL7 FHIR, CDA, HIPAA and SNOMED-CT, SOA, RIM, XML, API, JAVA and SQL are among the most important requirements for implementing interoperability. In order to guarantee the concept of data exchange, semantic interaction is the best choice because the systems can recognize and process semantically similar information homogeneously. Conclusions: The health industry has become more complex and has new needs. Interoperability meets this needs by communicating between the output and input of processor systems and making easier to access the data in the required formats. © 2023, The Author(s).</t>
  </si>
  <si>
    <t>Electronic health record; Health information systems; Heterogeneous; Interoperability; Requirements</t>
  </si>
  <si>
    <t>P. Rezaei-Hachesu; Department of Health Information Technology, Faculty of Management and Medical Informatics, Tabriz University of Medical Sciences, Tabriz, Golghast St., 5166614711, Iran; email: rezaeip@tbzmed.ac.ir</t>
  </si>
  <si>
    <t>Ambalavanan R.; Snead R.S.; Marczika J.; Towett G.; Malioukis A.; Mbogori-Kairichi M.</t>
  </si>
  <si>
    <t>Ontologies as the semantic bridge between artificial intelligence and healthcare</t>
  </si>
  <si>
    <t>10.3389/fdgth.2025.1668385</t>
  </si>
  <si>
    <t>Background: Ontologies serve as a foundational bridge between artificial intelligence (AI) and healthcare, enabling structured knowledge frameworks that enhance data interoperability, clinical decision support, and precision medicine. Objective: This perspective aims to highlight the essential role of ontologies in enabling adaptive, interoperable frameworks that evolve with technological and medical advances to support personalized, accurate, and globally connected healthcare solutions. Methods: This perspective is based on a targeted literature exploration conducted across PubMed, Scopus, and Google Scholar, prioritizing studies published between 2010 and 2025 and including earlier seminal works where necessary to provide historical context, focusing on ontology-driven AI applications in healthcare. Sources were selected for their relevance to semantic integration, interoperability, and interdisciplinary applicability. Results: Through the standardization of medical concepts, relationships, and terminologies, ontologies enable semantic integration across diverse healthcare datasets, including clinical, genomic, and phenotypic data. They also address challenges such as fragmented data and inconsistent terminologies. This semantic clarity supports AI applications in clinical decision support, predictive analytics, natural language processing (NLP), and patient-specific disease modeling. Conclusions: Despite their transformative potential, ontology integration faces significant challenges, including computational complexity, scalability, and semantic mismatches across evolving international standards, such as SNOMED CT and HL7 FHIR. Ethical concerns, particularly around data privacy, informed consent, and algorithmic bias, also require careful consideration. To address these challenges, this perspective outlines strategies including adaptive ontology models, robust governance frameworks, and AI-assisted ontology management techniques. Together, these approaches aim to support personalized, accurate, and globally interoperable healthcare systems. 2025 Ambalavanan, Snead, Marczika, Towett, Malioukis and Mbogori-Kairichi.</t>
  </si>
  <si>
    <t>artificial intelligence; clinical decision support; ethical AI; healthcare integration; multi-modal data integration; natural language processing; ontologies; semantic interoperability</t>
  </si>
  <si>
    <t>R. Ambalavanan; Research Department, The Self Research Institute, Broken Arrow, United States; email: radha@selfresearch.org</t>
  </si>
  <si>
    <t>Gazzarata R.; Chronaki C.; Gallego A.; Gaeta E.; Fico G.; Zampognaro P.; Mercalli F.; Giuliani F.; Allocca C.; Cangioli G.</t>
  </si>
  <si>
    <t>The Role of HL7 FHIR in the European Project GATEKEEPER</t>
  </si>
  <si>
    <t>10.3233/SHTI231183</t>
  </si>
  <si>
    <t>The European Project GATEKEEPER aims to develop a platform and marketplace to ensure a healthier independent life for the aging population. In this platform the role of HL7 FHIR is to provide a shared logical data model to collect data in heterogeneous living, which can be used by AI Service and the Gatekeeper HL7 FHIR Implementation Guide was created for this purpose. Independent pilots used this IG and illustrate the impact of the approach, benefit, value, and scalability.  © 2024 International Medical Informatics Association (IMIA) and IOS Press.</t>
  </si>
  <si>
    <t>AI models; health and wellness; HL7 FHIR; interoperability standards; living environments; LOINC; SNOMED</t>
  </si>
  <si>
    <t>Stäubert S.; Merzweiler A.; Römhild J.; Lang S.; Bialke M.</t>
  </si>
  <si>
    <t>Consent Management 2.0: Empowering Patient Will in Medical Research and Care</t>
  </si>
  <si>
    <t>10.3233/SHTI251389</t>
  </si>
  <si>
    <t>Introduction: The lawful processing of health data in medical research necessitates robust mechanisms for managing patient consent and objections, aligning with national and european regulations. While the initial version of the HL7 standard Consent Management' primarily focused on opt-in scenarios, evolving legal landscapes and practical implementation challenges highlight the need for comprehensive solutions encompassing both opt-in and opt-out approaches, including withdrawals and objections. This paper details the systematic revision of the latest HL7 FHIR-based 'Consent Management 2.0' standard to address these limitations. Methods: Our methodology involved a critical assessment of the 2021 standard against three years of practical experience and emerging regulatory requirements. Results: Key improvements include enhanced support for diverse document types (consent, withdrawal, refusal, objection), refined technical specifications for automated conversion of questionnaire responses into machine-readable Consent Resources, and the introduction of a novel 'ResultType' category. This new category enables use-case-specific aggregation of consent information, simplifying downstream processing and reducing interpretation ambiguities. Additionally, uniform FHIR search parameters were defined, and comprehensive examples were integrated into the implementation guide. The revised standard successfully underwent the HL7 ballot process in April 2025, with early practical implementations already demonstrating its utility. Conclusion: This extended standard significantly enhances the interoperability and legal robustness of consent management in complex research infrastructures, fostering improved patient autonomy and trust in digital health data reuse.  © 2025 The Authors.</t>
  </si>
  <si>
    <t>Data Privacy; Hospital Information Systems; Informed Consent; Interoperability; Medical Informatics</t>
  </si>
  <si>
    <t>M. Bialke; Institute for Community Medicine Section Epidemiology of Health Care and Community Health, University Medicine Greifswald, Greifswald, Germany; email: martin.bialke@uni-greifswald.de</t>
  </si>
  <si>
    <t>Ohlsen T.; Kruse V.; Krupar R.; Banach A.; Ingenerf J.; Drenkhahn C.</t>
  </si>
  <si>
    <t>Mapping of ICD-O Tuples to OncoTree Codes Using SNOMED CT Post-Coordination</t>
  </si>
  <si>
    <t>10.3233/SHTI220464</t>
  </si>
  <si>
    <t>Around 500,000 oncological diseases are diagnosed in Germany every year which are documented using the International Classification of Diseases for Oncology (ICD-O). Apart from this, another classification for oncology, OncoTree, is often used for the integration of new research findings in oncology. For this purpose, a semi-automatic mapping of ICD-O tuples to OncoTree codes was developed. The implementation uses a FHIR terminology server, pre-coordinated or post-coordinated SNOMED CT expressions, and subsumption testing. Various validations have been applied. The results were compared with reference data of scientific papers and manually evaluated by a senior pathologist, confirming the applicability of SNOMED CT in general and its post-coordinated expressions in particular as a viable intermediate mapping step. Resulting in an agreement of 84,00 % between the newly developed approach and the manual mapping, it becomes obvious that the present approach has the potential to be used in everyday medical practice.  © 2022 European Federation for Medical Informatics (EFMI) and IOS Press.</t>
  </si>
  <si>
    <t>HL7 FHIR; ICD-O; OncoTree; Ontoserver; post-coordination; SNOMED CT; terminology server</t>
  </si>
  <si>
    <t>T. Ohlsen; Institute of Medical Informatics, University of Lübeck, Lübeck, Ratzeburger Allee 160, 23564, Germany; email: tessa.ohlsen@student.uni-luebeck.de</t>
  </si>
  <si>
    <t>Celuchova Bosanska D.; Huptych M.; Lhotská L.</t>
  </si>
  <si>
    <t>Decentralized EHRs in the Semantic Web for Better Health Data Management</t>
  </si>
  <si>
    <t>10.3233/SHTI220975</t>
  </si>
  <si>
    <t>Electronic Health Record (EHR) systems currently in use are not designed for widely interoperable longitudinal health data. Therefore, EHR data cannot be properly shared, managed and analyzed. In this article, we propose two approaches to making EHR data more comprehensive and FAIR (Findable, Accessible, Interoperable, and Reusable) and thus more useful for diagnosis and clinical research. Firstly, the data modeling based on the LinkML framework makes the data interoperability more realistic in diverse environments with various experts involved. We show the first results of how diverse health data can be integrated based on an easy-to-understand data model and without loss of available clinical knowledge. Secondly, decentralizing EHRs contributes to the higher availability of comprehensive and consistent EHR data. We propose a technology stack for decentralized EHRs and the reasons behind this proposal. Moreover, the two proposed approaches empower patients because their EHR data can become more available, understandable, and usable for them, and they can share their data according to their needs and preferences. Finally, we explore how the users of the proposed solution could be involved in the process of its validation and adoption. © 2022 The authors and IOS Press. This article is published online with Open Access by IOS Press and distributed under the terms of the Creative Commons Attribution Non-Commercial License 4.0 (CC BY-NC 4.0)</t>
  </si>
  <si>
    <t>bio-data management; Distributed electronic health records; FAIR principles; HL7 FHIR; ontology</t>
  </si>
  <si>
    <t>D. Celuchova Bosanska; Kladno, Sítná 3105, 27201, Czech Republic; email: celucdag@fbmi.cvut.cz</t>
  </si>
  <si>
    <t>Oluoch T.; Byiringiro B.; Tuyishime E.; Kitema F.; Ntwali L.; Malamba S.; Wilmore S.; Remera E.</t>
  </si>
  <si>
    <t>Implementation of an HIV Case Based Surveillance Using Standards-Based Health Information Exchange in Rwanda</t>
  </si>
  <si>
    <t>10.3233/SHTI231090</t>
  </si>
  <si>
    <t>As Rwanda approaches the UNAIDS Fast Track goals which recommend that 95% of HIV-infected individuals know their status, of whom 95% should receive treatment and 95% of those on treatment achieve viral suppression, the country currently relies on an inefficient paper, and disjointed electronic, systems for case-based surveillance (CBS). Rwanda has established an ecosystem of interoperable systems based on open standards to support HIV CBS. Data were successfully exchanged between an EMR, a client registry, laboratory information system and DHIS-2 Tracker, and subsequently, a complete analytic dataset was ingested into MS-Power Business Intelligence (MS-PowerBI) for analytics and visualization of the CBS data. Existing challenges included inadequate workforce capacity to support mapping of data elements to HL7 FHIR resources. Interoperability optimization to support CBS is work in progress and rigorous evaluations on the effect on health information exchange on monitoring patient outcomes are needed.  © 2024 International Medical Informatics Association (IMIA) and IOS Press.</t>
  </si>
  <si>
    <t>Case-based Surveillance; Health Information Exchange; HL7 FHIR</t>
  </si>
  <si>
    <t>T. Oluoch; Us Centers for Disease Control and Prevention, Kigali, Rwanda; email: oluoch.tom@gmail.com</t>
  </si>
  <si>
    <t>Lien C.-Y.; Hsu C.-W.; Chung P.-C.; Chu Y.-C.; Kuo C.-T.</t>
  </si>
  <si>
    <t>Build an Open Standard Comprehensive Cancer Cohort Research Database</t>
  </si>
  <si>
    <t>10.3233/SHTI250794</t>
  </si>
  <si>
    <t>This study presents a framework that leverages the healthcare interoperability standards, mainly regarding Fast Healthcare Interoperability Resources (FHIR) and Digital Imaging and Communications in Medicine (DICOM), to create a comprehensive cancer cohort research database. We developed a robust data collection pipeline to enable seamless data exchange across multiple Electronic Health Records (EHR) systems, encompassing patient demographic data, radiology and pathology reports, CT images, whole slide images in DICOM format, and genomic data. The framework supports the collection and analysis of data from 625 cases of non-small cell lung cancer and 373 cases of head and neck cancer. Collected data were converted into FHIR format by mapping vocabulary items, utilizing international terminologies such as ICD, LOINC, and SNOMED CT. For imaging reports, we adopted a FHIR imaging report implementation guide based on the Taiwan Core Implementation Guide to integrate clinical data with pathology images relevant to pathology reports. Genomic data were stored in cBioPortal, and a centralized portal was implemented to integrate these diverse data sources using open-source solutions. © 2025 The Authors.</t>
  </si>
  <si>
    <t>DICOM; digital pathology; HL7 FHIR; interoperability</t>
  </si>
  <si>
    <t>Lin A.M.; Schwab A.; Abolhassni R.; Winkler S.</t>
  </si>
  <si>
    <t>From Authoring to Evaluating an Electronic Health Quality Measure - Applying Logic to FHIR® with CQL for Calculating Immunization Coverage</t>
  </si>
  <si>
    <t>10.3233/SHTI230004</t>
  </si>
  <si>
    <t>Background: Current monitoring and evaluation methods challenge the healthcare system. Specifically for the use case of immunization coverage calculation, person-level data retrieval is required instead of inaccurate aggregation methods. The Clinical Quality Language (CQL) by HL7®, has the potential to overcome current challenges by offering an automated generation of quality reports on top of an HL7® FHIR® repository. Objectives: This paper provides a method to author and evaluate an electronic health quality measure as demonstrated by a proof-of-concept on immunization coverage calculation. Methods: Five artifact types were identified to transform unstructured input into CQL, to define the terminology, to create test data, and to evaluate the new quality measures. Results: CQL logic and FHIR® test data were created and evaluated by using the different approaches of manual evaluation, unit testing in the HAPI FHIR project, as well as showcasing the functionality with a developed user interface for immunization coverage analysis. Conclusion: Simple, powerful, and transparent evaluations on a small population can be achieved with existing open-source tools, by applying CQL logic to FHIR® © 2023 The authors, AIT Austrian Institute of Technology and IOS Press.</t>
  </si>
  <si>
    <t>Clinical Quality Language CQL; Clinical Quality Measures; Health Level 7 HL7; Immunization Coverage</t>
  </si>
  <si>
    <t>A.M. Lin; University of Applied Sciences Upper Austria, Hagenberg, Austria; email: anna.lin@fh-hagenberg.at</t>
  </si>
  <si>
    <t>Jayathissa P.; Rohatsch L.; Sauermann S.; Hussein R.</t>
  </si>
  <si>
    <t>OMOP-on-FHIR: Integrating the Clinical Data Through FHIR Bundle to OMOP CDM</t>
  </si>
  <si>
    <t>10.3233/SHTI250432</t>
  </si>
  <si>
    <t>The harmonization of the OMOP Common Data Model (CDM) with HL7 FHIR aims to enhance interoperability in clinical research by harmonizing diverse healthcare datasets. This process, referred to as OMOP-on-FHIR, leverages FHIR Bundles for real-time clinical data exchange and transforms these resources into OMOP CDM format using an ETL process. The ETL pipeline, facilitated by tools like XSLT, enables the extraction, transformation, and loading of data while maintaining semantic consistency. By bridging these two standards, OMOP-on-FHIR promotes the seamless exchange of data across clinical systems and research-oriented databases, supporting global health studies, advanced analytics, and personalized medicine. This methodology advances cross-border research by providing a standardized approach to data management and analysis, thereby improving healthcare outcomes. © 2025 The Authors.</t>
  </si>
  <si>
    <t>Clinical Research; ETL Pipeline; FHIR; Healthcare Interoperability; OMOP</t>
  </si>
  <si>
    <t>P. Jayathissa; Ludwig Boltzmann Institute of Digital Health and Prevention, Salzburg, Austria; email: Prabath.Jayathissa@dhp.lbg.ac.at</t>
  </si>
  <si>
    <t>Zhang S.; Cornet R.; Benis N.</t>
  </si>
  <si>
    <t>Cross-Standard Health Data Harmonization using Semantics of Data Elements</t>
  </si>
  <si>
    <t>Scientific Data </t>
  </si>
  <si>
    <t>10.1038/s41597-024-04168-1</t>
  </si>
  <si>
    <t>Faced with heterogeneity of healthcare data, we propose a novel approach for harmonizing data elements (i.e., attributes) across health data standards. This approach focuses on the implicit concept that is represented by a data element. The process includes the following steps: identifying concepts, clustering similar concepts and constructing mappings between the clusters using the Simple Standard for Sharing Ontological Mappings (SSSOM) and Resource Description Framework (RDF), and enabling the creation of reusable mappings. As proof-of-concept, we applied the approach to five common health data standards - HL7 FHIR, OMOP, CDISC, Phenopackets, and openEHR, across four domains, such as demographics and diagnoses, and nine topics within those domains, such as gender and vital status. These domains and topics are selected to represent the broader range of topics in the health field. For each topic, data elements were found in the health data standards after a thorough search, resulting in the analysis of 64 data elements, identification of their underlying concepts, and development of mappings. Three use cases were implemented to demonstrate the role of data element concepts in data harmonization and data querying at varying levels of granularity. The approach helps overcome the limitations of context-dependent mappings and provides valuable insight for mapping practice within the health domain. © The Author(s) 2024.</t>
  </si>
  <si>
    <t>S. Zhang; Amsterdam UMC location University of Amsterdam, Department of Medical Informatics, Amsterdam, AZ 1105, Netherlands; email: s.x.zhang@amsterdamumc.nl</t>
  </si>
  <si>
    <t>Nature Research</t>
  </si>
  <si>
    <t>Kirilov N.; Bischoff E.</t>
  </si>
  <si>
    <t>Networking Aspects of the Electronic Health Records: Hypertext Transfer Protocol Version 2 (HTTP/2) vs HTTP/3</t>
  </si>
  <si>
    <t>Journal of Medical Systems</t>
  </si>
  <si>
    <t>10.1007/s10916-024-02080-0</t>
  </si>
  <si>
    <t>The rapid development of the digital healthcare and the electronic health records (EHR) requires smooth networking infrastructure to access data using Hypertext Transfer Protocol (HTTP)-based applications. The new HTTP/3 standard should provide performance and security improvements over HTTP/2. The goal of our work was to test the performance of HTTP/2 and HTTP/3 in the context of the EHRs. We used 45,000 test FHIR Patient resources downloaded and uploaded using 20, 50, 100 and 200 resources per Bundle, which resulted in 2251, 901, 451 and 226 HTTP GET and POST requests respectively. The first test downloading 20 resources per Bundle showed that HTTP/3 outperformed HTTP/2 in the local (mean request time 16.57 ms ± 7.2 standard deviation [SD]) and in the remote network (71.45 ms ± 43.5 SD) which is almost 3 times faster. In the 50 and 100 resources per Bundle test the HTTP/3 protocol demonstrated again more than two times gain in downloading performance for remote requests with mean request time 91.13 ms ± 34.54 SD and 88.09 ms ± 21.66 SD respectively. Furthermore, HTTP/3 outperformed HTTP/2 in the constructed clinical dataset remote transfer. In the upload tests HTTP/3 showed only a slight gain in performance merely in the remote network. The HTTP/3 protocol is a relatively new development and a major improvement for the worldwide web. This new technology is still missing in the digital health and EHRs. Its use could offer a major performance gain in situations where data is gathered from multiple remote locations. © The Author(s), under exclusive licence to Springer Science+Business Media, LLC, part of Springer Nature 2024.</t>
  </si>
  <si>
    <t>Electronic health record; HL7 FHIR; HTTP/2; HTTP/3; Network protocol; Web server</t>
  </si>
  <si>
    <t>N. Kirilov; Institute of Medical Informatics, Heidelberg University Hospital, Heidelberg, 69120, Germany; email: Nikola.Kirilov@med.uni-heidelberg.de</t>
  </si>
  <si>
    <t>Springer</t>
  </si>
  <si>
    <t>Crisan-Vida M.; Bogdan R.; Barmayoun D.; Ivanescu R.; Corbu M.; Stoicu-Tivadar L.; Litoiu M.-A.; Marcu M.</t>
  </si>
  <si>
    <t>Improving citizens' wellbeing using digital technologies for cardiovascular monitoring</t>
  </si>
  <si>
    <t>2025 29th International Conference on System Theory, Control and Computing, ICSTCC 2025 - Proceedings</t>
  </si>
  <si>
    <t>10.1109/ICSTCC66753.2025.11240490</t>
  </si>
  <si>
    <t>One of the main challenges nowadays in medicine is to prevent health issues as early as possible. This can be done by using different digital tools/software which can monitor a person in real time. Cardiovascular disease is the leading cause of death globally. Identifying in due time the cardiovascular diseases prevent premature death, and the patient may receive appropriate treatment. This paper presents the modular HealthPocket system that has the potential to detect early signs of cardiovascular disease. The HealthPocket system includes a mobile application, a web-based application and an IoT module. To ensure the continuity of care, the system sends medical data of the patient to other medical units, using HL7 FHIR standard (Fast Health Interoperability Resources), ensuring the interoperability between medical units. Machine learning techniques were used to analyze the data received from the IoT module. These techniques analyze data in real time, personalize the user experience, optimize resources, and detect patterns. This type of health status monitoring can help improve citizens' wellbeing because it can detect cardiovascular anomalies in a timely manner.  © 2025 IEEE.</t>
  </si>
  <si>
    <t>HL7 FHIR; interoperability; IoT; mobile application; web-based application</t>
  </si>
  <si>
    <t>M. Crisan-Vida; Politehnica University of Timisoara, Faculty of Automation and Computers, Romania; email: mihaela.vida@upt.ro</t>
  </si>
  <si>
    <t>Institute of Electrical and Electronics Engineers Inc.</t>
  </si>
  <si>
    <t>Kiourtis A.; Mavrogiorgou A.; Kleftakis S.; Kyriazis D.; Torelli F.; Martino D.; De Nigro A.</t>
  </si>
  <si>
    <t>Categorization of Health Determinants into an EHR Paradigm Based on HL7 FHIR</t>
  </si>
  <si>
    <t>Communications in Computer and Information Science</t>
  </si>
  <si>
    <t>10.1007/978-3-031-37496-8_16</t>
  </si>
  <si>
    <t>Healthcare platforms are included in multiple domain-related systems which however produce and provide individual and unlinked data to other systems, with high heterogeneity among them. The concept of mapping data from healthcare platforms to other citizens’ daily data could create advantages in identifying and finding better decisions, strategies or guidelines against multiple diseases. In detail, in the current environment where there exist multiple data sources producing hundreds of megabytes of data, the creation of a baseline that aggregates and correlates clinical information, avoiding uncertainties, is mandatory. The current paper presents a new Electronic Health Record (EHR) paradigm, the Holistic Health Records (HHRs), as a form of health records that aggregate data from multiple sources and can provide a complete overview of a citizen, containing several health determinants. This information may be produced by several platforms and devices, at different times of the patient’s life, including data related to the daily activities, the social behavior, the vital signs, the personal examination, or the treatment of a citizen. Several standardization organisms define healthcare standards towards an interoperable healthcare ecosystem, with HL7 Fast Healthcare Interoperability Resources (FHIR) being the standard that best suits the purpose of the HHRs. Consequently, the HHRs and the models that finally construct this new EHR paradigm, are based on HL7 FHIR, including data related with the citizens’ roles, the healthcare organizations, results deriving from diagnosis and clinical findings, as well as daily habits. The main goal of the HHR model is to facilitate and guarantee interoperability, being constructed based on existing FHIR libraries, having an additional goal to be also used as an independent component that can be tailored and adjusted for not only exchanging health data, but also categorizing it and classifying it into similar groups. © 2023, The Author(s), under exclusive license to Springer Nature Switzerland AG.</t>
  </si>
  <si>
    <t>Classification; CrowdHEALTH; Health determinants; HL7 FHIR; Holistic health records; Interoperability; Personalized healthcare</t>
  </si>
  <si>
    <t>A. Kiourtis; Department of Digital Systems, University of Piraeus, Piraeus, Greece; email: kiourtis@unipi.gr</t>
  </si>
  <si>
    <t>7th and 8th International Conference on Information and Communication Technologies for Ageing Well and e-Health, ICT4AWE 2021 and ICT4AWE 2022</t>
  </si>
  <si>
    <t>Löbe M.; Hu X.; Klopfenstein S.A.I.</t>
  </si>
  <si>
    <t>Using Health IT Standards to Facilitate Metadata Exchange Between Research Data Management Systems</t>
  </si>
  <si>
    <t>10.3233/SHTI240676</t>
  </si>
  <si>
    <t>The National Research Data Infrastructure for Personal Health Data (NFDI4Health) uses Local Data Hubs (LDHs) to manage locally research studies, documents and sensitive personal data to support controlled data sharing. While research data management (RDM) systems facilitate the storage and preparation of data and metadata as well as organizational access, they often lack support for interoperability standards of the application domain. To support the exchange with external registries of research studies, we chose 17 attributes to characterize the most relevant aspects of clinical trials (in the following named “metadata profile”). We implemented the metadata profile in the RDM system FAIRDOM SEEK using core attributes and SEEK's extended metadata feature and created a mapping conforming to the Health Level 7 Fast Healthcare Interoperability Resources (FHIR) standard version R4. Finally, we implemented a prototype application interface for exports in FHIR-JSON format. We plan to extend the interface to serve central registries and support specific FHIR Implementation Guides from various use cases. © 2024 The Authors.</t>
  </si>
  <si>
    <t>Clinical research; FAIR; HL7 FHIR; Interoperability; Metadata standards; RDM; SEEK</t>
  </si>
  <si>
    <t>Bossenko I.; Linna K.; Piho G.; Ross P.</t>
  </si>
  <si>
    <t>Migration from HL7 CDA to FHIR in Infectious Disease System of Estonia</t>
  </si>
  <si>
    <t>10.3233/SHTI220998</t>
  </si>
  <si>
    <t>On the basis of the Estonian National Health System, we propose a universal and reusable methodology for migrating HL7 CDA documents or their components. © 2022 The authors and IOS Press. This article is published online with Open Access by IOS Press and distributed under the terms of the Creative Commons Attribution Non-Commercial License 4.0 (CC BY-NC 4.0)</t>
  </si>
  <si>
    <t>Estonian NHS; HL7 CDA; HL7 FHIR; Interoperability</t>
  </si>
  <si>
    <t>I. Bossenko; Department of Health Technologies, TalTech, Tallinn, Akadeemia tee 15A, 12618, Estonia; email: igor.bossenko@taltech.ee</t>
  </si>
  <si>
    <t>Tahar K.; Verbuecheln R.; Martin T.; Graessner H.; Biergans S.; Krefting D.</t>
  </si>
  <si>
    <t>Sharing EHR data of patients with rare diseases for research - The role of quality assessments in a national federated research data infrastructure</t>
  </si>
  <si>
    <t>10.1186/s12911-025-03153-x</t>
  </si>
  <si>
    <t>Background: To obtain sufficient data for clinical research on Rare Diseases (RDs), the project “Collaboration on Rare Diseases” (CORD-MI) has connected 24 University Medical Centers (UMCs) in Germany. As part of the national Medical Informatics Initiative (MII), which aims at making the EHR data of all German UMCs FAIR and jointly usable for research, CORD-MI extends the methods and tools along the special requirements of RD data. Major challenges are insufficient coding of RDs and the high influence of individual data records on the results due to low cohort sizes. Hence, high data quality (DQ) of each data record is vital and exclusion due to quality issues may lead to insufficient sample sizes. DQ deficiencies induced by a FAIRification process may be corrected retrospectively; therefore their identification is of high relevance for RD research. Methods: We used a self-developed DQ assessment tool to investigate the impact of the implemented FAIRification processes. Seven normalized DQ indicators – encompassing completeness, uniqueness, and plausibility – were assessed automatically across two datasets created from the same patient information system (PAS) but processed differently: claims data available in a FAIR format by MII standards (FHIR-DS), and a direct export (EXP-DS). The results were independently validated by domain experts, and measures to resolve the DQ issues were investigated. Furthermore, the tool’s FAIRness and computational performance were evaluated. Results: We found a higher number of DQ issues in FHIR-DS than in EXP-DS. Specifically, FHIR-DS contained 1988 distinct DQ issues: nine ambiguous RD cases, two missing data items, and 1977 completeness issues induced by the FAIRification processes. We could successfully resolve the majority (68%) of all identified DQ issues in FHIR-DS. The runtime performance could be reduced from 12.52 min to 0.12 min for FHIR-DS by multi-core parallelization. A comparison with current FAIR guidelines of the software showed compliance with 16 of 17 principles. Conclusion: Completeness indicators are crucial for evaluating the quality of RD data, as most identified issues are related to the completeness dimension and largely stem from FAIRification processes. Our findings have shown the efficiency and effectiveness of our methodology in improving the quality and usefulness of FAIR data both retrospectively and prospectively. Clinical trial number: Not applicable. © The Author(s) 2025.</t>
  </si>
  <si>
    <t>Data quality; EHR data; ETL; FAIR guiding principles; Healthcare standards; HL7 FHIR; Hospital information system; Interoperability; Medical data integration; Rare Diseases; Semantic annotation</t>
  </si>
  <si>
    <t>K. Tahar; Department of Medical Informatics, University Medical Center Göttingen, Georg-August-University, Göttingen, 37075, Germany; email: Kais.Tahar@med.ovgu.de</t>
  </si>
  <si>
    <t>Rigas E.S.; Lagakis P.; Karadimas M.; Logaras E.; Latsou D.; Hatzikou M.; Poulakidas A.; Billis A.; Bamidis P.D.</t>
  </si>
  <si>
    <t>Semantic interoperability for an AI-based applications platform for smart hospitals using HL7 FHIR</t>
  </si>
  <si>
    <t>Journal of Systems and Software</t>
  </si>
  <si>
    <t>10.1016/j.jss.2024.112093</t>
  </si>
  <si>
    <t>The digitization of the healthcare domain has the potential to drastically improve healthcare services, reduce the time to diagnosis, and lower costs. However, digital applications for the healthcare domain need to be interoperable to maximize their potential. Additionally, with the rapid expansion of Artificial Intelligence (AI) and, specifically, Machine Learning (ML), large amounts of diverse types of data are being utilized. Thus, to achieve interoperability in such applications, the adoption of common semantic data models becomes imperative. In this paper, we describe the adoption of such a common semantic data model, using the well-known Health Level Seven Fast Health Interoperability Resources (HL7 FHIR) standard, in a platform that assists in the creation and storage of a plethora of AI-based applications for several medical conditions. The FHIR server's efficiency is being showcased by using it in an application predicting coronary artery stenosis as well as for managing the platform's key performance indicators. © 2024 The Authors</t>
  </si>
  <si>
    <t>Application platform; Artificial intelligence; Digital healthcare; FHIR; Interoperability; Semantic; Smart hospital</t>
  </si>
  <si>
    <t>E.S. Rigas; Lab of Medical Physics and Digital Innovation, School of Medicine, Aristotle University of Thessaloniki, Thessaloniki, Greece; email: erigas@auth.gr</t>
  </si>
  <si>
    <t>Elsevier Inc.</t>
  </si>
  <si>
    <t>Van Woensel W.; Abidi S.; Tennankore K.; Worthen G.; Abidi S.S.R.</t>
  </si>
  <si>
    <t>Clinical Guidelines as Executable and Interactive Workflows with FHIR-Compliant Health Data Input Using GLEAN</t>
  </si>
  <si>
    <t>Lecture Notes in Computer Science (including subseries Lecture Notes in Artificial Intelligence and Lecture Notes in Bioinformatics)</t>
  </si>
  <si>
    <t>10.1007/978-3-031-09342-5_43</t>
  </si>
  <si>
    <t>By computerizing paper-based clinical guidelines on diagnosing and treating illnesses, knowledge-driven Clinical Decision Support (CDS) can issue salient and timely recommendations in line with the latest evidence. To access up-to-date patient health data, such CDS require interoperability with Electronic Health Records (EHR). The GLEAN model supports knowledge-based CDS by (a) encoding the guideline decision logic using Task Network Models (TNM) based on an extensible Finite State Machine (FSM); and (b) associating clinical tasks with HL7 FHIR resources that offer interoperability with FHIR-compliant EHR. In this demo, we show an online visualization tool that explains GLEAN CIG as visual and interactive workflows. Clinicians can dynamically submit HL7 FHIR patient data using the tool to drive the traversal of the workflow. © 2022, The Author(s), under exclusive license to Springer Nature Switzerland AG.</t>
  </si>
  <si>
    <t>Clinical decision support; Notation3; Workflow visualization</t>
  </si>
  <si>
    <t>W. Van Woensel; Dalhousie University, Halifax, B3H 4R2, Canada; email: william.van.woensel@dal.ca</t>
  </si>
  <si>
    <t>Mishra D.K.; Mehra P.S.</t>
  </si>
  <si>
    <t>Enhancing interoperability and scalability in DiabeticChain: An integrative architecture using IPFS, Polygon, and HL7/FHIR</t>
  </si>
  <si>
    <t>Computers and Electrical Engineering</t>
  </si>
  <si>
    <t>10.1016/j.compeleceng.2025.110835</t>
  </si>
  <si>
    <t>The global diabetes epidemic poses unprecedented challenges for secure, scalable, and interoperable management of patient health data. The exponential growth in both the volume and complexity of diabetic patient records overwhelms traditional centralized systems, which suffer from scalability bottlenecks, single point of failure, and data silos that hinder timely and coordinated care delivery. These limitations highlight the need for a robust, privacy-preserving, and standards-compliant architecture that empowers patients to control their data while enabling seamless exchange across heterogeneous healthcare systems. This paper presents an enhanced DiabeticChain architecture that holistically addresses these challenges through the integration of (i) Polygon, a layer-2 Ethereum scaling solution for high-throughput smart contract execution, (ii) IPFS for decentralized and tamper-resistant storage, (iii) HL7/FHIR standards for semantic interoperability, and (iv) zk-SNARK-enabled consent management for privacy-preserving access control. To ensure end-to-end confidentiality, the system employs hybrid encryption (AES-256-GCM + ABE/RSA) before persisting FHIR resources off-chain, with only content identifiers stored on-chain. The architecture is implemented and systematically evaluated using Hyperledger Caliper, executing 50-round workloads of both transactions and queries to identify throughput saturation points, latency trends, and resource utilization patterns. Results demonstrate near-linear scalability up to 240 TPS for state-changing operations and a query throughput ceiling of 687 TPS, with high reliability and sub-second latency across all workloads. These results confirm that the enhanced DiabeticChain achieves its design goals of interoperability, privacy, and scalability, offering a reproducible, standards-compliant, and auditable framework suitable for real-world deployment in patient-centric healthcare ecosystems. © 2025 Elsevier Ltd.</t>
  </si>
  <si>
    <t>Blockchain; Interoperability; Patient-centricity; Privacy; Scalability; Security</t>
  </si>
  <si>
    <t>P.S. Mehra; Department of Computer Science and Engineering, Delhi Technological University, New Delhi, 110042, India; email: pawansinghmehra@gmail.com</t>
  </si>
  <si>
    <t>Francisco M.; Marques J.L.B.</t>
  </si>
  <si>
    <t>Use of a HAPI FHIR Server and Development of a Multi-user Web Interface for Visualization and Analysis of Data from Patients with Diabetes Mellitus</t>
  </si>
  <si>
    <t>IFMBE Proceedings</t>
  </si>
  <si>
    <t>10.1007/978-3-031-49410-9_9</t>
  </si>
  <si>
    <t>Estimates show that from 2019 to 2045, the number of people with Diabetes Mellitus could increase from 463 million to 700 million. Brazil follows this trend, and studies have shown that the country is the third country with the highest expenditure on diabetes. Studies with secure and interoperable databases are necessary to manage the disease. The Institute of Biomedical Engineering of the Federal University of Santa Catarina is developing the Screening for Diabetes Complications project, which seeks to collect, process, store and analyse data from patients with Diabetes Mellitus. This article presents the implementation of a HAPI FHIR server, which meets the HL7 FHIR communication standard, and an ElasticSearch server to complement and facilitate requests to the FHIR server. It also presents the development of a web interface, using an MVC architecture, for multiple users to visualize and analyze the collected data, meeting the General Data Protection Law requirements in Brazil. © 2024, The Author(s), under exclusive license to Springer Nature Switzerland AG.</t>
  </si>
  <si>
    <t>Diabetes Mellitus; ElasticSeach; HAPI FHIR; MVC design pattern; Web Interface</t>
  </si>
  <si>
    <t>M. Francisco; Institute of Biomedical Engineering, Federal University of Santa Catarina, Florianópolis, Brazil; email: maicon.francisco@posgrad.ufsc.br</t>
  </si>
  <si>
    <t>Foschi A.; Pistilli D.; Bondani G.; Rebecchi F.</t>
  </si>
  <si>
    <t>Developing a Prototype Healthcare Data Platform for Advanced Analytics in Rehabilitation Environments</t>
  </si>
  <si>
    <t>8th IEEE International Forum on Research and Technologies for Society and Industry Innovation, RTSI 2024 - Proceeding</t>
  </si>
  <si>
    <t>10.1109/RTSI61910.2024.10761573</t>
  </si>
  <si>
    <t>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'Fit4MedRob'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  © 2024 IEEE.</t>
  </si>
  <si>
    <t>clinical trials; data anonymization; data interoperability; decision support system; healthcare data lake; healthcare data platform; hl7 fhir; rehabilitation technology</t>
  </si>
  <si>
    <t>Zenobia B.</t>
  </si>
  <si>
    <t>If You Build It, Will They Come? : An Adoption Analysis of the HL7/FHIR/Da Vinci Healthcare Interoperability Stack</t>
  </si>
  <si>
    <t>PICMET 2022 - Portland International Conference on Management of Engineering and Technology: Technology Management and Leadership in Digital Transformation - Looking Ahead to Post-COVID Era, Proceedings</t>
  </si>
  <si>
    <t>10.23919/PICMET53225.2022.9882646</t>
  </si>
  <si>
    <t>The COVID-19 pandemic has exposed significant flaws in the exchange of electronic health information (EHI) in the United States. EHI interoperability is a top priority for the Center for Medicare and Medicaid Services (CMS) and the Office of the National Coordinator for Health IT (ONC). In July 2021 these agencies began enforcing legal mandates under the 21st Century Cures Act with the goal of achieving major EHI interoperability throughout the US by 2025. If this goal can be met, then EHI interoperability has the potential to trigger major disruption in the healthcare industry and realignment during the coming decade. Toward this end, CMS and ONC have embraced the Fast Healthcare Interoperability Resources (FHIR) framework as promoted by the Health Level Seven International (HL7) standards organization. A key unanswered question is whether HL7/FHIR is mature enough to support this national goal. This paper assesses the HL7/FHIR technology framework and the FHIR Accelerator known as the Da Vinci Project to forecast its adoption potential. Historical forecasting analogies as well as the PRISM methodology are used. The analysis identifies likely adoption risks, forecasts expected patterns of adopter behavior, and recommends strategies for mitigate risks. © 2022 PICMET.</t>
  </si>
  <si>
    <t>Kilintzis V.; Beredimas N.</t>
  </si>
  <si>
    <t>Respiratory data management</t>
  </si>
  <si>
    <t>Wearable Sensing and Intelligent Data Analysis for Respiratory Management</t>
  </si>
  <si>
    <t>10.1016/B978-0-12-823447-1.00009-9</t>
  </si>
  <si>
    <t>Respiratory data management includes all the operations and provisions that ensure secure and unambiguous persistent storage and exchange of all the information that pertains to the respiratory function of an individual. Failure of the health data management framework negatively impacts the quality of the provided health-care services in several aspects. Proper design of the system and modeling of the data can reduce the probability of adverse events and enhance security, data safety, maintainability, and sustainability of the system. In this chapter, a set of modern technologies and practices are discussed along with the leading standards and regulation that pertain to the health data management. © 2022 Elsevier Inc. All rights reserved.</t>
  </si>
  <si>
    <t>Data modeling; HL7 FHIR; Problems of respiratory data management; Web services</t>
  </si>
  <si>
    <t>Book chapter</t>
  </si>
  <si>
    <t>Burgos M.; Milosevic Z.</t>
  </si>
  <si>
    <t>Consumer-Centered Selection of Relevant Clinical Trials Using Agent AI</t>
  </si>
  <si>
    <t>Lecture Notes in Computer Science</t>
  </si>
  <si>
    <t>10.1007/978-3-032-15140-7_18</t>
  </si>
  <si>
    <t>Current clinical trial matching solutions lack practical, consumer-accessible tools that enable independent trial discovery. This paper presents a solution that makes use of HL7 FHIR standard, and several AI Agents that empower consumers to independently identify relevant clinical trials using their personal health information. The system employs four specialized agents using HL7 FHIR data: (1) extracting medical conditions from consumer records; (2) pre-filtering trials using vector embeddings; (3) structuring unstructured eligibility criteria; and (4) evaluating patient eligibility against trial requirements. The framework generates relevance scores and provides ranked trial recommendations within 5-10 min, which would typically require days of manual effort. Integrated into a web-based platform, this AI-driven approach enables consumers or patients to directly discover pertinent clinical trials without clinical staff intervention, significantly improving access to potentially life-saving research opportunities. © The Author(s), under exclusive license to Springer Nature Switzerland AG 2026.</t>
  </si>
  <si>
    <t>Clinical Trial; FHIR; Healthcare; LLM Agent</t>
  </si>
  <si>
    <t>M. Burgos; Independent Researcher, Brisbane, Australia; email: burgossaavedra.marcos@gmail.com</t>
  </si>
  <si>
    <t>Murgia Y.; Gazzarata R.; Bonetto M.; Monteverde M.E.; Cenderello G.; Di Biagio A.; Giacomini M.</t>
  </si>
  <si>
    <t>From the Ligurian HIV Network to an European Framework for HIV Surveillance and Control</t>
  </si>
  <si>
    <t>10.3233/SHTI250451</t>
  </si>
  <si>
    <t>The Ligurian HIV Network, based on HL7 CDA r2, is an Italian regional infrastructure for HIV surveillance and control. To expand this network to a European level, the alignment with the EHDS and the EEHRxF, which standardize EHR data exchange, becomes essential. EU-funded projects like XpanDH are developing HL7 FHIR IGs to support this framework. Therefore, the extension of the Ligurian HIV Network requires an architectural rethink, with the introduction of the HL7 FHIR format instead of CDA r2, ensuring compliance with European standards. © 2025 The Authors.</t>
  </si>
  <si>
    <t>EEHRxF; EHDS; FHIR IG; HL7; Ligurian HIV Network</t>
  </si>
  <si>
    <t>Y. Murgia; Department of Informatics, Bioengineering, Robotics and System Engineering (DIBRIS), University of Genoa, Genoa, Via all'Opera Pia 13, 16145, Italy; email: ylenia.murgia@edu.unige.it</t>
  </si>
  <si>
    <t>Ohlsen T.; Sander A.; Ingenerf J.</t>
  </si>
  <si>
    <t>ECLed– a tool supporting the effective use of the SNOMED CT Expression Constraint Language</t>
  </si>
  <si>
    <t>10.1186/s13326-025-00344-3</t>
  </si>
  <si>
    <t>Background: The Expression Constraint Language (ECL) is a powerful query language for SNOMED CT, enabling precise semantic queries across clinical concepts. However, its complex syntax and reliance on the SNOMED CT Concept Model make it difficult for non-experts to use, limiting its broader adoption in clinical research and healthcare analytics. Objective: This work presents ECLed, a web-based tool designed to simplify access to ECL queries by abstracting the complexity of ECL syntax and the SNOMED CT Concept Model. ECLed is aimed at non-technical users, enabling the creation and modification of ECL queries and facilitating the querying of patient data coded with SNOMED CT. Methods: ECLed was developed following a detailed requirements analysis, addressing both functional and non-functional needs. The tool supports the creation and editing of SNOMED CT ECL queries, integrates a processed Concept Model, and uses FHIR terminology services for semantic validation. Its modular architecture, with a frontend based on Angular and a backend on Spring Boot, ensures seamless communication through RESTful interfaces. Result: ECLed demonstrated high usability in a user survey. Technical validation confirmed that it reliably generates and edits complex ECL queries. The tool was successfully integrated into the DaWiMed research platform, enhancing clinical analysis workflows. It also worked effectively with clinical data in FHIR format, although scalability with larger datasets remains to be tested. Discussion: ECLed overcomes the limitations of existing ECL tools by abstracting the complexity of both the syntax and the SNOMED CT Concept Model. It provides a user-friendly solution that enables both technical and non-technical users to easily create and edit ECL queries. Conclusion: ECLed offers a practical, user-friendly solution for creating SNOMED CT ECL queries, effectively hiding the underlying complexity while optimizing clinical research and data analysis workflows. It holds significant potential for further development and integration into additional research platforms. © The Author(s) 2025.</t>
  </si>
  <si>
    <t>Expression Constraint Language; HL7 FHIR; Semantic Interoperability; SNOMED CT; Terminology</t>
  </si>
  <si>
    <t>T. Ohlsen; Institute of Medical Biometry and Statistics, Section for Clinical Research IT, University of Luebeck, University Hospital Schleswig-Holstein, Luebeck, Ratzeburger Allee 160, 23562, Germany; email: ecled.authors@gmail.com</t>
  </si>
  <si>
    <t>Nguyen-Chi N.; Nguyen-Thanh T.</t>
  </si>
  <si>
    <t>Discussion on the Effectiveness of Piloting Electronic Medical Records Based on HL7 FHIR and SNOMED-CT in Hospitals in Vietnam</t>
  </si>
  <si>
    <t>10.1007/978-3-031-90194-2_43</t>
  </si>
  <si>
    <t>The major limitation of most Electronic Medical Record (EMR) solutions currently being implemented in Vietnam is primarily the digitization of data fields in paper medical records following the technical framework of the respective providers and the operational peculiarities of the healthcare facilities involved. Therefore, these EMR systems are still unable to interoperate between healthcare facilities using different providers. Furthermore, these EMR systems operate independently from other health information systems at healthcare facilities. Although some systems utilize internationally recognized standards, the issue of data inconsistency arises when connecting systems with different platforms. Additionally, some crucial clinical data fields for diagnosis and treatment are still in free-text input mode, whereas clinical terminology ensures semantic consistency. Therefore, there is a need for a specific model to consider linking and integrating technical standards and clinical terminologies to enhance the efficiency of exploiting and interoperating EMR. The objective of this paper is to evaluate the implementation outcomes of EMR based on the Health Level Seven Fast Healthcare Interoperability Resources (HL7 FHIR) standard and the Systematized Nomenclature of Medicine-Clinical Terms (SNOMED-CT) at Thong Nhat Hospital and Nguyen Tri Phuong Hospital. The proposed integrated model of standardized EMR demonstrates the capability to display and store complete medical records according to the regulations of the Ministry of Health. The testing process involves comparing data fields between actual medical record forms and electronic medical records according to the established data standard to make appropriate adjustments to ensure accuracy and completeness. In addition to validating and reconciling data using objective evaluation tools, the results are also verified by attending physicians and responsible nurses. Data information within the medical records is accurately managed and readily accessible across departments within the hospital, as well as facilitating interoperability in the summary of medical records between the two hospitals according to current regulations. © The Author(s), under exclusive license to Springer Nature Switzerland AG 2025.</t>
  </si>
  <si>
    <t>EMR; HL7 FHIR; SNOMED-CT</t>
  </si>
  <si>
    <t>T. Nguyen-Thanh; Ho Chi Minh City University of Technology (HCMUT), Ho Chi Minh City, Viet Nam; email: nttuan@hcmut.edu.vn</t>
  </si>
  <si>
    <t>El Mrabet A.; Alihamidi I.; Tber A.; Benaly M.; Hlou L.; El Gouri R.</t>
  </si>
  <si>
    <t>Proposed Architecture for Hospital 4.0: Integrating IoT, Edge AI, and Blockchain for Secure and Efficient Healthcare Systems</t>
  </si>
  <si>
    <t>International Journal of Online and Biomedical Engineering</t>
  </si>
  <si>
    <t>10.3991/ijoe.v21i05.52991</t>
  </si>
  <si>
    <t>The rapid development of various healthcare technologies results in an innovative context known as Hospital 4.0, which integrates Internet of Things (IoT), AI, and blockchain to enhance patient care, optimize operational efficiency, and guarantee robust data security. This paper proposes an innovative layered architecture that can solve some critical problems of health-care systems: patient identification, real-time data processing, security, scalability, and interop-erability. The architecture ensures that it is highly adaptable and accurate by incorporating three IoT-enabled methods of identification, including facial recognition, fingerprint scanning, and NFC/RFID. Advanced AI algorithms process biometric data, enabling real-time insight with privacy guarantees. Blockchain technology enhances security, offering an immutable, decen-tralized ledger for managing interactions with electronic health records (EHRs). The interop-erability of the proposed framework also rests on standards like HL7 FHIR and protocols like MQTT that ensure seamless exchange of data amongst diverse systems. It further explores scalability and regulatory compliance through practical applications, including patient-centric engagement tools and predictive analytics. The architecture puts together dispersed technological innovations in an effort to provide a robust foundation for safe, efficient, patient-centered healthcare delivery and sets the stage for further research into its widespread adoption. © 2025 by the authors of this article.</t>
  </si>
  <si>
    <t>AI in healthcare; blockchain in healthcare; Edge AI; Hospital 4.0; Hospital 4.0 architecture; Internet of Things (IoT) in healthcare</t>
  </si>
  <si>
    <t>A. El Mrabet; Laboratory of Advanced Systems Engineering, Ibn Tofail University, Kenitra, Morocco; email: azzedine.elmrabet@uit.ac.ma</t>
  </si>
  <si>
    <t>International Federation of Engineering Education Societies (IFEES)</t>
  </si>
  <si>
    <t>Nguyen T.-N.; Duong T.-T.; Omer H.; Sulieman A.; Bradley D.A.</t>
  </si>
  <si>
    <t>The Design and Construction of a 12-Channel Electrocardiogram Device Developed on an ADS1293 Chip Platform</t>
  </si>
  <si>
    <t>Electronics (Switzerland)</t>
  </si>
  <si>
    <t>10.3390/electronics12112389</t>
  </si>
  <si>
    <t>An accurate and compact electrocardiogram (ECG) device will greatly assist doctors in diagnosing heart diseases. It will also help to address the increasing number of deaths caused by heart disease. Accordingly, the goal of the project is to design and construct an easy-to-use compact 12-lead electrocardiogram device that communicates with a computer to create a system that can continuously monitor heart rate and which can be connected to allied medical systems. The design is based on an ECG receiver circuit utilizing an IC ADS1293 and an Arduino Nano. The ADS1293 has built-in input Electromagnetic Interference (EMI) filters, quantizers, and digital filters, which help in reducing the size of the device. The software has been created using the C# programming language, with Windows Presentation Foundation (WPF), aiding the collection of the ECG signals from the receiving circuit via the computer port. An ECG Multiparameter Simulator has been used to calibrate the ECG device. Finally, a plan has been developed to connect the arrangement to health systems according to HL7 FHIR (Health Level Seven Fast Healthcare Interoperability Resources) through Representational State Transfer Application Programming Interface (Rest API). The ECG device, completed at the cost of U$169 excluding labor, allows for the signal of 12 leads of ECG signal to be obtained from 10 electrodes mounted on the body. The processed ECG data was written to a JSON file with a maximum recording time of up to three days, managed by a Structured Query Language Server (SQL) Server database. The software retrieves patient data from electrical medical records in accordance with HL7 FHIR standards. A compact and easy-to-use ECG device was successfully designed to record ECG signals. An in-house developed software was also completed to display and store the ECG signals. © 2023 by the authors.</t>
  </si>
  <si>
    <t>12-lead ECG device; ECG signal based ADS1293; electrocardiogram (ECG)</t>
  </si>
  <si>
    <t>T.-T. Duong; Department of Medical Physics, Faculty of Medicine, Nguyen Tat Thanh University, Ho Chi Minh City, 298-300A Nguyen Tat Thanh Street, Ward 13, District 4, 700000, Viet Nam; email: dttai@ntt.edu.vn</t>
  </si>
  <si>
    <t>MDPI</t>
  </si>
  <si>
    <t>Zuniga P.C.; Carpio J.J.; Tayam Q.A.; Garcia P.L.; Lacsina A.; Calderon J.; Santiago J.F.; Batangan D.</t>
  </si>
  <si>
    <t>Development and implementation of an interoperable local health information exchange platform for the attainment of universal health coverage in the Philippines</t>
  </si>
  <si>
    <t>10.3389/fdgth.2025.1650273</t>
  </si>
  <si>
    <t>Introduction: The implementation of Universal Health Coverage (UHC) in the Philippines requires the formation of Local Government Unit (LGU)-centric Health Care Provider Networks (HCPNs). A cornerstone of this reform is the development of secure, scalable, and interoperable digital health ecosystems. However, significant challenges persist, including fragmented and non-standardized health information systems, siloed data repositories, and limited interoperability among Electronic Medical Records (EMRs) and Hospital Information Systems (HIS) particularly at the LGU level. This paper presents the design and deployment of the Smarter and Integrated Local Health Information System (SMILHIS), a Local Health Information Exchange (LHIE) platform developed to address these fragmentation issues. Objective: This work aims to support LGUs in deploying an LHIE platform that improves health data exchange, enhances continuity of care, and strengthens local health systems. Specifically, the objectives are to: 1. Deploy a modular, open-source LHIE platform that enables real-time health data interoperability across primary, secondary, and tertiary facilities within LGUs; and, 2. Implement an HL7 FHIR-based integration model aligned with the OpenHIE architecture and national interoperability specifications. Findings and Conclusion: The implementation of SMILHIS in three pilot LGUs—Municipality of Pulilan in Bulacan, Cagayan de Oro City, and Pangasinan Province demonstrated both the technical feasibility and operational value of deploying an interoperable LHIE platform. Each pilot considered different use cases: in Pulilan, the integration of health data with regulatory and treasury systems required reconciling heterogeneous data structures; in Cagayan de Oro, the absence of authoritative registries within the HCPN created barriers to unified patient tracking; while in Pangasinan, the scale and geographic dispersion of the health network complicated real-time health service visibility. Despite these challenges, the SMILHIS platform integrated patient, provider, and facility registries, facilitated secure data exchange across multiple systems, and provided real-time referral and facility capacity dashboards. The key outcome of the study was the demonstrated ability of LGUs to implement an interoperable, standards-based LHIE that significantly reduced data duplication, improved referral coordination, and strengthened health system responsiveness. In addition to enhanced technological capability, the study also showed notable improvements in LGU digital health governance. Moreover, it contributed to strengthening human resource capacity through hands-on implementation experience and multi-sector collaboration, while promoting greater alignment with national government digital health standards. These institutional and technical gains highlight SMILHIS as both a practical solution and a capacity-building mechanism for sustainable digital transformation at the local level. 2026 Zuniga, Carpio, Tayam, Garcia, Lacsina, Calderon, Santiago and Batangan.</t>
  </si>
  <si>
    <t>architecture; authoritative registry; digital health; interoperability; standards; universal health care</t>
  </si>
  <si>
    <t>P.C. Zuniga; Computer Security Group, Department of Computer Science, University of the Philippines Diliman, Quezon City, Philippines; email: pczuniga@up.edu.ph</t>
  </si>
  <si>
    <t>Vogl K.; Ingenerf J.; Kramer J.; Chantraine C.; Drenkhahn C.</t>
  </si>
  <si>
    <t>LUMA: A Mapping Assistant for Standardizing the Units of LOINC-Coded Laboratory Tests</t>
  </si>
  <si>
    <t>10.3390/app12125848</t>
  </si>
  <si>
    <t>The coding system Unified Code for Units of Measure (UCUM) serves the unambiguous electronic communication of physical quantities and their measurements and has faced a slow uptake. Despite being closely related to popular healthcare standards such as LOINC, laboratories still majorly report results using proprietary unit terms. Currently available methods helping users create mappings between their units and UCUM are not flexible and automated enough to be of great use in trying to remedy this. We propose the “LOINC to UCUM Mapping Assistant” (LUMA) as a tool able to overcome the drawbacks of existing approaches while being more accessible even to inexperienced users. By mapping LOINC’s Property axis to representations within UCUM reflecting its semantics, we were able to formalize the association between the two. An HL7 FHIR back-end provides LUMA with UCUM unit recommendations sourced from existing lookup tables simply by providing it with a LOINC code. Additionally, the mappings users created may be used to perform unit conversions from proprietary units to UCUM. The tool was evaluated with five participants from the LADR laboratory network in Germany, who valued the streamlined approach to creating the mappings and particularly emphasized the utility of being able to perform unit conversions within the tool. © 2022 by the authors. Licensee MDPI, Basel, Switzerland.</t>
  </si>
  <si>
    <t>HL7 FHIR; LOINC; mapping; RELMA; REST; standardization; UCUM</t>
  </si>
  <si>
    <t>K. Vogl; Institute of Medical Informatics, University of Luebeck, Luebeck, 23562, Germany; email: kai.vogl@online.de</t>
  </si>
  <si>
    <t>Urbauer P.; Huber G.; Berens T.; Salzbrunn B.; Frohner M.; Sauermann S.</t>
  </si>
  <si>
    <t>Linked Care: A Harmonized Workflow for Medication Ordering, Prescription and Dispensing in Mobile Care Settings</t>
  </si>
  <si>
    <t>10.3233/SHTI240682</t>
  </si>
  <si>
    <t>The growing demand for care amid changing demographics poses significant challenges exacerbated by decreasing healthcare professional availability. In Austria, the Linked Care project aims to address these challenges by developing an intersectoral, harmonized IT-supported workflow for medication ordering, prescription, and dispense in mobile care settings. A human centered design approach, with user-focused interviews and workshops was used to identify requirements and analyze the workflows. Activity diagrams were used represent workflows. The resulting harmonized workflow, developed through iterative collaboration with care organizations, integrates the LC platform into existing care software. To test and demonstrate the harmonized workflow, mockups were created and evaluated for usability, resulting in positive feedback and suggestions for enhancements. Current workflows revealed media breaches and inefficiencies, which the proposed harmonized workflow seeks to address. The paper concludes with implications for future developments, including the subsequent adoption of a HL7 FHIR Implementation Guide for Austria, based on the defined harmonized workflow, to streamline intersectoral communication and improve efficiency in mobile care settings. © 2024 The Authors.</t>
  </si>
  <si>
    <t>connected health; harmonized workflow; interoperability; mobile care</t>
  </si>
  <si>
    <t>P. Urbauer; Department Computer Science, University of Applied Sciences Technikum Wien, Vienna, Hoechstaedtplatz 6, 1200, Austria; email: urbauer@technikum-wien.at</t>
  </si>
  <si>
    <t>Bossenko I.; Piho G.; Ross P.</t>
  </si>
  <si>
    <t>Forward and backward compatibility design techniques applying the HL7 FHIR standard</t>
  </si>
  <si>
    <t>CEUR Workshop Proceedings</t>
  </si>
  <si>
    <t>Interoperability issues are acute not only in heterogeneous environments where different standards are used, but also in homogeneous environments where the same standard is used differently for individual organisations. Interoperability is also important within one organisation and especially arises when transferring systems from one version of the standard to another. This article discusses the compatibility of the various versions of the HL7 FHIR standard, focusing on the current R4 version at the time of writing. It also describes the individual features of earlier versions of the HL7 FHIR standard. The article analyses the principles of forward and backward compatibility and proposes recommendations for how to develop a sustainable and balanced interoperability system. © 2022 Copyright for this paper by its authors.</t>
  </si>
  <si>
    <t>compatibility design techniques; EHR; electronic health record; HL7 FHIR; interoperability</t>
  </si>
  <si>
    <t>CEUR-WS</t>
  </si>
  <si>
    <t>Lanzola G.; Polce F.; Parimbelli E.; Gabetta M.; Cornet R.; De Groot R.; Kogan A.; Glasspool D.; Wilk S.; Quaglini S.</t>
  </si>
  <si>
    <t>The Case Manager: An Agent Controlling the Activation of Knowledge Sources in a FHIR-Based Distributed Reasoning Environment</t>
  </si>
  <si>
    <t>10.1055/a-2113-4443</t>
  </si>
  <si>
    <t>Background Within the CAPABLE project the authors developed a multi-agent system that relies on a distributed architecture. The system provides cancer patients with coaching advice and supports their clinicians with suitable decisions based on clinical guidelines. Objectives As in many multi-agent systems we needed to coordinate the activities of all agents involved. Moreover, since the agents share a common blackboard where all patients' data are stored, we also needed to implement a mechanism for the prompt notification of each agent upon addition of new information potentially triggering its activation. Methods The communication needs have been investigated and modeled using the HL7-FHIR (Health Level 7-Fast Healthcare Interoperability Resources) standard to ensure proper semantic interoperability among agents. Then a syntax rooted in the FHIR search framework has been defined for representing the conditions to be monitored on the system blackboard for activating each agent. Results The Case Manager (CM) has been implemented as a dedicated component playing the role of an orchestrator directing the behavior of all agents involved. Agents dynamically inform the CM about the conditions to be monitored on the blackboard, using the syntax we developed. The CM then notifies each agent whenever any condition of interest occurs. The functionalities of the CM and other actors have been validated using simulated scenarios mimicking the ones that will be faced during pilot studies and in production. Conclusion The CM proved to be a key facilitator for properly achieving the required behavior of our multi-agent system. The proposed architecture may also be leveraged in many clinical contexts for integrating separate legacy services, turning them into a consistent telemedicine framework and enabling application reusability. © 2022 Georg Thieme Verlag. All rights reserved.</t>
  </si>
  <si>
    <t>clinical decision support; HL7 FHIR; multi-agent systems; telemedicine</t>
  </si>
  <si>
    <t>G. Lanzola; Department of Electrical, Computer and Biomedical Engineering, University of Pavia, Pavia, Via Ferrata 5, 27100, Italy; email: giordano.lanzola@unipv.it</t>
  </si>
  <si>
    <t>Explainable Decision Support Using Task Network Models in Notation3: Computerizing Lipid Management Clinical Guidelines as Interactive Task Networks</t>
  </si>
  <si>
    <t>10.1007/978-3-031-09342-5_1</t>
  </si>
  <si>
    <t>Knowledge-driven Clinical Decision Support (CDS) involves the computerization of paper-based clinical guidelines to issue evidence-based recommendations at points-of-care. The computerization of such guidelines in terms of a Task Network Model (TNM) conveniently models them as intuitive workflow models, which can be executed against patient health profiles. We present the GLEAN model that encodes an extensible Finite State Machine (FSM) executional semantics for modular TNM. Extensibility is provided in terms of a high-level formalism for defining execution semantics of custom TNM constructs. GLEAN is implemented using the Notation3 Semantic Web language, which provides powerful features for decisional criteria and queries, and offers integration with the HL7 FHIR standard. We explain CIG workflows as visual, intuitive workflow diagrams that are guided by a concrete patient profile at runtime. As a use case, we computerized guidelines on lipid management for Chronic Kidney Disease (CKD), a challenging problem for many Primary Care Providers (PCPs). To educate PCP on lipid management for CKD, we leverage GLEAN’s easy modularization of CIG and CIG explanations as visual runtime workflows. © 2022, The Author(s), under exclusive license to Springer Nature Switzerland AG.</t>
  </si>
  <si>
    <t>Clinical Decision Support; Computer Interpretable Guidelines; Lipid Management; Notation3; Semantic Web</t>
  </si>
  <si>
    <t>Medroa Inacio P.M.; Saltan M.; Denecke K.</t>
  </si>
  <si>
    <t>Integrating Laboratory Testing Results at Point-of-Care in Hospital@Home Care Settings: A FHIR-Based Approach</t>
  </si>
  <si>
    <t>10.3233/SHTI240055</t>
  </si>
  <si>
    <t>The care model Hospital@Home offers hospital-level treatment at home, aiming to alleviate hospital strain and enhance patient comfort. Despite its potential, integrating digital health solutions into this care model still remains limited. This paper proposes a concept for integrating laboratory testing at the Point of Care (POC) into Hospital@Home models to improve efficiency and interoperability. Methods: Using the HL7 FHIR standard and cloud infrastructure, we developed a concept for direct transmission of laboratory data collected at POC. Requirements were derived from literature and discussions with a POC testing device producer. An architecture for data exchange was developed based on these requirements. Results: Our concept enables access to laboratory data collected at POC, facilitating efficient data transfer and enhancing interoperability. A hypothetical scenario demonstrates the concept's feasibility and benefits, showcasing improved patient care and streamlined processes in Hospital@Home settings. Conclusions: Integration of POC data into Hospital@Home models using the HL7 FHIR standard and cloud infrastructure offers potential to enhance patient care and streamline processes. Addressing challenges such as data security and privacy is crucial for its successful implementation into practice. © 2024 The Authors.</t>
  </si>
  <si>
    <t>Cloud solutions; FHIR; Hospital@Home; Interoperability; Point-of-Care testing</t>
  </si>
  <si>
    <t>Ulrich H.; Hendel R.; Bergh B.; Schreiweis B.</t>
  </si>
  <si>
    <t>Full-scale indexing and semantic annotation of CT imaging: boosting FAIRness</t>
  </si>
  <si>
    <t>10.1186/s12911-026-03378-4</t>
  </si>
  <si>
    <t>Background: The integration of artificial intelligence into medicine has led to significant advances, particularly in diagnostics and treatment planning. However, the reliability of AI models is highly dependent on the quality of the training data, especially in medical imaging, where varying patient data and evolving medical knowledge pose a challenge to the accuracy and generalizability of given datasets. Results: The proposed approach focuses on the integration and enhancement of clinical computed tomography (CT) image series for better findability, accessibility, interoperability, and reusability. Through an automated indexing process, CT image series are semantically enhanced using the TotalSegmentator framework for segmentation and resulting SNOMED CT annotations. The metadata is standardized with HL7 FHIR resources to enable efficient data recognition and data exchange between research projects. Conclusions: The study successfully integrates a robust process within the UKSH MeDIC, leading to the semantic enrichment of over 1.7 million CT image series and over 50 million SNOMED CT annotations. The standardized representation using HL7 FHIR resources improves discoverability and facilitates interoperability, providing a foundation for the FAIRness of medical imaging data. However, developing automated annotation methods that can keep pace with growing clinical datasets remains a challenge to ensure continued progress in large-scale integration and indexing of medical imaging for advanced healthcare AI applications. © The Author(s) 2026.</t>
  </si>
  <si>
    <t>Artificial intelligence; Computed tomography; Data standardization; Medical image processing; Semantic interoperability</t>
  </si>
  <si>
    <t>H. Ulrich; Institute for Medical Informatics and Artificial Intelligence, Kiel University and University Hospital Schleswig-Holstein, Schleswig-Holstein, Campus Kiel, Kiel, Germany; email: hannes.ulrich@uksh.de</t>
  </si>
  <si>
    <t>Kotov Y.; Yavorska E.; Tsupryk H.; Dzierżak R.; Reshetnik O.; Bokovets V.</t>
  </si>
  <si>
    <t>Evaluating interoperability and data quality in FHIR-based AI assessment pipelines</t>
  </si>
  <si>
    <t>Proceedings of SPIE - The International Society for Optical Engineering</t>
  </si>
  <si>
    <t>10.1117/12.3100561</t>
  </si>
  <si>
    <t>We present a comprehensive implementation and evaluation of a Fast Healthcare Interoperability Resources (FHIR)–based pipeline for patient-facing AI assessment. In this pipeline, patient-reported symptoms are ingested via a FHIR-compliant REST API as Observation resources, processed by an AI inference engine, and returned as structured FHIR output (e.g. Condition or DiagnosticReport resources). We performed a synthetic comparative study against a traditional, non-standardized data exchange approach (such as ad-hoc JSON or HL7 v2), measuring key metrics: data transmission latency, information completeness, and semantic integrity. Our results show that the FHIR pipeline yields substantially higher data completeness and fidelity (capturing nearly all required fields with correct coding) compared to the legacy format, at the cost of only modest increases in payload size and processing time. In numbers, the FHIR approach retained about 95% of required data fields versus ~70% for the custom pipeline, illustrating the benefit of standardized resource profiles. These findings align with prior work on FHIR-enabled data harmonization pipelines. We conclude that using FHIR standards significantly enhances data quality and interoperability for AI-driven patient assessment, providing a reusable blueprint for clinical AI system developers. All code for pipeline diagrams and performance charts (using Graphviz, Mermaid, Matplotlib, etc.) is made available to support reproducibility. © 2025 SPIE.</t>
  </si>
  <si>
    <t>artificial intelligence; generative language models; HL7 FHIR; interoperability; medical history (anamnesis); medical image management; service-oriented architecture</t>
  </si>
  <si>
    <t>Y. Kotov; Ternopil Ivan Puluj National Technical University, Ternopil, Ruska str., 56 46001, Ukraine; email: kotov20010731@gmail.com</t>
  </si>
  <si>
    <t>SPIE</t>
  </si>
  <si>
    <t>Reusche M.; Stäubert S.; Strübing A.; Schmidt F.; Yahiaoui-Doktor M.; von Borzestowski M.; Neumann D.; Loeffler M.</t>
  </si>
  <si>
    <t>Introducing the Database Schema Handling FHIR Data in the INTERPOLAR Project</t>
  </si>
  <si>
    <t>10.3233/SHTI250459</t>
  </si>
  <si>
    <t>The INTERPOLAR project of the German Medical Informatics Initiative investigates medication related problems. A relational database as part of a core data set tool chain was designed to process patient data from routine care represented as FHIR resources. Having the patient data available via SQL makes it easy to perform analyses, reports and connect to existing electronic data capture systems to get feedback from clinical users, like pharmacists. © 2025 The Authors.</t>
  </si>
  <si>
    <t>Core Data Set; Data Sharing; Database Schema; Database Structure; HL7 FHIR; Medical Data Science; Medical Informatics; Medical Informatics Initiative</t>
  </si>
  <si>
    <t>M. Reusche; IMISE, Universität Leipzig, Leipzig, Härtelstraße 16-18, 04107, Germany; email: matthias.reusche@uni-leipzig.de</t>
  </si>
  <si>
    <t>Heiba N.; Mohamad Y.; Velasco C.A.; Gappa H.; Berlage T.; Geisler S.</t>
  </si>
  <si>
    <t>Predicting and Understanding Care Levels of Elderly People with Machine Learning A Random Forest Classifier Integrated with E-Health App and FHIR-Based Data Modeling</t>
  </si>
  <si>
    <t>10.1007/978-3-031-48041-6_4</t>
  </si>
  <si>
    <t>Home care is a particularly important service for elderly people who need assistance with their management of everyday life from both formal and informal caregivers. In Europe 80% of care is provided by family and friends. Therefore, strengthening the home care by informal caregivers is a crucial task and requires smart solutions to stabilize the current situation. INGE smart solution addresses the challenge of determining and predicting accurate and appropriate care levels for the growing population of elderly individuals in need of care. To be able to achieve this goal, information and structured data are needed to support the smart approach of service development effectively. The proposed approach in INGE utilizes assessment ratings from consultancy visits as features to train and test the developed machine learning model. The performance of the developed random forest-based machine learning model is evaluated using various metrics such as accuracy, precision, recall, F1-score, and confusion matrix and compared with real data collected during the INGE project using the INGE app. The proposed approach achieves an 80% accuracy rate in predicting the care level of care dependents based on category ratings. The used dataset for training the model consists of 454 consultancy visits. The trained model shows that ratings of category self-care have the highest impact on care dependent’s care level sorting as it contributes by 27.1%. This study shows the potential of the INGE smart solution in optimizing both home care situation and care level classification. © The Author(s), under exclusive license to Springer Nature Switzerland AG 2023.</t>
  </si>
  <si>
    <t>E-Health; HL7/FHIR; Home care consultancy; Human computer interaction; Machine learning</t>
  </si>
  <si>
    <t>N. Heiba; Fraunhofer Institute for Applied Information Technology FIT Schloss Birlinghoven, Sankt Augustin, Germany; email: naguib.heiba@fit.fraunhofer.de</t>
  </si>
  <si>
    <t>Mohammed S.; Fiaidhi J.</t>
  </si>
  <si>
    <t>Establishment of a mindmap for medical e-Diagnosis as a service for graph-based learning and analytics</t>
  </si>
  <si>
    <t>Neural Computing and Applications</t>
  </si>
  <si>
    <t>10.1007/s00521-021-06200-6</t>
  </si>
  <si>
    <t>As medical services increasingly trying to harness advances in connected medical devices and the use of artificial intelligence, a new modeling strategy is essentially required to enable developers of the emerging medical applications to organize, integrate, and retain information in this new era of service-oriented healthcare. Such strategy needs to adhere to the principle of knowledge coupling that was advocated by Lawrence Weed, the father of modern problem-oriented medical records, in early 1970s where he defined the way medical information should be described for higher decision making. There has never been a more compelling time to use knowledge coupling related to both medical knowledge and the services build around them. The new digital technologies such as microservices, graph-based databases, Internet of Healthcare Things, and Cloud Computing as well as the non-digital disruptive events such as the pandemic have accelerated the adoption of new notions of service integration and knowledge coupling to provide the long waited solution for interoperability in healthcare as well as higher level of knowledge integration and analytics. The cornerstone of every new change is pointing toward the use of microservices and knowledge graph APIs to be able to thrive and lead in the uncertainty and healthcare change. This research paper uses the notion of mindmap to push conversation and guide scholars in developing effective microservice-based care systems that utilize knowledge graphs and the new care standards including the HL7 FHIR. Central to our mindmap is the GraphQL graph-based technology and the medical diagnosis as a service. This mindmap is the starting research point of our MITACS 2021 and NSERC DDG 2021 projects. © 2021, The Author(s), under exclusive licence to Springer-Verlag London Ltd., part of Springer Nature.</t>
  </si>
  <si>
    <t>e-Diagnosis as a service; FHIR; GraphQL; Microservices; Service federation; Service schema</t>
  </si>
  <si>
    <t>S. Mohammed; Department of Computer Science, Lakehead University, Thunder Bay, Canada; email: sabah.mohammed@lakeheadu.ca</t>
  </si>
  <si>
    <t>Wettstein R.; Kussel T.; Hund H.; Fegeler C.; Dugas M.; Hamacher K.</t>
  </si>
  <si>
    <t>Secure Multi-Party Computation Based Distributed Feasibility Queries-A HiGHmed Use Case</t>
  </si>
  <si>
    <t>10.3233/SHTI220802</t>
  </si>
  <si>
    <t>The integration of routine medical care data into research endeavors promises great value. However, access to this extra-domain data is constrained by numerous technical and legal requirements. The German Medical Informatics Initiative (MII)-initiated by the Federal Ministry of Research and Education (BMBF)-is making progress in setting up Medical Data Integration Centers to consolidate data stored in clinical primary information systems. Unfortunately, for many research questions cross-organizational data sources are required, as one organization's data is insufficient, especially in rare disease research. A first step, for research projects exploring possible multi-centric study designs, is to perform a feasibility query, i.e., a cohort size calculation transcending organizational boundaries. Existing solutions for this problem, like the previously introduced feasibility process for the MII's HiGHmed consortium, perform well for most use cases. However, there exist use cases where neither centralized data repositories, nor Trusted Third Parties are acceptable for data aggregation. Based on open standards, such as BPMN 2.0 and HL7 FHIR R4, as well as the cryptographic techniques of secure Multi-Party Computation, we introduce a fully automated, decentral feasibility query process without any central component or Trusted Third Party. The open source implementation of the proposed solution is intended as a plugin process to the HiGHmed Data Sharing Framework. The process's concept and underlying algorithms can also be used independently.  © 2022 The authors and IOS Press.</t>
  </si>
  <si>
    <t>BPMN; distributed processes; Feasibility queries; FHIR; medical informatics; privacy; secure multi-party computation</t>
  </si>
  <si>
    <t>R. Wettstein; Institute of Medical Informatics, Heidelberg University Hospital, Heidelberg, Im Neuenheimer Feld 130.3, 69120, Germany; email: reto.wettstein@med.uniheidelberg.de</t>
  </si>
  <si>
    <t>Chatterjee A.; Pahari N.; Prinz A.</t>
  </si>
  <si>
    <t>HL7 FHIR with SNOMED-CT to Achieve Semantic and Structural Interoperability in Personal Health Data: A Proof-of-Concept Study</t>
  </si>
  <si>
    <t>10.3390/s22103756</t>
  </si>
  <si>
    <t>Heterogeneity is a problem in storing and exchanging data in a digital health information system (HIS) following semantic and structural integrity. The existing literature shows different methods to overcome this problem. Fast healthcare interoperable resources (FHIR) as a structural standard may explain other information models, (e.g., personal, physiological, and behavioral data from heterogeneous sources, such as activity sensors, questionnaires, and interviews) with semantic vocabularies, (e.g., Systematized Nomenclature of Medicine—Clinical Terms (SNOMED-CT)) to connect personal health data to an electronic health record (EHR). We design and develop an intuitive health coaching (eCoach) smartphone application to prove the concept. We combine HL7 FHIR and SNOMED-CT vocabularies to exchange personal health data in JavaScript object notion (JSON). This study explores and analyzes our attempt to design and implement a structurally and logically compatible tethered personal health record (PHR) that allows bidirectional communication with an EHR. Our eCoach prototype implements most PHR-S FM functions as an interoperability quality standard. Its end-to-end (E2E) data are protected with a TSD (Services for Sensitive Data) security mechanism. We achieve 0% data loss and 0% unreliable performances during data transfer between PHR and EHR. Furthermore, this experimental study shows the effectiveness of FHIR modular resources toward flexible management of data components in the PHR (eCoach) prototype. © 2022 by the authors. Licensee MDPI, Basel, Switzerland.</t>
  </si>
  <si>
    <t>eCoach; FHIR; HL7; interoperability; PGHD; PHR; PHR-S FM; SNOMED-CT; TSD</t>
  </si>
  <si>
    <t>A. Chatterjee; Department of Information and Communication Technology, Center for eHealth, University of Agder, Kristiansand, 4630, Norway; email: ayan.chatterjee@uia.no</t>
  </si>
  <si>
    <t>Klausen T.; Hartig V.; Fuchs D.; Krueger N.; Jeltsch V.M.; Bild R.; Scheible R.</t>
  </si>
  <si>
    <t>A Digital Vaccination Pass Using Fast Healthcare Interoperability Resources: A Proof of Concept</t>
  </si>
  <si>
    <t>Digital</t>
  </si>
  <si>
    <t>10.3390/digital4020019</t>
  </si>
  <si>
    <t>The traditional manual recording of vaccination records in Germany faced challenges during the COVID-19 pandemic, prompting the introduction of a COVID smartphone app with QR codes. However, this solution brought new challenges, emphasizing the need for a centrally managed European digital vaccination record for efficiency and validity. This study assesses the feasibility of using the HL7 FHIR standard in the healthcare industry for implementing a digital vaccination pass management and monitoring system. The system aims to offer convenience and improved efficiency for both patients and healthcare providers while promoting interoperability with other healthcare systems. To this end, we developed a prototype using modern technologies, such as React, Quarkus, and Keycloak. Results indicate potential benefits for patients and healthcare providers, offering access to immunization records, personalized recommendations, and streamlined management. However, integrating nuanced vaccination processes into the standardized FHIR system requires custom extensions, which might hinder interoperability. Manual data entry and the integration of an identity provider present further obstacles in industry scenarios. Despite these challenges, this study suggests that implementing HL7 FHIR can enhance efficiency, data accessibility, and accuracy in the vaccination process, supporting broader digitization efforts in the German healthcare system and beyond. © 2024 by the authors.</t>
  </si>
  <si>
    <t>expert systems; feasibility analysis; FHIR; HL7; inference engine; medical data interoperability; prototype; public health informatics; software; vaccination pass</t>
  </si>
  <si>
    <t>R. Scheible; Institute of Artificial Intelligence and Informatics in Medicine, Chair of Medical Informatics, University Hospital Rechts der Isar, Technical University of Munich, Munich, 81675, Germany; email: raphael.scheible@tum.de</t>
  </si>
  <si>
    <t>Arcobelli V.A.; Moscato S.; Marfoglia A.; Nardini F.; Randi P.; Davalli A.; Carbonaro A.; Palumbo P.; Chiari L.; Mellone S.</t>
  </si>
  <si>
    <t>MOTU on FHIR: A preliminary strategy to enable interoperability for retrospective dataset standardization</t>
  </si>
  <si>
    <t>2023 IEEE EMBS Special Topic Conference on Data Science and Engineering in Healthcare, Medicine and Biology, IEEECONF 2023</t>
  </si>
  <si>
    <t>10.1109/IEEECONF58974.2023.10404816</t>
  </si>
  <si>
    <t>We present the application of HL7-FHIR to standardize a retrospective heterogeneous dataset, enhancing human/machine readability and interoperability.Clinical Relevance: The adopted strategy enables secondary use of clinical data in scientific medical research.  © 2023 IEEE.</t>
  </si>
  <si>
    <t>S. Mellone; University of Bologna, Department of Electrical, Electronic and Information Engineering 'Guglielmo Marconi' - Dei, Italy; email: sabato.mellone@unibo.it</t>
  </si>
  <si>
    <t>Fischer C.</t>
  </si>
  <si>
    <t>Open Ecosystem Through Secure Plug and Play Interoperability: An Overview</t>
  </si>
  <si>
    <t>Journal of Diabetes Science and Technology</t>
  </si>
  <si>
    <t>10.1177/19322968241310253</t>
  </si>
  <si>
    <t>Background: Interoperability is a critical enabler for integrated Personalized Diabetes Management (iPDM), automated insulin delivery (AID), and the digital transformation of healthcare in general. However, manufacturers still create closed ecosystems (ie, solutions designed to work end-to-end minimizing collaboration with other organizations) with proprietary interfaces because of various interoperability challenges. Therefore, the aim of this article is to provide an overview of how to achieve organizational interoperability in an open ecosystem (ie, solutions designed to integrate different organizations via interoperability standards) for diabetes management. Methods: The proposed interoperability design approach called Secure Plug and Play Interoperability (SPPI) supports building and using interoperable system elements in an open ecosystem. Secure Plug and Play Interoperability enables interoperability over the entire system life cycle with its reference architecture, secure interoperability standards, and organizational capabilities. These standards were developed with participation from healthcare providers, regulatory authorities, payers, academia, and manufacturers. Publicly available information provides examples of implementation support and practical usage. Results: Organizational interoperability in an open ecosystem can be achieved through organizational capabilities and a selection of secure interoperability standards. ISO/IEEE 11073, Bluetooth profiles, and HL7 FHIR with test specifications, test tools, software development kits, and quality assurance programs represent a coordinated selection suitable for building an open ecosystem. Practical usage is demonstrated with real-world solutions that build on these standards. Conclusions: Secure Plug and Play Interoperability facilitates the end-to-end integration of devices, digital products, and services from partners in an open ecosystem. Moreover, even a single manufacturer, who provides all system elements of a solution, can use and benefit from SPPI. © 2025 Diabetes Technology Society.</t>
  </si>
  <si>
    <t>automated insulin delivery; cybersecurity; integrated personalized diabetes management; privacy; reference architecture; standards</t>
  </si>
  <si>
    <t>C. Fischer; Roche Diabetes Care GmbH, Mannheim, Sandhofer Strasse 116, 68305, Germany; email: christoph.fischer@roche.com</t>
  </si>
  <si>
    <t>SAGE Publications Inc.</t>
  </si>
  <si>
    <t>Guinez-Molinos S.; Castillo B.; Seguel E.; Gonzalez J.</t>
  </si>
  <si>
    <t>CardioCx: A Health Information System for Complex and High-Risk Cardiac Procedures</t>
  </si>
  <si>
    <t>10.3233/SHTI250816</t>
  </si>
  <si>
    <t>CardioCx is a health information system for complex and high-risk cardiac procedures designed and developed in Chile. It is currently utilized to register cardiac surgery interventions at the Grant Benavente Hospital Cardiovascular Centre in Concepción. After ongoing development, modifications, and enhancements, the registry now includes 3,415 high-risk and complex cardiac procedures (the most comprehensive database in Latin America), comprising Isolated CABG (1,732), Isolated Valves (1,207), Combined CABG + Valves (224), and Others (252). The platform adheres to the standards of global cardiac surgery registries, enabling accurate data entry, consultation, and export for clinical analysis. Its architecture ensures interoperability with HL7 FHIR and incorporates an Artificial Intelligence layer for advanced analysis. © 2025 The Authors.</t>
  </si>
  <si>
    <t>Cardiovascular Diseases; Health Information Systems; Healthcare System; Public Health Surveillance</t>
  </si>
  <si>
    <t>S. Guinez-Molinos; Simulation and Biomedical Informatics Laboratory, Faculty of Medicine, Universidad de Talca, Chile; email: sguinez@utalca.cl</t>
  </si>
  <si>
    <t>The proceedings contain 21 papers. The special focus in this conference is on Information and Communication Technologies for Ageing Well and e-Health. The topics include: Advancements on Technology Acceptance and Adoption by Older Adults in the Context of the Second Digital Divide; technological Model Based on Blockchain Technology for Genetic Information Protection in the Health Sector; designing Pervasive Games Oriented Towards the Elderly: A Case Study; a Technological Solution to Supervise CoViD-19 Symptoms in Senior Patients in Lima; what Helps to Help? Exploring Influencing Human-, Technology-, and Context-Related Factors on the Adoption Process of Telemedical Applications in Nursing Homes; Categorization of Health Determinants into an EHR Paradigm Based on HL7 FHIR; multi-task Neural Networks for Pain Intensity Estimation Using Electrocardiogram and Demographic Factors; the Influence of Culture in the Adoption and Use of Mobile Applications in the Management of Non-communicable Disease; design and Initial Evaluation of Technology-Supported Shared Decision Making for Secondary Prevention in Cardiac Patients in the CoroPrevention Project; Extracting Color Name Features Utilized for Skin Disease Characterization and Comparing It to Other Representations Describing the ABCD Dermatological Criteria for Melanoma Inspection; a Personal Health Agent for Decision Support in Arrhythmia Diagnosis; The SMART BEAR Project: An Overview of Its Infrastructure; evaluating the Depression Level Based on Facial Image Analyzing and Patient Voice; advantages of Oversampling Techniques: A Case Study in Risk Factors for Fall Prediction; Exergaming with the GAME2AWE Platform: Design, Implementation and Evaluation Insights; Don’t You Worry ’bout a Thing? Identification and Quantification of Relevant Privacy Parameters Within the Acceptance of AAL Technology; an Attempt to Counter Agism in Gerontechnology Through the Engagement of Older Adults in the Development of Wisdom of Age.</t>
  </si>
  <si>
    <t>Nuhic S.; Werner P.; Kazdal D.; Menzel M.; Stenzinger A.; Martens U.M.; Fegeler C.; Budczies J.; Sigle S.</t>
  </si>
  <si>
    <t>Whole Exome Sequencing on FHIR: Towards Adoption in Clinical Practice for Precision Oncology Pipelines</t>
  </si>
  <si>
    <t>10.3233/SHTI251391</t>
  </si>
  <si>
    <t>Introduction: Whole Exome Sequencing (WES) promises to open a new range of personalized treatments due to breaking the limits of former panel-based methods of molecular analysis. While the methodology is well established and already included in clinical practice, data standardization is still lacking and potentially limiting implementation of machine-based data processing due to a lack of syntactic and semantic interoperability. The HL7 FHIR standard provides the mechanisms to retain interoperability while being sufficiently flexible to accommodate semantic concepts. Methods: Based on the clinical WES pipeline for the analysis of cancer tissues of the University Hospital Heidelberg, we created a UML like model and subsequently an Implementation Guide (IG) representing data contained in the molecular pathological report in FHIR considering the work of the HL7 Clinical Genomics Workgroup and extending the specification wherever necessary to be able to represent and persist the data in the FHIR format. Results: A FHIR IG is provided as part of this manuscript. To guide development and fully represent a report of molecular findings we defined 7 profiles, 10 ValueSets, 5 CodeSystems, 1 ConceptMap and 34 example resources. This effort marks a starting point for future standardization efforts incorporating WES into clinical practice. Conclusion: The artifacts presented in this work serve as a blueprint for future standardization efforts. Modern applications, such as digital platforms for Molecular Tumorboards but also data science and machine learning approaches could benefit greatly from semantic integrity and well-established interfaces (API) for molecular reporting, provided by this FHIR IG.  © 2025 The Authors.</t>
  </si>
  <si>
    <t>FHIR; Health Information Interoperability; Patient Care Management; Precision Oncology; Whole Exome Sequencing</t>
  </si>
  <si>
    <t>S. Sigle; MOLIT Institute GGmbH, Heilbronn, Im Zukunftspark 10, 74076, Germany; email: stefan.sigle@molit.eu</t>
  </si>
  <si>
    <t>Chen S.-Y.; Liu P.-C.; Chang K.-H.; Lai C.-F.</t>
  </si>
  <si>
    <t>Enterprise-scale multimodal federated self-supervised pretraining for privacy-preserving hyperautomation in healthcare information systems</t>
  </si>
  <si>
    <t>Enterprise Information Systems</t>
  </si>
  <si>
    <t>10.1080/17517575.2026.2629553</t>
  </si>
  <si>
    <t>Healthcare enterprises need multimodal AI but face privacy, non-IID heterogeneity, dynamic participation, and weak auditability. We propose an enterprise-scale multimodal federated self-supervised pretraining framework for privacy-preserving hyperautomation. A TargetNet-free federated BYOL learns modality-agnostic encoders for clinical text, images, and device signals without raw data sharing, while reducing communication and supporting client join/leave. An SOA stack with ESB integrates BPMN orchestration, RPA, and human confirmation, binding model I/O to HL7 FHIR and DICOM. Governance adds drift and uncertainty monitoring, audit logs, and lineage. Experiments show robust gains under severe non-IID and edge constraints. © 2026 Informa UK Limited, trading as Taylor &amp; Francis Group.</t>
  </si>
  <si>
    <t>data and knowledge management; Healthcare enterprise information systems; hyperautomation; multimodal federated self-supervised learning; privacy and governance</t>
  </si>
  <si>
    <t>C.-F. Lai; Department of Engineering Science, National Cheng Kung University, Tainan, Taiwan; email: cinfon@ieee.org</t>
  </si>
  <si>
    <t>Macedo M.; Wiedekopf J.; Hillmer T.; Schreiweis B.; Saalfeld S.; Ulrich H.</t>
  </si>
  <si>
    <t>From Text to Knowledge: An End-To-End Extraction Pipeline for Clinical Information</t>
  </si>
  <si>
    <t>10.3233/SHTI251004</t>
  </si>
  <si>
    <t>This study explores the use of Large Language Models (LLMs) in extracting and structuring allergic reaction data from non-English clinical free texts. Leveraging open-source models such as Llama 3.1, Qwen 2.5, and Mistral NeMo, the study utilizes 500 anonymized German discharge letters from the University Hospital Schleswig-Holstein to test an end-to-end workflow. The presented approach extracts allergy information, maps it to SNOMED CT codes, and formats it into HL7 FHIR-compliant resources. Results demonstrate high accuracy in substance detection and encoding, although encoding errors occur due to complex string-matching problems. Reaction identification proves challenging, with mixed performance across models. The study highlights the potential for further improvements through model training on specific terminologies and enhanced prompt engineering. Overall, this proof-of-concept shows the promise of LLMs for varied, domain-specific healthcare tasks, enabling automation and scalability in handling complex clinical data. © 2025 The Authors.</t>
  </si>
  <si>
    <t>Clinical Documentation; Data Integration; HL7 FHIR; Large Language Models; SNOMED CT</t>
  </si>
  <si>
    <t>M. Macedo; Institute for Medical Informatics and Statistics, Kiel University, University Hospital Schleswig-Holstein, Kiel, Germany; email: mario.macdeo@uksh.de</t>
  </si>
  <si>
    <t>Kobayashi S.; Kimura M.; Kodama Y.; Takada A.; Nagashima S.; Kawazoe Y.; Ohe K.</t>
  </si>
  <si>
    <t>Development of Japan-Specific HL7 FHIR Medication-Related Profiles</t>
  </si>
  <si>
    <t>10.1007/s10916-025-02173-4</t>
  </si>
  <si>
    <t>Adoption of the HL7 Fast Healthcare Interoperability Resources (FHIR) as the global standard for healthcare information exchange has encouraged many countries to develop localized implementation guides that align with their specific regulatory and clinical needs. In 2018, the NeXEHRS Academic Research Group of the Japan Association of Medical Informatics (JAMI) commenced the creation of JP Core, a collection of FHIR profiles tailored for the Japanese healthcare environment. This study is focused on JP Core v1.2.0 released in December 2024. This includes eight medication-related profiles and 23 extensions that optimize Japanese prescription workflows by incorporating local terminologies such as the HOT and YJ Codes. The transition from Simplifier.net to GitHub, coupled with adoption of the Sushi framework, improved collaboration, version control, and standardization. We also examine the Japanese approach to FHIR governance, highlighting the need for a formal regulatory framework akin to the US Core Implementation Guide and the European governance models. Key challenges include terminology binding, cross-border ePrescription integration, and ongoing profile maintenance. Recommendations include the establishment of a national governance body, alignment of domestic terminologies with international standards (e.g., SNOMED CT), and alignment of JP Core interoperability with global frameworks such as the International Patient Summary (IPS) and the European Union (EU) eHealth guidelines. By analyzing the evolution of JP Core and the integration thereof into the Japanese ePrescription ecosystem, this paper provides insights into future FHIR implementation in Japan and highlights lessons learned from international governance structures. © The Author(s), under exclusive licence to Springer Science+Business Media, LLC, part of Springer Nature 2025.</t>
  </si>
  <si>
    <t>ePrescription; Governance; HL7 FHIR; Interoperability; JP Core; Medication</t>
  </si>
  <si>
    <t>S. Kobayashi; Gifu University, Gifu, Japan; email: kobayashi.shinji.k6@f.gifu-u.ac.jp</t>
  </si>
  <si>
    <t>Bialke M.; Geidel L.; Hampf C.; Blumentritt A.; Penndorf P.; Schuldt R.; Moser F.-M.; Lang S.; Werner P.; Stäubert S.; Hund H.; Albashiti F.; Gührer J.; Prokosch H.-U.; Bahls T.; Hoffmann W.</t>
  </si>
  <si>
    <t>A FHIR has been lit on gICS: facilitating the standardised exchange of informed consent in a large network of university medicine</t>
  </si>
  <si>
    <t>10.1186/s12911-022-02081-4</t>
  </si>
  <si>
    <t>Background: The Federal Ministry of Education and Research of Germany (BMBF) funds a network of university medicines (NUM) to support COVID-19 and pandemic research at national level. The “COVID-19 Data Exchange Platform” (CODEX) as part of NUM establishes a harmonised infrastructure that supports research use of COVID-19 datasets. The broad consent (BC) of the Medical Informatics Initiative (MII) is agreed by all German federal states and forms the legal base for data processing. All 34 participating university hospitals (NUM sites) work upon a harmonised infrastructural as well as legal basis for their data protection-compliant collection and transfer of their research dataset to the central CODEX platform. Each NUM site ensures that the exchanged consent information conforms to the already-balloted HL7 FHIR consent profiles and the interoperability concept of the MII Task Force “Consent Implementation” (TFCI). The Independent Trusted Third-Party (TTP) of the University Medicine Greifswald supports data protection-compliant data processing and provides the consent management solutions gICS. Methods: Based on a stakeholder dialogue a required set of FHIR-functionalities was identified and technically specified supported by official FHIR experts. Next, a “TTP-FHIR Gateway” for the HL7 FHIR-compliant exchange of consent information using gICS was implemented. A last step included external integration tests and the development of a pre-configured consent template for the BC for the NUM sites. Results: A FHIR-compliant gICS-release and a corresponding consent template for the BC were provided to all NUM sites in June 2021. All FHIR functionalities comply with the already-balloted FHIR consent profiles of the HL7 Working Group Consent Management. The consent template simplifies the technical BC rollout and the corresponding implementation of the TFCI interoperability concept at the NUM sites. Conclusions: This article shows that a HL7 FHIR-compliant and interoperable nationwide exchange of consent information could be built using of the consent management software gICS and the provided TTP-FHIR Gateway. The initial functional scope of the solution covers the requirements identified in the NUM-CODEX setting. The semantic correctness of these functionalities was validated by project-partners from the Ludwig-Maximilian University in Munich. The production rollout of the solution package to all NUM sites has started successfully. © 2022, The Author(s).</t>
  </si>
  <si>
    <t>Consent management; FHIR; Informed Consent; Medical data management; Patient rights</t>
  </si>
  <si>
    <t>M. Bialke; Institute for Community Medicine, Department Epidemiology of Health Care and Community Health, University Medicine Greifswald, Greifswald, Ellernholzstr. 1-2, 17475, Germany; email: martin.bialke@uni-greifswald.de</t>
  </si>
  <si>
    <t>Frohner M.; Treml L.M.; Latikaynen D.; Goldmann A.; Leipold S.; Loidl H.; Urbauer P.</t>
  </si>
  <si>
    <t>Development of an Austrian HL7 Member FHIR IG Supporting Medication Ordering, Prescription and Dispense Processes</t>
  </si>
  <si>
    <t>10.3233/SHTI240686</t>
  </si>
  <si>
    <t>The Austrian research project Linked Care explored digitalization in mobile care, focusing on streamlining the medication process to save nursing staff time. A FHIR R5-based workflow was developed to support medication ordering by nurses, prescriptions by practitioners, and dispensing by pharmacies. Key FHIR resources were profiled and published in an HL7 Austria Member Implementation Guide (IG). The IG includes specifications and technical details for implementation and was the first member-contributed IG approved by the HL7 Austria FHIR community in early 2024. These specifications are now being implemented and will be tested in late 2024. © 2024 The Authors.</t>
  </si>
  <si>
    <t>HL7 FHIR; implementation guide; medication; workflow</t>
  </si>
  <si>
    <t>M. Frohner; Department Life Science Engineering, University of Applied Sciences Technikum Wien, Wien, Hoechstaedtplatz 6, 1200, Austria; email: frohner@technikumwien.at</t>
  </si>
  <si>
    <t>Kryszyn J.; Smolik W.T.; Wanta D.; Midura M.; Wróblewski P.</t>
  </si>
  <si>
    <t>Comparison of OpenEHR and HL7 FHIR Standards</t>
  </si>
  <si>
    <t>International Journal of Electronics and Telecommunications</t>
  </si>
  <si>
    <t>10.24425/ijet.2023.144330</t>
  </si>
  <si>
    <t>Health informatics is characterized by the need to securely store, process and transmit large amounts of sensitive medical data while ensuring interoperability with other systems. Among many standards used in such systems there are two which have gained interest in recent years and cover most of those needs: openEHR and HL7 FHIR. In this paper, both standards are discussed and compared with each other. The architecture of both systems, the similarities and differences, methods of data modeling and ensuring interoperability were presented. © The Author(s). This is an open-access article distributed under the terms of the Creative Commons Attribution License (CC BY 4.0, https://creativecommons.org/licenses/by/4.0/), which permits use, distribution, and reproduction in any medium, provided that the Article is properly cited.</t>
  </si>
  <si>
    <t>healthcare information technology; HL7 FHIR; medical computer systems; openEHR</t>
  </si>
  <si>
    <t>J. Kryszyn; Faculty of Electronics and Information Technology, Warsaw University of Technology, Warsaw, Poland; email: jacek.kryszyn@pw.edu.pl</t>
  </si>
  <si>
    <t>Polska Akademia Nauk</t>
  </si>
  <si>
    <t>Mohammed S.; Fiaidhi J.; Sawyer D.</t>
  </si>
  <si>
    <t>Introducing QL4POMR CRUD BFF for Processing IPS Standard Patient Summary Report on FHIR</t>
  </si>
  <si>
    <t>Proceedings of the 2022 IEEE 4th Eurasia Conference on Biomedical Engineering, Healthcare and Sustainability, ECBIOS 2022</t>
  </si>
  <si>
    <t>10.1109/ECBIOS54627.2022.9945031</t>
  </si>
  <si>
    <t>Patient Summary Report is an essential clinical practice that have been standardized by the HL7 FHIR using the IPS metadata to ensure patient mobility, enforcing interoperability and providing higher quality of health services across boarder care boundaries. However, the general clinical practice on compiling patient case report is based on the SOAP note as an integral part of the electronic healthcare record (EHR). SOAP note is a concise description of the patient care journey which can be configured from EHR system to generate patient summary report that can be used for different purposes including patient self-management after hospital discharge or for referral purposes. SOAP is also used to summarize patient cases by clerkships in clinical rotations. This article presented a QL4POMR framework to integrate the two worlds of generating patient summaries based on SOAP which can be converted to the standard IPS format using reactive GraphQL API. The proposed conversion framework model the conversion using the backend for frontend pattern (BFF). Clinicians can generate patient summaries using the framework CRUD primitives. © 2022 IEEE.</t>
  </si>
  <si>
    <t>GraphQL; Problem Oriented Medical Record; QL4POMR; SOAP</t>
  </si>
  <si>
    <t>Erturkmen G.B.L.; Juul N.K.; Redondo I.E.; Gil A.O.; Berastegui D.V.; de Manuel E.; Yuksel M.; Sarigul B.; Yilmaz G.; Choi Keung S.N.L.I.M.; Arvanitis T.N.; Syse T.D.; Bloemeke-Cammin J.; Kaye R.; Sorknæs A.D.</t>
  </si>
  <si>
    <t>Design, implementation and usability analysis of patient empowerment in ADLIFE project via patient reported outcome measures and shared decision making</t>
  </si>
  <si>
    <t>10.1186/s12911-024-02588-y</t>
  </si>
  <si>
    <t>Introduction: This paper outlines the design, implementation, and usability study results of the patient empowerment process for chronic disease management, using Patient Reported Outcome Measurements and Shared Decision-Making Processes. Background: The ADLIFE project aims to develop innovative, digital health solutions to support personalized, integrated care for patients with severe long-term conditions such as Chronic Obstructive Pulmonary Disease, and/or Chronic Heart Failure. Successful long-term management of patients with chronic conditions requires active patient self-management and a proactive involvement of patients in their healthcare and treatment. This calls for a patient-provider partnership within an integrated system of collaborative care, supporting self-management, shared-decision making, collection of patient reported outcome measures, education, and follow-up. Methods: ADLIFE follows an outcome-based and patient-centered approach where PROMs represent an especially valuable tool to evaluate the outcomes of the care delivered. We have selected 11 standardized PROMs for evaluating the most recent patients’ clinical context, enabling the decision-making process, and personalized care planning. The ADLIFE project implements the "SHARE approach’ for enabling shared decision-making via two digital platforms for healthcare professionals and patients. We have successfully integrated PROMs and shared decision-making processes into our digital toolbox, based on an international interoperability standard, namely HL7 FHIR. A usability study was conducted with 3 clinical sites with 20 users in total to gather feedback and to subsequently prioritize updates to the ADLIFE toolbox. Results: User satisfaction is measured in the QUIS7 questionnaire on a 9-point scale in the following aspects: overall reaction, screen, terminology and tool feedback, learning, multimedia, training material and system capabilities. With all the average scores above 6 in all categories, most respondents have a positive reaction to the ADLIFE PEP platform and find it easy to use. We have identified shortcomings and have prioritized updates to the platform before clinical pilot studies are initiated. Conclusions: Having finalized design, implementation, and pre-deployment usability studies, and updated the tool based on further feedback, our patient empowerment mechanisms enabled via PROMs and shared decision-making processes are ready to be piloted in clinal settings. Clinical studies will be conducted based at six healthcare settings across Spain, UK, Germany, Denmark, and Israel. © The Author(s) 2024.</t>
  </si>
  <si>
    <t>Chronic Disease Management; Decision Aids; Interoperability; Patient Empowerment Platform; Patient Reported Outcome Measures; Shared Decision Making</t>
  </si>
  <si>
    <t>G.B.L. Erturkmen; SRDC Software Research Development &amp; amp; Consultancy Corp, ODTU Teknokent Silikon Blok Kat, Ankara, 1 No:16 Cankaya, 06800, Turkey; email: gokce@srdc.com.tr</t>
  </si>
  <si>
    <t>Rizzato Lede D.A.; Molina H.F.; Bertoglia M.P.; Otzoy D.; Benavides L.A.; Donis J.A.; Osorio V.B.; Aguilar C.; Bustos J.L.; Diaz M.; Revirol K.; Galindo C.; Mansilla J.; Campos F.; Kaminker D.; D'Agostino M.; Pastor D.</t>
  </si>
  <si>
    <t>Using FHIR to Support COVID-19 Vaccine Safety Electronic Case Reports in America</t>
  </si>
  <si>
    <t>10.3233/SHTI220558</t>
  </si>
  <si>
    <t>During the COVID-19 pandemic, the Pan American Health Organization (PAHO) promoted several activities to strengthen the countries' emergency response. Vaccines represented a breakthrough in the pandemic evolution, even though they have not been equitably distributed. As most vaccines have received emergency authorizations for their timely delivery, vaccine safety surveillance has been highlighted for detecting early signals of potential adverse events following immunization (AEFI, also known as ESAVI). The objective of this article is to share the different steps, methodologies, and preliminary results of a regional policy to strengthen the ESAVI surveillance system in the Americas, including the adoption of HL7 FHIR for health information exchange between countries and PAHO.  © 2022 European Federation for Medical Informatics (EFMI) and IOS Press.</t>
  </si>
  <si>
    <t>adverse events following immunization; events supposedly attributable to vaccination or immunization; fast healthcare interoperability resources; health information exchange; interoperability; vaccine safety</t>
  </si>
  <si>
    <t>D.A. Rizzato Lede; Pan American Health Organization, Washington, United States; email: rizzatodan@paho.org</t>
  </si>
  <si>
    <t>Morabito G.; Ruggeri A.; Celesti A.; Villari M.; Fazio M.</t>
  </si>
  <si>
    <t>Intent-Based Pseudonymization for Healthcare Workflows on Intra-Hospital Data Space Domain</t>
  </si>
  <si>
    <t>Proceedings - 2024 IEEE 48th Annual Computers, Software, and Applications Conference, COMPSAC 2024</t>
  </si>
  <si>
    <t>10.1109/COMPSAC61105.2024.00127</t>
  </si>
  <si>
    <t>Hospitals suffer from implementing Data Spaces due to the risks related to data security aspects. To ensure patients' data privacy, healthcare organizations can incorporate pseudonymization strategies into their data management practices, promoting collaboration and information sharing among several hospital departments and healthcare professionals. In this paper, we defined and implemented the intent-based mul-tilevel granular approach for HL7 FHIR JSON documents pseudonymization, by comparing it with non-granular encryption of the entire document. With this approach, we enhance patient confidentiality and facilitate efficient healthcare data sharing within the Intra-Hospital Data Space, facilitating enhanced flexibility and scalability in deploying and utilizing data management systems.  © 2024 IEEE.</t>
  </si>
  <si>
    <t>Data Space; Health Data; HL7 FHIR; Intent-based Pseudonymization; Privacy; Workflow</t>
  </si>
  <si>
    <t>G. Morabito; University of Messina, Department of Biomedical Sciences, Dental Sciences, and Morphological and Functional Imaging, Messina, Italy; email: gamorabito@unime.it</t>
  </si>
  <si>
    <t>Guerrero G.; Halabi-Echeverry A.X.; Aldana J.C.</t>
  </si>
  <si>
    <t>Metadata for Complementing Standards and Formalisation of the Technical Reserve Calculation</t>
  </si>
  <si>
    <t>Proceedings of the I-ESA Conferences</t>
  </si>
  <si>
    <t>10.1007/978-3-030-90387-9_21</t>
  </si>
  <si>
    <t>The Colombian health sector is comprised among other entities by Health Promoting Entities (EPS) which currently face several challenges given the complexity of the activities they carry out with their insurance role. Innumerable problems with the service promise and poor-quality information used for analysis, management and decision-making treat their sustainability. The information processes of the EPS are focused on collecting the information for the calculation of the Technical Reserve (provisions) according to a regulated period. The formalisation of the information the EPS produced from several repositories is often mislead or deceived. This paper presents a rudimentary metadata for complementing standards and formalisation of the Technical Reserve calculation, underlying one of the most recurrent standards for this aim ‘the HL7 FHIR standard (release 4)’. Conclusions point to an evidence that the Colombian health system is in the early stages of data management. It is important to begin by associating standards such as the HL7-FHIR with the local requirements allowing harmonised and seamless communication between the parts of the system. Similarly, opportunities exist to make available the HL7-FHIR standard to facilitate the calculation of the Technical Reserve in Colombia and other countries of the region. © 2023, The Author(s), under exclusive license to Springer Nature Switzerland AG.</t>
  </si>
  <si>
    <t>ETL formalisation; HL7 FHIR standard; Policy and regulation; Public Health Organisations</t>
  </si>
  <si>
    <t>A.X. Halabi-Echeverry; Research and Advise, NextPort vCoE INC., North Ryde, 2113, Australia; email: axhalabi@nextport.com.co</t>
  </si>
  <si>
    <t>Bae Y.S.; Park Y.; Lee S.M.; You H.; Park Y.; Lee H.; Yoon H.-J.</t>
  </si>
  <si>
    <t>Implementation of Interoperable Healthcare Standards for Community Healthcare</t>
  </si>
  <si>
    <t>10.3233/SHTI230146</t>
  </si>
  <si>
    <t>Building an integrated data model that includes not only clinical data but also personal health records has become increasingly important. We aimed to build a big data healthcare platform by developing a common data model that can be utilized in the healthcare field. To this end, we acquired health data from various communities to establish community care digital healthcare service models. Further, to improve personal health data interoperability, we ensured conformance to international standards, namely, the Systemized Nomenclature of Medicine Clinical Terms (SNOMED-CT) and transmission standards, namely, Health Level 7 Fast Healthcare Interoperability Resource (HL7 FHIR). Furthermore, FHIR resource profiling was designed to transmit and receive data, following the HL7 FHIR R4 guidelines. © 2023 European Federation for Medical Informatics (EFMI) and IOS Press.</t>
  </si>
  <si>
    <t>bigdata platform; FHIR; Healthcare standards; HL7; patient generated health data; Systemized Nomenclature of Medicine Clinical terms</t>
  </si>
  <si>
    <t>Y. Park; Department of Family Medicine, Kangbuk Samsung Hospital, Sungkyunkwan University School of Medicine, South Korea; email: armeniaca04@gmail.com</t>
  </si>
  <si>
    <t>Wang T.; Wang N.; Huang Y.; Wang S.; Cheng Y.; Zhang X.</t>
  </si>
  <si>
    <t>Construction and thinking of the safety system for elderly hospitalized patients</t>
  </si>
  <si>
    <t>Proceedings of 2025 6th International Symposium on Artificial Intelligence for Medical Sciences, ISAIMS 2025</t>
  </si>
  <si>
    <t>10.1145/3777577.3777717</t>
  </si>
  <si>
    <t>Background: Elderly hospitalized patients are subject to multiple risks, including falls, nosocomial infections, medication misuse, mental confusion, and pressure injuries. Risk coupling is exacerbated during the referral stage, and a single strategy is difficult to maintain long-term benefits.Methods: A G-SAFE closed-loop system was established for elderly hospitalized patients. This system integrated HL7-FHIR data collection and feature display, task-specific multi-risk prediction (falls, nosocomial infections, adverse drug events, delirium, and nosocomial pressure ulcers), and temperature adjustment with unified calibration using the ECE/Brier method. Within budget and resource constraints, intervention measures were rationally allocated, and an audit feedback loop was used to promote continuous training and threshold calibration.XGBoost outperformed traditional scales in the prediction of falls in stroke hospitalization, based on international benchmarks. The calibration process significantly improved the reliability of the HAPI model. Under given resource conditions, weighted risk reduction was achieved through resource optimization, and the error frequency of pharmaceutical reconciliation during the transition process was significantly reduced.Conclusion: The data-driven comprehensive risk intervention model achieved interpretable safety effects and inter-hospital applicability under the premise of limited resources. Future multicenter prospective evaluation is needed, incorporating equity constraints and quantitative analysis of long-term functional outcomes.  © 2025 Copyright held by the owner/author(s).</t>
  </si>
  <si>
    <t>Elderly hospitalization safety, hospital falls, hospital-acquired infection (HAI), adverse medication events (ADE), delirium; high-pressure injury (HAPI), clinical decision support (CDS), resource allocation optimization</t>
  </si>
  <si>
    <t>X. Zhang; Hubei Provincial Hospital of Traditional Chinese Medicine, Wuhan, Hubei, China; email: 1239702016@qq.com</t>
  </si>
  <si>
    <t>Association for Computing Machinery, Inc</t>
  </si>
  <si>
    <t>Martínez-García A.; Cangioli G.; Chronaki C.; Löbe M.; Beyan O.; Juehne A.; Parra-Calderón C.L.</t>
  </si>
  <si>
    <t>FAIRness for FHIR: Towards Making Health Datasets FAIR Using HL7 FHIR</t>
  </si>
  <si>
    <t>10.3233/SHTI220024</t>
  </si>
  <si>
    <t>Medical data science aims to facilitate knowledge discovery assisting in data, algorithms, and results analysis. The FAIR principles aim to guide scientific data management and stewardship, and are relevant to all digital health ecosystem stakeholders. The FAIR4Health project aims to facilitate and encourage the health research community to reuse datasets derived from publicly funded research initiatives using the FAIR principles. The 'FAIRness for FHIR' project aims to provide guidance on how HL7 FHIR could be utilized as a common data model to support the health datasets FAIRification process. This first expected result is an HL7 FHIR Implementation Guide (IG) called FHIR4FAIR, covering how FHIR can be used to cover FAIRification in different scenarios. This IG aims to provide practical underpinnings for the FAIR4Health FAIRification workflow as a domain-specific extension of the GoFAIR process, while simplifying curation, advancing interoperability, and providing insights into a roadmap for health datasets FAIR certification. © 2022 International Medical Informatics Association (IMIA) and IOS Press.</t>
  </si>
  <si>
    <t>Guideline; Health Information Interoperability; Reference Standards</t>
  </si>
  <si>
    <t>A. Martínez-García; Grp. for Res. and Innovation in Biomedical Informatics, Biomedical Engineering and Health Economy, Institute of Biomedicine of Seville, IBiS/'Virgen Del Rocío' University Hospital /CSIC/University of Seville, Seville, 41013, Spain; email: alicia.martinez.garcia@juntadeandalucia.es</t>
  </si>
  <si>
    <t>Gulzar Y.; Reegu F.A.; Jabbari A.; Sonkamble R.G.; Mir M.S.; Soomro A.B.</t>
  </si>
  <si>
    <t>BlockMed: AI Driven HL7-FHIR Translation with Blockchain-Based Security</t>
  </si>
  <si>
    <t>International Journal of Advanced Computer Science and Applications</t>
  </si>
  <si>
    <t>10.14569/IJACSA.2025.0160233</t>
  </si>
  <si>
    <t>Blockchain is a peer-to-peer (P2P) network that distributes information and protects data integrity, security, and privacy. Constant simplification is required for information exchange. This comprehensive assessment seamlessly integrates Electronic Health Record (EHRs) with blockchain technology. EHRs are represented with different standards mainly HL7 and FHIR. EHR should be interpreted to both parties after exchange. Such interpretation after exchange may face few interoperable challenges. To overcome EHR interoperability difficulties, 18 blockchain-based alternatives were examined. Despite their promise, these systems have a variety of drawbacks, including reliability, privacy, data integrity, and collaborative sharing. Six phases make up the systematic review: research, investigation, article curation, keyword abstraction, data distillation, and project trajectory monitoring. In total, 18 seminal articles on EHR interoperability and Blockchain integration were identified. Many unique interoperability methods are proposed for Blockchain-integrated EHR systems in these contributions. Several Blockchain applications, standards, and issues associated with EHR interoperability are described and analyzed. Implemented and proposed blockchain-based EHR frameworks are numerous. The security aspects have been covered, but standards compliance and interoperability requirements are lacking. Research in this area is needed. This research study has analyzed the different national and international EHR standards. This paper describes the current state of EHRs, including blockchain-based implementations, along with the interoperability issues between existing blockchain-based EHR frameworks. The research has proposed novel BlockMed framework which is interoperable for the HL7 and FHIR EHR standards. BlockMed framework is evaluated with Data Accuracy, Mapping Quality, Response Time, Latency, Interoperability Coverage, AI Model Efficiency, Consent and Security Management, Cross-Chain Support, Patient and Provider Satisfaction. © (2025), (Science and Information Organization). All rights reserved.</t>
  </si>
  <si>
    <t>and healthcare system; Blockchain; electronic health records (EHRs); health care; interoperability</t>
  </si>
  <si>
    <t>Y. Gulzar; Department of Management Information Systems, College of Business Administration, King Faisal University, Al-Ahsa, 31982, Saudi Arabia; email: ygulzar@kfu.edu.sa</t>
  </si>
  <si>
    <t>Science and Information Organization</t>
  </si>
  <si>
    <t>Broshka E.; Jahankhani H.</t>
  </si>
  <si>
    <t>Evaluating the Importance of SSI-Blockchain Digital Identity Framework for Cross-Border Healthcare Patient Record Management</t>
  </si>
  <si>
    <t>Advanced Sciences and Technologies for Security Applications</t>
  </si>
  <si>
    <t>10.1007/978-3-031-72821-1_5</t>
  </si>
  <si>
    <t>In today’s healthcare landscape, the demand for exchanging healthcare data across borders is escalating, but it comes with significant challenges such as privacy and regulatory compliance. The integration of Self-Sovereign Identity (SSI) with blockchain technology emerges as a promising solution. This research evaluates the significance of the SSI-Blockchain Digital Identity framework in overseeing cross-border healthcare records and investigates its integration with the General Data Protection Regulation (GDPR) and Health Level Seven (HL7) Fast Healthcare Interoperability Resources (FHIR) standards. It provides an examination of the proposed framework, focusing on its attribute to target the privacy, security, interoperability, societal acceptance challenges. The results suggests that the integration the SSI-Blockchain framework with GDPR and HL7 FHIR standards significantly addresses issues related to data protection, privacy, interoperability, and regulatory adherence in cross-border patient health record management. Security evaluation identifies potential weaknesses in credential issuance and verification processes, leading to suggestions for strengthening encryption and authentication mechanisms to safeguard patient data. © The Author(s), under exclusive license to Springer Nature Switzerland AG 2025.</t>
  </si>
  <si>
    <t>Blockchain; Cross border healthcare; Cybersecurity; Fast healthcare interoperability resources (FHIR); GDPR; Self-sovereign identity (SSI)</t>
  </si>
  <si>
    <t>H. Jahankhani; Northumbria University London, London, United Kingdom; email: Hamid.jahankhani@northumbria.ac.uk</t>
  </si>
  <si>
    <t>Bikkanuri M.; Robins T.T.; Wong L.; Seker E.; Greer M.L.; Williams T.B.; Garza M.Y.</t>
  </si>
  <si>
    <t>Measuring the Coverage of the HL7® FHIR® Standard in Supporting Data Acquisition for 3 Public Health Registries</t>
  </si>
  <si>
    <t>10.1007/s10916-023-02033-z</t>
  </si>
  <si>
    <t>With the increasing need for timely submission of data to state and national public health registries, current manual approaches to data acquisition and submission are insufficient. In clinical practice, federal regulations are now mandating the use of data messaging standards, i.e., the Health Level Seven (HL7®) Fast Healthcare Interoperability Resources (FHIR®) standard, to facilitate the electronic exchange of clinical (patient) data. In both research and public health practice, we can also leverage FHIR® ‒ and the infrastructure already in place for supporting exchange of clinical practice data ‒ to enable seamless exchange between the electronic medical record and public health registries. That said, in order to understand the current utility of FHIR® for supporting the public health use case, we must first measure the extent to which the standard resources map to the required registry data elements. Thus, using a systematic mapping approach, we evaluated the level of completeness of the FHIR® standard to support data collection for three public health registries (Trauma, Stroke, and National Surgical Quality Improvement Program). On average, approximately 80% of data elements were available in FHIR® (71%, 77%, and 92%, respectively; inter-annotator agreement rates: 82%, 78%, and 72%, respectively). This tells us that there is the potential for significant automation to support EHR-to-Registry data exchange, which will reduce the amount of manual, error-prone processes and ensure higher data quality. Further, identification of the remaining 20% of data elements that are “not mapped” will enable us to improve the standard and develop profiles that will better fit the registry data model. © The Author(s) 2024.</t>
  </si>
  <si>
    <t>Data Elements; HL7 FHIR; Interoperability; Public Health; Real-world data; Registries</t>
  </si>
  <si>
    <t>M.Y. Garza; Department of Population Health Sciences, University of Texas Health Science Center at San Antonio, San Antonio, United States; email: garzam46@uthscsa.edu</t>
  </si>
  <si>
    <t>Peretokin V.; Basdekis I.; Kouris I.; Maggesi J.; Sicuranza M.; Su Q.; Acebes A.; Bucur A.; Mukkala V.J.R.; Pozdniakov K.; Kloukinas C.; Koutsouris D.D.; Iliadou E.; Leontsinis I.; Gallo L.; De Pietro G.; Spanoudakis G.</t>
  </si>
  <si>
    <t>Overview of the SMART-BEAR Technical Infrastructure</t>
  </si>
  <si>
    <t>International Conference on Information and Communication Technologies for Ageing Well and e-Health, ICT4AWE - Proceedings</t>
  </si>
  <si>
    <t>10.5220/0011082700003188</t>
  </si>
  <si>
    <t>This paper describes a cloud-based platform that offers evidence-based, personalised interventions powered by Artificial Intelligence to help support efficient remote monitoring and clinician-driven guidance to people over 65 who suffer or are at risk of hearing loss, cardiovascular diseases, cognitive impairments, balance disorders, and mental health issues. This platform has been developed within the SMART-BEAR integrated project to power its large-scale clinical pilots and comprises a standards-based data harmonisation and management layer, a security component, a Big Data Analytics system, a Clinical Decision Support tool, and a dashboard component for efficient data collection across the pilot sites. Copyright © 2022 by SCITEPRESS – Science and Technology Publications, Lda. All rights reserved.</t>
  </si>
  <si>
    <t>Ageing; AI; Balance Disorder; Cardiovascular Disease; Cloud; Evidence-based; GDPR; Healthcare; Hearing Loss; HL7 FHIR; Semantic Interoperability</t>
  </si>
  <si>
    <t>Science and Technology Publications, Lda</t>
  </si>
  <si>
    <t>Wiedekopf J.; Ohlsen T.; Kock-Schoppenhauer A.-K.; Ingenerf J.</t>
  </si>
  <si>
    <t>BabelFSH—a toolkit for an effective HL7 FHIR-based terminology provision</t>
  </si>
  <si>
    <t>10.1186/s13326-025-00343-4</t>
  </si>
  <si>
    <t>Background: HL7 FHIR terminological services (TS) are a valuable tool towards better healthcare interoperability, but require representations of terminologies using FHIR resources to provide their services. As most terminologies are not natively distributed using FHIR resources, converters are needed. Large-scale FHIR projects, especially those with a national or even an international scope, define enormous numbers of value sets and reference many large and complex code systems, which must be regularly updated in TS and other systems. This necessitates a flexible, scalable and efficient provision of these artifacts. This work aims to develop a comprehensive, extensible and accessible toolkit for FHIR terminology conversion, making it possible for terminology authors, FHIR profilers and other actors to provide standardized TS for large-scale terminological artifacts. Implementation: Based on the prevalent HL7 FHIR Shorthand (FSH) specification, a converter toolkit, called BabelFSH, was created that utilizes an adaptable plugin architecture to separate the definition of content from that of the needed declarative metadata. The development process was guided by formalized design goals. Results: All eight design goals were addressed by BabelFSH. Validation of the systems’ performance and completeness was exemplarily demonstrated using Alpha-ID-SE, an important terminology used for diagnosis coding especially of rare diseases within Germany. The tool is now used extensively within the content delivery pipeline for a central FHIR TS with a national scope within the German Medical Informatics Initiative and Network University Medicine and demonstrates adequate usability for FHIR developers. Discussion: The first development focus was geared towards the requirements of the central research FHIR TS for the federated FHIR infrastructure in Germany, and has proven to be very useful towards that goal. Opportunities for further improvement were identified in the validation process especially, as the validation messages are currently imprecise at times. The design of the application lends itself to the implementation of further use cases, such as direct connectivity to legacy systems for catalog conversion to FHIR. Conclusions: The developed BabelFSH tool is a novel, powerful and open-source approach to making heterogenous sources of terminological knowledge accessible as FHIR resources, thus aiding semantic interoperability in healthcare in general. © The Author(s) 2025.</t>
  </si>
  <si>
    <t>HL7 FHIR; Knowledge bases; Terminology as topic; Terminology servers</t>
  </si>
  <si>
    <t>J. Wiedekopf; Institute of Medical Biometry and Statistics, Section for Clinical Research IT, University of Luebeck and University Hospital Schleswig-Holstein, Luebeck, 160 Ratzeburger Allee, 23562, Germany; email: j.wiedekopf@uni-luebeck.de</t>
  </si>
  <si>
    <t>Shafqat S.; Anwar Z.; Javaid Q.; Ahmad H.F.</t>
  </si>
  <si>
    <t>A Unified Deep Learning Diagnostic Architecture for Big Data Healthcare Analytics</t>
  </si>
  <si>
    <t>Proceedings - 2023 IEEE 15th International Symposium on Autonomous Decentralized Systems, ISADS 2023</t>
  </si>
  <si>
    <t>10.1109/ISADS56919.2023.10092137</t>
  </si>
  <si>
    <t>Healthcare automation is evolving rapidly as can been seen in the recent popularity of e-health or digital health systems. The massive amount of health related data produced by these systems has given rise to the field of health informatics. The World Health organization (WHO) decomposes SMARThealth as Standards-based, Machine-readable, Adaptive, Requirementsbased, and Testable, and provides guidelines for digital health. Heterogeneous and big health data health that flows into the cloud requires considerations for uniformity of structure to allow for interoperability and generalizability for universal use and analysis. This research proposes a deep-learning architecture for disease diagnosis that considers Diabetes Mellitus (DM) as a case study. Three corpuses containing DM patient data are considered which are prepared and processed using extensive data warehousing techniques and labeled with ICD-10-CM diagnostic codes. Extraction of desired health data is through a unified data model for healthcare that is in compliance with HL7 FHIR v4.0 schema. Our contributions are two-fold: First, three big data cloud analytical models are proposed and validated on the unified corpora and second the maximum possible diseases specific to a single or multiple DM patients have been diagnosed with a 100% accuracy using deep multinomial/multi-label distribution learning (DMDL).  © 2023 IEEE.</t>
  </si>
  <si>
    <t>big data; deep learning; diagnostic architecture; healthcare analytics; HPC</t>
  </si>
  <si>
    <t>S. Shafqat; International Islamic University (IIUI), Department of Basic and Applied Sciences, Islamabad, Pakistan; email: sarah.shafqat@gmail.com</t>
  </si>
  <si>
    <t>Yamapeawan N.; Mayakul T.; Sukamongkol Y.</t>
  </si>
  <si>
    <t>Provision of a smart medical and wellness travel program for hemodialysis patients</t>
  </si>
  <si>
    <t>10th IEEE International Smart Cities Conference: Smart Cities: Revolution for Mankind, ISC2 2024 - Proceedings</t>
  </si>
  <si>
    <t>10.1109/ISC260477.2024.11004200</t>
  </si>
  <si>
    <t>Travel for hemodialysis patients is challenging due to health constraints and needs for complex planning. This research develops an innovative medical and health tourism system and application for international dialysis patients. We adopt various relevant standards to ensure system quality, trust, and smart health, including FHIR for health data, international medical tourism guidelines, international hemodialysis standards, and cross-border healthcare regulations. Additionally, privacy and security concerns are addressed by adhering to key principles such as ISO 27269, HIPAA, GDPR, and ISMS. The set of requirements was analyzed to develop the system architecture and application prototype. This smart program demonstrates practical implementation, workflow, and expected system effectiveness. These concepts were evaluated using the Unified Theory of Acceptance and Use of Technology (UTAUT). The experts from 30 medical personals who work closely with hemodialysis patients, responding with high acceptance and strong agreement. Our prototype shows usability and expects to promote the patient benefit and reduce the burden of disease. Implementing this smart tourism solution for hemodialysis patients should enhance patient well-being by ensuring safety and continuous treatment through standard adherence. © 2024 IEEE.</t>
  </si>
  <si>
    <t>Hemodialysis; HL7 FHIR; Medical tourism</t>
  </si>
  <si>
    <t>Wiedekopf J.; Drenkhahn C.; Rosenau L.; Ulrich H.; Kock-Schoppenhauer A.-K.; Ingenerf J.</t>
  </si>
  <si>
    <t>TerminoDiff-Detecting Semantic Differences in HL7 FHIR CodeSystems</t>
  </si>
  <si>
    <t>10.3233/SHTI220475</t>
  </si>
  <si>
    <t>While HL7 FHIR and its terminology package have seen a rapid uptake by the research community, in no small part due to the wide availability of tooling and resources, there are some areas where tool availability is still lacking. In particular, the comparison of terminological resources, which supports the work of terminologists and implementers alike, has not yet been sufficiently addressed. Hence, we present TerminoDiff, an application to semantically compare FHIR R4 CodeSystem resources. Our tool considers differences across all levels required, i.e. metadata and concept differences, as well as differences in the edge graph, and surfaces them in a visually digestible fashion.  © 2022 European Federation for Medical Informatics (EFMI) and IOS Press.</t>
  </si>
  <si>
    <t>Health Information Exchange; HL7 FHIR; Terminology as Topic; Vocabulary</t>
  </si>
  <si>
    <t>J. Wiedekopf; Institute of Medical Informatics, University of Lübeck, Lübeck, Ratzeburger Allee 160, 23564, Germany; email: j.wiedekopf@uni-luebeck.de</t>
  </si>
  <si>
    <t>Tomášik R.; Konar; Eklund N.; Engels C.; Dudova Z.; Kacová R.; Hrstka R.; Holub P.</t>
  </si>
  <si>
    <t>Definitions to data flow: Operationalizing MIABIS in HL7 FHIR</t>
  </si>
  <si>
    <t>10.1016/j.jbi.2025.104919</t>
  </si>
  <si>
    <t>Objective: Biobanks and biomolecular resources are increasingly central to data-driven biomedical research, encompassing not only metadata but also granular, sample-related data from diverse sources such as healthcare systems, national registries, and research outputs. However, the lack of a standardised, machine-readable format for representing such data limits interoperability, data reuse and integration into clinical and research environments. While MIABIS provides a conceptual model for biobank data, its abstract nature and reliance on heterogeneous implementations create barriers to practical, scalable adoption. This study presents a pragmatic, operational implementation of MIABIS focused on enabling real-world exchange and integration of sample-level data. Methods: We systematically evaluated established data exchange standards, comparing HL7 FHIR and OMOP CDM with respect to their suitability for structuring sample-related data in a semantically robust and machine-readable form. Based on this analysis, we developed a FHIR-based representation of MIABIS that supports complex biobank structures and enables integration with federated data infrastructures. Supporting tools, including a Python library and an implementation guide, were created to ensure usability across diverse research and clinical contexts. Results: We created nine interoperable FHIR profiles covering core MIABIS entities, ensuring consistency with FHIR standards. To support adoption, we developed an open-source Python library that abstracts FHIR interactions and provides schema validation for MIABIS-compliant data. The library was integrated into an ETL tool in operation at Czech Node of BBMRI-ERIC, European Biobanking and Biomolecular Resources Research Infrastructure, to demonstrate usability with real-world sample-related data. Separately, we validated the representation of MIABIS entities at the organisational level by converting the data structures of BBMRI-ERIC Directory into FHIR, demonstrating compatibility with federated data infrastructures. Conclusion: This work delivers a machine-readable, interoperable implementation of MIABIS, enabling the exchange of both organisational and sample-level data across biobanks and health information systems. By integrating MIABIS with HL7 FHIR, we provide a host of reusable tools and mechanisms for further evolution of the data model. Combined, these benefits can help with the integration into clinical and research workflows, supporting data discoverability, reuse, and cross-institutional collaboration in biomedical research. © 2025</t>
  </si>
  <si>
    <t>Biobank; FAIR; FHIR; HL7; Interoperability; MIABIS</t>
  </si>
  <si>
    <t>R. Tomášik; BBMRI-ERIC, Graz, Neue Stiftingtalstrasse 2/B/6, 8010, Austria; email: radovan.tomasik@bbmri-eric.eu</t>
  </si>
  <si>
    <t>Numor S.; Keshavjee K.; Vitorelli R.</t>
  </si>
  <si>
    <t>Designing a Trace-Monitor-and-Act Surveillance Framework for Preventing Foodborne Disease Outbreaks in Ghana</t>
  </si>
  <si>
    <t>10.3233/SHTI260042</t>
  </si>
  <si>
    <t>Foodborne diseases remain a major cause of illness in Ghana, yet surveillance is fragmented across paper forms and disconnected systems, delaying outbreak detection and response. We propose a stakeholder co-designed, federated surveillance architecture. From 20 interviews with FDA, GHS, EHOs, labs, food FPPVs, PHRs, and IT experts, we derive requirements and designed an HL7 FHIR-enabled architecture with offline reporting, traceability, real-time alerts, and role-based governance to enable earlier outbreak prevention. © 2026 The Authors.</t>
  </si>
  <si>
    <t>Environmental Health Units/Officer (EHU/EHO); Food and Drugs Authority (FDA); Food Producers, Processors, and Vendors (FPPV); Ghana; Ghana Health Service (GHS); HL7 FHIR API; Public Health Researchers (PHR)</t>
  </si>
  <si>
    <t>S. Numor; University of Toronto, Canada; email: archibaldsamuel470@gmail.com</t>
  </si>
  <si>
    <t>Fallahpour A.; Alinoori M.; Ye W.; Cao X.; Afkanpour A.; Krishnan A.</t>
  </si>
  <si>
    <t>EhrMamba: Towards Generalizable and Scalable Foundation Models for Electronic Health Records</t>
  </si>
  <si>
    <t>Proceedings of Machine Learning Research</t>
  </si>
  <si>
    <t>Transformers have significantly advanced the modeling of Electronic Health Records (EHR), yet their deployment in real-world healthcare is limited by several key challenges. Firstly, the quadratic computational cost and insufficient context length of these models hinder hospitals' ability in processing the extensive medical histories typical in EHR data. Additionally, existing models employ separate finetuning for each clinical task, complicating maintenance in healthcare environments. Moreover, these models focus exclusively on either clinical prediction or EHR forecasting, lacking proficiency in both tasks. To overcome these limitations, we introduce EhrMamba, a robust foundation model built on the Mamba architecture. EhrMamba can process sequences up to 300% longer than previous models due to its linear computational cost. We also introduce a novel approach to Multitask Prompted Finetuning (MPF) for EHR data, which enables EhrMamba to simultaneously learn multiple clinical tasks in a single finetuning phase, significantly enhancing deployment and cross-task generalization. Furthermore, our model leverages the HL7 FHIR data standard to simplify integration into existing hospital systems. Alongside EhrMamba, we open-source Odyssey, a toolkit designed to support the development and deployment of EHR foundation models, with an emphasis on data standardization and interpretability. Our evaluations on the MIMIC-IV dataset demonstrate that EhrMamba advances state-of-the-art performance across 6 major clinical tasks and excels in EHR forecasting, marking a significant leap forward in the field. © 2024 A. Fallahpour, M. Alinoori, W. Ye, X. Cao, A. Afkanpour &amp; A. Krishnan.</t>
  </si>
  <si>
    <t>Electronic Health Records; Foundation Model; Healthcare; Mamba; Odyssey</t>
  </si>
  <si>
    <t>ML Research Press</t>
  </si>
  <si>
    <t>Lien C.-Y.; Ting T.-Y.; Kuo L.-C.; Chung P.-C.; Chu Y.-C.; Kuo C.-T.</t>
  </si>
  <si>
    <t>Design of HL7 FHIR Profiles for Pathology Reports Integrated with Pathology Images</t>
  </si>
  <si>
    <t>10.3233/SHTI230918</t>
  </si>
  <si>
    <t>This paper describes the development of Health Level Seven Fast Healthcare Interoperability Resource (FHIR) profiles for pathology reports integrated with whole slide images and clinical data to create a pathology research database. A report template was designed to collect structured reports, enabling pathologists to select structured terms based on a checklist, allowing for the standardization of terms used to describe tumor features. We gathered and analyzed 190 non-small-cell lung cancer pathology reports in free text format, which were then structured by mapping the itemized vocabulary to FHIR observation resources, using international standard terminologies, such as the International Classification of Diseases, LOINC, and SNOMED CT. The resulting FHIR profiles were published as an implementation guide, which includes 25 profiles for essential data elements, value sets, and structured definitions for integrating clinical data and pathology images associated with the pathology report. These profiles enable the exchange of structured data between systems and facilitate the integration of pathology data into electronic health records, which can improve the quality of care for patients with cancer.  © 2024 International Medical Informatics Association (IMIA) and IOS Press.</t>
  </si>
  <si>
    <t>FHIR; Implementation Guide; interoperability; pathology report; structured report</t>
  </si>
  <si>
    <t>C.-Y. Lien; Taipei City, No. 365, Ming-te Road, Peitou District, Taiwan; email: chungyueh@ntunhs.edu.tw</t>
  </si>
  <si>
    <t>Ulrich H.; Anywar M.; Kinast B.; Schreiweis B.</t>
  </si>
  <si>
    <t>Large-Scale Standardized Image Integration for Secondary Use Research Projects</t>
  </si>
  <si>
    <t>10.3233/SHTI230950</t>
  </si>
  <si>
    <t>Imaging techniques are a cornerstone of today's medicine and can be crucial for a successful therapy. But in addition, the generated imaging series are an important resource for new informatics' methods, especially in the field of artificial intelligence. This paper describes the success of integrating clinical routine imaging data into a standardized format for research purposes. Thus, we designed an integration flow and successfully implemented it in the local data integration center of University Hospital Schleswig-Holstein. The flow integrates imaging series and radiological reports from the primary system into an openEHR repository with enrichment by semantic codes for better findability and retrieval using HL7 FHIR. As a result, 6.6 million radiological studies with 29 million image series are now available for further medical (informatics) research.  © 2024 International Medical Informatics Association (IMIA) and IOS Press.</t>
  </si>
  <si>
    <t>big data; Clinical data; data integration; radiology</t>
  </si>
  <si>
    <t>H. Ulrich; Institute for Medical Informatics and Statistics, Kiel University, Kiel, Campus Kiel, Germany; email: hannes.ulrich@uksh.de</t>
  </si>
  <si>
    <t>Ehtesham A.; Singh A.; Kumar S.</t>
  </si>
  <si>
    <t>Enhancing Clinical Decision Support and EHR Insights through LLMs and the Model Context Protocol: An Open-Source MCP-FHIR Framework</t>
  </si>
  <si>
    <t>2025 IEEE 6th Annual World AI IoT Congress, AIIoT 2025</t>
  </si>
  <si>
    <t>10.1109/AIIoT65859.2025.11105280</t>
  </si>
  <si>
    <t>Enhancing clinical decision support (CDS), reducing documentation burdens, and improving patient health literacy remain persistent challenges in digital health. This paper presents an open-source, agent-based framework that integrates Large Language Models (LLMs) with HL7 FHIR data via the Model Context Protocol (MCP) for dynamic extraction and reasoning over electronic health records (EHRs). Built on the established MCP-FHIR implementation, the framework enables declarative access to diverse FHIR resources through JSON-based configurations, supporting real-time summarization, interpretation, and personalized communication across multiple user personas, including clinicians, caregivers, and patients. To ensure privacy and reproducibility, the framework is evaluated using synthetic EHR data from the SMART Health IT sandbox (https://r4.smarthealthit.org/), which conforms to the FHIR R4 standard. Unlike traditional approaches that rely on hardcoded retrieval and static workflows, the proposed method delivers scalable, explainable, and interoperable AI-powered EHR applications. The agentic architecture further supports multiple FHIR formats, laying a robust foundation for advancing personalized digital health solutions. © 2025 IEEE.</t>
  </si>
  <si>
    <t>Agentic Workflow; Clinical Decision Support; Electronic Health Records; Explainable AI; FHIR; Health Literacy; Interoperability; Large Language Models; Model Context Protocol</t>
  </si>
  <si>
    <t>A. Ehtesham; Kent State University, United States; email: aehtesha@kent.edu</t>
  </si>
  <si>
    <t>Arndt D.; Van Woensel W.; Tomaszuk D.</t>
  </si>
  <si>
    <t>SiN3: Scalable Inferencing with SPARQL CONSTRUCT Queries</t>
  </si>
  <si>
    <t>SPARQL is a widely used and well-established standard in the Semantic Web to efficiently query explicitly stated RDF data. However, the authors (and others before us) suggest that this ignores the full potential of the language: when used recursively, CONSTRUCT queries can serve as fully-fledged rules allowing for reasoning over the data. For this purpose, we present SiN3, a tool that translates SPARQL queries to Notation3 (N3) rules; an N3-compliant reasoner (such as eye) can then recursively generate inferences from RDF data. We provide a demo that uses CONSTRUCT queries to infer the need for Zika screening, based on the Turtle HL7 FHIR notation. We show that a reasoning-based approach, compared to standard SPARQL, makes such use cases more efficient, as rule-based reasoning is optimized for recursively generating inferences; and easier to implement, as only one execution run is necessary to apply interdependent queries, and supporting queries can be used to modularize the code. We compare the performance of SiN3 with SpinRDF, which supports reasoning over the SPIN serialization of SPARQL but is an order of magnitude slower on our test data. SiN3 thus enables efficient reasoning using SPARQL CONSTRUCT queries, opening the door for scalable Semantic Web reasoning using a well-known semantic formalism. © 2023 Copyright for this paper by its authors.</t>
  </si>
  <si>
    <t>Notation3; Semantic reasoning; SiN3; SPARQL; SPIN</t>
  </si>
  <si>
    <t>D. Arndt; Computational Logic group, Technische Universität Dresden, Dresden, Germany; email: doerthe.arndt@tu-dresden.de</t>
  </si>
  <si>
    <t>Gottumukkala M.; El-Gayar O.; Noteboom C.</t>
  </si>
  <si>
    <t>Interoperability in Healthcare using FHIR: A Systematic Literature Review</t>
  </si>
  <si>
    <t>28th Americas Conference on Information Systems, AMCIS 2022</t>
  </si>
  <si>
    <t>Fast Healthcare Interoperability Resources (FHIR) is an international standard for healthcare information exchange. It is an area of research that has become ever more prevalent as medical records information exchange is a critical unmet need in clinical practice. The primary driver of this research is to identify the potential and the challenges of FHIR technology in the current and future healthcare systems. A secondary objective is to identify any gaps in the recent research to build a path for future research. Considering the highly specialized organization of the healthcare system in developed countries, patients, particularly those suffering from chronic or multi-organ diseases, generally receive care from different hospitals, medical laboratories, and medical centers. Even if electronic health records (EHR), replaced paper to store documents, the medical information is often kept in different and incompatible systems, even in the same medical center, without the possibility of exchange, making it difficult to keep track of patient data and make correct diagnostic or treatment decisions. Furthermore, this prevents data from being shareable and, thus, interoperable. The difficulty in improving healthcare interoperability across medical providers impacts physicians, patients, and public health. Therefore, multi-site clinical healthcare organizations must transform all healthcare data into a standard format and use standardized terminologies to allow records exchange. This systematic literature review explores HL7 and FHIR standards and analyzes how FHIR technology can improve interoperability and exchange data between different hospital services. The research questions investigated are the applications of FHIR and the potentials of FHIR in the future. The research followed a PRISMA-based approach for this reporting. The papers were divided according to four main topics: (1) general healthcare information management, (2) interoperability technology related to mobile applications, (3) specific clinical application of FHIR technology, and (4) clinical trial related to FHIR technology. The rapid development and acceptance of EHR and standards to exchange EHR have improved various aspects of health practices and patient care. FHIR technology is emerging as a valuable tool, driving the healthcare information exchange industry to consider how their platforms align with FHIR. The systematic literature review of articles about FHIR led to identifying the main topics associated with FHIR in digital health. The interest in these technologies is constantly growing in the healthcare community. FHIR is an emerging clinical data standard for modeling and integrating structured and unstructured EHR data for various clinical research applications. The advent of the FHIR standard will bring significant advancements to reliability and standardization. In addition, FHIR will empower researchers and application developers to access enormous volumes of interoperable data. The goal was to evaluate the usability and capabilities of HL7 FHIR to design and implement interoperable personal medical data. FHIR is a reliable alternative to outdated document-centric methods by directly exposing discrete data elements as services. The results of this technology are beneficial, especially for chronic patients that require care assistance from many specialist physicians, regardless of the location of the hospital or medical center in which they receive health care. In addition, the study can be of interest to researchers and health professionals to address the current interest in FHIR in the scientific community and its potential impact on digital health. © 2022 28th Americas Conference on Information Systems, AMCIS 2022. All Rights Reserved.</t>
  </si>
  <si>
    <t>Association for Information Systems</t>
  </si>
  <si>
    <t>Patil S.; Katti J.; Pise R.; Shinde S.; Gavkare S.; Pathan A.</t>
  </si>
  <si>
    <t>Medsecurechain: A Blockchain-Based Framework for Privacy-Preserving Medical Data Sharing and Decentralized Personal Health Records</t>
  </si>
  <si>
    <t>2025 9th International Conference on Computing, Communication, Control and Automation, ICCCBEA 2025</t>
  </si>
  <si>
    <t>10.1109/ICCUBEA65967.2025.11283674</t>
  </si>
  <si>
    <t>MedSecureChain is a blockchain-based, decentralized framework for secure and privacy-guarded sharing of medical data. Overcoming the shortcomings of centralized Electronic Health Record (EHR) systems, the solution combines Ethereum smart contracts and IPFS for tamper-evident storage and patient-authority-controlled access. Interoperability in the system is ensured using HL7/FHIR standards, and efficiency in emergency response is facilitated using a smart contract-based quick-access protocol. Testing carried out on Goerli Ethereum testnet showed 95% interoperability, no breach incidents in test environments, and emergency data access times less than 2 seconds. Using optimized gas, the transaction cost averaged 0.0001 ETH, confirming the system's scalability and affordability. MedSecureChain is a secure and patient-focused health data alternative to current systems with enhanced transparency, control, and security in the management of medical data. © 2025 IEEE.</t>
  </si>
  <si>
    <t>Blockchain; Decentralized Record; Electronic Health Records (EHR); Healthcare; InterPlanetary File System (IPFS); Metamask Authentication in Healthcare; Smart Contract; Zero-Knowledge Proofs (ZKP)</t>
  </si>
  <si>
    <t>Hazarika H.J.</t>
  </si>
  <si>
    <t>A Knowledge-Based Framework for Smart Decision Systems in the Internet of Medical Things</t>
  </si>
  <si>
    <t>Smart Decision Systems: Integrating Symbolic AI and Cognitive Heuristics for IOMT</t>
  </si>
  <si>
    <t>The Internet of Medical Things (IoMT) is revolutionizing healthcare by connecting medical devices, sensors, and health information systems to enable real-time data-driven decisions. However, current IoMT deployments face challenges in effective decision-making due to heterogeneous devices, massive data streams, and context insensitivity. This paper introduces a knowledge-based decision-making framework for IoMT that leverages semantic ontologies, context-aware reasoning, and AI analytics to support smart clinical decisions. The proposed multilayer framework integrates IoMT sensor data with a knowledge base (built on ontologies in OWL/RDF) and a semantic inference engine, combined with machine learning models (TensorFlow) for predictive analytics. The architecture is evaluated through a case study of chronic disease monitoring (diabetes management using MIMIC-III/PhysioNet data). Results demonstrate improved decision accuracy, with the knowledge-enhanced system reducing false alerts and achieving higher precision/recall compared to traditional threshold-based IoMT systems. The framework supports real-time remote patient monitoring and timely clinical alerts while ensuring interoperability via standards like HL7 FHIR. We discuss how ontologies and semantic reasoning provide context awareness and explainable AI-driven diagnostics, improving patient outcomes. Future directions include integrating blockchain for security and scaling the framework for smart hospital networks, aligning with healthcare data compliance (HIPAA, GDPR). © 2026 Nova Science Publishers, Inc.</t>
  </si>
  <si>
    <t>AI in healthcare; context-aware computing; Internet of Medical Things (IoMT); knowledge-based systems; ontologies; semantic reasoning; smart healthcare decision support</t>
  </si>
  <si>
    <t>H.J. Hazarika; Royal School of Library and Information Science, The Assam Royal Global University, Guwahati, Assam, India; email: drhirakjyotihazarika@gmail.com</t>
  </si>
  <si>
    <t>Nova Science Publishers, Inc.</t>
  </si>
  <si>
    <t>Sharma D.K.; Prud'Hommeaux E.; Booth D.; Peterson K.J.; Stone D.J.; Solbrig H.; Xiao G.; Pfaff E.; Jiang G.</t>
  </si>
  <si>
    <t>Implementing a New FHIR RDF Specification for Semantic Clinical Data Using a JSONLD- based Approach</t>
  </si>
  <si>
    <t>FHIR RDF enables operational healthcare data to be linked with RDF data from other communities. FHIR data can be serialized in either JSON, XML or RDF (Turtle), and tools are used to convert between formats. However, currently the tools for converting to/from FHIR RDF involve custom code. JSON-LD 1.1 @context files now have potential to reduce the cost of implementing and maintaining this FHIR RDF conversion. These @context files can be generated automatically during the FHIR specification build process. Used with a standard, off-the-shelf JSON-LD 1.1 processor, these @context files can do most of the work needed for this conversion, though a small amount of pre- or post-processing is still needed. Using the latest FHIR build and server implementations, we created a framework for the FHIR RDF specification implementation by developing two tools to demonstrate this process: a JSON-LD 1.1 @context generator that produces @context files from the FHIR specification; and a command-line tool for batch conversion between FHIR JSON and FHIR RDF.  Copyright © 2022 for this paper by its authors.</t>
  </si>
  <si>
    <t>Healthcare; HL7 FHIR; JSON-LD; JSON-LD Context; RDF; Shape Expression; ShEx</t>
  </si>
  <si>
    <t>Modelling a Patient Identifier System in the Estonian National Health Information System</t>
  </si>
  <si>
    <t>Lecture Notes in Business Information Processing</t>
  </si>
  <si>
    <t>10.1007/978-3-031-76368-7_10</t>
  </si>
  <si>
    <t>Accurate patient identification is crucial during admissions in healthcare institutions. Mistaken identity can lead to fatal consequences if patients are treated based on someone else’s medical history. Identifying citizens is generally well-regulated, but accurately identifying foreign, unknown, or anonymous patients is more challenging and often lacks sufficient regulation. Our objective is to develop and assess a coding system for patient identifiers, enhancing the precision of associated health records and offering a robust, adaptable method for identifying patients from diverse backgrounds. We investigated the patient identifier system design in the Estonian National Health Information System (ENHIS) during its shift from the HL7 V3 to the HL7 Fast Healthcare Interoperability Resources (FHIR) communication protocols. This transition involved evolving from an Object Identifier (OID) system to a Uniform Resource Locator (URL) system. We devised an Identifier Domain coding system tailored for patient identification that aligns with our goals and generalised this system as a universal patient identification method. The Design Science methodology, a well-established approach in software engineering and information systems, underpins our research. We tested and illustrated our proposed patient identification coding system using examples from the Estonian Patient Register. This newly developed system enables the identification of all patient types. It is user-friendly, semantically clear, backwards compatible with the OID system, expandable, and aligns with FHIR standards. Our findings can assist in creating interoperable patient identifier systems internationally. © The Author(s), under exclusive license to Springer Nature Switzerland AG 2025.</t>
  </si>
  <si>
    <t>Estonian National Health Information System (ENHIS); HL7 Fast Health Interoperability Resources (HL7 FHIR); Identifier Domain; interoperability; Master Patient Index (MPI); Model-driven software engineering; Patient Identification Techniques; Patient Identity</t>
  </si>
  <si>
    <t>I. Bossenko; Department of Software Science, TalTech, Tallinn, Akadeemia 15A, 12618, Estonia; email: igor.bossenko@taltech.ee</t>
  </si>
  <si>
    <t>Schulze M.; Löhnhardt B.; Kückmann M.; Zeppernick T.; Feldmann M.; Gronwald J.; Schewe N.; König U.A.; Kraus I.; Wohlfarth E.; Kesztyüs T.; Gietzelt M.; Beismann C.; Bavendiek U.; Krefting D.; Oeltze-Jafra S.</t>
  </si>
  <si>
    <t>Transferring Structured Medical Data from Hospital to Rehabilitation Facilities Using HL7 FHIR and openEHR</t>
  </si>
  <si>
    <t>10.3233/SHTI250217</t>
  </si>
  <si>
    <t>Inter-institutional and inter-professional communication is based on the prompt and complete transmission of relevant health data, whereas conventional paper-based data transmission is often delayed and incomplete. One main objective of the CAEHR project is to optimize inter-sectoral information provision and to establish structured health data transfer from hospitals to rehabilitation facilities for TAVI patients. After a thorough requirement analysis conducted through structured interviews with medical experts from different fields, web portal instances were deployed at two university medical centres, providing data access to rehabilitation facilities involved in the patient care. Data transfer of medical and nursing data is extracted from the primary hospital information system and transformed to FHIR and openEHR format, respectively, via data mapping. After informed consent has been obtained, data is sent to the web portal. This portal is implemented on a Kubernetes system and hosted at university medical centres, allowing restricted external access. Questionnaires and assessment outcomes are sent back as follow-ups from rehabilitation facilities. The ongoing clinical study has included 142 patients so far. Despite different system architectures at the university medical centres, a unified concept with comparable data flows could be widely applied.  © 2025 The Authors.</t>
  </si>
  <si>
    <t>EHR; HL7 FHIR; openEHR; structured medical data; TAVI; web portal</t>
  </si>
  <si>
    <t>M. Schulze; Peter L. Reichertz Institute for Medical Informatics, TU Braunschweig and Hannover Medical School, Germany; email: mareike.schulze@plri.de</t>
  </si>
  <si>
    <t>Gazzarata R.; Chronaki C.; Ricciardi F.; Giuliani F.; Zampognaro P.; Mercalli F.; Allocca C.; Gaeta E.; Fico G.; Cangioli G.</t>
  </si>
  <si>
    <t>Design and Adoption of a FHIR IG to Support a Telemonitoring Environment in Gatekeeper Project</t>
  </si>
  <si>
    <t>Studies in health technology and informatics</t>
  </si>
  <si>
    <t>10.3233/SHTI230751</t>
  </si>
  <si>
    <t>Telemedicine can provide benefits in patient affected by chronic diseases or elderly citizens as part of standard routine care supported by digital health. The GATEKEEPER (GK) Project was financed to create a vendor independent platform to be adopted in medical practice and to demonstrate its effect, benefit value, and scalability in 8 connected medical use cases with some independent pilots. This paper, after a description of the GK platform architecture, is focused on the creation of a FHIR (Fast Healthcare Interoperability Resource) IG (Implementation Guide) and its adoption in specific use cases. The final aim is to combine conventional data, collected in the hospital, with unconventional data, coming from wearable devices, to exploit artificial intelligence (AI) models designed to evaluate the effectiveness of a new parsimonious risk prediction model for Type 2 diabetes (T2D).</t>
  </si>
  <si>
    <t>AI models; chronic diseases; health and wellness; HL7 FHIR; interoperability standards; living environments; telemedicine; Type 2 Diabetes</t>
  </si>
  <si>
    <t>Schweitzer M.; Steger B.; Hoerbst A.; Augustin M.; Pfeifer B.; Hausmann U.; Baumgarten D.</t>
  </si>
  <si>
    <t>Data Exchange Standards in Teleophthalmology: Current and Future Developments</t>
  </si>
  <si>
    <t>10.3233/SHTI220380</t>
  </si>
  <si>
    <t>Background: Teleophthalmology services are considered capable of supporting screening, early diagnosis, and monitoring of leading causes of blindness on a global scale. Therefore, standards and best practices are needed to seamlessly exchange medical ocular images and related data among relevant stakeholders with maximum interoperability. Objectives: This paper provides an overview of current standards in the field of store-and-forward teleophthalmology data exchange and further developments in this area. Methods: A literature review was conducted for healthcare standards with a focus on data exchange in ophthalmology. Results: IHE, HL7 FHIR, DICOM, and clinical terminologies are considered the most important standards, providing distinct concepts, solutions, and guidelines for ophthalmology. Conclusion: Available standards provide the necessary base for teleophthalmology on technical and semantic interoperability, but practical use is limited due to missing process interoperability resulting in proprietary interfaces of vendors and rejection by ophthalmologists. Further investigations should analyze processual needs on ophthalmology data exchange standards. © 2022 The authors, AIT Austrian Institute of Technology and IOS Press.</t>
  </si>
  <si>
    <t>Health Information Interoperability; Ophthalmology; Telemedicine</t>
  </si>
  <si>
    <t>M. Schweitzer; Umit - Private University for Health Sciences, Medical Informatics and Technology, Hall in Tyrol, Austria; email: marco.schweitzer@umit-tirol.at</t>
  </si>
  <si>
    <t>Rinaldi E.; Drenkhahn C.; Gebel B.; Saleh K.; Tönnies H.; von Loewenich F.D.; Thoma N.; Baier C.; Boeker M.; Hinske L.C.; Diaz L.A.P.; Behnke M.; Ingenerf J.; Thun S.</t>
  </si>
  <si>
    <t>Towards interoperability in infection control: a standard data model for microbiology</t>
  </si>
  <si>
    <t>Scientific Data</t>
  </si>
  <si>
    <t>10.1038/s41597-023-02560-x</t>
  </si>
  <si>
    <t>The COVID-19 pandemic has made it clear: sharing and exchanging data among research institutions is crucial in order to efficiently respond to global health threats. This can be facilitated by defining health data models based on interoperability standards. In Germany, a national effort is in progress to create common data models using international healthcare IT standards. In this context, collaborative work on a data set module for microbiology is of particular importance as the WHO has declared antimicrobial resistance one of the top global public health threats that humanity is facing. In this article, we describe how we developed a common model for microbiology data in an interdisciplinary collaborative effort and how we make use of the standard HL7 FHIR and terminologies such as SNOMED CT or LOINC to ensure syntactic and semantic interoperability. The use of international healthcare standards qualifies our data model to be adopted beyond the environment where it was first developed and used at an international level. © 2023, Springer Nature Limited.</t>
  </si>
  <si>
    <t>E. Rinaldi; Berlin Institute of Health, Charité Universitätsmedizin, Berlin, Germany; email: eugenia.rinaldi@bih-charite.de</t>
  </si>
  <si>
    <t>Tahar K.; Verbuecheln R.; Martin T.; Graessner H.; Krefting D.</t>
  </si>
  <si>
    <t>Local Data Quality Assessments on EHR-Based Real-World Data for Rare Diseases</t>
  </si>
  <si>
    <t>10.3233/SHTI230121</t>
  </si>
  <si>
    <t>The project 'Collaboration on Rare Diseases' CORD-MI connects various university hospitals in Germany to collect sufficient harmonized electronic health record (EHR) data for supporting clinical research in the field of rare diseases (RDs). However, the integration and transformation of heterogeneous data into an interoperable standard through Extract-Transform-Load (ETL) processes is a complex task that may influence the data quality (DQ). Local DQ assessments and control processes are needed to ensure and improve the quality of RD data. We therefore aim to investigate the impact of ETL processes on the quality of transformed RD data. Seven DQ indicators for three independent DQ dimensions were evaluated. The resulting reports show the correctness of calculated DQ metrics and detected DQ issues. Our study provides the first comparison results between the DQ of RD data before and after ETL processes. We found that ETL processes are challenging tasks that influence the quality of RD data. We have demonstrated that our methodology is useful and capable of evaluating the quality of real-world data stored in different formats and structures. Our methodology can therefore be used to improve the quality of RD documentation and to support clinical research. © 2023 European Federation for Medical Informatics (EFMI) and IOS Press.</t>
  </si>
  <si>
    <t>Data quality; ETL; healthcare standards; HL7 FHIR; rare disease</t>
  </si>
  <si>
    <t>K. Tahar; Georg-August-University, University Medical Center Göttingen, Institute of Medical Informatics, Gottingen, 37075, Germany; email: kais.tahar@med.uni-goettingen.de</t>
  </si>
  <si>
    <t>Frey N.; Haffer N.; Vogelsang L.; Saß J.; Gatrio M.; Thun S.; Balzer F.; Möckel M.; Landgraf P.</t>
  </si>
  <si>
    <t>InterAgent on FHIR - Lessons Learned from Implementing an Intelligent Tutoring System with the Help of HL7 FHIR</t>
  </si>
  <si>
    <t>10.3233/SHTI240851</t>
  </si>
  <si>
    <t>Introduction: For an interoperable Intelligent Tutoring System (ITS), we used resources from Fast Healthcare Interoperability Resources (FHIR) and mapped learning content with Unified Medical Language System (UMLS) codes to enhance healthcare education. This study addresses the need to enhance the interoperability and effectiveness of ITS in healthcare education. State of the art: The current state of the art in ITS involves advanced personalized learning and adaptability techniques, integrating technologies such as machine learning to personalize the learning experience and to create systems that dynamically respond to individual learner needs. However, existing ITS architectures face challenges related to interoperability and integration with healthcare systems. Concept: Our system maps learning content with UMLS codes, each scored for similarity, ensuring consistency and extensibility. FHIR is used to standardize the exchange of medical information and learning content. Implementation: Implemented as a microservice architecture, the system uses a recommender to request FHIR resources, provide questions, and measure learner progress. Lessons learned: Using international standards, our ITS ensures reproducibility and extensibility, enhancing interoperability and integration with existing platforms. © 2024 The Authors.</t>
  </si>
  <si>
    <t>Fast Healthcare Interoperability Resources (FHIR); Health Information Interoperability; Intelligent Tutoring System (ITS)</t>
  </si>
  <si>
    <t>N. Frey; Institut für Medizinische Informatik, Charité - Universitätsmedizin Berlin, Berlin, Invalidenstraße 90, 10115, Germany; email: nicolas.frey@charite.de</t>
  </si>
  <si>
    <t>Solar M.; Araya M.; Nanculef R.; Dombrovskaia L.; Castaneda V.; Roberts I.</t>
  </si>
  <si>
    <t>ALPACS: Interoperable Repository of Medical Images</t>
  </si>
  <si>
    <t>Proceedings - 2024 50th Latin American Computing Conference, CLEI 2024</t>
  </si>
  <si>
    <t>10.1109/CLEI64178.2024.10700554</t>
  </si>
  <si>
    <t>This paper presents an ingestion procedure into an interoperable repository called ALPACS (Access to Local Picture Archiving and Communication Systems). ALPACS serves clinical and hospital users who can access the repository data through an Artificial Intelligence (AI) application called PROXIMITY 1.0. This paper shows the automated procedure for data ingestion from the medical imaging provider into the ALPACS repository. The data ingestion procedure was successfully applied from the data provider (Hospital Clínico de la Universidad de Chile, HCUCH) by applying a pseudo-anonymization algorithm at the source and respecting the privacy of sensitive patient data. The transfer is done using international communication standards for health systems, allowing the replication of the procedure for other medical imaging provider institutions. © 2024 IEEE.</t>
  </si>
  <si>
    <t>Anonymizer; Curation; Data Ingestion; DICOM; HL7 FHIR; Interoperability; Interoperable Platform</t>
  </si>
  <si>
    <t>Spanish</t>
  </si>
  <si>
    <t>López C.Á.; Rodríguez Pérez A.; Alonso-Rincón R.; Carrera A.; Rodríguez González S.</t>
  </si>
  <si>
    <t>Digital Twins and Virtual Assistants for Proactive Long-Term Care: The SALUS Architecture</t>
  </si>
  <si>
    <t>10.1007/978-3-032-05925-3_4</t>
  </si>
  <si>
    <t>To address the growing need for intelligent long-term care (LTC) solutions, we introduce SALUS, a modular framework that integrates digital twin technology, conversational AI, and wearable IoT devices. The system maintains a dual digital twin architecture: a physical twin updated in real time with physiological data from non-intrusive smartwatches, and a psychological twin constructed through structured interactions with a Large Language Model (LLM)-based virtual assistant. These models are continuously synchronized to provide a holistic, longitudinal view of the patient’s physical and cognitive-emotional health status. SALUS enables the delivery of validated psychological assessments through natural, multimodal conversations adapted to the cognitive needs of elderly users, while concurrently monitoring biometric trends such as sleep quality, heart rate variability, and physical activity. Predictive analytics and explainable AI components support the early detection of health deterioration and allow caregivers to make timely, evidence-based decisions. The system adheres to ethical AI principles, supports HL7 FHIR-based interoperability, and includes dynamic form management for clinical adaptability. Real-world scenarios demonstrate the framework’s versatility across home care, cognitive rehabilitation, and institutional settings. SALUS contributes to the shift toward data-driven, user-centered LTC models capable of anticipating and responding to individual health trajectories. © The Author(s), under exclusive license to Springer Nature Switzerland AG 2025.</t>
  </si>
  <si>
    <t>Conversational AI; Digital Twin; Elderly Monitoring; Explainable Artificial Intelligence; IoT Healthcare; Long-Term Care</t>
  </si>
  <si>
    <t>C.Á. López; AIR Institute - Deep tech lab IoT Digital Innovation Hub, Salamanca, Av. Santiago Madrigal 39, Castile and León, 37003, Spain; email: calvarez@air-institute.com</t>
  </si>
  <si>
    <t>López L.J.R.; Duran J.S.O.</t>
  </si>
  <si>
    <t>Interoperable Electronic Records Platform-PIRE: A New Strategy for Telemedicine Project Management</t>
  </si>
  <si>
    <t>Smart Innovation, Systems and Technologies</t>
  </si>
  <si>
    <t>10.1007/978-981-95-1353-6_11</t>
  </si>
  <si>
    <t>The Interoperable Electronic Records Platform (PIRE) is an interoperable solution designed to unify existing telemedicine systems and integrate Medical Internet of Things (IoMT) platforms into a single, secure, and scalable ecosystem. This approach enables real-time consolidation of clinical information, facilitating more agile and effective decision-making. From a project management perspective, PIRE represents an innovative strategy by centralizing data from multiple sources, thereby optimizing the planning, execution, and monitoring of digital health initiatives. The project combines exploratory, descriptive, and analytical methods within the Scrum framework, structured across four iterative cycles: (1) architecture definition and IoMT device integration, (2) security planning and clinical data protection, (3) graphical interface and relational model design, and (4) testing and validation in simulated and real-world environments. PIRE adopts international standards such as HL7 FHIR, DICOM, and SNOMED CT to ensure interoperability among heterogeneous healthcare systems. Preliminary results demonstrate a significant reduction in clinical data access times, enhanced information security, and increased operational efficiency through redundancy elimination. Overall, PIRE not only strengthens care continuity and patient safety but also enables a replicable model for digital health project management, grounded in interoperable platforms that unify processes, reduce costs, and improve care quality. © The Author(s), under exclusive license to Springer Nature Singapore Pte Ltd. 2026.</t>
  </si>
  <si>
    <t>Interoperability; Project management; Scrum and healthcare innovation; Telemedicine</t>
  </si>
  <si>
    <t>L.J.R. López; Universidad Militar Nueva Granada, Bogotá, Colombia; email: leonardo.ramirez@unimilitar.edu.co</t>
  </si>
  <si>
    <t>Bae Y.S.; Park Y.; Lee S.M.; Seo H.H.; Lee H.; Ko T.; Lee E.; Park S.M.; Yoon H.-J.</t>
  </si>
  <si>
    <t>Development of Blockchain-Based Health Information Exchange Platform Using HL7 FHIR Standards: Usability Test</t>
  </si>
  <si>
    <t>IEEE Access</t>
  </si>
  <si>
    <t>10.1109/ACCESS.2022.3194159</t>
  </si>
  <si>
    <t>Health information exchange can improve health outcomes and reduce unnecessary medical expenses. An important task in health information exchange is to prove data integrity and strengthen the right to self-determination of individuals. This can be addressed using blockchain technology and dynamic consents. We aimed to develop a blockchain-based mobile platform called HealthPocket to exchange reliable health information with proven integrity through a dynamic consent system based on the HL7 FHIR standards. Through HealthPocket, subjects can selectively provide their consent to share specific medical and PGHD through proper authorization, and each response is converted into the JSON format with FHIR compatibility. We conducted a usability test to demonstrate health information exchange between primary and tertiary medical institutions. A total of 116 subjects used the HealthPocket mobile application to selectively share health information for at least one month, and conducted a questionnaire about their experience. In addition, medical staff of the institution could access the medical information shared by the participants and use it for treatment. The user surveys for patients examined the perceived usefulness, perceived ease of use, and overall service satisfaction. The mean overall satisfaction with the health information exchange service was the highest (4.67 out of 5 points). As security, personal information protection, and interoperability are main concerns related to health information exchange, blockchain technology can provide suitable solutions. For instance, when health information is exchanged using blockchain technology, it is impossible to alter data blocks. Therefore, by using a blockchain-based platform and dynamic consent system, we ensured the integrity of medical data. © 2013 IEEE.</t>
  </si>
  <si>
    <t>Blockchain; dynamic consent; fast healthcare interoperability resources; health information exchange; mobile application; personal health record</t>
  </si>
  <si>
    <t>H.-J. Yoon; Interdisciplinary Program of Medical Informatics, Seoul National University College of Medicine, Seoul, 03080, South Korea; email: hjyoon@snu.ac.kr</t>
  </si>
  <si>
    <t>Migration from HL7 Clinical Document Architecture (CDA) to Fast Health Interoperability Resources (FHIR) in Infectious Disease Information System of Estonia</t>
  </si>
  <si>
    <t>Proceedings of the ACM Symposium on Applied Computing</t>
  </si>
  <si>
    <t>10.1145/3555776.3577836</t>
  </si>
  <si>
    <t>Objective: Many countries have successfully implemented HL7 V3 and CDA (Clinical Document Architecture) standards to ensure document-based interoperability between EHRs (Electronic Health Records), registries, and healthcare institutions [26] [32] [5]. The biggest drawback of the HL7 CDA document-based approach is the timing of sharing the information. The document is generally shared once all the agreed data elements have been precisely filled in and the necessary confirmations received. Today, Estonia is transitioning the Estonian National Health Information System (ENHIS) from a document-based approach to an event-based approach by utilising the HL7 FHIR (Fast Healthcare Interoperability Resources) standard. During this transition, one of the tasks is to describe the patient's socioeconomic status according to the FHIR profile.Method: As part of the project, the CDA-based notification of infectious patients, including patients' socioeconomic status, in the Infectious Disease Information System (NAKIS - the acronym of the system in Estonian) of Estonia is analysed. This analysis pays special attention to education and employment data, which is currently part of patients' socioeconomic status. The existing employment and education-related FHIR profiles, openEHR clinical models and SNOMED and LOINC terminology are studied to find appropriate specifications for patients' socioeconomic status.Results: As a result of the project, similar and/or suitable FHIR resources and terminology will be chosen. Structural changes will be made in the data collection process, where several simple values will be selected instead of one complex value. New FHIR profiles will be created, modelling new FHIR-based data structures and describing the terminology.Summary: It is possible to reuse information from existing official sources rather than collect it from patients. Socioeconomic status is a temporal representation of the patient's education, employment and other similar information about the patient. We propose a universal and reusable methodology for migrating HL7 CDA documents and their components into FHIR resources.  © 2023 Owner/Author(s).</t>
  </si>
  <si>
    <t>education level; electronic health record (EHR); estonian national health information system (ENHIS); HL7 clinical document architecture (HL7 CDA); HL7 fast health interoperability resources (HL7 FHIR); interoperability; LOINC; occupation; openEHR; SNOMED; socioeconomic status</t>
  </si>
  <si>
    <t>Association for Computing Machinery</t>
  </si>
  <si>
    <t>Plaza B.C.; Luque J.B.; Godoy L.C.; Figueroa B.C.; Ganderat R.C.; Izquierdo M.R.</t>
  </si>
  <si>
    <t>HL7 FHIR Platform, Scalable, Reliable and Comprehensive of Clinical Databases Analyzed with Machine Learning for ICU Public Healthcare Center</t>
  </si>
  <si>
    <t>10.1007/978-3-031-59216-4_18</t>
  </si>
  <si>
    <t>Hospital facilities today have to deal with exponentially increasing volumes of batch and streaming data, comprising a variety of structured, unstructured, and semi-structured data types, originating from an ever-increasing number of sources and disparate devices located in healthcare facilities, such as intensive care units. At the same time, doctors demand faster and easier access to reliable and up-to-date data to make accurate decisions. Finding the right data sets and making them available for analysis is often a complicated process that further slows down clinical decisions. That is compounded by regulatory compliance and security controls that must be manually applied at every step of the data lifecycle, from data generation to analytics. Smart UPC is an interoperable solution that has emerged as an architecture for managing data with machine learning (ML) to overcome these challenges. The layered architecture focuses on making data readily available in a dashboard for Intensive Care Unit users, improving insights based on the use of AI and leveraging automation to simplify administration, the safety and quality of health care, complying with cybersecurity requirements and under very strict ethical standards. Smart UPC, based on a proprietary HL7 FHIR platform offers a unified, scalable, reliable and comprehensive view of ICU clinical data. It is a solution to support applications in decision making in a complex environment, with high critical demand. © The Author(s), under exclusive license to Springer Nature Switzerland AG 2024.</t>
  </si>
  <si>
    <t>artificial intelligence; Data; HL7 FHIR platform; intensive care units; machine learning</t>
  </si>
  <si>
    <t>B.C. Plaza; ICU, Critical Care Service, Hospital El Salvador, Santiago, Chile; email: bchavez@hsalvador.cl</t>
  </si>
  <si>
    <t>5th International Conference on Biomedical and Health Informatics, ICBHI 2022</t>
  </si>
  <si>
    <t>Helm E.; Kleinoscheg G.; Scholz B.</t>
  </si>
  <si>
    <t>Towards the Austrian Patient Summary: Standards and Cross-Border Integration</t>
  </si>
  <si>
    <t>10.3233/SHTI250197</t>
  </si>
  <si>
    <t>Background: The Austrian Patient Summary (APS) is being developed to enhance healthcare interoperability and cross-border data exchange, aligning with international frameworks. Objectives: This paper outlines the APS's underlying standards, emphasizing international compatibility and integration with ELGA. The primary aims are to enhance care continuity and coordination while ensuring compliance with international standards. Methods: The APS is developed through national collaboration and alignment with international initiatives. A dedicated HL7 FHIR Implementation Guide (IG) is being created to define the APS data model, utilizing reusable templates to ensure data consistency. Results: The APS follows a multi-tiered specification hierarchy, integrating with international standards, incorporating standardized content like Allergies, Problems, Medications, and Immunizations. Conclusion: The APS represents a major advancement in healthcare interoperability. Ongoing FHIR IG refinement and CarePlan integration will enhance APS usability for integrated care and cross-border interoperability. © 2025 The Authors.</t>
  </si>
  <si>
    <t>Continuity of Patient Care; Health Information Interoperability</t>
  </si>
  <si>
    <t>E. Helm; ELGA GmbH, Austria; email: emmanuel.helm@elga.gv.at</t>
  </si>
  <si>
    <t>Barbaria S.; Mahjoubi H.; Rahmouni H.B.</t>
  </si>
  <si>
    <t>A novel blockchain-based architectural modal for healthcare data</t>
  </si>
  <si>
    <t>Procedia Computer Science</t>
  </si>
  <si>
    <t>10.1016/j.procs.2023.01.433</t>
  </si>
  <si>
    <t>In this paper, we are proposing a blockchain-based architectural model to ensure the integrity of healthcare-sensitive data in an AI-based medical research context. In our approach, we will use the HL7 FHIR standardized data structure to ensure the interoperability of our approach with the existing hospital information systems (HIS). Indeed, structuring the data coming from several heterogeneous sources would enhance its quality. In addition, a standardised data structure would help establish a more accurate security and data protection model throughout the process of data collection cleansing and processing. Hence, we designed our architecture to be interoperable with all FHIR-based HISs to add a trust layer to the current medical research process. In this paper we are to achieve our goal, we will combine continua healthcare IoT architecture and Hyperledger fabric architecture. Our trust layer model is composed of four components: (1) an architecture that integrates with the HL7 FHIR data exchange framework, which extends an open protocol that supports efficient standards-based healthcare data exchange (2) a blockchain layer to support access control and auditing of FHIR health records that are stored in the data exchange network databases; (3) a distributed architecture consisting of multiple trusted nodes ensure privacy protection for health data; and (4) an application programming interface (API) will be available for use by the network.  © 2022 The Authors. Published by ELSEVIER B.V.</t>
  </si>
  <si>
    <t>Architecture model; Blockchain; Data integrity; FHIR Rest API; IoT</t>
  </si>
  <si>
    <t>S. Barbaria; Laboratory of Biophysics and Medical Technologies, Higher Institute of Medical Technologies of Tunis (ISTMT), University of Tunis El Manar, Tunisia; email: sabri.barbaria@istmt.utm.tn</t>
  </si>
  <si>
    <t>Gencturk M.; Akpinar A.E.; Laleci Erturkmen G.B.</t>
  </si>
  <si>
    <t>Implementation of HL7 FHIR-Based Interoperability Profiles to Manage Care Plans for Multimorbid Patients with Mild Dementia</t>
  </si>
  <si>
    <t>10.3233/SHTI230075</t>
  </si>
  <si>
    <t>Management of multimorbidity in patients with mild dementia and mild cognitive impairment introduces additional challenges. The CAREPATH project provides an integrated care platform to assist both healthcare professionals and patients and their informal caregivers in the day-to-day management of care plans for this patient population. This paper introduces an HL7 FHIR-based interoperability approach for exchanging care plan action and goals with the patients and collecting feedback and adherence information from patients. In this way, seamless information exchange between healthcare professionals, patients and their informal care givers is achieved to support patients in their self-care management journey and increase their adherence to their care plans despite the burdens of mild dementia. © 2023 European Federation for Medical Informatics (EFMI) and IOS Press.</t>
  </si>
  <si>
    <t>Dementia; HL7 FHIR; Interoperability; Multimorbidity; Profiling</t>
  </si>
  <si>
    <t>M. Gencturk; SRDC Software Research &amp; Development and Consultancy, Corp., ODTU Teknokent Silikon Bina K1-16, Cankaya, Ankara, 06800, Turkey; email: mert@srdc.com.tr</t>
  </si>
  <si>
    <t>Riedel A.; Schulz S.; Martínez Costa C.</t>
  </si>
  <si>
    <t>'SNOMEDizing' Questionnaires for Standardizing Stroke Registry Data</t>
  </si>
  <si>
    <t>10.3233/SHTI240687</t>
  </si>
  <si>
    <t>International interoperability of healthcare and research data requires a commitment to standards. To this end, SNOMED CT was evaluated for representing questionnaire items of the European Registry of Stroke Care Quality using a complex annotation protocol. The agreement between validators and annotators was 72.4%. At least 64% of the information could be represented by using SNOMED CT only, including complex post-coordinations. 9% of the information would require an information model, and 14% the addition of new content to SNOMED CT. Next steps will be the creation of an annotation guideline for questionnaires, a specific reference set, and the combination of both with an information model such as HL7 FHIR. © 2024 The Authors.</t>
  </si>
  <si>
    <t>Information model; Interoperability; SNOMED CT; Stroke</t>
  </si>
  <si>
    <t>C. Martínez Costa; Department of Informatics and Systems, Universidad de Murcia, IMIB-Arrixaca, Murcia, CEIR Campus Mare Nostrum, Spain; email: cmartinezcosta@um.es</t>
  </si>
  <si>
    <t>Gray H.G.; Feldman S.S.</t>
  </si>
  <si>
    <t>Preparing the Next Generation for Health Data Standards Careers</t>
  </si>
  <si>
    <t>29th Annual Americas Conference on Information Systems, AMCIS 2023</t>
  </si>
  <si>
    <t>According the U.S. Bureau of Labor Statistics, Health Information Technologist and Medical Registrars is projected to grow 17% from 2021 to 2031 which is much faster than the average for all occupations(Bureau of Labor Statistics, 2023). However, there is a need to teach current undergraduate and graduate students about the need for health data standards experts to continue what has started for health care data exchange and interoperability. We need students who are aware of and can become proficient in health data standards worldwide. Health Level Seven International (HL7) is a not-for-profit, ANSI-accredited standards developing organization dedicated to providing a comprehensive framework and related standards for the exchange, integration, sharing, and retrieval of electronic health information that supports clinical practice and health service needs(Health Level Seven International, 2019a). HL7 has more than 1,600 members from over 50 countries and is dedicated to a world where everyone can securely access and use the right health data and where they need it(Health Level Seven International, 2019a). Some of the HL7 standards are grouped into reference categories such as Primary Standards, Clinical Document Architecture (CDA®), Fast Health Interoperability Resources (FHIR®), Version 2 (V2), Version 3 (v3), Arden Syntax, Implementation Guides and Rules and References(Health Level Seven International, 2019b). As a student intern with Health Level Seven during the summer of 2023, I witnessed that many data standards experts are nearing retirement. In Baltimore, MD at the 37th Annual HL7 Plenary, Working Group Meeting and HL7 FHIR Connecathon, a couple of people announced that this would be their last working group meeting, Christian Hay, a Senior Healthcare Consultant with GS1 Global Office in Switzerland and Abdul-Malik Shakir, a Informatics Specialist/Senior Interface Architect Contractor with Los Angeles Network for Enhanced Services)(UAB Department of Health Services Administration, 2022). HL7 established an internship opportunity to expose more students to the field of Health IT. Linda Jenkins, Director of Membership &amp; Administrative Services noted that the most student members that HL7 has had since 2004 is 16 but the average is usually 6-8 student per year(Jenkins, 2023). So, there is a dire need to inform undergraduate and graduate students that they can become student members of HL7 to gain valuable exposure to processes and procedures for implementing health data and they can stay connected in working groups far beyond their collegiate career. For example, there are HL7 working groups that span the continuum of care such as the HL7 EHR Usability Work group which collaborates to improve patient safety and overall end user experience with the EHR(Meehan et al., 2016) and the HL7 Da Vinci Project which was founded and continues to focus on solving interoperability challenges between providers, patients and payers. In addition, there are working groups specifically for developing and maintaining Terminology and Vocabulary for HL7 and HL7 FHIR. Lastly, the Marketing Director of Hl7, Patricia Guerra, has created a new Virtual Student Academy website which contains many resources to get started with HL7 for free (Jenkins, 2023). This proposal for education seeks to open the discussion on what we as educators can do to increase involvement and participation in HL7 but also generate student interest in health information architecture roles to ensure sustainability in health data exchange in the United States of American and abroad. © 2023 29th Annual Americas Conference on Information Systems, AMCIS 2023. All rights reserved.</t>
  </si>
  <si>
    <t>Trama A.; Rath A.; Chronaki C.; Casali P.G.</t>
  </si>
  <si>
    <t>Extending the Patient Summary for Rare Disease and Rare Cancers in the EHDS</t>
  </si>
  <si>
    <t>10.3233/SHTI250741</t>
  </si>
  <si>
    <t>There are more than 6000 known Rare Diseases (RDs), which are often multi-systemic, and about 200 rare cancers (RC) which are the RD of oncology. The knowledge and understanding of rare diseases and rare cancers is limited because of their rarity. The European Health Data Space (EHDS) is a set of regulations, standards and guidelines that aim to empower individuals to access and control their personal health data. Electronic Health Records (EHRs) form the basis for primary data sharing and information exchange in the EHDS, instrumental for improving the quality and safety of patient care, while supporting research, innovation, and policy-making. Patient Summary is one of the primary health data categories mandated by the EHDS. This paper reviews essential data elements for RD and RC patient summaries. Starting from typical use cases for planned and unplanned care, this paper proposes data element extensions for patient summaries that address the needs of RD and RC patients, bridging primary and secondary use of data. © 2025 The Authors.</t>
  </si>
  <si>
    <t>Digital health; EHR standards; European Health Data Space; HL7 FHIR; interoperability; patient summary; rare cancers; rare diseases</t>
  </si>
  <si>
    <t>A. Trama; Fondazione IRCCS Istituto Nazionale dei Tumori, Milano, Italy; email: annalisa.trama@istitutotumori.mi.it</t>
  </si>
  <si>
    <t>Dolin R.H.; Gupta R.; Newsom K.; Heale B.S.E.; Gothi S.; Starostik P.; Chamala S.</t>
  </si>
  <si>
    <t>Automated HL7v2 LRI informatics framework for streamlining genomics-EHR data integration</t>
  </si>
  <si>
    <t>10.1016/j.jpi.2023.100330</t>
  </si>
  <si>
    <t>While VCF formatted files are the lingua franca of next-generation sequencing, most EHRs do not provide native VCF support. As a result, labs often must send non-structured PDF reports to the EHR. On the other hand, while FHIR adoption is growing, most EHRs support HL7 interoperability standards, particularly those based on the HL7 Version 2 (HL7v2) standard. The HL7 Version 2 genomics component of the HL7 Laboratory Results Interface (HL7v2 LRI) standard specifies a formalism for the structured communication of genomic data from lab to EHR. We previously described an open-source tool (vcf2fhir) that converts VCF files into HL7 FHIR format. In this report, we describe how the utility has been extended to output HL7v2 LRI data that contains both variants and variant annotations (e.g., predicted phenotypes and therapeutic implications). Using this HL7v2 converter, we implemented an automated pipeline for moving structured genomic data from the clinical laboratory to EHR. We developed an open source hl7v2GenomicsExtractor that converts genomic interpretation report files into a series of HL7v2 observations conformant to HL7v2 LRI. We further enhanced the converter to produce output conformant to Epic's genomic import specification and to support alternative input formats. An automated pipeline for pushing standards-based structured genomic data directly into the EHR was successfully implemented, where genetic variant data and the clinical annotations are now both available to be viewed in the EHR through Epic's genomics module. Issues encountered in the development and deployment of the HL7v2 converter primarily revolved around data variability issues, primarily lack of a standardized representation of data elements within various genomic interpretation report files. The technical implementation of a HL7v2 message transformation to feed genomic variant and clinical annotation data into an EHR has been successful. In addition to genetic variant data, the implementation described here releases the valuable asset of clinically relevant genomic annotations provided by labs from static PDFs to calculable, structured data in EHR systems. © 2023 The Authors</t>
  </si>
  <si>
    <t>Clinical genomics; EHR; Electronic health record; Genomics module; HL7; Laboratory informatics</t>
  </si>
  <si>
    <t>S. Chamala; Department of Pathology and Laboratory Medicine, Children's Hospital Los Angeles, Los Angeles, 4650 Sunset Blvd, 90027, United States; email: schamala@chla.usc.edu</t>
  </si>
  <si>
    <t>Staemmler M.</t>
  </si>
  <si>
    <t>Health Information Exchange and Beyond: Cross-Standard Data Federation</t>
  </si>
  <si>
    <t>10.3233/SHTI250828</t>
  </si>
  <si>
    <t>Objective: Literature reports on HIE using federation, however in most instances by enforcing a specific standard or profile for information exchange. Methods: This paper reviews typical data classes for HIE, standards for content and metadata representation. It derives an approach for a cross-standard HIE and assesses typical operations “query and retrieve” and “store” in a federated setting Conclusion: The cross-standard HIE based on federation has been successfully implemented for more than 100 hospitals using four different standards for interfacing, namely mobile IHE profiles, HL7 V2 messages, HL7 FHIR resources and IHE profiles to comply to the varying capabilities of the hospitals attached. © 2025 The Authors.</t>
  </si>
  <si>
    <t>cross-standard; data federation; Health Information Exchange</t>
  </si>
  <si>
    <t>M. Staemmler; Department of Electrical Engineering and Computer Science, University of Applied Sciences, Stralsund, Germany; email: martin.staemmler@hochschule-stralsund.de</t>
  </si>
  <si>
    <t>Tsvetanov S.; Dimitrova S.; Antonova A.</t>
  </si>
  <si>
    <t>A Smart Data Model for Nutrition-Aware Diabetes Management in Healthcare Systems</t>
  </si>
  <si>
    <t>10.1007/978-3-032-05607-8_6</t>
  </si>
  <si>
    <t>This paper presents SmartNutritionDiabetes, a novel smart data model designed to semantically integrate food intake, nutritional goals and glycemic response for enhanced diabetes mellitus management. Developed in alignment with the Smart Data Models initiative and building upon existing frameworks such as SAREF4HEALTH and HL7 FHIR, the proposed model addresses a critical gap in representing nutrition-related data within chronic disease monitoring systems. By leveraging linked data principles and semantic interoperability, the model facilitates real-time, context-aware decision-making in healthcare environments. The model is implemented and tested in a simulated environment, where its performance is evaluated against traditional approaches. Results demonstrate significant improvements in data accessibility, semantic expressiveness, and cross-domain interoperability, making it a valuable foundation for next-generation personalized healthcare applications. © The Author(s), under exclusive license to Springer Nature Switzerland AG 2026.</t>
  </si>
  <si>
    <t>Digital Health; Health Ontologies; Personalized Nutrition; Semantic Interoperability; Smart Data Models</t>
  </si>
  <si>
    <t>S. Tsvetanov; Sofia University St. Kliment Ohridski, Sofia, Bulgaria; email: tsvetanov@fmi.uni-sofia.bg</t>
  </si>
  <si>
    <t>Randine P.; Salant E.; Muzny M.; Pape-Haugaard L.</t>
  </si>
  <si>
    <t>Consent Management System on Patient-Generated Health Data</t>
  </si>
  <si>
    <t>10.3233/SHTI230956</t>
  </si>
  <si>
    <t>We consent to many things in life, but sometimes we do not know what we consent to. When discussing data protection in Europe, consent has been associated with permission under the GDPR, and health data are highly sensitive. Patients cannot make an informed decision without being provided with the information they need upfront: no informed decision, no informed consent. This paper presents a consent management system for patient-generated health data stored with HL7 FHIR specification, tested on Type 1 diabetes synthetic data. This architecture, based on using FHIR as an unequivocal data exchange format, can lead to individuals (patients) taking control of their data, enabling potential data exchange and reuse of health data across countries and organisations, in line with the European Commission proposal of a European Health Data Space.  © 2024 International Medical Informatics Association (IMIA) and IOS Press.</t>
  </si>
  <si>
    <t>Adoption and use of digital health standards; health information exchange; interoperability; privacy</t>
  </si>
  <si>
    <t>P. Randine; Department of Computer Science, University of Tromsø, The Arctic University of Norway, Tromsø, Norway; email: pietro.randine@uit.no</t>
  </si>
  <si>
    <t>Khalifa A.; Freimuth R.R.</t>
  </si>
  <si>
    <t>Representing NIH Genetic Test Registry Data in the FHIR Genomic Study Resource</t>
  </si>
  <si>
    <t>10.3233/SHTI230515</t>
  </si>
  <si>
    <t>The National Institute of Health (NIH) Genetic Testing Registry (GTR) provides a variety of information about genetic tests such as relevant methods, conditions, and performing laboratories. This study mapped a subset of GTR data to the newly developed HL7®-FHIR® Genomic Study resource. Using open-source tools, a web application was developed to implement data mapping and provides many GTR test records as Genomic Study resources. The developed system demonstrates the feasibility of using open-source tools and the FHIR Genomic Study resource to represent publicly available genetic testing information. This study validates the overall design of the Genomic Study resource and proposes two enhancements to support additional data elements. © 2023 The authors and IOS Press.</t>
  </si>
  <si>
    <t>FHIR; Genetic Testing; Genomic Study; Standards</t>
  </si>
  <si>
    <t>A. Khalifa; Department of Artificial Intelligence and Informatics, United States; email: khalifa.aly@mayo.edu</t>
  </si>
  <si>
    <t>Šafran V.; Smrke U.; Ilijevec B.; Horvat S.; Flis V.; Plohl N.; Mlakar I.</t>
  </si>
  <si>
    <t>Feasibility of a computerized clinical decision support system delivered via a socially assistive robot during grand rounds: A pilot study</t>
  </si>
  <si>
    <t>Digital Health</t>
  </si>
  <si>
    <t>10.1177/20552076251339012</t>
  </si>
  <si>
    <t>Aims and Objective: The aim of this study was to explore the feasibility, usability and acceptance of integrating Clinical Decision Support Systems with Socially Assistive Robots into hospital grand rounds. Background: Adopting Clinical Decision Support Systems in healthcare faces challenges such as complexity, poor integration with workflows, and concerns about data privacy and quality. Issues such as too many alerts, confusing errors, and difficulty using the technology in front of patients make adoption challenging and prevent it from fitting into daily workflows. Making Clinical Decision Support System simple, intuitive and user-friendly is essential to enable its use in daily practice to improve patient care and decision-making. Methods: This six-month pilot study had two participant groups, with total of 40 participants: a longitudinal intervention group (n = 8) and a single-session evaluation group (n = 32). Participants were medical doctors at the University Clinical Center Maribor. The intervention involved implementing a Clinical Decision Support System delivered via a Socially Assistive Robot during hospital grand rounds. We developed a system that employed the HL7 FHIR standard for integrating data from hospital monitors, electronic health records, and patient-reported outcomes into a single dashboard. A Pepper-based SAR provided patient specific recommendations through a voice and SAR tablet enabled interface. Key evaluation metrics were assessed using the System Usability Scale (SUS) and the Unified Theory of Acceptance, Use of Technology (UTAUT2) questionnaire, including Effort Expectancy, Performance Expectancy and open ended questions. The longitudinal group used the system for 6 months and completed the assessments twice, after one week and at the end of the study. The single-session group completed the assessment once, immediately after the experiment. Qualitative data were gathered through open-ended questions. Data analysis included descriptive statistics, paired t-tests, and thematic analysis. Results: System usability was rated highly across both groups, with the longitudinal group reporting consistently excellent scores (M = 82.08 at final evaluation) compared to the acceptable scores of the single-session group (M = 68.96). Extended exposure improved user engagement, reflected in significant increases in Effort Expectancy and Habit over time. Participants found the system enjoyable to use, and while no significant changes were seen in Performance Expectancy, feedback emphasized its efficiency in saving time and improving access to clinical data, supporting its feasibility and acceptability. Conclusions: This research supports the potential of robotic technologies to transform CDSS into more interactive, efficient, and user-friendly tools for healthcare professionals. The paper also suggests further research directions and technical improvements to maximize the impact of innovative technologies in healthcare. © The Author(s) 2025.</t>
  </si>
  <si>
    <t>Clinical decision support systems; clinical decision-making; hospital grand rounds; patient data integration; perceived quality of care; socially assistive robots; usability and familiarity; user experience questionnaire; workload reduction</t>
  </si>
  <si>
    <t>V. Šafran; Faculty of Electrical Engineering and Computer Science, University of Maribor, Maribor, Slovenia; email: valentino.safran@um.si</t>
  </si>
  <si>
    <t>Löbe M.; Draeger C.; Strübing A.; Palm J.; Meineke F.A.; Winter A.</t>
  </si>
  <si>
    <t>Pitfalls in Analyzing FHIR Data from Different University Hospitals</t>
  </si>
  <si>
    <t>10.3233/SHTI230706</t>
  </si>
  <si>
    <t>The German Medical Informatics Initiative has agreed on a HL7 FHIR-based core data set as the common data model that all 37 university hospitals use for their patient's data. These data are stored locally at the site but are centrally queryable for researchers and accessible upon request. This infrastructure is currently under construction, and its functionality is being tested by so-called Projectathons. In the 6th Projectathon, a clinical hypothesis was formulated, executed in a multicenter scenario, and its results were analyzed. A number of oddities emerged in the analysis of data from different sites. Biometricians, who had previously performed analyses in prospective data collection settings such as clinical trials or cohorts, were not consistently aware of these idiosyncrasies. This field report describes data quality problems that have occurred, although not all are genuine errors. The aim is to point out such circumstances of data generation that may affect statistical analysis.  © 2023 The authors and IOS Press.</t>
  </si>
  <si>
    <t>Data Quality; EHR data; HL7 FHIR</t>
  </si>
  <si>
    <t>M. Löbe; Institut für Medizinische Informatik, Statistik und Epidemiologie, Universität Leipzig, Leipzig, Härtelstraße 16-18, 04107, Germany; email: matthias.loebe@imise.uni-leipzig.de</t>
  </si>
  <si>
    <t>Milosevic Z.</t>
  </si>
  <si>
    <t>Consumer-Centered Consent Automation in Health Information Exchange</t>
  </si>
  <si>
    <t>10.3233/SHTI240904</t>
  </si>
  <si>
    <t>Considering consumer preferences, this paper proposes computer-readable policy expressions to govern data sharing and use in consent-based health information exchange. Consent automation is an essential component of digital health transformation efforts, enabling better consumer choices in using their sensitive data while unlocking new values through policy-aware workflow expressions. The approach is based on the HL7 FHIR standard while using the obligation and responsibility concepts formally defined in the ISO ODP Enterprise Language (ODP-EL) standard. These concepts were expressed using a domain specific language (DSL) to support code generation for integration with digital health applications. The approach enables improved interoperability, considering consent, privacy, security requirements, and the ability to adopt new business, regulative or jurisdictional policies. Additionally, it accommodates generative AI solutions for faster alignment with existing document-based policies, ensuring clear provenance. Finally, consent automation and a broader policy framework in the context of the latest Australian Government initiatives in digital health are discussed. © 2024 The Authors.</t>
  </si>
  <si>
    <t>accountability; consent automation; consumer preferences; policy</t>
  </si>
  <si>
    <t>Z. Milosevic; Deontik, Australia; email: zoran@deontik.com</t>
  </si>
  <si>
    <t>Nichols S.; Laffin B.; Parisot C.</t>
  </si>
  <si>
    <t>Initial Experience of 10 Imaging Vendors with the IHE SHARAZONE: a New Multivendor Peer-to-Peer Test Service for DICOM Objects</t>
  </si>
  <si>
    <t>Journal of Digital Imaging</t>
  </si>
  <si>
    <t>10.1007/s10278-023-00881-2</t>
  </si>
  <si>
    <t>Alignment of DICOM (Digital Imaging and Communications in Medicine) capabilities among vendors is crucial to improve interoperability in the healthcare industry and advance medical imaging 2. However, a sustainable model for sharing DICOM samples is not available. To address this issue, Integrating the Healthcare Enterprise (IHE) has introduced the IHE SHARAZONE, a continuous cross-vendor DICOM data sharing test service. IHE is a highly regarded organization known for profiling standards such as DICOM, HL7 v2 (Health Level Seven, version 2), HL7 CDA (Clinical Document Architecture), and HL7 FHIR (Fast Healthcare Interoperability Resources) into practical solutions for clinical practice. The primary goal of the IHE SHARAZONE is to provide a reliable and consistent cross-vendor DICOM data sharing system. To evaluate its effectiveness, a 5-month pilot was conducted with ten imaging vendors. The pilot concluded with a participant survey, which yielded valuable insights into the initial experience with the IHE SHARAZONE. These findings can inform future improvements and developments to this important service. © 2023, The Author(s) under exclusive licence to Society for Imaging Informatics in Medicine.</t>
  </si>
  <si>
    <t>Cross-vendor exchange; DICOM (Digital Imaging and Communications in Medicine); IHE (Integrating the Healthcare Enterprise); Interoperability; Medical imaging; SHARAZONE</t>
  </si>
  <si>
    <t>S. Nichols; GE HealthCare, Waukesha, United States; email: steven.nichols@ge.com</t>
  </si>
  <si>
    <t>Institute for Ionics</t>
  </si>
  <si>
    <t>Problem Oriented Medical Translational Services based on GraphQL Connectivity</t>
  </si>
  <si>
    <t>IEEE International Conference on Communications</t>
  </si>
  <si>
    <t>10.1109/ICC45855.2022.9838418</t>
  </si>
  <si>
    <t>Research in translational medicine (TM) is growing rapidly due to the growing believe that most valuable data source for the biomedical discoveries come from the basic research on clinical care extracted from patient cases descriptions. Bridging the clinical care findings at the bedside with the biomedical knowledge at the bench provide insights that can improve patient outcomes and lead to the development of new drugs and therapies. Research on translational medicine gained a great deal of prominence through the establishment of governmental and institutional boards like the US Clinical and Translational Science Awards (CTSA) and the EU Seventh Framework Program (FP7). TM research is ultimately requires data integration on a massive scale between variety of clinical data. In order to accelerate medical discovery, the integration of biomedical data needs to happen both at the physician point of care level via the electronic health records (EHRs) and at bench top applications and repositories. However, data integration is a great challenge to healthcare as the legacy technologies used are built around the REST APIs to get data into these biomedical applications and systems. The REST protocol is aging as it has been the technology used for the last 20 years. Major information technology venders like Facebook and Google have replaced REST with GraphQL allowing changes on the client side to fetch new data from the server without the need for extra work on the server. In this paper we are describing our efforts to integrate the problem oriented medical record (called QL4POMR that is based on GraphQL) which has been defined around the notion of SOAP (Subjective, Objective, Assessment and Planning) to describe patient cases with the HL7 FHIR electronic record and the HL7 IPS patient summary as well as with other external biomedical repositories like the OpenTargets and the Drug Bank. The integration has been described via adding a data layer on top of the QL4POMR to enable the schema integration and querying from all these external sources via the GraphQL server. Our initial experimentations show success in discovering drug adverse events and in recommending alternative drugs at the time of prescribing new medication to patients and completing the planning section of SOAP. More research will continue to draw other translational associations based on the integration provided by our QL4POMR framework with OpenTargets and Drug Bank. © 2022 IEEE.</t>
  </si>
  <si>
    <t>GraphQL; Medical Translation Informatics; OpenTargets; Problem Oriented Medical Record (POMR); QL4POMR; SOAP Note</t>
  </si>
  <si>
    <t>Mazein I.; Gebhardt T.; Zinkewitz F.; Michaelis L.; Braun S.; Waltemath D.; Henkel R.; Wodke J.A.H.</t>
  </si>
  <si>
    <t>MeDaX: A Knowledge Graph on FHIR</t>
  </si>
  <si>
    <t>10.3233/SHTI240423</t>
  </si>
  <si>
    <t>In Germany, the standard format for exchange of clinical care data for research is HL7 FHIR. Graph databases (GDBs), well suited for integrating complex and heterogeneous data from diverse sources, are currently gaining traction in the medical field. They provide a versatile framework for data analysis which is generally challenging for raw FHIR-formatted data. For generation of a knowledge graph (KG) for clinical research data, we tested different extract-transform-load (ETL) approaches to convert FHIR into graph format. We designed a generalised ETL process and implemented a prototypic pipeline for automated KG creation and ontological structuring. The MeDaX-KG prototype is built from synthetic patient data and currently serves internal testing purposes. The presented approach is easy to customise to expand to other data types and formats. © 2024 The Authors.</t>
  </si>
  <si>
    <t>Clinical research data; ETL; FHIR; knowledge graph; MeDaX</t>
  </si>
  <si>
    <t>J.A.H. Wodke; Department of Medical Informatics, University Medicine Greifswald, Germany; email: judith.wodke@uni-greifswald.de</t>
  </si>
  <si>
    <t>Kobayashi S.; Shiokawa Y.; Nakayama M.; Imai T.; Ohe K.</t>
  </si>
  <si>
    <t>Design of an HL7 FHIR Profile for Electrocardiogram Data Exchange in Japan</t>
  </si>
  <si>
    <t>10.3233/SHTI251105</t>
  </si>
  <si>
    <t>Electrocardiograms (ECGs) are essential diagnostic tools; however, the lack of standardized data exchange hinders interoperability. This study develops an HL7 FHIR Profile tailored for recording ECG data, addressing requirements from both clinical and engineering perspectives. By incorporating guidance from guidelines and prior research, the profile enhances ECG data representation. © 2025 The Authors.</t>
  </si>
  <si>
    <t>ECG; Electrocardiogram; HL7 FHIR</t>
  </si>
  <si>
    <t>S. Kobayashi; Gifu University, Japan; email: kobayashi.shinji.k6@f.gifu-u.ac.jp</t>
  </si>
  <si>
    <t>Willi D.; Kennel K.; Denecke K.; Bignens S.</t>
  </si>
  <si>
    <t>REVIVAL - Digital PREMs Data Collection from Cancer Survivors</t>
  </si>
  <si>
    <t>10.3233/SHTI250155</t>
  </si>
  <si>
    <t>Background: Cancer survivors often face long-term physical and psychosocial challenges post-treatment. Patient Reported Experience Measures (PREMs) are critical for understanding their perspectives and improving healthcare quality. However, no standardized tool currently exists for collecting these PREMs in Switzerland. Objectives: This study aimed to develop and test a digital application for collecting PREMs from cancer survivors to identify areas for improving aftercare. Methods: A web-application implementing the Cancer Patient Experiences Questionnaire (SCAPE-CH) using HL7 FHIR was developed, and usability was assessed using the System Usability Scale (SUS). Cancer survivors were recruited via social media to provide PREMs using the tool. Results: Data from 77 cancer survivors highlighted key areas for improvement, including communication between providers, information on long-term side effects and knowledge transfer between caregivers and doctors. SUS scores indicated good usability of the application. Conclusion: The digital PREMs tool effectively captured valuable insights, identifying critical areas for enhancing aftercare. Future work will focus on recruiting more patients to get representative data and integrating findings into broader healthcare strategies for cancer survivors. © 2025 The Authors.</t>
  </si>
  <si>
    <t>Aftercare; Cancer Survivors; Digital Health; FHIR; Health Data Collection; HL7; Patient Reported Experience Measures; PREMs; SCAPE-CH Questionnaire; Survivorship Care; Usability Testing</t>
  </si>
  <si>
    <t>D. Willi; Bern University of Applied Sciences, Biel, Quellgasse 21, Switzerland; email: do.willi98@gmail.com</t>
  </si>
  <si>
    <t>Brieux H.F.M.; La Rosa F.; Masud J.H.B.</t>
  </si>
  <si>
    <t>Telemedicine Alert API Engine System for Vital Signs</t>
  </si>
  <si>
    <t>10.3233/SHTI240435</t>
  </si>
  <si>
    <t>Telemedicine is used to assist and support remote medical care for patients. Our objective was to build up a REST Webservices alert engine that receives clinical parameters from patients of vital signs and basic laboratories to monitor patients remotely. We built a REST API using FHIR, so it can interoperate with other applications, send data to be processed, and receive a response. If the API detects a health risk situation, it sends an alert about the medical parameters that are controlled. The results of the processed data, news and alert, can return synchronously or asynchronously, at the same time that the data to be processed is being sent. The alerts generated can be automatically sent to a web service, mail or WhatsApp of the physician. The alert message comes out as normal, low, medium and high risk. The presented approach establishes communication that enables timely health information exchange. We conducted an experiment (with fictitious data) where we sent several queries by Postman. Finally, we evaluated the communication to be successful by manual checking. The use of the API significantly improves the monitoring of chronic patients. Many works show the effectiveness of telemedicine to improve the control of certain chronic diseases. In addition, telemedicine interventions were also found to significantly improve other health outcomes. Our API enables us to transfer data and produce alerts successfully. This gives us hope that a future with ubiquitous healthcare information interoperability is possible using our system. © 2024 The Authors.</t>
  </si>
  <si>
    <t>HL7 FHIR; REST API; Telemedicine; vital sign</t>
  </si>
  <si>
    <t>J.H.B. Masud; Public Health Informatics Foundation, Dhaka, Bangladesh; email: jakir_msd@yahoo.com</t>
  </si>
  <si>
    <t>Sridevi S.; Bhat C.R.</t>
  </si>
  <si>
    <t>Semantic Interoperability Framework for Multi-Center Healthcare Big Data Using Conceptual Modeling and SPARQL-Based Analysis</t>
  </si>
  <si>
    <t>2025 3rd International Conference on Communication, Security, and Artificial Intelligence, ICCSAI 2025</t>
  </si>
  <si>
    <t>10.1109/ICCSAI64074.2025.11063912</t>
  </si>
  <si>
    <t>The exchange of health care data between multiple centers especially faces great challenges in attaining semantic integration. In the present research, this framework for semantic integration of multi-center real healthcare big data is contextualized with a conceptual modelling approach and subsequent facet analysis in SPARQL. Through conceptual modeling, the framework enshrines the provision of a consistent manner of presenting disparate health care data to facilitate data transfer across various systems. The semantic alignment process improves the integrated data by increasing the accuracy and consistency to meet the efficient querying and analysis through SPARQL. The study to assess the efficiency of the proposed framework reflects the real healthcare centers ten data with more than 100, 000 records. The semantic mapping achieved was 97.5%, the data coherence achieved was 98 percent, and the average of interoperability was 96.8 percent. Query performance was of order with average time of 4.2 seconds for complex queries which is 20% faster than normal ways. Some of the usual problems like lack of specific demographic information and variations between the clinical vocabularies were figured out and solved during the calibration process. Consequently, this study establishes the validity of the proposed framework of setting up a concept-based and ontology-configured HL7 FHIR system, showing how the integration of disparate health care data enhances data quality thereby enhancing the ability to make sound clinical decisions. The presented methodology provides a solution for managing the issue of data fragmentation in healthcare organizations on a large scale. Future work will focus on using machine learning techniques to automatically establish correspondences and fuses the two models.  © 2025 IEEE.</t>
  </si>
  <si>
    <t>big data; conceptual modeling; data integration; healthcare data mapping; multi-center healthcare; semantic alignment; Semantic interoperability; SPARQL-based analysis</t>
  </si>
  <si>
    <t>Hofmann A.-L.; Wendel J.; Selig U.; Cidlinsky P.; Vogl C.; Scriba S.; Zech C.; Wurmb T.; Ertl M.; Mehdi M.; Bavendiek U.; Krefting D.; Volkmann J.; Kraft P.; Hametner C.; Haeusler K.G.; Reese J.-P.; Heuschmann P.</t>
  </si>
  <si>
    <t>Time-critical quality assessment of a digital hub for acute stroke care: Implementing key performance indicators within the CAEHR (CArdiovascular diseases – Enhancing Healthcare through cross-sectoral Routine data integration) project</t>
  </si>
  <si>
    <t>Informatics in Medicine Unlocked</t>
  </si>
  <si>
    <t>10.1016/j.imu.2026.101745</t>
  </si>
  <si>
    <t>Purpose Timely treatment for acute stroke requires rapid admission to specialized centers, which is challenging in rural areas. Hereby we report: the conceptualization of implementing digital interfaces to improve time-critical communication between Emergency Medical Services (EMS), regional hospitals, and stroke centers; the development of key performance indicators (KPIs) for pre-hospital stroke care; and the experience of a proof-of-concept pilot study. Method Within the CAEHR (CArdiovascular diseases – Enhancing Healthcare through cross-sectoral Routine data integration) project, three HL7/FHIR compliant interfaces were conceptualized to enhance communication between EMS, regional hospitals, and the stroke unit at the University Hospital of Würzburg based on experiences of a telemedical network in rural Northwest-Bavaria. To prepare the evaluation of the impact of these interfaces, a standardized set of KPIs for pre-hospital stroke care was developed and piloted regarding feasibility within a proof-of-concept pilot study. Results An interface enabling real-time exchange of EMS pre-notification and protocols was developed to improve EMS-to-stroke center communication. Another interface linked PACS systems of regional hospitals with the stroke unit to facilitate faster image transmission. 27 KPIs for measuring acute stroke care quality were defined by a multidisciplinary group using a standardized evidence-based approach. In a proof-of-concept pilot study comprising 25 patients, KPIs demonstrated feasibility regarding implementation and patient follow-up. Conclusion Digital interfaces to improve time-critical communication in acute stroke care were successfully conceptualized. A larger validation study is required to assess their impact on pre-defined quality measures in pre-hospital stroke care. Study registration The study was registered on the German Clinical Trials Register (DRKS00029103) in July 2022. Drks id DRKS00029103. © 2026 The Authors.</t>
  </si>
  <si>
    <t>Acute stroke; Emergency care; Key performance indicators; Pilot phase</t>
  </si>
  <si>
    <t>A.-L. Hofmann; Institute of Clinical Epidemiology and Biometry, Julius-Maximilians-Universität Würzburg (JMU), Würzburg, Am Schwarzenberg 15, Haus A15 – 4.Stock, 97078, Germany; email: Hofmann_a9@ukw.de</t>
  </si>
  <si>
    <t>Kumagai C.; Hoshimoto H.; Komuro M.; Watabe D.; Sakurai R.; Kitamura S.; Mitsui S.; Watanabe H.; Miyo K.; Ueki K.</t>
  </si>
  <si>
    <t>Reconstruction of a Large-Scale Real-World HL7 v2.5 Database Using HL7 FHIR®</t>
  </si>
  <si>
    <t>10.3233/SHTI250823</t>
  </si>
  <si>
    <t>The 6NC-EHRs Database (6NC-EHRsDB) is based on clinical data output from electronic health records (EHRs) at six national centers. This study evaluated the reproducibility of the DB constructed in HL7 v2.5 to the HL7 FHIR® (FHIR). First, we clarified the correspondence between the 80 items collected in the 6NC-EHRsDB and each in FHIR. Next, FHIR resources (Condition, Medication Request, and Observation LabResult) extracted from EHRs were compared with data in 6NC-EHRsDB to evaluate the number of records, data item coverage, and the accuracy of data values were evaluated. 74 of the 80 items in 6NC-EHRsDB were successfully mapped to FHIR. The verification of coverage revealed that standard codes such as drug and disease names were not included in the data. In the records, 99.9% of Condition, 99.2% of Medication Request, and 99.9% of Observation LabResult were found to match after adjustment. Concerning the accuracy of data values, Medication Request had the lowest agreement rate of 69.1% for the prescription start date, and Observation LabResult had the lowest agreement rate of 58.9% for standard values. Based on the issues identified in this study, the reproducibility of DBs constructed with HL7 v2.5 using FHIR are expected to be improved. Our result will enhance data utilization and interoperability among medical information systems by eliminating deficiencies in implementing FHIR and enabling the assignment of accurate standard codes. © 2025 The Authors.</t>
  </si>
  <si>
    <t>Data quality; Data Standardization; Real World Database</t>
  </si>
  <si>
    <t>Casanova R.; Villa-Garzon F.A.; Branch-Bedoya J.W.</t>
  </si>
  <si>
    <t>Architectural patterns for health information systems: a systematic review</t>
  </si>
  <si>
    <t>10.3389/fdgth.2025.1694839</t>
  </si>
  <si>
    <t>Background: Health information systems (HIS) are critical for digital health transformation, yet fragmentation and poor interoperability adoption remains a major challenge. Objectives: This study systematically reviews architectural patterns used in HIS and evaluates their alignment with ecosystem-level requirements. Methods: Following PRISMA 2020 guidelines, a systematic literature review was conducted across Scopus, IEEE Xplore, PubMed, and Web of Science (2020–2025). Eligible studies described, evaluated, or proposed HIS solutions. Results: From an initial set of 304 records, 89 met the inclusion criteria. Service-based and decentralized/distributed ledger architectures were predominant, with emerging models integrating edge computing and modular design. FHIR-based contracts are found as stabilizers of interfaces, enabling validation and reducing integration costs. However, gaps persist in cross-border care, sustainability, and artificial intelligence integration. Conclusion: While microservices dominate current HIS architectures, achieving resilient, interoperable ecosystems requires greater architectural diversity and intersectoral collaboration. 2025 Casanova, Villa-Garzon and Branch-Bedoya.</t>
  </si>
  <si>
    <t>blockchain; digital health ecosystems; HL7 FHIR; interoperability; microservices; software architecture; systematic review</t>
  </si>
  <si>
    <t>R. Casanova; Departamento de Ciencias de la Computación y la Decisión, Universidad Nacional de Colombia, Medellín, Colombia; email: rcasanovay@unal.edu.co</t>
  </si>
  <si>
    <t>Gómez D.; Romero J.; López P.; Vázquez J.; Cappo C.; Pinto D.; Villalba C.</t>
  </si>
  <si>
    <t>Cloud architecture for electronic health record systems interoperability</t>
  </si>
  <si>
    <t>Technology and Health Care</t>
  </si>
  <si>
    <t>10.3233/THC-212806</t>
  </si>
  <si>
    <t>BACKGROUND: Current Electronic Health Record (EHR) systems are built using different data representation and information models, which makes difficult achieving information exchange. OBJECTIVE: Our aim was to propose a scalable architecture that allows the integration of information from different EHR systems. METHODS: A cloud-based EHR interoperable architecture is proposed through the standardization and integration of patient electronic health records. The data is stored in a cloud repository with high availability features. Stakeholders can retrieve the patient EHR by requesting only to the integrated data repository. The OpenEHR two-level approach is applied according to the HL7-FHIR standards. We validated our architecture by comparing it with 5 different works (CHISTAR, ARIEN, DIRAYA, LLPHR and INEHRIS) using a set of selected axes and a scoring method. RESULTS: The problem was reduced to a single point of communication between each EHR system and the integrated data repository. By combining cloud computing paradigm with selected health informatics standards, we obtained a generic and scalable architecture that complies 100% with interoperability requisites according to the evaluation framework applied. CONCLUSIONS: The architecture allowed the integration of several EHR systems, adapting them with the use of standards and ensuring the availability thanks to cloud computing features.  © 2022 - IOS Press. All rights reserved.</t>
  </si>
  <si>
    <t>Cloud EHR; Electronic health records; health informatics standards; HL7 FHIR; interoperability; OpenEHR</t>
  </si>
  <si>
    <t>C. Villalba; Nucleus of Research and Technological Development, Polytechnic Faculty, National University of Asuncion, San Lorenzo, Mariscal Lopez Avenue, Paraguay; email: cvillalba@pol.una.py</t>
  </si>
  <si>
    <t>Dolin R.H.; Gothi S.R.; Boxwala A.; Heale B.S.E.; Husami A.; Jones J.; Khangar H.; Londhe S.; Naeymi-Rad F.; Rao S.; Rapchak B.; Shalaby J.; Suraj V.; Xie N.; Chamala S.; Alterovitz G.</t>
  </si>
  <si>
    <t>vcf2fhir: a utility to convert VCF files into HL7 FHIR format for genomics-EHR integration</t>
  </si>
  <si>
    <t>BMC Bioinformatics</t>
  </si>
  <si>
    <t>10.1186/s12859-021-04039-1</t>
  </si>
  <si>
    <t>Background: VCF formatted files are the lingua franca of next-generation sequencing, whereas HL7 FHIR is emerging as a standard language for electronic health record interoperability. A growing number of FHIR-based clinical genomics applications are emerging. Here, we describe an open source utility for converting variants from VCF format into HL7 FHIR format. Results: vcf2fhir converts VCF variants into a FHIR Genomics Diagnostic Report. Conversion translates each VCF row into a corresponding FHIR-formatted variant in the generated report. In scope are simple variants (SNVs, MNVs, Indels), along with zygosity and phase relationships, for autosomes, sex chromosomes, and mitochondrial DNA. Input parameters include VCF file and genome build (‘GRCh37’ or ‘GRCh38’); and optionally a conversion region that indicates the region(s) to convert, a studied region that lists genomic regions studied by the lab, and a non-callable region that lists studied regions deemed uncallable by the lab. Conversion can be limited to a subset of VCF by supplying genomic coordinates of the conversion region(s). If studied and non-callable regions are also supplied, the output FHIR report will include ‘region-studied’ observations that detail which portions of the conversion region were studied, and of those studied regions, which portions were deemed uncallable. We illustrate the vcf2fhir utility via two case studies. The first, 'SMART Cancer Navigator', is a web application that offers clinical decision support by linking patient EHR information to cancerous gene variants. The second, 'Precision Genomics Integration Platform', intersects a patient's FHIR-formatted clinical and genomic data with knowledge bases in order to provide on-demand delivery of contextually relevant genomic findings and recommendations to the EHR. Conclusions: Experience to date shows that the vcf2fhir utility can be effectively woven into clinically useful genomic-EHR integration pipelines. Additional testing will be a critical step towards the clinical validation of this utility, enabling it to be integrated in a variety of real world data flow scenarios. For now, we propose the use of this utility primarily to accelerate FHIR Genomics understanding and to facilitate experimentation with further integration of genomics data into the EHR. © 2021, The Author(s).</t>
  </si>
  <si>
    <t>Clinical genomics; EHR integration; FHIR; Next-generation sequencing; SMART-on-FHIR</t>
  </si>
  <si>
    <t>R.H. Dolin; Elimu Informatics, Richmond, 1160 Brickyard Cove Rd Ste 200, 94801-4173, United States; email: bdolin@elimu.io</t>
  </si>
  <si>
    <t>Przysucha M.; Hüsers J.; Liberman D.; Kersten O.; Schlüter A.; Fraas S.; Busch D.; Moelleken M.; Erfurt-Berge C.; Dissemond J.; Hübner U.</t>
  </si>
  <si>
    <t>Design and Implementation of an ETLProcess to Transfer Wound-Related Data into a Standardized Common Data Model</t>
  </si>
  <si>
    <t>10.3233/SHTI230723</t>
  </si>
  <si>
    <t>For observational studies, which are relevant especially for chronic conditions like chronic wounds, the Observational Medical Outcomes Partnership (OMOP) Common Data Model (CDM) offers a standardized database schema. In this study an ETL process for the transition of wound related data was developed. After understanding the data in general and mapping the relevant codes to concepts available in OMOP, the ETL process was implemented. In a first step, a generic algorithm to convert data to a csv format was implemented in Java. The resulting csv file was then processed within KNIME to be loaded into an OMOP CDM conformant database. During the whole ETL process, HL7 FHIR CodeSystem and ConceptMap resources were used for coding and mapping. First clinical test cases to retrieve data were successfully processed as an example to demonstrate the feasibility and usefulness. They concerned wound size at the first visit and the main issues of patients in the wound quality of life questionnaire (n = 24). In general, the ETL process worked well, yet some challenges arose, like post coordinated SNOMED codes or conditions, which might occur more than once.  © 2023 The authors and IOS Press.</t>
  </si>
  <si>
    <t>ETL Process; OMOP CDM; Wound Care</t>
  </si>
  <si>
    <t>M. Przysucha; Health Informatics Research Group, Osnabrück University of As, Germany; email: m.przysucha@hs-osnabrueck.de</t>
  </si>
  <si>
    <t>Hoffmann K.; Peng Y.; Schlosser T.; Stolze G.; Langner H.; Susky M.; Meyer T.; Ritter M.; Kowerko D.; Kakkassery V.; Wolfien M.; Sedlmayr M.</t>
  </si>
  <si>
    <t>Towards Standardizing Ophthalmic Data for Seamless Interoperability in Eye Care</t>
  </si>
  <si>
    <t>10.3233/SHTI240849</t>
  </si>
  <si>
    <t>Introduction: Seamless interoperability of ophthalmic clinical data is beneficial for improving patient care and advancing research through the integration of data from various sources. Such consolidation increases the amount of data available, leading to more robust statistical analyses, and improving the accuracy and reliability of artificial intelligence models. However, the lack of consistent, harmonized data formats and meanings (syntactic and semantic interoperability) poses a significant challenge in sharing ophthalmic data. Methods: The Health Level 7 (HL7) Fast Healthcare Interoperability Resources (FHIR), a standard for the exchange of healthcare data, emerges as a promising solution. To facilitate cross-site data exchange in research, the German Medical Informatics Initiative (MII) has developed a core data set (CDS) based on FHIR. Results: This work investigates the suitability of the MII CDS specifications for exchanging ophthalmic clinical data necessary to train and validate a specific machine learning model designed for predicting visual acuity. In interdisciplinary collaborations, we identified and categorized the required ophthalmic clinical data and explored the possibility of its mapping to FHIR using the MII CDS specifications. Discussion: We found that the current FHIR MII CDS specifications do not completely accommodate the ophthalmic clinical data we investigated, indicating that the creation of an extension module is essential. © 2024 The Authors.</t>
  </si>
  <si>
    <t>Data Exchange; Data Standardization; HL7 FHIR; Interoperability; Ophthalmology</t>
  </si>
  <si>
    <t>K. Hoffmann; Institute for Medical Informatics and Biometry, Carl Gustav Carus Faculty of Medicine, Technische Universität Dresden, Dresden, Germany; email: katja.hoffmann@tu-dresden.de</t>
  </si>
  <si>
    <t>Saraceno D.; Chronaki C.; Cangioli G.; Filbert A.-L.; Muraca M.; Berti A.; Rielli R.; Thomopulos N.; Knoerr L.; Walz D.; Neumann A.; Beccaria A.; Aulicino A.; Nicolas B.; Cavalca G.; Uyttebroeck A.; van Helvoirt M.; Brié T.; Vanden Meersch E.; Ladenstein R.; Bardi E.; Schreier G.; Beyer S.; Müllner-Rieder M.; Tormo Alcañiz M.T.; Cervero Beltran L.; Rascon J.; Kapitančukė M.; Trinkūnas J.; Stukaitė-Ruibienė E.; Ragauskas P.; Ciesiūnienė A.; Haupt R.; Grabow D.</t>
  </si>
  <si>
    <t>Assessment of HL7 FHIR Interoperability Between EHR Systems and the Survivorship Passport v2.0 Platform to Generate Treatment Summaries for Childhood Cancer Survivors in Six Clinics: Preliminary Testing Results</t>
  </si>
  <si>
    <t>10.3233/SHTI240646</t>
  </si>
  <si>
    <t>The Survivorship Passport (SurPass) for childhood cancer survivors provides a personalized treatment summary together with a care plan for long-term screening of possible late effects. HL7 FHIR connectivity of Electronic Health Record (EHR) systems with the SurPass has been proposed to reduce the burden of collecting and organizing the relevant information. We present the results of testing and validation efforts conducted across six clinics in Austria, Belgium, Germany, Italy, Lithuania, and Spain. We also discuss ways in which this experience can be used to reduce efforts for the SurPass integration in other clinics across Europe. © 2024 The Authors.</t>
  </si>
  <si>
    <t>Cancer Survivorship; EHR systems; HL7 FHIR IG; Testing; Validation</t>
  </si>
  <si>
    <t>D. Saraceno; Cineca Interuniversity Consortium, Bologna, Italy; email: d.saraceno@cineca.it</t>
  </si>
  <si>
    <t>Menzel F.; Waltemath D.; Henkel R.</t>
  </si>
  <si>
    <t>Exploring New Possibilities for Research Data Exploration Using the Example of the German Core Data Set</t>
  </si>
  <si>
    <t>10.3233/SHTI230255</t>
  </si>
  <si>
    <t>The German Medical Informatics Initiative (MII) aims to increase the interoperability and reuse of clinical routine data for research purposes. One important result of the MII work is a German-wide common core data set (CDS), which is to be provided by over 31 data integration centers (DIZ) following a strict specification. One standard format for data sharing is HL7/FHIR. Locally, classical data warehouses are often in use for data storage and retrieval. We are interested to investigate the advantages of a graph database in this setting. After having transferred the MII CDS into a graph, storing it in a graph database and subsequently enriching it with accompanying meta-information, we see a great potential for more sophisticated data exploration and analysis. Here we describe the extract-transform-load process which we set up as a proof of concept to achieve the transformation and to make the common set of core data accessible as a graph. © 2023 European Federation for Medical Informatics (EFMI) and IOS Press.</t>
  </si>
  <si>
    <t>Core Data Set; Data Exploration; Data Integration; Graph Database; HL7/FHIR</t>
  </si>
  <si>
    <t>R. Henkel; Department of Medical Informatics, University Medicine Greifswald, Walther-Rathenau-Str. 48, D-17475, Germany; email: ron.henkel@uni-greifswald.de</t>
  </si>
  <si>
    <t>Guilbert B.; Rieu T.; Delamarre D.; Laurent F.; Serre F.; Leroy S.; Paillard E.; Le Buhan N.; Ribault A.; Cuggia M.</t>
  </si>
  <si>
    <t>ONCO-FAIR Project: Improving Data Interoperability in Oncology Chemotherapy Treatments for Data Reuse</t>
  </si>
  <si>
    <t>10.3233/SHTI240667</t>
  </si>
  <si>
    <t>The ONCO-FAIR project's initial experimentation aims to enhance data interoperability in oncology chemotherapy treatments, adhering to the FAIR principles. This study focuses on integrating the HL7 FHIR standard to address interoperability challenges within chemotherapy data exchange. Collaborating with healthcare institutions in Rennes, the research team assessed the limitations of current standards such as PN13, mCODE, and OSIRIS, leading to the customization of twelve FHIR resources complemented by two chemotherapy-specific extensions. The methodological approach follows the Integrating the Healthcare Enterprise (IHE) framework, organizing the process into four key stages to ensure the effectiveness and relevance of health data reuse for research. This framework facilitated the identification of chemotherapy-specific needs, the evaluation of existing standards, and data modeling through a FHIR implementation guide. The article underscores the importance of upstream interoperability for aligning chemotherapy software with clinical data warehouse infrastructure, showcasing the proposed solution's capability to overcome interoperability barriers and promote data reuse in line with FAIR principles. Furthermore, it discusses future directions, including extending this approach to other oncology data categories and enhancing downstream interoperability with health data sharing platforms. © 2024 The Authors.</t>
  </si>
  <si>
    <t>Big Data; Data Interoperability; HL7 FHIR Standard; Oncology</t>
  </si>
  <si>
    <t>D. Delamarre; Univ Rennes, CHU Rennes, INSERM, LTSI-UMR 1099, Rennes, F-35000, France; email: denis.delamarre@chu-rennes.fr</t>
  </si>
  <si>
    <t>Gyrard A.; Gribbon P.; Hussein R.; Abedian S.; Bonmati L.M.; Cabornero G.L.; Manias G.; Danciu G.; Dalmiani S.; Autexier S.; Nuland R.; Jendrossek M.; Avramidis I.; Alvarez E.G.</t>
  </si>
  <si>
    <t>Synergies Among Health Data Projects with Cancer Use Cases Based on Health Standards</t>
  </si>
  <si>
    <t>10.3233/SHTI240649</t>
  </si>
  <si>
    <t>We are creating a synergy among European Health Data Space projects (e.g., IDERHA, EUCAIM, ASCAPE, iHELP, Bigpicture, and HealthData@EU pilot project) via health standards usage thanks to the HSBOOSTER EU Project since they are involved or using standards, and/or designing health ontologies. We compare health-standardized models/ontologies/terminologies such as HL7 FHIR, DICOM, OMOP, ISO TC 215 Health Informatics, W3C DCAT, etc. used in those projects. © 2024 The Authors.</t>
  </si>
  <si>
    <t>Cancer; Health Data Space; Interoperability; Standards</t>
  </si>
  <si>
    <t>P. Gribbon; Fraunhofer, ITMP, Hamburg, Germany; email: philip.gribbon@itmp.fraunhofer.de</t>
  </si>
  <si>
    <t>Moen A.; Chronaki C.</t>
  </si>
  <si>
    <t>G-Lens: Using HL7 FHIR International Patient Summary to Highlight Key Information in Medication Leaflets</t>
  </si>
  <si>
    <t>10.3233/SHTI220257</t>
  </si>
  <si>
    <t>Medication therapy adherence remains an important problem in health care, and information about medicines from electronic product information is large and untapped resource. The Gravitate-Health project is a large European Union Public Private Partnership that aims to elicit value for electronic product information, starting with information in a patients International Patient Summary. © 2022 International Medical Informatics Association (IMIA) and IOS Press.</t>
  </si>
  <si>
    <t>electronic Product Information; ePI; International Patient Summary; Interoperability Standards; medication leaflets</t>
  </si>
  <si>
    <t>A. Moen; Institute for Health and Society, University of Oslo, Oslo, Norway; email: anne.moen@medisin.uio.no</t>
  </si>
  <si>
    <t>Shafqat S.; Khan M.N.A.</t>
  </si>
  <si>
    <t>SUSTAINABLE DATA PARADIGM FOR SMART SOCIETY ON AMBIENT CLOUD IN PAKISTAN</t>
  </si>
  <si>
    <t>IET Conference Proceedings</t>
  </si>
  <si>
    <t>10.1049/icp.2025.1087</t>
  </si>
  <si>
    <t>Researchers at Ambient Cloud started to evaluate cloud frameworks in 2010 and came up with a trusted cloud framework to build a unified knowledgebase with identity management system that we have referred to as Cloud Intellect. Standards set for cloud/cyber security and society 5.0 would form our benchmarks to keep all systems related to education, agriculture, health or infrastructure interoperable over Trusted Ambient Cloud Intellect. This community cloud infrastructure would be secure and generalized to be available for use globally in society 5.0. It would be the built on the data coming in from the societal community to perform automated services. Sustainable data governance standards would therefore be required within society 5.0 that would be residing over ambient cloud that would meet for identity management and information sharing using federated learning, block chain or IOTA mechanisms in energy efficient secure networks within the national boundaries. Researchers have laid the foundation for SmartHealth community cloud to be embedded in Ambient Cloud to instil Intelligence. A unified standard clinical data model is built which assisted to extract medical corpora to propose cloud based smart healthcare big data analytics. Standards met are Health Level Seven Fast Healthcare Interoperability Resources (HL7 FHIR) and International Classification of Diseases (ICD-10). This paper outlines three experimental case studies with estimated results for establishing trusted ambient cloud intellect using cloud infrastructure with databases and application development tools like; eucalyptus or openstack. © The Institution of Engineering &amp; Technology 2025.</t>
  </si>
  <si>
    <t>ANALYTICS; COMMUNITY CLOUD; KNOWLEDGEBASE; SOCIETY 5.0; TRUSTED CLOUD</t>
  </si>
  <si>
    <t>S. Shafqat; Ambient Cloud, Islamabad, Pakistan; email: sarah.shafqat@gmail.com</t>
  </si>
  <si>
    <t>Institution of Engineering and Technology</t>
  </si>
  <si>
    <t>Albuquerque R.; Sardinha L.; Albuquerque S.; Silva M.; Leite E.; Fragoeiro I.</t>
  </si>
  <si>
    <t>PROPOSAL OF A DIGITAL MODEL FOR MEDICATION RECONCILIATION USING BLOCKCHAIN AND ARTIFICIAL INTELLIGENCE; [PROPOSTA DE UM MODELO DIGITAL DE RECONCILIAÇÃO TERAPÊUTICA COM RECURSO A BLOCKCHAIN E INTELIGÊNCIA ARTIFICIAL]</t>
  </si>
  <si>
    <t>E3 Journal of Economics, Business and Entrepreneurship in the Community of Portuguese-Speaking Countries</t>
  </si>
  <si>
    <t>10.29073/e3.v9i1.735</t>
  </si>
  <si>
    <t>The Electronic Health Record (EHR) is the result of a transformation in the current healthcare system, influenced by innovation, integration, and sharing of clinical data. The EHR should include a clinical summary of patients, electronic prescriptions, electronic medication dispensing records, laboratory results, medical images and/or reports, and hospital discharge notes. Prescription errors and therapeutic administration are among the most common avoidable errors in healthcare, ranking as the sixth leading cause of death in the United States and a priority for the World Health Organization since the launch of the “Medication Without Harm” initiative. The objectives of this study are: i) to present a digital therapeutic reconciliation model; ii) to propose an interoperable and legally compliant solution; iii) to integrate Blockchain and Artificial Intelligence technologies into the presented model. Through a descriptive and exploratory literature review, the use of HL7 FHIR and SNOMED-CT standards, a client-CA model for Blockchain, and machine learning and natural language processing models for Artificial Intelligence were proposed. Ensuring the interoperable and secure transmission of clinical data is complex but theoretically feasible. The advantages of therapeutic reconciliation will be measurable through the continuous reduction of morbidity and mortality associated with therapeutic errors. © 2023, Ponteditora. All rights reserved.</t>
  </si>
  <si>
    <t>Artificial Intelligence; Blockchain; Innovation; Interoperability; Therapeutic Reconciliation</t>
  </si>
  <si>
    <t>Ponteditora</t>
  </si>
  <si>
    <t>Portuguese</t>
  </si>
  <si>
    <t>Adochiei F.-C.; Țoi F.-A.; Adochiei I.-R.; Argatu F.C.; Serițan G.; Petroiu G.-G.</t>
  </si>
  <si>
    <t>HL7 FHIR-Based Open-Source Framework for Real-Time Biomedical Signal Acquisition and IoMT Interoperability</t>
  </si>
  <si>
    <t>10.3390/app152312803</t>
  </si>
  <si>
    <t>This study presents the design and validation of an open-source framework for biomedical signal acquisition and interoperable data exchange based on the Health Level Seven—Fast Healthcare Interoperability Resources (HL7 FHIR) standard. The proposed system enables secure, wireless transmission of physiological data from distributed sensing nodes toward a locally hosted monitoring platform. The hardware architecture integrates ESP32-WROOM-32 microcontrollers for multi-parameter acquisition, the MQTT protocol for low-latency communication, and a Home Assistant (Nabu Casa, San Diego, CA, USA)–InfluxDB (InfluxData, San Francisco, CA, USA)–Grafana (Grafana Labs, New York, NY, USA) stack for real-time visualization. The novelty of this work lies in the full-stack implementation of HL7 FHIR Observations within a reproducible, open-source environment, ensuring semantic interoperability without reliance on proprietary middleware or cloud services. A case study involving multi-sensor acquisition of electrocardiographic (ECG), photoplethysmographic (PPG), temperature, and oxygen saturation signals was conducted to evaluate system performance. Validation results confirmed consistent end-to-end data flow, sub-second latency, zero packet loss, and accurate semantic preservation across all processing stages. These findings demonstrate the feasibility of implementing standardized, open, and scalable biomedical Internet of Medical Things (IoMT) systems using non-proprietary components. The proposed framework provides a reproducible foundation for future telemedicine and continuous patient-monitoring applications, aligning with FAIR data principles and the ongoing digital transformation of healthcare. © 2025 by the authors.</t>
  </si>
  <si>
    <t>biomedical signal acquisition; ESP32; Grafana; HL7 FHIR; home assistant; InfluxDB; internet of medical things (IoMT); interoperability; MQTT; open-source framework; telemedicine</t>
  </si>
  <si>
    <t>G.-G. Petroiu; Faculty of Medical Bioengineering, Grigore T. Popa University of Medicine and Pharmacy of Iași, Iași, 9-13 Kogalniceanu Str., 700454, Romania; email: gladiola.petroiu@umfiasi.ro</t>
  </si>
  <si>
    <t>Zhang S.; Benis N.; Cornet R.</t>
  </si>
  <si>
    <t>Automated approach for quality assessment of RDF resources</t>
  </si>
  <si>
    <t>10.1186/s12911-023-02182-8</t>
  </si>
  <si>
    <t>Introduction: The Semantic Web community provides a common Resource Description Framework (RDF) that allows representation of resources such that they can be linked. To maximize the potential of linked data - machine-actionable interlinked resources on the Web - a certain level of quality of RDF resources should be established, particularly in the biomedical domain in which concepts are complex and high-quality biomedical ontologies are in high demand. However, it is unclear which quality metrics for RDF resources exist that can be automated, which is required given the multitude of RDF resources. Therefore, we aim to determine these metrics and demonstrate an automated approach to assess such metrics of RDF resources. Methods: An initial set of metrics are identified through literature, standards, and existing tooling. Of these, metrics are selected that fulfil these criteria: (1) objective; (2) automatable; and (3) foundational. Selected metrics are represented in RDF and semantically aligned to existing standards. These metrics are then implemented in an open-source tool. To demonstrate the tool, eight commonly used RDF resources were assessed, including data models in the healthcare domain (HL7 RIM, HL7 FHIR, CDISC CDASH), ontologies (DCT, SIO, FOAF, ORDO), and a metadata profile (GRDDL). Results: Six objective metrics are identified in 3 categories: Resolvability (1), Parsability (1), and Consistency (4), and represented in RDF. The tool demonstrates that these metrics can be automated, and application in the healthcare domain shows non-resolvable URIs (ranging from 0.3% to 97%) among all eight resources and undefined URIs in HL7 RIM, and FHIR. In the tested resources no errors were found for parsability and the other three consistency metrics for correct usage of classes and properties. Conclusion: We extracted six objective and automatable metrics from literature, as the foundational quality requirements of RDF resources to maximize the potential of linked data. Automated tooling to assess resources has shown to be effective to identify quality issues that must be avoided. This approach can be expanded to incorporate more automatable metrics so as to reflect additional quality dimensions with the assessment tool implementing more metrics. © 2023, The Author(s).</t>
  </si>
  <si>
    <t>Automated assessment; Data quality; Linked data; Ontologies; RDF; URI</t>
  </si>
  <si>
    <t>R. Cornet; Amsterdam Public Health, Methodology &amp; Digital Health, Amsterdam, Netherlands; email: r.cornet@amsterdamumc.nl</t>
  </si>
  <si>
    <t>Rigas E.S.; Kostomanolakis S.; Kyriakoulakos N.; Kounalakis D.; Petrakis I.; Berler A.; Boumpaki A.; Karanikas H.; Kelepouris A.; Bamidis P.D.; Katehakis D.G.</t>
  </si>
  <si>
    <t>A hackathon as a tool to enhance research and practice on electronic health record systems’ interoperability for chronic disease management and prevention</t>
  </si>
  <si>
    <t>10.3389/fdgth.2023.1275711</t>
  </si>
  <si>
    <t>Objectives: The development of a standardized technical framework for exchanging electronic health records is widely recognized as a challenging endeavor that necessitates appropriate technological, semantic, organizational, and legal interventions to support the continuity of health and care. In this context, this study delineates a pan-European hackathon aimed at evaluating the efforts undertaken by member states of the European Union to develop a European electronic health record exchange format. This format is intended to facilitate secure cross-border healthcare and optimize service delivery to citizens, paving the way toward a unified European health data space. Methods: The hackathon was conducted within the scope of the X-eHealth project. Interested parties were initially presented with a representative clinical scenario and a set of specifications pertaining to the European electronic health record exchange format, encompassing Laboratory Results Reports, Medical Imaging and Reports, and Hospital Discharge Reports. In addition, five onboarding webinars and two professional training events were organized to support the participating entities. To ensure a minimum acceptable quality threshold, a set of inclusion criteria for participants was outlined for the interested teams. Results: Eight teams participated in the hackathon, showcasing state-of-the-art applications. These teams utilized technologies such as Health Level Seven—Fast Healthcare Interoperability Resources (HL7 FHIR) and Clinical Document Architecture (CDA), alongside pertinent IHE integration profiles. They demonstrated a range of complementary uses and practices, contributing substantial inputs toward the development of future-proof electronic health record management systems. Conclusions: The execution of the hackathon demonstrated the efficacy of such approaches in uniting teams from diverse backgrounds to develop state-of-the-art applications. The outcomes produced by the event serve as proof-of-concept demonstrators for managing and preventing chronic diseases, delivering value to citizens, companies, and the research community. 2023 Rigas, Kostomanolakis, Kyriakoulakos, Kounalakis, Petrakis, Berler, Boumpaki, Karanikas, Kelepouris, Bamidis and Katehakis.</t>
  </si>
  <si>
    <t>application; digital health; electronic health records (EHR); hackathon; interoperability</t>
  </si>
  <si>
    <t>Sfat R.; Marian C.V.</t>
  </si>
  <si>
    <t>Medical Systems Open Data Exchange Interconnection and Web Questionnaires Based on the HL7 FHIR Standards</t>
  </si>
  <si>
    <t>2022 10th E-Health and Bioengineering Conference, EHB 2022</t>
  </si>
  <si>
    <t>10.1109/EHB55594.2022.9991574</t>
  </si>
  <si>
    <t>Due to the unprecedented development of information technology, the medical systems have adopted these new technologies and innovations. Thus, medical informatics, telemedicine, eHealth have become terms widely used today and more and more often in the medical systems. In order to make the most of the potential offered by IT in medicine, there is a need to openly interconnect different data processing systems. In order to make this interconnection as efficient as possible, it is necessary to create a common language. This is how the Health Level 7 (HL7) standard and the latest ISO / ANSI HL7 FHIR (Fast Healthcare Interoperability Resources) version appeared. This paper presents an application to dynamically create web based questionnaires and to collect answers. The medical systems open interconnection is implemented using the HL7 FHIR standards. © 2022 IEEE.</t>
  </si>
  <si>
    <t>data types; FHIR; HL7; JSON; questionnaire</t>
  </si>
  <si>
    <t>Lee P.; Mendoza D.; Kaiser M.; Lott E.; Singh G.; Grando A.</t>
  </si>
  <si>
    <t>FHIR Granular Sensitive Data Segmentation</t>
  </si>
  <si>
    <t>10.1055/a-2466-4371</t>
  </si>
  <si>
    <t>Background Due to fear of stigma, patients want more control over the sharing of sensitive medical records. The Substance Abuse and Mental Health Administration (SAMHSA) and the Office of the National Coordinator (ONC) supported the development of standards-compliant, consent-respecting medical record exchange technology using metadata labeling (e.g., substance use information). Existing technologies must be updated with newer standards and support more than binary-sensitive categorizations to better align with how physicians categorize sensitive medical records. Objectives  Our goal was to deploy, pilot test, and share open-source Fast Healthcare Interoperability Resources (FHIR)-based data segmentation technologies. We pilot-tested the technologies using real-world patient electronic health record data in the context of substance use information. We involved physicians in designing a novel decision engine that supports various confidence levels. Results  We deployed a web-based Patient Portal and Clinical Decision Support (CDS) granular data segmentation Engine to allow patients to make consent-based granular data choices (e.g., not sharing substance use medical records). Compared with previous solutions, the Engine innovates by using the latest Health Level 7 (HL7) standards to support data sensitivity labeling and redaction: FHIR R5 and its Consent resource type and CDS Hooks. It also supports configurable floating point confidence threshold cutoffs as opposed to binary medical record categorizations. Multiple engineering choices were made to simplify software development and maintenance and to improve technology adaptability, reusability, and scalability. Conclusion  The resulting data segmentation technologies update SAMHSA and ONC software with the newest HL7 standards and better mimic how physicians categorize sensitive medical information with various confidence levels. To support reusability, we shared the resulting open-source code through the HL7 FHIR Foundry.  © 2025. Thieme. All rights reserved.</t>
  </si>
  <si>
    <t>confidentiality; electronic health records and systems; Fast Healthcare Interoperability Resources; knowledge management; standards adoption; testing and evaluation</t>
  </si>
  <si>
    <t>A. Grando; Arizona State University, College of Health Solutions, Phoenix, 85287-5001, United States; email: agrando@asu.edu</t>
  </si>
  <si>
    <t>Abzhanova D.; Toxanov S.; Mukhatayev A.; Karibekov T.</t>
  </si>
  <si>
    <t>Abstract model of a virtual physician assistant for automating medical documentation based on natural language processing and artificial intelligence technologies</t>
  </si>
  <si>
    <t>10.1016/j.procs.2025.10.255</t>
  </si>
  <si>
    <t>he automation of clinical documentation remains a significant challenge in modern healthcare systems. This study proposes a hybrid virtual physician assistant (VPA) architecture that integrates a discrete-time Markov chain for dialogue management, a transformer-based natural language processing (NLP) module fine-tuned on bilingual clinical corpora (Russian and Kazakh), and a semantic validation engine for mapping extracted entities to HL7 FHIR resources. The VPA was evaluated on a dataset comprising 1,000 de-identified electronic medical records (EMRs) and 1,000 voice dictations. The system achieved a 23% reduction in physician documentation workload and a 43% increase in accuracy compared to baseline methods. These outcomes were validated on bilingual Russian-Kazakh corpora and confirmed via physician surveys. The estimated economic benefit is 146 billion KZT annually. Future work will involve large-scale trials and integration with advanced LLMs such as BioGPT and Med-PaLM. © 2025 The Authors.</t>
  </si>
  <si>
    <t>clinical documentation automation; HL7 FHIR; Markov chain; natural language processing; transformer models; virtual physician assistant</t>
  </si>
  <si>
    <t>D. Abzhanova; Astana IT University, Astana, 010000, Kazakhstan; email: dilara.abzhanova@astanait.edu.kz</t>
  </si>
  <si>
    <t>Auer F.; Abdykalykova Z.; Müller D.; Kramer F.</t>
  </si>
  <si>
    <t>Adaptation of HL7 FHIR for the Exchange of Patients' Gene Expression Profiles</t>
  </si>
  <si>
    <t>10.3233/SHTI220730</t>
  </si>
  <si>
    <t>High-throughput technologies, especially gene expression analyses can accurately capture the molecular state in patients under different conditions. Thus, their application in clinical routine gains increasing relevance and fosters patient stratification towards individualized treatment decisions. Electronic health records already evolved to capture genomic data within clinical systems and standards like FHIR enable sharing within, and even between institutions. However, FHIR only provides profiles tailored to variations in the molecular sequence, while expression patterns are neglected although being equally important for decision making. Here we provide an exemplary implementation of gene expression profiles of a microarray analysis of patients with acute myeloid leukemia using an adaptation of the FHIR genomics extension. Our results demonstrate how FHIR resources can be facilitated in clinical systems and thereby pave the way for usage for the aggregation and exchange of transcriptomic data in multi-center studies. © 2022 The authors and IOS Press.</t>
  </si>
  <si>
    <t>FHIR; gene expression; interoperability; omics</t>
  </si>
  <si>
    <t>F. Auer; IT Infrastructure for Translational Medical Research, Augsburg, Alter Postweg 101, 86159, Germany; email: florian.auer@informatik.uni-augsburg.de</t>
  </si>
  <si>
    <t>Neumann D.; Gebler R.; Kiederle J.; Beck J.; Aubele F.; Struebing A.; Schmidt F.; Reusche M.; Koester H.; Loeffler M.; Staeubert S.</t>
  </si>
  <si>
    <t>Development and Implementation of an Open, Modular, and Participatory Toolchain for Distributed IT Development in Healthcare Research - Lessons Learned</t>
  </si>
  <si>
    <t>10.3233/SHTI251418</t>
  </si>
  <si>
    <t>Introduction: Distributed healthcare research infrastructures face significant challenges when translating routine clinical data into harmonized, research-ready formats using HL7 FHIR standards. State of the Art: Existing FHIR-based pipelines such as the SMART/HL7 FHIR Bulk Data Access API, FHIR-to-OMOP mappings, and analytical services like Pathling demonstrate technical feasibility. However, most assume semantically valid FHIR data, operate within single-institution settings, and lack practical guidance for deployment across heterogeneous, regulated environments. Technical Framework and Deployment: Within the German Medical Informatics Initiative (MII) and the INTERPOLAR project, we developed an open, modular, and participatory toolchain for decentralized FHIR-based data transformation and export across multiple Data Integration Centers (DICs). The toolchain supports FHIR extraction, profile-based transformation, REDCap integration, and OMOP-compatible export. Deployment required adapting to local infrastructures, regulatory boundaries (e.g., de-identified FHIR stores, restricted network access), and clinical domain needs. Configurable modules, proxy support, and site-specific adaptations were essential for integration into operational hospital workflows. Lessons Learned: Key lessons include the necessity of early access to real data, the limitations of synthetic test data, the value of joint workshops for profile interpretation, and the need for adaptable validation tooling. Organizational knowledge gaps, inconsistent FHIR implementations, and performance issues in resource flattening were addressed through co-design and iterative rollout strategies. Validator modules are essential across technical, content, and cross-site consistency levels. Conclusion: Centralized development paired with decentralized, participatory deployment enables scalable, GDPR-compliant infrastructures for embedded clinical research. This approach offers a replicable framework for future multi-site initiatives aiming to leverage real-world data across diverse environments.  © 2025 The Authors.</t>
  </si>
  <si>
    <t>Clinical Informatics; Data Integration; Health Information Exchange; Implementation Science; Interoperability; Medical Informatics Applications</t>
  </si>
  <si>
    <t>D. Neumann; Institut für Medizinische Informatik, Statistik und Epidemiologie, Universität Leipzig, Leipzig, Haertelstraße 16-18, 04107, Germany; email: daniel.neumann@imise.unileipzig.de</t>
  </si>
  <si>
    <t>Baptista H.; Peixoto H.; Gomes L.; MacHado J.</t>
  </si>
  <si>
    <t>An Ontology-Based Web Platform for Medical Care on Transatlantic Cruises</t>
  </si>
  <si>
    <t>Frontiers in Artificial Intelligence and Applications</t>
  </si>
  <si>
    <t>10.3233/FAIA250548</t>
  </si>
  <si>
    <t>Transatlantic cruises in the northern Atlantic often face medical situations requiring specialized care unavailable onboard, necessitating patient transfers to onshore facilities. The Portuguese archipelago of the Azores, strategically located along their routes, frequently receives such vessels. Currently, ship-to-shore communication relies on email, which is prone to errors and raises data security and privacy concerns. To address these challenges, this article describes the development of a 3-tier web application prototype with a React frontend, Express backend, and PostgreSQL database. This application adheres to the FHIR and openEHR healthcare standards, improving data modeling and creating comprehensive electronic health records. It transcends language barriers and streamlines clinical workflows, promoting seamless data exchange and greater efficiency in patient care. The benefits are substantial: error reduction through comprehensive patient overviews, mitigation of language barrier risks, optimized resource coordination, lowered costs, improved response times, and enhanced experiences for professionals and patients through more accurate, efficient, and secure medical care.  © 2025 The Authors.</t>
  </si>
  <si>
    <t>Cruises; Electronic Health Records; Health Informatics System; HL7 FHIR; Interoperability; Medical Informatics; Ontology; openEHR; Software Engineering</t>
  </si>
  <si>
    <t>Roth C.J.; Harten H.H.; Dewey M.; Dennison D.K.</t>
  </si>
  <si>
    <t>How Image Exchange Breaks Down: the Image Library Perspective</t>
  </si>
  <si>
    <t>10.1007/s10278-022-00684-x</t>
  </si>
  <si>
    <t>While in the last decade there has been significant technical infrastructure development to support standards-based image exchange through organizations like Integrating the Healthcare Enterprise, Carequality, DICOM, and HL7 FHIR, the human operationalization of such infrastructure using centralized, intuitive, standards-based applications remains the cornerstone of effective and reliable electronic image exchange. Image libraries managing the highly transactional and often uncertain inflows and outflows of images have a unique perspective on the challenges of image exchange. This manuscript will summarize frequent collaboration and communication, release of information, staffing, technology, information localization, and analytics difficulties for image exchange from the perspective of the image library staff managing the transactions. © 2022, The Author(s) under exclusive licence to Society for Imaging Informatics in Medicine.</t>
  </si>
  <si>
    <t>DICOM; Image exchange; Interoperability; Standards</t>
  </si>
  <si>
    <t>C.J. Roth; Department of Radiology, Duke University Health System, Durham, United States; email: christopher.roth@duke.edu</t>
  </si>
  <si>
    <t>Marceglia S.; Manzelli V.; Caruso A.; Prenassi M.; Prandin R.; Savino C.; Tacconi D.; Ferrucci R.; Conti C.; Candiani G.; Toraldo C.; Judica E.; Corbo M.; Masiero M.; Pravettoni G.</t>
  </si>
  <si>
    <t>PainRE-Life: A FHIR Based Telemonitoring Ecosystem for the Management of Patients with Chronic Pain</t>
  </si>
  <si>
    <t>10.3233/SHTI230773</t>
  </si>
  <si>
    <t>Chronic pain is a condition in which the use of digital health technologies, ecological momentary assessments, and digital communication tools may boost patient's engagement and coping. Here we present the results of the PainRE-Life a project, financed by the Lombardy Region (Italy), aimed to develop a dynamic and integrated technology ecosystem based on big data management and analysis to allow care continuity in patients with pain, and able to act as a decision aid for patients and caregivers.</t>
  </si>
  <si>
    <t>chronic pain management; HL7 FHIR; patient reported outcome measures</t>
  </si>
  <si>
    <t>Monteiro S.C.; Cruz Correia R.J.</t>
  </si>
  <si>
    <t>FHIR Based Interoperability of Medical Devices</t>
  </si>
  <si>
    <t>10.3233/SHTI220027</t>
  </si>
  <si>
    <t>Although FHIR has been designed to be easy to implement, it requires knowledge that is still hard to find. We aim to evaluate the use of FHIR in Portuguese projects for the integration of medical devices. Two projects were selected, including easyHealth4Covid (EH4C) and Chronic Diseases Management Platform (CDMP). The evolution of each project and the FHIR resources used were analyzed. 11 different sensors of 5 companies were used in the sum of both projects. Previously, none of them used FHIR to integrate and the teams had little to no experience in doing so. The FHIR Observation resource was used for all. There is a general lack of knowledge of the FHIR standard and terminologies of most of the device companies involved in the projects. © 2022 International Medical Informatics Association (IMIA) and IOS Press.</t>
  </si>
  <si>
    <t>Health Information Interoperability; HL7 FHIR; Medical Devices</t>
  </si>
  <si>
    <t>R.J. Cruz Correia; Department of Community Medicine, Information and Decision in Health (MEDCIDS), Faculty of Medicine, University of Porto, Porto, Portugal; email: ricardo.jc.correia@gmail.com</t>
  </si>
  <si>
    <t>Holweg F.; Achenbach S.; Deppenwiese N.; Gaede L.; Prokosch H.-U.</t>
  </si>
  <si>
    <t>Towards a FHIR-Based Data Model for Coronary Angiography Observations</t>
  </si>
  <si>
    <t>10.3233/SHTI220331</t>
  </si>
  <si>
    <t>Coronary heart disease is among the most frequent causes of death globally. Thus, our research project aims to develop prognostic models, to predict the risk of spontaneous myocardial infarctions based on a combination of clinical parameters and image data sets (invasive coronary angiograms). To train such models we use data from more than 30,000 coronary angiograms acquired at the cardiology department of Erlangen University Hospital. To linking such proprietary data with additional clinical parameters and to harmonize it for future cross-hospital federated machine learning approaches we defined a mapping for coronary angiography based on the symptom/ clinical phenotype HL7(r) FHIR(r) module of the German medical informatics initiative. In this paper we describe the final design of the coronary angiography information model and our mapping approach to ICD-10 and SNOMED CT. From the database we use a subset of 15 required values patient characteristics to create the HL7(r) FHIR(r) resource. © 2022 IOS Press. All rights reserved.</t>
  </si>
  <si>
    <t>coronary angiography; data model; HL7 FHIR; SNOMED CT</t>
  </si>
  <si>
    <t>F. Holweg; Friedrich-Alexander-Universitat Erlangen-N rnberg, Germany; email: florian.holweg@fau.de</t>
  </si>
  <si>
    <t>Gorgoni G.; Notarangelo P.; Petrarolo V.</t>
  </si>
  <si>
    <t>CORĒHEALTH: OPERATING CENTER OF TELEMEDICINE FOR CHRONIC DISEASES AND CLINICAL NETWORKS OF APULIA REGION</t>
  </si>
  <si>
    <t>Proceedings of the International Conferences on ICT, Society, and Human Beings 2023, ICT 2023; and e-Health 2023, EH 2023; Connected Smart Cities 2023, CSC 2023; and Big Data Analytics, Data Mining and Computational Intelligence 2023, BigDaCI 2023</t>
  </si>
  <si>
    <t>The COVID-19 emergency has given a great acceleration to the transformation processes of remote health pathways (telemedicine), which Apulia had already begun to pursue with the POR Puglia 2014-2020 from which CORēHealth, established at AReSS, derives directly. CORēHealth is characterized by: Web-cloud platform with HL7-FHIR interoperability; Televisit, Teleconsultation, Telemonitoring, Telecooperation and Teleconferencing; Device traceability system; Clinical repository; Patient Synoptic; Central Alarms; Mobile App for the Citizens (Android and IoS); Integration with the Regional Health Information System, Electronic health record, etc. The APP promotes the patient's involvement in the care process: keeping in touch with his/her specialist doctor and caregiver (video calls and chat); consult the agenda of the televised programs with patient's care team; view his/her treatment plan; enter the vital parameters that are communicated to the doctor in real time; manage their clinical diary and possibly share it with the care team; facilitate the measurement of compliance with the treatment path (drug intake, lifestyle). Each patient is assigned a treatment plan based on the specific Integrated Care Pathway(s) for their pathologies; the medical team, based on the specific needs, can provide patients with a kit of medical devices (e.g. oximeter, multiparameter, scale, sphygmomanometer, ecg, etc.), interoperable with the control unit, suitable for real-time detection and monitoring of the salient vital parameters that allow constant detection and monitoring, and possible intervention by virtue of the automatic alarm system the control unit is equipped with. From January 2022 the transformation of the Apulian Oncological Network into a digital key was started and therefore the training of the operators of the Oncological Guidance Centers and the Breast Units and the enrollment of about 23,000 cancer patients (approx. Breast). Another fundamental element of the CORēHealth is the systematic approach in Continuing Training and Consolidation of Digital Skills to enable informed access of all the actors involved to new digital technologies. And this is why AReSS has launched a virtuous path of training, change management and digital literacy for all users (medical and administrative teams) and patients. © ICT 2023.All rights reserved.</t>
  </si>
  <si>
    <t>Change Management; Custom Treatment Plan; Digital Health Innovation; Patients Empowerment; Telemedicine; Value Based Care</t>
  </si>
  <si>
    <t>IADIS Press</t>
  </si>
  <si>
    <t>Facile R.; Chronaki C.; van Reusel P.; Kush R.</t>
  </si>
  <si>
    <t>Standards in sync: five principles to achieve semantic interoperability for TRUE research for healthcare</t>
  </si>
  <si>
    <t>10.3389/fdgth.2025.1567624</t>
  </si>
  <si>
    <t>The effective and meaningful exchange of data is pivotal for patient care, informed decision-making, and advancements in research and technology. This opinion piece explores the critical role of semantic interoperability (SI) in ensuring meaningful health data sharing across diverse systems. Emphasizing the imperative of synchronizing the use of data standards, we address the challenges posed by disparate data formats and underscore the impact on patient outcomes. International, harmonized standards are presented as a cornerstone for achieving SI, while the drawbacks of proprietary standards are examined. Case studies, including the complementary use of International Organization for Standardization (ISO), Health Level Seven Fast Healthcare Interoperability Resources (HL7 FHIR), and Clinical Data Interchange Standards Consortium (CDISC) standards, offer practical insights. We offer here five simple principles [reuse existing standards where possible, avoid mapping, implement standards at the start of a project, participate in standards development activities with standards development organizations (SDOs), and work toward harmonization of standards across SDOs] for achieving semantic meaning in support of Trustworthy, Reusable, Understandable data Elements (TRUE) research data for healthcare. We hope to provide a view to a future where standards are in sync and the proposed five principles are deployed globally to ensure the conduct of trustworthy research for the sake of improving health outcomes for all. 2025 Facile, Chronaki, van Reusel and Kush.</t>
  </si>
  <si>
    <t>clinical research; data science; EHR; interoperability; semantic interoperability (SI); standards</t>
  </si>
  <si>
    <t>R. Facile; CDISC, Brussels, Belgium; email: rhonda@hl7europe.org</t>
  </si>
  <si>
    <t>Van Woensel W.; Seneviratne O.</t>
  </si>
  <si>
    <t>Semantic interoperability on blockchain by generating smart contracts based on knowledge graphs</t>
  </si>
  <si>
    <t>Blockchain: Research and Applications</t>
  </si>
  <si>
    <t>10.1016/j.bcra.2025.100320</t>
  </si>
  <si>
    <t>Health 3.0 enables decision-making to be based on longitudinal data from multiple institutions spanning the patient's healthcare journey. Blockchain smart contracts can act as neutral and trustworthy intermediaries to implement such decision-making. In this distributed healthcare setting, transmitted data are structured using standards, such as Health Level Seven Fast Healthcare Interoperability Resources (HL7 FHIR), for semantic interoperability. Hence, the smart contract will require interoperability with the domain standard. However, it will also have to implement a complex communication setup to work in a distributed environment (e.g., using oracles), and be developed using special-purpose blockchain languages (e.g., Solidity). To support these requirements, we propose the encoding of smart contract logic using a high-level semantic Knowledge Graph (KG), which uses concepts and relations from a domain standard and additionally lists distributed data requirements. We subsequently deploy this semantic KG on blockchain via a hybrid on-/off-chain code-generation approach. We applied our approach to generate smart contracts for three health insurance cases from Medicare. We evaluated the generated contracts in terms of correctness and execution cost (i.e., gas) on blockchain. Finally, we discuss the suitability of blockchain—and by extension, our approach—for a number of healthcare use cases. © 2025</t>
  </si>
  <si>
    <t>Blockchain; Code generation; Health 3.0; Knowledge Graphs; Smart contract</t>
  </si>
  <si>
    <t>W. Van Woensel; Ottawa, K1N 6N5, Canada; email: wvanwoen@uottawa.ca</t>
  </si>
  <si>
    <t>Zhejiang University</t>
  </si>
  <si>
    <t>Wiedekopf J.; Drenkhahn C.; Ingenerf J.</t>
  </si>
  <si>
    <t>Performance Benchmarking of FHIR Terminology Operations in ETL Jobs</t>
  </si>
  <si>
    <t>10.3233/SHTI230244</t>
  </si>
  <si>
    <t>Interoperability in healthcare cannot be achieved without mapping local data to standardized terminology. In this paper, we investigate the performance of different approaches for implementing HL7 FHIR Terminology Module operations using a benchmarking methodology, to gather evidence on the benefits and pitfalls of these methods in terms of performance from the point-of-view of a terminology client. The approaches perform very differently, while having a local client-side cache for all operations is of supreme importance. The results of our investigation show that careful consideration of the integration environment, potential bottlenecks, and implementation strategies is required. © 2023 European Federation for Medical Informatics (EFMI) and IOS Press.</t>
  </si>
  <si>
    <t>Benchmarking; Controlled Terminologies, Ontologies, and Vocabularies; HL7 FHIR; Interoperability</t>
  </si>
  <si>
    <t>J. Wiedekopf; Universität zu Lübeck, Lübeck, Ratzeburger Allee 160, 23562, Germany; email: j.wiedekopf@uni-luebeck.de</t>
  </si>
  <si>
    <t>Almeida J.; Chronaki C.; Moen A.</t>
  </si>
  <si>
    <t>Preliminary Results from Using Gen-AI to Personalized Medication Leaflets</t>
  </si>
  <si>
    <t>10.3233/SHTI251012</t>
  </si>
  <si>
    <t>The product information of a medicinal product includes the summary of product characteristics (SmPC), package label, and patient information leaflet (PIL), previously available only in paper or pdf format. The European Medicines Agency (EMA) in 2020 launched the electronic product information (ePI) project to make PILs available in HL7 FHIR®. The Vulcan/ Gravitate-Health ePI project created and tested a global HL7 FHIR Implementation Guide (IG). In parallel, Gravitate-Health conceptualized G-lens®, using information in the Electronic Health Record (EHR) and the International Patient Summary (IPS) to tailor leaflets to individual needs. This paper explores the potential of Large Language Models (LLMs) to generate concise personalized summaries of PILs, guided by data from IPS. The aim is to enhance patient understanding of and adherence to medication by providing digestible personalized summaries of PILs in simplified language to foster shared decision making and enhance patient communication with their health team. We experimented with three different open-source LLMs, employing prompts with and without personalization. Results indicate that LLMs can generate coherent summaries. However, accuracy and personalization need to improve, perhaps by engaging tailored PILs in patient-physician interaction and shared decision-making. Promising future research directions in personalization of PILs include prompt engineering, fine-tuning, and evaluation models for testing at scale. © 2025 The Authors.</t>
  </si>
  <si>
    <t>Electronic Health Record; Gen-AI; HL7 FHIR; International Patient Summary; interoperability; Large Language Models; medication; personalization</t>
  </si>
  <si>
    <t>J. Almeida; HL7 Europe, Brussels, Square de Meeus, 38-40, Belgium; email: joao.almeida@HL7europe.org</t>
  </si>
  <si>
    <t>Raheem M.; Eltazi N.; Papazoglou M.; Krämer B.; Elgammal A.</t>
  </si>
  <si>
    <t>A Model-Driven Engineering Approach to AI-Powered Healthcare Platforms</t>
  </si>
  <si>
    <t>Informatics</t>
  </si>
  <si>
    <t>10.3390/informatics13020032</t>
  </si>
  <si>
    <t>Artificial intelligence (AI) has the potential to transform healthcare by supporting more accurate diagnoses and personalized treatments. However, its adoption in practice remains constrained by fragmented data sources, strict privacy rules, and the technical complexity of building reliable clinical systems. To address these challenges, we introduce a model-driven engineering (MDE) framework designed specifically for healthcare AI. The framework relies on formal metamodels, domain-specific languages (DSLs), and automated transformations to move from high-level specifications to running software. At its core is the Medical Interoperability Language (MILA), a graphical DSL that enables clinicians and data scientists to define queries and machine learning pipelines using shared ontologies. When combined with a federated learning architecture, MILA allows institutions to collaborate without exchanging raw patient data, ensuring semantic consistency across sites while preserving privacy. We evaluate this approach in a multi-center cancer immunotherapy study. The generated pipelines delivered strong predictive performance, with best-performing models achieving up to 98.5% accuracy on selected prediction tasks, while substantially reducing manual coding effort. These findings suggest that MDE principles—metamodeling, semantic integration, and automated code generation—can provide a practical path toward interoperable, reproducible, and reliable digital health platforms. © 2026 by the authors.</t>
  </si>
  <si>
    <t>domain-specific languages (DSL); federated learning (FL); HL7 FHIR; medical interoperability language (MILA); model-driven engineering (MDE); ontology-based modeling; semantic interoperability; smart digital health platform (SDHP)</t>
  </si>
  <si>
    <t>M. Raheem; Faculty of Computers &amp; Artificial Intelligence, Cairo University, Giza, 12613, Egypt; email: mira.raheem@fci-cu.edu.eg</t>
  </si>
  <si>
    <t>Pitoglou S.; Filntisi A.; Anastasiou A.; Matsopoulos G.K.; Koutsouris D.</t>
  </si>
  <si>
    <t>Measuring the impact of anonymization on real-world consolidated health datasets engineered for secondary research use: Experiments in the context of MODELHealth project</t>
  </si>
  <si>
    <t>10.3389/fdgth.2022.841853</t>
  </si>
  <si>
    <t>Introduction: Electronic Health Records (EHRs) are essential data structures, enabling the sharing of valuable medical care information for a diverse patient population and being reused as input to predictive models for clinical research. However, issues such as the heterogeneity of EHR data and the potential compromisation of patient privacy inhibit the secondary use of EHR data in clinical research. Objectives: This study aims to present the main elements of the MODELHealth project implementation and the evaluation method that was followed to assess the efficiency of its mechanism. Methods: The MODELHealth project was implemented as an Extract-Transform-Load system that collects data from the hospital databases, performs harmonization to the HL7 FHIR standard and anonymization using the k-anonymity method, before loading the transformed data to a central repository. The integrity of the anonymization process was validated by developing a database query tool. The information loss occurring due to the anonymization was estimated with the metrics of generalized information loss, discernibility and average equivalence class size for various values of k. Results: The average values of generalized information loss, discernibility and average equivalence class size obtained across all tested datasets and k values were 0.008473 ± 0.006216252886, 115,145,464.3 ± 79,724,196.11 and 12.1346 ± 6.76096647, correspondingly. The values of those metrics appear correlated with factors such as the k value and the dataset characteristics, as expected. Conclusion: The experimental results of the study demonstrate that it is feasible to perform effective harmonization and anonymization on EHR data while preserving essential patient information. 2022 Pitoglou, Filntisi, Anastasiou, Matsopoulos and Koutsouris.</t>
  </si>
  <si>
    <t>anonymization; electronic health records; harmonization; information loss; real data</t>
  </si>
  <si>
    <t>S. Pitoglou; Computer Solutions SA, Research Development Dpt., Athens, Greece; email: spitoglou@biomed.ntua.gr; </t>
  </si>
  <si>
    <t>Frontiers Media S.A.</t>
  </si>
  <si>
    <t>Falkenhein I.; Bernhardt B.; Gradwohl S.; Brandl M.; Hussein R.; Hanke S.</t>
  </si>
  <si>
    <t>Wearable Device Health Data Mapping to Open mHealth and FHIR Data Formats</t>
  </si>
  <si>
    <t>10.3233/SHTI230500</t>
  </si>
  <si>
    <t>Health data collected by wearables and apps can be useful as part of patient-generated health data (PGHD) or personal health data for medical diagnosis or general health monitoring. Mobile health apps are more and more accepted, generate evidence and might be increasingly used in personal medicine. Data retrieved from wearables and apps are mostly not following a medical data standard and cannot be retrieved from the vendors in a straightforward way. The present work started the implementation of a Digital Health Convener and described the process to collect data from several wearables - starting with Fitbit data - and transforms this data to standardized JSON files following the Open mHealth (OmH) IEEE and the HL7 FHIR standard. The project achieved is provided as open source and can be extended and used in future projects to generate OmH and FHIR conform PGHD. © 2023 The authors and IOS Press.</t>
  </si>
  <si>
    <t>FHIR; mHealth; OmH; PGHD</t>
  </si>
  <si>
    <t>S. Hanke; University of Applied Sciences - FH Joanneum, eHealth Institute, Graz, Austria; email: sten.hanke@fh-joanneum.at</t>
  </si>
  <si>
    <t>Andrade T.F.; Restivo M.T.; Urbano D.</t>
  </si>
  <si>
    <t>Handgrip Strength Time Profile: from BodyGrip to Gripwise</t>
  </si>
  <si>
    <t>6th Experiment at International Conference, exp.at 2023 - Proceedings</t>
  </si>
  <si>
    <t>10.1109/exp.at2358782.2023.10545767</t>
  </si>
  <si>
    <t>This paper presents the successful development of an IoT system, tracing its journey from an academic prototype to a commercially patented product. Various clinical trials were conducted, showcasing the system's effectiveness and innovation. Some studies have been published, sharing the new insights provided by the system with the broader community. This compact, cost-effective smart system demonstrates immense potential for implementing artificial intelligence algorithms, greatly enhancing its capabilities. The results from several studies are discussed in this paper.  © 2023 IEEE.</t>
  </si>
  <si>
    <t>Dynamometer; EU GDPR; Gripwise; Handgrip strength; HL7/FHIR; Smart System</t>
  </si>
  <si>
    <t>Latorre F.; Hawks C.E.; Colmenares B.; Verma D.; Gil M.; Sala N.</t>
  </si>
  <si>
    <t>Interoperable Universal Resource Identifier for Selective Disclosure of Data</t>
  </si>
  <si>
    <t>10.3233/SHTI230465</t>
  </si>
  <si>
    <t>All the information stored in the different information systems is issued in a format that allows the holder (the information owner) to disclose only certain information to a third party, which will act as a requester, receiver and verifier of the information disclosed by the holder. We define the Interoperable Universal Resource Identifier (iURI) as a harmonized method of representing a claim (minimum piece of verifiable information) using disparate encoding systems, agnostic to the original encoding system and data format. Encoding systems are represented in Reverse Domain Name Resolution (Reverse-DNS) format for HL7 FHIR, OpenEHR, and other data formats. The iURI can then be used in JSON Web Token for Selective Disclosure (SD-JWT) and Verifiable Credential (VC), among others. The method enables a person to demonstrate data that already exists in different information systems in disparate data formats, and even an information system, to verify certain claims, in a harmonized way. © 2023 The authors and IOS Press.</t>
  </si>
  <si>
    <t>claims; credentials; disclosure</t>
  </si>
  <si>
    <t>F. Latorre; Conéctate Soluciones y Aplicaciones, S.L., Soria, CYL, Spain; email: ferlatorre78@gmail.com</t>
  </si>
  <si>
    <t>Adochiei F.-C.; Ţoi F.A.; Argatu F.; Seritan G.; Adochiei I.</t>
  </si>
  <si>
    <t>Integrated System for Interconnecting Medical Equipment and Secure Data Transmission to a Remote Monitoring Platform</t>
  </si>
  <si>
    <t>2025 14th International Symposium on Advanced Topics in Electrical Engineering, ATEE 2025 - Proceedings</t>
  </si>
  <si>
    <t>10.1109/ATEE66006.2025.11299916</t>
  </si>
  <si>
    <t>This paper presents the design and implementation of a wireless system for interconnecting medical equipment and securely transmitting data to an open-source real-time monitoring platform. The project seeks to eliminate the reliance on wired physical connections by adopting wireless communication methods. The proposed solution focuses on the acquisition, redirection, processing, and transfer of Health Level 7 - Fast Healthcare Interoperability Resources (HL7 FHIR) files. To ensure an efficient and responsive information system that supports both local and remote access, the approach emphasizes the creation of a unified hardware-software architecture with full interoperability. The system integrates an ESP32-WROOM-32 development board with the Home Assistant platform to demonstrate seamless data acquisition and visualization. © 2025 IEEE.</t>
  </si>
  <si>
    <t>ECG; ESP32 WROOM-32; Grafana; HL7 FHIR; Home Assistant; InfluxDB; integration; interoperability; MQTT; Python; wireless</t>
  </si>
  <si>
    <t>Kwon A.; Lee H.-Y.; Shin S.-Y.; Yang K.; Sung Y.; Lee K.; Byeon N.-S.; Lim T.-H.; Lee J.-H.</t>
  </si>
  <si>
    <t>Current Health Data Standardization Project and Future Directions to Ensure Interoperability in Korea</t>
  </si>
  <si>
    <t>Healthcare Informatics Research</t>
  </si>
  <si>
    <t>10.4258/hir.2024.30.2.93</t>
  </si>
  <si>
    <t>Objectives: The need for interoperability at the national level was highlighted in Korea, leading to a consensus on the importance of establishing national standards that align with international technological standards and reflect contemporary needs. This article aims to share insights into the background of the recent national health data standardization policy, the activities of the Health Data Standardization Taskforce, and the future direction of health data standardization in Korea. Methods: To ensure health data interoperability, the Health Data Standardization Taskforce was jointly organized by the public and private sectors in December 2022. The taskforce operated three working groups. It reviewed international trends in interoperability standardization, assessed the current status of health data standardization, discussed its vision, mission, and strategies, engaged in short-term standardization activities, and established a governance system for standardization. Results: On September 15, 2023, the notice of “Health Data Terminology and Transmission Standards” in Korea was thoroughly revised to improve the exchange of health information between information systems and ensure interoperability. This notice includes the Korea Core Data for Interoperability (KR CDI) and the Korea Core Data Transmission Standard (HL7 FHIR KR Core), which are outcomes of the taskforce’s efforts. Additionally, to reinforce the standardized governance system, the Health-Data Standardization Promotion Committee was established. Conclusions: Active interest and support from medical informatics experts are needed for the development and widespread adoption of health data standards in Korea. © 2024 The Korean Society of Medical Informatics.</t>
  </si>
  <si>
    <t>Digital Health; Health Information Exchange; Health Information Interoperability; Health Policy; Standards</t>
  </si>
  <si>
    <t>J.-H. Lee; Department of Emergency Medicine, Asan Medical Center, University of Ulsan College of Medicine, Seoul, 88, Olympic-ro 43-gil, Songpa-gu, 05505, South Korea; email: rufiji@gmail.com</t>
  </si>
  <si>
    <t>Korean Society of Medical Informatics</t>
  </si>
  <si>
    <t>Fecho K.; Garcia J.J.; Yi H.; Roupe G.; Krishnamurthy A.</t>
  </si>
  <si>
    <t>FHIR PIT: a geospatial and spatiotemporal data integration pipeline to support subject-level clinical research</t>
  </si>
  <si>
    <t>10.1186/s12911-024-02815-6</t>
  </si>
  <si>
    <t>Background: Environmental exposures such as airborne pollutant exposures and socio-economic indicators are increasingly recognized as important to consider when conducting clinical research using electronic health record (EHR) data or other sources of clinical data such as survey data. While numerous public sources of geospatial and spatiotemporal data are available to support such research, the data are challenging to work with due to inconsistencies in file formats and spatiotemporal resolutions, computational challenges with large file sizes, and a lack of tools for patient- or subject-level data integration. Results: We developed FHIR PIT (HL7® Fast Healthcare Interoperability Resources Patient data Integration Tool) as an open-source, modular, data-integration software pipeline that consumes EHR data in FHIR® format and integrates the data at the level of the patient or subject with environmental exposures data of varying spatiotemporal resolutions and file formats. We applied FHIR PIT to generate “integrated feature tables” containing patient- or subject-level EHR data integrated with environmental exposures data on two cohorts: one on patients with asthma and related common pulmonary disorders; and a second on patients with primary ciliary dyskinesia and related rare pulmonary disorders. The data were then exposed via the open Integrated Clinical and Environmental Exposures Service, which was then queried to explore relationships between exposures to two representative airborne pollutants (particulate matter and ozone) and annual emergency department or inpatient visits for respiratory issues. We found that hospitalizations for respiratory issues were more common among patients exposed to relatively high levels of particulate matter and ozone and were higher overall among patients with primary ciliary dyskinesia than among patients with asthma. Conclusions: Our manuscript describes a major release of FHIR PIT v1.0 and includes a technical demonstration use case and a clinical application on the use of FHIR PIT to support research on environmental exposures and health outcomes related to asthma and primary ciliary dyskinesia. For application of the tool to common data models (CDMs) other than FHIR, we offer open-source conversion tools to map from the PCORnet, i2b2, and OMOP CDMs to FHIR. © The Author(s) 2025.</t>
  </si>
  <si>
    <t>Airborne pollutant exposures; Asthma; Data integration; Environmental exposures; HL7® FHIR®; Hospital visits; Primary ciliary dyskinesia; Socioeconomic exposures</t>
  </si>
  <si>
    <t>K. Fecho; Renaissance Computing Institute, University of North Carolina at Chapel Hill, Chapel Hill, United States; email: kfecho@copperlineprofessionalsolutions.com</t>
  </si>
  <si>
    <t>Jat A.S.; Grønli T.-M.; Ghinea G.; Assres G.</t>
  </si>
  <si>
    <t>Evolving Software Architecture Design in Telemedicine: A PRISMA-based Systematic Review</t>
  </si>
  <si>
    <t>10.4258/hir.2024.30.3.184</t>
  </si>
  <si>
    <t>Objectives: This article presents a systematic review of recent advancements in telemedicine architectures for continuous monitoring, providing a comprehensive overview of the evolving software engineering practices underpinning these systems. The review aims to illuminate the critical role of telemedicine in delivering healthcare services, especially during global health crises, and to emphasize the importance of effectiveness, security, interoperability, and scalability in these systems. Methods: A systematic review methodology was employed, adhering to the Preferred Reporting Items for Systematic Reviews and Meta-Analyses framework. As the primary research method, the PubMed, IEEE Xplore, and Scopus databases were searched to identify articles relevant to telemedicine architectures for continuous monitoring. Seventeen articles were selected for analysis, and a methodical approach was employed to investigate and synthesize the findings. Results: The review identified a notable trend towards the integration of emerging technologies into telemedicine architectures. Key areas of focus include interoperability, security, and scalability. Innovations such as cognitive radio technology, behavior-based control architectures, Health Level Seven International (HL7) Fast Healthcare Interoperability Resources (FHIR) standards, cloud computing, decentralized systems, and blockchain technology are addressing challenges in remote healthcare delivery and continuous monitoring. Conclusions: This review highlights major advancements in telemedicine architectures, emphasizing the integration of advanced technologies to improve interoperability, security, and scalability. The findings underscore the successful application of cognitive radio technology, behavior-based control, HL7 FHIR standards, cloud computing, decentralized systems, and blockchain in advancing remote healthcare delivery. © 2024 The Korean Society of Medical Informatics.</t>
  </si>
  <si>
    <t>Digital Health; Medical Informatics; Software; Technology; Telemedicine</t>
  </si>
  <si>
    <t>A.S. Jat; School of Economics, Innovation, and Technology, Kristiania University College, Oslo, Kirkegata 24, 0107, Norway; email: avnishsingh.jat@kristiania.no</t>
  </si>
  <si>
    <t>Falgenhauer M.; Lauschensky A.; Kreiner K.; Beyer S.; Reiter K.; Ziegl A.; Modre-Osprian R.; Pfeifer B.; Neururer S.; Krestan S.; Wagner H.; Huber A.; Plaikner S.; Kuppelwieser S.; Widschwendter M.; Schreier G.</t>
  </si>
  <si>
    <t>Towards an Electronic Health Prevention Record Based on HL7 FHIR and the OMOP Common Data Model</t>
  </si>
  <si>
    <t>10.3233/SHTI240020</t>
  </si>
  <si>
    <t>Background: Approximately 40% of all recorded deaths in Austria are due to behavioral risks. These risks could be avoided with appropriate measures. Objectives: Extension of the concept of EHR and EMR to an electronic prevention record, focusing on primary and secondary prevention. Methods: The concept of a structured prevention pathway, based on the principles of P4 Medicine, was developed for a multidisciplinary prevention network. An IT infrastructure based on HL7 FHIR and the OHDSI OMOP common data model was designed. Results: An IT solution supporting a structured and modular prevention pathway was conceptualized. It contained a personalized management of prevention, risk assessment, diagnostic and preventive measures supported by a modular, interoperable IT infrastructure including a health app, prevention record web-service, decision support modules and a smart prevention registry, separating primary and secondary use of data. Conclusion: A concept was created on how an electronic health prevention record based on HL7 FHIR and the OMOP common data model can be implemented.  © 2024 The Authors.</t>
  </si>
  <si>
    <t>Electronic Health Records; HL7 FHIR; OMOP CDM; Primary Prevention; Secondary Prevention</t>
  </si>
  <si>
    <t>M. Falgenhauer; AIT Austrian Institute of Technology GmbH, Graz, Austria; email: markus.falgenhauer@ait.ac.at</t>
  </si>
  <si>
    <t>Guinez-Molinos S.; Espinoza S.; Andrade J.; Medina A.</t>
  </si>
  <si>
    <t>The Web Platform for Training Interoperability and Hl7 FHIR Standards</t>
  </si>
  <si>
    <t>10.3233/SHTI250797</t>
  </si>
  <si>
    <t>Interoperability in healthcare systems is a fundamental requirement to ensure the continuity of care for the population. The Fast Healthcare Interoperability Resource (HL7 FHIR) is the standard for interoperable systems and is widely adopted globally. This article introduces a web platform for creating, implementing, deploying, and automatically assessing online courses for training in HL7 FHIR. © 2025 The Authors.</t>
  </si>
  <si>
    <t>Health Information Systems; HL7 FHIR; Interoperability; Standards</t>
  </si>
  <si>
    <t>Shafqat S.; Javaid Q.; Al-Saeed M.; Ahmad H.F.</t>
  </si>
  <si>
    <t>Deep Learning-Based Semantic Diagnostic Framework for Big EHR Corpora</t>
  </si>
  <si>
    <t>Journal of Advances in Information Technology</t>
  </si>
  <si>
    <t>10.12720/jait.16.5.725-741</t>
  </si>
  <si>
    <t>Diagnoses if mishandled or left untreated may cause several other chronic illnesses as in the case of Diabetes Mellitus (DM). Researchers have explored endocrine domain for diagnoses of DM and its comorbidities using big data cloud analytics. It is seen that if DM patient condition gets worse it forms diseases like; breast cancer, arthritis, body pains, dementia, foot ulcers resulting in amputation, etc. Researchers initiated the design and development of unified medical corpora with real-time big Electronic Health Records (EHR) dataset of endocrine patients. The corpora are standardized using standard international medical nomenclature. It used International Classification Disease Diagnostic (ICD-10-CM) codes to label target diagnoses and is in compliance with Health Level Seven Fast Healthcare Interoperability Resources (HL7 FHIR) standard. Corpuses in the corpora with varying sizes and parameters is experimented on; Colab, Orange and RapidMiner open-source cloud frameworks. The performance of different models was observed using deep learning heuristics. The three models were proposed; i) Deep Neural Nets (DNN) Bi-directional Long Short Term Memory (Bi-LSTM) Sequential Model, ii) Louvain Mani-Hierarchical Fold Learning (LMHFL) and its optimized model; Fast-LMHFL, and iii) Custom Deep Multinomial Distribution Learning (DMDL) model enabled for semantics and temporal variables. DNN Bi-LSTM shows the efficacy of TensorFlow and deep neural networks. LMHFL gave diagnostic visual inferences with maximum accuracy of 0.727 and correlations up to 0.952 between patients’ phenotypes with Laplace. DMDL was 100% accurate. © 2025 by the authors.</t>
  </si>
  <si>
    <t>big data healthcare analytics; diagnostics; endocrine comorbidity diseases; International Classification of Diseases (ICD-10-CM); Named Entity Records (NER); semantics; tabular text mining</t>
  </si>
  <si>
    <t>Engineering and Technology Publishing</t>
  </si>
  <si>
    <t>Rosenau L.; Ingenerf J.</t>
  </si>
  <si>
    <t>Structured Queries to AQL: Querying OpenEHR Data Leveraging a FHIR-Based Infrastructure for Federated Feasibility Queries</t>
  </si>
  <si>
    <t>10.3233/SHTI230922</t>
  </si>
  <si>
    <t>In digital healthcare, data heterogeneity is a reoccurring issue caused by proprietary source systems. It is often overcome by utilizing ETL processes resulting in data warehouses, which ensure common data models for interoperability. Unfortunately, the achieved interoperability is usually limited to an institutional level. The broad solution space to achieve interoperability with different health data standards is part of the problem, resulting in different standards used at various institutions. For cross-institutional use cases like federated feasibility queries, the issue of heterogeneity is reintroduced. This work showcases how the existing German infrastructure for federated feasibility queries based on Hl7 FHIR can be extended to support openEHR without further data transformation. By utilizing an intermediate query format that can be transferred to FHIR Search, CQL, and AQL.  © 2024 International Medical Informatics Association (IMIA) and IOS Press.</t>
  </si>
  <si>
    <t>AQL; CQL; feasibility study; Federated queries; FHIR; openEHR</t>
  </si>
  <si>
    <t>L. Rosenau; It Center for Clinical Research, University of Lübeck, Lübeck, Germany; email: lorenz.rosenau@uniluebeck.de</t>
  </si>
  <si>
    <t>Huber G.; Kattendick L.; Frohner M.; Salzbrunn B.</t>
  </si>
  <si>
    <t>Development of a Demonstrator for the Digital Authorization Process of Medication in Mobile Care</t>
  </si>
  <si>
    <t>10.3233/SHTI250545</t>
  </si>
  <si>
    <t>The rising number of individuals in need of care, coupled with a shortage of qualified caregiving professionals due to demographic shifts, poses a challenge for the healthcare sector. The research project “Linked Care” aims to mitigate these effects by developing a digital solution to connect caregivers, doctors, and pharmacies to optimize workflow efficiency, allowing caregivers more time with their patients. This paper describes the development of a software demonstrator simulating the workflow of medication approval and dispense as realized through Linked Care for education and training purposes. In a mixed method approach the requirements were elicited and suitable technologies selected. Based on this, the system using HAPI FHIR, React and Ant Design was built in iterative development cycles and evaluated based on the ISO/IEC 25010:2011 quality criteria and practical test runs. It is now used as an educational tool for students to learn about healthcare interoperability and mobile medication dispensing. There is potential to apply future versions in testing or training environments for health professionals. © 2025 The Authors.</t>
  </si>
  <si>
    <t>HL7 FHIR; human-centered design; ISO/IEC 25010:2011; medication management; mobile care; prototyping</t>
  </si>
  <si>
    <t>G. Huber; UAS Technikum Wien, Dpt. of Computer Science, Vienna, Austria; email: huberg@technikum-wien.at</t>
  </si>
  <si>
    <t>The proceedings contain 34 papers. The special focus in this conference is on Biomedical and Health Informatics. The topics include: EGFR Mutation Prediction Using F18-FDG PET-CT Based Radiomics Features in Non-small Cell Lung Cancer; breast Cancer Risk Analysis Using Deep Learning on Multi-omics Data Combined with Epigenetic Factors; predicting Depression History from a Short Reward/Aversion Task with Behavioral Economic Features; Machine Learning Algorithm for Epileptic Seizure Prediction from Scalp EEG Records; Evaluating the Social Media Users’ Mental Health Status During COVID-19 Pandemic Using Deep Learning; A System Detection of Atrial Fibrillation Using One ECG Derivation and Inductive Transfer Learning; interpretability and Explainability of Machine Learning Models: Achievements and Challenges; cardiovascular Risk Assessment: An Interpretable Machine Learning Approach; explainability: Actionable Information Extraction; analysis, Design and Development of Digital Application Prototype for Cognitive Assessment and Training; VocES – An Open Database of Child and Youth Vowels in Spanish for Research Purposes; REHASTART: Cognitive Tele-Rehabilitation Empowered by Vision Transformers; development of a Dashboard Analytics Platform for Dementia Caregivers to Understand Diagnostic Test Results; Usability of the Peruvian National Death Informatics System SINADEF by Attention Levels; remote Continuous Monitoring System for Palliative Care Support at Home; HL7 FHIR Platform, Scalable, Reliable and Comprehensive of Clinical Databases Analyzed with Machine Learning for ICU Public Healthcare Center; Methodology for Structuring MLE Regulations and Its Automatic Review in Medical Accounts; Chatbot for Palliative Care Caregiver (GES 4); portable Electric Impedance Tomography System Development; 24 GHz Radar Heart Rate Variability (HRV) Estimation Using Wavelet Transform; sensorized T-Shirt with Fully Integrated Textrodes and Measurement Leads with Textile-Friendly Methods.</t>
  </si>
  <si>
    <t>Boehm D.; Reimer N.; Christoph J.; Scheiter A.; Unberath P.</t>
  </si>
  <si>
    <t>Building a Knowledge Base for Variant Annotation Using Therapy Recommendations in cBioPortal</t>
  </si>
  <si>
    <t>10.3233/SHTI250281</t>
  </si>
  <si>
    <t>Molecular tumor boards present special challenges when it comes to information collection for case preparation. It is one of the most time-consuming tasks participating pathologists and oncologists face, limiting the number of cases that can be discussed in these specialized tumor boards and in turn can profit from a potential highly personalized therapy. Digital support is a necessity to enable medical professionals to efficiently make use of the vast amount of data available for each patient and their genomic and clinical profile. This includes historically recommended therapies for patients with molecularly similar tumors. To combat this issue, we developed an extension for the MTB-cBioPortal in collaboration with clinicians, enabling users to access previously documented therapy recommendations combined with corresponding follow-up data based on HL7 FHIR profiles and modules established in the Medical Informatics Initiative (MII). The information is made available through an additional annotation in the MTB-cBioPortal patient view. In doing so we intend to improve the efficiency of the case preparation process for molecular tumor boards and lay the groundwork for a potential multicentric exchange of therapy recommendations and follow-up data. © 2025 The Authors.</t>
  </si>
  <si>
    <t>cBioPortal; Genomic Alteration; Molecular Tumor Board; Oncology; Patient Similarity; Personalized Medicine; Therapy Recommendation</t>
  </si>
  <si>
    <t>D. Boehm; Medical Center for Information and Communication Technology, Universitätsklinikum Erlangen, Friedrich-Alexander-Universität Erlangen-Nürnberg, Erlangen, Germany; email: dominik.boehm@uk-erlangen.de</t>
  </si>
  <si>
    <t>Santos R.L.; Cruz-Correia R.</t>
  </si>
  <si>
    <t>Improving Healthcare Quality with a LHS: From Patient-Generated Health Data to Evidence-Based Recommendations</t>
  </si>
  <si>
    <t>10.3233/SHTI240387</t>
  </si>
  <si>
    <t>One approach to enriching the Learning Health System (LHS) is leveraging vital signs and data from wearable technologies. Blood oxygen, heart rate, respiration rates, and other data collected by wearables (like sleep and exercise patterns) can be used to monitor and predict health conditions. This data is already being collected and could be used to improve healthcare in several ways. Our approach will be health data interoperability with HL7 FHIR (for data exchange between different systems), openEHR (to store researchable data separated from software but connected to ontologies, external terminologies and code sets) and maintain the semantics of data. OpenEHR is a standard that has an important role in modelling processes and clinical decisions. The six pillars of Lifestyle Medicine can be a first attempt to change how patients see their daily decisions, affecting the mid to long-term evolution of their health. Our objective is to develop the first stage of the LHS based on a co-produced personal health recording (CoPHR) built on top of a local LLM that interoperates health data through HL7 FHIR, openEHR, OHDSI and terminologies that can ingest external evidence and produces clinical and personal decision support and, when combined with many other patients, can produce or confirm evidence. © 2024 The Authors.</t>
  </si>
  <si>
    <t>clinical decision; Health data interoperability; HL7 FHIR; Learning Health System; openEHR; patient-generated health data; personal health recording</t>
  </si>
  <si>
    <t>R.L. Santos; Faculdade de Medicina da Universidade do Porto, Portugal; email: ricardolourencosantos@gmail.com</t>
  </si>
  <si>
    <t>Drenkhahn C.; Ohlsen T.; Wiedekopf J.; Ingenerf J.</t>
  </si>
  <si>
    <t>WASP—A Web Application to Support Syntactically and Semantically Correct SNOMED CT Postcoordination</t>
  </si>
  <si>
    <t>10.3390/app13106114</t>
  </si>
  <si>
    <t>Expressive clinical terminologies are of utmost importance for achieving a semantically interoperable data exchange and reuse in healthcare. SNOMED CT, widely respected as the most comprehensive terminology in medicine, provides formal concept definitions based on description logic which not only allows for advanced querying of SNOMED-CT-coded data but also for flexibly augmenting its 350,000 concepts by allowing a controlled combination of these. This ability for postcoordination largely increases the expressivity of the terminology but correlates with an intrinsic complexity. Complicated by the current lack of tooling support, postcoordination is widely either ignored or applied in an error-prone way. To help facilitate the adoption of postcoordination, we implemented a web application that guides users through the creation of postcoordinated expressions (PCEs) while ensuring adherence to syntactic and semantic constraints. Our approach was largely facilitated by making use of the extensive SNOMED CT specifications as well as advanced HL7 FHIR Terminology Services. Qualitative evaluations confirmed the usability of the developed application and the correctness of the PCEs created with it. © 2023 by the authors.</t>
  </si>
  <si>
    <t>biomedical ontology; clinical terminology; expression templates; postcoordination; semantic interoperability; SNOMED CT</t>
  </si>
  <si>
    <t>HEDA 2022 - Proceedings of the International Health Data Workshop, co-located with 10th International Conference on Petrinets, Petri Nets 2022</t>
  </si>
  <si>
    <t>The proceedings contain 9 papers. The topics discussed include: analysis of patient pathways with contextual process mining; towards a standard process enabling AI-support for safety and conformity of medical devices; a case study on data protection for a cloud- and AI-based homecare medical device; evaluating business meta-models for semantic interoperability with FHIR resources; prospective research topics towards preserving electronic health records in decentralized content-addressable storage networks; using SNOMED CT as a semantic model for controlled natural language guided capture of clinical data; process data science for workflow optimization in digital pathology: a status report; VR-based rehabilitation of cognitive functions among stroke-survivors; and forward and backward compatibility design techniques applying the HL7 FHIR standard.</t>
  </si>
  <si>
    <t>Malaquias R.S.; Filho I.D.M.B.; Lima J.M.M.D.; Gurgel A.M.; Brito B.A.O.D.</t>
  </si>
  <si>
    <t>MiSIS: An HL7 FHIR Middleware for Healthcare Information Systems</t>
  </si>
  <si>
    <t>10.1007/978-3-031-64608-9_16</t>
  </si>
  <si>
    <t>Several e-Health and m-Health technological solutions are increasingly supporting Healthcare services. In this context, Electronic Health Records (EHR) deal with data of different types, which, if integrated, can be of great value for the patient’s health care. However, data heterogeneity is a factor that makes this integration difficult, and middleware appears as an option as a solution to this problem. The basic definition of middleware is a software layer that abstracts development details and encourages integration between solutions. This work describes the requirements and implements a middleware for healthcare systems based on HL7 FHIR, an open development standard that enables interoperability between healthcare solutions. As a result, we present a proof of concept that integrates data from 5 different health systems and makes the integrated data available using the HL7 FHIR standard. © The Author(s), under exclusive license to Springer Nature Switzerland AG 2024.</t>
  </si>
  <si>
    <t>e-Health; healthcare; interoperability; m-Health; middleware</t>
  </si>
  <si>
    <t>R.S. Malaquias; Digital Metropolis Institute, Federal University of Rio Grande do Norte, Natal, Brazil; email: malaquias@imd.ufrn.br</t>
  </si>
  <si>
    <t>Pournik O.; Ahmad B.; Lim Choi Keung S.N.; Peake A.; Rafid S.; Tong C.; Laleci Erturkmen G.B.; Gencturk M.; Akpinar A.E.; Arvanitis T.N.</t>
  </si>
  <si>
    <t>Interoperable E-Health System Using Structural and Semantic Interoperability Approaches in CAREPATH</t>
  </si>
  <si>
    <t>10.3233/SHTI230571</t>
  </si>
  <si>
    <t>Technical and semantic interoperability are broadly used components of interoperability technology in healthcare. Technical Interoperability provides interoperability interfaces to enable data exchange within different healthcare systems, despite any underlying heterogeneity. Semantic interoperability make different healthcare systems understand and interpret the meaning of the data that is exchanged, by using and mapping standardized terminologies, coding systems, and data models to describe the concept and structure of data. We propose a solution using Semantic and Structural Mapping techniques within CAREPATH; a research project designed to develop ICT solutions for the care management of elderly multimorbid patients with mild cognitive impairment or mild dementia. Our technical interoperability solution supplies a standard-based data exchange protocol to enable information exchange between local care systems and CAREPATH components. Our semantic interoperability solution supplies programmable interfaces, in order to semantically mediate different clinical data representation formats and incorporating data format and terminology mapping features. The solution offers a more reliable, flexible and resource efficient method across EHRs. © 2023 The authors and IOS Press.</t>
  </si>
  <si>
    <t>HL7 FHIR; Semantic interoperability; Technical interoperability</t>
  </si>
  <si>
    <t>T.N. Arvanitis; Department of Electronic,Electrical and Systems Engineering, School of Engineering, College of Engineering and Physical Sciences, University of Birmingham, Birmingham, Edgbaston, B152TT, United Kingdom; email: T.Arvanitis@bham.ac.uk</t>
  </si>
  <si>
    <t>Tetzlaff L.; Purohit A.-M.; Spallek J.; Holmberg C.; Schrader T.</t>
  </si>
  <si>
    <t>Evaluating Interoperability in German Critical Incident Reporting Systems</t>
  </si>
  <si>
    <t>10.3233/SHTI230722</t>
  </si>
  <si>
    <t>Introduction: In industrialised countries, one in ten patients suffers harm during hospitalization. Critical Incident Reporting Systems (CIRS) aim to minimize this by learning from errors and identifying potential risks. However, a lack of interoperability among the 16 CIRS in Germany hampers their effectiveness. Methods: This study investigates reports' syntactic and semantic interoperability across seven different reporting systems. Syntactic interoperability was examined using WHO's Minimal Information Models (MIM), while semantic interoperability was evaluated with SNOMED concepts. Results: The findings reveal a low structural overlap, with only two terms correctly represented in the SNOMED CT terminology. In addition, most systems showed no syntactic interoperability. Conclusion: Improving interoperability is essential for increasing the effectiveness and usability of CIRS. The study suggests a unified data model such as MIM or using Health Level 7 Fast Healthcare Interoperability Resources (HL7 FHIR) resources and expanding SNOMED CT with patient safety-relevant terms for semantic interoperability. Given the current lack of both syntactic and semantic interoperability in CIRS, developing a patient safety ontology is recommended for efficient critical incident analysis too.  © 2023 The authors and IOS Press.</t>
  </si>
  <si>
    <t>CIRS; Interoperability; semantic; SNOMED CT; syntactic</t>
  </si>
  <si>
    <t>L. Tetzlaff; Department of Informatics and Media, Brandenburg University of Applied Sciences, Brandenburg an der Havel, Magdeburger Straße 50, 14770, Germany; email: tetzlaff@thbrandenburg.de</t>
  </si>
  <si>
    <t>Stäubert S.; Strübing A.; Schmidt F.; Yahiaoui-Doktor M.; Reusche M.; Meineke F.; Neumann D.; Loeffler M.</t>
  </si>
  <si>
    <t>The Concept of a Versatile Computing Tool Chain for Utilizing the Core Data Set of the Medical Informatics Initiative in the INTERPOLAR Project</t>
  </si>
  <si>
    <t>10.3233/SHTI240838</t>
  </si>
  <si>
    <t>Introduction: To support research projects that require medical data from multiple sites is one of the goals of the German Medical Informatics Initiative (MII). The data integration centers (DIC) at university medical centers in Germany provide patient data via FHIR® in compliance with the MII core data set (CDS). Requirements for data protection and other legal bases for processing prefer decentralized processing of the relevant data in the DICs and the subsequent exchange of aggregated results for cross-site evaluation. Methods: Requirements from clinical experts were obtained in the context of the MII use case INTERPOLAR. A software architecture was then developed, modeled using 3LGM2, finally implemented and published in a github repository. Results: With the CDS tool chain, we have created software components for decentralized processing on the basis of the MII CDS. The CDS tool chain requires access to a local FHIR endpoint and then transfers the data to an SQL database. This is accessed by the DataProcessor component, which performs calculations with the help of rules (input repo) and writes the results back to the database. The CDS tool chain also has a frontend module (REDCap), which is used to display the output data and calculated results, and allows verification, evaluation, comments and other responses. This feedback is also persisted in the database and is available for further use, analysis or data sharing in the future. Discussion: Other solutions are conceivable. Our solution utilizes the advantages of an SQL database. This enables flexible and direct processing of the stored data using established analysis methods. Due to the modularization, adjustments can be made so that it can be used in other projects. We are planning further developments to support pseudonymization and data sharing. Initial experience is being gathered. An evaluation is pending and planned. © 2024 The Authors.</t>
  </si>
  <si>
    <t>core data set; Data Exchange; Datasets as Topic; distributed processing; distributed system; HL7 FHIR; Medical Data Science; medical informatics; medical informatics initiative</t>
  </si>
  <si>
    <t>S. Stäubert; Institut für Medizinische Informatik, Statistik und Epidemiologie, Universität Leipzig, Leipzig, Härtelstraße 16-18, 04107, Germany; email: sebastian.staeubert@imise.uni-leipzig.de</t>
  </si>
  <si>
    <t>Milosevic Z.; Pyefinch F.</t>
  </si>
  <si>
    <t>Digital Health Consent - for Better Interoperability and Consumer Control</t>
  </si>
  <si>
    <t>10.3233/SHTI231198</t>
  </si>
  <si>
    <t>We present a framework for digital health consent in support of computable expression of medico-legal policies to govern consumer data sharing across providers. The approach is aligned with HL7 FHIR © 2024 International Medical Informatics Association (IMIA) and IOS Press. standard, and is based on generic formalism for policy modelling, grounded in normative systems and deontic logic. We show the use of the framework for a clinical research scenario.</t>
  </si>
  <si>
    <t>clinical trial; computable policy; consent; FHIR; Interoperability</t>
  </si>
  <si>
    <t>Z. Milosevic; Best Practice Software, Australia; email: zoran.milosevic@bpsoftware.net</t>
  </si>
  <si>
    <t>Prototyping the Problem Oriented Medical Record for Connected Health Based on TypeGraphQL</t>
  </si>
  <si>
    <t>Proceedings - 2022 IEEE International Conference on Big Data, Big Data 2022</t>
  </si>
  <si>
    <t>10.1109/BigData55660.2022.10020388</t>
  </si>
  <si>
    <t>Data integration of health through connected services can save lives in the event of a medical emergency or to provide efficient and effective interventions for the benefit of the patients through the integration of bedside and bench side clinical research. Such integration will support all wind of change in healthcare for being predictive, pre-emptive, personalized, problem-oriented and participatory. Prototyping a healthcare system that enables data integration is a big challenge for healthcare for a long time. However, an innovative solution started to emerge by focusing on problem lists where everything can connect the problem list forming a growing graph. This notion has been introduced by Dr. Lawrence Weed in early 70's but the enabling technologies weren't mature enough to provide a successful implementation prototype. In this article we are describing our efforts in prototyping Dr. Lawrence Weed problem-oriented medical record (POMR) and his patient case schema (SOAP) to shape a prototype for connected health. For this we are using the TypeGraphQL API and our enterprise-based QL4POMR to describe a Web-Based gateway for healthcare services connectivity. Our prototype has reported success in connecting to the HL7 FHIR medical record and the OpenTarget biomedical repositories. © 2022 IEEE.</t>
  </si>
  <si>
    <t>Connected Health; Problem-Oriented Healthcare Record; QL4POMR; SOAP; TypeGraphQL</t>
  </si>
  <si>
    <t>Ciampi M.; Sicuranza M.; Silvestri S.</t>
  </si>
  <si>
    <t>A Privacy-Preserving and Standard-Based Architecture for Secondary Use of Clinical Data</t>
  </si>
  <si>
    <t>10.3390/info13020087</t>
  </si>
  <si>
    <t>The heterogeneity of the formats and standards of clinical data, which includes both struc-tured, semi-structured, and unstructured data, in addition to the sensitive information contained in them, require the definition of specific approaches that are able to implement methodologies that can permit the extraction of valuable information buried under such data. Although many challenges and issues that have not been fully addressed still exist when this information must be processed and used for further purposes, the most recent techniques based on machine learning and big data analytics can support the information extraction process for the secondary use of clinical data. In particular, these techniques can facilitate the transformation of heterogeneous data into a common standard format. Moreover, they can also be exploited to define anonymization or pseu-donymization approaches, respecting the privacy requirements stated in the General Data Protection Regulation, Health Insurance Portability and Accountability Act and other national and re-gional laws. In fact, compliance with these laws requires that only de-identified clinical and personal data can be processed for secondary analyses, in particular when data is shared or exchanged across different institutions. This work proposes a modular architecture capable of collecting clinical data from heterogeneous sources and transforming them into useful data for secondary uses, such as research, governance, and medical education purposes. The proposed architecture is able to exploit appropriate modules and algorithms, carry out transformations (pseudonymization and standard-ization) required to use data for the second purposes, as well as provide efficient tools to facilitate the retrieval and analysis processes. Preliminary experimental tests show good accuracy in terms of quantitative evaluations. © 2022 by the authors. Licensee MDPI, Basel, Switzerland.</t>
  </si>
  <si>
    <t>ETL architecture; HL7 FHIR; Information retrieval; Privacy laws; Pseudonymization; Secondary use of clinical data</t>
  </si>
  <si>
    <t>M. Ciampi; Institute for High Performance Computing and Networking, National Research Council of Italy, Naples, Via Pietro Castellino, 111, 80131, Italy; email: mario.ciampi@icar.cnr.it</t>
  </si>
  <si>
    <t>Passos M.; Mendes I.; Peler T.; Peixoto H.</t>
  </si>
  <si>
    <t>A proposal for standardized PREMs implementation in hospital context in Portugal</t>
  </si>
  <si>
    <t>10.1016/j.procs.2025.10.245</t>
  </si>
  <si>
    <t>Patient Reported Experience Measures (PREMs) are essential tools to assess healthcare quality from the patients' perspective, complementing traditional outcome-based evaluations. In Portugal, although healthcare institutions are required to conduct satisfaction surveys, the lack of standardized and interoperable PREMs limits comparability and benchmarking. This paper proposes a framework for the standardized implementation of PREMs in hospitals, supported by interoperability through the HL7 FHIR standard. The solution integrates with hospital information systems to automatically identify clinical encounters, distribute tailored questionnaires, ensure anonymized data collection, and provide real-time analytics through a dashboard with alert mechanisms. The framework was validated in a simulated environment, demonstrating full automation of survey distribution and response analysis, while ensuring patient privacy and usability for healthcare staff. Results indicate that interoperability is a strategic enabler for scalable and sustainable PREMs adoption, fostering continuous quality improvement in healthcare services. Limitations and future work include testing with real hospital systems, expanding to additional clinical contexts, and scaling to national benchmarking. © 2025 The Authors.</t>
  </si>
  <si>
    <t>Healthcare Quality; HL7 FHIR; Hospital Information Systems; Interoperability; Patient Reported Experience Measures</t>
  </si>
  <si>
    <t>H. Peixoto; LASI/Algoritmi Research Centre, Universidade do Minho, Braga, 4715, Portugal; email: hpeixoto@di.uminho.pt</t>
  </si>
  <si>
    <t>Blasini R.; Majeed R.W.; Beck J.; Michel-Backofen A.</t>
  </si>
  <si>
    <t>Design and Implementation of a FHIR-Based Data Infrastructure from Hospital Information Systems to the German Emergency Department Data Admission Registry AKTIN</t>
  </si>
  <si>
    <t>10.3233/SHTI250437</t>
  </si>
  <si>
    <t>In the course of this research, we discerned the potential for the secondary utilization of medical data within the context of the German national emergency department data registry AKTIN. We identified all obligatory data to participate with AKTIN and analyzed our hospital information system to extract the relevant information into the interoperability standard HL7 FHIR. In a second step we transformed the information into the specific data format HL7 CDA required by AKTIN. We were able to integrate all obligatory data elements into the AKTIN registry infrastructure and validate the data format. Additional research is required to evaluate the data quality of this approach in comparison to the conventional emergency department documentation, which is completed by the attending physician. © 2025 The Authors.</t>
  </si>
  <si>
    <t>AKTIN; CDA; emergency protocol; FHIR; hospital information system; interoperability; Meona; mirthConnect</t>
  </si>
  <si>
    <t>R. Blasini; Data Integration Center, Institute of Medical Informatics, Justus Liebig University, Giessen, Germany; email: romina.blasini@informatik.med.uni-giessen.de</t>
  </si>
  <si>
    <t>Hölter T.; Klopfenstein S.A.I.; Mayer P.J.; Sass J.; Thun S.; Vorisek C.N.</t>
  </si>
  <si>
    <t>HL7 FHIR in Health Research: A FHIR Specification for Metadata in Clinical, Epidemiological, and Public Health Studies</t>
  </si>
  <si>
    <t>10.3233/SHTI240817</t>
  </si>
  <si>
    <t>This work presents the Fast Healthcare Interoperability Resources (FHIR ®) specification of the NFDI4Health Metadata schema based on FHIR Version 4: We created 16 profiles to facilitate the integration of clinical, epidemiological, and public health study data. Despite challenges arising from the extensive MDS as well as missing concepts in semantic standards, it marks a significant advance in applying information technology standards to health research. © 2024 The Authors.</t>
  </si>
  <si>
    <t>FAIR; FHIR; Health Research; Interoperability; Public health; Standards</t>
  </si>
  <si>
    <t>T. Hölter; Berlin Institute of Health at Charité, Universitätsmedizin Berlin, Core Facility Digital Medicine and Interoperability, Berlin, Charitéplatz 1, 10117, Germany; email: thimo-andre.hoelter@charite.de</t>
  </si>
  <si>
    <t>Saß J.; Thun S.</t>
  </si>
  <si>
    <t>Improving Requirements Documentation in the Medical Informatics Initiative Core Data Set Using FHIR Obligations - Lessons Learned</t>
  </si>
  <si>
    <t>10.3233/SHTI251401</t>
  </si>
  <si>
    <t>Introduction: The Medical Informatics Initiative (MII) aims to enable cross-site secondary use of clinical data in Germany using a FHIR-based Core Data Set (CDS). However, current FHIR Implementation Guides (IG) often lack actor-specific guidance, leading to inconsistent interpretations and implementations. Methods: This technical case report explores the use of FHIR Implementation Obligations to clarify responsibilities and expected system behavior within the MII infrastructure. Obligations were modeled using the FHIR obligation extension and ActorDefinition resources, applied to the Patient profile from the CDS Person module. A prototype IG was generated using the HL7 FHIR IG publisher tooling. Results: Obligations were defined and rendered for multiple actors - such as Data Integration Centers (DIC) and the Health Research Data Portal (FDPG) - across selected Patient profile elements. Obligations were also linked to specific operations, enabling precise workflow targeting. The implementation improved the explicitness of responsibilities that were previously only implied. Discussion: The study demonstrates that obligations enhance the clarity of FHIR IGs. However, limitations remain: the MII's current IG tooling does not yet support obligations, and conformance testing was not addressed. Further work is needed to standardize ActorDefinition resources, align obligations across modules, and develop validation tooling to realize the full potential of obligation-driven specifications.  © 2025 The Authors.</t>
  </si>
  <si>
    <t>Core Data Set; FHIR; Interoperability; Medical Informatics Initiative</t>
  </si>
  <si>
    <t>J. Saß; Berlin Institute of Health, Charité - Universitätsmedizin Berlin, Berlin, 10117, Germany; email: julian.sass@charite.de</t>
  </si>
  <si>
    <t>Ivanova M.; Bossenko I.; Piho G.</t>
  </si>
  <si>
    <t>TermX—Bridging the Gap: Implementing CTS2 and FHIR Compatible Terminology Server</t>
  </si>
  <si>
    <t>10.1007/978-981-97-4581-4_20</t>
  </si>
  <si>
    <t>As healthcare systems evolve, achieving interoperability and seamless data exchange becomes paramount. The key component of the data exchange is terminology managed by the terminology server. During “Comparative Analysis of Clinical Terminology Servers: A Quest for an Improved Solution” research, we did not find a terminology server suitable for our criteria and decided to develop our own terminology server. This article delves into implementing the Common Terminology Services 2 (CTS2) standard on PostgreSQL, a robust open-source relational database. The discussion encompasses the intricacies of integrating CTS2 with PostgreSQL, exploring the challenges and solutions encountered during the process. Additionally, the article comprehensively maps this implementation to HL7 Fast Healthcare Interoperability Resources (FHIR), a widely adopted standard for healthcare data exchange. Readers will gain insights into the technical aspects of the implementation, practical considerations, and the potential impact on healthcare data management. This exploration aims to guide developers, healthcare IT professionals, and stakeholders in leveraging CTS2 on PostgreSQL while ensuring compatibility with HL7 FHIR resources, ultimately fostering improved interoperability in the dynamic landscape of healthcare data systems. © The Author(s) 2024.</t>
  </si>
  <si>
    <t>Clinical data exchange; CTS2; Healthcare interoperability; HL7 FHIR; PostgreSQL; Terminology server; TermX</t>
  </si>
  <si>
    <t>M. Ivanova; Department of Software Science, Tallinn University of Technology, Tallinn, Akadeemia 15A, 12618, Estonia; email: mariiv@taltech.ee</t>
  </si>
  <si>
    <t>Cruoglio A.; Rossi F.; Fragnito D.; Palombo R.; Massacci A.; Betti M.; D'Antonio M.; Borsani M.; Miele C.; Ciliberto G.; Lavitrano M.; Pallocca M.</t>
  </si>
  <si>
    <t>An Extract, Transform, Load foundation for Biobank Data Interoperability</t>
  </si>
  <si>
    <t>Journal of Data and Information Quality</t>
  </si>
  <si>
    <t>10.1145/3769117</t>
  </si>
  <si>
    <t>Additional Key Words and Phrases FAIR; biobank data quality; clinical bioinformatics; ETL; federated search</t>
  </si>
  <si>
    <t>Werlitz V.; Kleybolte L.; Balic S.; Mess E.V.; Mahler A.; Reuter C.; Teynor A.</t>
  </si>
  <si>
    <t>From Proprietary Printed Forms to Standardized Digital Exchange Formats - Care Transition Records to FHIR as an Example</t>
  </si>
  <si>
    <t>10.3233/SHTI251392</t>
  </si>
  <si>
    <t>Introduction: The transition from proprietary, paper-based care transition records (CTRs) to standardized digital formats like HL7 FHIR remains a significant challenge for healthcare institutions. Variability in document layouts, coupled with slow adoption of new interoperability standards, complicates efforts to digitize patient records while preserving data integrity and privacy. Methods: This study presents a machine learning-based pipeline for automated information extraction from scanned CTRs. Synthetic training data was generated using a custom CTR generator. A Detectron2-based object detection model, integrated with LayoutParser for document structure analysis and Tesseract OCR for text recognition, was trained on this synthetic dataset. Checkbox detection was performed via an image-processing pipeline based on pixel density analysis. Extracted information was mapped to the FHIR-based PIO-ULB (Pflegeinformationsobjekt - Überleitungsbogen) format using a custom serialization tool. Results: A synthetic dataset of 10,000 CTR samples was used for training and evaluation. The model achieved high values for accuracy, precision, recall, and F1-score metrics for synthetic data (97%, 98%, 95%, 97%) and showed robust performance for real-world data (85%, 86%, 83%, 85%). Lower performance on real-world data was attributed to layout variability and scanning artifacts absent from the synthetic training set. Discussion: The results demonstrate the feasibility of using machine learning for automated extraction and standardization of CTRs, particularly when relying on synthetic data to overcome data privacy constraints during development. While accuracy declines with real-world document variability, the approach provides a possible interim solution for facilitating interoperability in healthcare documentation. Future work will focus on extending data generation to cover complex document layouts and integrating advanced OCR and handwriting recognition methods to further improve extraction performance.  © 2025 The Authors.</t>
  </si>
  <si>
    <t>care transition record; CTR; FHIR; HL7; LayoutParser; Machine Learning; MIO; ML; PIO-ULB</t>
  </si>
  <si>
    <t>V. Werlitz; Institute for Agile Software Development, Technical University of Applied Sciences, Augsburg, Germany; email: Viktor.Werlitz@tha.de</t>
  </si>
  <si>
    <t>Kalvakota A.K.; Sharma D.K.</t>
  </si>
  <si>
    <t>The Adaptive Healthcare Organization: AI-Powered Cultural Intelligence for Digital Transformation Success</t>
  </si>
  <si>
    <t>2025 7th International Conference on Information Systems and Computer Networks, ISCON 2025</t>
  </si>
  <si>
    <t>10.1109/ISCON65210.2025.11341349</t>
  </si>
  <si>
    <t>Healthcare organizations face increasing pressure to implement digital technologies while maintaining quality patient care. The COVID-19 pandemic accelerated digital adoption, revealing significant gaps between technological capabilities and organizational readiness [2], [4], [8]. Many healthcare transformation initiatives fail due to inadequate consideration of cultural factors during implementation planning. This research addresses the disconnect between technology deployment and organizational culture through an integrated framework that combines cultural assessment with AI-powered knowledge management. The framework evaluates organizational readiness using machine learning analysis while building knowledge-sharing capabilities through natural language processing and semantic technologies. The technical implementation incorporates HL7 FHIR for interoperability and SNOMED CT for clinical terminology. We utilize transformer-based models for clinical concept extraction and implement a cloud-based Knowledge-as-a-Service platform designed for healthcare environments. Validation involved three healthcare organizations representing different care delivery models. Results demonstrate improved prediction accuracy for digital adoption success, enhanced clinical knowledge extraction capabilities, and scalable platform performance supporting concurrent healthcare users. This work contributes to healthcare informatics by providing evidence-based methodology that addresses both human and technological dimensions of digital transformation. The framework offers practical tools for healthcare leaders to navigate digital transformation while maintaining clinical workflow integrity. © 2025 IEEE.</t>
  </si>
  <si>
    <t>artificial intelligence; clinical decision support; Digital transformation; healthcare interoperability; healthcare organizations; HL7 FHIR; knowledge management systems; natural language processing; organizational culture assessment; SNOMED CT</t>
  </si>
  <si>
    <t>Beckmann C.L.; Keuchel D.; Soleman W.O.I.A.; Nürnberg S.; Böckmann B.</t>
  </si>
  <si>
    <t>Semantic Integration of BPMN Models and FHIR Data to Enable Personalized Decision Support for Malignant Melanoma</t>
  </si>
  <si>
    <t>10.3390/info14120649</t>
  </si>
  <si>
    <t>With digital patient data increasing due to new diagnostic methods and technology, showing the right data in the context of decision support at the point of care becomes an even greater challenge. Standard operating procedures (SOPs) modeled in BPMN (Business Process Model and Notation) contain evidence-based treatment guidance for all phases of a certain diagnosis, while physicians need the parts relevant to a specific patient at a specific point in the clinical process. Therefore, integration of patient data from electronic health records (EHRs) providing context to clinicians is needed, which is stored and communicated in HL7 (Health Level Seven) FHIR (Fast Healthcare Interoperability Resources). To address this issue, we propose a method combining an integration of stored data into BPMN and a loss-free transformation from BPMN into FHIR, and vice versa. Based on that method, an identification of the next necessary decision point in a specific patient context is possible. We verified the method for treatment of malignant melanoma by using an extract of a formalized SOP document with predefined decision points and validated FHIR references with real EHR data. The patient data could be stored and integrated into the BPMN element ‘DataStoreReference’. Our loss-free transformation process therefore is the foundation for combining evidence-based knowledge from formalized clinical guidelines or SOPs and patient data from EHRs stored in FHIR. Processing the SOP with the available patient data can then lead to the next upcoming decision point, which will be displayed to the physician integrated with the corresponding data. © 2023 by the authors.</t>
  </si>
  <si>
    <t>BPMN; clinical decision-making; clinical pathways; computer-interpretable clinical guidelines; HL7 FHIR; malignant melanoma; model transformation; patient-specific modeling; standard operating procedures</t>
  </si>
  <si>
    <t>C.L. Beckmann; Department of Computer Science, University of Applied Sciences and Arts Dortmund (FH Dortmund), Dortmund, 44227, Germany; email: catharina.beckmann@fh-dortmund.de</t>
  </si>
  <si>
    <t>Su Q.; Peretokin V.; Basdekis I.; Kouris I.; Maggesi J.; Sicuranza M.; Acebes A.; Bucur A.; Mukkala V.J.R.; Pozdniakov K.; Kloukinas C.; Koutsouris D.D.; Iliadou E.; Leontsinis I.; Gallo L.; De Pietro G.; Spanoudakis G.</t>
  </si>
  <si>
    <t>The SMART BEAR Project: An Overview of Its Infrastructure</t>
  </si>
  <si>
    <t>10.1007/978-3-031-37496-8_21</t>
  </si>
  <si>
    <t>The paper describes a cloud-based platform that utilizes Artificial Intelligence (AI) and Explainable AI techniques to deliver evidence-based, personalized interventions to individuals over 65 suffering or at risk of hearing loss, cardiovascular disease, cognitive impairments, balance disorders, or mental health issues, while supporting efficient remote monitoring and clinician-driven guidance. As part of the SMART BEAR integrated project, this platform has been developed to support its large-scale clinical trials. The platform consists of a standards-based data harmonization and management layer, as well as a security component, a Big Data Analytics system, a Clinical Decision Support system, and a dashboard component to facilitate efficient data collection across pilot sites. © 2023, The Author(s), under exclusive license to Springer Nature Switzerland AG.</t>
  </si>
  <si>
    <t>Ageing; AI; Balance disorder; Cardiovascular disease; Cloud; Evidence-based; GDPR; Healthcare; Hearing loss; HL7 FHIR; Semantic interoperability</t>
  </si>
  <si>
    <t>Q. Su; Department of Computer Science, City, University of London, London, United Kingdom; email: Qiqi.Su@city.ac.uk</t>
  </si>
  <si>
    <t>Patient-Centric Interoperability and Cybersecurity for Cross-Border Healthcare</t>
  </si>
  <si>
    <t>10.3233/SHTI230463</t>
  </si>
  <si>
    <t>In Web 3.0 the user owns the information. Decentralized Identity Documents (DID documents) allow users to create their own digital identity and decentralized cryptographic material resistant to quantum computing. A patient's DID document also contains a unique identifier for cross-border healthcare, endpoints for receiving DIDComm messages and for SOS services, and additional identifiers (passport, etc.). We propose a blockchain for cross-border healthcare to store the evidence of different electronic, physical identities, and identifiers, but also the rules approved by the patient or legal guardians to access patient data. The International Patient Summary (IPS) is the de facto standard for cross-border healthcare and includes an index of information classified into sections (HL7 FHIR Composition) that healthcare professionals and services can update and read on the patient's SOS service, then retrieving all the necessary patient information from the different FHIR API endpoints of different healthcare providers according to the approved rules. © 2023 The authors and IOS Press.</t>
  </si>
  <si>
    <t>DID; IPS; PQC</t>
  </si>
  <si>
    <t>F. Latorre; Conéctate Soluciones y Aplicaciones, S.L., Soria CYL, Spain; email: ferlatorre78@gmail.com</t>
  </si>
  <si>
    <t>Sawa T.; Sakurai R.; Ohe K.</t>
  </si>
  <si>
    <t>HeXEHRS: FHIR-Based Cloud EHR Services to Support Healthcare in Depopulated Areas Driven by Digital Twin</t>
  </si>
  <si>
    <t>10.3233/SHTI240768</t>
  </si>
  <si>
    <t>HeXEHRS is a FHIR-based cloud EHR service designed to support healthcare in depopulated areas, powered by digital twin technology. Its core functionalities encompass standard EHR tasks including data exchange for healthcare processes. In the first year of this national project, we present the design and define the functionalities of the system. © 2024 The Authors.</t>
  </si>
  <si>
    <t>digital twin; EHR systems; HL7 FHIR</t>
  </si>
  <si>
    <t>T. Sawa; Teikyo University, Japan; email: d3office@d3.sip3.jp</t>
  </si>
  <si>
    <t>Martins R.; Pereira H.; Corrente G.; Xavier W.; Conceição L.; Freitas A.; Marreiros G.</t>
  </si>
  <si>
    <t>Supporting Elderly Care Through an AI-Driven and FHIR-Based Remote Monitoring System</t>
  </si>
  <si>
    <t>10.1007/978-3-031-80946-0_22</t>
  </si>
  <si>
    <t>An increase in the elderly population has led to a growing demand for constant health care. Remote monitoring of seniors aims to provide more effective care and promote patient independence, whether they live in residential homes, or their own homes supported by a domiciliary care service. It encompasses several issues present in their lives that may benefit from being assisted and monitored remotely. There are many successful studies and products focused on one of these issues, but there are no systems, to the best of our knowledge, that serve as a broad remote monitoring solution for multiple of these topics simultaneously. This paper proposes an architecture for an intelligent health monitoring ecosystem to interact with these various aspects of the elderly’s daily life, including monitoring of vital signs, movement and medication intake, detection of falls, sleep quality analysis, access control, and patient–caregiver communication. This solution will make use of wearables and medication dispensers, and it will securely store all patient-related information into an HL7 FHIR standardized database, from where machine learning models can import data for predicting important information and generating alerts when necessary. Next steps involve the development of this proposed system and testing it with elderly volunteers living in a residential home or subscribed to its domiciliary care services. © The Author(s), under exclusive license to Springer Nature Switzerland AG 2025.</t>
  </si>
  <si>
    <t>Elderly Care; FHIR; Machine Learning; Remote Monitoring; Wearables</t>
  </si>
  <si>
    <t>Pereira J.D.; Brito M.A.; Machado R.J.</t>
  </si>
  <si>
    <t>DEVELOPMENT OF AN INTEROPERABILITY PLATFORM FOR INFORMATION SYSTEMS IN THE EHEALTH DOMAIN, FOR THE PORTUGUESE HEALTH SYSTEM</t>
  </si>
  <si>
    <t>EHealth has emerged as a new field at the intersection of medical informatics, public health and business, referring to healthcare services and information provided or enhanced through information technologies. Today, it is very focused on improving the interoperability between Electronic Health Records (EHRs), Electronic Medical Records (EMRs), and between them and the applications installed on patients' devices (smartphones and IoT), with the development of new platforms. Developments of this type imply the use of standards such as Health Level 7 Fast Healthcare Interoperability Resource (HL7 FHIR), openEHR, and Clinical Data Interchange Standards Consortium (CDISC), which guarantee that health data transmission policies are respected. The work presented in this article is developed within the framework of the Health for Portugal agenda (HfPT), of the "Agendas Mobilizadoras para a Inovação Empresarial" promoted by the "Plano de Recuperação e Resiliência portugês" (PRR), in collaboration with the Centro de Computação Gráfica (CCG/ZGDV), which is the organization responsible for development of this platform. This article is based on the initial phase of the development of a platform that allows the integration of different information systems, to solve the lack of interoperability of the EHRs of health stakeholders in Portugal and also to reduce the fragmentation of the HIS of the Portuguese SNS. © ICT 2023.All rights reserved.</t>
  </si>
  <si>
    <t>Architecture; Ehealth; Health Information Systems; Interoperability</t>
  </si>
  <si>
    <t>Kotov Y.; Yavorska E.; Yavorskiy B.; Dozorska O.; Yatskiv V.</t>
  </si>
  <si>
    <t>Conceptual approaches to data transmission for AI-assisted patient assessment</t>
  </si>
  <si>
    <t>Artificial intelligence (AI) is commonly utilized to enhance clinical decision-making by processing patient data and health information and generating evaluative findings. Nevertheless, communication of the information that patients provide to AI systems, as well as its conveyance to medical practitioners, calls for adherence to high standards to facilitate data integrity, security, and interoperability. This study proposes a conceptual model for AI-enhanced patient evaluation, specifying how subjective patient information can be gathered and transmitted through the HL7 FHIR standard in conjunction with associated health data workflows. The suggested strategy outlines an end-to-end data exchange—from patient input via a safe, standardized delivery pipeline to an AI model and ultimately to the medical practitioner—emphasizing how interoperability frameworks (like FHIR) and effective security practices (encryption, authentication, access control) facilitate unbreakable integration. We discuss recent related research in both health data exchange and AI, suggest an approach based on structured data exchange (e.g., FHIR resources for observations and symptoms), and consider the practical implications, challenges, and likely results of putting such a system into practice. The findings highlight the value of standard data formats and security as keys to unleashing AI's potential for patient evaluation. We finish with directions for the future, such as the requirement for pilot launches and additional research on data transmission optimization and ensuring trust in AI-supported clinical processes. © 2025 Copyright for this paper by its authors. Use permitted under Creative Commons License Attribution 4.0 International (CC BY 4.0).</t>
  </si>
  <si>
    <t>AI-assisted patient assessment; data transmission; healthcare data standards; HL7 FHIR; interoperability; telemedicine</t>
  </si>
  <si>
    <t>E. Yavorska; Ternopil Ivan Puluj National Technical University, Ternopil, Ruska str., 46001, Ukraine; email: yavorska_eb@yahoo.com</t>
  </si>
  <si>
    <t>Safran V.; Horvat S.; Ilijevec B.; Roj I.R.; Flis V.; Mlakar I.</t>
  </si>
  <si>
    <t>Integrating HL7 FHIR into Clinical Decision Support Systems: A Real-World Application with Pepper Humanoid Robot in Hospital During Doctor Visits</t>
  </si>
  <si>
    <t>Proceedings - 2024 9th International Conference on Mathematics and Computers in Sciences and Industry, MCSI 2024</t>
  </si>
  <si>
    <t>10.1109/MCSI63438.2024.00031</t>
  </si>
  <si>
    <t>This study explores the integration of HL7 Fast Healthcare Interoperability Resources (FHIR) into a Clinical Decision Support System (CDSS) utilizing a Pepper robot to enhance doctor visits in a hospital setting. We evaluate a real-world implementation where the Pepper robot acts as an interface for data collection from patients, clinical monitors, and hospital information systems. The CDSS leverages FHIR to seamlessly integrate this data and present it visually, aiming to improve clinical decision-making processes for doctors. Our research investigates the potential of this FHIR-based CDSS with a robot interface to optimize healthcare delivery and potentially improve patient outcomes.  © 2024 IEEE.</t>
  </si>
  <si>
    <t>Clinical Decision Support System; Data Integration; Doctor Visits; HL7 FHIR; Hospital; Humanoid Robot; Visualization</t>
  </si>
  <si>
    <t>V. Safran; University of Maribor, Faculty of Electrical Engineering and Computer Science, Laboratory of Digital Signal Processing, Maribor, Slovenia; email: valentino.safran@um.si</t>
  </si>
  <si>
    <t>Experience from the Development of HL7 FHIR IG for Gatekeeper Project</t>
  </si>
  <si>
    <t>10.3233/SHTI230435</t>
  </si>
  <si>
    <t>The GATEKEEPER (GK) Project was financed by the European Commission to develop a platform and marketplace to share and match ideas, technologies, user needs and processes to ensure a healthier independent life for the aging population connecting all the actors involved in the care circle. In this paper, the GK platform architecture is presented focusing on the role of HL7 FHIR to provide a shared logical data model to be explored in heterogeneous daily living environments. GK pilots are used to illustrate the impact of the approach, benefit value, and scalability, suggesting ways to further accelerate progress. © 2023 The authors and IOS Press.</t>
  </si>
  <si>
    <t>Fernandez-Iglesias M.J.; Anido-Rifon L.E.; Valladares-Rodriguez S.M.; Pacheco-Lorenzo M.</t>
  </si>
  <si>
    <t>Integration of Diagnosis Application Data using FHIR</t>
  </si>
  <si>
    <t>ACM International Conference Proceeding Series</t>
  </si>
  <si>
    <t>10.1145/3560071.3560088</t>
  </si>
  <si>
    <t>Despite the growing number of diagnosis applications available, real interoperability among heterogeneous solutions and other applications in the e-health domain is still a challenging issue. This paper addresses the integration of data generated by diagnosis applications into general e-health platforms through the use of standards such as HL7 FHIR. Panoramix is a battery of serious games for the identification of senior adults who are in the process of developing a cognitive impairment. We discuss the technical details of the integration of Panoramix data using FHIR in the framework of project Gatekeeper, designed to serve as the backbone for e-health apps and devices development and integration in Europe. © 2022 ACM.</t>
  </si>
  <si>
    <t>e-heatlh; FHIR; interoperability; serious games</t>
  </si>
  <si>
    <t>Swoboda J.; Albert M.; Beckmann C.L.; Lodde G.C.; Livingstone E.; Nensa F.; Schadendorf D.; Böckmann B.</t>
  </si>
  <si>
    <t>The Mappability of Clinical Real-World Data of Patients with Melanoma to Oncological Fast Healthcare Interoperability Resources (FHIR) Profiles: A Single-Center Interoperability Study</t>
  </si>
  <si>
    <t>10.3390/informatics11030042</t>
  </si>
  <si>
    <t>(1) Background: Tumor-specific standardized data are essential for AI-based progress in research, e.g., for predicting adverse events in patients with melanoma. Although there are oncological Fast Healthcare Interoperability Resources (FHIR) profiles, it is unclear how well these can represent malignant melanoma. (2) Methods: We created a methodology pipeline to assess to what extent an oncological FHIR profile, in combination with a standard FHIR specification, can represent a real-world data set. We extracted Electronic Health Record (EHR) data from a data platform, and identified and validated relevant features. We created a melanoma data model and mapped its features to the oncological HL7 FHIR Basisprofil Onkologie [Basic Profile Oncology] and the standard FHIR specification R4. (3) Results: We identified 216 features. Mapping showed that 45 out of 216 (20.83%) features could be mapped completely or with adjustments using the Basisprofil Onkologie [Basic Profile Oncology], and 129 (60.85%) features could be mapped using the standard FHIR specification. A total of 39 (18.06%) new, non-mappable features could be identified. (4) Conclusions: Our tumor-specific real-world melanoma data could be partially mapped using a combination of an oncological FHIR profile and a standard FHIR specification. However, important data features were lost or had to be mapped with self-defined extensions, resulting in limited interoperability. © 2024 by the authors.</t>
  </si>
  <si>
    <t>data information model; dermato-oncology; Electronic Health Record (EHR) data; HL7 Fast Healthcare Interoperability Resources (FHIR); interoperability standard; malignant melanoma; oncology; oncology profile; structured data</t>
  </si>
  <si>
    <t>J. Swoboda; Institute for Artificial Intelligence in Medicine (IKIM), University Hospital Essen, Essen, Hufelandstraße 55, 45147, Germany; email: jessica.swoboda@uk-essen.de</t>
  </si>
  <si>
    <t>Soumma S.B.; Shahriar F.; Mahi U.N.; Hasin Abrar M.; Rahman Fahad M.A.; Latiful Hoque A.S.M.</t>
  </si>
  <si>
    <t>Design and Implementation of a Scalable Clinical Data Warehouse for Resource-Constrained Healthcare Systems</t>
  </si>
  <si>
    <t>Proceedings of the Annual International Conference of the IEEE Engineering in Medicine and Biology Society, EMBS</t>
  </si>
  <si>
    <t>10.1109/EMBC58623.2025.11254202</t>
  </si>
  <si>
    <t>Centralized electronic health record (EHR) repositories are critical for advancing disease surveillance, public health research, and evidence-based policymaking. However, developing countries face persistent challenges in achieving this due to fragmented healthcare data sources, inconsistent recordkeeping practices, and the absence of standardized patient identifiers. These issues hinder reliable record linkage, compromise data interoperability, and limit scalability - obstacles exacerbated by infrastructural constraints and privacy concerns. To address these barriers, this study proposes a scalable, privacy-preserving clinical data warehouse, NCDW, designed for heterogeneous EHR integration in resource-limited settings deployed on institutional servers and tested with 1.16 million clinical records. The framework incorporates a wrapper-based data acquisition layer for secure, automated ingestion of multisource health data and introduces a space-efficient Soundex algorithm to resolve patient identity mismatches in the absence of unique IDs. A modular data mart is designed for disease-specific analytics, demonstrated through a dengue fever case study in Bangladesh, integrating clinical, demographic, and environmental data for outbreak prediction and resource planning. Quantitative assessment of the data mart underscores its utility in strengthening national decision-support systems, highlighting the model's adaptability for infectious disease management. Comparative evaluation of database technologies reveals NoSQL outperforms relational SQL by 40-69% in complex query processing, while system load estimates validate the architecture's capacity to manage 19 million daily records (34TB over 5 years). The framework can be adapted to various healthcare settings across developing nations by modifying the ingestion layer to accommodate standards like ICD-11 and HL7 FHIR, facilitating interoperability for managing diverse infectious diseases (i.e., COVID, tuberculosis, malaria). Code is available: https://github.com/shovito66/ncdw.  © 2025 IEEE.</t>
  </si>
  <si>
    <t>Data Mining; Datamart; Dengue; Electronic Health Records; Health Informatics; Warehouse</t>
  </si>
  <si>
    <t>S.B. Soumma; Arizona State University, College of Health Solutions, United States; email: shovito@asu.edu</t>
  </si>
  <si>
    <t>Pulmano C.; Fernandez P.</t>
  </si>
  <si>
    <t>Developing a Structural Standard for Smart Contract Electronic Health Records Based on the HL7 Fast Healthcare Interoperability Resources</t>
  </si>
  <si>
    <t>10.5220/0012624100003699</t>
  </si>
  <si>
    <t>Electronic health records (EHRs) are becoming more essential to patient care, as they provide information that is usually valuable for health and medical decision-making. Each EHR typically comprises validated data provided by medical professionals during patient care and personal health data recorded by the individual patient. Existing implementations of EHRs, however, are often siloed and managed by disparate organizations. Health information exchanges, which aim to interoperate EHRs by different health organizations, are also primarily centralized and can be vulnerable to attacks such as distributed denial of service (DDoS) and data breaches. Blockchain is a potential solution to solving some of the current issues in health information exchange implementations. Smart contracts deployed on blockchain networks can help enforce appropriate health and medical record-keeping and sharing standards. This study aims to create a blockchain-based implementation that allows decentralized EHRs. Smart contracts were developed based on the Health Level 7 Fast Healthcare Interoperability Resource (HL7 FHIR). Experiments were designed and simulated on a local Ethereum blockchain network where 10,000 (generated) patients’ records were processed for evaluation. The results show that a structural standard can be applied to EHR smart contracts, but while blockchain solutions for EHR systems may be expected to be less vulnerable than centralized systems, the gas costs in Ethereum are potentially prohibitive and should be carefully considered. © 2024 by SCITEPRESS – Science and Technology Publications, Lda.</t>
  </si>
  <si>
    <t>Blockchain; Electronic Health Records; HL7 FHIR; Smart Contracts; Solidity</t>
  </si>
  <si>
    <t>Chronaki C.; Charalambous E.; Cangioli G.; Schreier G.; Van Den Oever S.; Van Der Pal H.; Kremer L.; Uyttebroeck A.; Van Den Bosch B.; Trinkunas J.; Rascon J.; Ladenstein R.; Düster V.; Bardi E.; Walz D.; Filberd A.-L.; Grabow D.; Langer T.; Nieto A.C.; Galán A.J.O.; Correcher Palau M.; Cavalca G.; Haupt R.</t>
  </si>
  <si>
    <t>Factors Influencing Implementation of the Survivorship Passport: The IT Perspective</t>
  </si>
  <si>
    <t>10.3233/SHTI220363</t>
  </si>
  <si>
    <t>Compared to the general population, childhood cancer survivors represent a vulnerable population as they are at increased risk of developing health problems, known as late effects, resulting in excess morbidity and mortality. The Survivorship Passport aims to capture key health data about the survivors and their treatment, as well as personalized recommendations and a care plan with the aim to support long-term survivorship care. The PanCareSurPass (PCSP) project building on the experience gained in an earlier implementation in Giannina Gaslini Institute, Italy, will implement and rigorously assess an integrated, HL7 FHIR based, implementation of the Survivorship Passport. The six implementation countries, namely Austria, Belgium, Germany, Italy, Lithuania, and Spain, are supported by different national or regional digital health infrastructures and Electronic Medical Record (EMR) systems. Semi structured interviews were carried out to explore potential factors affecting implementation, identify use cases, and coded data that can be semi-automatically transferred from the EMR to SurPass. This paper reflects on findings of these interviews and confirms the need for a multidisciplinary and multi-professional approach towards a sustainable and integrated large-scale implementation of the Survivorship Passport across Europe. © 2022 The authors, AIT Austrian Institute of Technology and IOS Press.</t>
  </si>
  <si>
    <t>Cancer Survivors; Childhood Cancer; Electronic Medical Records; HL7 FHIR; International Patient Summary; Paediatric Oncology; Survivorship Passport</t>
  </si>
  <si>
    <t>C. Chronaki; Brussels, 38-40 Square de Meeus, 1000, Belgium; email: chronaki@HL7europe.org</t>
  </si>
  <si>
    <t>Denecke K.; Reichenpfader D.; Willi D.; Kennel K.; Bonel H.; Nairz K.; Cihoric N.; Papaux D.; von Tengg-Kobligk H.</t>
  </si>
  <si>
    <t>Person-based design and evaluation of MIA, a digital medical interview assistant for radiology</t>
  </si>
  <si>
    <t>Frontiers in Artificial Intelligence</t>
  </si>
  <si>
    <t>10.3389/frai.2024.1431156</t>
  </si>
  <si>
    <t>Introduction: Radiologists frequently lack direct patient contact due to time constraints. Digital medical interview assistants aim to facilitate the collection of health information. In this paper, we propose leveraging conversational agents to realize a medical interview assistant to facilitate medical history taking, while at the same time offering patients the opportunity to ask questions on the examination. Methods: MIA, the digital medical interview assistant, was developed using a person-based design approach, involving patient opinions and expert knowledge during the design and development with a specific use case in collecting information before a mammography examination. MIA consists of two modules: the interview module and the question answering module (Q&amp;A). To ensure interoperability with clinical information systems, we use HL7 FHIR to store and exchange the results collected by MIA during the patient interaction. The system was evaluated according to an existing evaluation framework that covers a broad range of aspects related to the technical quality of a conversational agent including usability, but also accessibility and security. Results: Thirty-six patients recruited from two Swiss hospitals (Lindenhof group and Inselspital, Bern) and two patient organizations conducted the usability test. MIA was favorably received by the participants, who particularly noted the clarity of communication. However, there is room for improvement in the perceived quality of the conversation, the information provided, and the protection of privacy. The Q&amp;A module achieved a precision of 0.51, a recall of 0.87 and an F-Score of 0.64 based on 114 questions asked by the participants. Security and accessibility also require improvements. Conclusion: The applied person-based process described in this paper can provide best practices for future development of medical interview assistants. The application of a standardized evaluation framework helped in saving time and ensures comparability of results. Copyright © 2024 Denecke, Reichenpfader, Willi, Kennel, Bonel, Nairz, Cihoric, Papaux and von Tengg-Kobligk.</t>
  </si>
  <si>
    <t>algorithms; consumer health information; conversational agent; medical history taking; natural language processing; patients; radiology; user-centered design</t>
  </si>
  <si>
    <t>K. Denecke; Artificial Intelligence for Health, Institute for Patient-Centered Digital Health, School of Engineering and Computer Science, Bern University of Applied Sciences, Biel, Switzerland; email: kerstin.denecke@bfh.ch</t>
  </si>
  <si>
    <t>Bǎrbutǎ D.-E.; Scînteie G.-A.; Alexandrescu A.</t>
  </si>
  <si>
    <t>Modular AI-Enhanced System for Predictive and Real-Time Clinical Decision Support</t>
  </si>
  <si>
    <t>Proceedings - RoEduNet IEEE International Conference</t>
  </si>
  <si>
    <t>10.1109/RoEduNet68395.2025.11208477</t>
  </si>
  <si>
    <t>The increasing availability of real-time clinical data from medical devices and health information systems creates new opportunities to enhance diagnostic accuracy, preventive care, and patient engagement. This paper proposes a modular, AI-driven architecture for a healthcare decision support platform that integrates predictive analytics, medical image processing, real-time patient monitoring, explainable recommendations, and personalized health education. The architecture is organized into distinct functional modules with well-defined responsibilities and interfaces, supporting scalable, containerized deployment and standards-based interoperability. Data from heterogeneous sources, including HL7, FHIR, and DICOMcompliant systems, are ingested through an integration gateway, standardized, and processed by analytical engines for risk scoring, anomaly detection, and imaging-based diagnostics. A decision support layer combines AI-generated insights with clinical guidelines to generate actionable recommendations, while an alerting mechanism ensures the timely delivery of critical notifications. Patient engagement is supported through a personalized education component that delivers context-aware health information. The proposed design addresses key challenges in real-time healthcare AI systems, including heterogeneous data integration, model interpretability, scalability, and alignment with clinical work-flows, making it suitable for integration with existing hospital information systems and deployment in both centralized and distributed healthcare environments. © 2025 IEEE.</t>
  </si>
  <si>
    <t>artificial intelligence; explainable AI; Healthcare decision support; interoperability; modular architecture; predictive analytics; real-time monitoring</t>
  </si>
  <si>
    <t>IEEE Computer Society</t>
  </si>
  <si>
    <t>Wiedekopf J.; Ulrich H.; Drenkhahn C.; Kock-Schoppenhauer A.-K.; Ingenerf J.</t>
  </si>
  <si>
    <t>TermiCron-Bridging the Gap Between FHIR Terminology Servers and Metadata Repositories</t>
  </si>
  <si>
    <t>10.3233/SHTI220034</t>
  </si>
  <si>
    <t>The large variability of data models, specifications, and interpretations of data elements is particular to the healthcare domain. Achieving semantic interoperability is the first step to enable reuse of healthcare data. To ensure interoperability, metadata repositories (MDR) are increasingly used to manage data elements on a structural level, while terminology servers (TS) manage the ontologies, terminologies, coding systems and value sets on a semantic level. In practice, however, this strict separation is not always followed; instead, semantical information is stored and maintained directly in the MDR, as a link between both systems is missing. This may be reasonable up to a certain level of complexity, but it quickly reaches its limitations with increasing complexity. The goal of this approach is to combine both components in a compatible manner. We present TermiCron, a synchronization engine that provides synchronized value sets from TS in MDRs, including versioning and annotations. Prototypical results were shown for the terminology server Ontoserver and two established MDR systems. Bridging the semantic and structural gap between the two infrastructure components, this approach enables shared use of metadata and reuse of corresponding health information by establishing a clear separation of the two systems and thus serves to strengthen reuse as well as to increase quality. © 2022 International Medical Informatics Association (IMIA) and IOS Press.</t>
  </si>
  <si>
    <t>HL7 FHIR; Metadata Repository; Secondary Use</t>
  </si>
  <si>
    <t>J. Wiedekopf; It Center for Clinical Research (ITCR-L), University of Lübeck, Lübeck, Ratzeburger Allee 160, 23562, Germany; email: j.wiedekopf@uni-luebeck.de</t>
  </si>
  <si>
    <t>Walter Viktor Walter-Tscharf F.F.</t>
  </si>
  <si>
    <t>A Systematic Integrated Literature Review of Clinical Data Management Platforms of HL7 FHIR</t>
  </si>
  <si>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</si>
  <si>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10.1109/HPCC-DSS-SmartCity-DependSys57074.2022.00340</t>
  </si>
  <si>
    <t>This study is dedicated to a critical investigation of the existing approaches toward a data visualization management platform based on Fast Health Interoperability Resources (FHIR). Despite the growing popularity of FHIR, the available evidence provides a compelling reason to believe that its use is still accompanied by a significant number of technical challenges. Therefore, the development of tools to ensure its convenient visualization remains a pressing need for a variety of stakeholders operating in the healthcare industry. Results of the systematic literature review that included 26 studies provide valuable information about the most popular instruments in this area, such as the OpenEHR CKM approach. The review offers a critical discussion of the most important advantages and disadvantages of different approaches. It provides valuable recommendations for further research as well as practical recommendations concerning the best ways to utilize data visualization platforms based on FHIR. It defines the tradeoff of functionality versus the ease of dissemination as one of the most important problems facing most platforms and suggests avenues for developing additional tooling support for visualizing FHIR. The results of the research could be useful both for scientists and practitioners.  © 2022 IEEE.</t>
  </si>
  <si>
    <t>CKM; FHIR; HL7 FHIR EHR; OpenEHR; SMART on FHIR</t>
  </si>
  <si>
    <t>F.F. Walter Viktor Walter-Tscharf; Fondazione Bruno Kessler, University of Trento, European Institute of Innovation and Technology Doctoral Program Industrial Innovation, Department of Information Engineering and Computer Science, Italy; email: viktor.waltertscharf@unitn.it</t>
  </si>
  <si>
    <t>Qasim M.M.; Altmemi J.M.H.; Ali A.H.A.; Al-Shareeda M.A.; Almaiah M.A.; Shehab R.</t>
  </si>
  <si>
    <t>CA-HBCA: A Software Engineering Framework for Secure, Scalable, and Adaptive Healthcare Blockchain Systems</t>
  </si>
  <si>
    <t>Journal of Robotics and Control (JRC)</t>
  </si>
  <si>
    <t>10.18196/jrc.v6i4.26643</t>
  </si>
  <si>
    <t>Secure, scalable, and compliant solutions are becoming a requirement for healthcare systems handling sensitive medical data. Blockchain presents unique opportunities to create transparency and trust that is decentralized, yet has inherent challenges posed by scalability, sustainability and regulation. This study presents CA-HBCA, a Cognitive and Adaptive Software Engineering Framework for intelligent healthcare blockchain applications. The novel contribution of the research is the combination of four sledging modules, such as an AI-based cognitive security layer that triggers real-time anomaly detection, an adaptive sustainability engine that optimises energy-performance, a DevSecOps-based continuous delivery pipline, and a HL7/FHIR-compliant interoperability and consent management layer. Methodologically, the FEACAN was realized with Solidity, TensorFlow, and Ethereum/Hyperledger testnets, and tested by simulating healthcare scenarios such as EHR exchange, and adversary search. We obtained 93.2% precision of anomaly detection, 17.6% reduction of energy consumption, 42 transactions per second throughput in Hyperledger, and 98.7% of success rate of HL7-FHIR transformation, etc. The framework also demonstrated 100% smart contract–based consent compliance under test cases. The results indicate that CA-HBCA can be employed for the establishment of secure, sustainable and regulation-compliant blockchains in digital health infrastructures. In the future, we will also carry out validation with clinical real data sets and investigate the scalability in a variety of healthcare settings. © 2025, Department of Agribusiness, Universitas Muhammadiyah Yogyakarta. All rights reserved.</t>
  </si>
  <si>
    <t>Anomaly Detection; Blockchain in Healthcare; Energy Optimization; FHIR Interoperability; Smart Contracts; Software Engineering</t>
  </si>
  <si>
    <t>Department of Agribusiness, Universitas Muhammadiyah Yogyakarta</t>
  </si>
  <si>
    <t>Conte T.; Brancati N.; Russo M.; Sicuranza M.</t>
  </si>
  <si>
    <t>Bridging the Gap: Integrating Heterogeneous Clinical Data into HL7 FHIR</t>
  </si>
  <si>
    <t>International Conference on Wireless and Mobile Computing, Networking and Communications</t>
  </si>
  <si>
    <t>10.1109/WiMob66857.2025.11257464</t>
  </si>
  <si>
    <t>The fragmentation of patient data across different and disconnected systems, ranging from electronic health records to Artificial Intelligence (AI)-based diagnostic tools, poses a major challenge to the delivery of an efficient and accurate healthcare system. This paper proposes a modular and interoperable architecture designed to integrate heterogeneous clinical data from different sources, including structured clinical records, sociohealth information, patient-generated data, and outputs from AI-based diagnostic systems such as imaging analysis. The proposed architecture facilitates seamless data harmonization and supports clinical decision-making by structuring integrated information through the HL7 Fast Healthcare Interoperability Resources (FHIR) standard. This enables standardized data exchange and full interoperability with existing Health Information Systems, including Electronic Health Records and Telemedicine Platforms. An Implementation Guide is proposed as a reference framework for validating the FHIR resources produced by the architecture. In addition, a key feature of the architecture is its embedded Clinical Decision Support System, which dynamically identifies and presents only the clinically relevant information required for diagnostic reasoning and risk assessment.  © 2025 IEEE.</t>
  </si>
  <si>
    <t>Decision Support System; HL7 FHIR; Interoperability; Machine Learning</t>
  </si>
  <si>
    <t>Mishra G.; Khan S.; Kormiltsõn A.</t>
  </si>
  <si>
    <t>Achieving Interoperability in Healthcare Organizations Through Enterprise Tools</t>
  </si>
  <si>
    <t>Empowering Healthcare through AI and Blockchain</t>
  </si>
  <si>
    <t>10.1002/9781394261833.ch7</t>
  </si>
  <si>
    <t>The healthcare sector is rapidly going digital, and enterprise tools and electronic health records (EHRs) are essential for optimizing operations. Interoperability issues still exist, though, which restrict the easy sharing and practical application of medical data. This chapter addresses the organizational, syntactic, and technical obstacles to data integration while examining the foundational, structural, and semantic levels of interoperability. It looks at how enterprise tools like MuleSoft and cloud-based solutions can improve interoperability and emphasizes the help of international standards like HL7, FHIR, and integrating the healthcare enterprise (IHE) in fostering structured data exchange. Future healthcare interoperability is also investigated through the lens of emerging technologies like blockchain, artificial intelligence (AI), and API-driven integration frameworks. Case studies of international projects, like India’s Ayushman Bharat Digital Mission (ABDM) and the US Office of the National Coordinator for Health IT (ONC) roadmap, show successful interoperability approaches and strategies. Recommendations for removing obstacles and utilizing enterprise solutions to establish a cohesive and effective healthcare ecosystem are included in the chapter’s conclusion. © 2026 The Institute of Electrical and Electronics Engineers, Inc.</t>
  </si>
  <si>
    <t>API -based interoperability; artificial intelligence (AI); blockchain; cloud computing; data integration; data security; digital transformation in healthcare; electronic health records (EHRs); enterprise tools; FHIR; healthcare interoperability; healthcare IT; HL7; IHE; MuleSoft; regulatory compliance; semantic interoperability</t>
  </si>
  <si>
    <t>wiley</t>
  </si>
  <si>
    <t>Hipólito N.; Jácome C.; Almeida R.; Vieira-Marques P.</t>
  </si>
  <si>
    <t>Pulmonary Rehabilitation Guideline Referral in COPD-A FHIR mapping proposal</t>
  </si>
  <si>
    <t>10.1016/j.procs.2025.02.196</t>
  </si>
  <si>
    <t>Chronic Obstructive Pulmonary Disease (COPD) is a highly prevalent progressive respiratory disease, characterized by airflow limitation, respiratory symptoms, and exercise intolerance, which greatly impacts patient's daily life. Pulmonary Rehabilitation (PR) is a well-recognized, cost-effective, and safe intervention with known benefits, recommended by COPD management guidelines. Despite this, there is a potential sub-diagnosis of the condition and low access rates to PR in the COPD population. Reasons may include a lack of detailed knowledge about how to refer potential patients to PR and the lack of specific criteria for the referral. Information about the patient's status and available services also plays a vital role in referrals. Additionally, there is high heterogeneity of outcomes and measures reported in the literature for PR, hindering the benchmark and dissemination of its efficacy and evidence synthesis; it also prevents communication and inter-institutional and international work. Thus, improving information availability and flow can facilitate a more efficient process. This study aims to develop an interoperable digital protocol for PR referral, to support healthcare professionals in the data collection and referral process, making the process simpler and more efficient while also contributing to a transparent and coherent inter-institutional data exchange and continuous workflow. The variables and associated outcomes recommended by the Portuguese General Health Direction (Direção Geral da Saúde, DGS) in the standard 014/2019 regarding PR programs referral in primary care were described and translated to the HL7-FHIR health data standard. The flow of the protocol was also presented. This work aims to contribute to facilitating the process of PR referral by proposing a FHIR-based approach for describing relevant information and the decision-making process for PR referral, aiming to contribute for the support of health professionals in the referral decision-making process in primary care, making it simpler and more efficient while also contributing to inter-institutional workflow articulation and information availability.  © 2025 The Author(s).</t>
  </si>
  <si>
    <t>COPD; FHIR; health informatics; pulmonary rehabilitation referral</t>
  </si>
  <si>
    <t>N. Hipólito; Health Data Science of MEDCIDS, Faculty of Medicine of University of Porto, Porto, 4200-319, Portugal; email: nadia.hipolito@ipleiria.pt</t>
  </si>
  <si>
    <t>Klopfenstein S.A.I.; Sass J.; Vorisek C.N.; Jorczik F.; Schmidt C.O.; Löbe M.; Golebiewski M.; Abaza H.; Thun S.</t>
  </si>
  <si>
    <t>Bringing Communities Together: Mapping the Investigation-Study-Assay-Model (ISA) to Fast Healthcare Interoperability Resources (FHIR)</t>
  </si>
  <si>
    <t>10.3233/SHTI230919</t>
  </si>
  <si>
    <t>Adhering to FAIR principles (findability, accessibility, interoperability, reusability) ensures sustainability and reliable exchange of data and metadata. Research communities need common infrastructures and information models to collect, store, manage and work with data and metadata. The German initiative NFDI4Health created a metadata schema and an infrastructure integrating existing platforms based on different information models and standards. To ensure system compatibility and enhance data integration possibilities, we mapped the Investigation-Study-Assay (ISA) model to Fast Healthcare Interoperability Resources (FHIR). We present the mapping in FHIR logical models, a resulting FHIR resources' network and challenges that we encountered. Challenges mainly related to ISA's genericness, and to different structures and datatypes used in ISA and FHIR. Mapping ISA to FHIR is feasible but requires further analyses of example data and adaptations to better specify target FHIR elements, and enable possible automatized conversions from ISA to FHIR.  © 2024 International Medical Informatics Association (IMIA) and IOS Press.</t>
  </si>
  <si>
    <t>FAIR; fast healthcare interoperability resources; HL7 FHIR; interoperability; investigation-study-assay; ISA Model; Metadata standards; open data strategy</t>
  </si>
  <si>
    <t>S.A.I. Klopfenstein; Core Facility Digital Medicine and Interoperability, Berlin Institute of Health at Charité, Berlin, Germany; email: sophie.klopfenstein@charite.de</t>
  </si>
  <si>
    <t>Reddy S.S.; Vutukuru M.M.</t>
  </si>
  <si>
    <t>Open Electronic Health Record Mechanism for Interoperable Cloud Performance and Confidentiality</t>
  </si>
  <si>
    <t>3rd International Conference on Electronics and Renewable Systems, ICEARS 2025 - Proceedings</t>
  </si>
  <si>
    <t>10.1109/ICEARS64219.2025.10941055</t>
  </si>
  <si>
    <t>The popularity of interoperable cloud environments can be attributed to the growing need for secure and effective administration of healthcare data. In order to guarantee interoperability, performance and privacy, OpenEHR - an open standard specification in health informatics is essential. This survey research uses OpenEHR technologies to investigate performance and privacy management issues in interoperable cloud environments. The main features of OpenEHR are covered, along with how it can be used in cloud contexts and how it affects the administration of medical data. Along with outlining the advantages and difficulties of utilizing OpenEHR in healthcare data management, the article also covers recent developments and research in this area. The study also addresses how OpenEHR 's standardized data models and access control methods might support effective data interchange while protecting patient privacy. Four EHR systems are compared in this study: Cleveland Clinic's Epic, HL7 FHIR, OPENEHR, and CDA. Although its implementation complexity is minimal, OpenEHR boasts significant levels of interoperability, data reuse, and customization possibilities. Although HL7 FHIR has modest implementation complexity and expense, it allows real-time data access and flexibility. Although CDA offers strong regulatory compliance, it is less flexible and requires more work when creating templates. Cleveland Clinic's Epic system has a high degree of maturity, strong community support, and complete regulatory compliance; but, it also has a high cost, restricted data reuse, and severe vendor lock-in. © 2025 IEEE.</t>
  </si>
  <si>
    <t>CDA(Clinical Document Architecture); Customization; HL7 FHIR(Health Level 7 Fast Health Interoperability Services); Interoperable Cloud and FHIR; OpenEHR (Open Electronic Health Record); Proprietary EHR</t>
  </si>
  <si>
    <t>S.S. Reddy; Koneru Lakshmaiah Education Foundation, Department of Computer Science and Engineering, Guntur, Andhra Pradesh, India; email: sadhulasriharireddy@gmail.com</t>
  </si>
  <si>
    <t>Problem-Oriented Medical Records for Describing Care Cases Using Multi-Tenants</t>
  </si>
  <si>
    <t>2023 3rd International Conference on Innovative Research in Applied Science, Engineering and Technology, IRASET 2023</t>
  </si>
  <si>
    <t>10.1109/IRASET57153.2023.10153018</t>
  </si>
  <si>
    <t>There are countless applications in healthcare for digital personal assistants helping clinicians as well as patients and their families. However, there is no conversational application to understand patient encounters and assist clinicians to describe their clinical cases in association with their medical record like the HL7 FHIR. Building such conversational service requires understanding of the charting schema used to record clinical cases in the clinical setting like the SOAP note as well as having the federated APIs to exchange messages not only between tenants (e.g. Patients and Physicians) but also with different servers including the FHIR electronic healthcare record server. In this paper we described the extension that we have added to our existing QL4POMR framework to have extended ability to represent clinical cases via the use of multi-tenants chatbots based on the SOAP note and the connectivity to the FHIR server. The extension to the QL4POMR uses the Google DialogFlow and the GraphQL-Yoga APIs. This research work is a continuation of our MITACS and NSERC funded work that has started in 2020. © 2023 IEEE.</t>
  </si>
  <si>
    <t>Conversational Chatbots; DialogFlow; GraphQL-Yoga; Multi-Tenants Chatbots; Problem-Oriented Medical Records; SOAP</t>
  </si>
  <si>
    <t>Implementation of Gene Expression Profiles in the HL7 FHIR Standard</t>
  </si>
  <si>
    <t>10.3233/SHTI220490</t>
  </si>
  <si>
    <t>Gene expression profiles can capture significant molecular differences paving the way toward precision medicine. However, clinical standards like FHIR only provide encoding of molecular sequence variations, even so, expression patterns are equally important for decision making. Here we provide an exemplary implementation of gene expression profiles of a microarray analysis using an adaption of the FHIR Genomics extension. Our results demonstrate how FHIR resources can be facilitated in bioinformatics-based decision support systems or used for the aggregation of molecular genetics data in multi-center clinical trials.  © 2022 European Federation for Medical Informatics (EFMI) and IOS Press.</t>
  </si>
  <si>
    <t>F. Auer; IT-Infrastructure for Translational Medical Research, University of Augsburg, Augsburg, Alter Postweg 101, 86159, Germany; email: florian.auer@informatik.uni-augsburg.de</t>
  </si>
  <si>
    <t>Mathes G.; Bochum S.; Werner P.; Fegeler C.; Sigle S.</t>
  </si>
  <si>
    <t>Design and Implementation of a Community Driven Clinical Trial Information Management System for Precision Oncology Settings</t>
  </si>
  <si>
    <t>10.3233/SHTI240844</t>
  </si>
  <si>
    <t>INTRODUCTION Trial recruitment is a crucial factor for precision oncology, potentially improving patient outcomes and generating new scientific evidence. To identify suitable, biomarker-based trials for patients' clinicians need to screen multiple clinical trial registries which lack support for modern trial designs and offer only limited options to filter for in- and exclusion criteria. Several registries provide trial information but are limited regarding factors like timeliness, quality of information and capability for semantic, terminology enhanced searching for aspects like specific inclusion criteria. METHODS We specified a Fast Healthcare Interoperable Resources (FHIR) Implementation Guide (IG) to represent clinical trials and their meta data. We embedded it into a community driven approach to maintain clinical trial data, which is fed by openly available data sources and later annotated by platform users. A governance model was developed to manage community contributions and responsibilities. RESULTS We implemented Community Annotated Trial Search (CATS), an interactive platform for clinical trials for the scientific community with an open and interoperable information model. It provides a base to collaboratively annotate clinical trials and serves as a comprehensive information source for community members. Its terminology driven annotations are coined towards precision oncology, but its principles can be transferred to other contexts. CONCLUSION It is possible to use the FHIR standard and an open-source information model represented in our IG to build an open, interoperable clinical trial register. Advanced features like user suggestions and audit trails of individual resource fields could be represented by extending the FHIR standard. CATS is the first implementation of an open-for-collaboration clinical trial registry with modern oncological trial designs and machine-to-machine communication in mind and its methodology could be extended to other medical fields besides precision oncology. Due to its well-defined interfaces, it has the potential to provide automated patient recruitment decision support for precision oncology trials in digital applications. © 2024 The Authors.</t>
  </si>
  <si>
    <t>Clinical Decision Support; Clinical Trial Registry; Health Information Interoperability; HL7 FHIR; Precision Medicine</t>
  </si>
  <si>
    <t>Wiedekopf J.; Ohlsen T.; Koops A.; Kock-Schoppenhauer A.-K.; Adnan M.; Ballout S.; Philipzik N.; Beyan O.; Beyer A.; Marschollek M.; Ingenerf J.</t>
  </si>
  <si>
    <t>Implementation of HL7 FHIR-Based Terminology Services for a National Federated Health Research Infrastructure</t>
  </si>
  <si>
    <t>10.3233/SHTI251396</t>
  </si>
  <si>
    <t>Introduction: As part of the German Medical Informatics Initiative (MII) and Network University Medicine (NUM), a central research terminology service (TS) is provided by the Service Unit Terminology Services (SU-TermServ). This HL7 FHIR-based service depends on the timely and comprehensive availability of FHIR terminology resources to provide the necessary interactions for the distributed MII/NUM infrastructure. While German legislation has recently instituted a national terminology service for medical classifications and terminologies, the scope of the MII and NUM extends beyond routine patient care, encompassing the need for supplementary or specialized services and terminologies that are not commonly utilized elsewhere. Methods: The SU-TermServ's processes are based on established FHIR principles and the recently-proposed Canonical Resources Management Infrastructure Implementation Guide, which are outlined in this paper. Results: The strategy and processes implemented within the project can deliver the needed resources both to the central FHIR terminology service, but also to the local data integration centers, in a transparent and consistent fashion. The service currently provides approximately 7000 resources to users via the standardized FHIR API. Conclusion: The professionalized distribution and maintenance of these terminological resources and the provision of a powerful TS implementation aids both the development of the Core Data Set and the data integration centers, and ultimately biomedical researchers requesting access to this rich data.  © 2025 The Authors.</t>
  </si>
  <si>
    <t>Controlled; Health Information Exchange Information Systems; Terminology as Topic; Vocabulary</t>
  </si>
  <si>
    <t>J. Wiedekopf; University of Luebeck, Luebeck, Ratzeburger Allee 160, 23562, Germany; email: j.wiedekopf@uni-luebeck.de</t>
  </si>
  <si>
    <t>Shaikh M.S.; Sarkar B.; Nandi P.K.; Kumar M.; Patidar P.K.; Wadekar S.</t>
  </si>
  <si>
    <t>The Digital Pulse: Reshaping Clinical Accuracy with Sensor Based Smart Diagnostics</t>
  </si>
  <si>
    <t>2025 World Skills Conference on Universal Data Analytics and Sciences, WorldSUAS 2025</t>
  </si>
  <si>
    <t>10.1109/WorldSUAS66815.2025.11199094</t>
  </si>
  <si>
    <t>This paper presents a multi-layered sensor-based diagnostic framework designed to enhance clinical accuracy through real-time physiological monitoring, AI-driven analysis, and seamless system integration. The architecture incorporates biosensors, wearable and environmental devices, and edge computing for efficient data acquisition and preprocessing. Hybrid AI models, including Random Forests and LSTM networks, are applied for anomaly detection and prediction, supported by Explainable AI (XAI) techniques such as SHAP and LIME for clinician interpretability. The system ensures interoperability via HL7/FHIR standards and compliance with HIPAA/GDPR. Case studies across cardiology, diabetes, neurology, and pandemic response demonstrate superior accuracy, reduced false alarms, and improved response times compared to traditional diagnostics. Performance evaluation reveals up to 13% gains in sensitivity and 90% faster response. The proposed framework addresses key limitations in conventional diagnostics and advances the development of scalable, privacy-aware, and trustworthy smart healthcare systems.  © 2025 IEEE.</t>
  </si>
  <si>
    <t>Digital Health Equity (SDG 10); Edge Computing in Healthcare; Explainable AI (XAI); Federated Learning; Good Health and Well-being (SDG 3); Industry; Innovation and Infrastructure (SDG 9); Medical Internet of Things; Wearable Biosensors</t>
  </si>
  <si>
    <t>M.S. Shaikh; Marwadi University, Faculty of Engineering and Technology, Rajkot, India; email: msnshaikh1@gmail.com</t>
  </si>
  <si>
    <t>Schulz S.; Martínez Costa C.</t>
  </si>
  <si>
    <t>Semantic Representation of Medical Data Collection Forms Using Standards</t>
  </si>
  <si>
    <t>10.3233/SHTI250440</t>
  </si>
  <si>
    <t>Data collection forms and questionnaires are widely used to capture patient data, but their development often receives insufficient attention. The RES-Q+ project aims to semantically standardise a widely used international stroke registry data collection form using interoperability standards such as SNOMED CT and HL7 FHIR, pursuing a canonical, knowledge-graph-based representation as an ultimate goal. We analysed patterns in this RES-Q data collection form to derive general principles for improving the design and semantic alignment of medical forms. We studied the way how residuals such as "none", "other" and "unknown" can be modelled using SNOMED CT codes bound to FHIR resources. © 2025 The Authors.</t>
  </si>
  <si>
    <t>FHIR; SNOMED CT; Stroke; Terminology binding</t>
  </si>
  <si>
    <t>S. Schulz; Institute for Medical Informatics, Statistics and Documentation, Medical University of Graz, Austria; email: stefan.schulz@medunigraz.at</t>
  </si>
  <si>
    <t>Kleinoscheg G.; Tanjga N.; Svec N.; Rainer-Sablatnig S.; Sabutsch S.</t>
  </si>
  <si>
    <t>TerminoloGit - An Open Source Terminology Server for Large Scale eHealth Environments</t>
  </si>
  <si>
    <t>10.3233/SHTI220351</t>
  </si>
  <si>
    <t>Semantic interoperability is the centerpiece of successful communication between information systems within the health care system. As such, a terminology server provides information systems with the concepts needed for coding information accordingly. As the current Austrian terminology server does not meet all requirements anymore, a new terminology server is necessary. Consequently, after an unsuccessful call for bids, the Semantic Competence Center (SCC) of the ELGA GmbH set up a technologically more advanced solution for a new terminology server. The result is a Git based architecture in combination with the HL7® FHIR® IG publisher complemented by a FHIR® server and some in-house developments. The Git repository is hosted on GitLab.com, hence, allowing the use of GitLab's CI/CD functionalities for publishing the contents. Since the 1 January 2022 the new terminology server 'TerminoloGit' is operational and provides 171 code lists and 141 value sets. Using open-source components only and making all parts of the system publicly available results in a cost-effective solution which may also be improved by the open-source community. © 2022 The authors, AIT Austrian Institute of Technology and IOS Press.</t>
  </si>
  <si>
    <t>Clinical Coding; Health Information Interoperability; Health Level Seven; HL7; HL7 FHIR; Terminology</t>
  </si>
  <si>
    <t>G. Kleinoscheg; Elga GmbH, Vienna, Austria; email: gabriel.kleinoscheg@elga.gv.at</t>
  </si>
  <si>
    <t>Draeger C.; Tute E.; Schmidt C.O.; Waltemath D.; Boeker M.; Winter A.; Löbe M.</t>
  </si>
  <si>
    <t>Identifying Relevant FHIR Elements for Data Quality Assessment in the German Core Data Set</t>
  </si>
  <si>
    <t>10.3233/SHTI230117</t>
  </si>
  <si>
    <t>The German Medical Informatics Initiative makes clinical routine data available for biomedical research. In total, 37 university hospitals have set up so-called data integration centers to facilitate this data reuse. A standardized set of HL7 FHIR profiles ('MII Core Data Set') defines the common data model across all centers. Regular Projectathons ensure continuous evaluation of the implemented data sharing processes on artificial and real-world clinical use cases. In this context, FHIR continues to rise in popularity for exchanging patient care data. As reusing data from patient care in clinical research requires high trust in the data, data quality assessments are a key point of concern in the data sharing process. To support the setup of data quality assessments within data integration centers, we suggest a process for finding elements of interest from FHIR profiles. We focus on the specific data quality measures defined by Kahn et al. © 2023 European Federation for Medical Informatics (EFMI) and IOS Press.</t>
  </si>
  <si>
    <t>Data Quality; EHRs; HL7 FHIR; Secondary Use</t>
  </si>
  <si>
    <t>C. Draeger; Institut für Medizinische Informatik, Statistik und Epidemiologie, Universität Leipzig, Leipzig, Härtelstraße 16-18, 04107, Germany; email: christian.draeger@imise.uni-leipzig.de</t>
  </si>
  <si>
    <t>Garcia-Dominguez A.</t>
  </si>
  <si>
    <t>The Epsilon Solution to the KMEHR to FHIR Case</t>
  </si>
  <si>
    <t>In recent years, there has been a push towards standardisation of interchange formats for health records: this case tackles the problem of mapping Patient Summarized Records between the Belgian KMEHR and international HL7 FHIR standards. The case proposed two evaluation dimensions: time/space efficiency, and understandability. This paper presents a port of the original ATL rules to the Epsilon Transformation Language (ETL), with a focus towards helping the user understand the transformation via transient visualisations using the Picto tool bundled with recent versions of Epsilon. While ETL is not as fast as ATL, the ETL script is 1,096 lines long, compared to the 1,319 lines of ATL. At the same time, during the development of this solution, a few improvements were identified and made to Epsilon itself. © 2023 Copyright for this paper by its authors. Use permitted under Creative Commons License Attribution 4.0 International (CC BY 4.0).</t>
  </si>
  <si>
    <t>ATL; ETL; healthcare information systems; model transformation; model visualisation</t>
  </si>
  <si>
    <t>A. Garcia-Dominguez; University of York, York, United Kingdom; email: a.garcia-dominguez@aston.ac.uk</t>
  </si>
  <si>
    <t>Lanzola G.; Polce F.; Tibollo V.; Quaglini S.; Wilk S.</t>
  </si>
  <si>
    <t>Designing a Testing Environment for the CAPABLE Telemonitoring and Coaching Platform</t>
  </si>
  <si>
    <t>MELECON 2022 - IEEE Mediterranean Electrotechnical Conference, Proceedings</t>
  </si>
  <si>
    <t>10.1109/MELECON53508.2022.9843001</t>
  </si>
  <si>
    <t>The CAPABLE project has been funded by the European Union to develop a telemonitoring and coaching platform improving the quality of life for cancer patients. The platform, based on a multi agent blackboard architecture, is classified as a medical device according to the current EU regulation. Thus it needs extensive tests before being put into service for the planned clinical trials, which calls for a dedicated simulating and testing environment. Materials and Methods: Coordination in CAPABLE is achieved through the Case Manager, a component able to generate and notify events to other interested agent components. For representing and exchanging health care information we have adopted HL7 FHIR as a semantic interoperability standard. Results: FHIR has been exploited to design a structured history of a real patient affected by renal cell carcinoma. A simulator has been developed for automating the whole testing process represented by specific scenarios of the patient's history. Conclusions: The simulator relies on the events produced by the Case Manager for coordinating the agents. This proved to be effective in checking that the agents reactions to new data showing up on the blackboard comply with the expected behavior.  © 2022 IEEE.</t>
  </si>
  <si>
    <t>distributed system testing; Health technology assessment; mHealth; patient coaching</t>
  </si>
  <si>
    <t>Samra H.</t>
  </si>
  <si>
    <t>A Lifecycle-Based Evaluation Framework for Health Information Systems in Saudi Arabia Aligning Global Standards With National Implementation Needs</t>
  </si>
  <si>
    <t>International Journal of Reliable and Quality E-Healthcare</t>
  </si>
  <si>
    <t>10.4018/IJRQEH.390789</t>
  </si>
  <si>
    <t>Health information systems are vital for healthcare modernization; however, their implementation across Saudi Arabia remains inconsistent due to technical, organizational, and governance challenges. Current evaluation methods lack lifecycle coverage and fail to align with international standards. This study proposes a lifecycle-based evaluation framework tailored to the Saudi context, integrating findable, accessible, interoperable, reusable principles along with Health Level Seven (HL7)/Fast Healthcare Interoperability Resources (FHIR) standards and the CApable Reuse of EHR Data (CARED) architecture across three phases: pre-implementation, implementation, and post-deployment. Developed using a design science research methodology, the framework addresses key gaps in planning, interoperability, usability, and the use of secondary data. A multi-phase evaluation strategy comprising Delphi consensus, literature benchmarking, scenario-based simulations, and pilot trials is recommended. The framework incorporates measurable indicators and scalable tools to support Saudi Vision 2030, enhance the effectiveness of the health information system, and guide policymakers and informatics leaders in developing sustainable, standards-aligned digital health infrastructure. © 2025 IGI Global. All rights reserved.</t>
  </si>
  <si>
    <t>Data Governance; Digital Health; FAIR Principles; Health Informatics; Health Information Systems (HIS); HL7/FHIR Standards; Lifecycle Evaluation; Saudi Arabia</t>
  </si>
  <si>
    <t>H. Samra; King Abdulaziz University, Saudi Arabia; email: hsamra@kau.edu.sa</t>
  </si>
  <si>
    <t>IGI Global</t>
  </si>
  <si>
    <t>Schmidt M.; Gebauer S.; Bartholmes A.; Kadioglu D.; Kleesiek J.; Hamm B.; Vogl T.J.; Penzkofer T.; Bucher A.M.; Storf H.</t>
  </si>
  <si>
    <t>CODEX Meets RACOON-A Concept for Collaborative Documentation of Clinical and Radiological COVID-19 Data</t>
  </si>
  <si>
    <t>10.3233/SHTI220804</t>
  </si>
  <si>
    <t>Within the scope of the two NUM projects CODEX and RACOON we developed a preliminary technical concept for documenting clinical and radiological COVID-19 data in a collaborative approach and its preceding findings of a requirement analysis. At first, we provide an overview of NUM and its two projects CODEX and RACOON including the GECCO data set. Furthermore, we demonstrate the foundation for the increased collaboration of both projects, which was additionally supported by a survey conducted at University Hospital Frankfurt. Based on the survey results mint Lesion™, developed by Mint Medical and used at all project sites within RACOON, was selected as the 'Electronic Data Capture' (EDC) system for CODEX. Moreover, to avoid duplicate entry of GECCO data into both EDC systems, an early effort was made to consider a collaborative and efficient technical approach to reduce the workload for the medical documentalists. As a first effort we present a preliminary technical concept representing the current and possible future data workflow of CODEX and RACOON. This concept includes a software component to synchronize GECCO data sets between the two EDC systems using the HL7 FHIR standard. Our first approach of a collaborative use of an EDC system and its medical documentalists could be beneficial in combination with the presented synchronization component for all participating project sites of CODEX and RACOON with regard to an overall reduced documentation workload.  © 2022 The authors and IOS Press.</t>
  </si>
  <si>
    <t>clinical documentation; CODEX; COVID-19; EDC; RACOON</t>
  </si>
  <si>
    <t>M. Schmidt; Institute of Medical Informatics, Goethe University Frankfurt, University Hospital Frankfurt, Frankfurt am Main, Theodor-Stern-Kai 7, 60590, Germany; email: marvin.schmidt@kgu.de</t>
  </si>
  <si>
    <t>Engels C.; Kern J.; Dudová Z.; Deppenwiese N.; Kiel A.; Kroll B.; Kussel T.; Schüttler C.; Tomášik R.; Hummel M.; Lablans M.; Breu M.; Croft D.; Dolch C.; Duhm-Harbeck P.; Ebert L.; Engels C.; Knell C.; Kock-Schoppenhauer A.-K.; Linde J.; Maier C.; Neumann M.; Öfelein M.; Rambow M.; Sahr S.; Stampe F.; Tas D.; Ulrich H.; Prokosch H.-U.</t>
  </si>
  <si>
    <t>The sample locator: A federated search tool for biosamples and associated data in Europe using HL7 FHIR</t>
  </si>
  <si>
    <t>10.1016/j.compbiomed.2024.108941</t>
  </si>
  <si>
    <t>Background: This study outlines the development of a highly interoperable federated IT infrastructure for academic biobanks located at the major university hospital sites across Germany. High-quality biosamples linked to clinical data, stored in biobanks are essential for biomedical research. We aimed to facilitate the findability of these biosamples and their associated data. Networks of biobanks provide access to even larger pools of samples and data even from rare diseases and small disease subgroups. The German Biobank Alliance (GBA) established in 2017 under the umbrella of the German Biobank Node (GBN), has taken on the mission of a federated data discovery service to make biosamples and associated data available to researchers across Germany and Europe. Methods: In this context, we identified the requirements of researchers seeking human biosamples from biobanks and the needs of biobanks for data sovereignty over their samples and data in conjunction with the sample donor's consent. Based on this, we developed a highly interoperable federated IT infrastructure using standards such as Fast Healthcare Interoperability Resources (HL7 FHIR) and Clinical Quality Language (CQL). Results: The infrastructure comprises two major components enabling federated real-time access to biosample metadata, allowing privacy-compliant queries and subsequent project requests. It has been in use since 2019, connecting 16 German academic biobanks, with additional European biobanks joining. In production since 2019 it has run 4941 queries over the span of one year on more than 900,000 biosamples collected from more than 170,000 donors. Conclusion: This infrastructure enhances the visibility and accessibility of biosamples for research, addressing the growing demand for human biosamples and associated data in research. It also underscores the need for improvements in processes beyond IT infrastructure, aiming to advance biomedical research and similar infrastructure development in other fields. © 2024 The Authors</t>
  </si>
  <si>
    <t>Biobanks; Biomedical research; Biosamples; FAIR data sharing; Feasibility search; Federated system; IT infrastructure; Software tools; Technology development</t>
  </si>
  <si>
    <t>C. Engels; German Biobank Node (GBN), Charité – Universitätsmedizin Berlin, Berlin, Germany; email: caecilia.engels@charite.de</t>
  </si>
  <si>
    <t>Sathyan K.; Lu T.</t>
  </si>
  <si>
    <t>Edge AI for Voice-to-Symptom Clinical Intake and Triage</t>
  </si>
  <si>
    <t>2025 IEEE International Conference on Emerging Trends in Engineering and Computing, ETECOM 2025</t>
  </si>
  <si>
    <t>10.1109/ETECOM66111.2025.11319104</t>
  </si>
  <si>
    <t>This work presents an on-device voice-to-symptom intake pipeline that produces HL7 FHIR-compliant resources entirely offline. Using automatic speech recognition and a compact, prompt-tuned language model, the system converts patient narratives into symptoms and ICD-10 codes without cloud transfer, ensuring privacy and GDPR compliance. In 2,524 simulated consultations, the pipeline preserved clinical intent and achieved a micro-F1 score of 0.79 for symptom extraction and a median ASR word error rate of 0.12, with typical end-to-end responses of about 2s. Peak memory remained under 2.8GB, CPU utilization averaged 60%, and device temperature stabilized at 74°C without throttling. The main constraint was the Raspberry Pi's 4GB RAM, which occasionally increased latency to about 10s. These results demonstrate that low-cost edge devices can deliver accurate, privacy-preserving, standards-compliant clinical intake at scale.  © 2025 IEEE.</t>
  </si>
  <si>
    <t>edge computing; electronic health records; FHIR; healthcare IoT; ICD-10 coding; low-cost clinical technology; medical informatics; offline speech recognition; privacy-preserving systems; Raspberry Pi; smart cities</t>
  </si>
  <si>
    <t>Wijayanti D.; Urbaya S.; Yusuf S.; Sulton C.; Sumunar D.S.E.W.; Sitompul T.</t>
  </si>
  <si>
    <t>Towards Federated Health Information Exchange Architecture in Indonesia: Design and Implementation</t>
  </si>
  <si>
    <t>Proceedings of 2025 International Conference on Information Management and Technology, ICIMTech 2025</t>
  </si>
  <si>
    <t>10.1109/ICIMTech67074.2025.11264924</t>
  </si>
  <si>
    <t>Indonesia continues to face challenges in health data fragmentation and disconnected systems, limiting timely clinical decisions and continuity of care. Although the SATUSEHAT platform adopts HL7 FHIR to promote interoperability, real-time, bidirectional data exchange remains limited due to incomplete electronic health record (EHR) integration. This paper presents a Design Science Research (DSR) case study to develop and evaluate a federated Health Information Exchange (HIE) architecture enabling real-time data sharing across EHRs, regional HIEs, and the national platform. Piloted in Jakarta and East Java, the solution reflects a scalable, standards-based model aligned with national priorities. The study begins with a literature review and case analysis of HIE implementations in diverse settings to extract key architectural and governance strategies. The proposed architecture spans point-of-service, regional, and national levels and includes registry services, business services, and interoperability layers. Design activities involve iterative modeling, prototyping, and scenario-based testing in a controlled environment. The resulting artifact offers a replicable model for HIE advancement in low- and middle-income countries.  © 2025 IEEE.</t>
  </si>
  <si>
    <t>digital health; electronic health record; health information exchange; interoperability; platform-as-a-service</t>
  </si>
  <si>
    <t>Bathelt F.; Lorenz S.; Weidner J.; Sedlmayr M.; Reinecke I.</t>
  </si>
  <si>
    <t>Application of Modular Architectures in the Medical Domain - a Scoping Review</t>
  </si>
  <si>
    <t>10.1007/s10916-025-02158-3</t>
  </si>
  <si>
    <t>The healthcare sector is notable for its reliance on discrete, self-contained information systems, which are often characterised by the presence of disparate data silos. The growing demands for documentation, quality assurance, and secondary use of medical data for research purposes has underscored the necessity for solutions that are more flexible, straightforward to maintain and interoperable. In this context, modular systems have the potential to act as a catalyst for change, offering the capacity to encapsulate and combine functionalities in an adaptable manner. The objective of this scoping review is to determine the extent to which modular systems are employed in the medical field. The review will provide a detailed overview of the effectiveness of service-oriented or microservice architectures, the challenges that should be addressed during implementation, and the lessons that can be learned from countries with productive use of such modular architectures. The review shows a rise in the use of microservices, indicating a shift towards encapsulated autonomous functions. The implementation should use HL7 FHIR as communication standard, deploy RESTful interfaces and standard protocols for technical data exchange, and apply HIPAA security rule for security purposes. User involvement is essential, as is integrating services into existing workflows. Modular architectures can facilitate flexibility and scalability. However, there are well-documented performance issues associated with microservice architectures, namely a high communication demand. One potential solution to this problem may be to integrate modular architectures into a cloud computing environment, which would require further investigation. © The Author(s) 2025.</t>
  </si>
  <si>
    <t>Health information interoperability; Healthcare; Microservice; Scalability; Service-oriented architecture</t>
  </si>
  <si>
    <t>F. Bathelt; Thiem-Research GmbH, Cottbus, Thiemstraße 111, Brandenburg, 03048, Germany; email: f.bathelt@mul-ct.de</t>
  </si>
  <si>
    <t>Gundler C.; Zhu Q.R.; Trübe L.; Dadkhah A.; Gutowski T.; Rosch M.; Langebrake C.; Nürnberg S.; Baehr M.; Ückert F.</t>
  </si>
  <si>
    <t>A Unified Data Architecture for Assessing Motor Symptoms in Parkinson's Disease</t>
  </si>
  <si>
    <t>10.3233/SHTI230689</t>
  </si>
  <si>
    <t>Introduction: The diagnosis and treatment of Parkinson's disease depend on the assessment of motor symptoms. Wearables and machine learning algorithms have emerged to collect large amounts of data and potentially support clinicians in clinical and ambulant settings. State of the art: However, a systematical and reusable data architecture for storage, processing, and analysis of inertial sensor data is not available. Consequently, datasets vary significantly between studies and prevent comparability. Concept: To simplify research on the neurodegenerative disorder, we propose an efficient and real-time-optimized architecture compatible with HL7 FHIR backed by a relational database schema. Lessons learned: We can verify the adequate performance of the system on an experimental benchmark and in a clinical experiment. However, existing standards need to be further optimized to be fully sufficient for data with high temporal resolution.  © 2023 The authors and IOS Press.</t>
  </si>
  <si>
    <t>acceleration data; inertial sensors; machine learning algorithms; motor symptoms; Parkinson's disease</t>
  </si>
  <si>
    <t>C. Gundler; Applied Medical Informatics, University Medical Center Eppendorf, Hamburg, Martinistraße 52, 20246, Germany; email: c.gundler@uke.de</t>
  </si>
  <si>
    <t>Peterson K.J.; Jiang G.; Liu H.</t>
  </si>
  <si>
    <t>A corpus-driven standardization framework for encoding clinical problems with HL7 FHIR</t>
  </si>
  <si>
    <t>10.1016/j.jbi.2020.103541</t>
  </si>
  <si>
    <t>Free-text problem descriptions are brief explanations of patient diagnoses and issues, commonly found in problem lists and other prominent areas of the medical record. These compact representations often express complex and nuanced medical conditions, making their semantics challenging to fully capture and standardize. In this study, we describe a framework for transforming free-text problem descriptions into standardized Health Level 7 (HL7) Fast Healthcare Interoperability Resources (FHIR) models. This approach leverages a combination of domain-specific dependency parsers, Bidirectional Encoder Representations from Transformers (BERT) natural language models, and cui2vec Unified Medical Language System (UMLS) concept vectors to align extracted concepts from free-text problem descriptions into structured FHIR models. A neural network classification model is used to classify thirteen relationship types between concepts, facilitating mapping to the FHIR Condition resource. We use data programming, a weak supervision approach, to eliminate the need for a manually annotated training corpus. Shapley values, a mechanism to quantify contribution, are used to interpret the impact of model features. We found that our methods identified the focus concept, or primary clinical concern of the problem description, with an F1 score of 0.95. Relationships from the focus to other modifying concepts were extracted with an F1 score of 0.90. When classifying relationships, our model achieved a 0.89 weighted average F1 score, enabling accurate mapping of attributes into HL7 FHIR models. We also found that the BERT input representation predominantly contributed to the classifier decision as shown by the Shapley values analysis. © 2020 Elsevier Inc.</t>
  </si>
  <si>
    <t>Deep Learning (D000077321); Health Information Interoperability (D000073892); Natural Language Processing (D009323); Semantics (D012660); Systematized Nomenclature of Medicine (D039061)</t>
  </si>
  <si>
    <t>H. Liu; Mayo Clinic, Rochester, 200 First St SW, 55905, United States; email: liu.hongfang@mayo.edu</t>
  </si>
  <si>
    <t>Mandl K.D.; Gottlieb D.; Mandel J.C.; Ignatov V.; Sayeed R.; Grieve G.; Jones J.; Ellis A.; Culbertson A.</t>
  </si>
  <si>
    <t>Push Button Population Health: The SMART/HL7 FHIR Bulk Data Access Application Programming Interface</t>
  </si>
  <si>
    <t>npj Digital Medicine</t>
  </si>
  <si>
    <t>10.1038/s41746-020-00358-4</t>
  </si>
  <si>
    <t>The 21st Century Cures Act requires that certified health information technology have an application programming interface (API) giving access to all data elements of a patient’s electronic health record, “without special effort”. In the spring of 2020, the Office of the National Coordinator of Health Information Technology (ONC) published a rule—21st Century Cures Act Interoperability, Information Blocking, and the ONC Health IT Certification Program—regulating the API requirement along with protections against information blocking. The rule specifies the SMART/HL7 FHIR Bulk Data Access API, which enables access to patient-level data across a patient population, supporting myriad use cases across healthcare, research, and public health ecosystems. The API enables “push button population health” in that core data elements can readily and standardly be extracted from electronic health records, enabling local, regional, and national-scale data-driven innovation. © 2020, The Author(s).</t>
  </si>
  <si>
    <t>K.D. Mandl; Computational Health Informatics Program, Boston Children’s Hospital, Boston, United States; email: Kenneth_Mandl@Harvard.edu</t>
  </si>
  <si>
    <t>Ecarot T.; Fraikin B.; Lavoie L.; McGilchrist M.; Ethier J.-F.</t>
  </si>
  <si>
    <t>A sensitive data access model in support of learning health systems</t>
  </si>
  <si>
    <t>Computers</t>
  </si>
  <si>
    <t>10.3390/computers10030025</t>
  </si>
  <si>
    <t>Given the ever-growing body of knowledge, healthcare improvement hinges more than ever on efficient knowledge transfer to clinicians and patients. Promoted initially by the Institute of Medicine, the Learning Health System (LHS) framework emerged in the early 2000s. It places focus on learning cycles where care delivery is tightly coupled with research activities, which in turn is closely tied to knowledge transfer, ultimately injecting solid improvements into medical practice. Sensitive health data access across multiple organisations is therefore paramount to support LHSs. While the LHS vision is well established, security requirements to support them are not. Health data exchange approaches have been implemented (e.g., HL7 FHIR) or proposed (e.g., blockchain-based methods), but none cover the entire LHS requirement spectrum. To address this, the Sensitive Data Access Model (SDAM) is proposed. Using a representation of agents and processes of data access systems, specific security requirements are presented and the SDAM layer architecture is described, with an emphasis on its mix-network dynamic topology approach. A clinical application benefiting from the model is subsequently presented and an analysis evaluates the security properties and vulnerability mitigation strategies offered by a protocol suite following SDAM and in parallel, by FHIR. © 2021 by the authors. Licensee MDPI, Basel, Switzerland.</t>
  </si>
  <si>
    <t>Communication system security; Data security; Healthcare; Network security; Protocols</t>
  </si>
  <si>
    <t>J.-F. Ethier; Centre interdisciplinaire de recherche en informatique de la santé, Université de Sherbrooke, Sherbrooke, J1K 2R1, Canada; email: jean-francois.ethier@usherbrooke.ca</t>
  </si>
  <si>
    <t>MDPI AG</t>
  </si>
  <si>
    <t>Cabezas A.C.; Salcedo D.; Avendaño I.</t>
  </si>
  <si>
    <t>INFORMATION SYSTEM TO MANAGEMENT COMPREHENSIVE METABOLIC PANEL TESTS IN HOSPITALS OF HUILA - COLOMBIA DEPARTMENT</t>
  </si>
  <si>
    <t>ARPN Journal of Engineering and Applied Sciences</t>
  </si>
  <si>
    <t>Currently, hospitals in the Department of Huila in Colombia need hospital information systems that allow them to guarantee the integrity and readability of patient information; in addition, they need to do health information available at the point of care where it is located, regardless of the institution providing care where it is served. As a result, Huila's hospitals do not yet have these information systems; therefore, health care staff use outdated, complex and unstructured methods to store data on all types of results and examinations performed, so that they can later be examined and analyzed by a physician in charge and then make the appropriate decisions. Therefore, this project implements an information system to optimize the management process of Comprehensive Metabolic Panel (CMP) tests in Huila's hospitals in order to improve the organization of results; and thus make access more timely and efficient. The designed information system is based on the HL7-FHIR standard (Health Level 7 - Fast Healthcare Interoperability Resources). As a result, we designed and implemented a system that uses technologies such as Java, MySQL, Java, CSS3, HTML5, among others. Finally, we concluded that the proposed information system can minimize execution times, and facilitate the management of the comprehensive metabolic panel tests by the team of medical assistants when a patient's results have been elaborated. © 2020. All Rights Reserved.</t>
  </si>
  <si>
    <t>comprehensive metabolic panel; health care; HL7-FHIR; information system; web services</t>
  </si>
  <si>
    <t>Asian Research Publishing Network</t>
  </si>
  <si>
    <t>Sheng S.; Huang Q.; Yang Y.; Xie Q.; Qin X.</t>
  </si>
  <si>
    <t>Data Analysis and Knowledge Discovery</t>
  </si>
  <si>
    <t>10.11925/infotech.2096-3467.2021.0260</t>
  </si>
  <si>
    <t>[Objective] This paper explores the core framework of message exchange standard——Health Level Seven (HL7) Fast Healthcare Interoperability Resources (FHIR), aiming to standardize medical data formats and disease terms in Chinese. [Methods] We proposed a healthcare data interoperability method based on the FHIR framework. Then, we combined the ontology standardization conceptual model and the Disease Ontology to regulate the expression of disease terms, with ontology construction, mapping and migration techniques. [Results] We retrieved 176 pieces electronic medical records from the YiXiang platform with a Python crawler. After ontology mapping and migration, we fully standardized the medical records and disease term coding using the expression of FHIR data format. [Limitations] We did not standardize the semantics of heterogeneous medical data of multiple types. [Conclusions] This study provides a new perspective for constructing standard medical records system and related technology in China. © The Author(s) 2021.</t>
  </si>
  <si>
    <t>HL7 FHIR; Information Exchange; Migration; Ontology Mapping</t>
  </si>
  <si>
    <t>Q. Huang; School of Information Management, Nanjing University, Nanjing, 210046, China; email: huangqi@nju.edu.cn</t>
  </si>
  <si>
    <t>Chinese Academy of Sciences</t>
  </si>
  <si>
    <t>Chinese</t>
  </si>
  <si>
    <t>Cabezas A.C.; Salcedo D.; Henriquez C.</t>
  </si>
  <si>
    <t>RENAL FUNCTION PANEL: AN INFORMATION SYSTEM FOR RESULTS TESTS MANAGEMENT AT THE HUILA DEPARTMENT</t>
  </si>
  <si>
    <t>Globally, kidney disease affects about 10% of the population, and in Colombia about four million potential kidney patients. At the present, the information available for prevention and follow-up of patient treatment is insufficient. Consequently, if there is not an adequate prevention, it increases that the renal problems progress to advanced states, which implies higher health costs of the treatments. Therefore, this paper presents the design and implementation of an information system to optimize the process of performing and managing the results of renal profile tests to patients in the hospitals of the Huila department, is based on the HL7-FHIR standard (Health Level 7 - Fast Healthcare Interoperability Resources). As a result, a system was designed and implemented using technologies such as Java, MySQL, Java, CSS3, HTML5, among others. Finally, we concluded that the proposed information system can minimize execution times and facilitate the management of the metabolic panel examination by the team of medical assistants when a patient’s results have been performed. © 2020. Asian Research Publishing Network (ARPN). All Rights Reserved.</t>
  </si>
  <si>
    <t>health care; HL7-FHIR; information system; renal profile; web services</t>
  </si>
  <si>
    <t>A.C. Cabezas; Department of Electronic Engineering, Universidad SurColombiana, Neiva, Colombia; email: albecor@usco.edu.co</t>
  </si>
  <si>
    <t>Cabezas A.C.; Perdomo C.A.C.; López J.R.C.</t>
  </si>
  <si>
    <t>Lipid Panel Tests: Design And Implementation Of An Information System For Results Recording And Consulting</t>
  </si>
  <si>
    <t>The main aim of this work was to create a healthcare information system that allows to medical and laboratory staff, authorize, register and consult data about the lipid panel tests made to the patients. This paper presents the design and implementation of an information system for the registration, organization and analysis of lipid panel tests results in the hospitals of the Department of Huila in Colombia according to the standards HL7-FHIR (Health Level 7 -Fast Healthcare Interoperability Resources). A result, an information system was designed and implemented using free software as java, html5, css3, etc. It was concluded that the proposed information system cans reduce the execution time and facilitate the work of the medical staff when lipid panel tests are performed. © 2006-2020 Asian Research Publishing Network (ARPN). All rights reserved.</t>
  </si>
  <si>
    <t>healthcare; HL7-FHIR; information system; lipid panel; web services</t>
  </si>
  <si>
    <t>A.C. Cabezas; Engineering Faculty, Universidad Surcolombiana, Neiva Huila, Colombia; email: albecor@usco.edu.co</t>
  </si>
  <si>
    <t>Garcia S.J.; Zayas-Cabán T.; Freimuth R.R.</t>
  </si>
  <si>
    <t>Sync for Genes: Making Clinical Genomics Available for Precision Medicine at the Point-of-Care</t>
  </si>
  <si>
    <t>10.1055/s-0040-1708051</t>
  </si>
  <si>
    <t>Background Making genomic data available at the point-of-care and for research is critical for the success of the Precision Medicine Initiative (PMI), a research initiative which seeks to change health care by tak(ing) into account individual differences in people's genes, environments, and lifestyles. The Office of the National Coordinator for Health Information Technology (ONC) led Sync for Genes, a program to develop standards that make genomic data available when and where it matters most. This article discusses lessons learned from recent Sync for Genes activities. Objectives The goals of Sync for Genes were to (1) demonstrate exchange of genomic data using health data standards, (2) provide feedback for refinement of health data standards, and (3) synthesize project experiences to support the integration of genomic data at the point-of-care and for research. Methods Four organizations participated in a program to test the Health Level Seven International (HL7 ®) Fast Healthcare Interoperability Resources (FHIR ®) standard, which supports sharing genomic data. ONC provided access to subject matter experts, resources, tools, and technical guidance to support testing activities. Three of the four organizations participated in HL7 FHIR Connectathons to test FHIR's ability to exchange genomic diagnostic reports. Results The organizations successfully demonstrated exchange of genomic diagnostic reports using FHIR. The feedback and artifacts that resulted from these activities were shared with HL7 and made publicly available. Four areas were identified as important considerations for similar projects: (1) FHIR proficiency, (2) developer support, (3) project scope, and (4) bridging health information technology and genomic expertise. Conclusion Precision medicine is a rapidly evolving field, and there is opportunity to continue maturing health data standards for the exchange of necessary genomic data, increasing the likelihood that the standard supports the needs of users. © 2020 Georg Thieme Verlag KG Stuttgart New York.</t>
  </si>
  <si>
    <t>electronic health records and systems; Fast Healthcare Interoperability Resources; genetics; Health Level Seven International; implementation and deployment; precision medicine; standards adoption</t>
  </si>
  <si>
    <t>S.J. Garcia; Office of the National Coordinator for Health Information Technology (ONC), U.S. Department of Health and Human Services, Washington, 330 C Street SW, Floor 7, 20024, United States; email: Stephanie.Garcia@hhs.gov</t>
  </si>
  <si>
    <t>Roca S.; Sancho J.; García J.; Alesanco Á.</t>
  </si>
  <si>
    <t>Microservice chatbot architecture for chronic patient support</t>
  </si>
  <si>
    <t>10.1016/j.jbi.2019.103305</t>
  </si>
  <si>
    <t>Chatbots are able to provide support to patients suffering from very different conditions. Patients with chronic diseases or comorbidities could benefit the most from chatbots which can keep track of their condition, provide specific information, encourage adherence to medication, etc. To perform these functions, chatbots need a suitable underlying software architecture. In this paper, we introduce a chatbot architecture for chronic patient support grounded on three pillars: scalability by means of microservices, standard data sharing models through HL7 FHIR and standard conversation modeling using AIML. We also propose an innovative automation mechanism to convert FHIR resources into AIML files, thus facilitating the interaction and data gathering of medical and personal information that ends up in patient health records. To align the way people interact with each other using messaging platforms with the chatbot architecture, we propose these very same channels for the chatbot-patient interaction, paying special attention to security and privacy issues. Finally, we present a monitored-data study performed in different chronic diseases, and we present a prototype implementation tailored for one specific chronic disease, psoriasis, showing how this new architecture allows the change, the addition or the improvement of different parts of the chatbot in a dynamic and flexible way, providing a substantial improvement in the development of chatbots used as virtual assistants for chronic patients. © 2019 Elsevier Inc.</t>
  </si>
  <si>
    <t>Artificial Intelligence Markup Language (AIML); Chronic patient support; Fast Healthcare Interoperability Resources (FHIR); Medical chatbot; Messaging platforms; Microservice architecture</t>
  </si>
  <si>
    <t>S. Roca; Aragón Institute of Engineering Research (I3A), University of Zaragoza, Zaragoza, Spain; email: surya@unizar.es</t>
  </si>
  <si>
    <t>Bild R.; Bialke M.; Buckow K.; Ganslandt T.; Ihrig K.; Jahns R.; Merzweiler A.; Roschka S.; Schreiweis B.; Stäubert S.; Zenker S.; Prasser F.</t>
  </si>
  <si>
    <t>Towards a comprehensive and interoperable representation of consent-based data usage permissions in the German medical informatics initiative</t>
  </si>
  <si>
    <t>10.1186/s12911-020-01138-6</t>
  </si>
  <si>
    <t>Background: The aim of the German Medical Informatics Initiative is to establish a national infrastructure for integrating and sharing health data. To this, Data Integration Centers are set up at university medical centers, which address data harmonization, information security and data protection. To capture patient consent, a common informed consent template has been developed. It consists of different modules addressing permissions for using data and biosamples. On the technical level, a common digital representation of information from signed consent templates is needed. As the partners in the initiative are free to adopt different solutions for managing consent information (e.g. IHE BPPC or HL7 FHIR Consent Resources), we had to develop an interoperability layer. Methods: First, we compiled an overview of data items required to reflect the information from the MII consent template as well as patient preferences and derived permissions. Next, we created entity-relationship diagrams to formally describe the conceptual data model underlying relevant items. We then compared this data model to conceptual models describing representations of consent information using different interoperability standards. We used the result of this comparison to derive an interoperable representation that can be mapped to common standards. Results: The digital representation needs to capture the following information: (1) version of the consent, (2) consent status for each module, and (3) period of validity of the status. We found that there is no generally accepted solution to represent status information in a manner interoperable with all relevant standards. Hence, we developed a pragmatic solution, comprising codes which describe combinations of modules with a basic set of status labels. We propose to maintain these codes in a public registry called ART-DECOR. We present concrete technical implementations of our approach using HL7 FHIR and IHE BPPC which are also compatible with the open-source consent management software gICS. Conclusions: The proposed digital representation is (1) generic enough to capture relevant information from a wide range of consent documents and data use regulations and (2) interoperable with common technical standards. We plan to extend our model to include more fine-grained status codes and rules for automated access control.  © 2020 The Author(s).</t>
  </si>
  <si>
    <t>Consent template; Data integration centers; Health information interoperability; Informed consent; Medical informatics initiative</t>
  </si>
  <si>
    <t>R. Bild; Technical University of Munich, School of Medicine, Institute of Medical Informatics, Statistics and Epidemiology, Munich, Ismaninger Str. 22, 81675, Germany; email: raffael.bild@tum.de</t>
  </si>
  <si>
    <t>S. Shafqat; Ambient Cloud, Islamabad, Pakistan; email: ceo@DreamzSoft.org; H.F. Ahmad; Computer Science Department, College of Computer Sciences and Information Technology (CCSIT), King Faisal University, Al-Ahsa, Saudi Arabia; email: hfahmad@kfu.edu.sa</t>
  </si>
  <si>
    <t>C. Drenkhahn; IT Center for Clinical Research, University of Luebeck, Luebeck, 23562, Germany; email: c.drenkhahn@uni-luebeck.de; J. Ingenerf; IT Center for Clinical Research, University of Luebeck, Luebeck, 23562, Germany; email: josef.ingenerf@uni-luebeck.de; T. Ohlsen; Institute of Medical Informatics, University of Luebeck, Luebeck, 23562, Germany; email: tessa.ohlsen@student.uni-luebeck.de</t>
  </si>
  <si>
    <t>Federated Search enables data accessibility under privacy-preserving regulations. One of the strategic objectives of the BBMRI-ERIC biobanking infrastructure is to make high-quality samples findable via Federated Search. The main prerequisites for biobanks to join the Federated Network are the conversion of a local database into a Common Data Model and the setup of a server node in which the database is loaded and made accessible for external queries. Data conversion is often the most critical step for institutions, as many of them lack the technical expertise needed to improve the FAIRness of their data. This is achieved through a local Extraction, Transformation and Loading process of data, usually extracted from a Biobank Information Management System. We hereby present a framework for the conversion of minimal information datasets into HL7-FHIR transaction bundles, allowing basic Biobank Interoperability, and enabling biobanks to be connected to the BBMRI-ERIC European Federated Platform. The toolkit consists of several Python modules, creating JSON files, ready to be uploaded to an internal FHIR server connected to the federated network, enabling data sharing and query execution. This tool has been successfully integrated in three BBMRI.it biobanks, allowing them to share their data correctly. In general, this tool will enforce data harmonization and standardization among research infrastructures, integrating the current pipeline into local information systems. The framework is available at https://github.com/bbdataeng/a-small-fire.  © 2025 Copyright held by the owner/author(s).</t>
  </si>
  <si>
    <t>Exchanging Chinese Medical Information Based on HL7 FHIR; [HL7 FHIR框架下中国医疗领域信息交换研究与解决方案]</t>
  </si>
  <si>
    <t>M.M. Qasim; Intelligent Medical Systems Department, College of Computer Science and Information Technology, University of Basrah, Basrah, Iraq; email: mustafamq87@uobasrah.edu.iq; M.A. Al-Shareeda; Department of Electronic Technologies, Basra Technical Institute, Southern Technical University, Basra, 61001, Iraq; email: mahmood.alshareedah@stu.edu.iq</t>
  </si>
  <si>
    <t>R. Martins; GECAD – Research Group on Intelligent Engineering and Computing for Advanced Innovation and Development, Institute of Engineering – Polytechnic of Porto, Porto, Portugal; email: rgmar@isep.ipp.pt; H. Pereira; GECAD – Research Group on Intelligent Engineering and Computing for Advanced Innovation and Development, Institute of Engineering – Polytechnic of Porto, Porto, Portugal; email: hsdrp@isep.ipp.pt</t>
  </si>
  <si>
    <t>K. Sathyan; IU International University of Applied Sciences, Germany; email: krishsat9937@gmail.com; T. Lu; IU International University of Applied Sciences, Germany; email: tianxiang.lu@iu.org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</si>
</sst>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1"/>
      <color theme="1"/>
      <name val="Calibri"/>
      <scheme val="minor"/>
    </font>
    <font>
      <sz val="11"/>
      <color theme="1"/>
      <name val="Calibri"/>
      <family val="2"/>
      <scheme val="minor"/>
    </font>
    <font>
      <sz val="11"/>
      <color theme="1"/>
      <name val="Calibri"/>
      <family val="2"/>
      <scheme val="minor"/>
    </font>
    <font>
      <b/>
      <sz val="11"/>
      <color theme="0"/>
      <name val="Calibri"/>
      <family val="2"/>
    </font>
    <font>
      <b/>
      <sz val="11"/>
      <color theme="1"/>
      <name val="Calibri"/>
      <family val="2"/>
    </font>
    <font>
      <sz val="11"/>
      <color theme="1"/>
      <name val="Calibri"/>
      <family val="2"/>
    </font>
    <font>
      <sz val="11"/>
      <color rgb="FF006100"/>
      <name val="Calibri"/>
      <family val="2"/>
    </font>
    <font>
      <b/>
      <sz val="11"/>
      <color rgb="FFFFFFFF"/>
      <name val="Calibri"/>
      <family val="2"/>
    </font>
    <font>
      <sz val="11"/>
      <color rgb="FF000000"/>
      <name val="Calibri"/>
      <family val="2"/>
    </font>
    <font>
      <sz val="11"/>
      <color rgb="FFFF0000"/>
      <name val="Calibri"/>
      <family val="2"/>
    </font>
    <font>
      <sz val="9"/>
      <color indexed="81"/>
      <name val="Tahoma"/>
      <family val="2"/>
    </font>
    <font>
      <b/>
      <sz val="11"/>
      <name val="Calibri"/>
      <family val="2"/>
    </font>
    <font>
      <b/>
      <sz val="9"/>
      <color indexed="81"/>
      <name val="Tahoma"/>
      <family val="2"/>
    </font>
    <font>
      <sz val="9.6"/>
      <color rgb="FF374151"/>
      <name val="Arial"/>
      <family val="2"/>
    </font>
    <font>
      <b/>
      <sz val="11"/>
      <color theme="0"/>
      <name val="Calibri"/>
      <family val="2"/>
      <scheme val="minor"/>
    </font>
    <font>
      <sz val="12"/>
      <color theme="1"/>
      <name val="Calibri"/>
      <family val="2"/>
      <scheme val="minor"/>
    </font>
    <font>
      <sz val="10"/>
      <name val="Arial"/>
      <family val="2"/>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9.6"/>
      <color rgb="FF374151"/>
      <name val="Arial"/>
      <family val="2"/>
    </font>
    <font>
      <sz val="12"/>
      <color theme="1"/>
      <name val="Times New Roman"/>
      <family val="1"/>
    </font>
    <font>
      <b/>
      <sz val="12"/>
      <color theme="1"/>
      <name val="Times New Roman"/>
      <family val="1"/>
    </font>
    <font>
      <sz val="11"/>
      <color theme="0"/>
      <name val="Calibri"/>
      <family val="2"/>
      <scheme val="minor"/>
    </font>
    <font>
      <sz val="11"/>
      <color rgb="FF000000"/>
      <name val="Calibri"/>
      <family val="2"/>
      <scheme val="minor"/>
    </font>
    <font>
      <b/>
      <sz val="9"/>
      <color rgb="FF000000"/>
      <name val="Tahoma"/>
      <family val="2"/>
    </font>
    <font>
      <sz val="9"/>
      <color rgb="FF000000"/>
      <name val="Tahoma"/>
      <family val="2"/>
    </font>
    <font>
      <strike/>
      <sz val="11"/>
      <color theme="1"/>
      <name val="Calibri"/>
      <family val="2"/>
      <scheme val="minor"/>
    </font>
  </fonts>
  <fills count="27">
    <fill>
      <patternFill patternType="none"/>
    </fill>
    <fill>
      <patternFill patternType="gray125"/>
    </fill>
    <fill>
      <patternFill patternType="solid">
        <fgColor rgb="FF92D050"/>
        <bgColor rgb="FF92D050"/>
      </patternFill>
    </fill>
    <fill>
      <patternFill patternType="solid">
        <fgColor rgb="FF00B0F0"/>
        <bgColor rgb="FF00B0F0"/>
      </patternFill>
    </fill>
    <fill>
      <patternFill patternType="solid">
        <fgColor theme="7"/>
        <bgColor theme="7"/>
      </patternFill>
    </fill>
    <fill>
      <patternFill patternType="solid">
        <fgColor rgb="FFFFC000"/>
        <bgColor rgb="FFFFC000"/>
      </patternFill>
    </fill>
    <fill>
      <patternFill patternType="solid">
        <fgColor rgb="FFFFFFCC"/>
        <bgColor rgb="FFFFFFCC"/>
      </patternFill>
    </fill>
    <fill>
      <patternFill patternType="solid">
        <fgColor rgb="FFB4C6E7"/>
        <bgColor rgb="FFB4C6E7"/>
      </patternFill>
    </fill>
    <fill>
      <patternFill patternType="solid">
        <fgColor rgb="FFF7CAAC"/>
        <bgColor rgb="FFF7CAAC"/>
      </patternFill>
    </fill>
    <fill>
      <patternFill patternType="solid">
        <fgColor rgb="FFBDD6EE"/>
        <bgColor rgb="FFBDD6EE"/>
      </patternFill>
    </fill>
    <fill>
      <patternFill patternType="solid">
        <fgColor rgb="FFC5E0B3"/>
        <bgColor rgb="FFC5E0B3"/>
      </patternFill>
    </fill>
    <fill>
      <patternFill patternType="solid">
        <fgColor rgb="FFFFE598"/>
        <bgColor rgb="FFFFE598"/>
      </patternFill>
    </fill>
    <fill>
      <patternFill patternType="solid">
        <fgColor rgb="FFDADADA"/>
        <bgColor rgb="FFDADADA"/>
      </patternFill>
    </fill>
    <fill>
      <patternFill patternType="solid">
        <fgColor rgb="FFD8D8D8"/>
        <bgColor rgb="FFD8D8D8"/>
      </patternFill>
    </fill>
    <fill>
      <patternFill patternType="solid">
        <fgColor rgb="FFFF66FF"/>
        <bgColor rgb="FFFFC000"/>
      </patternFill>
    </fill>
    <fill>
      <patternFill patternType="solid">
        <fgColor theme="5"/>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00"/>
        <bgColor theme="7"/>
      </patternFill>
    </fill>
    <fill>
      <patternFill patternType="solid">
        <fgColor theme="5"/>
        <bgColor theme="7"/>
      </patternFill>
    </fill>
    <fill>
      <patternFill patternType="solid">
        <fgColor theme="5" tint="0.79998168889431442"/>
        <bgColor rgb="FFC6EFCE"/>
      </patternFill>
    </fill>
    <fill>
      <patternFill patternType="solid">
        <fgColor rgb="FFF78CE1"/>
        <bgColor rgb="FFFFC000"/>
      </patternFill>
    </fill>
    <fill>
      <patternFill patternType="solid">
        <fgColor rgb="FFF78CE1"/>
        <bgColor indexed="64"/>
      </patternFill>
    </fill>
    <fill>
      <patternFill patternType="solid">
        <fgColor rgb="FF92D050"/>
        <bgColor indexed="64"/>
      </patternFill>
    </fill>
    <fill>
      <patternFill patternType="solid">
        <fgColor rgb="FF92D050"/>
        <bgColor theme="9"/>
      </patternFill>
    </fill>
  </fills>
  <borders count="19">
    <border>
      <left/>
      <right/>
      <top/>
      <bottom/>
      <diagonal/>
    </border>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9" tint="0.39997558519241921"/>
      </top>
      <bottom style="thin">
        <color theme="9" tint="0.3999755851924192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rgb="FF999999"/>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999999"/>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15" fillId="0" borderId="1"/>
    <xf numFmtId="0" fontId="16" fillId="0" borderId="1"/>
    <xf numFmtId="9" fontId="18" fillId="0" borderId="0" applyFont="0" applyFill="0" applyBorder="0" applyAlignment="0" applyProtection="0"/>
    <xf numFmtId="0" fontId="20" fillId="0" borderId="0" applyNumberFormat="0" applyFill="0" applyBorder="0" applyAlignment="0" applyProtection="0"/>
  </cellStyleXfs>
  <cellXfs count="153">
    <xf numFmtId="0" fontId="0" fillId="0" borderId="0" xfId="0"/>
    <xf numFmtId="0" fontId="3" fillId="2" borderId="1" xfId="0" applyFont="1" applyFill="1" applyBorder="1" applyAlignment="1">
      <alignment horizontal="center" vertical="center"/>
    </xf>
    <xf numFmtId="0" fontId="4" fillId="0" borderId="0" xfId="0" applyFont="1" applyAlignment="1">
      <alignment horizontal="center"/>
    </xf>
    <xf numFmtId="0" fontId="5" fillId="0" borderId="0" xfId="0" applyFont="1"/>
    <xf numFmtId="0" fontId="5" fillId="0" borderId="0" xfId="0" applyFont="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applyAlignment="1">
      <alignment horizontal="center"/>
    </xf>
    <xf numFmtId="0" fontId="4" fillId="6"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7" borderId="1" xfId="0" applyFont="1" applyFill="1" applyBorder="1"/>
    <xf numFmtId="0" fontId="5" fillId="7" borderId="1" xfId="0" applyFont="1" applyFill="1" applyBorder="1" applyAlignment="1">
      <alignment horizontal="center" vertical="center"/>
    </xf>
    <xf numFmtId="0" fontId="5" fillId="7" borderId="1" xfId="0" applyFont="1" applyFill="1" applyBorder="1" applyAlignment="1">
      <alignment horizontal="center"/>
    </xf>
    <xf numFmtId="0" fontId="5" fillId="7" borderId="1" xfId="0" applyFont="1" applyFill="1" applyBorder="1" applyAlignment="1">
      <alignment horizontal="center" vertical="center" wrapText="1"/>
    </xf>
    <xf numFmtId="0" fontId="5" fillId="0" borderId="0" xfId="0" applyFont="1" applyAlignment="1">
      <alignment wrapText="1"/>
    </xf>
    <xf numFmtId="0" fontId="7"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vertical="center" wrapText="1"/>
    </xf>
    <xf numFmtId="0" fontId="5" fillId="13" borderId="1"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5" fillId="0" borderId="0" xfId="0" applyFont="1" applyAlignment="1">
      <alignment horizontal="center" wrapText="1"/>
    </xf>
    <xf numFmtId="0" fontId="5" fillId="0" borderId="1" xfId="0" applyFont="1" applyBorder="1" applyAlignment="1">
      <alignment horizontal="center" vertical="center"/>
    </xf>
    <xf numFmtId="0" fontId="11" fillId="14" borderId="1" xfId="0" applyFont="1" applyFill="1" applyBorder="1" applyAlignment="1">
      <alignment horizontal="center" vertical="center" wrapText="1"/>
    </xf>
    <xf numFmtId="0" fontId="13" fillId="0" borderId="0" xfId="0" applyFont="1"/>
    <xf numFmtId="0" fontId="0" fillId="16" borderId="0" xfId="0" applyFill="1" applyAlignment="1">
      <alignment horizontal="center" vertical="center" textRotation="90"/>
    </xf>
    <xf numFmtId="0" fontId="17" fillId="16" borderId="1" xfId="0" applyFont="1" applyFill="1" applyBorder="1" applyAlignment="1">
      <alignment horizontal="center" vertical="center" textRotation="90"/>
    </xf>
    <xf numFmtId="0" fontId="0" fillId="16" borderId="1" xfId="0" applyFill="1" applyBorder="1" applyAlignment="1">
      <alignment horizontal="center" vertical="center" textRotation="90"/>
    </xf>
    <xf numFmtId="0" fontId="17" fillId="16" borderId="0" xfId="0" applyFont="1" applyFill="1" applyAlignment="1">
      <alignment horizontal="center" vertical="center" textRotation="90"/>
    </xf>
    <xf numFmtId="0" fontId="17" fillId="16" borderId="0" xfId="0" applyFont="1" applyFill="1" applyAlignment="1">
      <alignment horizontal="center" vertical="center"/>
    </xf>
    <xf numFmtId="0" fontId="0" fillId="16" borderId="0" xfId="0" applyFill="1" applyAlignment="1">
      <alignment horizontal="center" vertical="center"/>
    </xf>
    <xf numFmtId="0" fontId="0" fillId="16" borderId="8" xfId="0" applyFill="1" applyBorder="1" applyAlignment="1">
      <alignment horizontal="center" vertical="center"/>
    </xf>
    <xf numFmtId="0" fontId="0" fillId="16" borderId="9" xfId="0" applyFill="1" applyBorder="1" applyAlignment="1">
      <alignment horizontal="center" vertical="center"/>
    </xf>
    <xf numFmtId="0" fontId="0" fillId="16" borderId="10" xfId="0" applyFill="1" applyBorder="1" applyAlignment="1">
      <alignment horizontal="center" vertical="center"/>
    </xf>
    <xf numFmtId="0" fontId="1" fillId="0" borderId="0" xfId="0" applyFont="1"/>
    <xf numFmtId="0" fontId="0" fillId="0" borderId="0" xfId="0" applyAlignment="1">
      <alignment horizontal="center" vertical="center"/>
    </xf>
    <xf numFmtId="0" fontId="0" fillId="18" borderId="0" xfId="0" applyFill="1" applyAlignment="1">
      <alignment horizontal="center" vertical="center"/>
    </xf>
    <xf numFmtId="0" fontId="1" fillId="0" borderId="0" xfId="0" applyFont="1" applyAlignment="1">
      <alignment horizontal="center" vertical="center"/>
    </xf>
    <xf numFmtId="0" fontId="0" fillId="0" borderId="7" xfId="0" applyBorder="1" applyAlignment="1">
      <alignment horizontal="center"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0" fillId="0" borderId="5" xfId="0" applyBorder="1" applyAlignment="1">
      <alignment horizontal="center" vertical="center"/>
    </xf>
    <xf numFmtId="0" fontId="0" fillId="0" borderId="7" xfId="0" pivotButton="1" applyBorder="1" applyAlignment="1">
      <alignment horizontal="center" vertical="center"/>
    </xf>
    <xf numFmtId="0" fontId="0" fillId="0" borderId="12" xfId="0" applyBorder="1" applyAlignment="1">
      <alignment horizontal="center" vertical="center"/>
    </xf>
    <xf numFmtId="0" fontId="17" fillId="0" borderId="5" xfId="0" applyFont="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9" fontId="17" fillId="0" borderId="5" xfId="3" applyFont="1" applyBorder="1" applyAlignment="1">
      <alignment horizontal="center" vertical="center"/>
    </xf>
    <xf numFmtId="0" fontId="17" fillId="0" borderId="0" xfId="0" applyFont="1" applyAlignment="1">
      <alignment horizontal="center" vertical="center"/>
    </xf>
    <xf numFmtId="0" fontId="0" fillId="0" borderId="6" xfId="0" applyBorder="1" applyAlignment="1">
      <alignment horizontal="center" vertical="center"/>
    </xf>
    <xf numFmtId="9" fontId="0" fillId="0" borderId="5" xfId="0" applyNumberFormat="1" applyBorder="1" applyAlignment="1">
      <alignment horizontal="center" vertical="center"/>
    </xf>
    <xf numFmtId="0" fontId="19" fillId="0" borderId="5" xfId="0" applyFont="1" applyBorder="1" applyAlignment="1">
      <alignment horizontal="center" vertical="center"/>
    </xf>
    <xf numFmtId="2" fontId="0" fillId="0" borderId="1" xfId="0" applyNumberFormat="1" applyBorder="1" applyAlignment="1">
      <alignment horizontal="center" vertical="center"/>
    </xf>
    <xf numFmtId="2" fontId="0" fillId="0" borderId="6" xfId="0" applyNumberFormat="1" applyBorder="1" applyAlignment="1">
      <alignment horizontal="center" vertical="center"/>
    </xf>
    <xf numFmtId="10" fontId="0" fillId="0" borderId="6" xfId="0" applyNumberFormat="1" applyBorder="1" applyAlignment="1">
      <alignment horizontal="center" vertical="center"/>
    </xf>
    <xf numFmtId="2" fontId="0" fillId="0" borderId="5" xfId="0" applyNumberFormat="1" applyBorder="1" applyAlignment="1">
      <alignment horizontal="center" vertical="center"/>
    </xf>
    <xf numFmtId="10" fontId="0" fillId="0" borderId="5" xfId="0" applyNumberFormat="1" applyBorder="1" applyAlignment="1">
      <alignment horizontal="center" vertical="center"/>
    </xf>
    <xf numFmtId="0" fontId="19" fillId="0" borderId="5" xfId="0" pivotButton="1" applyFont="1" applyBorder="1" applyAlignment="1">
      <alignment horizontal="center" vertical="center"/>
    </xf>
    <xf numFmtId="0" fontId="0" fillId="0" borderId="14" xfId="0" applyBorder="1" applyAlignment="1">
      <alignment horizontal="center" vertical="center"/>
    </xf>
    <xf numFmtId="0" fontId="1" fillId="0" borderId="15" xfId="0" applyFont="1" applyBorder="1" applyAlignment="1">
      <alignment horizontal="center" vertical="center"/>
    </xf>
    <xf numFmtId="43" fontId="0" fillId="0" borderId="1" xfId="0" applyNumberFormat="1" applyBorder="1" applyAlignment="1">
      <alignment horizontal="center" vertical="center"/>
    </xf>
    <xf numFmtId="43" fontId="0" fillId="0" borderId="6" xfId="0" applyNumberFormat="1" applyBorder="1" applyAlignment="1">
      <alignment horizontal="center" vertical="center"/>
    </xf>
    <xf numFmtId="43" fontId="0" fillId="0" borderId="5" xfId="0" applyNumberFormat="1" applyBorder="1" applyAlignment="1">
      <alignment horizontal="center" vertical="center"/>
    </xf>
    <xf numFmtId="0" fontId="0" fillId="0" borderId="13" xfId="0" applyBorder="1" applyAlignment="1">
      <alignment horizontal="center" vertical="center"/>
    </xf>
    <xf numFmtId="43" fontId="0" fillId="0" borderId="13" xfId="0" applyNumberFormat="1" applyBorder="1" applyAlignment="1">
      <alignment horizontal="center" vertical="center"/>
    </xf>
    <xf numFmtId="10" fontId="0" fillId="0" borderId="13" xfId="0" applyNumberFormat="1" applyBorder="1" applyAlignment="1">
      <alignment horizontal="center" vertical="center"/>
    </xf>
    <xf numFmtId="0" fontId="19" fillId="0" borderId="13" xfId="0" pivotButton="1" applyFont="1" applyBorder="1" applyAlignment="1">
      <alignment horizontal="center" vertical="center"/>
    </xf>
    <xf numFmtId="0" fontId="19" fillId="0" borderId="13" xfId="0" applyFont="1" applyBorder="1" applyAlignment="1">
      <alignment horizontal="center" vertical="center"/>
    </xf>
    <xf numFmtId="0" fontId="21" fillId="0" borderId="0" xfId="0" applyFont="1"/>
    <xf numFmtId="43" fontId="0" fillId="0" borderId="7" xfId="0" applyNumberFormat="1" applyBorder="1" applyAlignment="1">
      <alignment horizontal="center" vertical="center"/>
    </xf>
    <xf numFmtId="10" fontId="0" fillId="0" borderId="16"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43" fontId="0" fillId="0" borderId="11" xfId="0" applyNumberFormat="1" applyBorder="1" applyAlignment="1">
      <alignment horizontal="center" vertical="center"/>
    </xf>
    <xf numFmtId="10" fontId="0" fillId="0" borderId="9" xfId="0" applyNumberFormat="1" applyBorder="1" applyAlignment="1">
      <alignment horizontal="center" vertical="center"/>
    </xf>
    <xf numFmtId="0" fontId="19" fillId="0" borderId="1" xfId="0" applyFont="1" applyBorder="1" applyAlignment="1">
      <alignment horizontal="center" vertical="center"/>
    </xf>
    <xf numFmtId="0" fontId="1" fillId="0" borderId="1" xfId="4" applyFont="1" applyBorder="1" applyAlignment="1">
      <alignment horizontal="left" vertical="center"/>
    </xf>
    <xf numFmtId="9" fontId="0" fillId="0" borderId="1" xfId="3" applyFont="1" applyBorder="1" applyAlignment="1">
      <alignment horizontal="center" vertical="center"/>
    </xf>
    <xf numFmtId="9" fontId="1" fillId="0" borderId="1" xfId="3" applyFont="1" applyBorder="1" applyAlignment="1">
      <alignment horizontal="center" vertical="center"/>
    </xf>
    <xf numFmtId="0" fontId="22" fillId="0" borderId="1" xfId="0" applyFont="1" applyBorder="1" applyAlignment="1">
      <alignment horizontal="left" vertical="center"/>
    </xf>
    <xf numFmtId="9" fontId="19" fillId="0" borderId="1" xfId="0" applyNumberFormat="1" applyFont="1" applyBorder="1" applyAlignment="1">
      <alignment horizontal="center" vertical="center"/>
    </xf>
    <xf numFmtId="0" fontId="23" fillId="0" borderId="5" xfId="0" applyFont="1" applyBorder="1" applyAlignment="1">
      <alignment horizontal="center" vertical="center" wrapText="1"/>
    </xf>
    <xf numFmtId="0" fontId="22" fillId="0" borderId="5" xfId="0" applyFont="1" applyBorder="1" applyAlignment="1">
      <alignment horizontal="center" vertical="center" wrapText="1"/>
    </xf>
    <xf numFmtId="9" fontId="22" fillId="0" borderId="5" xfId="3" applyFont="1" applyBorder="1" applyAlignment="1">
      <alignment horizontal="center" vertical="center" wrapText="1"/>
    </xf>
    <xf numFmtId="0" fontId="22" fillId="0" borderId="1" xfId="0" applyFont="1" applyBorder="1" applyAlignment="1">
      <alignment horizontal="center" vertical="center" wrapText="1"/>
    </xf>
    <xf numFmtId="9" fontId="22" fillId="0" borderId="1" xfId="3"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9" fontId="0" fillId="0" borderId="5" xfId="3" applyFont="1" applyBorder="1" applyAlignment="1">
      <alignment horizontal="center" vertical="center" wrapText="1"/>
    </xf>
    <xf numFmtId="9" fontId="0" fillId="0" borderId="1" xfId="3" applyFont="1" applyBorder="1" applyAlignment="1">
      <alignment horizontal="center" vertical="center" wrapText="1"/>
    </xf>
    <xf numFmtId="0" fontId="2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9" fontId="0" fillId="0" borderId="6" xfId="3" applyFont="1" applyBorder="1" applyAlignment="1">
      <alignment horizontal="center" vertical="center" wrapText="1"/>
    </xf>
    <xf numFmtId="0" fontId="0" fillId="0" borderId="1" xfId="0" applyBorder="1"/>
    <xf numFmtId="0" fontId="1" fillId="19" borderId="0" xfId="0" applyFont="1" applyFill="1" applyAlignment="1">
      <alignment wrapText="1"/>
    </xf>
    <xf numFmtId="0" fontId="25" fillId="19" borderId="0" xfId="0" applyFont="1" applyFill="1" applyAlignment="1">
      <alignment wrapText="1"/>
    </xf>
    <xf numFmtId="0" fontId="5" fillId="0" borderId="1" xfId="0" applyFont="1" applyBorder="1"/>
    <xf numFmtId="0" fontId="6" fillId="0" borderId="0" xfId="0" applyFont="1"/>
    <xf numFmtId="0" fontId="4" fillId="20" borderId="1" xfId="0" applyFont="1" applyFill="1" applyBorder="1" applyAlignment="1">
      <alignment horizontal="center" vertical="center"/>
    </xf>
    <xf numFmtId="0" fontId="4" fillId="21" borderId="1" xfId="0" applyFont="1" applyFill="1" applyBorder="1" applyAlignment="1">
      <alignment horizontal="center" vertical="center"/>
    </xf>
    <xf numFmtId="0" fontId="4" fillId="22" borderId="1" xfId="0" applyFont="1" applyFill="1" applyBorder="1" applyAlignment="1">
      <alignment horizontal="center" vertical="center"/>
    </xf>
    <xf numFmtId="0" fontId="25" fillId="0" borderId="0" xfId="0" applyFont="1"/>
    <xf numFmtId="0" fontId="11" fillId="23" borderId="1" xfId="0" applyFont="1" applyFill="1" applyBorder="1" applyAlignment="1">
      <alignment horizontal="center" vertical="center" wrapText="1"/>
    </xf>
    <xf numFmtId="0" fontId="5" fillId="24" borderId="1" xfId="0" applyFont="1" applyFill="1" applyBorder="1" applyAlignment="1">
      <alignment horizontal="center"/>
    </xf>
    <xf numFmtId="0" fontId="5" fillId="0" borderId="1" xfId="0"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9" fillId="0" borderId="0" xfId="0" applyFont="1" applyAlignment="1">
      <alignment vertical="center" wrapText="1"/>
    </xf>
    <xf numFmtId="0" fontId="24" fillId="25" borderId="0" xfId="0" applyFont="1" applyFill="1" applyAlignment="1">
      <alignment vertical="center"/>
    </xf>
    <xf numFmtId="0" fontId="3" fillId="25" borderId="0" xfId="0" applyFont="1" applyFill="1" applyAlignment="1">
      <alignment horizontal="center" vertical="center"/>
    </xf>
    <xf numFmtId="0" fontId="14" fillId="26" borderId="4" xfId="0" applyFont="1" applyFill="1" applyBorder="1" applyAlignment="1">
      <alignment horizontal="center" vertical="center"/>
    </xf>
    <xf numFmtId="0" fontId="2" fillId="16" borderId="7" xfId="0" applyFont="1" applyFill="1" applyBorder="1" applyAlignment="1">
      <alignment horizontal="center" vertical="center" wrapText="1"/>
    </xf>
    <xf numFmtId="0" fontId="0" fillId="16" borderId="7" xfId="0" applyFill="1" applyBorder="1" applyAlignment="1">
      <alignment horizontal="center" vertical="center"/>
    </xf>
    <xf numFmtId="0" fontId="0" fillId="17" borderId="0" xfId="0" applyFill="1" applyAlignment="1">
      <alignment horizontal="center" vertical="center"/>
    </xf>
    <xf numFmtId="0" fontId="17" fillId="16" borderId="7" xfId="0" applyFont="1" applyFill="1" applyBorder="1" applyAlignment="1">
      <alignment horizontal="center" vertical="center" wrapText="1"/>
    </xf>
    <xf numFmtId="0" fontId="19" fillId="15" borderId="0" xfId="0" applyFont="1" applyFill="1" applyAlignment="1">
      <alignment horizontal="center" vertical="center"/>
    </xf>
    <xf numFmtId="0" fontId="0" fillId="16" borderId="11" xfId="0" applyFill="1" applyBorder="1" applyAlignment="1">
      <alignment horizontal="center" vertical="center"/>
    </xf>
    <xf numFmtId="0" fontId="17" fillId="17" borderId="7" xfId="0" applyFont="1" applyFill="1" applyBorder="1" applyAlignment="1">
      <alignment horizontal="center" vertical="center" textRotation="90"/>
    </xf>
    <xf numFmtId="0" fontId="0" fillId="17" borderId="7" xfId="0" applyFill="1" applyBorder="1" applyAlignment="1">
      <alignment horizontal="center" vertical="center" textRotation="90"/>
    </xf>
    <xf numFmtId="0" fontId="17" fillId="17" borderId="0" xfId="0" applyFont="1" applyFill="1" applyAlignment="1">
      <alignment horizontal="center" vertical="center" textRotation="90"/>
    </xf>
    <xf numFmtId="0" fontId="0" fillId="17" borderId="0" xfId="0" applyFill="1" applyAlignment="1">
      <alignment horizontal="center" vertical="center" textRotation="90"/>
    </xf>
    <xf numFmtId="0" fontId="17" fillId="0" borderId="5" xfId="0" applyFont="1" applyBorder="1" applyAlignment="1">
      <alignment horizontal="center" vertical="center"/>
    </xf>
    <xf numFmtId="0" fontId="19" fillId="0" borderId="1" xfId="0" applyFont="1" applyBorder="1" applyAlignment="1">
      <alignment horizontal="center" vertical="center"/>
    </xf>
    <xf numFmtId="0" fontId="22" fillId="0" borderId="5"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6" xfId="0" applyFont="1" applyBorder="1" applyAlignment="1">
      <alignment horizontal="center" vertical="center" wrapText="1"/>
    </xf>
    <xf numFmtId="0" fontId="1"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28" fillId="0" borderId="0" xfId="0" applyFont="1"/>
    <xf numFmtId="0" fontId="28" fillId="0" borderId="1" xfId="0" applyFont="1" applyBorder="1"/>
  </cellXfs>
  <cellStyles count="5">
    <cellStyle name="Hipervínculo" xfId="4" builtinId="8"/>
    <cellStyle name="Normal" xfId="0" builtinId="0"/>
    <cellStyle name="Normal 2" xfId="1" xr:uid="{39C2E650-EDB4-4CF2-8D5C-9659792CA355}"/>
    <cellStyle name="Normal 3" xfId="2" xr:uid="{7BA673F3-5187-46D9-BF22-E99DBB67F784}"/>
    <cellStyle name="Porcentaje" xfId="3" builtinId="5"/>
  </cellStyles>
  <dxfs count="258">
    <dxf>
      <font>
        <color rgb="FF9C0006"/>
      </font>
      <fill>
        <patternFill>
          <bgColor rgb="FFFFC7CE"/>
        </patternFill>
      </fill>
    </dxf>
    <dxf>
      <border>
        <bottom/>
      </border>
    </dxf>
    <dxf>
      <border>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amily val="2"/>
      </font>
    </dxf>
    <dxf>
      <font>
        <b/>
        <family val="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border>
        <bottom/>
      </border>
    </dxf>
    <dxf>
      <border>
        <bottom style="thin">
          <color indexed="64"/>
        </bottom>
      </border>
    </dxf>
    <dxf>
      <border>
        <bottom style="thin">
          <color indexed="64"/>
        </bottom>
      </border>
    </dxf>
    <dxf>
      <font>
        <b/>
        <family val="2"/>
      </font>
    </dxf>
    <dxf>
      <font>
        <b/>
        <family val="2"/>
      </font>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font>
        <b/>
        <family val="2"/>
      </font>
    </dxf>
    <dxf>
      <font>
        <b/>
        <family val="2"/>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top/>
        <bottom/>
        <horizontal/>
      </border>
    </dxf>
    <dxf>
      <border>
        <top/>
        <bottom/>
        <horizontal/>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bottom/>
      </border>
    </dxf>
    <dxf>
      <border>
        <left/>
        <right/>
        <bottom/>
      </border>
    </dxf>
    <dxf>
      <border>
        <left/>
        <right/>
        <bottom/>
      </border>
    </dxf>
    <dxf>
      <border>
        <left/>
        <right/>
        <bottom/>
      </border>
    </dxf>
    <dxf>
      <border>
        <left/>
        <right/>
        <bottom/>
      </border>
    </dxf>
    <dxf>
      <border>
        <left/>
        <right/>
        <bottom/>
      </border>
    </dxf>
    <dxf>
      <border>
        <left/>
        <right/>
        <top/>
        <bottom/>
        <vertical/>
      </border>
    </dxf>
    <dxf>
      <border>
        <left/>
        <right/>
        <top/>
        <bottom/>
        <vertical/>
      </border>
    </dxf>
    <dxf>
      <font>
        <b/>
        <family val="2"/>
      </font>
    </dxf>
    <dxf>
      <font>
        <b/>
        <family val="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family val="2"/>
      </font>
    </dxf>
    <dxf>
      <font>
        <b/>
        <family val="2"/>
      </font>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78CE1"/>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33"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calcChain" Target="calcChain.xml"/><Relationship Id="rId5" Type="http://schemas.openxmlformats.org/officeDocument/2006/relationships/worksheet" Target="worksheets/sheet5.xml"/><Relationship Id="rId28" Type="http://schemas.openxmlformats.org/officeDocument/2006/relationships/theme" Target="theme/theme1.xml"/><Relationship Id="rId10"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7" Type="http://customschemas.google.com/relationships/workbookmetadata" Target="metadata"/><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2.xlsx]PLANTILLA!TablaDinámica7</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PLANTILLA!$AT$5</c:f>
              <c:strCache>
                <c:ptCount val="1"/>
                <c:pt idx="0">
                  <c:v>Absoluto (n)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8A-43EE-BB95-BC9AA7ADF7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8A-43EE-BB95-BC9AA7ADF78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8A-43EE-BB95-BC9AA7ADF7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PLANTILLA!$AT$6:$AT$7</c:f>
              <c:numCache>
                <c:formatCode>General</c:formatCode>
                <c:ptCount val="1"/>
                <c:pt idx="0">
                  <c:v>30</c:v>
                </c:pt>
              </c:numCache>
            </c:numRef>
          </c:val>
          <c:extLst>
            <c:ext xmlns:c16="http://schemas.microsoft.com/office/drawing/2014/chart" uri="{C3380CC4-5D6E-409C-BE32-E72D297353CC}">
              <c16:uniqueId val="{00000000-3A9A-44FE-A099-9AF659847F52}"/>
            </c:ext>
          </c:extLst>
        </c:ser>
        <c:ser>
          <c:idx val="1"/>
          <c:order val="1"/>
          <c:tx>
            <c:strRef>
              <c:f>PLANTILLA!$AU$5</c:f>
              <c:strCache>
                <c:ptCount val="1"/>
                <c:pt idx="0">
                  <c:v>Relativa (n/N)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04-5143-BB7E-BAA8C62D6F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04-5143-BB7E-BAA8C62D6F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7604-5143-BB7E-BAA8C62D6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PLANTILLA!$AU$6:$AU$7</c:f>
              <c:numCache>
                <c:formatCode>_(* #,##0.00_);_(* \(#,##0.00\);_(* "-"??_);_(@_)</c:formatCode>
                <c:ptCount val="1"/>
                <c:pt idx="0">
                  <c:v>1</c:v>
                </c:pt>
              </c:numCache>
            </c:numRef>
          </c:val>
          <c:extLst>
            <c:ext xmlns:c16="http://schemas.microsoft.com/office/drawing/2014/chart" uri="{C3380CC4-5D6E-409C-BE32-E72D297353CC}">
              <c16:uniqueId val="{00000006-9A8A-43EE-BB95-BC9AA7ADF781}"/>
            </c:ext>
          </c:extLst>
        </c:ser>
        <c:ser>
          <c:idx val="2"/>
          <c:order val="2"/>
          <c:tx>
            <c:strRef>
              <c:f>PLANTILLA!$AV$5</c:f>
              <c:strCache>
                <c:ptCount val="1"/>
                <c:pt idx="0">
                  <c:v> Porcentaje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7604-5143-BB7E-BAA8C62D6F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7604-5143-BB7E-BAA8C62D6F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7604-5143-BB7E-BAA8C62D6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PLANTILLA!$AV$6:$AV$7</c:f>
              <c:numCache>
                <c:formatCode>0.00%</c:formatCode>
                <c:ptCount val="1"/>
                <c:pt idx="0">
                  <c:v>1</c:v>
                </c:pt>
              </c:numCache>
            </c:numRef>
          </c:val>
          <c:extLst>
            <c:ext xmlns:c16="http://schemas.microsoft.com/office/drawing/2014/chart" uri="{C3380CC4-5D6E-409C-BE32-E72D297353CC}">
              <c16:uniqueId val="{00000008-9A8A-43EE-BB95-BC9AA7ADF7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PLANTILLA!$T$6</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PLANTILLA!$S$7:$S$10</c:f>
              <c:strCache>
                <c:ptCount val="3"/>
                <c:pt idx="0">
                  <c:v>2021</c:v>
                </c:pt>
                <c:pt idx="1">
                  <c:v>2022</c:v>
                </c:pt>
                <c:pt idx="2">
                  <c:v>2023</c:v>
                </c:pt>
              </c:strCache>
            </c:strRef>
          </c:cat>
          <c:val>
            <c:numRef>
              <c:f>PLANTILLA!$T$7:$T$10</c:f>
              <c:numCache>
                <c:formatCode>General</c:formatCode>
                <c:ptCount val="3"/>
                <c:pt idx="0">
                  <c:v>13</c:v>
                </c:pt>
                <c:pt idx="1">
                  <c:v>8</c:v>
                </c:pt>
                <c:pt idx="2">
                  <c:v>9</c:v>
                </c:pt>
              </c:numCache>
            </c:numRef>
          </c:val>
          <c:smooth val="0"/>
          <c:extLst>
            <c:ext xmlns:c16="http://schemas.microsoft.com/office/drawing/2014/chart" uri="{C3380CC4-5D6E-409C-BE32-E72D297353CC}">
              <c16:uniqueId val="{00000000-E348-48C5-B15C-F53F8DEC09A2}"/>
            </c:ext>
          </c:extLst>
        </c:ser>
        <c:dLbls>
          <c:showLegendKey val="0"/>
          <c:showVal val="0"/>
          <c:showCatName val="0"/>
          <c:showSerName val="0"/>
          <c:showPercent val="0"/>
          <c:showBubbleSize val="0"/>
        </c:dLbls>
        <c:smooth val="0"/>
        <c:axId val="264090960"/>
        <c:axId val="264066000"/>
      </c:lineChart>
      <c:catAx>
        <c:axId val="2640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64066000"/>
        <c:crosses val="autoZero"/>
        <c:auto val="1"/>
        <c:lblAlgn val="ctr"/>
        <c:lblOffset val="100"/>
        <c:noMultiLvlLbl val="0"/>
      </c:catAx>
      <c:valAx>
        <c:axId val="2640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640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3508311461066"/>
          <c:y val="5.0925925925925923E-2"/>
          <c:w val="0.76666097987751536"/>
          <c:h val="0.50059565470982792"/>
        </c:manualLayout>
      </c:layout>
      <c:barChart>
        <c:barDir val="col"/>
        <c:grouping val="clustered"/>
        <c:varyColors val="0"/>
        <c:ser>
          <c:idx val="0"/>
          <c:order val="0"/>
          <c:tx>
            <c:strRef>
              <c:f>PLANTILLA!$AG$6</c:f>
              <c:strCache>
                <c:ptCount val="1"/>
                <c:pt idx="0">
                  <c:v>Total</c:v>
                </c:pt>
              </c:strCache>
            </c:strRef>
          </c:tx>
          <c:spPr>
            <a:solidFill>
              <a:schemeClr val="accent1"/>
            </a:solidFill>
            <a:ln>
              <a:noFill/>
            </a:ln>
            <a:effectLst/>
          </c:spPr>
          <c:invertIfNegative val="0"/>
          <c:cat>
            <c:strRef>
              <c:f>PLANTILLA!$AF$7:$AF$9</c:f>
              <c:strCache>
                <c:ptCount val="2"/>
                <c:pt idx="0">
                  <c:v>Gaceta Sanitaria</c:v>
                </c:pt>
                <c:pt idx="1">
                  <c:v>Medwave</c:v>
                </c:pt>
              </c:strCache>
            </c:strRef>
          </c:cat>
          <c:val>
            <c:numRef>
              <c:f>PLANTILLA!$AG$7:$AG$9</c:f>
              <c:numCache>
                <c:formatCode>General</c:formatCode>
                <c:ptCount val="2"/>
                <c:pt idx="0">
                  <c:v>1</c:v>
                </c:pt>
                <c:pt idx="1">
                  <c:v>1</c:v>
                </c:pt>
              </c:numCache>
            </c:numRef>
          </c:val>
          <c:extLst>
            <c:ext xmlns:c16="http://schemas.microsoft.com/office/drawing/2014/chart" uri="{C3380CC4-5D6E-409C-BE32-E72D297353CC}">
              <c16:uniqueId val="{00000000-A0F1-45F9-907F-3E0B72DFDB1E}"/>
            </c:ext>
          </c:extLst>
        </c:ser>
        <c:dLbls>
          <c:showLegendKey val="0"/>
          <c:showVal val="0"/>
          <c:showCatName val="0"/>
          <c:showSerName val="0"/>
          <c:showPercent val="0"/>
          <c:showBubbleSize val="0"/>
        </c:dLbls>
        <c:gapWidth val="219"/>
        <c:overlap val="-27"/>
        <c:axId val="356122672"/>
        <c:axId val="356106864"/>
      </c:barChart>
      <c:catAx>
        <c:axId val="3561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06864"/>
        <c:crosses val="autoZero"/>
        <c:auto val="1"/>
        <c:lblAlgn val="ctr"/>
        <c:lblOffset val="100"/>
        <c:noMultiLvlLbl val="0"/>
      </c:catAx>
      <c:valAx>
        <c:axId val="35610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2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PLANTILLA!$BJ$5</c:f>
              <c:strCache>
                <c:ptCount val="1"/>
                <c:pt idx="0">
                  <c:v>Total</c:v>
                </c:pt>
              </c:strCache>
            </c:strRef>
          </c:tx>
          <c:spPr>
            <a:solidFill>
              <a:schemeClr val="accent1"/>
            </a:solidFill>
            <a:ln>
              <a:noFill/>
            </a:ln>
            <a:effectLst/>
          </c:spPr>
          <c:invertIfNegative val="0"/>
          <c:cat>
            <c:strRef>
              <c:f>PLANTILLA!$BI$6:$BI$9</c:f>
              <c:strCache>
                <c:ptCount val="3"/>
                <c:pt idx="0">
                  <c:v>Scopus</c:v>
                </c:pt>
                <c:pt idx="1">
                  <c:v>Scilo</c:v>
                </c:pt>
                <c:pt idx="2">
                  <c:v>Redallyc</c:v>
                </c:pt>
              </c:strCache>
            </c:strRef>
          </c:cat>
          <c:val>
            <c:numRef>
              <c:f>PLANTILLA!$BJ$6:$BJ$9</c:f>
              <c:numCache>
                <c:formatCode>General</c:formatCode>
                <c:ptCount val="3"/>
                <c:pt idx="0">
                  <c:v>10</c:v>
                </c:pt>
                <c:pt idx="1">
                  <c:v>10</c:v>
                </c:pt>
                <c:pt idx="2">
                  <c:v>10</c:v>
                </c:pt>
              </c:numCache>
            </c:numRef>
          </c:val>
          <c:extLst>
            <c:ext xmlns:c16="http://schemas.microsoft.com/office/drawing/2014/chart" uri="{C3380CC4-5D6E-409C-BE32-E72D297353CC}">
              <c16:uniqueId val="{00000000-552F-4736-BD15-637B8A4B058D}"/>
            </c:ext>
          </c:extLst>
        </c:ser>
        <c:dLbls>
          <c:showLegendKey val="0"/>
          <c:showVal val="0"/>
          <c:showCatName val="0"/>
          <c:showSerName val="0"/>
          <c:showPercent val="0"/>
          <c:showBubbleSize val="0"/>
        </c:dLbls>
        <c:gapWidth val="219"/>
        <c:overlap val="-27"/>
        <c:axId val="356128496"/>
        <c:axId val="356132656"/>
      </c:barChart>
      <c:catAx>
        <c:axId val="3561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32656"/>
        <c:crosses val="autoZero"/>
        <c:auto val="1"/>
        <c:lblAlgn val="ctr"/>
        <c:lblOffset val="100"/>
        <c:noMultiLvlLbl val="0"/>
      </c:catAx>
      <c:valAx>
        <c:axId val="3561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2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25400</xdr:colOff>
      <xdr:row>4</xdr:row>
      <xdr:rowOff>0</xdr:rowOff>
    </xdr:from>
    <xdr:to>
      <xdr:col>5</xdr:col>
      <xdr:colOff>635000</xdr:colOff>
      <xdr:row>4</xdr:row>
      <xdr:rowOff>12700</xdr:rowOff>
    </xdr:to>
    <xdr:cxnSp macro="">
      <xdr:nvCxnSpPr>
        <xdr:cNvPr id="3" name="Conector recto de flecha 2">
          <a:extLst>
            <a:ext uri="{FF2B5EF4-FFF2-40B4-BE49-F238E27FC236}">
              <a16:creationId xmlns:a16="http://schemas.microsoft.com/office/drawing/2014/main" id="{D8AA002F-B6AA-B5AE-9F70-D7017D148639}"/>
            </a:ext>
          </a:extLst>
        </xdr:cNvPr>
        <xdr:cNvCxnSpPr/>
      </xdr:nvCxnSpPr>
      <xdr:spPr>
        <a:xfrm flipV="1">
          <a:off x="3187700" y="1117600"/>
          <a:ext cx="60960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48</xdr:col>
      <xdr:colOff>352425</xdr:colOff>
      <xdr:row>1</xdr:row>
      <xdr:rowOff>28575</xdr:rowOff>
    </xdr:from>
    <xdr:to>
      <xdr:col>54</xdr:col>
      <xdr:colOff>352425</xdr:colOff>
      <xdr:row>15</xdr:row>
      <xdr:rowOff>104775</xdr:rowOff>
    </xdr:to>
    <xdr:graphicFrame macro="">
      <xdr:nvGraphicFramePr>
        <xdr:cNvPr id="5" name="Gráfico 4">
          <a:extLst>
            <a:ext uri="{FF2B5EF4-FFF2-40B4-BE49-F238E27FC236}">
              <a16:creationId xmlns:a16="http://schemas.microsoft.com/office/drawing/2014/main" id="{23855CE9-8D05-FF25-ED10-CD58FC08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76200</xdr:colOff>
      <xdr:row>5</xdr:row>
      <xdr:rowOff>19050</xdr:rowOff>
    </xdr:from>
    <xdr:to>
      <xdr:col>25</xdr:col>
      <xdr:colOff>85725</xdr:colOff>
      <xdr:row>19</xdr:row>
      <xdr:rowOff>95250</xdr:rowOff>
    </xdr:to>
    <xdr:graphicFrame macro="">
      <xdr:nvGraphicFramePr>
        <xdr:cNvPr id="3" name="Gráfico 2">
          <a:extLst>
            <a:ext uri="{FF2B5EF4-FFF2-40B4-BE49-F238E27FC236}">
              <a16:creationId xmlns:a16="http://schemas.microsoft.com/office/drawing/2014/main" id="{B276ED08-C68A-3E5B-8721-894BEBAB7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57150</xdr:colOff>
      <xdr:row>2</xdr:row>
      <xdr:rowOff>161925</xdr:rowOff>
    </xdr:from>
    <xdr:to>
      <xdr:col>37</xdr:col>
      <xdr:colOff>666750</xdr:colOff>
      <xdr:row>17</xdr:row>
      <xdr:rowOff>47625</xdr:rowOff>
    </xdr:to>
    <xdr:graphicFrame macro="">
      <xdr:nvGraphicFramePr>
        <xdr:cNvPr id="7" name="Gráfico 6">
          <a:extLst>
            <a:ext uri="{FF2B5EF4-FFF2-40B4-BE49-F238E27FC236}">
              <a16:creationId xmlns:a16="http://schemas.microsoft.com/office/drawing/2014/main" id="{AB87C7A1-6B33-F1A2-7AF9-B3DA588C7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733425</xdr:colOff>
      <xdr:row>1</xdr:row>
      <xdr:rowOff>152400</xdr:rowOff>
    </xdr:from>
    <xdr:to>
      <xdr:col>68</xdr:col>
      <xdr:colOff>733425</xdr:colOff>
      <xdr:row>16</xdr:row>
      <xdr:rowOff>38100</xdr:rowOff>
    </xdr:to>
    <xdr:graphicFrame macro="">
      <xdr:nvGraphicFramePr>
        <xdr:cNvPr id="8" name="Gráfico 7">
          <a:extLst>
            <a:ext uri="{FF2B5EF4-FFF2-40B4-BE49-F238E27FC236}">
              <a16:creationId xmlns:a16="http://schemas.microsoft.com/office/drawing/2014/main" id="{BF97C18E-B1DE-DEBE-E431-E7B7FBBE8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n Sofia Veliz Ruiz" refreshedDate="45182.05233460648" createdVersion="8" refreshedVersion="8" minRefreshableVersion="3" recordCount="100" xr:uid="{6027FB25-6003-446D-9C22-40ABFF7C90CF}">
  <cacheSource type="worksheet">
    <worksheetSource ref="B1:Q101" sheet="BASE DE DATOS SCOPUS"/>
  </cacheSource>
  <cacheFields count="16">
    <cacheField name="Authors" numFmtId="0">
      <sharedItems containsMixedTypes="1" containsNumber="1" containsInteger="1" minValue="0" maxValue="0" longText="1"/>
    </cacheField>
    <cacheField name="Title" numFmtId="0">
      <sharedItems containsMixedTypes="1" containsNumber="1" containsInteger="1" minValue="0" maxValue="0" longText="1"/>
    </cacheField>
    <cacheField name="Year" numFmtId="0">
      <sharedItems containsSemiMixedTypes="0" containsString="0" containsNumber="1" containsInteger="1" minValue="0" maxValue="2023" count="24">
        <n v="2022"/>
        <n v="2021"/>
        <n v="2023"/>
        <n v="0"/>
        <n v="2019" u="1"/>
        <n v="2020" u="1"/>
        <n v="1991" u="1"/>
        <n v="2018" u="1"/>
        <n v="1992" u="1"/>
        <n v="1994" u="1"/>
        <n v="2016" u="1"/>
        <n v="1995" u="1"/>
        <n v="2008" u="1"/>
        <n v="2011" u="1"/>
        <n v="1990" u="1"/>
        <n v="2017" u="1"/>
        <n v="2005" u="1"/>
        <n v="2004" u="1"/>
        <n v="1993" u="1"/>
        <n v="2006" u="1"/>
        <n v="1989" u="1"/>
        <n v="2014" u="1"/>
        <n v="2001" u="1"/>
        <n v="2007" u="1"/>
      </sharedItems>
    </cacheField>
    <cacheField name="Journal" numFmtId="0">
      <sharedItems containsMixedTypes="1" containsNumber="1" containsInteger="1" minValue="0" maxValue="0" count="28">
        <s v="Frontiers in Nutrition"/>
        <s v="International Breastfeeding Journal"/>
        <s v="Dental and Medical Problems"/>
        <s v="American Journal of Clinical Nutrition"/>
        <s v="International Journal of Environmental Research and Public Health"/>
        <s v="Nutrients"/>
        <s v="Frontiers in Oncology"/>
        <s v="Maternal and Child Nutrition"/>
        <s v="International Journal for Equity in Health"/>
        <s v="PLoS ONE"/>
        <s v="Frontiers in Immunology"/>
        <s v="Revista de Gastroenterologia de Mexico"/>
        <s v="Open Forum Infectious Diseases"/>
        <s v="Journal of Community Health"/>
        <s v="Journal of Clinical Pediatric Dentistry"/>
        <s v="Cancers"/>
        <s v="Gaceta Sanitaria"/>
        <s v="Nature Human Behaviour"/>
        <s v="Medwave"/>
        <s v="Public Health in Practice"/>
        <s v="World Journal of Dentistry"/>
        <s v="American Journal of Human Biology"/>
        <s v="Tropical Medicine and Infectious Disease"/>
        <s v="Enfermeria Global"/>
        <s v="Lancet Regional Health - Americas"/>
        <s v="Maternal and Child Health Journal"/>
        <s v="Journal of Pediatric Surgery Case Reports"/>
        <n v="0"/>
      </sharedItems>
    </cacheField>
    <cacheField name="Abstract" numFmtId="0">
      <sharedItems containsMixedTypes="1" containsNumber="1" containsInteger="1" minValue="0" maxValue="0" longText="1"/>
    </cacheField>
    <cacheField name="Keywords" numFmtId="0">
      <sharedItems containsMixedTypes="1" containsNumber="1" containsInteger="1" minValue="0" maxValue="0"/>
    </cacheField>
    <cacheField name="Publisher/Editorial" numFmtId="0">
      <sharedItems containsMixedTypes="1" containsNumber="1" containsInteger="1" minValue="0" maxValue="0"/>
    </cacheField>
    <cacheField name="Language" numFmtId="0">
      <sharedItems containsMixedTypes="1" containsNumber="1" containsInteger="1" minValue="0" maxValue="0" count="2">
        <s v="English"/>
        <n v="0"/>
      </sharedItems>
    </cacheField>
    <cacheField name="Document Type" numFmtId="0">
      <sharedItems containsMixedTypes="1" containsNumber="1" containsInteger="1" minValue="0" maxValue="0"/>
    </cacheField>
    <cacheField name="DOI" numFmtId="0">
      <sharedItems containsMixedTypes="1" containsNumber="1" containsInteger="1" minValue="0" maxValue="0"/>
    </cacheField>
    <cacheField name="City of publication" numFmtId="0">
      <sharedItems longText="1"/>
    </cacheField>
    <cacheField name="Country of study" numFmtId="0">
      <sharedItems containsBlank="1" count="16">
        <s v="Peru"/>
        <s v="United States"/>
        <s v="Germany"/>
        <s v="United Kingdom"/>
        <s v="Switzerland"/>
        <s v="México"/>
        <s v="Uganda"/>
        <s v="Ecuador"/>
        <m/>
        <s v="Nigeria" u="1"/>
        <s v="South Africa" u="1"/>
        <s v="Brazil" u="1"/>
        <s v="China" u="1"/>
        <s v="Ethiopia" u="1"/>
        <s v="Netherlands" u="1"/>
        <s v="New Zealand" u="1"/>
      </sharedItems>
    </cacheField>
    <cacheField name="Scopus" numFmtId="0">
      <sharedItems containsBlank="1"/>
    </cacheField>
    <cacheField name="WOS" numFmtId="0">
      <sharedItems containsNonDate="0" containsString="0" containsBlank="1"/>
    </cacheField>
    <cacheField name="Link" numFmtId="0">
      <sharedItems containsMixedTypes="1" containsNumber="1" containsInteger="1" minValue="0" maxValue="0"/>
    </cacheField>
    <cacheField name="TIPO SCOPUS/WOS" numFmtId="0">
      <sharedItems containsBlank="1" count="9">
        <s v="Scilo"/>
        <s v="Scopus"/>
        <s v="Redallyc"/>
        <m/>
        <s v="CIELO" u="1"/>
        <s v="JUAN" u="1"/>
        <s v="MARCO" u="1"/>
        <s v="PEPITO" u="1"/>
        <s v="REDALIC"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Hernández-Vásquez A.; Vargas-Fernández R."/>
    <s v="Socioeconomic determinants and inequalities in exclusive breastfeeding among children in Peru"/>
    <x v="0"/>
    <x v="0"/>
    <s v="Introduction: Although Latin America and the Caribbean have one of the highest prevalences of exclusive breastfeeding (EBF), the countries in this region have socioeconomic determinants that influence the frequency of this practice and do not allow achieving the 70% target recommended by the World Health Organization. Therefore, the objective of the study was to examine the socioeconomic determinants and perform a decomposition analysis of socioeconomic inequalities in EBF in Peruvian children 6 to 59 months of age. Methods: A cross-sectional study was carried out using the 2021 Demographic and Family Health Survey. The dependent variable for the study was EBF up to 6 months of age and the wealth index variable was used to perform the inequality analysis. Poisson log generalized linear regression models were fitted to evaluate the association between EBF and the independent variables, and concentration curves and Erreygers concentration index decomposition were used to analyze inequalities in EBF. Results: A total of 9926 surveyed participants were included. The prevalence of EBF was 70.5% (95% confidence interval: 69.2-71.8). Women who were married, self-identified as native, received EBF training, resided in the highlands and jungle, and their child was the second or older showed a higher likelihood of EBF. In the inequality analysis, EBF was concentrated among the poorest mothers and the major contributors were residing in the highlands and jungle and belonging to the middle and wealthy quintiles. Discussion: Our findings suggest that the main strategies to encourage the practice of EBF should be focused on all mothers regardless of their socioeconomic status in order to reduce the EBF gap between richer and poorer women. Copyright © 2022 Hernández-Vásquez and Vargas-Fernández."/>
    <s v="cross-sectional studies; exclusive breastfeeding; Peru; social inequalities; socioeconomic factors"/>
    <s v="Frontiers Media S.A."/>
    <x v="0"/>
    <s v="Article"/>
    <s v="10.3389/fnut.2022.1073838"/>
    <s v="A. Hernández-Vásquez; Centro de Excelencia en Investigaciones Económicas y Sociales en Salud, Vicerrectorado de Investigación, Universidad San Ignacio de Loyola, Lima, Peru; email: ahernandez@usil.edu.pe"/>
    <x v="0"/>
    <s v="X"/>
    <m/>
    <s v="https://www.scopus.com/inward/record.uri?eid=2-s2.0-85145202868&amp;doi=10.3389%2ffnut.2022.1073838&amp;partnerID=40&amp;md5=dd2706173dc79e0cd6184bf72e7c9a83"/>
    <x v="0"/>
  </r>
  <r>
    <s v="Rothstein J.D.; Winch P.J.; Pachas J.; Cabrera L.Z.; Ochoa M.; Gilman R.H.; Caulfield L.E."/>
    <s v="Vulnerable families and costly formula: a qualitative exploration of infant formula purchasing among peri-urban Peruvian households"/>
    <x v="1"/>
    <x v="1"/>
    <s v="Background: Substantial evidence exists surrounding the health risks of breast milk substitutes (BMS) in place of exclusive breastfeeding among infants &lt; 6 months of age in resource-poor settings. Yet, mothers’ experiences of selecting and purchasing BMS brands have not been well studied to date. This qualitative study explored the factors influencing BMS purchasing practices, along with the consequences of those decisions, in peri-urban Lima, Peru. Methods: We conducted in-depth interviews (IDIs) with 29 mothers who had begun mixed-feeding their infants during the first 6 months of life. Interviews explored participants’ reasons for initiating infant formula use and their experiences of selecting, purchasing, and providing BMS to their children. Audio recordings were transcribed, coded, and key themes and illustrative vignettes were identified. Results: The primary reported reasons for initiating infant formula use included having received a recommendation for infant formula from a healthcare provider, concerns about an infant’s weight gain, and the perception of insufficient breast milk. Mothers tended to initially purchase the BMS brand that had been recommended by a doctor, which was often more expensive than the alternatives. The costs of BMS, which escalated as infants grew, often disrupted the household economy and generated significant stress. While some mothers identified alternatives allowing them to continue purchasing the same brand, others chose to switch to less expensive products. Several mothers began to feed their infants follow-on formula or commercial milk, despite their awareness that such practices were not recommended for infants under 6 months of age. The approval of family members and the absence of an infant’s immediate adverse reaction influenced mothers’ decisions to continue purchasing these products. Conclusions: The high costs of BMS may deepen existing socio-economic vulnerabilities and generate new risks for infant health. The continued dedication of resources towards breastfeeding education and support is critical, and strategies would benefit from underscoring the long-term financial and health consequences of infant formula use, and from strengthening women’s self-efficacy to refuse to initiate infant formula when recommended. In addition, health providers should be trained in counseling to help women to relactate or return to exclusive breastfeeding after cessation. © 2021, The Author(s)."/>
    <s v="Breast milk substitutes; Decision-making; Infant feeding; Peru; Qualitative"/>
    <s v="BioMed Central Ltd"/>
    <x v="0"/>
    <s v="Article"/>
    <s v="10.1186/s13006-021-00356-6"/>
    <s v="J.D. Rothstein; Department of International Health, Johns Hopkins Bloomberg School of Public Health, Baltimore, United States; email: jrothstein@jhu.edu"/>
    <x v="1"/>
    <s v="X"/>
    <m/>
    <s v="https://www.scopus.com/inward/record.uri?eid=2-s2.0-85100227825&amp;doi=10.1186%2fs13006-021-00356-6&amp;partnerID=40&amp;md5=f93ce2cbf98cac8d4bef356da726aace"/>
    <x v="1"/>
  </r>
  <r>
    <s v="Góngora-León I.; Alarcón-Calle C.S.; Aliaga-Del Castillo A.; Flores-Mir C.; Arriola-Guillén L.E."/>
    <s v="Association of breastfeeding duration with the development of non-nutritive habits, and transversal and vertical occlusal alterations in preschool children: A cross-sectional study"/>
    <x v="2"/>
    <x v="2"/>
    <s v="Background. Breastfeeding has multiple nutritional, immunological and psychological benefits, as well as a positive influence on the development of the stomatognathic system. Objectives. The present study attempted to determine the relationship between the duration of breastfeeding and the development of non-nutritive habits, and transversal and vertical occlusal alterations in preschool children. Material and methods. This cross-sectional study involved 155 preschoolers aged 2–5 years from 3 public schools in Lima, Peru. The sample was divided into 2 groups with regard to the duration of breast-feeding: group A (n = 50) included infants that had been breastfed for up to 6 months; and group B (n = 105) included infants that had been breastfed for 6–12 months. Two trained and calibrated dentists evaluated each group, and clinically determined the presence or absence of transversal or vertical occlusal alterations. Likewise, the children’s parents or caregivers were consulted to determine the development of non-nutritive habits. Results. A significant association was found between breastfeeding duration and the development of the oral breathing habit; groups A and B showed a prevalence of 30.0% and 16.2%, respectively (p = 0.048). Likewise, breastfeeding duration affected the appearance of oral breathing (OR (odds ratio) = 0.84; 95% CI (confidence interval): 0.74–0.96; p = 0.011). Furthermore, the use of a bottle for more than 24 months significantly influenced the appearance of oral habits (OR = 3.55; 95% CI: 1.20–10.55; p = 0.022) and open bite (OR = 12.12; 95% CI: 1.16–126.31; p = 0.037). Conclusions. Breastfeeding duration of 6–12 months was shown to be a protective factor in preventing the appearance of oral breathing. Posterior crossbite (PCB), open bite and deep bite seemed not to be influenced by breastfeeding duration. However, the use of a bottle for more than 24 months significantly influenced the appearance of anterior open bite. © by Author(s)."/>
    <s v="breastfeeding; dental occlusion; habits"/>
    <s v="Wroclaw University of Medicine"/>
    <x v="0"/>
    <s v="Article"/>
    <s v="10.17219/dmp/145416"/>
    <s v="L.E. Arriola-Guillén; Division of Orthodontics, School of Dentistry, Scientific University of the South (Universidad Científica del Sur), Lima, Peru; email: luchoarriola@gmail.com"/>
    <x v="0"/>
    <s v="X"/>
    <m/>
    <s v="https://www.scopus.com/inward/record.uri?eid=2-s2.0-85151044221&amp;doi=10.17219%2fdmp%2f145416&amp;partnerID=40&amp;md5=ba09fcc788ddc9e2aad47216e1efd04f"/>
    <x v="2"/>
  </r>
  <r>
    <s v="Mccormick B.J.J.; Richard S.A.; Murray-Kolb L.E.; Kang G.; Lima A.A.M.; Mduma E.; Kosek M.N.; Rogawski Mcquade E.T.; Houpt E.R.; Bessong P.; Shrestha S.; Bhutta Z.; Ahmed T.; Caulfield L.E.; Acosta A.M.; De Burga R.R.; Chavez C.B.; Flores J.T.; Olotegui M.P.; Pinedo S.R.; Salas M.S.; Trigoso D.R.; Vasquez A.O.; Ahmed I.; Alam D.; Ali A.; Qureshi S.; Rasheed M.; Soofi S.; Turab A.; Yousafzai A.; Zaidi A.K.M.; Bodhidatta L.; Ammu G.; Babji S.; Bose A.; George A.T.; Hariraju D.; Jennifer M.S.; John S.; Kaki S.; Karunakaran P.; Koshy B.; Lazarus R.P.; Muliyil J.; Ragasudha P.; Raghava M.V.; Raju S.; Ramachandran A.; Ramadas R.; Ramanujam K.; Rose A.; Roshan R.; Sharma S.L.; Shanmuga Sundaram E.; Thomas R.J.; Pan W.K.; Ambikapathi R.; Carreon J.D.; Doan V.; Hoest C.; Knobler S.; McGrath M.; Miller M.A.; Psaki S.; Rasmussen Z.; Seidman J.C.; Gottlieb M.; Lang D.R.; Tountas K.H.; Svensen E.; Amour C.; Bayyo E.; Mduma E.R.; Mvungi R.; Nshama R.; Pascal J.; Swema B.M.; Yarrot L.; Mason C.J.; Shamsir Ahmed A.M.; Alam M.A.; Haque R.; Haque U.; Hossain M.I.; Islam M.; Mahfuz M.; Mondal D.; Nahar B.; Tofail F.; Chandyo R.K.; Shrestha P.S.; Shrestha R.; Ulak M.; Bauck A.; Black R.E.; Checkley W.; Lee G.O.; Schulze K.; Yori P.P.; Ross A.C.; Schaefer B.; Simons S.; Pendergast L.; Abreu C.B.; Costa H.; Di Moura A.; Filho J.Q.; Havt A.; Leite Á.M.; Lima N.L.; Lima I.F.; Maciel B.L.L.; Medeiros P.H.Q.S.; Moraes M.; Mota F.S.; Oriá R.B.; Quetz J.; Soares A.M.; Mota R.M.S.; Patil C.L.; Mahopo C.; Maphula A.; Nyathi E.; Samie A.; Barrett L.; Dillingham R.; Gratz J.; Guerrant R.L.; Houpt E.; Petri W.A., Jr.; Platts-Mills J.; Rogawski E.; Scharf R.; Shrestha B.; Rayamajhi B.B.; Shrestha S.K.; Strand T."/>
    <s v="Full breastfeeding protection against common enteric bacteria and viruses: Results from the MAL-ED cohort study"/>
    <x v="0"/>
    <x v="3"/>
    <s v="Background: Breastfeeding is known to reduce the risk of enteropathogen infections, but protection from specific enteropathogens is not well characterized. Objective: The aim was to estimate the association between full breastfeeding (days fed breast milk exclusively or with nonnutritive liquids) and enteropathogen detection. Methods: A total of 2145 newborns were enrolled at 8 sites, of whom 1712 had breastfeeding and key enteropathogen data through 6 mo. We focused on 11 enteropathogens: adenovirus 40/41, norovirus, sapovirus, astrovirus, and rotavirus, enterotoxigenic Escherichia coli (ETEC), Campylobacter spp., and typical enteropathogenic E. coli as well as entero-aggregative E. coli, Shigella and Cryptosporidium. Logistic regression was used to estimate the risk of enteropathogen detection in stools and survival analysis was used to estimate the timing of first detection of an enteropathogen. Results: Infants with 10% more days of full breastfeeding within the preceding 30 d of a stool sample were less likely to have the 3 E. coli and Campylobacter spp. detected in their stool (mean odds: 0.92-0.99) but equally likely (0.99-1.02) to have the viral pathogens detected in their stool. A 10% longer period of full breastfeeding from birth was associated with later first detection of the 3 E. coli, Campylobacter, adenovirus, astrovirus, and rotavirus (mean HRs of 0.52-0.75). The hazards declined and point estimates were not statistically significant at 3 mo. Conclusions: In this large multicenter cohort study, full breastfeeding was associated with lower likelihood of detecting 4 important enteric pathogens in the first 6 mo of life. These results also show that full breastfeeding is related to delays in the first detection of some bacterial and viral pathogens in the stool. As several of these pathogens are risk factors for poor growth during childhood, this work underscores the importance of exclusive or full breastfeeding during the first 6 mo of life to optimize early health. © 2021 The Author(s). Published by Oxford University Press on behalf of the American Society for Nutrition."/>
    <s v="breastfeeding; enteropathogens; enteropathy; infant feeding; MAL-ED"/>
    <s v="Oxford University Press"/>
    <x v="0"/>
    <s v="Article"/>
    <s v="10.1093/ajcn/nqab391"/>
    <s v="L.E. Caulfield; The Johns Hopkins Bloomberg School of Public Health, Baltimore, United States; email: lcaulfi1@jhu.edu"/>
    <x v="1"/>
    <s v="X"/>
    <m/>
    <s v="https://www.scopus.com/inward/record.uri?eid=2-s2.0-85125682982&amp;doi=10.1093%2fajcn%2fnqab391&amp;partnerID=40&amp;md5=146abfe9c89d1e45dfca18ab42711a1d"/>
    <x v="0"/>
  </r>
  <r>
    <s v="Yamunaque-Carranza M.; Medina-Ramirez S.A.; Mamani-García C.S.; Caira-Chuquineyra B.; Fernandez-Guzman D.; Urrunaga-Pastor D.; Bendezu-Quispe G."/>
    <s v="Factors Associated with Adequate Breastfeeding: Evidence from the Peruvian Demographic and Health Survey, 2019"/>
    <x v="0"/>
    <x v="4"/>
    <s v="Objective: To assess the factors associated with adequate breastfeeding (ABF) among Peruvian mothers during 2019. Materials and Methods: We performed a secondary analysis of the 2019 Demographic and Family Health Survey (ENDES) database of Peru. ABF was defined based on the recommendations of the World Health Organization, which defined it as starting breastfeeding within the first hour of life and continuing with exclusive breastfeeding for up to 6 months. To determine the factors associated with ABF, a Poisson generalized linear models with log-link function was used. Adjusted prevalence ratios (aPR) with their respective 95% confidence intervals (95% CI) were calculated. Results: A prevalence of ABF of 48.1% was identified among 11,157 women who reported at least one child in the last five years. Most of them were young (68.6%) and lived in urban areas (65.5%). Furthermore, being unemployed (aPR:1.02; 95% CI:1.00–1.04); residing on the coast, except for Metropolitan Lima (aPR:1.08; 95% CI:1.04–1.11), the highlands (aPR:1.14; 95% CI:1.11–1.18), and the jungle (aPR:1.20; 95% CI: 1.16–1.24); having had a vaginal delivery (aPR:1.30; 95% CI:1.27–1.05); and having two children (aPR:1.03; 95% CI:1.01–1.05) or three or more children (aPR:1.03; 95% CI:1.01–1.05) were associated with a higher frequency of ABF. Conclusions: One out of two women between 18–59 with children performed ABF. The factors associated with ABF were the current occupation, region of residence, type of delivery, and parity. Health policies and strategies should be implemented, considering our results, to promote maternal counseling by health personnel in order to increase the prevalence of ABF in the Peruvian population. © 2022 by the authors."/>
    <s v="breastfeeding continuation; breastfeeding initiation; health surveys; newborn; Peru"/>
    <s v="MDPI"/>
    <x v="0"/>
    <s v="Article"/>
    <s v="10.3390/ijerph192013607"/>
    <s v="D. Urrunaga-Pastor; Facultad de Ciencias de la Salud, Universidad Científica del Sur, Carrera de Medicina Humana, Lima, 15067, Peru; email: diego.urrunaga.pastor1@gmail.com"/>
    <x v="0"/>
    <s v="X"/>
    <m/>
    <s v="https://www.scopus.com/inward/record.uri?eid=2-s2.0-85140905449&amp;doi=10.3390%2fijerph192013607&amp;partnerID=40&amp;md5=ed52e2c54411d9f2cc14cfa93412039c"/>
    <x v="1"/>
  </r>
  <r>
    <s v="Saadh M.J.; Pal R.S.; Arias-Gonzáles J.L.; Orosco Gavilán J.C.; JC D.; Mohany M.; Al-Rejaie S.S.; Bahrami A.; Kadham M.J.; Amin A.H.; Georgia H."/>
    <s v="A Mendelian Randomization Analysis Investigates Causal Associations between Inflammatory Bowel Diseases and Variable Risk Factors"/>
    <x v="2"/>
    <x v="5"/>
    <s v="The question of whether variable risk factors and various nutrients are causally related to inflammatory bowel diseases (IBDs) has remained unanswered so far. Thus, this study investigated whether genetically predicted risk factors and nutrients play a function in the occurrence of inflammatory bowel diseases, including ulcerative colitis (UC), non-infective colitis (NIC), and Crohn’s disease (CD), using Mendelian randomization (MR) analysis. Utilizing the data of genome-wide association studies (GWASs) with 37 exposure factors, we ran Mendelian randomization analyses based on up to 458,109 participants. Univariable and multivariable MR analyses were conducted to determine causal risk factors for IBD diseases. Genetic predisposition to smoking and appendectomy as well as vegetable and fruit intake, breastfeeding, n-3 PUFAs, n-6 PUFAs, vitamin D, total cholesterol, whole-body fat mass, and physical activity were related to the risk of UC (p &lt; 0.05). The effect of lifestyle behaviors on UC was attenuated after correcting for appendectomy. Genetically driven smoking, alcohol consumption, appendectomy, tonsillectomy, blood calcium, tea intake, autoimmune diseases, type 2 diabetes, cesarean delivery, vitamin D deficiency, and antibiotic exposure increased the risk of CD (p &lt; 0.05), while vegetable and fruit intake, breastfeeding, physical activity, blood zinc, and n-3 PUFAs decreased the risk of CD (p &lt; 0.05). Appendectomy, antibiotics, physical activity, blood zinc, n-3 PUFAs, and vegetable fruit intake remained significant predictors in multivariable MR (p &lt; 0.05). Besides smoking, breastfeeding, alcoholic drinks, vegetable and fruit intake, vitamin D, appendectomy, and n-3 PUFAs were associated with NIC (p &lt; 0.05). Smoking, alcoholic drinks, vegetable and fruit intake, vitamin D, appendectomy, and n-3 PUFAs remained significant predictors in multivariable MR (p &lt; 0.05). Our results provide new and comprehensive evidence demonstrating that there are approving causal effects of various risk factors on IBDs. These findings also supply some suggestions for the treatment and prevention of these diseases. © 2023 by the authors."/>
    <s v="Crohn’s disease; inflammatory bowel disease; Mendelian randomization; non-infective colitis; risk factor; ulcerative colitis"/>
    <s v="MDPI"/>
    <x v="0"/>
    <s v="Article"/>
    <s v="10.3390/nu15051202"/>
    <s v="A. Bahrami; Biomedical Center for Systems Biology Science Munich, Ludwig Maximilians University, Munich, 80333, Germany; email: a.bahrami@ut.ac.ir; H. Georgia; Institute of Immunology, Hannover Medical School, Hannover, 30625, Germany; email: georgia.hrosti@mh-hannover.de"/>
    <x v="2"/>
    <s v="X"/>
    <m/>
    <s v="https://www.scopus.com/inward/record.uri?eid=2-s2.0-85149696319&amp;doi=10.3390%2fnu15051202&amp;partnerID=40&amp;md5=2fbc48e92644d2a73e8de88899c8a8f4"/>
    <x v="2"/>
  </r>
  <r>
    <s v="Zavala V.A.; Casavilca-Zambrano S.; Navarro-Vásquez J.; Tamayo L.I.; Castañeda C.A.; Valencia G.; Morante Z.; Calderón M.; Abugattas J.E.; Gómez H.L.; Fuentes H.A.; Liendo-Picoaga R.; Cotrina J.M.; Neciosup S.P.; Roque K.; Vásquez J.; Mas L.; Gálvez-Nino M.; Fejerman L.; Vidaurre T."/>
    <s v="Breast cancer subtype and clinical characteristics in women from Peru"/>
    <x v="2"/>
    <x v="6"/>
    <s v="Introduction: Breast cancer is a heterogeneous disease, and the distribution of the different subtypes varies by race/ethnic category in the United States and by country. Established breast cancer-associated factors impact subtype-specific risk; however, these included limited or no representation of Latin American diversity. To address this gap in knowledge, we report a description of demographic, reproductive, and lifestyle breast cancer-associated factors by age at diagnosis and disease subtype for The Peruvian Genetics and Genomics of Breast Cancer (PEGEN-BC) study. Methods: The PEGEN-BC study is a hospital-based breast cancer cohort that includes 1943 patients diagnosed at the Instituto Nacional de Enfermedades Neoplásicas in Lima, Peru. Demographic and reproductive information, as well as lifestyle exposures, were collected with a questionnaire. Clinical data, including tumor Hormone Receptor (HR) status and Human Epidermal Growth Factor Receptor 2 (HER2) status, were abstracted from electronic medical records. Differences in proportions and mean values were tested using Chi-squared and one-way ANOVA tests, respectively. Multinomial logistic regression models were used for multivariate association analyses. Results: The distribution of subtypes was 52% HR+HER2-, 19% HR+HER2+, 16% HR-HER2-, and 13% HR-HER2+. Indigenous American (IA) genetic ancestry was higher, and height was lower among individuals with the HR-HER2+ subtype (80% IA vs. 76% overall, p=0.007; 152 cm vs. 153 cm overall, p=0.032, respectively). In multivariate models, IA ancestry was associated with HR-HER2+ subtype (OR=1.38,95%CI=1.06-1.79, p=0.017) and parous women showed increased risk for HR-HER2+ (OR=2.7,95%CI=1.5-4.8, p&lt;0.001) and HR-HER2- tumors (OR=2.4,95%CI=1.5-4.0, p&lt;0.001) compared to nulliparous women. Multiple patient and tumor characteristics differed by age at diagnosis (&lt;50 vs. &gt;=50), including ancestry, region of residence, family history, height, BMI, breastfeeding, parity, and stage at diagnosis (p&lt;0.02 for all variables). Discussion: The characteristics of the PEGEN-BC study participants do not suggest heterogeneity by tumor subtype except for IA genetic ancestry proportion, which has been previously reported. Differences by age at diagnosis were apparent and concordant with what is known about pre- and post-menopausal-specific disease risk factors. Additional studies in Peru should be developed to further understand the main contributors to the specific age of onset and molecular disease subtypes in this population and develop population-appropriate predictive models for prevention. Copyright © 2023 Zavala, Casavilca-Zambrano, Navarro-Vásquez, Tamayo, Castañeda, Valencia, Morante, Calderón, Abugattas, Gómez, Fuentes, Liendo-Picoaga, Cotrina, Neciosup, Roque, Vásquez, Mas, Gálvez-Nino, Fejerman and Vidaurre."/>
    <s v="breast cancer; genetic ancestry; Hispanics/Latinas; Indigenous American; tumor subtype"/>
    <s v="Frontiers Media S.A."/>
    <x v="0"/>
    <s v="Article"/>
    <s v="10.3389/fonc.2023.938042"/>
    <s v="L. Fejerman; Department of Public Health Sciences, University of California, Davis, Davis, United States; email: lfejerman@ucdavis.edu"/>
    <x v="2"/>
    <s v="X"/>
    <m/>
    <s v="https://www.scopus.com/inward/record.uri?eid=2-s2.0-85150261448&amp;doi=10.3389%2ffonc.2023.938042&amp;partnerID=40&amp;md5=ccbd5d1cf92a11a31980154ae4e5b69f"/>
    <x v="0"/>
  </r>
  <r>
    <s v="Pradeilles R.; Pareja R.; Creed-Kanashiro H.M.; Griffiths P.L.; Holdsworth M.; Verdezoto N.; Eymard-Duvernay S.; Landais E.; Stanley M.; Rousham E.K."/>
    <s v="Diet and food insecurity among mothers, infants, and young children in Peru before and during COVID-19: A panel survey"/>
    <x v="0"/>
    <x v="7"/>
    <s v="The COVID-19 pandemic may impact diet and nutrition through increased household food insecurity, lack of access to health services, and poorer quality diets. The primary aim of this study is to assess the impact of the pandemic on dietary outcomes of mothers and their infants and young children (IYC) in low-income urban areas of Peru. We conducted a panel study, with one survey prepandemic (n = 244) and one survey 9 months after the onset of COVID-19 (n = 254). We assessed breastfeeding and complementary feeding indicators and maternal dietary diversity in both surveys. During COVID-19, we assessed household food insecurity experience and economic impacts of the pandemic on livelihoods; receipt of financial or food assistance, and uptake of health services. Almost all respondents (98.0%) reported adverse economic impacts due to the pandemic and 46.9% of households were at risk of moderate or severe household food insecurity. The proportion of households receiving government food assistance nearly doubled between the two surveys (36.5%–59.5%). Dietary indicators, however, did not worsen in mothers or IYC. Positive changes included an increase in exclusive breastfeeding &lt;6 months (24.2%–39.0%, p &lt; 0.008) and a decrease in sweet food consumption by IYC (33.1%–18.1%, p = 0.001) and mothers (34.0%–14.6%, p &lt; 0.001). The prevalence of sugar-sweetened beverage consumption remained high in both mothers (97%) and IYC (78%). In sum, we found dietary indicators had not significantly worsened 9 months into the COVID-19 pandemic. However, several indicators remain suboptimal and should be targeted in future interventions. © 2022 The Authors. Maternal &amp; Child Nutrition published by John Wiley &amp; Sons Ltd."/>
    <s v="breast feeding; COVID-19; diet; food insecurity; infant; pandemic; women's health"/>
    <s v="John Wiley and Sons Inc"/>
    <x v="0"/>
    <s v="Article"/>
    <s v="10.1111/mcn.13343"/>
    <s v="E.K. Rousham; Centre for Global Health and Human Development, School of Sport, Exercise and Health Sciences, Loughborough University, Loughborough, United Kingdom; email: e.k.rousham@lboro.ac.uk"/>
    <x v="1"/>
    <s v="X"/>
    <m/>
    <s v="https://www.scopus.com/inward/record.uri?eid=2-s2.0-85126066928&amp;doi=10.1111%2fmcn.13343&amp;partnerID=40&amp;md5=6b33e76eb2d1dd2976ef5912b13f96e7"/>
    <x v="1"/>
  </r>
  <r>
    <s v="Nuño Martínez N.; Wallenborn J.; Mäusezahl D.; Hartinger S.M.; Muela Ribera J."/>
    <s v="Socio-cultural factors for breastfeeding cessation and their relationship with child diarrhoea in the rural high-altitude Peruvian Andes – a qualitative study"/>
    <x v="1"/>
    <x v="8"/>
    <s v="Background: In some areas of the world, breast milk is seen as a potential source of child diarrhoea. While this belief has been explored in African and Southeast Asian countries, it remains vastly understudied in Latin American contexts. We investigate socio-cultural factors contributing to breastfeeding cessation in rural high-altitude populations of the Peruvian Andes. The role of socio- cultural factors in the local explanatory model of child diarrhoea, and whether these perceptions were integrated in the local healthcare system were assessed. Methods: Within the framework of a randomised controlled trial, we conducted semi-structured interviews with 40 mothers and 15 health personnel from local healthcare centres involved in the trial. Results: Cultural beliefs on breastfeeding cessation included the perception that breast milk turned into “blood” after six months and that breastfeeding caused child diarrhoea. We identified eight local types of child diarrhoea, and women linked six of them with breastfeeding practices. “Infection” was the only diarrhoea mothers linked to hygiene and the germ disease concept and perceived as treatable through drug therapy. Women believed that other types of diarrhoea could not be treated within the formal healthcare sector. Interviews with health personnel revealed no protocol for, or consensus about, the integration of the local explanatory model of child diarrhoea in local healthcare and service provision. Conclusions: The local explanatory model in rural Andean Peru connected breastfeeding with child diarrhoeas. Cultural beliefs regarding diarrhoea management may increase home treatments, even in cases of severe diarrhoeal episodes. Future national breastfeeding support programmes should promote peer-counselling approaches to reduce negative attitudes towards breastfeeding and health practitioners. Local explanatory models should be incorporated into provincial and regional strategies for child diarrhoea management to promote equity in health and improve provider-patient relationships. © 2021, The Author(s)."/>
    <s v="Breastfeeding; Child; Child diarrhoea; Female; Local explanatory models; Peer-counselling; Peru; Pregnancy; Social norms; Socio-cultural factors"/>
    <s v="BioMed Central Ltd"/>
    <x v="0"/>
    <s v="Article"/>
    <s v="10.1186/s12939-021-01505-3"/>
    <s v="D. Mäusezahl; Department of Public Health and Epidemiology, Swiss Tropical and Public Health Institute, Basel, P.O. Box CH-4002, Socinstrasse 57, Switzerland; email: daniel.maeusezahl@unibas.ch"/>
    <x v="3"/>
    <s v="X"/>
    <m/>
    <s v="https://www.scopus.com/inward/record.uri?eid=2-s2.0-85110705651&amp;doi=10.1186%2fs12939-021-01505-3&amp;partnerID=40&amp;md5=1b64250f7680ba2060df1fbb7ab03122"/>
    <x v="2"/>
  </r>
  <r>
    <s v="Irene Del Mastro N.; Tejada-Llacsa P.J.; Reinders S.; Pérez R.; Solís Y.; Alva I.; Blas M.M."/>
    <s v="Home birth preference, childbirth, and newborn care practices in rural Peruvian Amazon"/>
    <x v="1"/>
    <x v="9"/>
    <s v="Home birth is very common in the Peruvian Amazon. In rural areas of the Loreto region, home to indigenous populations such as the Kukama-Kukamiria, birth takes place at home constantly. This study aims to understand the preference for home births as well as childbirth and newborn care practices among Kukama-Kukamiria women in rural Loreto. Following a case study approach, sixty semi-structured, face-to-face interviews were conducted with recent mothers who experienced childbirth within one year prior to the interview, female relatives of recent mothers who had a role in childbirth, male relatives of recent mothers, community health workers, and traditional healers. We found that for women from these communities, home birth is a courageous act and an intimate (i.e. members of the community and relatives participate in it) and inexpensive practice in comparison with institutional birth. These preferences are also linked to experiences of mistreatment at health facilities, lack of cultural adaptation of birthing services, and access barriers to them. Preparations for home births included handwashing and cleaning delivery surfaces. After birth, waiting for the godparent to arrive to cut the cord can delay drying of the newborn. Discarding of colostrum, lack of skin-to-skin contact as well as a range of responses regarding immediate breastfeeding and immediate drying of the baby were also found. These findings were used to tailor the educational content of the Mamas del Rio program, where community health workers are trained to identify pregnancy early, perform home visits to pregnant women and newborns, and promote essential newborn care practices in case institutional birth is not desired or feasible. We make recommendations to improve Peru's cultural adaptation of birthing services. © 2021 Del Mastro N. et al. This is an open access article distributed under the terms of the Creative Commons Attribution License, which permits unrestricted use, distribution, and reproduction in any medium, provided the original author and source are credited."/>
    <s v=""/>
    <s v="Public Library of Science"/>
    <x v="0"/>
    <s v="Article"/>
    <s v="10.1371/journal.pone.0250702"/>
    <s v="N. Irene Del Mastro; Department of Sociology, University of California, Los Angeles, United States; email: idelmastro@ucla.edu"/>
    <x v="4"/>
    <s v="X"/>
    <m/>
    <s v="https://www.scopus.com/inward/record.uri?eid=2-s2.0-85105254182&amp;doi=10.1371%2fjournal.pone.0250702&amp;partnerID=40&amp;md5=3748bd8209b8dbb97af302d471f2d761"/>
    <x v="0"/>
  </r>
  <r>
    <s v="McGuire M.K.; Randall A.Z.; Seppo A.E.; Järvinen K.M.; Meehan C.L.; Gindola D.; Williams J.E.; Sellen D.W.; Kamau-Mbuthia E.W.; Kamundia E.W.; Mbugua S.; Moore S.E.; Prentice A.M.; Foster J.A.; Otoo G.E.; Rodríguez J.M.; Pareja R.G.; Bode L.; McGuire M.A.; Campo J.J."/>
    <s v="Multipathogen Analysis of IgA and IgG Antigen Specificity for Selected Pathogens in Milk Produced by Women From Diverse Geographical Regions: The INSPIRE Study"/>
    <x v="1"/>
    <x v="10"/>
    <s v="Breastfeeding provides defense against infectious disease during early life. The mechanisms underlying this protection are complex but likely include the vast array of immune cells and components, such as immunoglobulins, in milk. Simply characterizing the concentrations of these bioactives, however, provides only limited information regarding their potential relationships with disease risk in the recipient infant. Rather, understanding pathogen and antigen specificity profiles of milk-borne immunoglobulins might lead to a more complete understanding of how maternal immunity impacts infant health and wellbeing. Milk produced by women living in 11 geographically dispersed populations was applied to a protein microarray containing antigens from 16 pathogens, including diarrheagenic E. coli, Shigella spp., Salmonella enterica serovar Typhi, Staphylococcus aureus, Streptococcus pneumoniae, Mycobacterium tuberculosis and other pathogens of global health concern, and specific IgA and IgG binding was measured. Our analysis identified novel disease-specific antigen responses and suggests that some IgA and IgG responses vary substantially within and among populations. Patterns of antibody reactivity analyzed by principal component analysis and differential reactivity analysis were associated with either lower-to-middle-income countries (LMICs) or high-income countries (HICs). Antibody levels were generally higher in LMICs than HICs, particularly for Shigella and diarrheagenic E. coli antigens, although sets of S. aureus, S. pneumoniae, and some M. tuberculosis antigens were more reactive in HICs. Differential responses were typically specific to canonical immunodominant antigens, but a set of nondifferential but highly reactive antibodies were specific to antigens possibly universally recognized by antibodies in human milk. This approach provides a promising means to understand how breastfeeding and human milk protect (or do not protect) infants from environmentally relevant pathogens. Furthermore, this approach might lead to interventions to boost population-specific immunity in at-risk breastfeeding mothers and their infants. © Copyright © 2021 McGuire, Randall, Seppo, Järvinen, Meehan, Gindola, Williams, Sellen, Kamau-Mbuthia, Kamundia, Mbugua, Moore, Prentice, Foster, Otoo, Rodríguez, Pareja, Bode, McGuire and Campo."/>
    <s v="breastfeeding; breastmilk; human milk; IgA; IgG; immunoglobulins; pathogen; protein array"/>
    <s v="Frontiers Media S.A."/>
    <x v="0"/>
    <s v="Article"/>
    <s v="10.3389/fimmu.2020.614372"/>
    <s v="; "/>
    <x v="1"/>
    <s v="X"/>
    <m/>
    <s v="https://www.scopus.com/inward/record.uri?eid=2-s2.0-85101663676&amp;doi=10.3389%2ffimmu.2020.614372&amp;partnerID=40&amp;md5=3ec78590728c7fe49a35ef33efee6fe1"/>
    <x v="1"/>
  </r>
  <r>
    <s v="Vázquez-Frias R.; Ladino L.; Bagés-Mesa M.C.; Hernández-Rosiles V.; Ochoa-Ortiz E.; Alomía M.; Bejarano R.; Boggio-Marzet C.; Bojórquez-Ramos M.C.; Colindres-Campos E.; Fernández G.; García-Bacallao E.; González-Cerda I.; Guisande A.; Guzmán C.; Moraga-Mardones F.; Palacios-Rosales J.; Ramírez-Rodríguez N.E.; Roda J.; Sanabria M.C.; Sánchez-Valverde F.; Santiago R.J.; Sepúlveda-Valbuena N.; Spolidoro J.; Valdivieso-Falcón P.; Villalobos-Palencia N.; Koletzko B."/>
    <s v="Consensus on complementary feeding from the Latin American Society for Pediatric Gastroenterology, Hepatology and Nutrition: COCO 2023; [Consenso de alimentación complementaria de la Sociedad Latinoamericana de Gastroenterología, Hepatología y Nutrición Pediátrica: COCO 2023]"/>
    <x v="2"/>
    <x v="11"/>
    <s v="Complementary feeding (CF) is defined as the feeding of infants that complements breastfeeding, or alternatively, feeding with a breast milk substitute, and is a process that is more than simply a guide as to what and how to introduce foods. The information provided by healthcare professionals must be up-to-date and evidence-based. Most of the recommendations that appear in the different international guidelines and position papers are widely applicable, but some must be regionalized or adapted to fit the conditions and reality of each geographic zone. The Nutrition Working Group of the Latin American Society for Pediatric Gastroenterology, Hepatology and Nutrition (LASPGHAN) summoned a group of experts from each of the society's member countries, to develop a consensus on CF, incorporating, whenever possible, local information adapted to the reality of the region. The aim of the present document is to show the results of that endeavor. Utilizing the Delphi method, a total of 34 statements on relevant aspects of CF were evaluated, discussed, and voted upon. © 2022 Asociación Mexicana de Gastroenterología"/>
    <s v="Breast milk; Complementary feeding; Infant nutrition; Latin America; Nutrition; Perceptive"/>
    <s v="Asociacion Mexicana de Gastroenterologia"/>
    <x v="0"/>
    <s v="Article"/>
    <s v="10.1016/j.rgmx.2022.11.001"/>
    <s v="R. Vázquez-Frias; Departamento de Gastroenterología y Nutrición, Hospital Infantil de México Federico Gómez. Vicepresidencia de la Sociedad Latinoamericana de Gastroenterología, Hepatología y Nutrición Pediátrica. Dr. Márquez 162, Doctores, Cuauhtémoc, 06720, Ciudad de México, México. Teléfono: 5552289917; Ext. 2139.; email: rovaf@yahoo.com"/>
    <x v="5"/>
    <s v="X"/>
    <m/>
    <s v="https://www.scopus.com/inward/record.uri?eid=2-s2.0-85146466351&amp;doi=10.1016%2fj.rgmx.2022.11.001&amp;partnerID=40&amp;md5=dc7fc7cc64f0800a866818552d9e1c22"/>
    <x v="2"/>
  </r>
  <r>
    <s v="Guga G.; Elwood S.; Kimathi C.; Kang G.; Kosek M.N.; Lima A.A.M.; Bessong P.O.; Samie A.; Haque R.; Leite J.P.; Bodhidatta L.; Iqbal N.; Page N.; Kiwelu I.; Bhutta Z.A.; Ahmed T.; Liu J.; Rogawski McQuade E.T.; Houpt E.; Platts-Mills J.A.; Mduma E.R."/>
    <s v="Burden, Clinical Characteristics, Risk Factors, and Seasonality of Adenovirus 40/41 Diarrhea in Children in Eight Low-Resource Settings"/>
    <x v="0"/>
    <x v="12"/>
    <s v="Background: The application of molecular diagnostics has identified enteric group adenovirus serotypes 40 and 41 as important causes of diarrhea in children. However, many aspects of the epidemiology of adenovirus 40/41 diarrhea have not been described. Methods: We used data from the 8-site Etiology, Risk Factors, and Interactions of Enteric Infections and Malnutrition and the Consequences for Child Health and Development Project birth cohort study to describe site-and age-specific incidence, risk factors, clinical characteristics, and seasonality. Results: The incidence of adenovirus 40/41 diarrhea was substantially higher by quantitative polymerase chain reaction than enzyme immunoassay and peaked at ∼30 episodes per 100 child-years in children aged 7-15 months, with substantial variation in incidence between sites. A significant burden was also seen in children 0-6 months of age, higher than other viral etiologies with the exception of rotavirus. Children with adenovirus 40/41 diarrhea were more likely to have a fever than children with norovirus, sapovirus, and astrovirus (adjusted odds ratio [aOR], 1.62; 95% CI, 1.16-2.26) but less likely than children with rotavirus (aOR, 0.66; 95% CI, 0.49-0.91). Exclusive breastfeeding was strongly protective against adenovirus 40/41 diarrhea (hazard ratio, 0.64; 95% CI, 0.48-0.85), but no other risk factors were identified. The seasonality of adenovirus 40/41 diarrhea varied substantially between sites and did not have clear associations with seasonal variations in temperature or rainfall. Conclusions: This study supports the situation of adenovirus 40/41 as a pathogen of substantial importance, especially in infants. Fever was a distinguishing characteristic in comparison to other nonrotavirus viral etiologies, and promotion of exclusive breastfeeding may reduce the high observed burden in the first 6 months of life. © 2022 The Author(s). Published by Oxford University Press on behalf of Infectious Diseases Society of America."/>
    <s v="Adenovirus; Children; Diarrhea; qPCR; Seasonality"/>
    <s v="Oxford University Press"/>
    <x v="0"/>
    <s v="Article"/>
    <s v="10.1093/ofid/ofac241"/>
    <s v="J.A. Platts-Mills; Division of Infectious Diseases and International Health, University of Virginia, Charlottesville, PO Box 801340, 22908, United States; email: jp5t@virginia.edu"/>
    <x v="1"/>
    <s v="X"/>
    <m/>
    <s v="https://www.scopus.com/inward/record.uri?eid=2-s2.0-85135688565&amp;doi=10.1093%2fofid%2fofac241&amp;partnerID=40&amp;md5=2c822c8b6fe48d2a36a67c91c8395232"/>
    <x v="0"/>
  </r>
  <r>
    <s v="Etti M.; Alger J.; Salas S.P.; Saggers R.; Ramdin T.; Endler M.; Gemzell-Danielsson K.; Alfven T.; Ahmed Y.; Callejas A.; Eskenazi D.; Khalil A.; Le Doare K."/>
    <s v="Global research priorities for COVID-19 in maternal, reproductive and child health: Results of an international survey"/>
    <x v="1"/>
    <x v="9"/>
    <s v="Background The World Health Organization's &quot;Coordinated Global Research Roadmap: 2019 Novel Coronavirus&quot;outlined the need for research that focuses on the impact of COVID-19 on pregnant women and children. More than one year after the first reported case significant knowledge gaps remain, highlighting the need for a coordinated approach. To address this need, the Maternal, Newborn and Child Health Working Group (MNCH WG) of the COVID- 19 Clinical Research Coalition conducted an international survey to identify global research priorities for COVID-19 in maternal, reproductive and child health. Method This project was undertaken using a modified Delphi method. An electronic questionnaire was disseminated to clinicians and researchers in three different languages (English, French and Spanish) via MNCH WG affiliated networks. Respondents were asked to select the five most urgent research priorities among a list of 17 identified by the MNCH WG. Analysis of questionnaire data was undertaken to identify key similarities and differences among respondents according to questionnaire language, location and specialty. Following elimination of the seven lowest ranking priorities, the questionnaire was recirculated to the original pool of respondents. Thematic analysis of final questionnaire data was undertaken by the MNCH WG from which four priority research themes emerged. Results Questionnaire 1 was completed by 225 respondents from 29 countries. Questionnaire 2 was returned by 49 respondents. The four priority research themes which emerged from the analysis were 1) access to healthcare during the COVID-19 pandemic, 2) the direct and 3) indirect effects of COVID-19 on pregnant and breastfeeding women and children and 4) the transmission of COVID-19 and protection from infection. Conclusion The results of these questionnaires indicated a high level of concordance among continents and specialties regarding priority research themes. This prioritized list of research uncertainties, developed to specifically highlight the most urgent clinical needs as perceived by healthcare professionals and researchers, could help funding organizations and researchers to answer the most pressing questions for clinicians and public health professionals during the pandemic. It is hoped that these identified priority research themes can help focus the discussion regarding the allocation of limited resources to enhance COVID-19 research in MNCH globally.  © 2021 Etti et al. This is an open access article distributed under the terms of the Creative Commons Attribution License, which permits unrestricted use, distribution, and reproduction in any medium, provided the original author and source are credited."/>
    <s v=""/>
    <s v="Public Library of Science"/>
    <x v="0"/>
    <s v="Article"/>
    <s v="10.1371/journal.pone.0257516"/>
    <s v="M. Etti; Makerere University Johns Hopkins University Research Collaboration, Kampala, Uganda; email: melanie.etti@doctors.org.uk"/>
    <x v="6"/>
    <s v="X"/>
    <m/>
    <s v="https://www.scopus.com/inward/record.uri?eid=2-s2.0-85115811535&amp;doi=10.1371%2fjournal.pone.0257516&amp;partnerID=40&amp;md5=4dce59387cd56cc9b4fed622ed0c68af"/>
    <x v="1"/>
  </r>
  <r>
    <s v="Westgard C.M.; Llatance M.A.; Calderón L.F.; Rojo G.P.; Young M.; Orrego-Ferreyros L.A."/>
    <s v="The Creation of a Field Manual for Community Health Workers to Teach Child Health and Development During Home Visits: A Case Study of Participatory Content Creation"/>
    <x v="2"/>
    <x v="13"/>
    <s v="Community health workers (CHWs) play a crucial role in improving child health and development in underserved populations. However, CHWs often face challenges in accessing appropriate guidance and materials for their home visits, hindering their ability to deliver accurate and relevant information to families. Extensive searches for existing resources were conducted to search for established field manual guidebooks for CHWs, however, no suitable material was found, highlighting the need for this case study. The exercise aimed to develop a comprehensive field manual guidebook and animated videos to support CHWs in the Amazon of Peru during their home visits. A multidisciplinary team of specialists was assembled to develop the material. The material development process employed a design thinking methodology, incorporating participatory content creation workshops with CHWs and experts in health topics relevant to the Amazon. This approach ensured cultural relevance and sensitivity in conveying information. The team created a list of 38 essential health and early childhood development messages for Amazonian communities. Infographics were designed for each topic, accompanied by easy-to-understand language and images to assist CHWs in conveying information effectively. To provide additional support, seven animated videos were created based on health behavior theory, covering topics such as anemia, healthy diet, diarrhea, breastfeeding, clean water, child-caregiver bond, and early childhood stimulation. The videos were designed for CHWs to share with caregivers during home visits, enhancing information transmission. The resulting guidebook, infographics, and animated videos were presented to CHWs in Loreto, Peru for feedback. Updated versions were printed and distributed to CHWs in seven communities in Loreto. © 2023, The Author(s), under exclusive licence to Springer Science+Business Media, LLC, part of Springer Nature."/>
    <s v="Amazon; Child development; Child health; Community health workers; Field manual; Health promotion"/>
    <s v="Springer"/>
    <x v="0"/>
    <s v="Article"/>
    <s v="10.1007/s10900-023-01260-2"/>
    <s v="C.M. Westgard; Department of Research and Implementation, Elementos, Lima, Peru; email: cmwestgard@gmail.com"/>
    <x v="0"/>
    <s v="X"/>
    <m/>
    <s v="https://www.scopus.com/inward/record.uri?eid=2-s2.0-85165894176&amp;doi=10.1007%2fs10900-023-01260-2&amp;partnerID=40&amp;md5=3d9d9a42ba55c444bf32353c3def6e9f"/>
    <x v="2"/>
  </r>
  <r>
    <s v="Alarcón-Calle C.S.; Góngora-León I.; Aliaga-Del Castillo A.; Flores-Mir C.; Arriola-Guillén L.E."/>
    <s v="Association Between Breastfeeding Type and Duration and the Molar and Facial Characteristics of Preschoolers Aged 2 To 6 Years: A Cross-Sectional Study"/>
    <x v="0"/>
    <x v="14"/>
    <s v="Objective: To calculate the association between the type and duration of breastfeeding and the deciduous molar relationship and facial characteristics of preschoolers aged 2 to 6 years. Study design: This crosssectional study included 160 pre-schoolers aged 2 to 6 years old, enrolled in the 2019 academic year from 3 public schools in Data collection involved two phases. The first phase consisted in determining the facial type, anteroposterior and vertical profile, facial dimensions, and the molar relationship between primary second molars. The second phase included interviews with the parents or legal guardians. Children with exclusive breastfeeding and with mixed/artificial feeding (breastfeeding and bottle-feeding, or exclusive artificial bottle-feeding) were included. Chi-square test, t-test, multiple linear regression, and binary logistic regression tests were applied (p&lt;0.05). Results: The facial length, width, and the lower third were greater in the exclusive breastfeeding group than in the mixed/artificial feeding group (3.74mm, p=0.002; 2.06mm, p=0.047; and 2.94mm, p=0.015; respectively). In addition, children with breastfeeding for more than six months showed greater facial length, facial width and lower third (3.20mm, p=0.038; 3.68mm, p=0.006; and 3.57mm, p=0.026; respectively). The duration of exclusive breastfeeding influenced facial width, noting an increase of 3.32mm (p=0.011) if a pre-schooler had exclusive breastfeeding for more than six months. Conclusion: There were no significant associations between type and duration of breastfeeding and the molar terminal plane, facial type, or profile. However, facial dimensions were greater in the exclusive breastfeeding group, and when breastfeeding was longer than six months. © 2022 Clinical Pediatric Dentistry."/>
    <s v="Breastfeeding; Face; Preschool; Primary dentition"/>
    <s v="Journal of Clinical Pediatric Dentistry"/>
    <x v="0"/>
    <s v="Article"/>
    <s v="10.17796/1053-4625-46.3.10"/>
    <s v="L.E. Arriola-Guillén; Division of Orthodontics, School of Dentistry, Universidad Científica del Sur, Lima, Av. Paseo de la Rep blica 5544, Miraflores, 15074, Peru; email: luchoarriola@gmail.com"/>
    <x v="1"/>
    <m/>
    <m/>
    <s v="https://www.scopus.com/inward/record.uri?eid=2-s2.0-85133987585&amp;doi=10.17796%2f1053-4625-46.3.10&amp;partnerID=40&amp;md5=52c4555ee5b5f95a15fb6609abe01b81"/>
    <x v="0"/>
  </r>
  <r>
    <s v="Randhawa J.K.; Kim M.E.; Polski A.; Reid M.W.; Mascarenhas K.; Brown B.; Fabian I.D.; Kaliki S.; Stacey A.W.; Burner E.; Sayegh C.S.; Poblete R.A.; Ji X.; Zou Y.; Sultana S.; Rashid R.; Sherief S.T.; Cassoux N.; Garcia J.; Coronado R.D.; López A.M.Z.; Ushakova T.; Polyakov V.G.; Roy S.R.; Ahmad A.; Reddy M.A.; Sagoo M.S.; Al Harby L.; Astbury N.J.; Bascaran C.; Blum S.; Bowman R.; Burton M.J.; Gomel N.; Keren-Froim N.; Madgar S.; Zondervan M.; Berry J.L."/>
    <s v="The effects of breastfeeding on retinoblastoma development: Results from an international multicenter retinoblastoma survey"/>
    <x v="1"/>
    <x v="15"/>
    <s v="The protective effects of breastfeeding on various childhood malignancies have been established but an association has not yet been determined for retinoblastoma (RB). We aimed to further investigate the role of breastfeeding in the severity of nonhereditary RB development, assessing relationship to (1) age at diagnosis, (2) ocular prognosis, measured by International Intraocular RB Classification (IIRC) or Intraocular Classification of RB (ICRB) group and success of eye salvage, and (3) extraocular involvement. Analyses were performed on a global dataset subgroup of 344 RB patients whose legal guardian(s) consented to answer a neonatal questionnaire. Patients with undetermined or mixed feeding history, family history of RB, or sporadic bilateral RB were excluded. There was no statistically significant difference between breastfed and formula-fed groups in (1) age at diagnosis (p = 0.20), (2) ocular prognosis measures of IIRC/ICRB group (p = 0.62) and success of eye salvage (p = 0.16), or (3) extraocular involvement shown by International Retinoblastoma Staging System (IRSS) at presentation (p = 0.74), lymph node involvement (p = 0.20), and distant metastases (p = 0.37). This study suggests that breastfeeding neither impacts the sporadic development nor is associated with a decrease in the severity of nonhereditary RB as measured by age at diagnosis, stage of disease, ocular prognosis, and extraocular spread. A further exploration into the impact of diet on children who develop RB is warranted. © 2021 by the authors."/>
    <s v="Breastfeeding; Eye; Pediatric cancer; Retinoblastoma; Tumor"/>
    <s v="MDPI"/>
    <x v="0"/>
    <s v="Article"/>
    <s v="10.3390/cancers13194773"/>
    <s v="J.L. Berry; The Vision Center at Children’s Hospital Los Angeles, Los Angeles, 90027, United States; email: jesse.berry@med.usc.edu"/>
    <x v="1"/>
    <m/>
    <m/>
    <s v="https://www.scopus.com/inward/record.uri?eid=2-s2.0-85115659350&amp;doi=10.3390%2fcancers13194773&amp;partnerID=40&amp;md5=327e97ac6a80412e061a04d568037ee2"/>
    <x v="1"/>
  </r>
  <r>
    <s v="Paca-Palao A.; Huayanay-Espinoza C.A.; Parra D.C.; Velasquez-Melendez G.; Miranda J.J."/>
    <s v="Association between exclusive breastfeeding and obesity in children: a cross-sectional study of three Latin American countries; [Asociación entre lactancia materna y probabilidad de obesidad en la infancia en tres países latinoamericanos]"/>
    <x v="1"/>
    <x v="16"/>
    <s v="Objective: To determine if breastfeeding for at least the first six months of life is associated with overweight and obesity in children 2 to 5 years old. Method: Cross sectional analysis of data from national demographic and health surveys conducted in Bolivia, Colombia and Peru. Overweight and obesity were defined using World Health Organization standard definitions. Odds ratios (OR) were calculated using multinomial logistic regression. Results: The prevalence of obesity in children 2 to 5 years old was 10.4% (95% confidence interval [95%CI]: 8.2-12.6) in Bolivia, 4.9% in Colombia (95%CI: 4.0-5.8), and 6.4% (95%CI: 5.2-8.0) in Peru. Prevalence of exclusive breastfeeding for at least the first 6 months in the study population was 89.9% (95%CI: 87.8-91.9) in Bolivia, 73.9% (95%CI: 72.2-75.6) in Colombia, and 92.8% (95%CI: 91.2-92.4) in Peru. Exclusive breastfeeding was associated with a decreased risk of obesity in children as compared to no breastfeeding or breastfeeding for less than 6 months in Bolivia (OR =. 30; 95%CI:. 16-.57) and a marginal association in Colombia (OR =. 71; 95%CI:. 47-1.06) and Peru (OR =. 49; 95%CI: 0.23-1.04). No association between breastfeeding and overweight was found. Conclusion: Exclusive breastfeeding for at least the first six months of life decreases the risk of obesity in children 2 to 5 years old in Bolivia. A similar but weaker pattern was observed for children in Colombia and Peru. © 2019 SESPAS"/>
    <s v="Breastfeeding; Children; Obesity; Overweight"/>
    <s v="Ediciones Doyma, S.L."/>
    <x v="0"/>
    <s v="Article"/>
    <s v="10.1016/j.gaceta.2019.09.002"/>
    <s v=""/>
    <x v="0"/>
    <m/>
    <m/>
    <s v="https://www.scopus.com/inward/record.uri?eid=2-s2.0-85075900466&amp;doi=10.1016%2fj.gaceta.2019.09.002&amp;partnerID=40&amp;md5=3d90e70e95b9e76b91363dccbfdbb5f2"/>
    <x v="2"/>
  </r>
  <r>
    <s v="Bhattacharjee N.V.; Schaeffer L.E.; Hay S.I.; Lu D.; Schipp M.F.; Lazzar-Atwood A.; Donkers K.M.; Abady G.G.; Abd-Allah F.; Abdelalim A.; Abebo Z.H.; Abejie A.N.; Abosetugn A.E.; Abreu L.G.; Abrigo M.R.M.; Abu-Gharbieh E.; Abushouk A.I.; Adamu A.L.; Adedeji I.A.; Adegbosin A.E.; Adekanmbi V.; Adetokunboh O.O.; Agudelo-Botero M.; Aji B.; Akinyemi O.O.; Alamneh A.A.; Alanezi F.M.; Alanzi T.M.; Albright J.; Alcalde-Rabanal J.E.; Alemu B.W.; Alhassan R.K.; Ali B.A.; Ali S.; Alinia C.; Alipour V.; Amit A.M.L.; Amugsi D.A.; Anbesu E.W.; Ancuceanu R.; Anjomshoa M.; Ansari F.; Antonio C.A.T.; Anvari D.; Arabloo J.; Arora A.; Artanti K.D.; Asemahagn M.A.; Asmare W.N.; Atout M.M.W.; Ausloos M.; Awoke N.; Quintanilla B.P.A.; Ayanore M.A.; Aynalem Y.A.; Ayza M.A.; Azene Z.N.; Darshan B.B.; Badiye A.D.; Baig A.A.; Bakkannavar S.M.; Banach M.; Banik P.C.; Bärnighausen T.W.; Basaleem H.; Bayati M.; Baye B.A.; Bedi N.; Belay S.A.; Bhagavathula A.S.; Bhandari D.; Bhardwaj N.; Bhardwaj P.; Bhutta Z.A.; Bijani A.; Birhan T.A.; Birihane B.M.; Bitew Z.W.; Bohlouli S.; Bohluli M.; Bojia H.A.; Boloor A.; Brady O.J.; Bragazzi N.L.; Brunoni A.R.; Budhathoki S.S.; Nagaraja S.B.; Butt Z.A.; Cárdenas R.; Castaldelli-Maia J.M.; Castro F.; Cernigliaro A.; Charan J.; Chatterjee P.; Chatterjee S.; Chattu V.K.; Chaturvedi S.; Chowdhury M.A.K.; Chu D.-T.; Collison M.L.; Cook A.J.; Cork M.A.; Couto R.A.S.; Dagnew B.; Dai H.; Dandona L.; Dandona R.; Daneshpajouhnejad P.; Darwesh A.M.; Darwish A.H.; Daryani A.; Das J.K.; Gupta R.D.; Dávila-Cervantes C.A.; Davis A.C.; Weaver N.D.; Denova-Gutiérrez E.; Deribe K.; Desalew A.; Deshpande A.; Dessie A.; Deuba K.; Dharmaratne S.D.; Dhimal M.; Dhungana G.P.; Diaz D.; Didarloo A.; Dipeolu I.O.; Doan L.P.; Duko B.; Duraes A.R.; Dwyer-Lindgren L.; Earl L.; Zaki M.E.S.; Tantawi M.E.; Elema T.B.; Elhabashy H.R.; El-Jaafary S.I.; Faris P.S.; Faro A.; Farzadfar F.; Feigin V.L.; Feleke B.E.; Ferede T.Y.; Fischer F.; Foigt N.A.; Folayan M.O.; Franklin R.C.; Gad M.M.; Gaidhane S.; Gardner W.M.; Geberemariyam B.S.; Gebregiorgis B.G.; Gebremedhin K.B.; Gebremichael B.; Ghaffarpasand F.; Gilani S.A.; Ginindza T.G.; Glagn M.; Golechha M.; Gonfa K.B.; Goulart B.N.G.; Gudi N.; Guido D.; Guled R.A.; Guo Y.; Hamidi S.; Handiso D.W.; Hasaballah A.I.; Hassan A.; Hayat K.; Hegazy M.I.; Heidari B.; Henry N.J.; Herteliu C.; de Hidru H.D.; Ho H.C.; Hoang C.L.; Holla R.; Hon J.; Hosseini M.; Hosseinzadeh M.; Househ M.; Hsairi M.; Hu G.; Huda T.M.; Hwang B.-F.; Ibitoye S.E.; Ilesanmi O.S.; Ilic I.M.; Ilic M.D.; Inbaraj L.R.; Iqbal U.; Irvani S.S.N.; Islam M.M.; Iwu C.C.D.; Iwu C.J.; Jain A.; Janodia M.D.; Javaheri T.; John-Akinola Y.O.; Johnson K.B.; Joukar F.; Jozwiak J.J.; Kabir A.; Kalankesh L.R.; Kalhor R.; Kamath A.; Kamyari N.; Kanchan O.T.; Kapoor N.; Matin B.K.; Karimi S.E.; Kasaye H.K.; Kassahun G.; Kassebaum N.J.; Kayode G.A.; Karyani A.K.; Keiyoro P.N.; Kelkay B.; Khalid N.; Khan M.N.; Khatab K.; Khater A.M.; Khater M.M.; Khatib M.N.; Kim Y.J.; Kimokoti R.W.; Kinyoki D.K.; Kisa A.; Kisa S.; Kosen S.; Krishan K.; Kulkarni V.; Kumar G.A.; Kumar M.; Kumar N.; Kumar P.; Kurmi O.P.; Kusuma D.; Vecchia C.L.; Lad S.D.; Lami F.H.; Landires I.; Lansingh V.C.; Lasrado S.; Lee P.H.; LeGrand K.E.; Letourneau I.D.; Lewycka S.; Li B.; Li M.-C.; Li S.; Liu X.; Lodha R.; Lopez J.C.F.; Louie C.; Machado D.B.; Maled V.; Maleki S.; Malta D.C.; Mamun A.A.; Manafi N.; Mansournia M.A.; Mapoma C.C.; Marczak L.B.; Martins-Melo F.R.; Mehndiratta M.M.; Mejia-Rodriguez F.; Mekonnen T.C.; Mendoza W.; Menezes R.G.; Mengesha E.W.; Mersha A.M.; Miller T.R.; Mini G.K.; Mirrakhimov E.M.; Misra S.; Moghadaszadeh M.; Mohammad D.K.; Mohammadian-Hafshejani A.; Mohammed J.A.; Mohammed S.; Mokdad A.H.; Montero-Zamora P.A.; Moradi M.; Moradzadeh R.; Moraga P.; Mosser J.F.; Mousavi S.M.; Khaneghah A.M.; Munro S.B.; Muriithi M.K.; Mustafa G.; Muthupandian S.; Nagarajan A.J.; Naik G.; Naimzada M.D.; Nangia V.; Nascimento B.R.; Nayak V.C.; Ndejjo R.; Ndwandwe D.E.; Negoi I.; Nguefack-Tsague G.; Ngunjiri J.W.; Nguyen C.T.; Nguyen D.N.; Nguyen H.L.T.; Nigussie S.N.; Nigussie T.T.N.; Nikbakhsh R.; Nnaji C.A.; Nunez-Samudio V.; Oancea B.; Oghenetega O.B.; Olagunju A.T.; Olusanya B.O.; Olusanya J.O.; Omer M.O.; Onwujekwe O.E.; Ortega-Altamirano D.V.; Osgood-Zimmerman A.E.; Otstavnov N.; Otstavnov S.S.; Owolabi M.O.; Mahesh P.A.; Padubidri J.R.; Pana A.; Pandey A.; Pandi-Perumal S.R.; Pangaribuan H.U.; Parsekar S.S.; Pasupula D.K.; Patel U.K.; Pathak A.; Pathak M.; Pattanshetty S.M.; Patton G.C.; Paulos K.; Pepito V.C.F.; Pickering B.V.; Pinheiro M.; Piwoz E.G.; Pokhrel K.N.; Pourjafar H.; Prada S.I.; Pribadi D.R.A.; Syed Z.Q.; Rabiee M.; Rabiee N.; Rahim F.; Rahimzadeh S.; Rahman A.; Rahman M.H.U.; Rahmani A.M.; Rai R.K.; Ranabhat C.L.; Rao S.J.; Rastogi P.; Rathi P.; Rawaf D.L.; Rawaf S.; Rawassizadeh R.; Rawat R.; Rawat R.; Regassa L.D.; Rego M.A.S.; Reiner R.C., Jr.; Reshmi B.; Rezapour A.; Ribeiro A.I.; Rickard J.; Roever L.; Rumisha S.F.; Rwegerera G.M.; Sagar R.; Sajadi S.M.; Salem M.R.; Samy A.M.; Santric-Milicevic M.M.; Saraswathy S.Y.I.; Sarker A.R.; Sartorius B.; Sathian B.; Saxena D.; Sbarra A.N.; Sengupta D.; Senthilkumaran S.; Sha F.; Shafaat O.; Shaheen A.A.; Shaikh M.A.; Shalash A.S.; Shannawaz M.; Sheikh A.; Shetty B.S.K.; Shetty R.S.; Shibuya K.; Shiferaw W.S.; Shin J.I.; Silva D.A.S.; Singh N.P.; Singh P.; Singh S.; Sintayehu Y.; Skryabin V.Y.; Skryabina A.A.; Soheili A.; Soltani S.; Sorrie M.B.; Spurlock E.E.; Steuben K.M.; Sudaryanto A.; Sufiyan M.B.; Swartz S.J.; Tadesse E.G.; Tamiru A.T.; Tapak L.; Tareque M.I.; Tarigan I.U.; Tesema G.A.; Tesfay F.H.; Teshome A.; Tessema Z.T.; Thankappan K.R.; Thapar R.; Thomas N.; Topor-Madry R.; Tovani-Palone M.R.; Traini E.; Tran B.X.; Truong P.N.; Tsegaye B.T.B.T.; Ullah I.; Umeokonkwo C.D.; Unnikrishnan B.; Upadhyay E.; Uzochukwu B.S.C.; VanderHeide J.D.; Violante F.S.; Vo B.; Wado Y.D.; Waheed Y.; Wamai R.G.; Wang F.; Wang Y.; Wang Y.-P.; Wickramasinghe N.D.; Wiens K.E.; Wiysonge C.S.; Woyczynski L.; Wu A.-M.; Wu C.; Yamada T.; Yaya S.; Yeshaneh A.; Yeshaw Y.; Yeshitila Y.G.; Yilma M.T.; Yip P.; Yonemoto N.; Yosef T.; Younis M.Z.; Yousuf A.Y.; Yu C.; Yu Y.; Yuce D.; Zafar S.; Zaidi S.S.; Zaki L.; Zakzuk J.; Zamanian M.; Zar H.J.; Zastrozhin M.S.; Zastrozhina A.; Zelellw D.A.; Zhang Y.; Zhang Z.-J.; Zhao X.-J.G.; Zodpey S.; Zuniga Y.M.H.; Hay S.I."/>
    <s v="Mapping inequalities in exclusive breastfeeding in low- and middle-income countries, 2000–2018"/>
    <x v="1"/>
    <x v="17"/>
    <s v="Exclusive breastfeeding (EBF)—giving infants only breast-milk for the first 6 months of life—is a component of optimal breastfeeding practices effective in preventing child morbidity and mortality. EBF practices are known to vary by population and comparable subnational estimates of prevalence and progress across low- and middle-income countries (LMICs) are required for planning policy and interventions. Here we present a geospatial analysis of EBF prevalence estimates from 2000 to 2018 across 94 LMICs mapped to policy-relevant administrative units (for example, districts), quantify subnational inequalities and their changes over time, and estimate probabilities of meeting the World Health Organization’s Global Nutrition Target (WHO GNT) of ≥70% EBF prevalence by 2030. While six LMICs are projected to meet the WHO GNT of ≥70% EBF prevalence at a national scale, only three are predicted to meet the target in all their district-level units by 2030. © 2021, The Author(s)."/>
    <s v=""/>
    <s v="Nature Research"/>
    <x v="0"/>
    <s v="Article"/>
    <s v="10.1038/s41562-021-01108-6"/>
    <s v="S.I. Hay; Institute for Health Metrics and Evaluation, University of Washington, Seattle, United States; email: sihay@uw.edu"/>
    <x v="0"/>
    <m/>
    <m/>
    <s v="https://www.scopus.com/inward/record.uri?eid=2-s2.0-85107815293&amp;doi=10.1038%2fs41562-021-01108-6&amp;partnerID=40&amp;md5=bfb7277de057cb541d0f5440209574a7"/>
    <x v="0"/>
  </r>
  <r>
    <s v="Dávila-Aliaga C.; Torres-Marcos E.; Paucar-Zegarra R.; Hinojosa-Pérez R.; Espinoza-Vivas Y.; Mendoza-Ibáñez E.; Marín D.; Espínola-Sánchez M.; De la Cruz-Dávila J.; Arango-Ochante P."/>
    <s v="Clinical and epidemiological characterization in the follow-up of newborns with COVID-19: a descriptive study; [Caracterización clínica y epidemiológica en el seguimiento de recién nacidos con COVID-19: estudio descriptivo]"/>
    <x v="1"/>
    <x v="18"/>
    <s v="Introduction COVID-19 disease affects newborns, but its middle and long-term effects are still unclear. Objective To describe the clinical and epidemiological characteristics and follow-up of newborns infected with SARS-CoV-2. Methods An observational and descriptive study. We included newborns with SARS-CoV-2 positive RT-PCR born from SARS-CoV-2 sero-positive mothers. Delivery and newborn care were provided at the 'Instituto Nacional Materno Perinatal' from Peru between June 1 and September 30, 2020. Perinatal information was collected from medical records. Remote follow-up and face-to-face evalua-tions gathered epidemiological and clinical information, in addition to serological and RT-PCR tests for SARS-CoV-2. Descriptive statistics were used for analysis. Results During the study period, 4733 neonates were born at the institution. We found that 1488 (31.4%) were born from seropositive for SARS-CoV-2 mothers. Finally, we included the 34 (2.3%) newborns with positive RT-PCR for SARS-CoV-2. Regarding the included newborns, 29.4% were delivered by cesarean section, 26.5% had low birth weight, 11.8% were preterm, 26.5% were hospitalized, and one died. Twenty-eight had a remote follow-up, and 18 also had a face-to-face follow-up. A total of 64.3% were exclusively breastfed, 28.6% were mixed breastfed, and 7.1% used a substitute formula. The face-to-face evaluation was performed between one and four months of chronological age. We found that 100% had negative control RT-PCR test for COVID-19, 38.9% had a negative serological test (IgM, IgG), and 61.1% positive IgG. Conclusions Neonatal SARS-CoV-2 infection is rare, and most infected infants are asymptomatic. Vaginal delivery, breastfeeding, and joint iso-lation did not related with complications during hospital care. Infants under remote and in-person follow-up showed favorable clinical evolution during the study period. © 2021, Medwave Estudios Ltda. All rights reserved."/>
    <s v=""/>
    <s v="Medwave Estudios Ltda"/>
    <x v="0"/>
    <s v="Article"/>
    <s v="10.5867/medwave.2021.11.002141"/>
    <s v="C. Dávila-Aliaga; Lima, Jr. Santa Rosa, 941, Cercado de Lima, Peru; email: davilacarmen@hotmail.com"/>
    <x v="0"/>
    <m/>
    <m/>
    <s v="https://www.scopus.com/inward/record.uri?eid=2-s2.0-85122842636&amp;doi=10.5867%2fmedwave.2021.11.002141&amp;partnerID=40&amp;md5=9ef6d53bdee4fbc5a4a1a5b9e995835f"/>
    <x v="1"/>
  </r>
  <r>
    <s v="Castro-Bedriñana J.; Chirinos-Peinado D.; De La Cruz-Calderón G."/>
    <s v="Predictive model of stunting in the Central Andean region of Peru based on socioeconomic and agri-food determinants"/>
    <x v="1"/>
    <x v="19"/>
    <s v="Objectives: A limitation in the design and monitoring of public health policies is the lack of conceptual models to explain their results. The objective of this study was to develop a predictive model of stunting in children under 5 years of age in the central Andean region of Peru, using socioeconomic and agro-productive predictors. Study design: Cross-sectional data of 380 families in 15 districts of the central region of Peru. WHO criteria were used to define stunting prediction model. Methods: An explanatory and predictive study of stunting in children was carried out considering causality criteria through Chi-square tests and bivariate logistic regression. Family food production, maternal education, breastfeeding practices and others determinant related to rural zone conditions were considered as explanatory variables in stunting of children under 5 years old. Three exhaustive models for predicted the presence of stunting was developed. Results: Stunting percentage was 40.3. To Hosmer and Lemeshow test, the best fit was the model that considered the level of maternal education, timely consumption of colostrum, birth weight and guinea pig rearing, having high reliability (P ​&lt; ​0.05). Conclusions: A predictive model for early detection of stunting risk in rural areas of the Andean region was developed based on simple and easily applied indicators. Effective policies are required to improve the feeding practices of pregnant women, increase breastfeeding and promote guinea pig raising for self-consumption and improve the nutritional status of children. © 2021 The Author(s)"/>
    <s v="Agri-food determinants; Guinea pig Raising; Peruvian high andes; Socioeconomic disparities; Stunting prediction"/>
    <s v="Elsevier B.V."/>
    <x v="0"/>
    <s v="Article"/>
    <s v="10.1016/j.puhip.2021.100112"/>
    <s v="J. Castro-Bedriñana; Huancayo, Av. Mariscal Castilla, 3909 El Tambo, Peru; email: jcastro@uncp.edu.pe"/>
    <x v="7"/>
    <m/>
    <m/>
    <s v="https://www.scopus.com/inward/record.uri?eid=2-s2.0-85103626747&amp;doi=10.1016%2fj.puhip.2021.100112&amp;partnerID=40&amp;md5=c47582ff35afddb671ad036ce557be12"/>
    <x v="2"/>
  </r>
  <r>
    <s v="Munives-Marcos A.K.; Arauzo-Sinchez C.J.; Cupé-Araujo A.C.; Ladera-Castañeda M.I.; Cervantes-Ganoza L.A.; Cayo-Rojas C.F."/>
    <s v="Variability of Sugars Concentrations in Infant Follow-on Formulas with Higher Consumption in Peru: A Preliminary Study"/>
    <x v="2"/>
    <x v="20"/>
    <s v="Aim: The aim of the present preliminary study was to determine sugar concentration in infant follow-on formulas most widely consumed in Peru. Materials and methods: In this descriptive and observational study, the sample was represented by five brands of infant follow-on formulas most consumed in Peru (A, Similac 2; B, Enfamil 2®; C, NAN 2®; D, Baby Lac Pro 2®; and E, Lacti Kids Premium 2®); with two samples of each, collected at two different locations in the Peruvian capital. Subsequently, the concentration of total and individual sugars (lactose, sucrose, glucose, fructose, and maltose) was determined using the high-performance liquid chromatography (HPLC) method in a specialized laboratory. For the comparison of means, Welch’s robust analysis of variance (ANOVA) test for equality of means and Tukey’s post hoc test were used. The significance level was p &lt; 0.05. Results: The total sugars concentration per 100 gm of the five infant follow-on formulas showed a mean of 38.9 ± 11.03 gm, being Similac 2, the infant follow-on formula, with the highest concentration of 50.33 ± 0.11 gm and Enfamil 2, the lowest with 22.75 ± 0.06 gm. The average sugars recorded in the laboratory were compared with those on the product label for Similac 2 (50.3 and 53.1 gr), NAN 2 (46.5 and 51.5 gr), Baby Lac Pro 2 (41.5 and 57.0 gr), Lacti Kids Premium 2 (33.3 and 57.0 gr) and Enfamil 2 (22.8 and 56.0 gr). Furthermore, when comparing the infant follow-on formulas, significant differences were observed between all sugar concentrations (p &lt; 0.001), with the follow-on formula with the significantly higher sugar concentration being Similac 2 (p &lt; 0.001) and the one with the significantly lower concentration being Enfamil 2 (p &lt; 0.001). Regarding individual sugars, per 100 gm analyzed, fructose and maltose registered values &lt;0.70 g. Similar values were obtained for glucose except for Enfamil 2 (1.07 ± 0.01gr) and Baby Lac Pro 2 (0.72 ± 0.01gr) and for sucrose except for Lacti Kids Premium 2 (11.92 ± 0.01gr) and Similac 2 (9.94 ± 0.08 gr). On the other hand, the highest lactose value found was in NAN 2 (46.51 ± 0.08 gr), and the lowest value obtained was in Lacti Kids Premium 2 (21.42 ± 0.01 gr). Conclusion: There is a variability of sugar concentrations in infant follow-on formulas, being these values lower than those referred to on product labels. The formula with the lowest discrepancy was Similac 2, while the formula with the highest discrepancy was Enfamil 2, with Similac 2 and Enfamil 2 being significantly the formulas with the highest and lowest sugar concentration, respectively. In addition, among individual sugars, lactose, and sucrose stood out in greater proportion compared to other free sugars. Clinical significance: It is important that institutions responsible for infant nutritional safety encourage and promote the use and practice of breastfeeding during early life and provide adequate guidance regarding daily doses of infant follow-on formulas since, according to the World Health Organization (WHO), the high consumption of free sugars contained in these formulas can put infants’ oral health at risk. © The Author(s). 2023 Open Access."/>
    <s v="Carbohydrates; Dental caries; Diet; Infant formula; Infants; Preliminary study; Sucrose; Sugars"/>
    <s v="Jaypee Brothers Medical Publishers (P) Ltd"/>
    <x v="0"/>
    <s v="Article"/>
    <s v="10.5005/jp-journals-10015-2199"/>
    <s v="C.F. Cayo-Rojas; School of Stomatology, Universidad Privada San Juan Bautista, Lima, Peru; email: cesarcayorojas@gmail.com"/>
    <x v="1"/>
    <m/>
    <m/>
    <s v="https://www.scopus.com/inward/record.uri?eid=2-s2.0-85160105481&amp;doi=10.5005%2fjp-journals-10015-2199&amp;partnerID=40&amp;md5=5fd2fbf3931cc8e63ebc3e35cb164f37"/>
    <x v="0"/>
  </r>
  <r>
    <s v="Tello B.; Rivadeneira M.F.; Moncayo A.L.; Buitrón J.; Astudillo F.; Estrella A.; Torres A.L."/>
    <s v="Breastfeeding, feeding practices and stunting in indigenous Ecuadorians under 2 years of age"/>
    <x v="0"/>
    <x v="1"/>
    <s v="Background: The indigenous child population in Ecuador has a high prevalence of stunting. There is limited evidence of the association between breastfeeding, feeding practices, and stunting in indigenous children. This study aimed to analyze the prevalence of breastfeeding and complementary feeding practices and explore their association with stunting in Ecuadorian indigenous children under two years of age. Methods: Cross-sectional study of secondary data analysis using the 2012 Ecuador National Health and Nutrition Study, in 625 children aged 0–23 months (48,069 expanded sample), representative for the indigenous population. Breastfeeding and complementary feeding indicators were analyzed by age groups. Timely initiation of breastfeeding (within one hour after birth), exclusive breastfeeding (infants under six months who received only breast milk for the previous day), and other indicators were measured. Chi-square test or Fisher's exact test and logistic regression for complex samples were used to explore association with demographic and socioeconomic factors and stunting. Results: Twenty-six-point eight percent of the children were stunted. Stunting occurred mainly in children with rural residence, on poor households, and where there were four or more children. Most of the children had a timely initiation of breastfeeding (69.5% for 0–12 months and 75.5% for 13–23 months) and exclusive breastfeeding up to six months (78.2%). Among children between 6–12 months of age, 99.3% continued to be breastfed. In children from ages 6 to 12 months, 32.5% received food with adequate dietary diversity. Lower percentages of complementary feeding occurred in the poorest, adolescent mothers or those with less education. Children who did not receive the minimum frequency of meals for their age had higher odds of stunting (OR 3.28; 95% CI 1.3, 8.27). Children from age 19 to 23 months who consumed foods rich in iron showed lower probabilities of stunting (OR 0.04; 95% CI 0.00, 0.51). Conclusions: Breastfeeding practices reached a prevalence of 70% or more, without being associated with stunting. Complementary feeding practices showed differences by socioeconomic condition. Not reaching the minimum meal frequency between 6 and 12 months of age was associated with stunting. Plans and strategies are necessary to promote adequate feeding and breastfeeding practices in the indigenous population. © 2022, The Author(s)."/>
    <s v="Breastfeeding; Child feeding; Child public health; Complementary feeding; Indigenous population; Stunting"/>
    <s v="BioMed Central Ltd"/>
    <x v="0"/>
    <s v="Article"/>
    <s v="10.1186/s13006-022-00461-0"/>
    <s v="M.F. Rivadeneira; Facultad de Medicina, Instituto de Salud Pública, Pontificia Universidad Católica del Ecuador, Quito, 12 de Octubre and Roca, 1076, Ecuador; email: mfrivadeneirag@puce.edu.ec"/>
    <x v="0"/>
    <m/>
    <m/>
    <s v="https://www.scopus.com/inward/record.uri?eid=2-s2.0-85125793193&amp;doi=10.1186%2fs13006-022-00461-0&amp;partnerID=40&amp;md5=783d94284868fdd454e8f1d124dfc5ee"/>
    <x v="1"/>
  </r>
  <r>
    <s v="Caffé B.; Blackwell A.; Fehrenkamp B.D.; Williams J.E.; Pace R.M.; Lackey K.A.; Ruiz L.; Rodríguez J.M.; McGuire M.A.; Foster J.A.; Sellen D.W.; Kamau-Mbuthia E.W.; Kamundia E.W.; Mbugua S.; Moore S.E.; Prentice A.M.; Kvist L.J.; Otoo G.E.; Pareja R.G.; Bode L.; Gebeyehu D.; Gindola D.K.; Boothman S.; Flores K.; McGuire M.K.; Meehan C.L."/>
    <s v="Human milk immune factors, maternal nutritional status, and infant sex: The INSPIRE study"/>
    <x v="2"/>
    <x v="21"/>
    <s v="Objectives: Breastfeeding is an energetically costly and intense form of human parental investment, providing sole-source nutrition in early infancy and bioactive components, including immune factors. Given the energetic cost of lactation, milk factors may be subject to tradeoffs, and variation in concentrations have been explored utilizing the Trivers-Willard hypothesis. As human milk immune factors are critical to developing immune system and protect infants against pathogens, we tested whether concentrations of milk immune factors (IgA, IgM, IgG, EGF, TGFβ2, and IL-10) vary in response to infant sex and maternal condition (proxied by maternal diet diversity [DD] and body mass index [BMI]) as posited in the Trivers-Willard hypothesis and consider the application of the hypothesis to milk composition. Methods: We analyzed concentrations of immune factors in 358 milk samples collected from women residing in 10 international sites using linear mixed-effects models to test for an interaction between maternal condition, including population as a random effect and infant age and maternal age as fixed effects. Results: IgG concentrations were significantly lower in milk produced by women consuming diets with low diversity with male infants than those with female infants. No other significant associations were identified. Conclusions: IgG concentrations were related to infant sex and maternal diet diversity, providing minimal support for the hypothesis. Given the lack of associations across other select immune factors, results suggest that the Trivers-Willard hypothesis may not be broadly applied to human milk immune factors as a measure of maternal investment, which are likely buffered against perturbations in maternal condition. © 2023 The Authors. American Journal of Human Biology published by Wiley Periodicals LLC."/>
    <s v=""/>
    <s v="John Wiley and Sons Inc"/>
    <x v="0"/>
    <s v="Article"/>
    <s v="10.1002/ajhb.23943"/>
    <s v="C.L. Meehan; Department of Anthropology, Washington State University, Pullman, United States; email: cmeehan@wsu.edu"/>
    <x v="0"/>
    <m/>
    <m/>
    <s v="https://www.scopus.com/inward/record.uri?eid=2-s2.0-85163048258&amp;doi=10.1002%2fajhb.23943&amp;partnerID=40&amp;md5=3e09d92bbb5b4a2efa69ea270c47a9f2"/>
    <x v="2"/>
  </r>
  <r>
    <s v="Vizcarra-Jiménez D.; Copaja-Corzo C.; Hueda-Zavaleta M.; Parihuana-Travezaño E.G.; Gutierrez-Flores M.; Rivarola-Hidalgo M.; Benites-Zapata V.A."/>
    <s v="Predictors of Death in Patients with Neonatal Sepsis in a Peruvian Hospital"/>
    <x v="0"/>
    <x v="22"/>
    <s v="Reducing neonatal mortality is a global challenge. This study’s objective was to determine the predictors of mortality in patients with neonatal sepsis. The study was a retrospective cohort study in a Peruvian hospital from January 2014 to April 2022. Neonates diagnosed with sepsis were included. To find predictors of mortality, we used Cox proportional regression models. We evaluated 288 neonates with sepsis; the median birth weight and hospitalization time were 3270 g and seven days, respectively. During follow-up, 18.4% did not survive, and the most common complications were jaundice (35.42%), respiratory distress syndrome (29.51%), and septic shock (12.5%). The most isolated bacteria were Klebsiella pneumoniae. The risk factors associated with higher mortality were prematurity (aHR = 13.92; 95% CI: 1.71–113.51), platelets &lt;150,000 (aHR = 3.64; 1.22–10.88), creatinine greater than 1.10 (aHR = 3.03; 1.09–8.45), septic shock (aHR = 4.41; 2.23–8.74), and admission to IMV (aHR = 5.61; 1.86–16.88), On the other hand, breastfeeding was associated with a lower risk of death (aHR = 0.25; 0.13–0.48). In conclusion, we report a high incidence of death and identify clinical (prematurity, septic shock, admission to IMV) and laboratory characteristics (elevated creatinine and thrombocytopenia) associated with higher mortality in patients with neonatal sepsis. Breastfeeding was a factor associated with survival in these patients. © 2022 by the authors."/>
    <s v="mortality; neonatal sepsis; newborn; Peru; premature; risk factors; sepsis; thrombocytopenia"/>
    <s v="MDPI"/>
    <x v="0"/>
    <s v="Article"/>
    <s v="10.3390/tropicalmed7110342"/>
    <s v="C. Copaja-Corzo; Facultad de Ciencias de la Salud, Universidad Privada de Tacna, Tacna, 23003, Peru; email: cescopajac@upt.pe; V.A. Benites-Zapata; Unidad de Investigación para la Generación y Síntesis de Evidencias en Salud, Universidad San Ignacio de Loyola, Lima, 15024, Peru; email: vbenites@usil.edu.pe"/>
    <x v="0"/>
    <m/>
    <m/>
    <s v="https://www.scopus.com/inward/record.uri?eid=2-s2.0-85141782142&amp;doi=10.3390%2ftropicalmed7110342&amp;partnerID=40&amp;md5=e166a3a06fc1bb64269f2b167fa2cf08"/>
    <x v="0"/>
  </r>
  <r>
    <s v="Romaní K.J.O.; Montalvo Y.J.O.; Encarnación J.R.E.; de la Rosa L.N.; Velásquez C.A.J."/>
    <s v="Analysis of the multicausal model of anemia level in children 6-35 months old in Peru; [Análisis del modelo multicausal sobre el nivel de la anemia en niños de 6 a 35 meses en Perú]"/>
    <x v="1"/>
    <x v="23"/>
    <s v="Introduction: Iron deficiency anemia in children from 6 to 35 months is a severe public health issue. Objective: to determine the prevalence of anemia level and related factors in children under three years applying multicausal model in Peruvian population. Materials and methods: To explanatory level research was carried out applying a secondary analysis with data found in the database of the 2019 Demographic and Family Health Survey. The main variable was the level of anemia in which Hemocue® test was used. Weighted values, frequencies, percentages, goodness-of-fit, and an ordinal regression model were taken into consideration. Results: 40.20% of children under three years old presented anemia. Factors as presence of diarrhea (OR = 1.30), 12 months of life (OR: 3.33), not starting prenatal control (OR: 1.19), male gender (OR: 1.25), mother with anemia (OR: 1.75), mothers who are 15 to 24 (OR: 1.94), water well as a source of water (OR: 1.53), Aymara as mother tongue (OR: 2.31) were associated with anemia level. Conclusions: Among the risk factors associated with anemia according to the multicausal model, diarrhea in the last two weeks is a determinant factor, among the underlying factors are the child's age, source of drinking water, prenatal care, anemia and the woman's age. In addition, the protective factors correspond to breastfeeding for some time and the highest wealth quintile. © COPYRIGHT Servicio de Publicaciones - Universidad de Murcia"/>
    <s v="Anemia; Iron-deficiency; Public health; Risk factors"/>
    <s v="Universidad de Murcia Servicio de Publicaciones"/>
    <x v="0"/>
    <s v="Article"/>
    <s v="10.6018/eglobal.472871"/>
    <s v="K.J.O. Romaní; Research Department of Health Sciences Faculty Catolic University, Sapientiae Headquarter, Peru; email: kortiz@ucss.edu.pe"/>
    <x v="1"/>
    <m/>
    <m/>
    <s v="https://www.scopus.com/inward/record.uri?eid=2-s2.0-85121827855&amp;doi=10.6018%2feglobal.472871&amp;partnerID=40&amp;md5=eeca3bb88a7338c8d3636b317e6501a4"/>
    <x v="1"/>
  </r>
  <r>
    <s v="Richard S.A.; McCormick B.J.J.; Murray-Kolb L.E.; Patil C.L.; Chandyo R.K.; Mahopo C.; Maciel B.L.; Bose A.; Mahfuz M.; Ambikapathi R.; Olortegui M.P.; Caulfield L.E."/>
    <s v="Characteristics associated with the transition to partial breastfeeding prior to 6 months of age: Data from seven sites in a birth cohort study"/>
    <x v="1"/>
    <x v="7"/>
    <s v="The WHO recommends exclusive breastfeeding for the first 6 months of life. However, the transition of the infants' diet to partial breastfeeding with the addition of animal milks and/or solids typically occurs earlier than this. Here, we explored factors associated with the timing of an early transition to partial breastfeeding across seven sites of a birth cohort study in which twice weekly information on infant feeding practices was collected. Infant (size, sex, illness and temperament), maternal (age, education, parity and depressive symptoms), breastfeeding initiation practices (time of initiation, colostrum and pre-lacteal feeding) and household factors (food security, crowding, assets, income and resources) were considered. Three consecutive caregiver reports of feeding animal milks and/or solids (over a 10-day period) were characterized as a transition to partial breastfeeding, and Cox proportional hazard models with time (in days) to partial breastfeeding were used to evaluate associations with both fixed and time-varying characteristics. Overall, 1470 infants were included in this analysis. Median age of transition to partial breastfeeding ranged from 59 days (South Africa and Tanzania) to 178 days (Bangladesh). Overall, higher weight-for-length z-scores were associated with later transitions to partial breastfeeding, as were food insecurity, and infant cough in the past 30 days. Maternal depressive symptoms (evaluated amongst 1227 infants from six sites) were associated with an earlier transition to partial breastfeeding. Relative thinness or heaviness within each site was related to breastfeeding transitions, as opposed to absolute z-scores. Further research is needed to understand relationships between local perceptions of infant body size and decisions about breastfeeding. © 2021 The Authors. Maternal &amp; Child Nutrition published by John Wiley &amp; Sons Ltd."/>
    <s v="breastfeeding; food insecurity; infant feeding; infant growth; maternal depression"/>
    <s v="Blackwell Publishing Ltd"/>
    <x v="0"/>
    <s v="Article"/>
    <s v="10.1111/mcn.13166"/>
    <s v="S.A. Richard; Fogarty International Center, National Institutes of Health, Bethesda, United States; email: srichard@idcrp.org"/>
    <x v="3"/>
    <m/>
    <m/>
    <s v="https://www.scopus.com/inward/record.uri?eid=2-s2.0-85101909955&amp;doi=10.1111%2fmcn.13166&amp;partnerID=40&amp;md5=8338b90d6dd96d7a297a284ad73c3b01"/>
    <x v="2"/>
  </r>
  <r>
    <s v="Reinders S.; Blas M.M.; Neuman M.; Huicho L.; Ronsmans C."/>
    <s v="Prevalence of essential newborn care in home and facility births in the Peruvian Amazon: Analysis of census data from programme evaluation in three remote districts of the Loreto region"/>
    <x v="2"/>
    <x v="24"/>
    <s v="Background: Essential newborn care (ENC) covers optimal breastfeeding, thermal care, and hygienic cord care. These practices are fundamental to save newborn lives. Despite neonatal mortality remaining high in some parts of Peru, no comprehensive data on ENC is available. We sought to estimate the prevalence of ENC and assess differences between facility and home births in the remote Peruvian Amazon. Methods: We used baseline data from a household census of rural communities of three districts in Loreto region, collected as part of the evaluation of a maternal-neonatal health (MNH) programme. Women between 15 and 49 years with a live birth in the last 12 months were invited to complete a questionnaire about MNH-related care and ENC. Prevalence of ENC was calculated for all births and disaggregated by place of birth. Adjusted prevalence differences (PD) were post-estimated from logistic regression models on the effect of place of birth on ENC. Findings: All 79 rural communities with a population of 14,474 were censused. Among 324 (&gt;99%) women interviewed, 70% gave birth at home, most (93%) without skilled birth assistance. Among all births, prevalence was lowest for immediate skin-to-skin contact (24%), colostrum feeding (47%), and early breastfeeding (64%). ENC was consistently lower in home compared to facility births. After adjusting for confounders, largest PD were found for immediate skin-to-skin contact (50% [95% CI: 38–62]), colostrum feeding (26% [16–36]), and clean cord care (23% [14–32]). ENC prevalence in facilities ranged between 58 and 93%; delayed bathing was lower compared to home births (−19% [−31 to −7]). Interpretation: Low prevalence of ENC practices among home births in a setting with high neonatal mortality and difficult access to quality care in facilities suggests potential for a community-based intervention to promote ENC practices at home, along with promotion of healthcare seeking and simultaneous strengthening of routine facility care. Funding: Grand Challenges Canada and Peruvian National Council of Science, Technology, and Technology Innovation. © 2022 The Author(s)"/>
    <s v="Amazon; Breastfeeding; Cord care; Essential newborn care; Indigenous; Maternal-neonatal health; Peru; Prevalence; Thermal care"/>
    <s v="Elsevier Ltd"/>
    <x v="0"/>
    <s v="Article"/>
    <s v="10.1016/j.lana.2022.100404"/>
    <s v="S. Reinders; Department of Infectious Disease Epidemiology, London School of Hygiene &amp; Tropical Medicine, London, WC1E 7HT, United Kingdom; email: stefan.reinders@lshtm.ac.uk"/>
    <x v="1"/>
    <m/>
    <m/>
    <s v="https://www.scopus.com/inward/record.uri?eid=2-s2.0-85143795481&amp;doi=10.1016%2fj.lana.2022.100404&amp;partnerID=40&amp;md5=7f6ccc06b73996f259b61b84d67f411e"/>
    <x v="0"/>
  </r>
  <r>
    <s v="Robert R.C.; Penny M.E.; Barbagelatta G.; Gainer S.A."/>
    <s v="Feeding Homemade Sugar Sweetened Beverages in Addition to Breastfeeding: Survey Results from Caregivers of Infants and Young Children in Peri-Urban Lima, Peru"/>
    <x v="2"/>
    <x v="25"/>
    <s v="Objectives: Consumption of sugar sweetened beverages (SSB) is associated with childhood obesity and other negative health conditions. Feeding SSB to infants and young children (IYC) under 2 years may displace consumption of breastmilk and nutrient rich foods critical for optimal growth and development. The World Health Organization (WHO) recommends avoiding added sugar (e.g. SSB) for IYC under 2 years. We sought to describe the variety of homemade and commercial SSB as well as breastmilk and beverages without added sugar fed to IYC aged 4–23 months living in a low-income, populous peri-urban area of Lima, Peru. Methods: A cross-sectional survey was conducted with 181 households with IYC aged 4–23 months. A list of common local homemade and commercial beverages was used to investigate what caregivers had fed to the child in the past 24 h. Results: A total of 93.9% of caregivers reported feeding at least one beverage to their child other than breastmilk in the past 24 h. This included a variety of homemade SSB (73.5%), commercial SSB (18.2%) and homemade beverages without added sugar (70.2%). A high percentage (83.4%) of children were also breastfed. Conclusions for Practice: Our findings suggest that interventions to address feeding homemade SSB to IYC within households are needed to support WHO recommendations and complement current commercial SSB policy regulations in Peru. © 2023, The Author(s), under exclusive licence to Springer Science+Business Media, LLC, part of Springer Nature."/>
    <s v="Homemade; Infant feeding practices; Latin America; Peru; Sugar sweetened beverages; Young child feeding"/>
    <s v="Springer"/>
    <x v="0"/>
    <s v="Article"/>
    <s v="10.1007/s10995-023-03668-7"/>
    <s v="R.C. Robert; Conway School of Nursing, The Catholic University of America, Washington, 620 Michigan Ave. N.E, United States; email: robert@cua.edu"/>
    <x v="0"/>
    <m/>
    <m/>
    <s v="https://www.scopus.com/inward/record.uri?eid=2-s2.0-85160217848&amp;doi=10.1007%2fs10995-023-03668-7&amp;partnerID=40&amp;md5=cbaa24a52c5a1ca3e556d3c3b9032a9b"/>
    <x v="1"/>
  </r>
  <r>
    <s v="Delgado C.A.; Sánchez V.; Shimabuku R.; Cadillo G.; Tabuchi M.; Durand F."/>
    <s v="Neonatal Appendicitis"/>
    <x v="1"/>
    <x v="26"/>
    <s v="Neonatal appendicitis is an unusual finding with a high mortality rate that occurs in term or preterm newborns. An uncomplicated debut is associated with delayed interventions and diagnosis, resulting in increased mortality. We present a preterm female patient native to a central region of the highlands of Peru who was born at 33 weeks gestation with a birth weight of 1310 g. She was born by cesarean section due to fetal distress and premature detachment of the placenta. She spent four days under CPAP-type respiratory support, and in her first week of life, she was already breastfeeding. At nine days of age, she presented with vomiting, initially resembling dairy but then becoming bilious and like coffee grounds. Imaging studies excluded pyloric hypertrophy and abnormal intestinal transit but resulted in a referral to a tertiary pediatric hospital in Lima to rule out intestinal malrotation. The patient arrived stable at the pediatric hospital at 20 days of life. Imaging studies excluded intestinal malrotation but exhibited a slow intestinal transit. An exploratory surgical intervention scheduled for the fifth day after arrival had to be deferred due to thrombocytopenia and increased prothrombin time, although this condition promptly corrected itself in two days. Finally, a laparotomy at 29 days of age revealed an appendix with vascular congestion and peri-appendicitis. Neonatal appendicitis, in this case, had a recurrent clinical presentation with full recovery after appendectomy. The patient had recurrent signs of intestinal obstruction with alternating periods of clinical and laboratory stability. These recurrent or intermittent clinical manifestations of neonatal appendicitis can delay the diagnosis and contribute to increased mortality. © 2020 The Authors"/>
    <s v="Acute appendicitis; Newborn; Preterm"/>
    <s v="Elsevier Inc."/>
    <x v="0"/>
    <s v="Article"/>
    <s v="10.1016/j.epsc.2020.101759"/>
    <s v="C.A. Delgado; Department of Pediatrics, Faculty of Medicine, Universidad Nacional Mayor de San Marcos, Neonatal Unit, Instituto Nacional de Salud del Niño, Breña, 642 Brazil Avenue, Lima 5, Peru; email: cdelgadob1@unmsm.edu.pe"/>
    <x v="0"/>
    <m/>
    <m/>
    <s v="https://www.scopus.com/inward/record.uri?eid=2-s2.0-85097874747&amp;doi=10.1016%2fj.epsc.2020.101759&amp;partnerID=40&amp;md5=64612b2ea796c37ae71ecfaaeccc5a1d"/>
    <x v="2"/>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959C52-0D19-471E-9DF7-0DE483F937CB}"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M6:AP15"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axis="axisRow" showAll="0">
      <items count="17">
        <item m="1" x="11"/>
        <item m="1" x="12"/>
        <item m="1" x="13"/>
        <item x="2"/>
        <item m="1" x="14"/>
        <item m="1" x="15"/>
        <item m="1" x="9"/>
        <item m="1" x="10"/>
        <item x="1"/>
        <item h="1" x="8"/>
        <item x="0"/>
        <item x="3"/>
        <item x="4"/>
        <item x="5"/>
        <item x="6"/>
        <item x="7"/>
        <item t="default"/>
      </items>
    </pivotField>
    <pivotField showAll="0"/>
    <pivotField showAll="0"/>
    <pivotField showAll="0"/>
    <pivotField showAll="0"/>
  </pivotFields>
  <rowFields count="1">
    <field x="11"/>
  </rowFields>
  <rowItems count="9">
    <i>
      <x v="3"/>
    </i>
    <i>
      <x v="8"/>
    </i>
    <i>
      <x v="10"/>
    </i>
    <i>
      <x v="11"/>
    </i>
    <i>
      <x v="12"/>
    </i>
    <i>
      <x v="13"/>
    </i>
    <i>
      <x v="14"/>
    </i>
    <i>
      <x v="15"/>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40">
    <format dxfId="40">
      <pivotArea type="all" dataOnly="0" outline="0" fieldPosition="0"/>
    </format>
    <format dxfId="39">
      <pivotArea outline="0" collapsedLevelsAreSubtotals="1" fieldPosition="0"/>
    </format>
    <format dxfId="38">
      <pivotArea field="2" type="button" dataOnly="0" labelOnly="1" outline="0"/>
    </format>
    <format dxfId="37">
      <pivotArea dataOnly="0" labelOnly="1" grandRow="1" outline="0" fieldPosition="0"/>
    </format>
    <format dxfId="36">
      <pivotArea dataOnly="0" labelOnly="1" outline="0" axis="axisValues" fieldPosition="0"/>
    </format>
    <format dxfId="35">
      <pivotArea outline="0" fieldPosition="0">
        <references count="1">
          <reference field="4294967294" count="1">
            <x v="1"/>
          </reference>
        </references>
      </pivotArea>
    </format>
    <format dxfId="34">
      <pivotArea outline="0" fieldPosition="0">
        <references count="1">
          <reference field="4294967294" count="1">
            <x v="2"/>
          </reference>
        </references>
      </pivotArea>
    </format>
    <format dxfId="33">
      <pivotArea outline="0" collapsedLevelsAreSubtotals="1" fieldPosition="0">
        <references count="1">
          <reference field="4294967294" count="1" selected="0">
            <x v="1"/>
          </reference>
        </references>
      </pivotArea>
    </format>
    <format dxfId="32">
      <pivotArea type="all" dataOnly="0" outline="0" fieldPosition="0"/>
    </format>
    <format dxfId="31">
      <pivotArea outline="0" collapsedLevelsAreSubtotals="1" fieldPosition="0"/>
    </format>
    <format dxfId="30">
      <pivotArea field="11" type="button" dataOnly="0" labelOnly="1" outline="0" axis="axisRow" fieldPosition="0"/>
    </format>
    <format dxfId="29">
      <pivotArea dataOnly="0" labelOnly="1" fieldPosition="0">
        <references count="1">
          <reference field="11" count="0"/>
        </references>
      </pivotArea>
    </format>
    <format dxfId="28">
      <pivotArea dataOnly="0" labelOnly="1" grandRow="1" outline="0" fieldPosition="0"/>
    </format>
    <format dxfId="27">
      <pivotArea dataOnly="0" labelOnly="1" outline="0" fieldPosition="0">
        <references count="1">
          <reference field="4294967294" count="3">
            <x v="0"/>
            <x v="1"/>
            <x v="2"/>
          </reference>
        </references>
      </pivotArea>
    </format>
    <format dxfId="26">
      <pivotArea type="all" dataOnly="0" outline="0" fieldPosition="0"/>
    </format>
    <format dxfId="25">
      <pivotArea outline="0" collapsedLevelsAreSubtotals="1" fieldPosition="0"/>
    </format>
    <format dxfId="24">
      <pivotArea field="11" type="button" dataOnly="0" labelOnly="1" outline="0" axis="axisRow" fieldPosition="0"/>
    </format>
    <format dxfId="23">
      <pivotArea dataOnly="0" labelOnly="1" fieldPosition="0">
        <references count="1">
          <reference field="11" count="0"/>
        </references>
      </pivotArea>
    </format>
    <format dxfId="22">
      <pivotArea dataOnly="0" labelOnly="1" grandRow="1" outline="0" fieldPosition="0"/>
    </format>
    <format dxfId="21">
      <pivotArea dataOnly="0" labelOnly="1" outline="0" fieldPosition="0">
        <references count="1">
          <reference field="4294967294" count="3">
            <x v="0"/>
            <x v="1"/>
            <x v="2"/>
          </reference>
        </references>
      </pivotArea>
    </format>
    <format dxfId="20">
      <pivotArea field="11" type="button" dataOnly="0" labelOnly="1" outline="0" axis="axisRow" fieldPosition="0"/>
    </format>
    <format dxfId="19">
      <pivotArea dataOnly="0" labelOnly="1" outline="0" fieldPosition="0">
        <references count="1">
          <reference field="4294967294" count="3">
            <x v="0"/>
            <x v="1"/>
            <x v="2"/>
          </reference>
        </references>
      </pivotArea>
    </format>
    <format dxfId="18">
      <pivotArea type="all" dataOnly="0" outline="0" fieldPosition="0"/>
    </format>
    <format dxfId="17">
      <pivotArea outline="0" collapsedLevelsAreSubtotals="1" fieldPosition="0"/>
    </format>
    <format dxfId="16">
      <pivotArea field="11" type="button" dataOnly="0" labelOnly="1" outline="0" axis="axisRow" fieldPosition="0"/>
    </format>
    <format dxfId="15">
      <pivotArea dataOnly="0" labelOnly="1" fieldPosition="0">
        <references count="1">
          <reference field="11" count="0"/>
        </references>
      </pivotArea>
    </format>
    <format dxfId="14">
      <pivotArea dataOnly="0" labelOnly="1" grandRow="1" outline="0" fieldPosition="0"/>
    </format>
    <format dxfId="13">
      <pivotArea dataOnly="0" labelOnly="1" outline="0" fieldPosition="0">
        <references count="1">
          <reference field="4294967294" count="3">
            <x v="0"/>
            <x v="1"/>
            <x v="2"/>
          </reference>
        </references>
      </pivotArea>
    </format>
    <format dxfId="12">
      <pivotArea type="all" dataOnly="0" outline="0" fieldPosition="0"/>
    </format>
    <format dxfId="11">
      <pivotArea outline="0" collapsedLevelsAreSubtotals="1" fieldPosition="0"/>
    </format>
    <format dxfId="10">
      <pivotArea field="11" type="button" dataOnly="0" labelOnly="1" outline="0" axis="axisRow" fieldPosition="0"/>
    </format>
    <format dxfId="9">
      <pivotArea dataOnly="0" labelOnly="1" fieldPosition="0">
        <references count="1">
          <reference field="11" count="0"/>
        </references>
      </pivotArea>
    </format>
    <format dxfId="8">
      <pivotArea dataOnly="0" labelOnly="1" grandRow="1" outline="0" fieldPosition="0"/>
    </format>
    <format dxfId="7">
      <pivotArea dataOnly="0" labelOnly="1" outline="0" fieldPosition="0">
        <references count="1">
          <reference field="4294967294" count="3">
            <x v="0"/>
            <x v="1"/>
            <x v="2"/>
          </reference>
        </references>
      </pivotArea>
    </format>
    <format dxfId="6">
      <pivotArea collapsedLevelsAreSubtotals="1" fieldPosition="0">
        <references count="1">
          <reference field="11" count="0"/>
        </references>
      </pivotArea>
    </format>
    <format dxfId="5">
      <pivotArea dataOnly="0" labelOnly="1" fieldPosition="0">
        <references count="1">
          <reference field="11" count="0"/>
        </references>
      </pivotArea>
    </format>
    <format dxfId="4">
      <pivotArea grandRow="1" outline="0" collapsedLevelsAreSubtotals="1" fieldPosition="0"/>
    </format>
    <format dxfId="3">
      <pivotArea dataOnly="0" labelOnly="1" grandRow="1" outline="0" fieldPosition="0"/>
    </format>
    <format dxfId="2">
      <pivotArea collapsedLevelsAreSubtotals="1" fieldPosition="0">
        <references count="1">
          <reference field="11" count="2">
            <x v="7"/>
            <x v="8"/>
          </reference>
        </references>
      </pivotArea>
    </format>
    <format dxfId="1">
      <pivotArea dataOnly="0" labelOnly="1" fieldPosition="0">
        <references count="1">
          <reference field="11" count="2">
            <x v="7"/>
            <x v="8"/>
          </reference>
        </references>
      </pivotArea>
    </format>
  </format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DCD73-9AA6-48AC-96D2-17578826C08E}" name="TablaDinámica1"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2">
  <location ref="AF6:AG9" firstHeaderRow="1"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axis="axisRow" dataField="1" showAll="0">
      <items count="29">
        <item h="1" x="27"/>
        <item x="16"/>
        <item x="18"/>
        <item h="1" x="0"/>
        <item h="1" x="1"/>
        <item h="1" x="2"/>
        <item h="1" x="3"/>
        <item h="1" x="4"/>
        <item h="1" x="5"/>
        <item h="1" x="6"/>
        <item h="1" x="7"/>
        <item h="1" x="8"/>
        <item h="1" x="9"/>
        <item h="1" x="10"/>
        <item h="1" x="11"/>
        <item h="1" x="12"/>
        <item h="1" x="13"/>
        <item h="1" x="14"/>
        <item h="1" x="15"/>
        <item h="1" x="17"/>
        <item h="1" x="19"/>
        <item h="1" x="20"/>
        <item h="1" x="21"/>
        <item h="1" x="22"/>
        <item h="1" x="23"/>
        <item h="1" x="24"/>
        <item h="1" x="25"/>
        <item h="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v="2"/>
    </i>
    <i t="grand">
      <x/>
    </i>
  </rowItems>
  <colItems count="1">
    <i/>
  </colItems>
  <dataFields count="1">
    <dataField name="Absoluto (n)" fld="3" subtotal="count" baseField="0" baseItem="0"/>
  </dataFields>
  <formats count="17">
    <format dxfId="57">
      <pivotArea type="all" dataOnly="0" outline="0" fieldPosition="0"/>
    </format>
    <format dxfId="56">
      <pivotArea outline="0" collapsedLevelsAreSubtotals="1" fieldPosition="0"/>
    </format>
    <format dxfId="55">
      <pivotArea field="2" type="button" dataOnly="0" labelOnly="1" outline="0"/>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937F1-BA7F-4AA4-B207-25A368826B4B}" name="TablaDinámica5"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AA6:AD9"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axis="axisRow" dataField="1" showAll="0">
      <items count="29">
        <item h="1" x="27"/>
        <item x="16"/>
        <item x="18"/>
        <item h="1" x="0"/>
        <item h="1" x="1"/>
        <item h="1" x="2"/>
        <item h="1" x="3"/>
        <item h="1" x="4"/>
        <item h="1" x="5"/>
        <item h="1" x="6"/>
        <item h="1" x="7"/>
        <item h="1" x="8"/>
        <item h="1" x="9"/>
        <item h="1" x="10"/>
        <item h="1" x="11"/>
        <item h="1" x="12"/>
        <item h="1" x="13"/>
        <item h="1" x="14"/>
        <item h="1" x="15"/>
        <item h="1" x="17"/>
        <item h="1" x="19"/>
        <item h="1" x="20"/>
        <item h="1" x="21"/>
        <item h="1" x="22"/>
        <item h="1" x="23"/>
        <item h="1" x="24"/>
        <item h="1" x="25"/>
        <item h="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v="2"/>
    </i>
    <i t="grand">
      <x/>
    </i>
  </rowItems>
  <colFields count="1">
    <field x="-2"/>
  </colFields>
  <colItems count="3">
    <i>
      <x/>
    </i>
    <i i="1">
      <x v="1"/>
    </i>
    <i i="2">
      <x v="2"/>
    </i>
  </colItems>
  <dataFields count="3">
    <dataField name="Absoluto (n)" fld="3" subtotal="count" baseField="0" baseItem="0"/>
    <dataField name="Relativa (n/N)" fld="3" subtotal="count" showDataAs="percentOfCol" baseField="3" baseItem="4" numFmtId="43"/>
    <dataField name=" Porcentaje (%)" fld="3" subtotal="count" showDataAs="percentOfCol" baseField="0" baseItem="0" numFmtId="10"/>
  </dataFields>
  <formats count="43">
    <format dxfId="100">
      <pivotArea type="all" dataOnly="0" outline="0" fieldPosition="0"/>
    </format>
    <format dxfId="99">
      <pivotArea outline="0" collapsedLevelsAreSubtotals="1" fieldPosition="0"/>
    </format>
    <format dxfId="98">
      <pivotArea field="2" type="button" dataOnly="0" labelOnly="1" outline="0"/>
    </format>
    <format dxfId="97">
      <pivotArea dataOnly="0" labelOnly="1" grandRow="1" outline="0" fieldPosition="0"/>
    </format>
    <format dxfId="96">
      <pivotArea dataOnly="0" labelOnly="1" outline="0" axis="axisValues" fieldPosition="0"/>
    </format>
    <format dxfId="95">
      <pivotArea outline="0" fieldPosition="0">
        <references count="1">
          <reference field="4294967294" count="1">
            <x v="1"/>
          </reference>
        </references>
      </pivotArea>
    </format>
    <format dxfId="94">
      <pivotArea outline="0" fieldPosition="0">
        <references count="1">
          <reference field="4294967294" count="1">
            <x v="2"/>
          </reference>
        </references>
      </pivotArea>
    </format>
    <format dxfId="93">
      <pivotArea outline="0" collapsedLevelsAreSubtotals="1" fieldPosition="0">
        <references count="1">
          <reference field="4294967294" count="1" selected="0">
            <x v="1"/>
          </reference>
        </references>
      </pivotArea>
    </format>
    <format dxfId="92">
      <pivotArea type="all" dataOnly="0" outline="0" fieldPosition="0"/>
    </format>
    <format dxfId="91">
      <pivotArea outline="0" collapsedLevelsAreSubtotals="1" fieldPosition="0"/>
    </format>
    <format dxfId="90">
      <pivotArea field="3" type="button" dataOnly="0" labelOnly="1" outline="0" axis="axisRow" fieldPosition="0"/>
    </format>
    <format dxfId="89">
      <pivotArea dataOnly="0" labelOnly="1" fieldPosition="0">
        <references count="1">
          <reference field="3" count="0"/>
        </references>
      </pivotArea>
    </format>
    <format dxfId="88">
      <pivotArea dataOnly="0" labelOnly="1" grandRow="1" outline="0" fieldPosition="0"/>
    </format>
    <format dxfId="87">
      <pivotArea dataOnly="0" labelOnly="1" outline="0" fieldPosition="0">
        <references count="1">
          <reference field="4294967294" count="3">
            <x v="0"/>
            <x v="1"/>
            <x v="2"/>
          </reference>
        </references>
      </pivotArea>
    </format>
    <format dxfId="86">
      <pivotArea type="all" dataOnly="0" outline="0" fieldPosition="0"/>
    </format>
    <format dxfId="85">
      <pivotArea outline="0" collapsedLevelsAreSubtotals="1"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grandRow="1" outline="0" fieldPosition="0"/>
    </format>
    <format dxfId="81">
      <pivotArea dataOnly="0" labelOnly="1" outline="0" fieldPosition="0">
        <references count="1">
          <reference field="4294967294" count="3">
            <x v="0"/>
            <x v="1"/>
            <x v="2"/>
          </reference>
        </references>
      </pivotArea>
    </format>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outline="0" fieldPosition="0">
        <references count="1">
          <reference field="4294967294" count="3">
            <x v="0"/>
            <x v="1"/>
            <x v="2"/>
          </reference>
        </references>
      </pivotArea>
    </format>
    <format dxfId="74">
      <pivotArea type="all" dataOnly="0" outline="0" fieldPosition="0"/>
    </format>
    <format dxfId="73">
      <pivotArea field="3" type="button" dataOnly="0" labelOnly="1" outline="0" axis="axisRow" fieldPosition="0"/>
    </format>
    <format dxfId="72">
      <pivotArea dataOnly="0" labelOnly="1" outline="0" fieldPosition="0">
        <references count="1">
          <reference field="4294967294" count="3">
            <x v="0"/>
            <x v="1"/>
            <x v="2"/>
          </reference>
        </references>
      </pivotArea>
    </format>
    <format dxfId="71">
      <pivotArea type="all" dataOnly="0" outline="0" fieldPosition="0"/>
    </format>
    <format dxfId="70">
      <pivotArea outline="0" collapsedLevelsAreSubtotals="1" fieldPosition="0"/>
    </format>
    <format dxfId="69">
      <pivotArea field="3" type="button" dataOnly="0" labelOnly="1" outline="0" axis="axisRow" fieldPosition="0"/>
    </format>
    <format dxfId="68">
      <pivotArea dataOnly="0" labelOnly="1" grandRow="1" outline="0" fieldPosition="0"/>
    </format>
    <format dxfId="67">
      <pivotArea dataOnly="0" labelOnly="1" outline="0" fieldPosition="0">
        <references count="1">
          <reference field="4294967294" count="3">
            <x v="0"/>
            <x v="1"/>
            <x v="2"/>
          </reference>
        </references>
      </pivotArea>
    </format>
    <format dxfId="66">
      <pivotArea outline="0" collapsedLevelsAreSubtotals="1" fieldPosition="0"/>
    </format>
    <format dxfId="65">
      <pivotArea dataOnly="0" labelOnly="1" fieldPosition="0">
        <references count="1">
          <reference field="3" count="0"/>
        </references>
      </pivotArea>
    </format>
    <format dxfId="64">
      <pivotArea dataOnly="0" labelOnly="1" grandRow="1" outline="0" fieldPosition="0"/>
    </format>
    <format dxfId="63">
      <pivotArea field="3" type="button" dataOnly="0" labelOnly="1" outline="0" axis="axisRow" fieldPosition="0"/>
    </format>
    <format dxfId="62">
      <pivotArea dataOnly="0" labelOnly="1" outline="0" fieldPosition="0">
        <references count="1">
          <reference field="4294967294" count="3">
            <x v="0"/>
            <x v="1"/>
            <x v="2"/>
          </reference>
        </references>
      </pivotArea>
    </format>
    <format dxfId="61">
      <pivotArea collapsedLevelsAreSubtotals="1" fieldPosition="0">
        <references count="1">
          <reference field="3" count="0"/>
        </references>
      </pivotArea>
    </format>
    <format dxfId="60">
      <pivotArea dataOnly="0" labelOnly="1" fieldPosition="0">
        <references count="1">
          <reference field="3" count="0"/>
        </references>
      </pivotArea>
    </format>
    <format dxfId="59">
      <pivotArea collapsedLevelsAreSubtotals="1" fieldPosition="0">
        <references count="1">
          <reference field="3" count="1">
            <x v="2"/>
          </reference>
        </references>
      </pivotArea>
    </format>
    <format dxfId="58">
      <pivotArea dataOnly="0" labelOnly="1" fieldPosition="0">
        <references count="1">
          <reference field="3" count="1">
            <x v="2"/>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173A72-CEE4-4B48-8D51-1717C8829370}"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N6:Q10" firstHeaderRow="0" firstDataRow="1" firstDataCol="1"/>
  <pivotFields count="16">
    <pivotField showAll="0"/>
    <pivotField showAll="0"/>
    <pivotField axis="axisRow"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1"/>
    </i>
    <i>
      <x v="22"/>
    </i>
    <i>
      <x v="23"/>
    </i>
    <i t="grand">
      <x/>
    </i>
  </rowItems>
  <colFields count="1">
    <field x="-2"/>
  </colFields>
  <colItems count="3">
    <i>
      <x/>
    </i>
    <i i="1">
      <x v="1"/>
    </i>
    <i i="2">
      <x v="2"/>
    </i>
  </colItems>
  <dataFields count="3">
    <dataField name="Absoluto (n)" fld="3" subtotal="count" baseField="0" baseItem="0"/>
    <dataField name="Relativa (n/N)" fld="3" subtotal="count" showDataAs="percentOfCol" baseField="2" baseItem="3" numFmtId="2"/>
    <dataField name=" Porcentaje (%)" fld="3" subtotal="count" showDataAs="percentOfCol" baseField="2" baseItem="5" numFmtId="10"/>
  </dataFields>
  <formats count="41">
    <format dxfId="141">
      <pivotArea type="all" dataOnly="0" outline="0" fieldPosition="0"/>
    </format>
    <format dxfId="140">
      <pivotArea outline="0" collapsedLevelsAreSubtotals="1" fieldPosition="0"/>
    </format>
    <format dxfId="139">
      <pivotArea field="2" type="button" dataOnly="0" labelOnly="1" outline="0" axis="axisRow" fieldPosition="0"/>
    </format>
    <format dxfId="138">
      <pivotArea dataOnly="0" labelOnly="1" fieldPosition="0">
        <references count="1">
          <reference field="2" count="0"/>
        </references>
      </pivotArea>
    </format>
    <format dxfId="137">
      <pivotArea dataOnly="0" labelOnly="1" grandRow="1" outline="0" fieldPosition="0"/>
    </format>
    <format dxfId="136">
      <pivotArea dataOnly="0" labelOnly="1" outline="0" axis="axisValues" fieldPosition="0"/>
    </format>
    <format dxfId="135">
      <pivotArea outline="0" fieldPosition="0">
        <references count="1">
          <reference field="4294967294" count="1">
            <x v="1"/>
          </reference>
        </references>
      </pivotArea>
    </format>
    <format dxfId="134">
      <pivotArea outline="0" fieldPosition="0">
        <references count="1">
          <reference field="4294967294" count="1">
            <x v="2"/>
          </reference>
        </references>
      </pivotArea>
    </format>
    <format dxfId="133">
      <pivotArea type="all" dataOnly="0" outline="0" fieldPosition="0"/>
    </format>
    <format dxfId="132">
      <pivotArea outline="0" collapsedLevelsAreSubtotals="1" fieldPosition="0"/>
    </format>
    <format dxfId="131">
      <pivotArea field="2" type="button" dataOnly="0" labelOnly="1" outline="0" axis="axisRow" fieldPosition="0"/>
    </format>
    <format dxfId="130">
      <pivotArea dataOnly="0" labelOnly="1" fieldPosition="0">
        <references count="1">
          <reference field="2" count="0"/>
        </references>
      </pivotArea>
    </format>
    <format dxfId="129">
      <pivotArea dataOnly="0" labelOnly="1" grandRow="1" outline="0" fieldPosition="0"/>
    </format>
    <format dxfId="128">
      <pivotArea dataOnly="0" labelOnly="1" outline="0" fieldPosition="0">
        <references count="1">
          <reference field="4294967294" count="3">
            <x v="0"/>
            <x v="1"/>
            <x v="2"/>
          </reference>
        </references>
      </pivotArea>
    </format>
    <format dxfId="127">
      <pivotArea type="all" dataOnly="0" outline="0" fieldPosition="0"/>
    </format>
    <format dxfId="126">
      <pivotArea outline="0" collapsedLevelsAreSubtotals="1" fieldPosition="0"/>
    </format>
    <format dxfId="125">
      <pivotArea field="2" type="button" dataOnly="0" labelOnly="1" outline="0" axis="axisRow" fieldPosition="0"/>
    </format>
    <format dxfId="124">
      <pivotArea dataOnly="0" labelOnly="1" fieldPosition="0">
        <references count="1">
          <reference field="2" count="0"/>
        </references>
      </pivotArea>
    </format>
    <format dxfId="123">
      <pivotArea dataOnly="0" labelOnly="1" grandRow="1" outline="0" fieldPosition="0"/>
    </format>
    <format dxfId="122">
      <pivotArea dataOnly="0" labelOnly="1" outline="0" fieldPosition="0">
        <references count="1">
          <reference field="4294967294" count="3">
            <x v="0"/>
            <x v="1"/>
            <x v="2"/>
          </reference>
        </references>
      </pivotArea>
    </format>
    <format dxfId="121">
      <pivotArea type="all" dataOnly="0" outline="0" fieldPosition="0"/>
    </format>
    <format dxfId="120">
      <pivotArea outline="0" collapsedLevelsAreSubtotals="1" fieldPosition="0"/>
    </format>
    <format dxfId="119">
      <pivotArea field="2" type="button" dataOnly="0" labelOnly="1" outline="0" axis="axisRow" fieldPosition="0"/>
    </format>
    <format dxfId="118">
      <pivotArea dataOnly="0" labelOnly="1" fieldPosition="0">
        <references count="1">
          <reference field="2" count="0"/>
        </references>
      </pivotArea>
    </format>
    <format dxfId="117">
      <pivotArea dataOnly="0" labelOnly="1" grandRow="1" outline="0" fieldPosition="0"/>
    </format>
    <format dxfId="116">
      <pivotArea dataOnly="0" labelOnly="1" outline="0" fieldPosition="0">
        <references count="1">
          <reference field="4294967294" count="3">
            <x v="0"/>
            <x v="1"/>
            <x v="2"/>
          </reference>
        </references>
      </pivotArea>
    </format>
    <format dxfId="115">
      <pivotArea type="all" dataOnly="0" outline="0" fieldPosition="0"/>
    </format>
    <format dxfId="114">
      <pivotArea outline="0" collapsedLevelsAreSubtotals="1"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grandRow="1" outline="0" fieldPosition="0"/>
    </format>
    <format dxfId="110">
      <pivotArea dataOnly="0" labelOnly="1" outline="0" fieldPosition="0">
        <references count="1">
          <reference field="4294967294" count="3">
            <x v="0"/>
            <x v="1"/>
            <x v="2"/>
          </reference>
        </references>
      </pivotArea>
    </format>
    <format dxfId="109">
      <pivotArea type="all" dataOnly="0" outline="0" fieldPosition="0"/>
    </format>
    <format dxfId="108">
      <pivotArea field="2" type="button" dataOnly="0" labelOnly="1" outline="0" axis="axisRow" fieldPosition="0"/>
    </format>
    <format dxfId="107">
      <pivotArea dataOnly="0" labelOnly="1" outline="0" fieldPosition="0">
        <references count="1">
          <reference field="4294967294" count="3">
            <x v="0"/>
            <x v="1"/>
            <x v="2"/>
          </reference>
        </references>
      </pivotArea>
    </format>
    <format dxfId="106">
      <pivotArea outline="0" collapsedLevelsAreSubtotals="1" fieldPosition="0"/>
    </format>
    <format dxfId="105">
      <pivotArea dataOnly="0" labelOnly="1" fieldPosition="0">
        <references count="1">
          <reference field="2" count="0"/>
        </references>
      </pivotArea>
    </format>
    <format dxfId="104">
      <pivotArea dataOnly="0" labelOnly="1" grandRow="1" outline="0" fieldPosition="0"/>
    </format>
    <format dxfId="103">
      <pivotArea field="2" type="button" dataOnly="0" labelOnly="1" outline="0" axis="axisRow" fieldPosition="0"/>
    </format>
    <format dxfId="102">
      <pivotArea dataOnly="0" labelOnly="1" outline="0" fieldPosition="0">
        <references count="1">
          <reference field="4294967294" count="3">
            <x v="0"/>
            <x v="1"/>
            <x v="2"/>
          </reference>
        </references>
      </pivotArea>
    </format>
    <format dxfId="101">
      <pivotArea dataOnly="0" labelOnly="1" fieldPosition="0">
        <references count="1">
          <reference field="2" count="1">
            <x v="23"/>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03ADC0-A0BB-4ED7-819F-D280561C0F08}"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BD5:BG9"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h="1" m="1" x="4"/>
        <item m="1" x="5"/>
        <item m="1" x="6"/>
        <item m="1" x="7"/>
        <item m="1" x="8"/>
        <item x="1"/>
        <item h="1" x="3"/>
        <item x="0"/>
        <item x="2"/>
        <item t="default"/>
      </items>
    </pivotField>
  </pivotFields>
  <rowFields count="1">
    <field x="15"/>
  </rowFields>
  <rowItems count="4">
    <i>
      <x v="5"/>
    </i>
    <i>
      <x v="7"/>
    </i>
    <i>
      <x v="8"/>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42">
    <format dxfId="183">
      <pivotArea type="all" dataOnly="0" outline="0" fieldPosition="0"/>
    </format>
    <format dxfId="182">
      <pivotArea outline="0" collapsedLevelsAreSubtotals="1" fieldPosition="0"/>
    </format>
    <format dxfId="181">
      <pivotArea field="2" type="button" dataOnly="0" labelOnly="1" outline="0"/>
    </format>
    <format dxfId="180">
      <pivotArea dataOnly="0" labelOnly="1" grandRow="1" outline="0" fieldPosition="0"/>
    </format>
    <format dxfId="179">
      <pivotArea dataOnly="0" labelOnly="1" outline="0" axis="axisValues" fieldPosition="0"/>
    </format>
    <format dxfId="178">
      <pivotArea outline="0" fieldPosition="0">
        <references count="1">
          <reference field="4294967294" count="1">
            <x v="1"/>
          </reference>
        </references>
      </pivotArea>
    </format>
    <format dxfId="177">
      <pivotArea outline="0" fieldPosition="0">
        <references count="1">
          <reference field="4294967294" count="1">
            <x v="2"/>
          </reference>
        </references>
      </pivotArea>
    </format>
    <format dxfId="176">
      <pivotArea outline="0" collapsedLevelsAreSubtotals="1" fieldPosition="0">
        <references count="1">
          <reference field="4294967294" count="1" selected="0">
            <x v="1"/>
          </reference>
        </references>
      </pivotArea>
    </format>
    <format dxfId="175">
      <pivotArea type="all" dataOnly="0" outline="0" fieldPosition="0"/>
    </format>
    <format dxfId="174">
      <pivotArea outline="0" collapsedLevelsAreSubtotals="1" fieldPosition="0"/>
    </format>
    <format dxfId="173">
      <pivotArea field="15" type="button" dataOnly="0" labelOnly="1" outline="0" axis="axisRow" fieldPosition="0"/>
    </format>
    <format dxfId="172">
      <pivotArea dataOnly="0" labelOnly="1" fieldPosition="0">
        <references count="1">
          <reference field="15" count="0"/>
        </references>
      </pivotArea>
    </format>
    <format dxfId="171">
      <pivotArea dataOnly="0" labelOnly="1" grandRow="1" outline="0" fieldPosition="0"/>
    </format>
    <format dxfId="170">
      <pivotArea dataOnly="0" labelOnly="1" outline="0" fieldPosition="0">
        <references count="1">
          <reference field="4294967294" count="3">
            <x v="0"/>
            <x v="1"/>
            <x v="2"/>
          </reference>
        </references>
      </pivotArea>
    </format>
    <format dxfId="169">
      <pivotArea type="all" dataOnly="0" outline="0" fieldPosition="0"/>
    </format>
    <format dxfId="168">
      <pivotArea outline="0" collapsedLevelsAreSubtotals="1" fieldPosition="0"/>
    </format>
    <format dxfId="167">
      <pivotArea field="15" type="button" dataOnly="0" labelOnly="1" outline="0" axis="axisRow" fieldPosition="0"/>
    </format>
    <format dxfId="166">
      <pivotArea dataOnly="0" labelOnly="1" fieldPosition="0">
        <references count="1">
          <reference field="15" count="0"/>
        </references>
      </pivotArea>
    </format>
    <format dxfId="165">
      <pivotArea dataOnly="0" labelOnly="1" grandRow="1" outline="0" fieldPosition="0"/>
    </format>
    <format dxfId="164">
      <pivotArea dataOnly="0" labelOnly="1" outline="0" fieldPosition="0">
        <references count="1">
          <reference field="4294967294" count="3">
            <x v="0"/>
            <x v="1"/>
            <x v="2"/>
          </reference>
        </references>
      </pivotArea>
    </format>
    <format dxfId="163">
      <pivotArea field="15" type="button" dataOnly="0" labelOnly="1" outline="0" axis="axisRow" fieldPosition="0"/>
    </format>
    <format dxfId="162">
      <pivotArea dataOnly="0" labelOnly="1" outline="0" fieldPosition="0">
        <references count="1">
          <reference field="4294967294" count="3">
            <x v="0"/>
            <x v="1"/>
            <x v="2"/>
          </reference>
        </references>
      </pivotArea>
    </format>
    <format dxfId="161">
      <pivotArea field="15" type="button" dataOnly="0" labelOnly="1" outline="0" axis="axisRow" fieldPosition="0"/>
    </format>
    <format dxfId="160">
      <pivotArea dataOnly="0" labelOnly="1" outline="0" fieldPosition="0">
        <references count="1">
          <reference field="4294967294" count="3">
            <x v="0"/>
            <x v="1"/>
            <x v="2"/>
          </reference>
        </references>
      </pivotArea>
    </format>
    <format dxfId="159">
      <pivotArea type="all" dataOnly="0" outline="0" fieldPosition="0"/>
    </format>
    <format dxfId="158">
      <pivotArea outline="0" collapsedLevelsAreSubtotals="1" fieldPosition="0"/>
    </format>
    <format dxfId="157">
      <pivotArea field="15" type="button" dataOnly="0" labelOnly="1" outline="0" axis="axisRow" fieldPosition="0"/>
    </format>
    <format dxfId="156">
      <pivotArea dataOnly="0" labelOnly="1" fieldPosition="0">
        <references count="1">
          <reference field="15" count="0"/>
        </references>
      </pivotArea>
    </format>
    <format dxfId="155">
      <pivotArea dataOnly="0" labelOnly="1" grandRow="1" outline="0" fieldPosition="0"/>
    </format>
    <format dxfId="154">
      <pivotArea dataOnly="0" labelOnly="1" outline="0" fieldPosition="0">
        <references count="1">
          <reference field="4294967294" count="3">
            <x v="0"/>
            <x v="1"/>
            <x v="2"/>
          </reference>
        </references>
      </pivotArea>
    </format>
    <format dxfId="153">
      <pivotArea type="all" dataOnly="0" outline="0" fieldPosition="0"/>
    </format>
    <format dxfId="152">
      <pivotArea field="15" type="button" dataOnly="0" labelOnly="1" outline="0" axis="axisRow" fieldPosition="0"/>
    </format>
    <format dxfId="151">
      <pivotArea dataOnly="0" labelOnly="1" outline="0" fieldPosition="0">
        <references count="1">
          <reference field="4294967294" count="3">
            <x v="0"/>
            <x v="1"/>
            <x v="2"/>
          </reference>
        </references>
      </pivotArea>
    </format>
    <format dxfId="150">
      <pivotArea outline="0" collapsedLevelsAreSubtotals="1" fieldPosition="0"/>
    </format>
    <format dxfId="149">
      <pivotArea dataOnly="0" labelOnly="1" fieldPosition="0">
        <references count="1">
          <reference field="15" count="0"/>
        </references>
      </pivotArea>
    </format>
    <format dxfId="148">
      <pivotArea outline="0" collapsedLevelsAreSubtotals="1" fieldPosition="0"/>
    </format>
    <format dxfId="147">
      <pivotArea dataOnly="0" labelOnly="1" fieldPosition="0">
        <references count="1">
          <reference field="15" count="0"/>
        </references>
      </pivotArea>
    </format>
    <format dxfId="146">
      <pivotArea dataOnly="0" labelOnly="1" grandRow="1" outline="0" fieldPosition="0"/>
    </format>
    <format dxfId="145">
      <pivotArea grandRow="1" outline="0" collapsedLevelsAreSubtotals="1" fieldPosition="0"/>
    </format>
    <format dxfId="144">
      <pivotArea dataOnly="0" labelOnly="1" grandRow="1" outline="0" fieldPosition="0"/>
    </format>
    <format dxfId="143">
      <pivotArea collapsedLevelsAreSubtotals="1" fieldPosition="0">
        <references count="1">
          <reference field="15" count="2">
            <x v="7"/>
            <x v="8"/>
          </reference>
        </references>
      </pivotArea>
    </format>
    <format dxfId="142">
      <pivotArea dataOnly="0" labelOnly="1" fieldPosition="0">
        <references count="1">
          <reference field="15" count="2">
            <x v="7"/>
            <x v="8"/>
          </reference>
        </references>
      </pivotArea>
    </format>
  </formats>
  <chartFormats count="7">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5DF60-A1FF-44FD-80A8-AB9C60651502}"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BI5:BJ9" firstHeaderRow="1"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m="1" x="4"/>
        <item m="1" x="5"/>
        <item m="1" x="6"/>
        <item m="1" x="7"/>
        <item m="1" x="8"/>
        <item x="1"/>
        <item h="1" x="3"/>
        <item x="0"/>
        <item x="2"/>
        <item t="default"/>
      </items>
    </pivotField>
  </pivotFields>
  <rowFields count="1">
    <field x="15"/>
  </rowFields>
  <rowItems count="4">
    <i>
      <x v="5"/>
    </i>
    <i>
      <x v="7"/>
    </i>
    <i>
      <x v="8"/>
    </i>
    <i t="grand">
      <x/>
    </i>
  </rowItems>
  <colItems count="1">
    <i/>
  </colItems>
  <dataFields count="1">
    <dataField name="Absoluto (n)" fld="3" subtotal="count" baseField="0" baseItem="0"/>
  </dataFields>
  <formats count="17">
    <format dxfId="200">
      <pivotArea type="all" dataOnly="0" outline="0" fieldPosition="0"/>
    </format>
    <format dxfId="199">
      <pivotArea outline="0" collapsedLevelsAreSubtotals="1" fieldPosition="0"/>
    </format>
    <format dxfId="198">
      <pivotArea field="2" type="button" dataOnly="0" labelOnly="1" outline="0"/>
    </format>
    <format dxfId="197">
      <pivotArea dataOnly="0" labelOnly="1" grandRow="1" outline="0"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15" type="button" dataOnly="0" labelOnly="1" outline="0" axis="axisRow" fieldPosition="0"/>
    </format>
    <format dxfId="192">
      <pivotArea dataOnly="0" labelOnly="1" fieldPosition="0">
        <references count="1">
          <reference field="15" count="0"/>
        </references>
      </pivotArea>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15" type="button" dataOnly="0" labelOnly="1" outline="0" axis="axisRow" fieldPosition="0"/>
    </format>
    <format dxfId="186">
      <pivotArea dataOnly="0" labelOnly="1" fieldPosition="0">
        <references count="1">
          <reference field="15" count="0"/>
        </references>
      </pivotArea>
    </format>
    <format dxfId="185">
      <pivotArea dataOnly="0" labelOnly="1" grandRow="1" outline="0" fieldPosition="0"/>
    </format>
    <format dxfId="184">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AF51A4-C8F6-4A71-B739-650903FFE294}"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S6:T10" firstHeaderRow="1" firstDataRow="1" firstDataCol="1"/>
  <pivotFields count="16">
    <pivotField showAll="0"/>
    <pivotField showAll="0"/>
    <pivotField axis="axisRow"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1"/>
    </i>
    <i>
      <x v="22"/>
    </i>
    <i>
      <x v="23"/>
    </i>
    <i t="grand">
      <x/>
    </i>
  </rowItems>
  <colItems count="1">
    <i/>
  </colItems>
  <dataFields count="1">
    <dataField name="Absoluto (n)" fld="3" subtotal="count" baseField="0" baseItem="0"/>
  </dataFields>
  <formats count="18">
    <format dxfId="218">
      <pivotArea type="all" dataOnly="0" outline="0" fieldPosition="0"/>
    </format>
    <format dxfId="217">
      <pivotArea outline="0" collapsedLevelsAreSubtotals="1" fieldPosition="0"/>
    </format>
    <format dxfId="216">
      <pivotArea field="2" type="button" dataOnly="0" labelOnly="1" outline="0" axis="axisRow" fieldPosition="0"/>
    </format>
    <format dxfId="215">
      <pivotArea dataOnly="0" labelOnly="1" fieldPosition="0">
        <references count="1">
          <reference field="2" count="0"/>
        </references>
      </pivotArea>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2" type="button" dataOnly="0" labelOnly="1" outline="0" axis="axisRow" fieldPosition="0"/>
    </format>
    <format dxfId="209">
      <pivotArea dataOnly="0" labelOnly="1" fieldPosition="0">
        <references count="1">
          <reference field="2" count="0"/>
        </references>
      </pivotArea>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2" type="button" dataOnly="0" labelOnly="1" outline="0" axis="axisRow" fieldPosition="0"/>
    </format>
    <format dxfId="203">
      <pivotArea dataOnly="0" labelOnly="1" fieldPosition="0">
        <references count="1">
          <reference field="2" count="0"/>
        </references>
      </pivotArea>
    </format>
    <format dxfId="202">
      <pivotArea dataOnly="0" labelOnly="1" grandRow="1" outline="0" fieldPosition="0"/>
    </format>
    <format dxfId="20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F8FDDC-5F20-4DEE-A259-170C6A457622}"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S5:AV7"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s>
  <rowFields count="1">
    <field x="7"/>
  </rowFields>
  <rowItems count="2">
    <i>
      <x v="1"/>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39">
    <format dxfId="257">
      <pivotArea type="all" dataOnly="0" outline="0" fieldPosition="0"/>
    </format>
    <format dxfId="256">
      <pivotArea outline="0" collapsedLevelsAreSubtotals="1" fieldPosition="0"/>
    </format>
    <format dxfId="255">
      <pivotArea field="2" type="button" dataOnly="0" labelOnly="1" outline="0"/>
    </format>
    <format dxfId="254">
      <pivotArea dataOnly="0" labelOnly="1" grandRow="1" outline="0" fieldPosition="0"/>
    </format>
    <format dxfId="253">
      <pivotArea dataOnly="0" labelOnly="1" outline="0" axis="axisValues" fieldPosition="0"/>
    </format>
    <format dxfId="252">
      <pivotArea outline="0" fieldPosition="0">
        <references count="1">
          <reference field="4294967294" count="1">
            <x v="1"/>
          </reference>
        </references>
      </pivotArea>
    </format>
    <format dxfId="251">
      <pivotArea outline="0" fieldPosition="0">
        <references count="1">
          <reference field="4294967294" count="1">
            <x v="2"/>
          </reference>
        </references>
      </pivotArea>
    </format>
    <format dxfId="250">
      <pivotArea outline="0" collapsedLevelsAreSubtotals="1" fieldPosition="0">
        <references count="1">
          <reference field="4294967294" count="1" selected="0">
            <x v="1"/>
          </reference>
        </references>
      </pivotArea>
    </format>
    <format dxfId="249">
      <pivotArea type="all" dataOnly="0" outline="0" fieldPosition="0"/>
    </format>
    <format dxfId="248">
      <pivotArea outline="0" collapsedLevelsAreSubtotals="1" fieldPosition="0"/>
    </format>
    <format dxfId="247">
      <pivotArea field="7" type="button" dataOnly="0" labelOnly="1" outline="0" axis="axisRow" fieldPosition="0"/>
    </format>
    <format dxfId="246">
      <pivotArea dataOnly="0" labelOnly="1" fieldPosition="0">
        <references count="1">
          <reference field="7" count="0"/>
        </references>
      </pivotArea>
    </format>
    <format dxfId="245">
      <pivotArea dataOnly="0" labelOnly="1" grandRow="1" outline="0" fieldPosition="0"/>
    </format>
    <format dxfId="244">
      <pivotArea dataOnly="0" labelOnly="1" outline="0" fieldPosition="0">
        <references count="1">
          <reference field="4294967294" count="3">
            <x v="0"/>
            <x v="1"/>
            <x v="2"/>
          </reference>
        </references>
      </pivotArea>
    </format>
    <format dxfId="243">
      <pivotArea type="all" dataOnly="0" outline="0" fieldPosition="0"/>
    </format>
    <format dxfId="242">
      <pivotArea outline="0" collapsedLevelsAreSubtotals="1" fieldPosition="0"/>
    </format>
    <format dxfId="241">
      <pivotArea field="7" type="button" dataOnly="0" labelOnly="1" outline="0" axis="axisRow" fieldPosition="0"/>
    </format>
    <format dxfId="240">
      <pivotArea dataOnly="0" labelOnly="1" fieldPosition="0">
        <references count="1">
          <reference field="7" count="0"/>
        </references>
      </pivotArea>
    </format>
    <format dxfId="239">
      <pivotArea dataOnly="0" labelOnly="1" grandRow="1" outline="0" fieldPosition="0"/>
    </format>
    <format dxfId="238">
      <pivotArea dataOnly="0" labelOnly="1" outline="0" fieldPosition="0">
        <references count="1">
          <reference field="4294967294" count="3">
            <x v="0"/>
            <x v="1"/>
            <x v="2"/>
          </reference>
        </references>
      </pivotArea>
    </format>
    <format dxfId="237">
      <pivotArea type="all" dataOnly="0" outline="0" fieldPosition="0"/>
    </format>
    <format dxfId="236">
      <pivotArea outline="0" collapsedLevelsAreSubtotals="1" fieldPosition="0"/>
    </format>
    <format dxfId="235">
      <pivotArea field="7" type="button" dataOnly="0" labelOnly="1" outline="0" axis="axisRow" fieldPosition="0"/>
    </format>
    <format dxfId="234">
      <pivotArea dataOnly="0" labelOnly="1" fieldPosition="0">
        <references count="1">
          <reference field="7" count="0"/>
        </references>
      </pivotArea>
    </format>
    <format dxfId="233">
      <pivotArea dataOnly="0" labelOnly="1" grandRow="1" outline="0" fieldPosition="0"/>
    </format>
    <format dxfId="232">
      <pivotArea dataOnly="0" labelOnly="1" outline="0" fieldPosition="0">
        <references count="1">
          <reference field="4294967294" count="3">
            <x v="0"/>
            <x v="1"/>
            <x v="2"/>
          </reference>
        </references>
      </pivotArea>
    </format>
    <format dxfId="231">
      <pivotArea type="all" dataOnly="0" outline="0" fieldPosition="0"/>
    </format>
    <format dxfId="230">
      <pivotArea outline="0" collapsedLevelsAreSubtotals="1" fieldPosition="0"/>
    </format>
    <format dxfId="229">
      <pivotArea field="7" type="button" dataOnly="0" labelOnly="1" outline="0" axis="axisRow" fieldPosition="0"/>
    </format>
    <format dxfId="228">
      <pivotArea dataOnly="0" labelOnly="1" grandRow="1" outline="0" fieldPosition="0"/>
    </format>
    <format dxfId="227">
      <pivotArea dataOnly="0" labelOnly="1" outline="0" fieldPosition="0">
        <references count="1">
          <reference field="4294967294" count="3">
            <x v="0"/>
            <x v="1"/>
            <x v="2"/>
          </reference>
        </references>
      </pivotArea>
    </format>
    <format dxfId="226">
      <pivotArea outline="0" collapsedLevelsAreSubtotals="1" fieldPosition="0"/>
    </format>
    <format dxfId="225">
      <pivotArea dataOnly="0" labelOnly="1" grandRow="1" outline="0" fieldPosition="0"/>
    </format>
    <format dxfId="224">
      <pivotArea collapsedLevelsAreSubtotals="1" fieldPosition="0">
        <references count="1">
          <reference field="7" count="0"/>
        </references>
      </pivotArea>
    </format>
    <format dxfId="223">
      <pivotArea dataOnly="0" labelOnly="1" fieldPosition="0">
        <references count="1">
          <reference field="7" count="0"/>
        </references>
      </pivotArea>
    </format>
    <format dxfId="222">
      <pivotArea collapsedLevelsAreSubtotals="1" fieldPosition="0">
        <references count="1">
          <reference field="7" count="0"/>
        </references>
      </pivotArea>
    </format>
    <format dxfId="221">
      <pivotArea dataOnly="0" labelOnly="1" fieldPosition="0">
        <references count="1">
          <reference field="7" count="0"/>
        </references>
      </pivotArea>
    </format>
    <format dxfId="220">
      <pivotArea field="7" type="button" dataOnly="0" labelOnly="1" outline="0" axis="axisRow" fieldPosition="0"/>
    </format>
    <format dxfId="219">
      <pivotArea dataOnly="0" labelOnly="1" outline="0" fieldPosition="0">
        <references count="1">
          <reference field="4294967294" count="3">
            <x v="0"/>
            <x v="1"/>
            <x v="2"/>
          </reference>
        </references>
      </pivotArea>
    </format>
  </format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8" format="6">
      <pivotArea type="data" outline="0" fieldPosition="0">
        <references count="2">
          <reference field="4294967294" count="1" selected="0">
            <x v="1"/>
          </reference>
          <reference field="7" count="1" selected="0">
            <x v="1"/>
          </reference>
        </references>
      </pivotArea>
    </chartFormat>
    <chartFormat chart="8" format="9">
      <pivotArea type="data" outline="0" fieldPosition="0">
        <references count="2">
          <reference field="4294967294" count="1" selected="0">
            <x v="2"/>
          </reference>
          <reference field="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hyperlink" Target="http://www.scielo.org/php/index.php" TargetMode="External"/><Relationship Id="rId4" Type="http://schemas.openxmlformats.org/officeDocument/2006/relationships/pivotTable" Target="../pivotTables/pivotTable4.xml"/><Relationship Id="rId9" Type="http://schemas.openxmlformats.org/officeDocument/2006/relationships/hyperlink" Target="https://www.redalyc.org/"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Z1107"/>
  <sheetViews>
    <sheetView topLeftCell="A306" workbookViewId="0">
      <selection activeCell="F353" sqref="F353"/>
    </sheetView>
  </sheetViews>
  <sheetFormatPr baseColWidth="10" defaultColWidth="14.5" defaultRowHeight="15" customHeight="1" x14ac:dyDescent="0.2"/>
  <cols>
    <col min="1" max="1" width="5.1640625" customWidth="1"/>
    <col min="2" max="2" width="12.1640625" customWidth="1"/>
    <col min="3" max="3" width="14.5" customWidth="1"/>
    <col min="4" max="4" width="9.1640625" customWidth="1"/>
    <col min="5" max="5" width="17.1640625" customWidth="1"/>
    <col min="6" max="6" width="20.6640625" bestFit="1" customWidth="1"/>
    <col min="7" max="7" width="17.83203125" customWidth="1"/>
    <col min="8" max="8" width="20.5" customWidth="1"/>
    <col min="9" max="9" width="9.83203125" customWidth="1"/>
    <col min="10" max="10" width="15.83203125" bestFit="1" customWidth="1"/>
    <col min="11" max="11" width="24.83203125" customWidth="1"/>
    <col min="12" max="12" width="16.5" customWidth="1"/>
    <col min="13" max="13" width="16.5" style="115" customWidth="1"/>
    <col min="14" max="14" width="8.6640625" customWidth="1"/>
    <col min="15" max="15" width="9.1640625" customWidth="1"/>
    <col min="16" max="16" width="8.83203125" customWidth="1"/>
    <col min="17" max="17" width="24.5" bestFit="1" customWidth="1"/>
    <col min="18" max="26" width="8.83203125" customWidth="1"/>
  </cols>
  <sheetData>
    <row r="1" spans="1:26" ht="24.75" customHeight="1" x14ac:dyDescent="0.2">
      <c r="A1" s="130"/>
      <c r="B1" s="1" t="s">
        <v>0</v>
      </c>
      <c r="C1" s="1" t="s">
        <v>1</v>
      </c>
      <c r="D1" s="1" t="s">
        <v>2</v>
      </c>
      <c r="E1" s="1" t="s">
        <v>3</v>
      </c>
      <c r="F1" s="1" t="s">
        <v>4</v>
      </c>
      <c r="G1" s="1" t="s">
        <v>5</v>
      </c>
      <c r="H1" s="1" t="s">
        <v>6</v>
      </c>
      <c r="I1" s="1" t="s">
        <v>7</v>
      </c>
      <c r="J1" s="1" t="s">
        <v>8</v>
      </c>
      <c r="K1" s="1" t="s">
        <v>10</v>
      </c>
      <c r="L1" s="1" t="s">
        <v>11</v>
      </c>
      <c r="M1" s="1" t="s">
        <v>12</v>
      </c>
      <c r="N1" s="1"/>
      <c r="O1" s="1"/>
      <c r="P1" s="132"/>
      <c r="Q1" s="131" t="s">
        <v>126</v>
      </c>
      <c r="R1" s="2"/>
      <c r="S1" s="2"/>
      <c r="T1" s="88"/>
      <c r="U1" s="88"/>
      <c r="V1" s="2"/>
      <c r="W1" s="2"/>
      <c r="X1" s="2"/>
      <c r="Y1" s="2"/>
      <c r="Z1" s="2"/>
    </row>
    <row r="2" spans="1:26" ht="14.25" customHeight="1" x14ac:dyDescent="0.2">
      <c r="A2">
        <v>2</v>
      </c>
      <c r="B2" t="s">
        <v>626</v>
      </c>
      <c r="C2" t="s">
        <v>627</v>
      </c>
      <c r="D2">
        <v>2026</v>
      </c>
      <c r="E2" t="s">
        <v>394</v>
      </c>
      <c r="F2" t="s">
        <v>629</v>
      </c>
      <c r="G2" t="s">
        <v>630</v>
      </c>
      <c r="H2" t="s">
        <v>274</v>
      </c>
      <c r="I2" t="s">
        <v>15</v>
      </c>
      <c r="J2" t="s">
        <v>253</v>
      </c>
      <c r="K2" t="s">
        <v>628</v>
      </c>
      <c r="L2" t="s">
        <v>631</v>
      </c>
      <c r="M2" s="44"/>
      <c r="N2" s="4"/>
      <c r="Q2" s="54"/>
      <c r="T2" s="44"/>
      <c r="U2" s="44"/>
    </row>
    <row r="3" spans="1:26" ht="14.25" customHeight="1" x14ac:dyDescent="0.2">
      <c r="A3">
        <v>3</v>
      </c>
      <c r="B3" t="s">
        <v>1759</v>
      </c>
      <c r="C3" t="s">
        <v>1760</v>
      </c>
      <c r="D3">
        <v>2020</v>
      </c>
      <c r="E3" t="s">
        <v>371</v>
      </c>
      <c r="F3" t="s">
        <v>1762</v>
      </c>
      <c r="G3" t="s">
        <v>1763</v>
      </c>
      <c r="H3" t="s">
        <v>376</v>
      </c>
      <c r="I3" t="s">
        <v>15</v>
      </c>
      <c r="J3" t="s">
        <v>253</v>
      </c>
      <c r="K3" t="s">
        <v>1761</v>
      </c>
      <c r="L3" t="s">
        <v>1764</v>
      </c>
      <c r="M3" s="44"/>
      <c r="N3" s="4"/>
      <c r="Q3" s="54"/>
      <c r="T3" s="44"/>
      <c r="U3" s="44"/>
    </row>
    <row r="4" spans="1:26" ht="14.25" customHeight="1" x14ac:dyDescent="0.2">
      <c r="A4">
        <v>4</v>
      </c>
      <c r="B4" t="s">
        <v>1389</v>
      </c>
      <c r="C4" t="s">
        <v>1390</v>
      </c>
      <c r="D4">
        <v>2025</v>
      </c>
      <c r="E4" t="s">
        <v>1391</v>
      </c>
      <c r="F4" t="s">
        <v>1393</v>
      </c>
      <c r="G4" t="s">
        <v>1394</v>
      </c>
      <c r="H4" t="s">
        <v>1395</v>
      </c>
      <c r="I4" t="s">
        <v>15</v>
      </c>
      <c r="J4" t="s">
        <v>253</v>
      </c>
      <c r="K4" t="s">
        <v>1392</v>
      </c>
      <c r="L4" t="s">
        <v>1821</v>
      </c>
      <c r="M4" s="44"/>
      <c r="N4" s="4"/>
      <c r="Q4" s="54"/>
      <c r="T4" s="44"/>
      <c r="U4" s="44"/>
    </row>
    <row r="5" spans="1:26" ht="14.25" customHeight="1" x14ac:dyDescent="0.2">
      <c r="A5">
        <v>5</v>
      </c>
      <c r="B5" t="s">
        <v>1030</v>
      </c>
      <c r="C5" t="s">
        <v>1031</v>
      </c>
      <c r="D5">
        <v>2023</v>
      </c>
      <c r="E5" t="s">
        <v>345</v>
      </c>
      <c r="F5" t="s">
        <v>1033</v>
      </c>
      <c r="G5" t="s">
        <v>1034</v>
      </c>
      <c r="H5" t="s">
        <v>350</v>
      </c>
      <c r="I5" t="s">
        <v>15</v>
      </c>
      <c r="J5" t="s">
        <v>253</v>
      </c>
      <c r="K5" t="s">
        <v>1032</v>
      </c>
      <c r="L5" t="s">
        <v>1035</v>
      </c>
      <c r="M5" s="44"/>
      <c r="N5" s="4"/>
      <c r="Q5" s="54"/>
      <c r="T5" s="44"/>
      <c r="U5" s="44"/>
    </row>
    <row r="6" spans="1:26" ht="14.25" customHeight="1" x14ac:dyDescent="0.2">
      <c r="A6">
        <v>6</v>
      </c>
      <c r="B6" t="s">
        <v>245</v>
      </c>
      <c r="C6" t="s">
        <v>246</v>
      </c>
      <c r="D6">
        <v>2025</v>
      </c>
      <c r="E6" t="s">
        <v>247</v>
      </c>
      <c r="F6" t="s">
        <v>249</v>
      </c>
      <c r="G6" t="s">
        <v>250</v>
      </c>
      <c r="H6" t="s">
        <v>252</v>
      </c>
      <c r="I6" t="s">
        <v>15</v>
      </c>
      <c r="J6" t="s">
        <v>253</v>
      </c>
      <c r="K6" t="s">
        <v>248</v>
      </c>
      <c r="L6" t="s">
        <v>251</v>
      </c>
      <c r="M6" s="44"/>
      <c r="N6" s="4"/>
      <c r="Q6" s="54"/>
      <c r="T6" s="44"/>
      <c r="U6" s="44"/>
    </row>
    <row r="7" spans="1:26" ht="14.25" customHeight="1" x14ac:dyDescent="0.2">
      <c r="A7">
        <v>7</v>
      </c>
      <c r="B7" t="s">
        <v>254</v>
      </c>
      <c r="C7" t="s">
        <v>255</v>
      </c>
      <c r="D7">
        <v>2024</v>
      </c>
      <c r="E7" t="s">
        <v>256</v>
      </c>
      <c r="F7" t="s">
        <v>258</v>
      </c>
      <c r="G7">
        <v>0</v>
      </c>
      <c r="H7" t="s">
        <v>260</v>
      </c>
      <c r="I7" t="s">
        <v>15</v>
      </c>
      <c r="J7" t="s">
        <v>253</v>
      </c>
      <c r="K7" t="s">
        <v>257</v>
      </c>
      <c r="L7" t="s">
        <v>259</v>
      </c>
      <c r="M7" s="44"/>
      <c r="N7" s="4"/>
      <c r="Q7" s="54"/>
      <c r="T7" s="44"/>
      <c r="U7" s="44"/>
    </row>
    <row r="8" spans="1:26" ht="14.25" customHeight="1" x14ac:dyDescent="0.2">
      <c r="A8">
        <v>8</v>
      </c>
      <c r="B8" t="s">
        <v>267</v>
      </c>
      <c r="C8" t="s">
        <v>268</v>
      </c>
      <c r="D8">
        <v>2025</v>
      </c>
      <c r="E8" t="s">
        <v>269</v>
      </c>
      <c r="F8" t="s">
        <v>271</v>
      </c>
      <c r="G8" t="s">
        <v>272</v>
      </c>
      <c r="H8" t="s">
        <v>274</v>
      </c>
      <c r="I8" t="s">
        <v>15</v>
      </c>
      <c r="J8" t="s">
        <v>253</v>
      </c>
      <c r="K8" t="s">
        <v>270</v>
      </c>
      <c r="L8" t="s">
        <v>273</v>
      </c>
      <c r="M8" s="44"/>
      <c r="N8" s="4"/>
      <c r="Q8" s="54"/>
      <c r="T8" s="44"/>
      <c r="U8" s="44"/>
    </row>
    <row r="9" spans="1:26" ht="14.25" customHeight="1" x14ac:dyDescent="0.2">
      <c r="A9">
        <v>9</v>
      </c>
      <c r="B9" t="s">
        <v>275</v>
      </c>
      <c r="C9" t="s">
        <v>276</v>
      </c>
      <c r="D9">
        <v>2026</v>
      </c>
      <c r="E9" t="s">
        <v>277</v>
      </c>
      <c r="F9" t="s">
        <v>279</v>
      </c>
      <c r="G9" t="s">
        <v>280</v>
      </c>
      <c r="H9" t="s">
        <v>282</v>
      </c>
      <c r="I9" t="s">
        <v>15</v>
      </c>
      <c r="J9" t="s">
        <v>253</v>
      </c>
      <c r="K9" t="s">
        <v>278</v>
      </c>
      <c r="L9" t="s">
        <v>281</v>
      </c>
      <c r="M9" s="44"/>
      <c r="N9" s="4"/>
      <c r="Q9" s="54"/>
      <c r="T9" s="44"/>
      <c r="U9" s="44"/>
    </row>
    <row r="10" spans="1:26" ht="14.25" customHeight="1" x14ac:dyDescent="0.2">
      <c r="A10">
        <v>10</v>
      </c>
      <c r="B10" t="s">
        <v>652</v>
      </c>
      <c r="C10" t="s">
        <v>653</v>
      </c>
      <c r="D10">
        <v>2023</v>
      </c>
      <c r="E10" t="s">
        <v>654</v>
      </c>
      <c r="F10" t="s">
        <v>656</v>
      </c>
      <c r="G10" t="s">
        <v>657</v>
      </c>
      <c r="H10" t="s">
        <v>228</v>
      </c>
      <c r="I10" t="s">
        <v>15</v>
      </c>
      <c r="J10" t="s">
        <v>253</v>
      </c>
      <c r="K10" t="s">
        <v>655</v>
      </c>
      <c r="L10" t="s">
        <v>658</v>
      </c>
      <c r="M10" s="44"/>
      <c r="N10" s="4"/>
      <c r="Q10" s="54"/>
      <c r="T10" s="44"/>
      <c r="U10" s="44"/>
    </row>
    <row r="11" spans="1:26" ht="14.25" customHeight="1" x14ac:dyDescent="0.2">
      <c r="A11">
        <v>11</v>
      </c>
      <c r="B11" t="s">
        <v>1421</v>
      </c>
      <c r="C11" t="s">
        <v>1422</v>
      </c>
      <c r="D11">
        <v>2023</v>
      </c>
      <c r="E11" t="s">
        <v>277</v>
      </c>
      <c r="F11" t="s">
        <v>1424</v>
      </c>
      <c r="G11" t="s">
        <v>1425</v>
      </c>
      <c r="H11" t="s">
        <v>586</v>
      </c>
      <c r="I11" t="s">
        <v>15</v>
      </c>
      <c r="J11" t="s">
        <v>253</v>
      </c>
      <c r="K11" t="s">
        <v>1423</v>
      </c>
      <c r="L11" t="s">
        <v>1822</v>
      </c>
      <c r="M11" s="44"/>
      <c r="N11" s="4"/>
      <c r="Q11" s="54"/>
      <c r="T11" s="44"/>
      <c r="U11" s="44"/>
    </row>
    <row r="12" spans="1:26" ht="14.25" customHeight="1" x14ac:dyDescent="0.2">
      <c r="A12">
        <v>12</v>
      </c>
      <c r="B12" t="s">
        <v>665</v>
      </c>
      <c r="C12" t="s">
        <v>666</v>
      </c>
      <c r="D12">
        <v>2022</v>
      </c>
      <c r="E12" t="s">
        <v>385</v>
      </c>
      <c r="F12" t="s">
        <v>668</v>
      </c>
      <c r="G12" t="s">
        <v>669</v>
      </c>
      <c r="H12" t="s">
        <v>586</v>
      </c>
      <c r="I12" t="s">
        <v>15</v>
      </c>
      <c r="J12" t="s">
        <v>253</v>
      </c>
      <c r="K12" t="s">
        <v>667</v>
      </c>
      <c r="L12" t="s">
        <v>670</v>
      </c>
      <c r="M12" s="44"/>
      <c r="N12" s="4"/>
      <c r="Q12" s="54"/>
      <c r="T12" s="44"/>
      <c r="U12" s="44"/>
    </row>
    <row r="13" spans="1:26" ht="14.25" customHeight="1" x14ac:dyDescent="0.2">
      <c r="A13">
        <v>13</v>
      </c>
      <c r="B13" t="s">
        <v>671</v>
      </c>
      <c r="C13" t="s">
        <v>672</v>
      </c>
      <c r="D13">
        <v>2024</v>
      </c>
      <c r="E13" t="s">
        <v>673</v>
      </c>
      <c r="F13" t="s">
        <v>675</v>
      </c>
      <c r="G13" t="s">
        <v>676</v>
      </c>
      <c r="H13" t="s">
        <v>282</v>
      </c>
      <c r="I13" t="s">
        <v>15</v>
      </c>
      <c r="J13" t="s">
        <v>253</v>
      </c>
      <c r="K13" t="s">
        <v>674</v>
      </c>
      <c r="L13" t="s">
        <v>677</v>
      </c>
      <c r="M13" s="44"/>
      <c r="N13" s="4"/>
      <c r="Q13" s="54"/>
      <c r="T13" s="44"/>
      <c r="U13" s="44"/>
    </row>
    <row r="14" spans="1:26" ht="14.25" customHeight="1" x14ac:dyDescent="0.2">
      <c r="A14">
        <v>14</v>
      </c>
      <c r="B14" t="s">
        <v>288</v>
      </c>
      <c r="C14" t="s">
        <v>289</v>
      </c>
      <c r="D14">
        <v>2022</v>
      </c>
      <c r="E14" t="s">
        <v>290</v>
      </c>
      <c r="F14" t="s">
        <v>292</v>
      </c>
      <c r="G14" t="s">
        <v>293</v>
      </c>
      <c r="H14" t="s">
        <v>228</v>
      </c>
      <c r="I14" t="s">
        <v>15</v>
      </c>
      <c r="J14" t="s">
        <v>253</v>
      </c>
      <c r="K14" t="s">
        <v>291</v>
      </c>
      <c r="L14" t="s">
        <v>294</v>
      </c>
      <c r="M14" s="44"/>
      <c r="N14" s="4"/>
      <c r="Q14" s="54"/>
      <c r="T14" s="44"/>
      <c r="U14" s="44"/>
    </row>
    <row r="15" spans="1:26" ht="14.25" customHeight="1" x14ac:dyDescent="0.2">
      <c r="A15">
        <v>15</v>
      </c>
      <c r="B15" t="s">
        <v>684</v>
      </c>
      <c r="C15" t="s">
        <v>685</v>
      </c>
      <c r="D15">
        <v>2025</v>
      </c>
      <c r="E15" t="s">
        <v>686</v>
      </c>
      <c r="F15" t="s">
        <v>688</v>
      </c>
      <c r="G15" t="s">
        <v>689</v>
      </c>
      <c r="H15" t="s">
        <v>691</v>
      </c>
      <c r="I15" t="s">
        <v>15</v>
      </c>
      <c r="J15" t="s">
        <v>253</v>
      </c>
      <c r="K15" t="s">
        <v>687</v>
      </c>
      <c r="L15" t="s">
        <v>690</v>
      </c>
      <c r="M15" s="44"/>
      <c r="N15" s="4"/>
      <c r="Q15" s="54"/>
      <c r="T15" s="44"/>
      <c r="U15" s="44"/>
    </row>
    <row r="16" spans="1:26" ht="14.25" customHeight="1" x14ac:dyDescent="0.2">
      <c r="A16">
        <v>16</v>
      </c>
      <c r="B16" t="s">
        <v>315</v>
      </c>
      <c r="C16" t="s">
        <v>316</v>
      </c>
      <c r="D16">
        <v>2024</v>
      </c>
      <c r="E16" t="s">
        <v>317</v>
      </c>
      <c r="F16" t="s">
        <v>319</v>
      </c>
      <c r="G16" t="s">
        <v>320</v>
      </c>
      <c r="H16" t="s">
        <v>322</v>
      </c>
      <c r="I16" t="s">
        <v>15</v>
      </c>
      <c r="J16" t="s">
        <v>253</v>
      </c>
      <c r="K16" t="s">
        <v>318</v>
      </c>
      <c r="L16" t="s">
        <v>321</v>
      </c>
      <c r="M16" s="44"/>
      <c r="N16" s="4"/>
      <c r="Q16" s="54"/>
      <c r="T16" s="44"/>
      <c r="U16" s="44"/>
    </row>
    <row r="17" spans="1:21" ht="14.25" customHeight="1" x14ac:dyDescent="0.2">
      <c r="A17">
        <v>17</v>
      </c>
      <c r="B17" t="s">
        <v>1060</v>
      </c>
      <c r="C17" t="s">
        <v>1061</v>
      </c>
      <c r="D17">
        <v>2025</v>
      </c>
      <c r="E17" t="s">
        <v>1062</v>
      </c>
      <c r="F17" t="s">
        <v>1064</v>
      </c>
      <c r="G17" t="s">
        <v>1065</v>
      </c>
      <c r="H17" t="s">
        <v>691</v>
      </c>
      <c r="I17" t="s">
        <v>15</v>
      </c>
      <c r="J17" t="s">
        <v>253</v>
      </c>
      <c r="K17" t="s">
        <v>1063</v>
      </c>
      <c r="L17" t="s">
        <v>1066</v>
      </c>
      <c r="M17" s="44"/>
      <c r="N17" s="4"/>
      <c r="Q17" s="54"/>
      <c r="T17" s="44"/>
      <c r="U17" s="44"/>
    </row>
    <row r="18" spans="1:21" ht="14.25" customHeight="1" x14ac:dyDescent="0.2">
      <c r="A18">
        <v>18</v>
      </c>
      <c r="B18" t="s">
        <v>705</v>
      </c>
      <c r="C18" t="s">
        <v>706</v>
      </c>
      <c r="D18">
        <v>2026</v>
      </c>
      <c r="E18" t="s">
        <v>707</v>
      </c>
      <c r="F18" t="s">
        <v>709</v>
      </c>
      <c r="G18" t="s">
        <v>710</v>
      </c>
      <c r="H18" t="s">
        <v>252</v>
      </c>
      <c r="I18" t="s">
        <v>15</v>
      </c>
      <c r="J18" t="s">
        <v>253</v>
      </c>
      <c r="K18" t="s">
        <v>708</v>
      </c>
      <c r="L18" t="s">
        <v>711</v>
      </c>
      <c r="M18" s="44"/>
      <c r="N18" s="4"/>
      <c r="Q18" s="54"/>
      <c r="T18" s="44"/>
      <c r="U18" s="44"/>
    </row>
    <row r="19" spans="1:21" ht="14.25" customHeight="1" x14ac:dyDescent="0.2">
      <c r="A19">
        <v>19</v>
      </c>
      <c r="B19" t="s">
        <v>1079</v>
      </c>
      <c r="C19" t="s">
        <v>1080</v>
      </c>
      <c r="D19">
        <v>2023</v>
      </c>
      <c r="E19" t="s">
        <v>1081</v>
      </c>
      <c r="F19" t="s">
        <v>1083</v>
      </c>
      <c r="G19" t="s">
        <v>1084</v>
      </c>
      <c r="H19" t="s">
        <v>1086</v>
      </c>
      <c r="I19" t="s">
        <v>15</v>
      </c>
      <c r="J19" t="s">
        <v>253</v>
      </c>
      <c r="K19" t="s">
        <v>1082</v>
      </c>
      <c r="L19" t="s">
        <v>1085</v>
      </c>
      <c r="M19" s="44"/>
      <c r="N19" s="4"/>
      <c r="Q19" s="54"/>
      <c r="T19" s="44"/>
      <c r="U19" s="44"/>
    </row>
    <row r="20" spans="1:21" ht="14.25" customHeight="1" x14ac:dyDescent="0.2">
      <c r="A20">
        <v>20</v>
      </c>
      <c r="B20" t="s">
        <v>1765</v>
      </c>
      <c r="C20" t="s">
        <v>1766</v>
      </c>
      <c r="D20">
        <v>2020</v>
      </c>
      <c r="E20" t="s">
        <v>1767</v>
      </c>
      <c r="F20" t="s">
        <v>1769</v>
      </c>
      <c r="G20">
        <v>0</v>
      </c>
      <c r="H20" t="s">
        <v>457</v>
      </c>
      <c r="I20" t="s">
        <v>15</v>
      </c>
      <c r="J20" t="s">
        <v>253</v>
      </c>
      <c r="K20" t="s">
        <v>1768</v>
      </c>
      <c r="L20" t="s">
        <v>1770</v>
      </c>
      <c r="M20" s="44"/>
      <c r="N20" s="4"/>
      <c r="Q20" s="54"/>
      <c r="T20" s="44"/>
      <c r="U20" s="44"/>
    </row>
    <row r="21" spans="1:21" ht="14.25" customHeight="1" x14ac:dyDescent="0.2">
      <c r="A21">
        <v>21</v>
      </c>
      <c r="B21" t="s">
        <v>718</v>
      </c>
      <c r="C21" t="s">
        <v>719</v>
      </c>
      <c r="D21">
        <v>2025</v>
      </c>
      <c r="E21" t="s">
        <v>460</v>
      </c>
      <c r="F21" t="s">
        <v>721</v>
      </c>
      <c r="G21" t="s">
        <v>722</v>
      </c>
      <c r="H21" t="s">
        <v>465</v>
      </c>
      <c r="I21" t="s">
        <v>15</v>
      </c>
      <c r="J21" t="s">
        <v>253</v>
      </c>
      <c r="K21" t="s">
        <v>720</v>
      </c>
      <c r="L21" t="s">
        <v>723</v>
      </c>
      <c r="M21" s="44"/>
      <c r="N21" s="4"/>
      <c r="Q21" s="54"/>
      <c r="T21" s="44"/>
      <c r="U21" s="44"/>
    </row>
    <row r="22" spans="1:21" ht="14.25" customHeight="1" x14ac:dyDescent="0.2">
      <c r="A22">
        <v>22</v>
      </c>
      <c r="B22" t="s">
        <v>343</v>
      </c>
      <c r="C22" t="s">
        <v>344</v>
      </c>
      <c r="D22">
        <v>2025</v>
      </c>
      <c r="E22" t="s">
        <v>345</v>
      </c>
      <c r="F22" t="s">
        <v>347</v>
      </c>
      <c r="G22" t="s">
        <v>348</v>
      </c>
      <c r="H22" t="s">
        <v>350</v>
      </c>
      <c r="I22" t="s">
        <v>15</v>
      </c>
      <c r="J22" t="s">
        <v>253</v>
      </c>
      <c r="K22" t="s">
        <v>346</v>
      </c>
      <c r="L22" t="s">
        <v>349</v>
      </c>
      <c r="M22" s="44"/>
      <c r="Q22" s="54"/>
      <c r="T22" s="44"/>
      <c r="U22" s="44"/>
    </row>
    <row r="23" spans="1:21" ht="14.25" customHeight="1" x14ac:dyDescent="0.2">
      <c r="A23">
        <v>23</v>
      </c>
      <c r="B23" t="s">
        <v>724</v>
      </c>
      <c r="C23" t="s">
        <v>725</v>
      </c>
      <c r="D23">
        <v>2022</v>
      </c>
      <c r="E23" t="s">
        <v>394</v>
      </c>
      <c r="F23" t="s">
        <v>727</v>
      </c>
      <c r="G23" t="s">
        <v>728</v>
      </c>
      <c r="H23" t="s">
        <v>274</v>
      </c>
      <c r="I23" t="s">
        <v>15</v>
      </c>
      <c r="J23" t="s">
        <v>253</v>
      </c>
      <c r="K23" t="s">
        <v>726</v>
      </c>
      <c r="L23" t="s">
        <v>729</v>
      </c>
      <c r="M23" s="44"/>
      <c r="Q23" s="54"/>
      <c r="T23" s="44"/>
      <c r="U23" s="44"/>
    </row>
    <row r="24" spans="1:21" ht="14.25" customHeight="1" x14ac:dyDescent="0.2">
      <c r="A24">
        <v>24</v>
      </c>
      <c r="B24" t="s">
        <v>1463</v>
      </c>
      <c r="C24" t="s">
        <v>1464</v>
      </c>
      <c r="D24">
        <v>2022</v>
      </c>
      <c r="E24" t="s">
        <v>297</v>
      </c>
      <c r="F24" t="s">
        <v>1466</v>
      </c>
      <c r="G24" t="s">
        <v>1467</v>
      </c>
      <c r="H24" t="s">
        <v>586</v>
      </c>
      <c r="I24" t="s">
        <v>15</v>
      </c>
      <c r="J24" t="s">
        <v>253</v>
      </c>
      <c r="K24" t="s">
        <v>1465</v>
      </c>
      <c r="L24" t="s">
        <v>1468</v>
      </c>
      <c r="M24" s="44"/>
      <c r="Q24" s="54"/>
      <c r="T24" s="44"/>
      <c r="U24" s="44"/>
    </row>
    <row r="25" spans="1:21" ht="14.25" customHeight="1" x14ac:dyDescent="0.2">
      <c r="A25">
        <v>25</v>
      </c>
      <c r="B25" t="s">
        <v>736</v>
      </c>
      <c r="C25" t="s">
        <v>737</v>
      </c>
      <c r="D25">
        <v>2023</v>
      </c>
      <c r="E25" t="s">
        <v>738</v>
      </c>
      <c r="F25" t="s">
        <v>740</v>
      </c>
      <c r="G25" t="s">
        <v>741</v>
      </c>
      <c r="H25" t="s">
        <v>743</v>
      </c>
      <c r="I25" t="s">
        <v>15</v>
      </c>
      <c r="J25" t="s">
        <v>253</v>
      </c>
      <c r="K25" t="s">
        <v>739</v>
      </c>
      <c r="L25" t="s">
        <v>742</v>
      </c>
      <c r="M25" s="44"/>
      <c r="Q25" s="54"/>
      <c r="T25" s="44"/>
      <c r="U25" s="44"/>
    </row>
    <row r="26" spans="1:21" ht="14.25" customHeight="1" x14ac:dyDescent="0.2">
      <c r="A26">
        <v>26</v>
      </c>
      <c r="B26" t="s">
        <v>750</v>
      </c>
      <c r="C26" t="s">
        <v>751</v>
      </c>
      <c r="D26">
        <v>2024</v>
      </c>
      <c r="E26" t="s">
        <v>394</v>
      </c>
      <c r="F26" t="s">
        <v>753</v>
      </c>
      <c r="G26" t="s">
        <v>754</v>
      </c>
      <c r="H26" t="s">
        <v>274</v>
      </c>
      <c r="I26" t="s">
        <v>15</v>
      </c>
      <c r="J26" t="s">
        <v>253</v>
      </c>
      <c r="K26" t="s">
        <v>752</v>
      </c>
      <c r="L26" t="s">
        <v>755</v>
      </c>
      <c r="M26" s="44"/>
      <c r="Q26" s="54"/>
      <c r="T26" s="44"/>
      <c r="U26" s="44"/>
    </row>
    <row r="27" spans="1:21" ht="14.25" customHeight="1" x14ac:dyDescent="0.2">
      <c r="A27">
        <v>27</v>
      </c>
      <c r="B27" t="s">
        <v>363</v>
      </c>
      <c r="C27" t="s">
        <v>364</v>
      </c>
      <c r="D27">
        <v>2025</v>
      </c>
      <c r="E27" t="s">
        <v>277</v>
      </c>
      <c r="F27" t="s">
        <v>366</v>
      </c>
      <c r="G27" t="s">
        <v>367</v>
      </c>
      <c r="H27" t="s">
        <v>282</v>
      </c>
      <c r="I27" t="s">
        <v>15</v>
      </c>
      <c r="J27" t="s">
        <v>253</v>
      </c>
      <c r="K27" t="s">
        <v>365</v>
      </c>
      <c r="L27" t="s">
        <v>368</v>
      </c>
      <c r="M27" s="44"/>
      <c r="Q27" s="54"/>
      <c r="T27" s="44"/>
      <c r="U27" s="44"/>
    </row>
    <row r="28" spans="1:21" ht="14.25" customHeight="1" x14ac:dyDescent="0.2">
      <c r="A28">
        <v>28</v>
      </c>
      <c r="B28" t="s">
        <v>1122</v>
      </c>
      <c r="C28" t="s">
        <v>1123</v>
      </c>
      <c r="D28">
        <v>2026</v>
      </c>
      <c r="E28" t="s">
        <v>1124</v>
      </c>
      <c r="F28" t="s">
        <v>1126</v>
      </c>
      <c r="G28" t="s">
        <v>1127</v>
      </c>
      <c r="H28" t="s">
        <v>260</v>
      </c>
      <c r="I28" t="s">
        <v>15</v>
      </c>
      <c r="J28" t="s">
        <v>253</v>
      </c>
      <c r="K28" t="s">
        <v>1125</v>
      </c>
      <c r="L28" t="s">
        <v>1128</v>
      </c>
      <c r="M28" s="44"/>
      <c r="Q28" s="54"/>
      <c r="T28" s="44"/>
      <c r="U28" s="44"/>
    </row>
    <row r="29" spans="1:21" ht="14.25" customHeight="1" x14ac:dyDescent="0.2">
      <c r="A29">
        <v>29</v>
      </c>
      <c r="B29" t="s">
        <v>369</v>
      </c>
      <c r="C29" t="s">
        <v>370</v>
      </c>
      <c r="D29">
        <v>2022</v>
      </c>
      <c r="E29" t="s">
        <v>371</v>
      </c>
      <c r="F29" t="s">
        <v>373</v>
      </c>
      <c r="G29" t="s">
        <v>374</v>
      </c>
      <c r="H29" t="s">
        <v>376</v>
      </c>
      <c r="I29" t="s">
        <v>15</v>
      </c>
      <c r="J29" t="s">
        <v>253</v>
      </c>
      <c r="K29" t="s">
        <v>372</v>
      </c>
      <c r="L29" t="s">
        <v>375</v>
      </c>
      <c r="M29" s="44"/>
      <c r="Q29" s="54"/>
      <c r="T29" s="44"/>
      <c r="U29" s="44"/>
    </row>
    <row r="30" spans="1:21" ht="14.25" customHeight="1" x14ac:dyDescent="0.2">
      <c r="A30">
        <v>30</v>
      </c>
      <c r="B30" t="s">
        <v>1771</v>
      </c>
      <c r="C30" t="s">
        <v>1772</v>
      </c>
      <c r="D30">
        <v>2021</v>
      </c>
      <c r="E30" t="s">
        <v>1773</v>
      </c>
      <c r="F30" t="s">
        <v>1775</v>
      </c>
      <c r="G30" t="s">
        <v>1776</v>
      </c>
      <c r="H30" t="s">
        <v>1778</v>
      </c>
      <c r="I30" t="s">
        <v>15</v>
      </c>
      <c r="J30" t="s">
        <v>253</v>
      </c>
      <c r="K30" t="s">
        <v>1774</v>
      </c>
      <c r="L30" t="s">
        <v>1777</v>
      </c>
      <c r="M30" s="44"/>
      <c r="Q30" s="54"/>
      <c r="T30" s="44"/>
      <c r="U30" s="44"/>
    </row>
    <row r="31" spans="1:21" ht="14.25" customHeight="1" x14ac:dyDescent="0.2">
      <c r="A31">
        <v>31</v>
      </c>
      <c r="B31" t="s">
        <v>1140</v>
      </c>
      <c r="C31" t="s">
        <v>1141</v>
      </c>
      <c r="D31">
        <v>2022</v>
      </c>
      <c r="E31" t="s">
        <v>1142</v>
      </c>
      <c r="F31" t="s">
        <v>1144</v>
      </c>
      <c r="G31" t="s">
        <v>1145</v>
      </c>
      <c r="H31" t="s">
        <v>238</v>
      </c>
      <c r="I31" t="s">
        <v>15</v>
      </c>
      <c r="J31" t="s">
        <v>253</v>
      </c>
      <c r="K31" t="s">
        <v>1143</v>
      </c>
      <c r="L31" t="s">
        <v>1146</v>
      </c>
      <c r="M31" s="44"/>
      <c r="Q31" s="54"/>
    </row>
    <row r="32" spans="1:21" ht="14.25" customHeight="1" x14ac:dyDescent="0.2">
      <c r="A32">
        <v>32</v>
      </c>
      <c r="B32" t="s">
        <v>796</v>
      </c>
      <c r="C32" t="s">
        <v>797</v>
      </c>
      <c r="D32">
        <v>2025</v>
      </c>
      <c r="E32" t="s">
        <v>798</v>
      </c>
      <c r="F32" t="s">
        <v>800</v>
      </c>
      <c r="G32" t="s">
        <v>801</v>
      </c>
      <c r="H32" t="s">
        <v>803</v>
      </c>
      <c r="I32" t="s">
        <v>15</v>
      </c>
      <c r="J32" t="s">
        <v>253</v>
      </c>
      <c r="K32" t="s">
        <v>799</v>
      </c>
      <c r="L32" t="s">
        <v>802</v>
      </c>
      <c r="Q32" s="54"/>
    </row>
    <row r="33" spans="1:17" ht="14.25" customHeight="1" x14ac:dyDescent="0.2">
      <c r="A33">
        <v>33</v>
      </c>
      <c r="B33" t="s">
        <v>811</v>
      </c>
      <c r="C33" t="s">
        <v>812</v>
      </c>
      <c r="D33">
        <v>2024</v>
      </c>
      <c r="E33" t="s">
        <v>460</v>
      </c>
      <c r="F33" t="s">
        <v>814</v>
      </c>
      <c r="G33" t="s">
        <v>815</v>
      </c>
      <c r="H33" t="s">
        <v>465</v>
      </c>
      <c r="I33" t="s">
        <v>15</v>
      </c>
      <c r="J33" t="s">
        <v>253</v>
      </c>
      <c r="K33" t="s">
        <v>813</v>
      </c>
      <c r="L33" t="s">
        <v>816</v>
      </c>
      <c r="Q33" s="54"/>
    </row>
    <row r="34" spans="1:17" ht="14.25" customHeight="1" x14ac:dyDescent="0.2">
      <c r="A34">
        <v>34</v>
      </c>
      <c r="B34" t="s">
        <v>1147</v>
      </c>
      <c r="C34" t="s">
        <v>1148</v>
      </c>
      <c r="D34">
        <v>2021</v>
      </c>
      <c r="E34" t="s">
        <v>1149</v>
      </c>
      <c r="F34" t="s">
        <v>1151</v>
      </c>
      <c r="G34" t="s">
        <v>1152</v>
      </c>
      <c r="H34" t="s">
        <v>274</v>
      </c>
      <c r="I34" t="s">
        <v>15</v>
      </c>
      <c r="J34" t="s">
        <v>253</v>
      </c>
      <c r="K34" t="s">
        <v>1150</v>
      </c>
      <c r="L34" t="s">
        <v>1153</v>
      </c>
      <c r="Q34" s="54"/>
    </row>
    <row r="35" spans="1:17" ht="14.25" customHeight="1" x14ac:dyDescent="0.2">
      <c r="A35">
        <v>35</v>
      </c>
      <c r="B35" t="s">
        <v>1779</v>
      </c>
      <c r="C35" t="s">
        <v>1780</v>
      </c>
      <c r="D35">
        <v>2020</v>
      </c>
      <c r="E35" t="s">
        <v>1781</v>
      </c>
      <c r="F35" t="s">
        <v>1782</v>
      </c>
      <c r="G35" t="s">
        <v>1783</v>
      </c>
      <c r="H35" t="s">
        <v>1784</v>
      </c>
      <c r="I35" t="s">
        <v>15</v>
      </c>
      <c r="J35" t="s">
        <v>253</v>
      </c>
      <c r="K35">
        <v>0</v>
      </c>
      <c r="L35">
        <v>0</v>
      </c>
      <c r="Q35" s="54"/>
    </row>
    <row r="36" spans="1:17" ht="14.25" customHeight="1" x14ac:dyDescent="0.2">
      <c r="A36">
        <v>36</v>
      </c>
      <c r="B36" t="s">
        <v>383</v>
      </c>
      <c r="C36" t="s">
        <v>384</v>
      </c>
      <c r="D36">
        <v>2024</v>
      </c>
      <c r="E36" t="s">
        <v>385</v>
      </c>
      <c r="F36" t="s">
        <v>387</v>
      </c>
      <c r="G36" t="s">
        <v>388</v>
      </c>
      <c r="H36" t="s">
        <v>282</v>
      </c>
      <c r="I36" t="s">
        <v>15</v>
      </c>
      <c r="J36" t="s">
        <v>253</v>
      </c>
      <c r="K36" t="s">
        <v>386</v>
      </c>
      <c r="L36" t="s">
        <v>389</v>
      </c>
      <c r="Q36" s="54"/>
    </row>
    <row r="37" spans="1:17" ht="14.25" customHeight="1" x14ac:dyDescent="0.2">
      <c r="A37">
        <v>37</v>
      </c>
      <c r="B37" t="s">
        <v>1499</v>
      </c>
      <c r="C37" t="s">
        <v>1500</v>
      </c>
      <c r="D37">
        <v>2025</v>
      </c>
      <c r="E37" t="s">
        <v>1501</v>
      </c>
      <c r="F37" t="s">
        <v>1823</v>
      </c>
      <c r="G37" t="s">
        <v>1503</v>
      </c>
      <c r="H37" t="s">
        <v>987</v>
      </c>
      <c r="I37" t="s">
        <v>15</v>
      </c>
      <c r="J37" t="s">
        <v>253</v>
      </c>
      <c r="K37" t="s">
        <v>1502</v>
      </c>
      <c r="L37">
        <v>0</v>
      </c>
      <c r="Q37" s="54"/>
    </row>
    <row r="38" spans="1:17" ht="14.25" customHeight="1" x14ac:dyDescent="0.2">
      <c r="A38">
        <v>38</v>
      </c>
      <c r="B38" t="s">
        <v>392</v>
      </c>
      <c r="C38" t="s">
        <v>393</v>
      </c>
      <c r="D38">
        <v>2023</v>
      </c>
      <c r="E38" t="s">
        <v>394</v>
      </c>
      <c r="F38" t="s">
        <v>396</v>
      </c>
      <c r="G38" t="s">
        <v>397</v>
      </c>
      <c r="H38" t="s">
        <v>274</v>
      </c>
      <c r="I38" t="s">
        <v>15</v>
      </c>
      <c r="J38" t="s">
        <v>253</v>
      </c>
      <c r="K38" t="s">
        <v>395</v>
      </c>
      <c r="L38" t="s">
        <v>398</v>
      </c>
      <c r="Q38" s="54"/>
    </row>
    <row r="39" spans="1:17" ht="14.25" customHeight="1" x14ac:dyDescent="0.2">
      <c r="A39">
        <v>39</v>
      </c>
      <c r="B39" t="s">
        <v>824</v>
      </c>
      <c r="C39" t="s">
        <v>825</v>
      </c>
      <c r="D39">
        <v>2025</v>
      </c>
      <c r="E39" t="s">
        <v>269</v>
      </c>
      <c r="F39" t="s">
        <v>827</v>
      </c>
      <c r="G39" t="s">
        <v>828</v>
      </c>
      <c r="H39" t="s">
        <v>274</v>
      </c>
      <c r="I39" t="s">
        <v>15</v>
      </c>
      <c r="J39" t="s">
        <v>253</v>
      </c>
      <c r="K39" t="s">
        <v>826</v>
      </c>
      <c r="L39" t="s">
        <v>829</v>
      </c>
      <c r="Q39" s="54"/>
    </row>
    <row r="40" spans="1:17" ht="14.25" customHeight="1" x14ac:dyDescent="0.2">
      <c r="A40">
        <v>40</v>
      </c>
      <c r="B40" t="s">
        <v>399</v>
      </c>
      <c r="C40" t="s">
        <v>400</v>
      </c>
      <c r="D40">
        <v>2025</v>
      </c>
      <c r="E40" t="s">
        <v>331</v>
      </c>
      <c r="F40" t="s">
        <v>402</v>
      </c>
      <c r="G40" t="s">
        <v>403</v>
      </c>
      <c r="H40" t="s">
        <v>336</v>
      </c>
      <c r="I40" t="s">
        <v>15</v>
      </c>
      <c r="J40" t="s">
        <v>253</v>
      </c>
      <c r="K40" t="s">
        <v>401</v>
      </c>
      <c r="L40" t="s">
        <v>404</v>
      </c>
      <c r="Q40" s="54"/>
    </row>
    <row r="41" spans="1:17" ht="14.25" customHeight="1" x14ac:dyDescent="0.2">
      <c r="A41">
        <v>41</v>
      </c>
      <c r="B41" t="s">
        <v>1516</v>
      </c>
      <c r="C41" t="s">
        <v>1517</v>
      </c>
      <c r="D41">
        <v>2023</v>
      </c>
      <c r="E41" t="s">
        <v>297</v>
      </c>
      <c r="F41" t="s">
        <v>1519</v>
      </c>
      <c r="G41" t="s">
        <v>1520</v>
      </c>
      <c r="H41" t="s">
        <v>282</v>
      </c>
      <c r="I41" t="s">
        <v>15</v>
      </c>
      <c r="J41" t="s">
        <v>253</v>
      </c>
      <c r="K41" t="s">
        <v>1518</v>
      </c>
      <c r="L41" t="s">
        <v>1521</v>
      </c>
      <c r="Q41" s="54"/>
    </row>
    <row r="42" spans="1:17" ht="14.25" customHeight="1" x14ac:dyDescent="0.2">
      <c r="A42">
        <v>42</v>
      </c>
      <c r="B42" t="s">
        <v>1785</v>
      </c>
      <c r="C42" t="s">
        <v>1824</v>
      </c>
      <c r="D42">
        <v>2021</v>
      </c>
      <c r="E42" t="s">
        <v>1786</v>
      </c>
      <c r="F42" t="s">
        <v>1788</v>
      </c>
      <c r="G42" t="s">
        <v>1789</v>
      </c>
      <c r="H42" t="s">
        <v>1791</v>
      </c>
      <c r="I42" t="s">
        <v>1792</v>
      </c>
      <c r="J42" t="s">
        <v>253</v>
      </c>
      <c r="K42" t="s">
        <v>1787</v>
      </c>
      <c r="L42" t="s">
        <v>1790</v>
      </c>
      <c r="Q42" s="54"/>
    </row>
    <row r="43" spans="1:17" ht="14.25" customHeight="1" x14ac:dyDescent="0.2">
      <c r="A43">
        <v>43</v>
      </c>
      <c r="B43" t="s">
        <v>1204</v>
      </c>
      <c r="C43" t="s">
        <v>1205</v>
      </c>
      <c r="D43">
        <v>2023</v>
      </c>
      <c r="E43" t="s">
        <v>1206</v>
      </c>
      <c r="F43" t="s">
        <v>1208</v>
      </c>
      <c r="G43" t="s">
        <v>1209</v>
      </c>
      <c r="H43" t="s">
        <v>1210</v>
      </c>
      <c r="I43" t="s">
        <v>1211</v>
      </c>
      <c r="J43" t="s">
        <v>253</v>
      </c>
      <c r="K43" t="s">
        <v>1207</v>
      </c>
      <c r="L43">
        <v>0</v>
      </c>
      <c r="Q43" s="54"/>
    </row>
    <row r="44" spans="1:17" ht="14.25" customHeight="1" x14ac:dyDescent="0.2">
      <c r="A44">
        <v>44</v>
      </c>
      <c r="B44" t="s">
        <v>1212</v>
      </c>
      <c r="C44" t="s">
        <v>1213</v>
      </c>
      <c r="D44">
        <v>2025</v>
      </c>
      <c r="E44" t="s">
        <v>277</v>
      </c>
      <c r="F44" t="s">
        <v>1215</v>
      </c>
      <c r="G44" t="s">
        <v>1216</v>
      </c>
      <c r="H44" t="s">
        <v>282</v>
      </c>
      <c r="I44" t="s">
        <v>15</v>
      </c>
      <c r="J44" t="s">
        <v>253</v>
      </c>
      <c r="K44" t="s">
        <v>1214</v>
      </c>
      <c r="L44" t="s">
        <v>1217</v>
      </c>
      <c r="Q44" s="54"/>
    </row>
    <row r="45" spans="1:17" ht="14.25" customHeight="1" x14ac:dyDescent="0.2">
      <c r="A45">
        <v>45</v>
      </c>
      <c r="B45" t="s">
        <v>1218</v>
      </c>
      <c r="C45" t="s">
        <v>1219</v>
      </c>
      <c r="D45">
        <v>2023</v>
      </c>
      <c r="E45" t="s">
        <v>394</v>
      </c>
      <c r="F45" t="s">
        <v>1221</v>
      </c>
      <c r="G45" t="s">
        <v>1222</v>
      </c>
      <c r="H45" t="s">
        <v>274</v>
      </c>
      <c r="I45" t="s">
        <v>15</v>
      </c>
      <c r="J45" t="s">
        <v>253</v>
      </c>
      <c r="K45" t="s">
        <v>1220</v>
      </c>
      <c r="L45" t="s">
        <v>1223</v>
      </c>
      <c r="Q45" s="54"/>
    </row>
    <row r="46" spans="1:17" ht="14.25" customHeight="1" x14ac:dyDescent="0.2">
      <c r="A46">
        <v>46</v>
      </c>
      <c r="B46" t="s">
        <v>1224</v>
      </c>
      <c r="C46" t="s">
        <v>1225</v>
      </c>
      <c r="D46">
        <v>2023</v>
      </c>
      <c r="E46" t="s">
        <v>331</v>
      </c>
      <c r="F46" t="s">
        <v>1227</v>
      </c>
      <c r="G46" t="s">
        <v>1228</v>
      </c>
      <c r="H46" t="s">
        <v>336</v>
      </c>
      <c r="I46" t="s">
        <v>15</v>
      </c>
      <c r="J46" t="s">
        <v>253</v>
      </c>
      <c r="K46" t="s">
        <v>1226</v>
      </c>
      <c r="L46" t="s">
        <v>505</v>
      </c>
      <c r="Q46" s="54"/>
    </row>
    <row r="47" spans="1:17" ht="14.25" customHeight="1" x14ac:dyDescent="0.2">
      <c r="A47">
        <v>47</v>
      </c>
      <c r="B47" t="s">
        <v>1235</v>
      </c>
      <c r="C47" t="s">
        <v>1236</v>
      </c>
      <c r="D47">
        <v>2025</v>
      </c>
      <c r="E47" t="s">
        <v>317</v>
      </c>
      <c r="F47" t="s">
        <v>1238</v>
      </c>
      <c r="G47" t="s">
        <v>1239</v>
      </c>
      <c r="H47" t="s">
        <v>322</v>
      </c>
      <c r="I47" t="s">
        <v>15</v>
      </c>
      <c r="J47" t="s">
        <v>253</v>
      </c>
      <c r="K47" t="s">
        <v>1237</v>
      </c>
      <c r="L47" t="s">
        <v>1240</v>
      </c>
      <c r="Q47" s="54"/>
    </row>
    <row r="48" spans="1:17" ht="14.25" customHeight="1" x14ac:dyDescent="0.2">
      <c r="A48">
        <v>48</v>
      </c>
      <c r="B48" t="s">
        <v>439</v>
      </c>
      <c r="C48" t="s">
        <v>440</v>
      </c>
      <c r="D48">
        <v>2023</v>
      </c>
      <c r="E48" t="s">
        <v>233</v>
      </c>
      <c r="F48" t="s">
        <v>442</v>
      </c>
      <c r="G48" t="s">
        <v>443</v>
      </c>
      <c r="H48" t="s">
        <v>238</v>
      </c>
      <c r="I48" t="s">
        <v>15</v>
      </c>
      <c r="J48" t="s">
        <v>253</v>
      </c>
      <c r="K48" t="s">
        <v>441</v>
      </c>
      <c r="L48" t="s">
        <v>444</v>
      </c>
      <c r="Q48" s="54"/>
    </row>
    <row r="49" spans="1:17" ht="14.25" customHeight="1" x14ac:dyDescent="0.2">
      <c r="A49">
        <v>49</v>
      </c>
      <c r="B49" t="s">
        <v>451</v>
      </c>
      <c r="C49" t="s">
        <v>452</v>
      </c>
      <c r="D49">
        <v>2024</v>
      </c>
      <c r="E49" t="s">
        <v>453</v>
      </c>
      <c r="F49" t="s">
        <v>455</v>
      </c>
      <c r="G49">
        <v>0</v>
      </c>
      <c r="H49" t="s">
        <v>457</v>
      </c>
      <c r="I49" t="s">
        <v>15</v>
      </c>
      <c r="J49" t="s">
        <v>253</v>
      </c>
      <c r="K49" t="s">
        <v>454</v>
      </c>
      <c r="L49" t="s">
        <v>456</v>
      </c>
      <c r="Q49" s="54"/>
    </row>
    <row r="50" spans="1:17" ht="14.25" customHeight="1" x14ac:dyDescent="0.2">
      <c r="A50">
        <v>50</v>
      </c>
      <c r="B50" t="s">
        <v>458</v>
      </c>
      <c r="C50" t="s">
        <v>459</v>
      </c>
      <c r="D50">
        <v>2024</v>
      </c>
      <c r="E50" t="s">
        <v>460</v>
      </c>
      <c r="F50" t="s">
        <v>462</v>
      </c>
      <c r="G50" t="s">
        <v>463</v>
      </c>
      <c r="H50" t="s">
        <v>465</v>
      </c>
      <c r="I50" t="s">
        <v>15</v>
      </c>
      <c r="J50" t="s">
        <v>253</v>
      </c>
      <c r="K50" t="s">
        <v>461</v>
      </c>
      <c r="L50" t="s">
        <v>464</v>
      </c>
      <c r="Q50" s="54"/>
    </row>
    <row r="51" spans="1:17" ht="14.25" customHeight="1" x14ac:dyDescent="0.2">
      <c r="A51">
        <v>51</v>
      </c>
      <c r="B51" t="s">
        <v>849</v>
      </c>
      <c r="C51" t="s">
        <v>850</v>
      </c>
      <c r="D51">
        <v>2025</v>
      </c>
      <c r="E51" t="s">
        <v>371</v>
      </c>
      <c r="F51" t="s">
        <v>852</v>
      </c>
      <c r="G51" t="s">
        <v>853</v>
      </c>
      <c r="H51" t="s">
        <v>376</v>
      </c>
      <c r="I51" t="s">
        <v>15</v>
      </c>
      <c r="J51" t="s">
        <v>253</v>
      </c>
      <c r="K51" t="s">
        <v>851</v>
      </c>
      <c r="L51" t="s">
        <v>854</v>
      </c>
      <c r="Q51" s="54"/>
    </row>
    <row r="52" spans="1:17" ht="14.25" customHeight="1" x14ac:dyDescent="0.2">
      <c r="A52">
        <v>52</v>
      </c>
      <c r="B52" t="s">
        <v>1569</v>
      </c>
      <c r="C52" t="s">
        <v>1570</v>
      </c>
      <c r="D52">
        <v>2024</v>
      </c>
      <c r="E52" t="s">
        <v>1322</v>
      </c>
      <c r="F52" t="s">
        <v>1572</v>
      </c>
      <c r="G52" t="s">
        <v>1573</v>
      </c>
      <c r="H52" t="s">
        <v>282</v>
      </c>
      <c r="I52" t="s">
        <v>15</v>
      </c>
      <c r="J52" t="s">
        <v>253</v>
      </c>
      <c r="K52" t="s">
        <v>1571</v>
      </c>
      <c r="L52" t="s">
        <v>1574</v>
      </c>
      <c r="Q52" s="54"/>
    </row>
    <row r="53" spans="1:17" ht="14.25" customHeight="1" x14ac:dyDescent="0.2">
      <c r="A53">
        <v>53</v>
      </c>
      <c r="B53" t="s">
        <v>1265</v>
      </c>
      <c r="C53" t="s">
        <v>1266</v>
      </c>
      <c r="D53">
        <v>2022</v>
      </c>
      <c r="E53" t="s">
        <v>1081</v>
      </c>
      <c r="F53" t="s">
        <v>1268</v>
      </c>
      <c r="G53" t="s">
        <v>1269</v>
      </c>
      <c r="H53" t="s">
        <v>1086</v>
      </c>
      <c r="I53" t="s">
        <v>15</v>
      </c>
      <c r="J53" t="s">
        <v>253</v>
      </c>
      <c r="K53" t="s">
        <v>1267</v>
      </c>
      <c r="L53" t="s">
        <v>1270</v>
      </c>
      <c r="Q53" s="54"/>
    </row>
    <row r="54" spans="1:17" ht="14.25" customHeight="1" x14ac:dyDescent="0.2">
      <c r="A54">
        <v>54</v>
      </c>
      <c r="B54" t="s">
        <v>493</v>
      </c>
      <c r="C54" t="s">
        <v>494</v>
      </c>
      <c r="D54">
        <v>2026</v>
      </c>
      <c r="E54" t="s">
        <v>394</v>
      </c>
      <c r="F54" t="s">
        <v>496</v>
      </c>
      <c r="G54" t="s">
        <v>497</v>
      </c>
      <c r="H54" t="s">
        <v>274</v>
      </c>
      <c r="I54" t="s">
        <v>15</v>
      </c>
      <c r="J54" t="s">
        <v>253</v>
      </c>
      <c r="K54" t="s">
        <v>495</v>
      </c>
      <c r="L54" t="s">
        <v>498</v>
      </c>
      <c r="Q54" s="54"/>
    </row>
    <row r="55" spans="1:17" ht="14.25" customHeight="1" x14ac:dyDescent="0.2">
      <c r="A55">
        <v>55</v>
      </c>
      <c r="B55" t="s">
        <v>499</v>
      </c>
      <c r="C55" t="s">
        <v>500</v>
      </c>
      <c r="D55">
        <v>2024</v>
      </c>
      <c r="E55" t="s">
        <v>501</v>
      </c>
      <c r="F55" t="s">
        <v>503</v>
      </c>
      <c r="G55" t="s">
        <v>504</v>
      </c>
      <c r="H55" t="s">
        <v>506</v>
      </c>
      <c r="I55" t="s">
        <v>15</v>
      </c>
      <c r="J55" t="s">
        <v>253</v>
      </c>
      <c r="K55" t="s">
        <v>502</v>
      </c>
      <c r="L55" t="s">
        <v>505</v>
      </c>
      <c r="Q55" s="54"/>
    </row>
    <row r="56" spans="1:17" ht="14.25" customHeight="1" x14ac:dyDescent="0.2">
      <c r="A56">
        <v>56</v>
      </c>
      <c r="B56" t="s">
        <v>514</v>
      </c>
      <c r="C56" t="s">
        <v>515</v>
      </c>
      <c r="D56">
        <v>2026</v>
      </c>
      <c r="E56" t="s">
        <v>516</v>
      </c>
      <c r="F56" t="s">
        <v>518</v>
      </c>
      <c r="G56" t="s">
        <v>519</v>
      </c>
      <c r="H56" t="s">
        <v>260</v>
      </c>
      <c r="I56" t="s">
        <v>15</v>
      </c>
      <c r="J56" t="s">
        <v>253</v>
      </c>
      <c r="K56" t="s">
        <v>517</v>
      </c>
      <c r="L56" t="s">
        <v>520</v>
      </c>
      <c r="Q56" s="54"/>
    </row>
    <row r="57" spans="1:17" ht="14.25" customHeight="1" x14ac:dyDescent="0.2">
      <c r="A57">
        <v>57</v>
      </c>
      <c r="B57" t="s">
        <v>1593</v>
      </c>
      <c r="C57" t="s">
        <v>1594</v>
      </c>
      <c r="D57">
        <v>2024</v>
      </c>
      <c r="E57" t="s">
        <v>1595</v>
      </c>
      <c r="F57" t="s">
        <v>1597</v>
      </c>
      <c r="G57" t="s">
        <v>1598</v>
      </c>
      <c r="H57" t="s">
        <v>336</v>
      </c>
      <c r="I57" t="s">
        <v>15</v>
      </c>
      <c r="J57" t="s">
        <v>253</v>
      </c>
      <c r="K57" t="s">
        <v>1596</v>
      </c>
      <c r="L57" t="s">
        <v>1599</v>
      </c>
      <c r="Q57" s="54"/>
    </row>
    <row r="58" spans="1:17" ht="14.25" customHeight="1" x14ac:dyDescent="0.2">
      <c r="A58">
        <v>58</v>
      </c>
      <c r="B58" t="s">
        <v>1620</v>
      </c>
      <c r="C58" t="s">
        <v>1621</v>
      </c>
      <c r="D58">
        <v>2025</v>
      </c>
      <c r="E58" t="s">
        <v>1622</v>
      </c>
      <c r="F58" t="s">
        <v>1624</v>
      </c>
      <c r="G58" t="s">
        <v>1625</v>
      </c>
      <c r="H58" t="s">
        <v>1626</v>
      </c>
      <c r="I58" t="s">
        <v>15</v>
      </c>
      <c r="J58" t="s">
        <v>253</v>
      </c>
      <c r="K58" t="s">
        <v>1623</v>
      </c>
      <c r="L58" t="s">
        <v>1825</v>
      </c>
      <c r="Q58" s="54"/>
    </row>
    <row r="59" spans="1:17" ht="14.25" customHeight="1" x14ac:dyDescent="0.2">
      <c r="A59">
        <v>59</v>
      </c>
      <c r="B59" t="s">
        <v>1271</v>
      </c>
      <c r="C59" t="s">
        <v>1272</v>
      </c>
      <c r="D59">
        <v>2023</v>
      </c>
      <c r="E59" t="s">
        <v>927</v>
      </c>
      <c r="F59" t="s">
        <v>1274</v>
      </c>
      <c r="G59" t="s">
        <v>1275</v>
      </c>
      <c r="H59">
        <v>0</v>
      </c>
      <c r="I59" t="s">
        <v>15</v>
      </c>
      <c r="J59" t="s">
        <v>253</v>
      </c>
      <c r="K59" t="s">
        <v>1273</v>
      </c>
      <c r="L59">
        <v>0</v>
      </c>
      <c r="Q59" s="54"/>
    </row>
    <row r="60" spans="1:17" ht="14.25" customHeight="1" x14ac:dyDescent="0.2">
      <c r="A60">
        <v>60</v>
      </c>
      <c r="B60" t="s">
        <v>1793</v>
      </c>
      <c r="C60" t="s">
        <v>1794</v>
      </c>
      <c r="D60">
        <v>2020</v>
      </c>
      <c r="E60" t="s">
        <v>1781</v>
      </c>
      <c r="F60" t="s">
        <v>1795</v>
      </c>
      <c r="G60" t="s">
        <v>1796</v>
      </c>
      <c r="H60" t="s">
        <v>1784</v>
      </c>
      <c r="I60" t="s">
        <v>15</v>
      </c>
      <c r="J60" t="s">
        <v>253</v>
      </c>
      <c r="K60">
        <v>0</v>
      </c>
      <c r="L60" t="s">
        <v>1797</v>
      </c>
      <c r="Q60" s="54"/>
    </row>
    <row r="61" spans="1:17" ht="14.25" customHeight="1" x14ac:dyDescent="0.2">
      <c r="A61">
        <v>61</v>
      </c>
      <c r="B61" t="s">
        <v>1294</v>
      </c>
      <c r="C61" t="s">
        <v>1295</v>
      </c>
      <c r="D61">
        <v>2025</v>
      </c>
      <c r="E61" t="s">
        <v>331</v>
      </c>
      <c r="F61" t="s">
        <v>1297</v>
      </c>
      <c r="G61" t="s">
        <v>1298</v>
      </c>
      <c r="H61" t="s">
        <v>336</v>
      </c>
      <c r="I61" t="s">
        <v>15</v>
      </c>
      <c r="J61" t="s">
        <v>253</v>
      </c>
      <c r="K61" t="s">
        <v>1296</v>
      </c>
      <c r="L61" t="s">
        <v>1299</v>
      </c>
      <c r="Q61" s="54"/>
    </row>
    <row r="62" spans="1:17" ht="14.25" customHeight="1" x14ac:dyDescent="0.2">
      <c r="A62">
        <v>62</v>
      </c>
      <c r="B62" t="s">
        <v>1300</v>
      </c>
      <c r="C62" t="s">
        <v>1301</v>
      </c>
      <c r="D62">
        <v>2026</v>
      </c>
      <c r="E62" t="s">
        <v>1302</v>
      </c>
      <c r="F62" t="s">
        <v>1304</v>
      </c>
      <c r="G62" t="s">
        <v>1305</v>
      </c>
      <c r="H62" t="s">
        <v>1307</v>
      </c>
      <c r="I62" t="s">
        <v>15</v>
      </c>
      <c r="J62" t="s">
        <v>253</v>
      </c>
      <c r="K62" t="s">
        <v>1303</v>
      </c>
      <c r="L62" t="s">
        <v>1306</v>
      </c>
      <c r="Q62" s="54"/>
    </row>
    <row r="63" spans="1:17" ht="14.25" customHeight="1" x14ac:dyDescent="0.2">
      <c r="A63">
        <v>63</v>
      </c>
      <c r="B63" t="s">
        <v>925</v>
      </c>
      <c r="C63" t="s">
        <v>926</v>
      </c>
      <c r="D63">
        <v>2023</v>
      </c>
      <c r="E63" t="s">
        <v>927</v>
      </c>
      <c r="F63" t="s">
        <v>929</v>
      </c>
      <c r="G63" t="s">
        <v>930</v>
      </c>
      <c r="H63">
        <v>0</v>
      </c>
      <c r="I63" t="s">
        <v>15</v>
      </c>
      <c r="J63" t="s">
        <v>253</v>
      </c>
      <c r="K63" t="s">
        <v>928</v>
      </c>
      <c r="L63">
        <v>0</v>
      </c>
      <c r="Q63" s="54"/>
    </row>
    <row r="64" spans="1:17" ht="14.25" customHeight="1" x14ac:dyDescent="0.2">
      <c r="A64">
        <v>64</v>
      </c>
      <c r="B64" t="s">
        <v>937</v>
      </c>
      <c r="C64" t="s">
        <v>938</v>
      </c>
      <c r="D64">
        <v>2023</v>
      </c>
      <c r="E64" t="s">
        <v>939</v>
      </c>
      <c r="F64" t="s">
        <v>941</v>
      </c>
      <c r="G64">
        <v>0</v>
      </c>
      <c r="H64" t="s">
        <v>457</v>
      </c>
      <c r="I64" t="s">
        <v>15</v>
      </c>
      <c r="J64" t="s">
        <v>253</v>
      </c>
      <c r="K64" t="s">
        <v>940</v>
      </c>
      <c r="L64" t="s">
        <v>942</v>
      </c>
      <c r="Q64" s="54"/>
    </row>
    <row r="65" spans="1:17" ht="14.25" customHeight="1" x14ac:dyDescent="0.2">
      <c r="A65">
        <v>65</v>
      </c>
      <c r="B65" t="s">
        <v>559</v>
      </c>
      <c r="C65" t="s">
        <v>560</v>
      </c>
      <c r="D65">
        <v>2026</v>
      </c>
      <c r="E65" t="s">
        <v>269</v>
      </c>
      <c r="F65" t="s">
        <v>562</v>
      </c>
      <c r="G65" t="s">
        <v>563</v>
      </c>
      <c r="H65" t="s">
        <v>274</v>
      </c>
      <c r="I65" t="s">
        <v>15</v>
      </c>
      <c r="J65" t="s">
        <v>253</v>
      </c>
      <c r="K65" t="s">
        <v>561</v>
      </c>
      <c r="L65" t="s">
        <v>564</v>
      </c>
      <c r="Q65" s="54"/>
    </row>
    <row r="66" spans="1:17" ht="14.25" customHeight="1" x14ac:dyDescent="0.2">
      <c r="A66">
        <v>66</v>
      </c>
      <c r="B66" t="s">
        <v>1798</v>
      </c>
      <c r="C66" t="s">
        <v>1799</v>
      </c>
      <c r="D66">
        <v>2020</v>
      </c>
      <c r="E66" t="s">
        <v>1781</v>
      </c>
      <c r="F66" t="s">
        <v>1800</v>
      </c>
      <c r="G66" t="s">
        <v>1801</v>
      </c>
      <c r="H66" t="s">
        <v>1784</v>
      </c>
      <c r="I66" t="s">
        <v>15</v>
      </c>
      <c r="J66" t="s">
        <v>253</v>
      </c>
      <c r="K66">
        <v>0</v>
      </c>
      <c r="L66" t="s">
        <v>1802</v>
      </c>
      <c r="Q66" s="54"/>
    </row>
    <row r="67" spans="1:17" ht="14.25" customHeight="1" x14ac:dyDescent="0.2">
      <c r="A67">
        <v>67</v>
      </c>
      <c r="B67" t="s">
        <v>571</v>
      </c>
      <c r="C67" t="s">
        <v>572</v>
      </c>
      <c r="D67">
        <v>2025</v>
      </c>
      <c r="E67" t="s">
        <v>573</v>
      </c>
      <c r="F67" t="s">
        <v>575</v>
      </c>
      <c r="G67" t="s">
        <v>576</v>
      </c>
      <c r="H67" t="s">
        <v>578</v>
      </c>
      <c r="I67" t="s">
        <v>15</v>
      </c>
      <c r="J67" t="s">
        <v>253</v>
      </c>
      <c r="K67" t="s">
        <v>574</v>
      </c>
      <c r="L67" t="s">
        <v>577</v>
      </c>
      <c r="Q67" s="54"/>
    </row>
    <row r="68" spans="1:17" ht="14.25" customHeight="1" x14ac:dyDescent="0.2">
      <c r="A68">
        <v>68</v>
      </c>
      <c r="B68" t="s">
        <v>1320</v>
      </c>
      <c r="C68" t="s">
        <v>1321</v>
      </c>
      <c r="D68">
        <v>2026</v>
      </c>
      <c r="E68" t="s">
        <v>1322</v>
      </c>
      <c r="F68" t="s">
        <v>1324</v>
      </c>
      <c r="G68" t="s">
        <v>1325</v>
      </c>
      <c r="H68" t="s">
        <v>282</v>
      </c>
      <c r="I68" t="s">
        <v>15</v>
      </c>
      <c r="J68" t="s">
        <v>253</v>
      </c>
      <c r="K68" t="s">
        <v>1323</v>
      </c>
      <c r="L68" t="s">
        <v>1326</v>
      </c>
      <c r="Q68" s="54"/>
    </row>
    <row r="69" spans="1:17" ht="14.25" customHeight="1" x14ac:dyDescent="0.2">
      <c r="A69">
        <v>69</v>
      </c>
      <c r="B69" t="s">
        <v>1715</v>
      </c>
      <c r="C69" t="s">
        <v>1716</v>
      </c>
      <c r="D69">
        <v>2025</v>
      </c>
      <c r="E69" t="s">
        <v>1717</v>
      </c>
      <c r="F69" t="s">
        <v>1719</v>
      </c>
      <c r="G69" t="s">
        <v>1720</v>
      </c>
      <c r="H69" t="s">
        <v>1722</v>
      </c>
      <c r="I69" t="s">
        <v>15</v>
      </c>
      <c r="J69" t="s">
        <v>253</v>
      </c>
      <c r="K69" t="s">
        <v>1718</v>
      </c>
      <c r="L69" t="s">
        <v>1721</v>
      </c>
      <c r="Q69" s="54"/>
    </row>
    <row r="70" spans="1:17" ht="14.25" customHeight="1" x14ac:dyDescent="0.2">
      <c r="A70">
        <v>70</v>
      </c>
      <c r="B70" t="s">
        <v>579</v>
      </c>
      <c r="C70" t="s">
        <v>580</v>
      </c>
      <c r="D70">
        <v>2023</v>
      </c>
      <c r="E70" t="s">
        <v>581</v>
      </c>
      <c r="F70" t="s">
        <v>583</v>
      </c>
      <c r="G70" t="s">
        <v>584</v>
      </c>
      <c r="H70" t="s">
        <v>586</v>
      </c>
      <c r="I70" t="s">
        <v>15</v>
      </c>
      <c r="J70" t="s">
        <v>253</v>
      </c>
      <c r="K70" t="s">
        <v>582</v>
      </c>
      <c r="L70" t="s">
        <v>585</v>
      </c>
      <c r="Q70" s="54"/>
    </row>
    <row r="71" spans="1:17" ht="14.25" customHeight="1" x14ac:dyDescent="0.2">
      <c r="A71">
        <v>71</v>
      </c>
      <c r="B71" t="s">
        <v>1327</v>
      </c>
      <c r="C71" t="s">
        <v>1328</v>
      </c>
      <c r="D71">
        <v>2022</v>
      </c>
      <c r="E71" t="s">
        <v>331</v>
      </c>
      <c r="F71" t="s">
        <v>1330</v>
      </c>
      <c r="G71" t="s">
        <v>1331</v>
      </c>
      <c r="H71" t="s">
        <v>1333</v>
      </c>
      <c r="I71" t="s">
        <v>15</v>
      </c>
      <c r="J71" t="s">
        <v>253</v>
      </c>
      <c r="K71" t="s">
        <v>1329</v>
      </c>
      <c r="L71" t="s">
        <v>1332</v>
      </c>
      <c r="Q71" s="54"/>
    </row>
    <row r="72" spans="1:17" ht="14.25" customHeight="1" x14ac:dyDescent="0.2">
      <c r="A72">
        <v>72</v>
      </c>
      <c r="B72" t="s">
        <v>587</v>
      </c>
      <c r="C72" t="s">
        <v>588</v>
      </c>
      <c r="D72">
        <v>2026</v>
      </c>
      <c r="E72" t="s">
        <v>331</v>
      </c>
      <c r="F72" t="s">
        <v>590</v>
      </c>
      <c r="G72" t="s">
        <v>591</v>
      </c>
      <c r="H72" t="s">
        <v>336</v>
      </c>
      <c r="I72" t="s">
        <v>15</v>
      </c>
      <c r="J72" t="s">
        <v>253</v>
      </c>
      <c r="K72" t="s">
        <v>589</v>
      </c>
      <c r="L72" t="s">
        <v>592</v>
      </c>
      <c r="Q72" s="54"/>
    </row>
    <row r="73" spans="1:17" ht="14.25" customHeight="1" x14ac:dyDescent="0.2">
      <c r="A73">
        <v>73</v>
      </c>
      <c r="B73" t="s">
        <v>593</v>
      </c>
      <c r="C73" t="s">
        <v>594</v>
      </c>
      <c r="D73">
        <v>2022</v>
      </c>
      <c r="E73" t="s">
        <v>277</v>
      </c>
      <c r="F73" t="s">
        <v>596</v>
      </c>
      <c r="G73" t="s">
        <v>597</v>
      </c>
      <c r="H73" t="s">
        <v>586</v>
      </c>
      <c r="I73" t="s">
        <v>15</v>
      </c>
      <c r="J73" t="s">
        <v>253</v>
      </c>
      <c r="K73" t="s">
        <v>595</v>
      </c>
      <c r="L73" t="s">
        <v>598</v>
      </c>
      <c r="Q73" s="54"/>
    </row>
    <row r="74" spans="1:17" ht="14.25" customHeight="1" x14ac:dyDescent="0.2">
      <c r="A74">
        <v>74</v>
      </c>
      <c r="B74" t="s">
        <v>1803</v>
      </c>
      <c r="C74" t="s">
        <v>1804</v>
      </c>
      <c r="D74">
        <v>2020</v>
      </c>
      <c r="E74" t="s">
        <v>317</v>
      </c>
      <c r="F74" t="s">
        <v>1806</v>
      </c>
      <c r="G74" t="s">
        <v>1807</v>
      </c>
      <c r="H74" t="s">
        <v>322</v>
      </c>
      <c r="I74" t="s">
        <v>15</v>
      </c>
      <c r="J74" t="s">
        <v>253</v>
      </c>
      <c r="K74" t="s">
        <v>1805</v>
      </c>
      <c r="L74" t="s">
        <v>1808</v>
      </c>
      <c r="Q74" s="54"/>
    </row>
    <row r="75" spans="1:17" ht="14.25" customHeight="1" x14ac:dyDescent="0.2">
      <c r="A75">
        <v>75</v>
      </c>
      <c r="B75" t="s">
        <v>1809</v>
      </c>
      <c r="C75" t="s">
        <v>1810</v>
      </c>
      <c r="D75">
        <v>2020</v>
      </c>
      <c r="E75" t="s">
        <v>371</v>
      </c>
      <c r="F75" t="s">
        <v>1812</v>
      </c>
      <c r="G75" t="s">
        <v>1813</v>
      </c>
      <c r="H75" t="s">
        <v>376</v>
      </c>
      <c r="I75" t="s">
        <v>15</v>
      </c>
      <c r="J75" t="s">
        <v>253</v>
      </c>
      <c r="K75" t="s">
        <v>1811</v>
      </c>
      <c r="L75" t="s">
        <v>1814</v>
      </c>
      <c r="Q75" s="54"/>
    </row>
    <row r="76" spans="1:17" ht="14.25" customHeight="1" x14ac:dyDescent="0.2">
      <c r="A76">
        <v>76</v>
      </c>
      <c r="B76" t="s">
        <v>1729</v>
      </c>
      <c r="C76" t="s">
        <v>1730</v>
      </c>
      <c r="D76">
        <v>2024</v>
      </c>
      <c r="E76" t="s">
        <v>256</v>
      </c>
      <c r="F76" t="s">
        <v>1732</v>
      </c>
      <c r="G76" t="s">
        <v>1733</v>
      </c>
      <c r="H76" t="s">
        <v>260</v>
      </c>
      <c r="I76" t="s">
        <v>15</v>
      </c>
      <c r="J76" t="s">
        <v>253</v>
      </c>
      <c r="K76" t="s">
        <v>1731</v>
      </c>
      <c r="L76" t="s">
        <v>1734</v>
      </c>
      <c r="Q76" s="54"/>
    </row>
    <row r="77" spans="1:17" ht="14.25" customHeight="1" x14ac:dyDescent="0.2">
      <c r="A77">
        <v>77</v>
      </c>
      <c r="B77" t="s">
        <v>975</v>
      </c>
      <c r="C77" t="s">
        <v>976</v>
      </c>
      <c r="D77">
        <v>2022</v>
      </c>
      <c r="E77" t="s">
        <v>977</v>
      </c>
      <c r="F77" t="s">
        <v>979</v>
      </c>
      <c r="G77" t="s">
        <v>980</v>
      </c>
      <c r="H77" t="s">
        <v>473</v>
      </c>
      <c r="I77" t="s">
        <v>15</v>
      </c>
      <c r="J77" t="s">
        <v>253</v>
      </c>
      <c r="K77" t="s">
        <v>978</v>
      </c>
      <c r="L77" t="s">
        <v>981</v>
      </c>
      <c r="Q77" s="54"/>
    </row>
    <row r="78" spans="1:17" ht="14.25" customHeight="1" x14ac:dyDescent="0.2">
      <c r="A78">
        <v>78</v>
      </c>
      <c r="B78" t="s">
        <v>611</v>
      </c>
      <c r="C78" t="s">
        <v>612</v>
      </c>
      <c r="D78">
        <v>2023</v>
      </c>
      <c r="E78" t="s">
        <v>317</v>
      </c>
      <c r="F78" t="s">
        <v>614</v>
      </c>
      <c r="G78" t="s">
        <v>615</v>
      </c>
      <c r="H78" t="s">
        <v>322</v>
      </c>
      <c r="I78" t="s">
        <v>15</v>
      </c>
      <c r="J78" t="s">
        <v>253</v>
      </c>
      <c r="K78" t="s">
        <v>613</v>
      </c>
      <c r="L78" t="s">
        <v>616</v>
      </c>
      <c r="Q78" s="54"/>
    </row>
    <row r="79" spans="1:17" ht="14.25" customHeight="1" x14ac:dyDescent="0.2">
      <c r="A79">
        <v>79</v>
      </c>
      <c r="B79" t="s">
        <v>1815</v>
      </c>
      <c r="C79" t="s">
        <v>1816</v>
      </c>
      <c r="D79">
        <v>2020</v>
      </c>
      <c r="E79" t="s">
        <v>394</v>
      </c>
      <c r="F79" t="s">
        <v>1818</v>
      </c>
      <c r="G79" t="s">
        <v>1819</v>
      </c>
      <c r="H79" t="s">
        <v>274</v>
      </c>
      <c r="I79" t="s">
        <v>15</v>
      </c>
      <c r="J79" t="s">
        <v>253</v>
      </c>
      <c r="K79" t="s">
        <v>1817</v>
      </c>
      <c r="L79" t="s">
        <v>1820</v>
      </c>
      <c r="Q79" s="54"/>
    </row>
    <row r="80" spans="1:17" ht="14.25" customHeight="1" x14ac:dyDescent="0.2">
      <c r="A80">
        <v>80</v>
      </c>
      <c r="B80" t="s">
        <v>1747</v>
      </c>
      <c r="C80" t="s">
        <v>1748</v>
      </c>
      <c r="D80">
        <v>2025</v>
      </c>
      <c r="E80" t="s">
        <v>460</v>
      </c>
      <c r="F80" t="s">
        <v>1750</v>
      </c>
      <c r="G80" t="s">
        <v>1751</v>
      </c>
      <c r="H80" t="s">
        <v>465</v>
      </c>
      <c r="I80" t="s">
        <v>15</v>
      </c>
      <c r="J80" t="s">
        <v>253</v>
      </c>
      <c r="K80" t="s">
        <v>1749</v>
      </c>
      <c r="L80" t="s">
        <v>1752</v>
      </c>
      <c r="Q80" s="54"/>
    </row>
    <row r="81" spans="1:17" ht="14.25" customHeight="1" x14ac:dyDescent="0.2">
      <c r="A81">
        <v>81</v>
      </c>
      <c r="B81" t="s">
        <v>1366</v>
      </c>
      <c r="C81" t="s">
        <v>1367</v>
      </c>
      <c r="D81">
        <v>2025</v>
      </c>
      <c r="E81" t="s">
        <v>394</v>
      </c>
      <c r="F81" t="s">
        <v>1369</v>
      </c>
      <c r="G81" t="s">
        <v>1370</v>
      </c>
      <c r="H81" t="s">
        <v>274</v>
      </c>
      <c r="I81" t="s">
        <v>15</v>
      </c>
      <c r="J81" t="s">
        <v>253</v>
      </c>
      <c r="K81" t="s">
        <v>1368</v>
      </c>
      <c r="L81" t="s">
        <v>1371</v>
      </c>
      <c r="Q81" s="54"/>
    </row>
    <row r="82" spans="1:17" ht="14.25" customHeight="1" x14ac:dyDescent="0.2">
      <c r="A82">
        <v>82</v>
      </c>
      <c r="B82" t="s">
        <v>221</v>
      </c>
      <c r="C82" t="s">
        <v>222</v>
      </c>
      <c r="D82">
        <v>2025</v>
      </c>
      <c r="E82" t="s">
        <v>223</v>
      </c>
      <c r="F82" t="s">
        <v>225</v>
      </c>
      <c r="G82" t="s">
        <v>226</v>
      </c>
      <c r="H82" t="s">
        <v>228</v>
      </c>
      <c r="I82" t="s">
        <v>15</v>
      </c>
      <c r="J82" t="s">
        <v>230</v>
      </c>
      <c r="K82" t="s">
        <v>224</v>
      </c>
      <c r="L82" t="s">
        <v>227</v>
      </c>
      <c r="Q82" s="54"/>
    </row>
    <row r="83" spans="1:17" ht="14.25" customHeight="1" x14ac:dyDescent="0.2">
      <c r="A83">
        <v>83</v>
      </c>
      <c r="B83" t="s">
        <v>231</v>
      </c>
      <c r="C83" t="s">
        <v>232</v>
      </c>
      <c r="D83">
        <v>2024</v>
      </c>
      <c r="E83" t="s">
        <v>233</v>
      </c>
      <c r="F83" t="s">
        <v>235</v>
      </c>
      <c r="G83" t="s">
        <v>236</v>
      </c>
      <c r="H83" t="s">
        <v>238</v>
      </c>
      <c r="I83" t="s">
        <v>15</v>
      </c>
      <c r="J83" t="s">
        <v>230</v>
      </c>
      <c r="K83" t="s">
        <v>234</v>
      </c>
      <c r="L83" t="s">
        <v>237</v>
      </c>
      <c r="Q83" s="54"/>
    </row>
    <row r="84" spans="1:17" ht="14.25" customHeight="1" x14ac:dyDescent="0.2">
      <c r="A84">
        <v>84</v>
      </c>
      <c r="B84" t="s">
        <v>239</v>
      </c>
      <c r="C84" t="s">
        <v>240</v>
      </c>
      <c r="D84">
        <v>2024</v>
      </c>
      <c r="E84" t="s">
        <v>233</v>
      </c>
      <c r="F84" t="s">
        <v>242</v>
      </c>
      <c r="G84" t="s">
        <v>243</v>
      </c>
      <c r="H84" t="s">
        <v>238</v>
      </c>
      <c r="I84" t="s">
        <v>15</v>
      </c>
      <c r="J84" t="s">
        <v>230</v>
      </c>
      <c r="K84" t="s">
        <v>241</v>
      </c>
      <c r="L84" t="s">
        <v>244</v>
      </c>
      <c r="Q84" s="54"/>
    </row>
    <row r="85" spans="1:17" ht="14.25" customHeight="1" x14ac:dyDescent="0.2">
      <c r="A85">
        <v>85</v>
      </c>
      <c r="B85" t="s">
        <v>245</v>
      </c>
      <c r="C85" t="s">
        <v>246</v>
      </c>
      <c r="D85">
        <v>2025</v>
      </c>
      <c r="E85" t="s">
        <v>247</v>
      </c>
      <c r="F85" t="s">
        <v>249</v>
      </c>
      <c r="G85" t="s">
        <v>250</v>
      </c>
      <c r="H85" t="s">
        <v>252</v>
      </c>
      <c r="I85" t="s">
        <v>15</v>
      </c>
      <c r="J85" t="s">
        <v>253</v>
      </c>
      <c r="K85" t="s">
        <v>248</v>
      </c>
      <c r="L85" t="s">
        <v>251</v>
      </c>
      <c r="Q85" s="54"/>
    </row>
    <row r="86" spans="1:17" ht="14.25" customHeight="1" x14ac:dyDescent="0.2">
      <c r="A86">
        <v>86</v>
      </c>
      <c r="B86" t="s">
        <v>254</v>
      </c>
      <c r="C86" t="s">
        <v>255</v>
      </c>
      <c r="D86">
        <v>2024</v>
      </c>
      <c r="E86" t="s">
        <v>256</v>
      </c>
      <c r="F86" t="s">
        <v>258</v>
      </c>
      <c r="G86">
        <v>0</v>
      </c>
      <c r="H86" t="s">
        <v>260</v>
      </c>
      <c r="I86" t="s">
        <v>15</v>
      </c>
      <c r="J86" t="s">
        <v>253</v>
      </c>
      <c r="K86" t="s">
        <v>257</v>
      </c>
      <c r="L86" t="s">
        <v>259</v>
      </c>
      <c r="Q86" s="54"/>
    </row>
    <row r="87" spans="1:17" ht="14.25" customHeight="1" x14ac:dyDescent="0.2">
      <c r="A87">
        <v>87</v>
      </c>
      <c r="B87" t="s">
        <v>261</v>
      </c>
      <c r="C87" t="s">
        <v>262</v>
      </c>
      <c r="D87">
        <v>2024</v>
      </c>
      <c r="E87" t="s">
        <v>233</v>
      </c>
      <c r="F87" t="s">
        <v>264</v>
      </c>
      <c r="G87" t="s">
        <v>265</v>
      </c>
      <c r="H87" t="s">
        <v>238</v>
      </c>
      <c r="I87" t="s">
        <v>15</v>
      </c>
      <c r="J87" t="s">
        <v>230</v>
      </c>
      <c r="K87" t="s">
        <v>263</v>
      </c>
      <c r="L87" t="s">
        <v>266</v>
      </c>
      <c r="Q87" s="54"/>
    </row>
    <row r="88" spans="1:17" ht="14.25" customHeight="1" x14ac:dyDescent="0.2">
      <c r="A88">
        <v>88</v>
      </c>
      <c r="B88" t="s">
        <v>267</v>
      </c>
      <c r="C88" t="s">
        <v>268</v>
      </c>
      <c r="D88">
        <v>2025</v>
      </c>
      <c r="E88" t="s">
        <v>269</v>
      </c>
      <c r="F88" t="s">
        <v>271</v>
      </c>
      <c r="G88" t="s">
        <v>272</v>
      </c>
      <c r="H88" t="s">
        <v>274</v>
      </c>
      <c r="I88" t="s">
        <v>15</v>
      </c>
      <c r="J88" t="s">
        <v>253</v>
      </c>
      <c r="K88" t="s">
        <v>270</v>
      </c>
      <c r="L88" t="s">
        <v>273</v>
      </c>
      <c r="Q88" s="54"/>
    </row>
    <row r="89" spans="1:17" ht="14.25" customHeight="1" x14ac:dyDescent="0.2">
      <c r="A89">
        <v>89</v>
      </c>
      <c r="B89" t="s">
        <v>275</v>
      </c>
      <c r="C89" t="s">
        <v>276</v>
      </c>
      <c r="D89">
        <v>2026</v>
      </c>
      <c r="E89" t="s">
        <v>277</v>
      </c>
      <c r="F89" t="s">
        <v>279</v>
      </c>
      <c r="G89" t="s">
        <v>280</v>
      </c>
      <c r="H89" t="s">
        <v>282</v>
      </c>
      <c r="I89" t="s">
        <v>15</v>
      </c>
      <c r="J89" t="s">
        <v>253</v>
      </c>
      <c r="K89" t="s">
        <v>278</v>
      </c>
      <c r="L89" t="s">
        <v>281</v>
      </c>
      <c r="Q89" s="54"/>
    </row>
    <row r="90" spans="1:17" ht="14.25" customHeight="1" x14ac:dyDescent="0.2">
      <c r="A90">
        <v>90</v>
      </c>
      <c r="B90" t="s">
        <v>283</v>
      </c>
      <c r="C90" t="s">
        <v>284</v>
      </c>
      <c r="D90">
        <v>2022</v>
      </c>
      <c r="E90" t="s">
        <v>233</v>
      </c>
      <c r="F90" t="s">
        <v>286</v>
      </c>
      <c r="G90" t="s">
        <v>287</v>
      </c>
      <c r="H90" t="s">
        <v>238</v>
      </c>
      <c r="I90" t="s">
        <v>15</v>
      </c>
      <c r="J90" t="s">
        <v>230</v>
      </c>
      <c r="K90" t="s">
        <v>285</v>
      </c>
      <c r="L90">
        <v>0</v>
      </c>
      <c r="Q90" s="54"/>
    </row>
    <row r="91" spans="1:17" ht="14.25" customHeight="1" x14ac:dyDescent="0.2">
      <c r="A91">
        <v>91</v>
      </c>
      <c r="B91" t="s">
        <v>288</v>
      </c>
      <c r="C91" t="s">
        <v>289</v>
      </c>
      <c r="D91">
        <v>2022</v>
      </c>
      <c r="E91" t="s">
        <v>290</v>
      </c>
      <c r="F91" t="s">
        <v>292</v>
      </c>
      <c r="G91" t="s">
        <v>293</v>
      </c>
      <c r="H91" t="s">
        <v>228</v>
      </c>
      <c r="I91" t="s">
        <v>15</v>
      </c>
      <c r="J91" t="s">
        <v>253</v>
      </c>
      <c r="K91" t="s">
        <v>291</v>
      </c>
      <c r="L91" t="s">
        <v>294</v>
      </c>
      <c r="Q91" s="54"/>
    </row>
    <row r="92" spans="1:17" ht="14.25" customHeight="1" x14ac:dyDescent="0.2">
      <c r="A92">
        <v>92</v>
      </c>
      <c r="B92" t="s">
        <v>295</v>
      </c>
      <c r="C92" t="s">
        <v>296</v>
      </c>
      <c r="D92">
        <v>2023</v>
      </c>
      <c r="E92" t="s">
        <v>297</v>
      </c>
      <c r="F92" t="s">
        <v>299</v>
      </c>
      <c r="G92" t="s">
        <v>300</v>
      </c>
      <c r="H92" t="s">
        <v>282</v>
      </c>
      <c r="I92" t="s">
        <v>15</v>
      </c>
      <c r="J92" t="s">
        <v>302</v>
      </c>
      <c r="K92" t="s">
        <v>298</v>
      </c>
      <c r="L92" t="s">
        <v>301</v>
      </c>
      <c r="Q92" s="54"/>
    </row>
    <row r="93" spans="1:17" ht="14.25" customHeight="1" x14ac:dyDescent="0.2">
      <c r="A93">
        <v>93</v>
      </c>
      <c r="B93" t="s">
        <v>303</v>
      </c>
      <c r="C93" t="s">
        <v>304</v>
      </c>
      <c r="D93">
        <v>2025</v>
      </c>
      <c r="E93" t="s">
        <v>233</v>
      </c>
      <c r="F93" t="s">
        <v>306</v>
      </c>
      <c r="G93" t="s">
        <v>307</v>
      </c>
      <c r="H93" t="s">
        <v>238</v>
      </c>
      <c r="I93" t="s">
        <v>15</v>
      </c>
      <c r="J93" t="s">
        <v>230</v>
      </c>
      <c r="K93" t="s">
        <v>305</v>
      </c>
      <c r="L93" t="s">
        <v>308</v>
      </c>
      <c r="Q93" s="54"/>
    </row>
    <row r="94" spans="1:17" ht="14.25" customHeight="1" x14ac:dyDescent="0.2">
      <c r="A94">
        <v>94</v>
      </c>
      <c r="B94" t="s">
        <v>309</v>
      </c>
      <c r="C94" t="s">
        <v>310</v>
      </c>
      <c r="D94">
        <v>2023</v>
      </c>
      <c r="E94" t="s">
        <v>233</v>
      </c>
      <c r="F94" t="s">
        <v>312</v>
      </c>
      <c r="G94" t="s">
        <v>313</v>
      </c>
      <c r="H94" t="s">
        <v>238</v>
      </c>
      <c r="I94" t="s">
        <v>15</v>
      </c>
      <c r="J94" t="s">
        <v>230</v>
      </c>
      <c r="K94" t="s">
        <v>311</v>
      </c>
      <c r="L94" t="s">
        <v>314</v>
      </c>
      <c r="Q94" s="54"/>
    </row>
    <row r="95" spans="1:17" ht="14.25" customHeight="1" x14ac:dyDescent="0.2">
      <c r="A95">
        <v>95</v>
      </c>
      <c r="B95" t="s">
        <v>315</v>
      </c>
      <c r="C95" t="s">
        <v>316</v>
      </c>
      <c r="D95">
        <v>2024</v>
      </c>
      <c r="E95" t="s">
        <v>317</v>
      </c>
      <c r="F95" t="s">
        <v>319</v>
      </c>
      <c r="G95" t="s">
        <v>320</v>
      </c>
      <c r="H95" t="s">
        <v>322</v>
      </c>
      <c r="I95" t="s">
        <v>15</v>
      </c>
      <c r="J95" t="s">
        <v>253</v>
      </c>
      <c r="K95" t="s">
        <v>318</v>
      </c>
      <c r="L95" t="s">
        <v>321</v>
      </c>
      <c r="Q95" s="54"/>
    </row>
    <row r="96" spans="1:17" ht="14.25" customHeight="1" x14ac:dyDescent="0.2">
      <c r="A96">
        <v>96</v>
      </c>
      <c r="B96" t="s">
        <v>323</v>
      </c>
      <c r="C96" t="s">
        <v>324</v>
      </c>
      <c r="D96">
        <v>2022</v>
      </c>
      <c r="E96" t="s">
        <v>233</v>
      </c>
      <c r="F96" t="s">
        <v>326</v>
      </c>
      <c r="G96" t="s">
        <v>327</v>
      </c>
      <c r="H96" t="s">
        <v>238</v>
      </c>
      <c r="I96" t="s">
        <v>15</v>
      </c>
      <c r="J96" t="s">
        <v>230</v>
      </c>
      <c r="K96" t="s">
        <v>325</v>
      </c>
      <c r="L96" t="s">
        <v>328</v>
      </c>
      <c r="Q96" s="54"/>
    </row>
    <row r="97" spans="1:17" ht="14.25" customHeight="1" x14ac:dyDescent="0.2">
      <c r="A97">
        <v>97</v>
      </c>
      <c r="B97" t="s">
        <v>329</v>
      </c>
      <c r="C97" t="s">
        <v>330</v>
      </c>
      <c r="D97">
        <v>2025</v>
      </c>
      <c r="E97" t="s">
        <v>331</v>
      </c>
      <c r="F97" t="s">
        <v>333</v>
      </c>
      <c r="G97" t="s">
        <v>334</v>
      </c>
      <c r="H97" t="s">
        <v>336</v>
      </c>
      <c r="I97" t="s">
        <v>15</v>
      </c>
      <c r="J97" t="s">
        <v>302</v>
      </c>
      <c r="K97" t="s">
        <v>332</v>
      </c>
      <c r="L97" t="s">
        <v>335</v>
      </c>
      <c r="Q97" s="54"/>
    </row>
    <row r="98" spans="1:17" ht="14.25" customHeight="1" x14ac:dyDescent="0.2">
      <c r="A98">
        <v>98</v>
      </c>
      <c r="B98" t="s">
        <v>337</v>
      </c>
      <c r="C98" t="s">
        <v>338</v>
      </c>
      <c r="D98">
        <v>2025</v>
      </c>
      <c r="E98" t="s">
        <v>233</v>
      </c>
      <c r="F98" t="s">
        <v>340</v>
      </c>
      <c r="G98" t="s">
        <v>341</v>
      </c>
      <c r="H98" t="s">
        <v>238</v>
      </c>
      <c r="I98" t="s">
        <v>15</v>
      </c>
      <c r="J98" t="s">
        <v>230</v>
      </c>
      <c r="K98" t="s">
        <v>339</v>
      </c>
      <c r="L98" t="s">
        <v>342</v>
      </c>
      <c r="Q98" s="54"/>
    </row>
    <row r="99" spans="1:17" ht="14.25" customHeight="1" x14ac:dyDescent="0.2">
      <c r="A99">
        <v>99</v>
      </c>
      <c r="B99" t="s">
        <v>343</v>
      </c>
      <c r="C99" t="s">
        <v>344</v>
      </c>
      <c r="D99">
        <v>2025</v>
      </c>
      <c r="E99" t="s">
        <v>345</v>
      </c>
      <c r="F99" t="s">
        <v>347</v>
      </c>
      <c r="G99" t="s">
        <v>348</v>
      </c>
      <c r="H99" t="s">
        <v>350</v>
      </c>
      <c r="I99" t="s">
        <v>15</v>
      </c>
      <c r="J99" t="s">
        <v>253</v>
      </c>
      <c r="K99" t="s">
        <v>346</v>
      </c>
      <c r="L99" t="s">
        <v>349</v>
      </c>
      <c r="Q99" s="54"/>
    </row>
    <row r="100" spans="1:17" ht="14.25" customHeight="1" x14ac:dyDescent="0.2">
      <c r="A100">
        <v>100</v>
      </c>
      <c r="B100" t="s">
        <v>351</v>
      </c>
      <c r="C100" t="s">
        <v>352</v>
      </c>
      <c r="D100">
        <v>2022</v>
      </c>
      <c r="E100" t="s">
        <v>233</v>
      </c>
      <c r="F100" t="s">
        <v>354</v>
      </c>
      <c r="G100" t="s">
        <v>355</v>
      </c>
      <c r="H100" t="s">
        <v>238</v>
      </c>
      <c r="I100" t="s">
        <v>15</v>
      </c>
      <c r="J100" t="s">
        <v>230</v>
      </c>
      <c r="K100" t="s">
        <v>353</v>
      </c>
      <c r="L100" t="s">
        <v>356</v>
      </c>
      <c r="Q100" s="54"/>
    </row>
    <row r="101" spans="1:17" ht="14.25" customHeight="1" x14ac:dyDescent="0.2">
      <c r="A101">
        <v>101</v>
      </c>
      <c r="B101" t="s">
        <v>357</v>
      </c>
      <c r="C101" t="s">
        <v>358</v>
      </c>
      <c r="D101">
        <v>2022</v>
      </c>
      <c r="E101" t="s">
        <v>233</v>
      </c>
      <c r="F101" t="s">
        <v>360</v>
      </c>
      <c r="G101" t="s">
        <v>361</v>
      </c>
      <c r="H101" t="s">
        <v>238</v>
      </c>
      <c r="I101" t="s">
        <v>15</v>
      </c>
      <c r="J101" t="s">
        <v>230</v>
      </c>
      <c r="K101" t="s">
        <v>359</v>
      </c>
      <c r="L101" t="s">
        <v>362</v>
      </c>
      <c r="Q101" s="54"/>
    </row>
    <row r="102" spans="1:17" ht="14.25" customHeight="1" x14ac:dyDescent="0.2">
      <c r="A102">
        <v>102</v>
      </c>
      <c r="B102" t="s">
        <v>363</v>
      </c>
      <c r="C102" t="s">
        <v>364</v>
      </c>
      <c r="D102">
        <v>2025</v>
      </c>
      <c r="E102" t="s">
        <v>277</v>
      </c>
      <c r="F102" t="s">
        <v>366</v>
      </c>
      <c r="G102" t="s">
        <v>367</v>
      </c>
      <c r="H102" t="s">
        <v>282</v>
      </c>
      <c r="I102" t="s">
        <v>15</v>
      </c>
      <c r="J102" t="s">
        <v>253</v>
      </c>
      <c r="K102" t="s">
        <v>365</v>
      </c>
      <c r="L102" t="s">
        <v>368</v>
      </c>
      <c r="Q102" s="54"/>
    </row>
    <row r="103" spans="1:17" ht="14.25" customHeight="1" x14ac:dyDescent="0.2">
      <c r="A103">
        <v>103</v>
      </c>
      <c r="B103" t="s">
        <v>369</v>
      </c>
      <c r="C103" t="s">
        <v>370</v>
      </c>
      <c r="D103">
        <v>2022</v>
      </c>
      <c r="E103" t="s">
        <v>371</v>
      </c>
      <c r="F103" t="s">
        <v>373</v>
      </c>
      <c r="G103" t="s">
        <v>374</v>
      </c>
      <c r="H103" t="s">
        <v>376</v>
      </c>
      <c r="I103" t="s">
        <v>15</v>
      </c>
      <c r="J103" t="s">
        <v>253</v>
      </c>
      <c r="K103" t="s">
        <v>372</v>
      </c>
      <c r="L103" t="s">
        <v>375</v>
      </c>
      <c r="Q103" s="54"/>
    </row>
    <row r="104" spans="1:17" ht="14.25" customHeight="1" x14ac:dyDescent="0.2">
      <c r="A104">
        <v>104</v>
      </c>
      <c r="B104" t="s">
        <v>377</v>
      </c>
      <c r="C104" t="s">
        <v>378</v>
      </c>
      <c r="D104">
        <v>2025</v>
      </c>
      <c r="E104" t="s">
        <v>233</v>
      </c>
      <c r="F104" t="s">
        <v>380</v>
      </c>
      <c r="G104" t="s">
        <v>381</v>
      </c>
      <c r="H104" t="s">
        <v>238</v>
      </c>
      <c r="I104" t="s">
        <v>15</v>
      </c>
      <c r="J104" t="s">
        <v>230</v>
      </c>
      <c r="K104" t="s">
        <v>379</v>
      </c>
      <c r="L104" t="s">
        <v>382</v>
      </c>
      <c r="Q104" s="54"/>
    </row>
    <row r="105" spans="1:17" ht="14.25" customHeight="1" x14ac:dyDescent="0.2">
      <c r="A105">
        <v>105</v>
      </c>
      <c r="B105" t="s">
        <v>383</v>
      </c>
      <c r="C105" t="s">
        <v>384</v>
      </c>
      <c r="D105">
        <v>2024</v>
      </c>
      <c r="E105" t="s">
        <v>385</v>
      </c>
      <c r="F105" t="s">
        <v>387</v>
      </c>
      <c r="G105" t="s">
        <v>388</v>
      </c>
      <c r="H105" t="s">
        <v>282</v>
      </c>
      <c r="I105" t="s">
        <v>15</v>
      </c>
      <c r="J105" t="s">
        <v>253</v>
      </c>
      <c r="K105" t="s">
        <v>386</v>
      </c>
      <c r="L105" t="s">
        <v>389</v>
      </c>
      <c r="Q105" s="54"/>
    </row>
    <row r="106" spans="1:17" ht="14.25" customHeight="1" x14ac:dyDescent="0.2">
      <c r="A106">
        <v>106</v>
      </c>
      <c r="B106">
        <v>0</v>
      </c>
      <c r="C106" t="s">
        <v>229</v>
      </c>
      <c r="D106">
        <v>2025</v>
      </c>
      <c r="E106" t="s">
        <v>223</v>
      </c>
      <c r="F106" t="s">
        <v>390</v>
      </c>
      <c r="G106">
        <v>0</v>
      </c>
      <c r="H106" t="s">
        <v>228</v>
      </c>
      <c r="I106" t="s">
        <v>15</v>
      </c>
      <c r="J106" t="s">
        <v>391</v>
      </c>
      <c r="K106">
        <v>0</v>
      </c>
      <c r="L106">
        <v>0</v>
      </c>
      <c r="Q106" s="54"/>
    </row>
    <row r="107" spans="1:17" ht="14.25" customHeight="1" x14ac:dyDescent="0.2">
      <c r="A107">
        <v>107</v>
      </c>
      <c r="B107" t="s">
        <v>392</v>
      </c>
      <c r="C107" t="s">
        <v>393</v>
      </c>
      <c r="D107">
        <v>2023</v>
      </c>
      <c r="E107" t="s">
        <v>394</v>
      </c>
      <c r="F107" t="s">
        <v>396</v>
      </c>
      <c r="G107" t="s">
        <v>397</v>
      </c>
      <c r="H107" t="s">
        <v>274</v>
      </c>
      <c r="I107" t="s">
        <v>15</v>
      </c>
      <c r="J107" t="s">
        <v>253</v>
      </c>
      <c r="K107" t="s">
        <v>395</v>
      </c>
      <c r="L107" t="s">
        <v>398</v>
      </c>
      <c r="Q107" s="54"/>
    </row>
    <row r="108" spans="1:17" ht="14.25" customHeight="1" x14ac:dyDescent="0.2">
      <c r="A108">
        <v>108</v>
      </c>
      <c r="B108" t="s">
        <v>399</v>
      </c>
      <c r="C108" t="s">
        <v>400</v>
      </c>
      <c r="D108">
        <v>2025</v>
      </c>
      <c r="E108" t="s">
        <v>331</v>
      </c>
      <c r="F108" t="s">
        <v>402</v>
      </c>
      <c r="G108" t="s">
        <v>403</v>
      </c>
      <c r="H108" t="s">
        <v>336</v>
      </c>
      <c r="I108" t="s">
        <v>15</v>
      </c>
      <c r="J108" t="s">
        <v>253</v>
      </c>
      <c r="K108" t="s">
        <v>401</v>
      </c>
      <c r="L108" t="s">
        <v>404</v>
      </c>
      <c r="Q108" s="54"/>
    </row>
    <row r="109" spans="1:17" ht="14.25" customHeight="1" x14ac:dyDescent="0.2">
      <c r="A109">
        <v>109</v>
      </c>
      <c r="B109" t="s">
        <v>405</v>
      </c>
      <c r="C109" t="s">
        <v>406</v>
      </c>
      <c r="D109">
        <v>2024</v>
      </c>
      <c r="E109" t="s">
        <v>233</v>
      </c>
      <c r="F109" t="s">
        <v>408</v>
      </c>
      <c r="G109" t="s">
        <v>409</v>
      </c>
      <c r="H109" t="s">
        <v>238</v>
      </c>
      <c r="I109" t="s">
        <v>15</v>
      </c>
      <c r="J109" t="s">
        <v>230</v>
      </c>
      <c r="K109" t="s">
        <v>407</v>
      </c>
      <c r="L109" t="s">
        <v>237</v>
      </c>
      <c r="Q109" s="54"/>
    </row>
    <row r="110" spans="1:17" ht="14.25" customHeight="1" x14ac:dyDescent="0.2">
      <c r="A110">
        <v>110</v>
      </c>
      <c r="B110" t="s">
        <v>410</v>
      </c>
      <c r="C110" t="s">
        <v>411</v>
      </c>
      <c r="D110">
        <v>2025</v>
      </c>
      <c r="E110" t="s">
        <v>233</v>
      </c>
      <c r="F110" t="s">
        <v>413</v>
      </c>
      <c r="G110" t="s">
        <v>414</v>
      </c>
      <c r="H110" t="s">
        <v>238</v>
      </c>
      <c r="I110" t="s">
        <v>15</v>
      </c>
      <c r="J110" t="s">
        <v>230</v>
      </c>
      <c r="K110" t="s">
        <v>412</v>
      </c>
      <c r="L110" t="s">
        <v>415</v>
      </c>
      <c r="Q110" s="54"/>
    </row>
    <row r="111" spans="1:17" ht="14.25" customHeight="1" x14ac:dyDescent="0.2">
      <c r="A111">
        <v>111</v>
      </c>
      <c r="B111" t="s">
        <v>416</v>
      </c>
      <c r="C111" t="s">
        <v>417</v>
      </c>
      <c r="D111">
        <v>2022</v>
      </c>
      <c r="E111" t="s">
        <v>233</v>
      </c>
      <c r="F111" t="s">
        <v>419</v>
      </c>
      <c r="G111" t="s">
        <v>420</v>
      </c>
      <c r="H111" t="s">
        <v>238</v>
      </c>
      <c r="I111" t="s">
        <v>15</v>
      </c>
      <c r="J111" t="s">
        <v>230</v>
      </c>
      <c r="K111" t="s">
        <v>418</v>
      </c>
      <c r="L111" t="s">
        <v>421</v>
      </c>
      <c r="Q111" s="54"/>
    </row>
    <row r="112" spans="1:17" ht="14.25" customHeight="1" x14ac:dyDescent="0.2">
      <c r="A112">
        <v>112</v>
      </c>
      <c r="B112" t="s">
        <v>422</v>
      </c>
      <c r="C112" t="s">
        <v>423</v>
      </c>
      <c r="D112">
        <v>2022</v>
      </c>
      <c r="E112" t="s">
        <v>233</v>
      </c>
      <c r="F112" t="s">
        <v>425</v>
      </c>
      <c r="G112" t="s">
        <v>426</v>
      </c>
      <c r="H112" t="s">
        <v>238</v>
      </c>
      <c r="I112" t="s">
        <v>15</v>
      </c>
      <c r="J112" t="s">
        <v>230</v>
      </c>
      <c r="K112" t="s">
        <v>424</v>
      </c>
      <c r="L112" t="s">
        <v>427</v>
      </c>
      <c r="Q112" s="54"/>
    </row>
    <row r="113" spans="1:17" ht="14.25" customHeight="1" x14ac:dyDescent="0.2">
      <c r="A113">
        <v>113</v>
      </c>
      <c r="B113" t="s">
        <v>428</v>
      </c>
      <c r="C113" t="s">
        <v>429</v>
      </c>
      <c r="D113">
        <v>2024</v>
      </c>
      <c r="E113" t="s">
        <v>233</v>
      </c>
      <c r="F113" t="s">
        <v>431</v>
      </c>
      <c r="G113" t="s">
        <v>432</v>
      </c>
      <c r="H113" t="s">
        <v>238</v>
      </c>
      <c r="I113" t="s">
        <v>15</v>
      </c>
      <c r="J113" t="s">
        <v>230</v>
      </c>
      <c r="K113" t="s">
        <v>430</v>
      </c>
      <c r="L113" t="s">
        <v>433</v>
      </c>
      <c r="Q113" s="54"/>
    </row>
    <row r="114" spans="1:17" ht="14.25" customHeight="1" x14ac:dyDescent="0.2">
      <c r="A114">
        <v>114</v>
      </c>
      <c r="B114" t="s">
        <v>434</v>
      </c>
      <c r="C114" t="s">
        <v>435</v>
      </c>
      <c r="D114">
        <v>2025</v>
      </c>
      <c r="E114" t="s">
        <v>233</v>
      </c>
      <c r="F114" t="s">
        <v>437</v>
      </c>
      <c r="G114" t="s">
        <v>438</v>
      </c>
      <c r="H114" t="s">
        <v>238</v>
      </c>
      <c r="I114" t="s">
        <v>15</v>
      </c>
      <c r="J114" t="s">
        <v>230</v>
      </c>
      <c r="K114" t="s">
        <v>436</v>
      </c>
      <c r="L114">
        <v>0</v>
      </c>
      <c r="Q114" s="54"/>
    </row>
    <row r="115" spans="1:17" ht="14.25" customHeight="1" x14ac:dyDescent="0.2">
      <c r="A115">
        <v>115</v>
      </c>
      <c r="B115" t="s">
        <v>439</v>
      </c>
      <c r="C115" t="s">
        <v>440</v>
      </c>
      <c r="D115">
        <v>2023</v>
      </c>
      <c r="E115" t="s">
        <v>233</v>
      </c>
      <c r="F115" t="s">
        <v>442</v>
      </c>
      <c r="G115" t="s">
        <v>443</v>
      </c>
      <c r="H115" t="s">
        <v>238</v>
      </c>
      <c r="I115" t="s">
        <v>15</v>
      </c>
      <c r="J115" t="s">
        <v>253</v>
      </c>
      <c r="K115" t="s">
        <v>441</v>
      </c>
      <c r="L115" t="s">
        <v>444</v>
      </c>
      <c r="Q115" s="54"/>
    </row>
    <row r="116" spans="1:17" ht="14.25" customHeight="1" x14ac:dyDescent="0.2">
      <c r="A116">
        <v>116</v>
      </c>
      <c r="B116" t="s">
        <v>445</v>
      </c>
      <c r="C116" t="s">
        <v>446</v>
      </c>
      <c r="D116">
        <v>2025</v>
      </c>
      <c r="E116" t="s">
        <v>233</v>
      </c>
      <c r="F116" t="s">
        <v>448</v>
      </c>
      <c r="G116" t="s">
        <v>449</v>
      </c>
      <c r="H116" t="s">
        <v>238</v>
      </c>
      <c r="I116" t="s">
        <v>15</v>
      </c>
      <c r="J116" t="s">
        <v>230</v>
      </c>
      <c r="K116" t="s">
        <v>447</v>
      </c>
      <c r="L116" t="s">
        <v>450</v>
      </c>
      <c r="Q116" s="54"/>
    </row>
    <row r="117" spans="1:17" ht="14.25" customHeight="1" x14ac:dyDescent="0.2">
      <c r="A117">
        <v>117</v>
      </c>
      <c r="B117" t="s">
        <v>451</v>
      </c>
      <c r="C117" t="s">
        <v>452</v>
      </c>
      <c r="D117">
        <v>2024</v>
      </c>
      <c r="E117" t="s">
        <v>453</v>
      </c>
      <c r="F117" t="s">
        <v>455</v>
      </c>
      <c r="G117">
        <v>0</v>
      </c>
      <c r="H117" t="s">
        <v>457</v>
      </c>
      <c r="I117" t="s">
        <v>15</v>
      </c>
      <c r="J117" t="s">
        <v>253</v>
      </c>
      <c r="K117" t="s">
        <v>454</v>
      </c>
      <c r="L117" t="s">
        <v>456</v>
      </c>
      <c r="Q117" s="54"/>
    </row>
    <row r="118" spans="1:17" ht="14.25" customHeight="1" x14ac:dyDescent="0.2">
      <c r="A118">
        <v>118</v>
      </c>
      <c r="B118" t="s">
        <v>458</v>
      </c>
      <c r="C118" t="s">
        <v>459</v>
      </c>
      <c r="D118">
        <v>2024</v>
      </c>
      <c r="E118" t="s">
        <v>460</v>
      </c>
      <c r="F118" t="s">
        <v>462</v>
      </c>
      <c r="G118" t="s">
        <v>463</v>
      </c>
      <c r="H118" t="s">
        <v>465</v>
      </c>
      <c r="I118" t="s">
        <v>15</v>
      </c>
      <c r="J118" t="s">
        <v>253</v>
      </c>
      <c r="K118" t="s">
        <v>461</v>
      </c>
      <c r="L118" t="s">
        <v>464</v>
      </c>
      <c r="Q118" s="54"/>
    </row>
    <row r="119" spans="1:17" ht="14.25" customHeight="1" x14ac:dyDescent="0.2">
      <c r="A119">
        <v>119</v>
      </c>
      <c r="B119" t="s">
        <v>466</v>
      </c>
      <c r="C119" t="s">
        <v>467</v>
      </c>
      <c r="D119">
        <v>2025</v>
      </c>
      <c r="E119" t="s">
        <v>468</v>
      </c>
      <c r="F119" t="s">
        <v>470</v>
      </c>
      <c r="G119" t="s">
        <v>471</v>
      </c>
      <c r="H119" t="s">
        <v>473</v>
      </c>
      <c r="I119" t="s">
        <v>15</v>
      </c>
      <c r="J119" t="s">
        <v>230</v>
      </c>
      <c r="K119" t="s">
        <v>469</v>
      </c>
      <c r="L119" t="s">
        <v>472</v>
      </c>
      <c r="Q119" s="54"/>
    </row>
    <row r="120" spans="1:17" ht="14.25" customHeight="1" x14ac:dyDescent="0.2">
      <c r="A120">
        <v>120</v>
      </c>
      <c r="B120" t="s">
        <v>474</v>
      </c>
      <c r="C120" t="s">
        <v>475</v>
      </c>
      <c r="D120">
        <v>2023</v>
      </c>
      <c r="E120" t="s">
        <v>476</v>
      </c>
      <c r="F120" t="s">
        <v>478</v>
      </c>
      <c r="G120" t="s">
        <v>479</v>
      </c>
      <c r="H120" t="s">
        <v>228</v>
      </c>
      <c r="I120" t="s">
        <v>15</v>
      </c>
      <c r="J120" t="s">
        <v>230</v>
      </c>
      <c r="K120" t="s">
        <v>477</v>
      </c>
      <c r="L120" t="s">
        <v>480</v>
      </c>
      <c r="Q120" s="54"/>
    </row>
    <row r="121" spans="1:17" ht="14.25" customHeight="1" x14ac:dyDescent="0.2">
      <c r="A121">
        <v>121</v>
      </c>
      <c r="B121" t="s">
        <v>482</v>
      </c>
      <c r="C121" t="s">
        <v>483</v>
      </c>
      <c r="D121">
        <v>2024</v>
      </c>
      <c r="E121" t="s">
        <v>233</v>
      </c>
      <c r="F121" t="s">
        <v>485</v>
      </c>
      <c r="G121" t="s">
        <v>486</v>
      </c>
      <c r="H121" t="s">
        <v>238</v>
      </c>
      <c r="I121" t="s">
        <v>15</v>
      </c>
      <c r="J121" t="s">
        <v>230</v>
      </c>
      <c r="K121" t="s">
        <v>484</v>
      </c>
      <c r="L121" t="s">
        <v>382</v>
      </c>
      <c r="Q121" s="54"/>
    </row>
    <row r="122" spans="1:17" ht="14.25" customHeight="1" x14ac:dyDescent="0.2">
      <c r="A122">
        <v>122</v>
      </c>
      <c r="B122" t="s">
        <v>487</v>
      </c>
      <c r="C122" t="s">
        <v>488</v>
      </c>
      <c r="D122">
        <v>2022</v>
      </c>
      <c r="E122" t="s">
        <v>233</v>
      </c>
      <c r="F122" t="s">
        <v>490</v>
      </c>
      <c r="G122" t="s">
        <v>491</v>
      </c>
      <c r="H122" t="s">
        <v>238</v>
      </c>
      <c r="I122" t="s">
        <v>15</v>
      </c>
      <c r="J122" t="s">
        <v>230</v>
      </c>
      <c r="K122" t="s">
        <v>489</v>
      </c>
      <c r="L122" t="s">
        <v>492</v>
      </c>
      <c r="Q122" s="54"/>
    </row>
    <row r="123" spans="1:17" ht="14.25" customHeight="1" x14ac:dyDescent="0.2">
      <c r="A123">
        <v>123</v>
      </c>
      <c r="B123" t="s">
        <v>493</v>
      </c>
      <c r="C123" t="s">
        <v>494</v>
      </c>
      <c r="D123">
        <v>2026</v>
      </c>
      <c r="E123" t="s">
        <v>394</v>
      </c>
      <c r="F123" t="s">
        <v>496</v>
      </c>
      <c r="G123" t="s">
        <v>497</v>
      </c>
      <c r="H123" t="s">
        <v>274</v>
      </c>
      <c r="I123" t="s">
        <v>15</v>
      </c>
      <c r="J123" t="s">
        <v>253</v>
      </c>
      <c r="K123" t="s">
        <v>495</v>
      </c>
      <c r="L123" t="s">
        <v>498</v>
      </c>
      <c r="Q123" s="54"/>
    </row>
    <row r="124" spans="1:17" ht="14.25" customHeight="1" x14ac:dyDescent="0.2">
      <c r="A124">
        <v>124</v>
      </c>
      <c r="B124" t="s">
        <v>499</v>
      </c>
      <c r="C124" t="s">
        <v>500</v>
      </c>
      <c r="D124">
        <v>2024</v>
      </c>
      <c r="E124" t="s">
        <v>501</v>
      </c>
      <c r="F124" t="s">
        <v>503</v>
      </c>
      <c r="G124" t="s">
        <v>504</v>
      </c>
      <c r="H124" t="s">
        <v>506</v>
      </c>
      <c r="I124" t="s">
        <v>15</v>
      </c>
      <c r="J124" t="s">
        <v>253</v>
      </c>
      <c r="K124" t="s">
        <v>502</v>
      </c>
      <c r="L124" t="s">
        <v>505</v>
      </c>
      <c r="Q124" s="54"/>
    </row>
    <row r="125" spans="1:17" ht="14.25" customHeight="1" x14ac:dyDescent="0.2">
      <c r="A125">
        <v>125</v>
      </c>
      <c r="B125" t="s">
        <v>507</v>
      </c>
      <c r="C125" t="s">
        <v>508</v>
      </c>
      <c r="D125">
        <v>2022</v>
      </c>
      <c r="E125" t="s">
        <v>509</v>
      </c>
      <c r="F125" t="s">
        <v>511</v>
      </c>
      <c r="G125" t="s">
        <v>512</v>
      </c>
      <c r="H125" t="s">
        <v>228</v>
      </c>
      <c r="I125" t="s">
        <v>15</v>
      </c>
      <c r="J125" t="s">
        <v>230</v>
      </c>
      <c r="K125" t="s">
        <v>510</v>
      </c>
      <c r="L125" t="s">
        <v>513</v>
      </c>
      <c r="Q125" s="54"/>
    </row>
    <row r="126" spans="1:17" ht="14.25" customHeight="1" x14ac:dyDescent="0.2">
      <c r="A126">
        <v>126</v>
      </c>
      <c r="B126" t="s">
        <v>514</v>
      </c>
      <c r="C126" t="s">
        <v>515</v>
      </c>
      <c r="D126">
        <v>2026</v>
      </c>
      <c r="E126" t="s">
        <v>516</v>
      </c>
      <c r="F126" t="s">
        <v>518</v>
      </c>
      <c r="G126" t="s">
        <v>519</v>
      </c>
      <c r="H126" t="s">
        <v>260</v>
      </c>
      <c r="I126" t="s">
        <v>15</v>
      </c>
      <c r="J126" t="s">
        <v>253</v>
      </c>
      <c r="K126" t="s">
        <v>517</v>
      </c>
      <c r="L126" t="s">
        <v>520</v>
      </c>
      <c r="Q126" s="54"/>
    </row>
    <row r="127" spans="1:17" ht="14.25" customHeight="1" x14ac:dyDescent="0.2">
      <c r="A127">
        <v>127</v>
      </c>
      <c r="B127" t="s">
        <v>521</v>
      </c>
      <c r="C127" t="s">
        <v>522</v>
      </c>
      <c r="D127">
        <v>2024</v>
      </c>
      <c r="E127" t="s">
        <v>523</v>
      </c>
      <c r="F127" t="s">
        <v>525</v>
      </c>
      <c r="G127" t="s">
        <v>526</v>
      </c>
      <c r="H127" t="s">
        <v>228</v>
      </c>
      <c r="I127" t="s">
        <v>15</v>
      </c>
      <c r="J127" t="s">
        <v>230</v>
      </c>
      <c r="K127" t="s">
        <v>524</v>
      </c>
      <c r="L127" t="s">
        <v>527</v>
      </c>
      <c r="Q127" s="54"/>
    </row>
    <row r="128" spans="1:17" ht="14.25" customHeight="1" x14ac:dyDescent="0.2">
      <c r="A128">
        <v>128</v>
      </c>
      <c r="B128" t="s">
        <v>528</v>
      </c>
      <c r="C128" t="s">
        <v>529</v>
      </c>
      <c r="D128">
        <v>2024</v>
      </c>
      <c r="E128" t="s">
        <v>530</v>
      </c>
      <c r="F128" t="s">
        <v>532</v>
      </c>
      <c r="G128" t="s">
        <v>533</v>
      </c>
      <c r="H128" t="s">
        <v>473</v>
      </c>
      <c r="I128" t="s">
        <v>15</v>
      </c>
      <c r="J128" t="s">
        <v>230</v>
      </c>
      <c r="K128" t="s">
        <v>531</v>
      </c>
      <c r="L128">
        <v>0</v>
      </c>
      <c r="Q128" s="54"/>
    </row>
    <row r="129" spans="1:17" ht="14.25" customHeight="1" x14ac:dyDescent="0.2">
      <c r="A129">
        <v>129</v>
      </c>
      <c r="B129" t="s">
        <v>534</v>
      </c>
      <c r="C129" t="s">
        <v>535</v>
      </c>
      <c r="D129">
        <v>2022</v>
      </c>
      <c r="E129" t="s">
        <v>536</v>
      </c>
      <c r="F129" t="s">
        <v>538</v>
      </c>
      <c r="G129">
        <v>0</v>
      </c>
      <c r="H129" t="s">
        <v>473</v>
      </c>
      <c r="I129" t="s">
        <v>15</v>
      </c>
      <c r="J129" t="s">
        <v>230</v>
      </c>
      <c r="K129" t="s">
        <v>537</v>
      </c>
      <c r="L129">
        <v>0</v>
      </c>
      <c r="Q129" s="54"/>
    </row>
    <row r="130" spans="1:17" ht="14.25" customHeight="1" x14ac:dyDescent="0.2">
      <c r="A130">
        <v>130</v>
      </c>
      <c r="B130" t="s">
        <v>539</v>
      </c>
      <c r="C130" t="s">
        <v>540</v>
      </c>
      <c r="D130">
        <v>2022</v>
      </c>
      <c r="E130" t="s">
        <v>541</v>
      </c>
      <c r="F130" t="s">
        <v>543</v>
      </c>
      <c r="G130" t="s">
        <v>544</v>
      </c>
      <c r="H130" t="s">
        <v>506</v>
      </c>
      <c r="I130" t="s">
        <v>15</v>
      </c>
      <c r="J130" t="s">
        <v>545</v>
      </c>
      <c r="K130" t="s">
        <v>542</v>
      </c>
      <c r="L130">
        <v>0</v>
      </c>
      <c r="Q130" s="54"/>
    </row>
    <row r="131" spans="1:17" ht="14.25" customHeight="1" x14ac:dyDescent="0.2">
      <c r="A131">
        <v>131</v>
      </c>
      <c r="B131" t="s">
        <v>546</v>
      </c>
      <c r="C131" t="s">
        <v>547</v>
      </c>
      <c r="D131">
        <v>2026</v>
      </c>
      <c r="E131" t="s">
        <v>548</v>
      </c>
      <c r="F131" t="s">
        <v>550</v>
      </c>
      <c r="G131" t="s">
        <v>551</v>
      </c>
      <c r="H131" t="s">
        <v>228</v>
      </c>
      <c r="I131" t="s">
        <v>15</v>
      </c>
      <c r="J131" t="s">
        <v>230</v>
      </c>
      <c r="K131" t="s">
        <v>549</v>
      </c>
      <c r="L131" t="s">
        <v>552</v>
      </c>
      <c r="Q131" s="54"/>
    </row>
    <row r="132" spans="1:17" ht="14.25" customHeight="1" x14ac:dyDescent="0.2">
      <c r="A132">
        <v>132</v>
      </c>
      <c r="B132" t="s">
        <v>553</v>
      </c>
      <c r="C132" t="s">
        <v>554</v>
      </c>
      <c r="D132">
        <v>2025</v>
      </c>
      <c r="E132" t="s">
        <v>233</v>
      </c>
      <c r="F132" t="s">
        <v>556</v>
      </c>
      <c r="G132" t="s">
        <v>557</v>
      </c>
      <c r="H132" t="s">
        <v>238</v>
      </c>
      <c r="I132" t="s">
        <v>15</v>
      </c>
      <c r="J132" t="s">
        <v>230</v>
      </c>
      <c r="K132" t="s">
        <v>555</v>
      </c>
      <c r="L132" t="s">
        <v>558</v>
      </c>
      <c r="Q132" s="54"/>
    </row>
    <row r="133" spans="1:17" ht="14.25" customHeight="1" x14ac:dyDescent="0.2">
      <c r="A133">
        <v>133</v>
      </c>
      <c r="B133" t="s">
        <v>559</v>
      </c>
      <c r="C133" t="s">
        <v>560</v>
      </c>
      <c r="D133">
        <v>2026</v>
      </c>
      <c r="E133" t="s">
        <v>269</v>
      </c>
      <c r="F133" t="s">
        <v>562</v>
      </c>
      <c r="G133" t="s">
        <v>563</v>
      </c>
      <c r="H133" t="s">
        <v>274</v>
      </c>
      <c r="I133" t="s">
        <v>15</v>
      </c>
      <c r="J133" t="s">
        <v>253</v>
      </c>
      <c r="K133" t="s">
        <v>561</v>
      </c>
      <c r="L133" t="s">
        <v>564</v>
      </c>
      <c r="Q133" s="54"/>
    </row>
    <row r="134" spans="1:17" ht="14.25" customHeight="1" x14ac:dyDescent="0.2">
      <c r="A134">
        <v>134</v>
      </c>
      <c r="B134" t="s">
        <v>565</v>
      </c>
      <c r="C134" t="s">
        <v>566</v>
      </c>
      <c r="D134">
        <v>2025</v>
      </c>
      <c r="E134" t="s">
        <v>523</v>
      </c>
      <c r="F134" t="s">
        <v>568</v>
      </c>
      <c r="G134" t="s">
        <v>569</v>
      </c>
      <c r="H134" t="s">
        <v>228</v>
      </c>
      <c r="I134" t="s">
        <v>15</v>
      </c>
      <c r="J134" t="s">
        <v>230</v>
      </c>
      <c r="K134" t="s">
        <v>567</v>
      </c>
      <c r="L134" t="s">
        <v>570</v>
      </c>
      <c r="Q134" s="54"/>
    </row>
    <row r="135" spans="1:17" ht="14.25" customHeight="1" x14ac:dyDescent="0.2">
      <c r="A135">
        <v>135</v>
      </c>
      <c r="B135" t="s">
        <v>571</v>
      </c>
      <c r="C135" t="s">
        <v>572</v>
      </c>
      <c r="D135">
        <v>2025</v>
      </c>
      <c r="E135" t="s">
        <v>573</v>
      </c>
      <c r="F135" t="s">
        <v>575</v>
      </c>
      <c r="G135" t="s">
        <v>576</v>
      </c>
      <c r="H135" t="s">
        <v>578</v>
      </c>
      <c r="I135" t="s">
        <v>15</v>
      </c>
      <c r="J135" t="s">
        <v>253</v>
      </c>
      <c r="K135" t="s">
        <v>574</v>
      </c>
      <c r="L135" t="s">
        <v>577</v>
      </c>
      <c r="Q135" s="54"/>
    </row>
    <row r="136" spans="1:17" ht="14.25" customHeight="1" x14ac:dyDescent="0.2">
      <c r="A136">
        <v>136</v>
      </c>
      <c r="B136" t="s">
        <v>579</v>
      </c>
      <c r="C136" t="s">
        <v>580</v>
      </c>
      <c r="D136">
        <v>2023</v>
      </c>
      <c r="E136" t="s">
        <v>581</v>
      </c>
      <c r="F136" t="s">
        <v>583</v>
      </c>
      <c r="G136" t="s">
        <v>584</v>
      </c>
      <c r="H136" t="s">
        <v>586</v>
      </c>
      <c r="I136" t="s">
        <v>15</v>
      </c>
      <c r="J136" t="s">
        <v>253</v>
      </c>
      <c r="K136" t="s">
        <v>582</v>
      </c>
      <c r="L136" t="s">
        <v>585</v>
      </c>
      <c r="Q136" s="54"/>
    </row>
    <row r="137" spans="1:17" ht="14.25" customHeight="1" x14ac:dyDescent="0.2">
      <c r="A137">
        <v>137</v>
      </c>
      <c r="B137" t="s">
        <v>587</v>
      </c>
      <c r="C137" t="s">
        <v>588</v>
      </c>
      <c r="D137">
        <v>2026</v>
      </c>
      <c r="E137" t="s">
        <v>331</v>
      </c>
      <c r="F137" t="s">
        <v>590</v>
      </c>
      <c r="G137" t="s">
        <v>591</v>
      </c>
      <c r="H137" t="s">
        <v>336</v>
      </c>
      <c r="I137" t="s">
        <v>15</v>
      </c>
      <c r="J137" t="s">
        <v>253</v>
      </c>
      <c r="K137" t="s">
        <v>589</v>
      </c>
      <c r="L137" t="s">
        <v>592</v>
      </c>
      <c r="Q137" s="54"/>
    </row>
    <row r="138" spans="1:17" ht="14.25" customHeight="1" x14ac:dyDescent="0.2">
      <c r="A138">
        <v>138</v>
      </c>
      <c r="B138" t="s">
        <v>593</v>
      </c>
      <c r="C138" t="s">
        <v>594</v>
      </c>
      <c r="D138">
        <v>2022</v>
      </c>
      <c r="E138" t="s">
        <v>277</v>
      </c>
      <c r="F138" t="s">
        <v>596</v>
      </c>
      <c r="G138" t="s">
        <v>597</v>
      </c>
      <c r="H138" t="s">
        <v>586</v>
      </c>
      <c r="I138" t="s">
        <v>15</v>
      </c>
      <c r="J138" t="s">
        <v>253</v>
      </c>
      <c r="K138" t="s">
        <v>595</v>
      </c>
      <c r="L138" t="s">
        <v>598</v>
      </c>
      <c r="Q138" s="54"/>
    </row>
    <row r="139" spans="1:17" ht="14.25" customHeight="1" x14ac:dyDescent="0.2">
      <c r="A139">
        <v>139</v>
      </c>
      <c r="B139" t="s">
        <v>599</v>
      </c>
      <c r="C139" t="s">
        <v>600</v>
      </c>
      <c r="D139">
        <v>2024</v>
      </c>
      <c r="E139" t="s">
        <v>233</v>
      </c>
      <c r="F139" t="s">
        <v>602</v>
      </c>
      <c r="G139" t="s">
        <v>603</v>
      </c>
      <c r="H139" t="s">
        <v>238</v>
      </c>
      <c r="I139" t="s">
        <v>15</v>
      </c>
      <c r="J139" t="s">
        <v>230</v>
      </c>
      <c r="K139" t="s">
        <v>601</v>
      </c>
      <c r="L139" t="s">
        <v>604</v>
      </c>
      <c r="Q139" s="54"/>
    </row>
    <row r="140" spans="1:17" ht="14.25" customHeight="1" x14ac:dyDescent="0.2">
      <c r="A140">
        <v>140</v>
      </c>
      <c r="B140" t="s">
        <v>605</v>
      </c>
      <c r="C140" t="s">
        <v>606</v>
      </c>
      <c r="D140">
        <v>2022</v>
      </c>
      <c r="E140" t="s">
        <v>607</v>
      </c>
      <c r="F140" t="s">
        <v>608</v>
      </c>
      <c r="G140" t="s">
        <v>609</v>
      </c>
      <c r="H140" t="s">
        <v>610</v>
      </c>
      <c r="I140" t="s">
        <v>15</v>
      </c>
      <c r="J140" t="s">
        <v>230</v>
      </c>
      <c r="K140">
        <v>0</v>
      </c>
      <c r="L140">
        <v>0</v>
      </c>
      <c r="Q140" s="54"/>
    </row>
    <row r="141" spans="1:17" ht="14.25" customHeight="1" x14ac:dyDescent="0.2">
      <c r="A141">
        <v>141</v>
      </c>
      <c r="B141">
        <v>0</v>
      </c>
      <c r="C141" t="s">
        <v>229</v>
      </c>
      <c r="D141">
        <v>2025</v>
      </c>
      <c r="E141" t="s">
        <v>223</v>
      </c>
      <c r="F141" t="s">
        <v>390</v>
      </c>
      <c r="G141">
        <v>0</v>
      </c>
      <c r="H141" t="s">
        <v>228</v>
      </c>
      <c r="I141" t="s">
        <v>15</v>
      </c>
      <c r="J141" t="s">
        <v>391</v>
      </c>
      <c r="K141">
        <v>0</v>
      </c>
      <c r="L141">
        <v>0</v>
      </c>
      <c r="Q141" s="54"/>
    </row>
    <row r="142" spans="1:17" ht="14.25" customHeight="1" x14ac:dyDescent="0.2">
      <c r="A142">
        <v>142</v>
      </c>
      <c r="B142" t="s">
        <v>611</v>
      </c>
      <c r="C142" t="s">
        <v>612</v>
      </c>
      <c r="D142">
        <v>2023</v>
      </c>
      <c r="E142" t="s">
        <v>317</v>
      </c>
      <c r="F142" t="s">
        <v>614</v>
      </c>
      <c r="G142" t="s">
        <v>615</v>
      </c>
      <c r="H142" t="s">
        <v>322</v>
      </c>
      <c r="I142" t="s">
        <v>15</v>
      </c>
      <c r="J142" t="s">
        <v>253</v>
      </c>
      <c r="K142" t="s">
        <v>613</v>
      </c>
      <c r="L142" t="s">
        <v>616</v>
      </c>
      <c r="Q142" s="54"/>
    </row>
    <row r="143" spans="1:17" ht="14.25" customHeight="1" x14ac:dyDescent="0.2">
      <c r="A143">
        <v>143</v>
      </c>
      <c r="B143" t="s">
        <v>507</v>
      </c>
      <c r="C143" t="s">
        <v>617</v>
      </c>
      <c r="D143">
        <v>2022</v>
      </c>
      <c r="E143" t="s">
        <v>509</v>
      </c>
      <c r="F143" t="s">
        <v>619</v>
      </c>
      <c r="G143" t="s">
        <v>620</v>
      </c>
      <c r="H143" t="s">
        <v>228</v>
      </c>
      <c r="I143" t="s">
        <v>15</v>
      </c>
      <c r="J143" t="s">
        <v>230</v>
      </c>
      <c r="K143" t="s">
        <v>618</v>
      </c>
      <c r="L143" t="s">
        <v>513</v>
      </c>
      <c r="Q143" s="54"/>
    </row>
    <row r="144" spans="1:17" ht="14.25" customHeight="1" x14ac:dyDescent="0.2">
      <c r="A144">
        <v>144</v>
      </c>
      <c r="B144" t="s">
        <v>621</v>
      </c>
      <c r="C144" t="s">
        <v>622</v>
      </c>
      <c r="D144">
        <v>2024</v>
      </c>
      <c r="E144" t="s">
        <v>233</v>
      </c>
      <c r="F144" t="s">
        <v>624</v>
      </c>
      <c r="G144" t="s">
        <v>625</v>
      </c>
      <c r="H144" t="s">
        <v>238</v>
      </c>
      <c r="I144" t="s">
        <v>15</v>
      </c>
      <c r="J144" t="s">
        <v>230</v>
      </c>
      <c r="K144" t="s">
        <v>623</v>
      </c>
      <c r="L144">
        <v>0</v>
      </c>
      <c r="Q144" s="54"/>
    </row>
    <row r="145" spans="1:17" ht="14.25" customHeight="1" x14ac:dyDescent="0.2">
      <c r="A145">
        <v>145</v>
      </c>
      <c r="B145" t="s">
        <v>626</v>
      </c>
      <c r="C145" t="s">
        <v>627</v>
      </c>
      <c r="D145">
        <v>2026</v>
      </c>
      <c r="E145" t="s">
        <v>394</v>
      </c>
      <c r="F145" t="s">
        <v>629</v>
      </c>
      <c r="G145" t="s">
        <v>630</v>
      </c>
      <c r="H145" t="s">
        <v>274</v>
      </c>
      <c r="I145" t="s">
        <v>15</v>
      </c>
      <c r="J145" t="s">
        <v>253</v>
      </c>
      <c r="K145" t="s">
        <v>628</v>
      </c>
      <c r="L145" t="s">
        <v>631</v>
      </c>
      <c r="Q145" s="54"/>
    </row>
    <row r="146" spans="1:17" ht="14.25" customHeight="1" x14ac:dyDescent="0.2">
      <c r="A146">
        <v>146</v>
      </c>
      <c r="B146" t="s">
        <v>632</v>
      </c>
      <c r="C146" t="s">
        <v>633</v>
      </c>
      <c r="D146">
        <v>2025</v>
      </c>
      <c r="E146" t="s">
        <v>634</v>
      </c>
      <c r="F146" t="s">
        <v>636</v>
      </c>
      <c r="G146" t="s">
        <v>637</v>
      </c>
      <c r="H146" t="s">
        <v>639</v>
      </c>
      <c r="I146" t="s">
        <v>15</v>
      </c>
      <c r="J146" t="s">
        <v>230</v>
      </c>
      <c r="K146" t="s">
        <v>635</v>
      </c>
      <c r="L146" t="s">
        <v>638</v>
      </c>
      <c r="Q146" s="54"/>
    </row>
    <row r="147" spans="1:17" ht="14.25" customHeight="1" x14ac:dyDescent="0.2">
      <c r="A147">
        <v>147</v>
      </c>
      <c r="B147" t="s">
        <v>640</v>
      </c>
      <c r="C147" t="s">
        <v>641</v>
      </c>
      <c r="D147">
        <v>2025</v>
      </c>
      <c r="E147" t="s">
        <v>233</v>
      </c>
      <c r="F147" t="s">
        <v>643</v>
      </c>
      <c r="G147" t="s">
        <v>644</v>
      </c>
      <c r="H147" t="s">
        <v>238</v>
      </c>
      <c r="I147" t="s">
        <v>15</v>
      </c>
      <c r="J147" t="s">
        <v>230</v>
      </c>
      <c r="K147" t="s">
        <v>642</v>
      </c>
      <c r="L147" t="s">
        <v>645</v>
      </c>
      <c r="Q147" s="54"/>
    </row>
    <row r="148" spans="1:17" ht="14.25" customHeight="1" x14ac:dyDescent="0.2">
      <c r="A148">
        <v>148</v>
      </c>
      <c r="B148" t="s">
        <v>646</v>
      </c>
      <c r="C148" t="s">
        <v>647</v>
      </c>
      <c r="D148">
        <v>2023</v>
      </c>
      <c r="E148" t="s">
        <v>509</v>
      </c>
      <c r="F148" t="s">
        <v>649</v>
      </c>
      <c r="G148" t="s">
        <v>650</v>
      </c>
      <c r="H148" t="s">
        <v>228</v>
      </c>
      <c r="I148" t="s">
        <v>15</v>
      </c>
      <c r="J148" t="s">
        <v>230</v>
      </c>
      <c r="K148" t="s">
        <v>648</v>
      </c>
      <c r="L148" t="s">
        <v>651</v>
      </c>
      <c r="Q148" s="54"/>
    </row>
    <row r="149" spans="1:17" ht="14.25" customHeight="1" x14ac:dyDescent="0.2">
      <c r="A149">
        <v>149</v>
      </c>
      <c r="B149" t="s">
        <v>652</v>
      </c>
      <c r="C149" t="s">
        <v>653</v>
      </c>
      <c r="D149">
        <v>2023</v>
      </c>
      <c r="E149" t="s">
        <v>654</v>
      </c>
      <c r="F149" t="s">
        <v>656</v>
      </c>
      <c r="G149" t="s">
        <v>657</v>
      </c>
      <c r="H149" t="s">
        <v>228</v>
      </c>
      <c r="I149" t="s">
        <v>15</v>
      </c>
      <c r="J149" t="s">
        <v>253</v>
      </c>
      <c r="K149" t="s">
        <v>655</v>
      </c>
      <c r="L149" t="s">
        <v>658</v>
      </c>
      <c r="Q149" s="54"/>
    </row>
    <row r="150" spans="1:17" ht="14.25" customHeight="1" x14ac:dyDescent="0.2">
      <c r="A150">
        <v>150</v>
      </c>
      <c r="B150" t="s">
        <v>659</v>
      </c>
      <c r="C150" t="s">
        <v>660</v>
      </c>
      <c r="D150">
        <v>2022</v>
      </c>
      <c r="E150" t="s">
        <v>233</v>
      </c>
      <c r="F150" t="s">
        <v>662</v>
      </c>
      <c r="G150" t="s">
        <v>663</v>
      </c>
      <c r="H150" t="s">
        <v>238</v>
      </c>
      <c r="I150" t="s">
        <v>15</v>
      </c>
      <c r="J150" t="s">
        <v>230</v>
      </c>
      <c r="K150" t="s">
        <v>661</v>
      </c>
      <c r="L150" t="s">
        <v>664</v>
      </c>
      <c r="Q150" s="54"/>
    </row>
    <row r="151" spans="1:17" ht="14.25" customHeight="1" x14ac:dyDescent="0.2">
      <c r="A151">
        <v>151</v>
      </c>
      <c r="B151" t="s">
        <v>665</v>
      </c>
      <c r="C151" t="s">
        <v>666</v>
      </c>
      <c r="D151">
        <v>2022</v>
      </c>
      <c r="E151" t="s">
        <v>385</v>
      </c>
      <c r="F151" t="s">
        <v>668</v>
      </c>
      <c r="G151" t="s">
        <v>669</v>
      </c>
      <c r="H151" t="s">
        <v>586</v>
      </c>
      <c r="I151" t="s">
        <v>15</v>
      </c>
      <c r="J151" t="s">
        <v>253</v>
      </c>
      <c r="K151" t="s">
        <v>667</v>
      </c>
      <c r="L151" t="s">
        <v>670</v>
      </c>
      <c r="Q151" s="54"/>
    </row>
    <row r="152" spans="1:17" ht="14.25" customHeight="1" x14ac:dyDescent="0.2">
      <c r="A152">
        <v>152</v>
      </c>
      <c r="B152" t="s">
        <v>671</v>
      </c>
      <c r="C152" t="s">
        <v>672</v>
      </c>
      <c r="D152">
        <v>2024</v>
      </c>
      <c r="E152" t="s">
        <v>673</v>
      </c>
      <c r="F152" t="s">
        <v>675</v>
      </c>
      <c r="G152" t="s">
        <v>676</v>
      </c>
      <c r="H152" t="s">
        <v>282</v>
      </c>
      <c r="I152" t="s">
        <v>15</v>
      </c>
      <c r="J152" t="s">
        <v>253</v>
      </c>
      <c r="K152" t="s">
        <v>674</v>
      </c>
      <c r="L152" t="s">
        <v>677</v>
      </c>
      <c r="Q152" s="54"/>
    </row>
    <row r="153" spans="1:17" ht="14.25" customHeight="1" x14ac:dyDescent="0.2">
      <c r="A153">
        <v>153</v>
      </c>
      <c r="B153" t="s">
        <v>678</v>
      </c>
      <c r="C153" t="s">
        <v>679</v>
      </c>
      <c r="D153">
        <v>2023</v>
      </c>
      <c r="E153" t="s">
        <v>680</v>
      </c>
      <c r="F153" t="s">
        <v>682</v>
      </c>
      <c r="G153">
        <v>0</v>
      </c>
      <c r="H153" t="s">
        <v>473</v>
      </c>
      <c r="I153" t="s">
        <v>15</v>
      </c>
      <c r="J153" t="s">
        <v>230</v>
      </c>
      <c r="K153" t="s">
        <v>681</v>
      </c>
      <c r="L153" t="s">
        <v>683</v>
      </c>
      <c r="Q153" s="54"/>
    </row>
    <row r="154" spans="1:17" ht="14.25" customHeight="1" x14ac:dyDescent="0.2">
      <c r="A154">
        <v>154</v>
      </c>
      <c r="B154" t="s">
        <v>684</v>
      </c>
      <c r="C154" t="s">
        <v>685</v>
      </c>
      <c r="D154">
        <v>2025</v>
      </c>
      <c r="E154" t="s">
        <v>686</v>
      </c>
      <c r="F154" t="s">
        <v>688</v>
      </c>
      <c r="G154" t="s">
        <v>689</v>
      </c>
      <c r="H154" t="s">
        <v>691</v>
      </c>
      <c r="I154" t="s">
        <v>15</v>
      </c>
      <c r="J154" t="s">
        <v>253</v>
      </c>
      <c r="K154" t="s">
        <v>687</v>
      </c>
      <c r="L154" t="s">
        <v>690</v>
      </c>
      <c r="Q154" s="54"/>
    </row>
    <row r="155" spans="1:17" ht="14.25" customHeight="1" x14ac:dyDescent="0.2">
      <c r="A155">
        <v>155</v>
      </c>
      <c r="B155" t="s">
        <v>692</v>
      </c>
      <c r="C155" t="s">
        <v>693</v>
      </c>
      <c r="D155">
        <v>2025</v>
      </c>
      <c r="E155" t="s">
        <v>233</v>
      </c>
      <c r="F155" t="s">
        <v>695</v>
      </c>
      <c r="G155" t="s">
        <v>696</v>
      </c>
      <c r="H155" t="s">
        <v>238</v>
      </c>
      <c r="I155" t="s">
        <v>15</v>
      </c>
      <c r="J155" t="s">
        <v>230</v>
      </c>
      <c r="K155" t="s">
        <v>694</v>
      </c>
      <c r="L155" t="s">
        <v>697</v>
      </c>
      <c r="Q155" s="54"/>
    </row>
    <row r="156" spans="1:17" ht="14.25" customHeight="1" x14ac:dyDescent="0.2">
      <c r="A156">
        <v>156</v>
      </c>
      <c r="B156">
        <v>0</v>
      </c>
      <c r="C156" t="s">
        <v>481</v>
      </c>
      <c r="D156">
        <v>2023</v>
      </c>
      <c r="E156" t="s">
        <v>476</v>
      </c>
      <c r="F156" t="s">
        <v>698</v>
      </c>
      <c r="G156">
        <v>0</v>
      </c>
      <c r="H156" t="s">
        <v>228</v>
      </c>
      <c r="I156" t="s">
        <v>15</v>
      </c>
      <c r="J156" t="s">
        <v>391</v>
      </c>
      <c r="K156">
        <v>0</v>
      </c>
      <c r="L156">
        <v>0</v>
      </c>
      <c r="Q156" s="54"/>
    </row>
    <row r="157" spans="1:17" ht="14.25" customHeight="1" x14ac:dyDescent="0.2">
      <c r="A157">
        <v>157</v>
      </c>
      <c r="B157" t="s">
        <v>699</v>
      </c>
      <c r="C157" t="s">
        <v>700</v>
      </c>
      <c r="D157">
        <v>2025</v>
      </c>
      <c r="E157" t="s">
        <v>233</v>
      </c>
      <c r="F157" t="s">
        <v>702</v>
      </c>
      <c r="G157" t="s">
        <v>703</v>
      </c>
      <c r="H157" t="s">
        <v>238</v>
      </c>
      <c r="I157" t="s">
        <v>15</v>
      </c>
      <c r="J157" t="s">
        <v>230</v>
      </c>
      <c r="K157" t="s">
        <v>701</v>
      </c>
      <c r="L157" t="s">
        <v>704</v>
      </c>
      <c r="Q157" s="54"/>
    </row>
    <row r="158" spans="1:17" ht="14.25" customHeight="1" x14ac:dyDescent="0.2">
      <c r="A158">
        <v>158</v>
      </c>
      <c r="B158" t="s">
        <v>705</v>
      </c>
      <c r="C158" t="s">
        <v>706</v>
      </c>
      <c r="D158">
        <v>2026</v>
      </c>
      <c r="E158" t="s">
        <v>707</v>
      </c>
      <c r="F158" t="s">
        <v>709</v>
      </c>
      <c r="G158" t="s">
        <v>710</v>
      </c>
      <c r="H158" t="s">
        <v>252</v>
      </c>
      <c r="I158" t="s">
        <v>15</v>
      </c>
      <c r="J158" t="s">
        <v>253</v>
      </c>
      <c r="K158" t="s">
        <v>708</v>
      </c>
      <c r="L158" t="s">
        <v>711</v>
      </c>
      <c r="Q158" s="54"/>
    </row>
    <row r="159" spans="1:17" ht="14.25" customHeight="1" x14ac:dyDescent="0.2">
      <c r="A159">
        <v>159</v>
      </c>
      <c r="B159" t="s">
        <v>712</v>
      </c>
      <c r="C159" t="s">
        <v>713</v>
      </c>
      <c r="D159">
        <v>2025</v>
      </c>
      <c r="E159" t="s">
        <v>233</v>
      </c>
      <c r="F159" t="s">
        <v>715</v>
      </c>
      <c r="G159" t="s">
        <v>716</v>
      </c>
      <c r="H159" t="s">
        <v>238</v>
      </c>
      <c r="I159" t="s">
        <v>15</v>
      </c>
      <c r="J159" t="s">
        <v>230</v>
      </c>
      <c r="K159" t="s">
        <v>714</v>
      </c>
      <c r="L159" t="s">
        <v>717</v>
      </c>
      <c r="Q159" s="54"/>
    </row>
    <row r="160" spans="1:17" ht="14.25" customHeight="1" x14ac:dyDescent="0.2">
      <c r="A160">
        <v>160</v>
      </c>
      <c r="B160" t="s">
        <v>718</v>
      </c>
      <c r="C160" t="s">
        <v>719</v>
      </c>
      <c r="D160">
        <v>2025</v>
      </c>
      <c r="E160" t="s">
        <v>460</v>
      </c>
      <c r="F160" t="s">
        <v>721</v>
      </c>
      <c r="G160" t="s">
        <v>722</v>
      </c>
      <c r="H160" t="s">
        <v>465</v>
      </c>
      <c r="I160" t="s">
        <v>15</v>
      </c>
      <c r="J160" t="s">
        <v>253</v>
      </c>
      <c r="K160" t="s">
        <v>720</v>
      </c>
      <c r="L160" t="s">
        <v>723</v>
      </c>
      <c r="Q160" s="54"/>
    </row>
    <row r="161" spans="1:17" ht="14.25" customHeight="1" x14ac:dyDescent="0.2">
      <c r="A161">
        <v>161</v>
      </c>
      <c r="B161" t="s">
        <v>724</v>
      </c>
      <c r="C161" t="s">
        <v>725</v>
      </c>
      <c r="D161">
        <v>2022</v>
      </c>
      <c r="E161" t="s">
        <v>394</v>
      </c>
      <c r="F161" t="s">
        <v>727</v>
      </c>
      <c r="G161" t="s">
        <v>728</v>
      </c>
      <c r="H161" t="s">
        <v>274</v>
      </c>
      <c r="I161" t="s">
        <v>15</v>
      </c>
      <c r="J161" t="s">
        <v>253</v>
      </c>
      <c r="K161" t="s">
        <v>726</v>
      </c>
      <c r="L161" t="s">
        <v>729</v>
      </c>
      <c r="Q161" s="54"/>
    </row>
    <row r="162" spans="1:17" ht="14.25" customHeight="1" x14ac:dyDescent="0.2">
      <c r="A162">
        <v>162</v>
      </c>
      <c r="B162" t="s">
        <v>730</v>
      </c>
      <c r="C162" t="s">
        <v>731</v>
      </c>
      <c r="D162">
        <v>2024</v>
      </c>
      <c r="E162" t="s">
        <v>233</v>
      </c>
      <c r="F162" t="s">
        <v>733</v>
      </c>
      <c r="G162" t="s">
        <v>734</v>
      </c>
      <c r="H162" t="s">
        <v>238</v>
      </c>
      <c r="I162" t="s">
        <v>15</v>
      </c>
      <c r="J162" t="s">
        <v>230</v>
      </c>
      <c r="K162" t="s">
        <v>732</v>
      </c>
      <c r="L162" t="s">
        <v>735</v>
      </c>
      <c r="Q162" s="54"/>
    </row>
    <row r="163" spans="1:17" ht="14.25" customHeight="1" x14ac:dyDescent="0.2">
      <c r="A163">
        <v>163</v>
      </c>
      <c r="B163" t="s">
        <v>736</v>
      </c>
      <c r="C163" t="s">
        <v>737</v>
      </c>
      <c r="D163">
        <v>2023</v>
      </c>
      <c r="E163" t="s">
        <v>738</v>
      </c>
      <c r="F163" t="s">
        <v>740</v>
      </c>
      <c r="G163" t="s">
        <v>741</v>
      </c>
      <c r="H163" t="s">
        <v>743</v>
      </c>
      <c r="I163" t="s">
        <v>15</v>
      </c>
      <c r="J163" t="s">
        <v>253</v>
      </c>
      <c r="K163" t="s">
        <v>739</v>
      </c>
      <c r="L163" t="s">
        <v>742</v>
      </c>
      <c r="Q163" s="54"/>
    </row>
    <row r="164" spans="1:17" ht="14.25" customHeight="1" x14ac:dyDescent="0.2">
      <c r="A164">
        <v>164</v>
      </c>
      <c r="B164" t="s">
        <v>744</v>
      </c>
      <c r="C164" t="s">
        <v>745</v>
      </c>
      <c r="D164">
        <v>2022</v>
      </c>
      <c r="E164" t="s">
        <v>746</v>
      </c>
      <c r="F164" t="s">
        <v>748</v>
      </c>
      <c r="G164" t="s">
        <v>749</v>
      </c>
      <c r="H164" t="s">
        <v>473</v>
      </c>
      <c r="I164" t="s">
        <v>15</v>
      </c>
      <c r="J164" t="s">
        <v>230</v>
      </c>
      <c r="K164" t="s">
        <v>747</v>
      </c>
      <c r="L164">
        <v>0</v>
      </c>
      <c r="Q164" s="54"/>
    </row>
    <row r="165" spans="1:17" ht="14.25" customHeight="1" x14ac:dyDescent="0.2">
      <c r="A165">
        <v>165</v>
      </c>
      <c r="B165" t="s">
        <v>750</v>
      </c>
      <c r="C165" t="s">
        <v>751</v>
      </c>
      <c r="D165">
        <v>2024</v>
      </c>
      <c r="E165" t="s">
        <v>394</v>
      </c>
      <c r="F165" t="s">
        <v>753</v>
      </c>
      <c r="G165" t="s">
        <v>754</v>
      </c>
      <c r="H165" t="s">
        <v>274</v>
      </c>
      <c r="I165" t="s">
        <v>15</v>
      </c>
      <c r="J165" t="s">
        <v>253</v>
      </c>
      <c r="K165" t="s">
        <v>752</v>
      </c>
      <c r="L165" t="s">
        <v>755</v>
      </c>
      <c r="Q165" s="54"/>
    </row>
    <row r="166" spans="1:17" ht="14.25" customHeight="1" x14ac:dyDescent="0.2">
      <c r="A166">
        <v>166</v>
      </c>
      <c r="B166" t="s">
        <v>756</v>
      </c>
      <c r="C166" t="s">
        <v>757</v>
      </c>
      <c r="D166">
        <v>2022</v>
      </c>
      <c r="E166" t="s">
        <v>233</v>
      </c>
      <c r="F166" t="s">
        <v>759</v>
      </c>
      <c r="G166" t="s">
        <v>760</v>
      </c>
      <c r="H166" t="s">
        <v>238</v>
      </c>
      <c r="I166" t="s">
        <v>15</v>
      </c>
      <c r="J166" t="s">
        <v>230</v>
      </c>
      <c r="K166" t="s">
        <v>758</v>
      </c>
      <c r="L166" t="s">
        <v>761</v>
      </c>
      <c r="Q166" s="54"/>
    </row>
    <row r="167" spans="1:17" ht="14.25" customHeight="1" x14ac:dyDescent="0.2">
      <c r="A167">
        <v>167</v>
      </c>
      <c r="B167" t="s">
        <v>762</v>
      </c>
      <c r="C167" t="s">
        <v>763</v>
      </c>
      <c r="D167">
        <v>2024</v>
      </c>
      <c r="E167" t="s">
        <v>764</v>
      </c>
      <c r="F167" t="s">
        <v>766</v>
      </c>
      <c r="G167" t="s">
        <v>767</v>
      </c>
      <c r="H167" t="s">
        <v>473</v>
      </c>
      <c r="I167" t="s">
        <v>15</v>
      </c>
      <c r="J167" t="s">
        <v>230</v>
      </c>
      <c r="K167" t="s">
        <v>765</v>
      </c>
      <c r="L167" t="s">
        <v>768</v>
      </c>
      <c r="Q167" s="54"/>
    </row>
    <row r="168" spans="1:17" ht="14.25" customHeight="1" x14ac:dyDescent="0.2">
      <c r="A168">
        <v>168</v>
      </c>
      <c r="B168" t="s">
        <v>769</v>
      </c>
      <c r="C168" t="s">
        <v>770</v>
      </c>
      <c r="D168">
        <v>2023</v>
      </c>
      <c r="E168" t="s">
        <v>771</v>
      </c>
      <c r="F168" t="s">
        <v>773</v>
      </c>
      <c r="G168" t="s">
        <v>774</v>
      </c>
      <c r="H168" t="s">
        <v>228</v>
      </c>
      <c r="I168" t="s">
        <v>15</v>
      </c>
      <c r="J168" t="s">
        <v>230</v>
      </c>
      <c r="K168" t="s">
        <v>772</v>
      </c>
      <c r="L168" t="s">
        <v>775</v>
      </c>
      <c r="Q168" s="54"/>
    </row>
    <row r="169" spans="1:17" ht="14.25" customHeight="1" x14ac:dyDescent="0.2">
      <c r="A169">
        <v>169</v>
      </c>
      <c r="B169" t="s">
        <v>776</v>
      </c>
      <c r="C169" t="s">
        <v>777</v>
      </c>
      <c r="D169">
        <v>2023</v>
      </c>
      <c r="E169" t="s">
        <v>233</v>
      </c>
      <c r="F169" t="s">
        <v>779</v>
      </c>
      <c r="G169" t="s">
        <v>780</v>
      </c>
      <c r="H169" t="s">
        <v>238</v>
      </c>
      <c r="I169" t="s">
        <v>15</v>
      </c>
      <c r="J169" t="s">
        <v>230</v>
      </c>
      <c r="K169" t="s">
        <v>778</v>
      </c>
      <c r="L169" t="s">
        <v>781</v>
      </c>
      <c r="Q169" s="54"/>
    </row>
    <row r="170" spans="1:17" ht="14.25" customHeight="1" x14ac:dyDescent="0.2">
      <c r="A170">
        <v>170</v>
      </c>
      <c r="B170" t="s">
        <v>782</v>
      </c>
      <c r="C170" t="s">
        <v>783</v>
      </c>
      <c r="D170">
        <v>2026</v>
      </c>
      <c r="E170" t="s">
        <v>784</v>
      </c>
      <c r="F170" t="s">
        <v>786</v>
      </c>
      <c r="G170" t="s">
        <v>787</v>
      </c>
      <c r="H170" t="s">
        <v>789</v>
      </c>
      <c r="I170" t="s">
        <v>15</v>
      </c>
      <c r="J170" t="s">
        <v>230</v>
      </c>
      <c r="K170" t="s">
        <v>785</v>
      </c>
      <c r="L170" t="s">
        <v>788</v>
      </c>
      <c r="Q170" s="54"/>
    </row>
    <row r="171" spans="1:17" ht="14.25" customHeight="1" x14ac:dyDescent="0.2">
      <c r="A171">
        <v>171</v>
      </c>
      <c r="B171" t="s">
        <v>790</v>
      </c>
      <c r="C171" t="s">
        <v>791</v>
      </c>
      <c r="D171">
        <v>2022</v>
      </c>
      <c r="E171" t="s">
        <v>233</v>
      </c>
      <c r="F171" t="s">
        <v>793</v>
      </c>
      <c r="G171" t="s">
        <v>794</v>
      </c>
      <c r="H171" t="s">
        <v>238</v>
      </c>
      <c r="I171" t="s">
        <v>15</v>
      </c>
      <c r="J171" t="s">
        <v>230</v>
      </c>
      <c r="K171" t="s">
        <v>792</v>
      </c>
      <c r="L171" t="s">
        <v>795</v>
      </c>
      <c r="Q171" s="54"/>
    </row>
    <row r="172" spans="1:17" ht="14.25" customHeight="1" x14ac:dyDescent="0.2">
      <c r="A172">
        <v>172</v>
      </c>
      <c r="B172" t="s">
        <v>796</v>
      </c>
      <c r="C172" t="s">
        <v>797</v>
      </c>
      <c r="D172">
        <v>2025</v>
      </c>
      <c r="E172" t="s">
        <v>798</v>
      </c>
      <c r="F172" t="s">
        <v>800</v>
      </c>
      <c r="G172" t="s">
        <v>801</v>
      </c>
      <c r="H172" t="s">
        <v>803</v>
      </c>
      <c r="I172" t="s">
        <v>15</v>
      </c>
      <c r="J172" t="s">
        <v>253</v>
      </c>
      <c r="K172" t="s">
        <v>799</v>
      </c>
      <c r="L172" t="s">
        <v>802</v>
      </c>
      <c r="Q172" s="54"/>
    </row>
    <row r="173" spans="1:17" ht="14.25" customHeight="1" x14ac:dyDescent="0.2">
      <c r="A173">
        <v>173</v>
      </c>
      <c r="B173" t="s">
        <v>804</v>
      </c>
      <c r="C173" t="s">
        <v>805</v>
      </c>
      <c r="D173">
        <v>2025</v>
      </c>
      <c r="E173" t="s">
        <v>806</v>
      </c>
      <c r="F173" t="s">
        <v>808</v>
      </c>
      <c r="G173" t="s">
        <v>809</v>
      </c>
      <c r="H173" t="s">
        <v>465</v>
      </c>
      <c r="I173" t="s">
        <v>15</v>
      </c>
      <c r="J173" t="s">
        <v>545</v>
      </c>
      <c r="K173" t="s">
        <v>807</v>
      </c>
      <c r="L173" t="s">
        <v>810</v>
      </c>
      <c r="Q173" s="54"/>
    </row>
    <row r="174" spans="1:17" ht="14.25" customHeight="1" x14ac:dyDescent="0.2">
      <c r="A174">
        <v>174</v>
      </c>
      <c r="B174" t="s">
        <v>811</v>
      </c>
      <c r="C174" t="s">
        <v>812</v>
      </c>
      <c r="D174">
        <v>2024</v>
      </c>
      <c r="E174" t="s">
        <v>460</v>
      </c>
      <c r="F174" t="s">
        <v>814</v>
      </c>
      <c r="G174" t="s">
        <v>815</v>
      </c>
      <c r="H174" t="s">
        <v>465</v>
      </c>
      <c r="I174" t="s">
        <v>15</v>
      </c>
      <c r="J174" t="s">
        <v>253</v>
      </c>
      <c r="K174" t="s">
        <v>813</v>
      </c>
      <c r="L174" t="s">
        <v>816</v>
      </c>
      <c r="Q174" s="54"/>
    </row>
    <row r="175" spans="1:17" ht="14.25" customHeight="1" x14ac:dyDescent="0.2">
      <c r="A175">
        <v>175</v>
      </c>
      <c r="B175" t="s">
        <v>817</v>
      </c>
      <c r="C175" t="s">
        <v>818</v>
      </c>
      <c r="D175">
        <v>2022</v>
      </c>
      <c r="E175" t="s">
        <v>819</v>
      </c>
      <c r="F175" t="s">
        <v>821</v>
      </c>
      <c r="G175" t="s">
        <v>822</v>
      </c>
      <c r="H175" t="s">
        <v>823</v>
      </c>
      <c r="I175" t="s">
        <v>15</v>
      </c>
      <c r="J175" t="s">
        <v>230</v>
      </c>
      <c r="K175" t="s">
        <v>820</v>
      </c>
      <c r="L175">
        <v>0</v>
      </c>
      <c r="Q175" s="54"/>
    </row>
    <row r="176" spans="1:17" ht="15.75" customHeight="1" x14ac:dyDescent="0.2">
      <c r="A176">
        <v>176</v>
      </c>
      <c r="B176" t="s">
        <v>824</v>
      </c>
      <c r="C176" t="s">
        <v>825</v>
      </c>
      <c r="D176">
        <v>2025</v>
      </c>
      <c r="E176" t="s">
        <v>269</v>
      </c>
      <c r="F176" t="s">
        <v>827</v>
      </c>
      <c r="G176" t="s">
        <v>828</v>
      </c>
      <c r="H176" t="s">
        <v>274</v>
      </c>
      <c r="I176" t="s">
        <v>15</v>
      </c>
      <c r="J176" t="s">
        <v>253</v>
      </c>
      <c r="K176" t="s">
        <v>826</v>
      </c>
      <c r="L176" t="s">
        <v>829</v>
      </c>
      <c r="Q176" s="54"/>
    </row>
    <row r="177" spans="1:17" ht="15.75" customHeight="1" x14ac:dyDescent="0.2">
      <c r="A177">
        <v>177</v>
      </c>
      <c r="B177" t="s">
        <v>830</v>
      </c>
      <c r="C177" t="s">
        <v>831</v>
      </c>
      <c r="D177">
        <v>2023</v>
      </c>
      <c r="E177" t="s">
        <v>832</v>
      </c>
      <c r="F177" t="s">
        <v>834</v>
      </c>
      <c r="G177" t="s">
        <v>835</v>
      </c>
      <c r="H177" t="s">
        <v>473</v>
      </c>
      <c r="I177" t="s">
        <v>15</v>
      </c>
      <c r="J177" t="s">
        <v>230</v>
      </c>
      <c r="K177" t="s">
        <v>833</v>
      </c>
      <c r="L177" t="s">
        <v>836</v>
      </c>
      <c r="Q177" s="54"/>
    </row>
    <row r="178" spans="1:17" ht="15.75" customHeight="1" x14ac:dyDescent="0.2">
      <c r="A178">
        <v>178</v>
      </c>
      <c r="B178" t="s">
        <v>837</v>
      </c>
      <c r="C178" t="s">
        <v>838</v>
      </c>
      <c r="D178">
        <v>2024</v>
      </c>
      <c r="E178" t="s">
        <v>839</v>
      </c>
      <c r="F178" t="s">
        <v>841</v>
      </c>
      <c r="G178" t="s">
        <v>842</v>
      </c>
      <c r="H178" t="s">
        <v>473</v>
      </c>
      <c r="I178" t="s">
        <v>15</v>
      </c>
      <c r="J178" t="s">
        <v>230</v>
      </c>
      <c r="K178" t="s">
        <v>840</v>
      </c>
      <c r="L178">
        <v>0</v>
      </c>
      <c r="Q178" s="54"/>
    </row>
    <row r="179" spans="1:17" ht="15.75" customHeight="1" x14ac:dyDescent="0.2">
      <c r="A179">
        <v>179</v>
      </c>
      <c r="B179" t="s">
        <v>843</v>
      </c>
      <c r="C179" t="s">
        <v>844</v>
      </c>
      <c r="D179">
        <v>2022</v>
      </c>
      <c r="E179" t="s">
        <v>233</v>
      </c>
      <c r="F179" t="s">
        <v>846</v>
      </c>
      <c r="G179" t="s">
        <v>847</v>
      </c>
      <c r="H179" t="s">
        <v>238</v>
      </c>
      <c r="I179" t="s">
        <v>15</v>
      </c>
      <c r="J179" t="s">
        <v>230</v>
      </c>
      <c r="K179" t="s">
        <v>845</v>
      </c>
      <c r="L179" t="s">
        <v>848</v>
      </c>
      <c r="Q179" s="54"/>
    </row>
    <row r="180" spans="1:17" ht="15.75" customHeight="1" x14ac:dyDescent="0.2">
      <c r="A180">
        <v>180</v>
      </c>
      <c r="B180" t="s">
        <v>849</v>
      </c>
      <c r="C180" t="s">
        <v>850</v>
      </c>
      <c r="D180">
        <v>2025</v>
      </c>
      <c r="E180" t="s">
        <v>371</v>
      </c>
      <c r="F180" t="s">
        <v>852</v>
      </c>
      <c r="G180" t="s">
        <v>853</v>
      </c>
      <c r="H180" t="s">
        <v>376</v>
      </c>
      <c r="I180" t="s">
        <v>15</v>
      </c>
      <c r="J180" t="s">
        <v>253</v>
      </c>
      <c r="K180" t="s">
        <v>851</v>
      </c>
      <c r="L180" t="s">
        <v>854</v>
      </c>
      <c r="Q180" s="54"/>
    </row>
    <row r="181" spans="1:17" ht="15.75" customHeight="1" x14ac:dyDescent="0.2">
      <c r="A181">
        <v>181</v>
      </c>
      <c r="B181" t="s">
        <v>855</v>
      </c>
      <c r="C181" t="s">
        <v>856</v>
      </c>
      <c r="D181">
        <v>2026</v>
      </c>
      <c r="E181" t="s">
        <v>233</v>
      </c>
      <c r="F181" t="s">
        <v>858</v>
      </c>
      <c r="G181" t="s">
        <v>859</v>
      </c>
      <c r="H181" t="s">
        <v>238</v>
      </c>
      <c r="I181" t="s">
        <v>15</v>
      </c>
      <c r="J181" t="s">
        <v>230</v>
      </c>
      <c r="K181" t="s">
        <v>857</v>
      </c>
      <c r="L181" t="s">
        <v>860</v>
      </c>
      <c r="Q181" s="54"/>
    </row>
    <row r="182" spans="1:17" ht="15.75" customHeight="1" x14ac:dyDescent="0.2">
      <c r="A182">
        <v>182</v>
      </c>
      <c r="B182" t="s">
        <v>861</v>
      </c>
      <c r="C182" t="s">
        <v>862</v>
      </c>
      <c r="D182">
        <v>2024</v>
      </c>
      <c r="E182" t="s">
        <v>863</v>
      </c>
      <c r="F182" t="s">
        <v>864</v>
      </c>
      <c r="G182" t="s">
        <v>865</v>
      </c>
      <c r="H182" t="s">
        <v>866</v>
      </c>
      <c r="I182" t="s">
        <v>15</v>
      </c>
      <c r="J182" t="s">
        <v>230</v>
      </c>
      <c r="K182">
        <v>0</v>
      </c>
      <c r="L182">
        <v>0</v>
      </c>
      <c r="Q182" s="54"/>
    </row>
    <row r="183" spans="1:17" ht="15.75" customHeight="1" x14ac:dyDescent="0.2">
      <c r="A183">
        <v>183</v>
      </c>
      <c r="B183" t="s">
        <v>867</v>
      </c>
      <c r="C183" t="s">
        <v>868</v>
      </c>
      <c r="D183">
        <v>2024</v>
      </c>
      <c r="E183" t="s">
        <v>233</v>
      </c>
      <c r="F183" t="s">
        <v>870</v>
      </c>
      <c r="G183" t="s">
        <v>871</v>
      </c>
      <c r="H183" t="s">
        <v>238</v>
      </c>
      <c r="I183" t="s">
        <v>15</v>
      </c>
      <c r="J183" t="s">
        <v>230</v>
      </c>
      <c r="K183" t="s">
        <v>869</v>
      </c>
      <c r="L183" t="s">
        <v>872</v>
      </c>
      <c r="Q183" s="54"/>
    </row>
    <row r="184" spans="1:17" ht="15.75" customHeight="1" x14ac:dyDescent="0.2">
      <c r="A184">
        <v>184</v>
      </c>
      <c r="B184" t="s">
        <v>873</v>
      </c>
      <c r="C184" t="s">
        <v>874</v>
      </c>
      <c r="D184">
        <v>2024</v>
      </c>
      <c r="E184" t="s">
        <v>233</v>
      </c>
      <c r="F184" t="s">
        <v>876</v>
      </c>
      <c r="G184" t="s">
        <v>877</v>
      </c>
      <c r="H184" t="s">
        <v>238</v>
      </c>
      <c r="I184" t="s">
        <v>15</v>
      </c>
      <c r="J184" t="s">
        <v>230</v>
      </c>
      <c r="K184" t="s">
        <v>875</v>
      </c>
      <c r="L184" t="s">
        <v>878</v>
      </c>
      <c r="Q184" s="54"/>
    </row>
    <row r="185" spans="1:17" ht="15.75" customHeight="1" x14ac:dyDescent="0.2">
      <c r="A185">
        <v>185</v>
      </c>
      <c r="B185" t="s">
        <v>879</v>
      </c>
      <c r="C185" t="s">
        <v>880</v>
      </c>
      <c r="D185">
        <v>2025</v>
      </c>
      <c r="E185" t="s">
        <v>881</v>
      </c>
      <c r="F185" t="s">
        <v>883</v>
      </c>
      <c r="G185" t="s">
        <v>884</v>
      </c>
      <c r="H185" t="s">
        <v>473</v>
      </c>
      <c r="I185" t="s">
        <v>15</v>
      </c>
      <c r="J185" t="s">
        <v>230</v>
      </c>
      <c r="K185" t="s">
        <v>882</v>
      </c>
      <c r="L185" t="s">
        <v>885</v>
      </c>
      <c r="Q185" s="54"/>
    </row>
    <row r="186" spans="1:17" ht="15.75" customHeight="1" x14ac:dyDescent="0.2">
      <c r="A186">
        <v>186</v>
      </c>
      <c r="B186" t="s">
        <v>886</v>
      </c>
      <c r="C186" t="s">
        <v>887</v>
      </c>
      <c r="D186">
        <v>2023</v>
      </c>
      <c r="E186" t="s">
        <v>607</v>
      </c>
      <c r="F186" t="s">
        <v>888</v>
      </c>
      <c r="G186" t="s">
        <v>889</v>
      </c>
      <c r="H186" t="s">
        <v>610</v>
      </c>
      <c r="I186" t="s">
        <v>15</v>
      </c>
      <c r="J186" t="s">
        <v>230</v>
      </c>
      <c r="K186">
        <v>0</v>
      </c>
      <c r="L186" t="s">
        <v>890</v>
      </c>
      <c r="Q186" s="54"/>
    </row>
    <row r="187" spans="1:17" ht="15.75" customHeight="1" x14ac:dyDescent="0.2">
      <c r="A187">
        <v>187</v>
      </c>
      <c r="B187" t="s">
        <v>891</v>
      </c>
      <c r="C187" t="s">
        <v>892</v>
      </c>
      <c r="D187">
        <v>2022</v>
      </c>
      <c r="E187" t="s">
        <v>893</v>
      </c>
      <c r="F187" t="s">
        <v>894</v>
      </c>
      <c r="G187">
        <v>0</v>
      </c>
      <c r="H187" t="s">
        <v>895</v>
      </c>
      <c r="I187" t="s">
        <v>15</v>
      </c>
      <c r="J187" t="s">
        <v>230</v>
      </c>
      <c r="K187">
        <v>0</v>
      </c>
      <c r="L187">
        <v>0</v>
      </c>
      <c r="Q187" s="54"/>
    </row>
    <row r="188" spans="1:17" ht="15.75" customHeight="1" x14ac:dyDescent="0.2">
      <c r="A188">
        <v>188</v>
      </c>
      <c r="B188" t="s">
        <v>896</v>
      </c>
      <c r="C188" t="s">
        <v>897</v>
      </c>
      <c r="D188">
        <v>2025</v>
      </c>
      <c r="E188" t="s">
        <v>898</v>
      </c>
      <c r="F188" t="s">
        <v>900</v>
      </c>
      <c r="G188" t="s">
        <v>901</v>
      </c>
      <c r="H188" t="s">
        <v>473</v>
      </c>
      <c r="I188" t="s">
        <v>15</v>
      </c>
      <c r="J188" t="s">
        <v>230</v>
      </c>
      <c r="K188" t="s">
        <v>899</v>
      </c>
      <c r="L188">
        <v>0</v>
      </c>
      <c r="Q188" s="54"/>
    </row>
    <row r="189" spans="1:17" ht="15.75" customHeight="1" x14ac:dyDescent="0.2">
      <c r="A189">
        <v>189</v>
      </c>
      <c r="B189" t="s">
        <v>902</v>
      </c>
      <c r="C189" t="s">
        <v>903</v>
      </c>
      <c r="D189">
        <v>2025</v>
      </c>
      <c r="E189" t="s">
        <v>904</v>
      </c>
      <c r="F189" t="s">
        <v>905</v>
      </c>
      <c r="G189" t="s">
        <v>906</v>
      </c>
      <c r="H189" t="s">
        <v>908</v>
      </c>
      <c r="I189" t="s">
        <v>15</v>
      </c>
      <c r="J189" t="s">
        <v>545</v>
      </c>
      <c r="K189">
        <v>0</v>
      </c>
      <c r="L189" t="s">
        <v>907</v>
      </c>
      <c r="Q189" s="54"/>
    </row>
    <row r="190" spans="1:17" ht="15.75" customHeight="1" x14ac:dyDescent="0.2">
      <c r="A190">
        <v>190</v>
      </c>
      <c r="B190" t="s">
        <v>909</v>
      </c>
      <c r="C190" t="s">
        <v>910</v>
      </c>
      <c r="D190">
        <v>2022</v>
      </c>
      <c r="E190" t="s">
        <v>607</v>
      </c>
      <c r="F190" t="s">
        <v>911</v>
      </c>
      <c r="G190" t="s">
        <v>912</v>
      </c>
      <c r="H190" t="s">
        <v>610</v>
      </c>
      <c r="I190" t="s">
        <v>15</v>
      </c>
      <c r="J190" t="s">
        <v>230</v>
      </c>
      <c r="K190">
        <v>0</v>
      </c>
      <c r="L190">
        <v>0</v>
      </c>
      <c r="Q190" s="54"/>
    </row>
    <row r="191" spans="1:17" ht="15.75" customHeight="1" x14ac:dyDescent="0.2">
      <c r="A191">
        <v>191</v>
      </c>
      <c r="B191" t="s">
        <v>605</v>
      </c>
      <c r="C191" t="s">
        <v>913</v>
      </c>
      <c r="D191">
        <v>2025</v>
      </c>
      <c r="E191" t="s">
        <v>914</v>
      </c>
      <c r="F191" t="s">
        <v>916</v>
      </c>
      <c r="G191" t="s">
        <v>917</v>
      </c>
      <c r="H191" t="s">
        <v>228</v>
      </c>
      <c r="I191" t="s">
        <v>15</v>
      </c>
      <c r="J191" t="s">
        <v>230</v>
      </c>
      <c r="K191" t="s">
        <v>915</v>
      </c>
      <c r="L191" t="s">
        <v>918</v>
      </c>
      <c r="Q191" s="54"/>
    </row>
    <row r="192" spans="1:17" ht="15.75" customHeight="1" x14ac:dyDescent="0.2">
      <c r="A192">
        <v>192</v>
      </c>
      <c r="B192" t="s">
        <v>919</v>
      </c>
      <c r="C192" t="s">
        <v>920</v>
      </c>
      <c r="D192">
        <v>2025</v>
      </c>
      <c r="E192" t="s">
        <v>233</v>
      </c>
      <c r="F192" t="s">
        <v>922</v>
      </c>
      <c r="G192" t="s">
        <v>923</v>
      </c>
      <c r="H192" t="s">
        <v>238</v>
      </c>
      <c r="I192" t="s">
        <v>15</v>
      </c>
      <c r="J192" t="s">
        <v>230</v>
      </c>
      <c r="K192" t="s">
        <v>921</v>
      </c>
      <c r="L192" t="s">
        <v>924</v>
      </c>
      <c r="Q192" s="54"/>
    </row>
    <row r="193" spans="1:17" ht="15.75" customHeight="1" x14ac:dyDescent="0.2">
      <c r="A193">
        <v>193</v>
      </c>
      <c r="B193" t="s">
        <v>925</v>
      </c>
      <c r="C193" t="s">
        <v>926</v>
      </c>
      <c r="D193">
        <v>2023</v>
      </c>
      <c r="E193" t="s">
        <v>927</v>
      </c>
      <c r="F193" t="s">
        <v>929</v>
      </c>
      <c r="G193" t="s">
        <v>930</v>
      </c>
      <c r="H193">
        <v>0</v>
      </c>
      <c r="I193" t="s">
        <v>15</v>
      </c>
      <c r="J193" t="s">
        <v>253</v>
      </c>
      <c r="K193" t="s">
        <v>928</v>
      </c>
      <c r="L193">
        <v>0</v>
      </c>
      <c r="Q193" s="54"/>
    </row>
    <row r="194" spans="1:17" ht="15.75" customHeight="1" x14ac:dyDescent="0.2">
      <c r="A194">
        <v>194</v>
      </c>
      <c r="B194" t="s">
        <v>931</v>
      </c>
      <c r="C194" t="s">
        <v>932</v>
      </c>
      <c r="D194">
        <v>2022</v>
      </c>
      <c r="E194" t="s">
        <v>233</v>
      </c>
      <c r="F194" t="s">
        <v>934</v>
      </c>
      <c r="G194" t="s">
        <v>935</v>
      </c>
      <c r="H194" t="s">
        <v>238</v>
      </c>
      <c r="I194" t="s">
        <v>15</v>
      </c>
      <c r="J194" t="s">
        <v>230</v>
      </c>
      <c r="K194" t="s">
        <v>933</v>
      </c>
      <c r="L194" t="s">
        <v>936</v>
      </c>
      <c r="Q194" s="54"/>
    </row>
    <row r="195" spans="1:17" ht="15.75" customHeight="1" x14ac:dyDescent="0.2">
      <c r="A195">
        <v>195</v>
      </c>
      <c r="B195" t="s">
        <v>937</v>
      </c>
      <c r="C195" t="s">
        <v>938</v>
      </c>
      <c r="D195">
        <v>2023</v>
      </c>
      <c r="E195" t="s">
        <v>939</v>
      </c>
      <c r="F195" t="s">
        <v>941</v>
      </c>
      <c r="G195">
        <v>0</v>
      </c>
      <c r="H195" t="s">
        <v>457</v>
      </c>
      <c r="I195" t="s">
        <v>15</v>
      </c>
      <c r="J195" t="s">
        <v>253</v>
      </c>
      <c r="K195" t="s">
        <v>940</v>
      </c>
      <c r="L195" t="s">
        <v>942</v>
      </c>
      <c r="Q195" s="54"/>
    </row>
    <row r="196" spans="1:17" ht="15.75" customHeight="1" x14ac:dyDescent="0.2">
      <c r="A196">
        <v>196</v>
      </c>
      <c r="B196" t="s">
        <v>943</v>
      </c>
      <c r="C196" t="s">
        <v>944</v>
      </c>
      <c r="D196">
        <v>2023</v>
      </c>
      <c r="E196" t="s">
        <v>233</v>
      </c>
      <c r="F196" t="s">
        <v>946</v>
      </c>
      <c r="G196" t="s">
        <v>947</v>
      </c>
      <c r="H196" t="s">
        <v>238</v>
      </c>
      <c r="I196" t="s">
        <v>15</v>
      </c>
      <c r="J196" t="s">
        <v>230</v>
      </c>
      <c r="K196" t="s">
        <v>945</v>
      </c>
      <c r="L196" t="s">
        <v>948</v>
      </c>
      <c r="Q196" s="54"/>
    </row>
    <row r="197" spans="1:17" ht="15.75" customHeight="1" x14ac:dyDescent="0.2">
      <c r="A197">
        <v>197</v>
      </c>
      <c r="B197" t="s">
        <v>949</v>
      </c>
      <c r="C197" t="s">
        <v>950</v>
      </c>
      <c r="D197">
        <v>2024</v>
      </c>
      <c r="E197" t="s">
        <v>233</v>
      </c>
      <c r="F197" t="s">
        <v>952</v>
      </c>
      <c r="G197" t="s">
        <v>953</v>
      </c>
      <c r="H197" t="s">
        <v>238</v>
      </c>
      <c r="I197" t="s">
        <v>15</v>
      </c>
      <c r="J197" t="s">
        <v>230</v>
      </c>
      <c r="K197" t="s">
        <v>951</v>
      </c>
      <c r="L197" t="s">
        <v>954</v>
      </c>
      <c r="Q197" s="54"/>
    </row>
    <row r="198" spans="1:17" ht="15.75" customHeight="1" x14ac:dyDescent="0.2">
      <c r="A198">
        <v>198</v>
      </c>
      <c r="B198" t="s">
        <v>955</v>
      </c>
      <c r="C198" t="s">
        <v>956</v>
      </c>
      <c r="D198">
        <v>2024</v>
      </c>
      <c r="E198" t="s">
        <v>957</v>
      </c>
      <c r="F198" t="s">
        <v>959</v>
      </c>
      <c r="G198" t="s">
        <v>960</v>
      </c>
      <c r="H198" t="s">
        <v>473</v>
      </c>
      <c r="I198" t="s">
        <v>961</v>
      </c>
      <c r="J198" t="s">
        <v>230</v>
      </c>
      <c r="K198" t="s">
        <v>958</v>
      </c>
      <c r="L198">
        <v>0</v>
      </c>
      <c r="Q198" s="54"/>
    </row>
    <row r="199" spans="1:17" ht="15.75" customHeight="1" x14ac:dyDescent="0.2">
      <c r="A199">
        <v>199</v>
      </c>
      <c r="B199" t="s">
        <v>962</v>
      </c>
      <c r="C199" t="s">
        <v>963</v>
      </c>
      <c r="D199">
        <v>2025</v>
      </c>
      <c r="E199" t="s">
        <v>476</v>
      </c>
      <c r="F199" t="s">
        <v>965</v>
      </c>
      <c r="G199" t="s">
        <v>966</v>
      </c>
      <c r="H199" t="s">
        <v>228</v>
      </c>
      <c r="I199" t="s">
        <v>15</v>
      </c>
      <c r="J199" t="s">
        <v>230</v>
      </c>
      <c r="K199" t="s">
        <v>964</v>
      </c>
      <c r="L199" t="s">
        <v>967</v>
      </c>
      <c r="Q199" s="54"/>
    </row>
    <row r="200" spans="1:17" ht="15.75" customHeight="1" x14ac:dyDescent="0.2">
      <c r="A200">
        <v>200</v>
      </c>
      <c r="B200" t="s">
        <v>968</v>
      </c>
      <c r="C200" t="s">
        <v>969</v>
      </c>
      <c r="D200">
        <v>2026</v>
      </c>
      <c r="E200" t="s">
        <v>970</v>
      </c>
      <c r="F200" t="s">
        <v>972</v>
      </c>
      <c r="G200" t="s">
        <v>973</v>
      </c>
      <c r="H200" t="s">
        <v>228</v>
      </c>
      <c r="I200" t="s">
        <v>15</v>
      </c>
      <c r="J200" t="s">
        <v>230</v>
      </c>
      <c r="K200" t="s">
        <v>971</v>
      </c>
      <c r="L200" t="s">
        <v>974</v>
      </c>
      <c r="Q200" s="54"/>
    </row>
    <row r="201" spans="1:17" ht="15.75" customHeight="1" x14ac:dyDescent="0.2">
      <c r="A201">
        <v>201</v>
      </c>
      <c r="B201" t="s">
        <v>975</v>
      </c>
      <c r="C201" t="s">
        <v>976</v>
      </c>
      <c r="D201">
        <v>2022</v>
      </c>
      <c r="E201" t="s">
        <v>977</v>
      </c>
      <c r="F201" t="s">
        <v>979</v>
      </c>
      <c r="G201" t="s">
        <v>980</v>
      </c>
      <c r="H201" t="s">
        <v>473</v>
      </c>
      <c r="I201" t="s">
        <v>15</v>
      </c>
      <c r="J201" t="s">
        <v>253</v>
      </c>
      <c r="K201" t="s">
        <v>978</v>
      </c>
      <c r="L201" t="s">
        <v>981</v>
      </c>
      <c r="Q201" s="54"/>
    </row>
    <row r="202" spans="1:17" ht="15.75" customHeight="1" x14ac:dyDescent="0.2">
      <c r="A202">
        <v>202</v>
      </c>
      <c r="B202" t="s">
        <v>487</v>
      </c>
      <c r="C202" t="s">
        <v>982</v>
      </c>
      <c r="D202">
        <v>2023</v>
      </c>
      <c r="E202" t="s">
        <v>983</v>
      </c>
      <c r="F202" t="s">
        <v>985</v>
      </c>
      <c r="G202" t="s">
        <v>986</v>
      </c>
      <c r="H202" t="s">
        <v>987</v>
      </c>
      <c r="I202" t="s">
        <v>15</v>
      </c>
      <c r="J202" t="s">
        <v>230</v>
      </c>
      <c r="K202" t="s">
        <v>984</v>
      </c>
      <c r="L202">
        <v>0</v>
      </c>
      <c r="Q202" s="54"/>
    </row>
    <row r="203" spans="1:17" ht="15.75" customHeight="1" x14ac:dyDescent="0.2">
      <c r="A203">
        <v>203</v>
      </c>
      <c r="B203" t="s">
        <v>988</v>
      </c>
      <c r="C203" t="s">
        <v>989</v>
      </c>
      <c r="D203">
        <v>2024</v>
      </c>
      <c r="E203" t="s">
        <v>523</v>
      </c>
      <c r="F203" t="s">
        <v>991</v>
      </c>
      <c r="G203" t="s">
        <v>992</v>
      </c>
      <c r="H203" t="s">
        <v>228</v>
      </c>
      <c r="I203" t="s">
        <v>15</v>
      </c>
      <c r="J203" t="s">
        <v>230</v>
      </c>
      <c r="K203" t="s">
        <v>990</v>
      </c>
      <c r="L203" t="s">
        <v>993</v>
      </c>
      <c r="Q203" s="54"/>
    </row>
    <row r="204" spans="1:17" ht="15.75" customHeight="1" x14ac:dyDescent="0.2">
      <c r="A204">
        <v>204</v>
      </c>
      <c r="B204" t="s">
        <v>995</v>
      </c>
      <c r="C204" t="s">
        <v>996</v>
      </c>
      <c r="D204">
        <v>2025</v>
      </c>
      <c r="E204" t="s">
        <v>233</v>
      </c>
      <c r="F204" t="s">
        <v>998</v>
      </c>
      <c r="G204" t="s">
        <v>999</v>
      </c>
      <c r="H204" t="s">
        <v>238</v>
      </c>
      <c r="I204" t="s">
        <v>15</v>
      </c>
      <c r="J204" t="s">
        <v>230</v>
      </c>
      <c r="K204" t="s">
        <v>997</v>
      </c>
      <c r="L204" t="s">
        <v>1000</v>
      </c>
      <c r="Q204" s="54"/>
    </row>
    <row r="205" spans="1:17" ht="15.75" customHeight="1" x14ac:dyDescent="0.2">
      <c r="A205">
        <v>205</v>
      </c>
      <c r="B205" t="s">
        <v>1001</v>
      </c>
      <c r="C205" t="s">
        <v>1002</v>
      </c>
      <c r="D205">
        <v>2023</v>
      </c>
      <c r="E205" t="s">
        <v>1003</v>
      </c>
      <c r="F205" t="s">
        <v>1005</v>
      </c>
      <c r="G205" t="s">
        <v>1006</v>
      </c>
      <c r="H205" t="s">
        <v>350</v>
      </c>
      <c r="I205" t="s">
        <v>15</v>
      </c>
      <c r="J205" t="s">
        <v>230</v>
      </c>
      <c r="K205" t="s">
        <v>1004</v>
      </c>
      <c r="L205" t="s">
        <v>1007</v>
      </c>
      <c r="Q205" s="54"/>
    </row>
    <row r="206" spans="1:17" ht="15.75" customHeight="1" x14ac:dyDescent="0.2">
      <c r="A206">
        <v>206</v>
      </c>
      <c r="B206" t="s">
        <v>1008</v>
      </c>
      <c r="C206" t="s">
        <v>1009</v>
      </c>
      <c r="D206">
        <v>2023</v>
      </c>
      <c r="E206" t="s">
        <v>233</v>
      </c>
      <c r="F206" t="s">
        <v>1011</v>
      </c>
      <c r="G206" t="s">
        <v>1012</v>
      </c>
      <c r="H206" t="s">
        <v>238</v>
      </c>
      <c r="I206" t="s">
        <v>15</v>
      </c>
      <c r="J206" t="s">
        <v>230</v>
      </c>
      <c r="K206" t="s">
        <v>1010</v>
      </c>
      <c r="L206" t="s">
        <v>1013</v>
      </c>
      <c r="Q206" s="54"/>
    </row>
    <row r="207" spans="1:17" ht="15.75" customHeight="1" x14ac:dyDescent="0.2">
      <c r="A207">
        <v>207</v>
      </c>
      <c r="B207" t="s">
        <v>1014</v>
      </c>
      <c r="C207" t="s">
        <v>1015</v>
      </c>
      <c r="D207">
        <v>2024</v>
      </c>
      <c r="E207" t="s">
        <v>233</v>
      </c>
      <c r="F207" t="s">
        <v>1017</v>
      </c>
      <c r="G207" t="s">
        <v>1018</v>
      </c>
      <c r="H207" t="s">
        <v>238</v>
      </c>
      <c r="I207" t="s">
        <v>15</v>
      </c>
      <c r="J207" t="s">
        <v>230</v>
      </c>
      <c r="K207" t="s">
        <v>1016</v>
      </c>
      <c r="L207" t="s">
        <v>1019</v>
      </c>
      <c r="Q207" s="54"/>
    </row>
    <row r="208" spans="1:17" ht="15.75" customHeight="1" x14ac:dyDescent="0.2">
      <c r="A208">
        <v>208</v>
      </c>
      <c r="B208" t="s">
        <v>1020</v>
      </c>
      <c r="C208" t="s">
        <v>1021</v>
      </c>
      <c r="D208">
        <v>2023</v>
      </c>
      <c r="E208" t="s">
        <v>1022</v>
      </c>
      <c r="F208" t="s">
        <v>1023</v>
      </c>
      <c r="G208">
        <v>0</v>
      </c>
      <c r="H208" t="s">
        <v>895</v>
      </c>
      <c r="I208" t="s">
        <v>15</v>
      </c>
      <c r="J208" t="s">
        <v>230</v>
      </c>
      <c r="K208">
        <v>0</v>
      </c>
      <c r="L208">
        <v>0</v>
      </c>
      <c r="Q208" s="54"/>
    </row>
    <row r="209" spans="1:17" ht="15.75" customHeight="1" x14ac:dyDescent="0.2">
      <c r="A209">
        <v>209</v>
      </c>
      <c r="B209" t="s">
        <v>1024</v>
      </c>
      <c r="C209" t="s">
        <v>1025</v>
      </c>
      <c r="D209">
        <v>2025</v>
      </c>
      <c r="E209" t="s">
        <v>233</v>
      </c>
      <c r="F209" t="s">
        <v>1027</v>
      </c>
      <c r="G209" t="s">
        <v>1028</v>
      </c>
      <c r="H209" t="s">
        <v>238</v>
      </c>
      <c r="I209" t="s">
        <v>15</v>
      </c>
      <c r="J209" t="s">
        <v>230</v>
      </c>
      <c r="K209" t="s">
        <v>1026</v>
      </c>
      <c r="L209" t="s">
        <v>1029</v>
      </c>
      <c r="Q209" s="54"/>
    </row>
    <row r="210" spans="1:17" ht="15.75" customHeight="1" x14ac:dyDescent="0.2">
      <c r="A210">
        <v>210</v>
      </c>
      <c r="B210" t="s">
        <v>1030</v>
      </c>
      <c r="C210" t="s">
        <v>1031</v>
      </c>
      <c r="D210">
        <v>2023</v>
      </c>
      <c r="E210" t="s">
        <v>345</v>
      </c>
      <c r="F210" t="s">
        <v>1033</v>
      </c>
      <c r="G210" t="s">
        <v>1034</v>
      </c>
      <c r="H210" t="s">
        <v>350</v>
      </c>
      <c r="I210" t="s">
        <v>15</v>
      </c>
      <c r="J210" t="s">
        <v>253</v>
      </c>
      <c r="K210" t="s">
        <v>1032</v>
      </c>
      <c r="L210" t="s">
        <v>1035</v>
      </c>
      <c r="Q210" s="54"/>
    </row>
    <row r="211" spans="1:17" ht="15.75" customHeight="1" x14ac:dyDescent="0.2">
      <c r="A211">
        <v>211</v>
      </c>
      <c r="B211" t="s">
        <v>1036</v>
      </c>
      <c r="C211" t="s">
        <v>1037</v>
      </c>
      <c r="D211">
        <v>2025</v>
      </c>
      <c r="E211" t="s">
        <v>233</v>
      </c>
      <c r="F211" t="s">
        <v>1039</v>
      </c>
      <c r="G211" t="s">
        <v>1040</v>
      </c>
      <c r="H211" t="s">
        <v>238</v>
      </c>
      <c r="I211" t="s">
        <v>15</v>
      </c>
      <c r="J211" t="s">
        <v>230</v>
      </c>
      <c r="K211" t="s">
        <v>1038</v>
      </c>
      <c r="L211" t="s">
        <v>1041</v>
      </c>
      <c r="Q211" s="54"/>
    </row>
    <row r="212" spans="1:17" ht="15.75" customHeight="1" x14ac:dyDescent="0.2">
      <c r="A212">
        <v>212</v>
      </c>
      <c r="B212" t="s">
        <v>1042</v>
      </c>
      <c r="C212" t="s">
        <v>1043</v>
      </c>
      <c r="D212">
        <v>2026</v>
      </c>
      <c r="E212" t="s">
        <v>548</v>
      </c>
      <c r="F212" t="s">
        <v>1045</v>
      </c>
      <c r="G212" t="s">
        <v>1046</v>
      </c>
      <c r="H212" t="s">
        <v>228</v>
      </c>
      <c r="I212" t="s">
        <v>15</v>
      </c>
      <c r="J212" t="s">
        <v>230</v>
      </c>
      <c r="K212" t="s">
        <v>1044</v>
      </c>
      <c r="L212" t="s">
        <v>1047</v>
      </c>
      <c r="Q212" s="54"/>
    </row>
    <row r="213" spans="1:17" ht="15.75" customHeight="1" x14ac:dyDescent="0.2">
      <c r="A213">
        <v>213</v>
      </c>
      <c r="B213" t="s">
        <v>1048</v>
      </c>
      <c r="C213" t="s">
        <v>1049</v>
      </c>
      <c r="D213">
        <v>2024</v>
      </c>
      <c r="E213" t="s">
        <v>233</v>
      </c>
      <c r="F213" t="s">
        <v>1051</v>
      </c>
      <c r="G213" t="s">
        <v>1052</v>
      </c>
      <c r="H213" t="s">
        <v>238</v>
      </c>
      <c r="I213" t="s">
        <v>15</v>
      </c>
      <c r="J213" t="s">
        <v>230</v>
      </c>
      <c r="K213" t="s">
        <v>1050</v>
      </c>
      <c r="L213" t="s">
        <v>1053</v>
      </c>
      <c r="Q213" s="54"/>
    </row>
    <row r="214" spans="1:17" ht="15.75" customHeight="1" x14ac:dyDescent="0.2">
      <c r="A214">
        <v>214</v>
      </c>
      <c r="B214" t="s">
        <v>1054</v>
      </c>
      <c r="C214" t="s">
        <v>1055</v>
      </c>
      <c r="D214">
        <v>2023</v>
      </c>
      <c r="E214" t="s">
        <v>233</v>
      </c>
      <c r="F214" t="s">
        <v>1057</v>
      </c>
      <c r="G214" t="s">
        <v>1058</v>
      </c>
      <c r="H214" t="s">
        <v>238</v>
      </c>
      <c r="I214" t="s">
        <v>15</v>
      </c>
      <c r="J214" t="s">
        <v>230</v>
      </c>
      <c r="K214" t="s">
        <v>1056</v>
      </c>
      <c r="L214" t="s">
        <v>1059</v>
      </c>
      <c r="Q214" s="54"/>
    </row>
    <row r="215" spans="1:17" ht="15.75" customHeight="1" x14ac:dyDescent="0.2">
      <c r="A215">
        <v>215</v>
      </c>
      <c r="B215" t="s">
        <v>1060</v>
      </c>
      <c r="C215" t="s">
        <v>1061</v>
      </c>
      <c r="D215">
        <v>2025</v>
      </c>
      <c r="E215" t="s">
        <v>1062</v>
      </c>
      <c r="F215" t="s">
        <v>1064</v>
      </c>
      <c r="G215" t="s">
        <v>1065</v>
      </c>
      <c r="H215" t="s">
        <v>691</v>
      </c>
      <c r="I215" t="s">
        <v>15</v>
      </c>
      <c r="J215" t="s">
        <v>253</v>
      </c>
      <c r="K215" t="s">
        <v>1063</v>
      </c>
      <c r="L215" t="s">
        <v>1066</v>
      </c>
      <c r="Q215" s="54"/>
    </row>
    <row r="216" spans="1:17" ht="15.75" customHeight="1" x14ac:dyDescent="0.2">
      <c r="A216">
        <v>216</v>
      </c>
      <c r="B216" t="s">
        <v>1067</v>
      </c>
      <c r="C216" t="s">
        <v>1068</v>
      </c>
      <c r="D216">
        <v>2023</v>
      </c>
      <c r="E216" t="s">
        <v>233</v>
      </c>
      <c r="F216" t="s">
        <v>1070</v>
      </c>
      <c r="G216" t="s">
        <v>1071</v>
      </c>
      <c r="H216" t="s">
        <v>238</v>
      </c>
      <c r="I216" t="s">
        <v>15</v>
      </c>
      <c r="J216" t="s">
        <v>230</v>
      </c>
      <c r="K216" t="s">
        <v>1069</v>
      </c>
      <c r="L216" t="s">
        <v>1072</v>
      </c>
      <c r="Q216" s="54"/>
    </row>
    <row r="217" spans="1:17" ht="15.75" customHeight="1" x14ac:dyDescent="0.2">
      <c r="A217">
        <v>217</v>
      </c>
      <c r="B217" t="s">
        <v>1073</v>
      </c>
      <c r="C217" t="s">
        <v>1074</v>
      </c>
      <c r="D217">
        <v>2024</v>
      </c>
      <c r="E217" t="s">
        <v>233</v>
      </c>
      <c r="F217" t="s">
        <v>1076</v>
      </c>
      <c r="G217" t="s">
        <v>1077</v>
      </c>
      <c r="H217" t="s">
        <v>238</v>
      </c>
      <c r="I217" t="s">
        <v>15</v>
      </c>
      <c r="J217" t="s">
        <v>230</v>
      </c>
      <c r="K217" t="s">
        <v>1075</v>
      </c>
      <c r="L217" t="s">
        <v>1078</v>
      </c>
      <c r="Q217" s="54"/>
    </row>
    <row r="218" spans="1:17" ht="15.75" customHeight="1" x14ac:dyDescent="0.2">
      <c r="A218">
        <v>218</v>
      </c>
      <c r="B218" t="s">
        <v>1079</v>
      </c>
      <c r="C218" t="s">
        <v>1080</v>
      </c>
      <c r="D218">
        <v>2023</v>
      </c>
      <c r="E218" t="s">
        <v>1081</v>
      </c>
      <c r="F218" t="s">
        <v>1083</v>
      </c>
      <c r="G218" t="s">
        <v>1084</v>
      </c>
      <c r="H218" t="s">
        <v>1086</v>
      </c>
      <c r="I218" t="s">
        <v>15</v>
      </c>
      <c r="J218" t="s">
        <v>253</v>
      </c>
      <c r="K218" t="s">
        <v>1082</v>
      </c>
      <c r="L218" t="s">
        <v>1085</v>
      </c>
      <c r="Q218" s="54"/>
    </row>
    <row r="219" spans="1:17" ht="15.75" customHeight="1" x14ac:dyDescent="0.2">
      <c r="A219">
        <v>219</v>
      </c>
      <c r="B219" t="s">
        <v>744</v>
      </c>
      <c r="C219" t="s">
        <v>1087</v>
      </c>
      <c r="D219">
        <v>2022</v>
      </c>
      <c r="E219" t="s">
        <v>1088</v>
      </c>
      <c r="F219" t="s">
        <v>1090</v>
      </c>
      <c r="G219" t="s">
        <v>1091</v>
      </c>
      <c r="H219" t="s">
        <v>473</v>
      </c>
      <c r="I219" t="s">
        <v>15</v>
      </c>
      <c r="J219" t="s">
        <v>230</v>
      </c>
      <c r="K219" t="s">
        <v>1089</v>
      </c>
      <c r="L219">
        <v>0</v>
      </c>
      <c r="Q219" s="54"/>
    </row>
    <row r="220" spans="1:17" ht="15.75" customHeight="1" x14ac:dyDescent="0.2">
      <c r="A220">
        <v>220</v>
      </c>
      <c r="B220" t="s">
        <v>1092</v>
      </c>
      <c r="C220" t="s">
        <v>1093</v>
      </c>
      <c r="D220">
        <v>2024</v>
      </c>
      <c r="E220" t="s">
        <v>233</v>
      </c>
      <c r="F220" t="s">
        <v>1095</v>
      </c>
      <c r="G220" t="s">
        <v>1096</v>
      </c>
      <c r="H220" t="s">
        <v>238</v>
      </c>
      <c r="I220" t="s">
        <v>15</v>
      </c>
      <c r="J220" t="s">
        <v>230</v>
      </c>
      <c r="K220" t="s">
        <v>1094</v>
      </c>
      <c r="L220" t="s">
        <v>1097</v>
      </c>
      <c r="Q220" s="54"/>
    </row>
    <row r="221" spans="1:17" ht="15.75" customHeight="1" x14ac:dyDescent="0.2">
      <c r="A221">
        <v>221</v>
      </c>
      <c r="B221" t="s">
        <v>1098</v>
      </c>
      <c r="C221" t="s">
        <v>1099</v>
      </c>
      <c r="D221">
        <v>2025</v>
      </c>
      <c r="E221" t="s">
        <v>233</v>
      </c>
      <c r="F221" t="s">
        <v>1101</v>
      </c>
      <c r="G221" t="s">
        <v>1102</v>
      </c>
      <c r="H221" t="s">
        <v>238</v>
      </c>
      <c r="I221" t="s">
        <v>15</v>
      </c>
      <c r="J221" t="s">
        <v>230</v>
      </c>
      <c r="K221" t="s">
        <v>1100</v>
      </c>
      <c r="L221" t="s">
        <v>1103</v>
      </c>
      <c r="Q221" s="54"/>
    </row>
    <row r="222" spans="1:17" ht="15.75" customHeight="1" x14ac:dyDescent="0.2">
      <c r="A222">
        <v>222</v>
      </c>
      <c r="B222" t="s">
        <v>1104</v>
      </c>
      <c r="C222" t="s">
        <v>1105</v>
      </c>
      <c r="D222">
        <v>2025</v>
      </c>
      <c r="E222" t="s">
        <v>233</v>
      </c>
      <c r="F222" t="s">
        <v>1107</v>
      </c>
      <c r="G222" t="s">
        <v>1108</v>
      </c>
      <c r="H222" t="s">
        <v>238</v>
      </c>
      <c r="I222" t="s">
        <v>15</v>
      </c>
      <c r="J222" t="s">
        <v>230</v>
      </c>
      <c r="K222" t="s">
        <v>1106</v>
      </c>
      <c r="L222" t="s">
        <v>1109</v>
      </c>
      <c r="Q222" s="54"/>
    </row>
    <row r="223" spans="1:17" ht="15.75" customHeight="1" x14ac:dyDescent="0.2">
      <c r="A223">
        <v>223</v>
      </c>
      <c r="B223" t="s">
        <v>1110</v>
      </c>
      <c r="C223" t="s">
        <v>1111</v>
      </c>
      <c r="D223">
        <v>2024</v>
      </c>
      <c r="E223" t="s">
        <v>233</v>
      </c>
      <c r="F223" t="s">
        <v>1113</v>
      </c>
      <c r="G223" t="s">
        <v>1114</v>
      </c>
      <c r="H223" t="s">
        <v>238</v>
      </c>
      <c r="I223" t="s">
        <v>15</v>
      </c>
      <c r="J223" t="s">
        <v>230</v>
      </c>
      <c r="K223" t="s">
        <v>1112</v>
      </c>
      <c r="L223" t="s">
        <v>1115</v>
      </c>
      <c r="Q223" s="54"/>
    </row>
    <row r="224" spans="1:17" ht="15.75" customHeight="1" x14ac:dyDescent="0.2">
      <c r="A224">
        <v>224</v>
      </c>
      <c r="B224" t="s">
        <v>1116</v>
      </c>
      <c r="C224" t="s">
        <v>1117</v>
      </c>
      <c r="D224">
        <v>2025</v>
      </c>
      <c r="E224" t="s">
        <v>1118</v>
      </c>
      <c r="F224" t="s">
        <v>1120</v>
      </c>
      <c r="G224" t="s">
        <v>1121</v>
      </c>
      <c r="H224" t="s">
        <v>473</v>
      </c>
      <c r="I224" t="s">
        <v>15</v>
      </c>
      <c r="J224" t="s">
        <v>230</v>
      </c>
      <c r="K224" t="s">
        <v>1119</v>
      </c>
      <c r="L224">
        <v>0</v>
      </c>
      <c r="Q224" s="54"/>
    </row>
    <row r="225" spans="1:17" ht="15.75" customHeight="1" x14ac:dyDescent="0.2">
      <c r="A225">
        <v>225</v>
      </c>
      <c r="B225" t="s">
        <v>1122</v>
      </c>
      <c r="C225" t="s">
        <v>1123</v>
      </c>
      <c r="D225">
        <v>2026</v>
      </c>
      <c r="E225" t="s">
        <v>1124</v>
      </c>
      <c r="F225" t="s">
        <v>1126</v>
      </c>
      <c r="G225" t="s">
        <v>1127</v>
      </c>
      <c r="H225" t="s">
        <v>260</v>
      </c>
      <c r="I225" t="s">
        <v>15</v>
      </c>
      <c r="J225" t="s">
        <v>253</v>
      </c>
      <c r="K225" t="s">
        <v>1125</v>
      </c>
      <c r="L225" t="s">
        <v>1128</v>
      </c>
      <c r="Q225" s="54"/>
    </row>
    <row r="226" spans="1:17" ht="15.75" customHeight="1" x14ac:dyDescent="0.2">
      <c r="A226">
        <v>226</v>
      </c>
      <c r="B226" t="s">
        <v>1129</v>
      </c>
      <c r="C226" t="s">
        <v>1130</v>
      </c>
      <c r="D226">
        <v>2025</v>
      </c>
      <c r="E226" t="s">
        <v>233</v>
      </c>
      <c r="F226" t="s">
        <v>1132</v>
      </c>
      <c r="G226" t="s">
        <v>1133</v>
      </c>
      <c r="H226" t="s">
        <v>238</v>
      </c>
      <c r="I226" t="s">
        <v>15</v>
      </c>
      <c r="J226" t="s">
        <v>230</v>
      </c>
      <c r="K226" t="s">
        <v>1131</v>
      </c>
      <c r="L226">
        <v>0</v>
      </c>
      <c r="Q226" s="54"/>
    </row>
    <row r="227" spans="1:17" ht="15.75" customHeight="1" x14ac:dyDescent="0.2">
      <c r="A227">
        <v>227</v>
      </c>
      <c r="B227" t="s">
        <v>1134</v>
      </c>
      <c r="C227" t="s">
        <v>1135</v>
      </c>
      <c r="D227">
        <v>2025</v>
      </c>
      <c r="E227" t="s">
        <v>331</v>
      </c>
      <c r="F227" t="s">
        <v>1137</v>
      </c>
      <c r="G227" t="s">
        <v>1138</v>
      </c>
      <c r="H227" t="s">
        <v>336</v>
      </c>
      <c r="I227" t="s">
        <v>15</v>
      </c>
      <c r="J227" t="s">
        <v>302</v>
      </c>
      <c r="K227" t="s">
        <v>1136</v>
      </c>
      <c r="L227" t="s">
        <v>1139</v>
      </c>
      <c r="Q227" s="54"/>
    </row>
    <row r="228" spans="1:17" ht="15.75" customHeight="1" x14ac:dyDescent="0.2">
      <c r="A228">
        <v>228</v>
      </c>
      <c r="B228" t="s">
        <v>1140</v>
      </c>
      <c r="C228" t="s">
        <v>1141</v>
      </c>
      <c r="D228">
        <v>2022</v>
      </c>
      <c r="E228" t="s">
        <v>1142</v>
      </c>
      <c r="F228" t="s">
        <v>1144</v>
      </c>
      <c r="G228" t="s">
        <v>1145</v>
      </c>
      <c r="H228" t="s">
        <v>238</v>
      </c>
      <c r="I228" t="s">
        <v>15</v>
      </c>
      <c r="J228" t="s">
        <v>253</v>
      </c>
      <c r="K228" t="s">
        <v>1143</v>
      </c>
      <c r="L228" t="s">
        <v>1146</v>
      </c>
      <c r="Q228" s="54"/>
    </row>
    <row r="229" spans="1:17" ht="15.75" customHeight="1" x14ac:dyDescent="0.2">
      <c r="A229">
        <v>229</v>
      </c>
      <c r="B229" t="s">
        <v>1147</v>
      </c>
      <c r="C229" t="s">
        <v>1148</v>
      </c>
      <c r="D229">
        <v>2021</v>
      </c>
      <c r="E229" t="s">
        <v>1149</v>
      </c>
      <c r="F229" t="s">
        <v>1151</v>
      </c>
      <c r="G229" t="s">
        <v>1152</v>
      </c>
      <c r="H229" t="s">
        <v>274</v>
      </c>
      <c r="I229" t="s">
        <v>15</v>
      </c>
      <c r="J229" t="s">
        <v>253</v>
      </c>
      <c r="K229" t="s">
        <v>1150</v>
      </c>
      <c r="L229" t="s">
        <v>1153</v>
      </c>
      <c r="Q229" s="54"/>
    </row>
    <row r="230" spans="1:17" ht="15.75" customHeight="1" x14ac:dyDescent="0.2">
      <c r="A230">
        <v>230</v>
      </c>
      <c r="B230" t="s">
        <v>1154</v>
      </c>
      <c r="C230" t="s">
        <v>1155</v>
      </c>
      <c r="D230">
        <v>2023</v>
      </c>
      <c r="E230" t="s">
        <v>233</v>
      </c>
      <c r="F230" t="s">
        <v>1157</v>
      </c>
      <c r="G230" t="s">
        <v>1158</v>
      </c>
      <c r="H230" t="s">
        <v>238</v>
      </c>
      <c r="I230" t="s">
        <v>15</v>
      </c>
      <c r="J230" t="s">
        <v>230</v>
      </c>
      <c r="K230" t="s">
        <v>1156</v>
      </c>
      <c r="L230" t="s">
        <v>1159</v>
      </c>
      <c r="Q230" s="54"/>
    </row>
    <row r="231" spans="1:17" ht="15.75" customHeight="1" x14ac:dyDescent="0.2">
      <c r="A231">
        <v>231</v>
      </c>
      <c r="B231" t="s">
        <v>1160</v>
      </c>
      <c r="C231" t="s">
        <v>1161</v>
      </c>
      <c r="D231">
        <v>2024</v>
      </c>
      <c r="E231" t="s">
        <v>233</v>
      </c>
      <c r="F231" t="s">
        <v>1163</v>
      </c>
      <c r="G231" t="s">
        <v>1164</v>
      </c>
      <c r="H231" t="s">
        <v>238</v>
      </c>
      <c r="I231" t="s">
        <v>15</v>
      </c>
      <c r="J231" t="s">
        <v>230</v>
      </c>
      <c r="K231" t="s">
        <v>1162</v>
      </c>
      <c r="L231" t="s">
        <v>1165</v>
      </c>
      <c r="Q231" s="54"/>
    </row>
    <row r="232" spans="1:17" ht="15.75" customHeight="1" x14ac:dyDescent="0.2">
      <c r="A232">
        <v>232</v>
      </c>
      <c r="B232" t="s">
        <v>1166</v>
      </c>
      <c r="C232" t="s">
        <v>1167</v>
      </c>
      <c r="D232">
        <v>2024</v>
      </c>
      <c r="E232" t="s">
        <v>233</v>
      </c>
      <c r="F232" t="s">
        <v>1169</v>
      </c>
      <c r="G232" t="s">
        <v>1170</v>
      </c>
      <c r="H232" t="s">
        <v>238</v>
      </c>
      <c r="I232" t="s">
        <v>15</v>
      </c>
      <c r="J232" t="s">
        <v>230</v>
      </c>
      <c r="K232" t="s">
        <v>1168</v>
      </c>
      <c r="L232" t="s">
        <v>1171</v>
      </c>
      <c r="Q232" s="54"/>
    </row>
    <row r="233" spans="1:17" ht="15.75" customHeight="1" x14ac:dyDescent="0.2">
      <c r="A233">
        <v>233</v>
      </c>
      <c r="B233" t="s">
        <v>1172</v>
      </c>
      <c r="C233" t="s">
        <v>1173</v>
      </c>
      <c r="D233">
        <v>2023</v>
      </c>
      <c r="E233" t="s">
        <v>233</v>
      </c>
      <c r="F233" t="s">
        <v>1175</v>
      </c>
      <c r="G233" t="s">
        <v>1176</v>
      </c>
      <c r="H233" t="s">
        <v>238</v>
      </c>
      <c r="I233" t="s">
        <v>15</v>
      </c>
      <c r="J233" t="s">
        <v>230</v>
      </c>
      <c r="K233" t="s">
        <v>1174</v>
      </c>
      <c r="L233" t="s">
        <v>1177</v>
      </c>
      <c r="Q233" s="54"/>
    </row>
    <row r="234" spans="1:17" ht="15.75" customHeight="1" x14ac:dyDescent="0.2">
      <c r="A234">
        <v>234</v>
      </c>
      <c r="B234" t="s">
        <v>1178</v>
      </c>
      <c r="C234" t="s">
        <v>1179</v>
      </c>
      <c r="D234">
        <v>2024</v>
      </c>
      <c r="E234" t="s">
        <v>233</v>
      </c>
      <c r="F234" t="s">
        <v>1181</v>
      </c>
      <c r="G234" t="s">
        <v>1182</v>
      </c>
      <c r="H234" t="s">
        <v>238</v>
      </c>
      <c r="I234" t="s">
        <v>15</v>
      </c>
      <c r="J234" t="s">
        <v>230</v>
      </c>
      <c r="K234" t="s">
        <v>1180</v>
      </c>
      <c r="L234" t="s">
        <v>1183</v>
      </c>
      <c r="Q234" s="54"/>
    </row>
    <row r="235" spans="1:17" ht="15.75" customHeight="1" x14ac:dyDescent="0.2">
      <c r="A235">
        <v>235</v>
      </c>
      <c r="B235" t="s">
        <v>1184</v>
      </c>
      <c r="C235" t="s">
        <v>1185</v>
      </c>
      <c r="D235">
        <v>2024</v>
      </c>
      <c r="E235" t="s">
        <v>233</v>
      </c>
      <c r="F235" t="s">
        <v>1187</v>
      </c>
      <c r="G235" t="s">
        <v>1188</v>
      </c>
      <c r="H235" t="s">
        <v>238</v>
      </c>
      <c r="I235" t="s">
        <v>15</v>
      </c>
      <c r="J235" t="s">
        <v>230</v>
      </c>
      <c r="K235" t="s">
        <v>1186</v>
      </c>
      <c r="L235" t="s">
        <v>1189</v>
      </c>
      <c r="Q235" s="54"/>
    </row>
    <row r="236" spans="1:17" ht="15.75" customHeight="1" x14ac:dyDescent="0.2">
      <c r="A236">
        <v>236</v>
      </c>
      <c r="B236" t="s">
        <v>1190</v>
      </c>
      <c r="C236" t="s">
        <v>1191</v>
      </c>
      <c r="D236">
        <v>2022</v>
      </c>
      <c r="E236" t="s">
        <v>233</v>
      </c>
      <c r="F236" t="s">
        <v>1193</v>
      </c>
      <c r="G236" t="s">
        <v>1194</v>
      </c>
      <c r="H236" t="s">
        <v>238</v>
      </c>
      <c r="I236" t="s">
        <v>15</v>
      </c>
      <c r="J236" t="s">
        <v>230</v>
      </c>
      <c r="K236" t="s">
        <v>1192</v>
      </c>
      <c r="L236" t="s">
        <v>1195</v>
      </c>
      <c r="Q236" s="54"/>
    </row>
    <row r="237" spans="1:17" ht="15.75" customHeight="1" x14ac:dyDescent="0.2">
      <c r="A237">
        <v>237</v>
      </c>
      <c r="B237" t="s">
        <v>1196</v>
      </c>
      <c r="C237" t="s">
        <v>1197</v>
      </c>
      <c r="D237">
        <v>2025</v>
      </c>
      <c r="E237" t="s">
        <v>1198</v>
      </c>
      <c r="F237" t="s">
        <v>1200</v>
      </c>
      <c r="G237" t="s">
        <v>1201</v>
      </c>
      <c r="H237" t="s">
        <v>1203</v>
      </c>
      <c r="I237" t="s">
        <v>15</v>
      </c>
      <c r="J237" t="s">
        <v>230</v>
      </c>
      <c r="K237" t="s">
        <v>1199</v>
      </c>
      <c r="L237" t="s">
        <v>1202</v>
      </c>
      <c r="Q237" s="54"/>
    </row>
    <row r="238" spans="1:17" ht="15.75" customHeight="1" x14ac:dyDescent="0.2">
      <c r="A238">
        <v>238</v>
      </c>
      <c r="B238" t="s">
        <v>1204</v>
      </c>
      <c r="C238" t="s">
        <v>1205</v>
      </c>
      <c r="D238">
        <v>2023</v>
      </c>
      <c r="E238" t="s">
        <v>1206</v>
      </c>
      <c r="F238" t="s">
        <v>1208</v>
      </c>
      <c r="G238" t="s">
        <v>1209</v>
      </c>
      <c r="H238" t="s">
        <v>1210</v>
      </c>
      <c r="I238" t="s">
        <v>1211</v>
      </c>
      <c r="J238" t="s">
        <v>253</v>
      </c>
      <c r="K238" t="s">
        <v>1207</v>
      </c>
      <c r="L238">
        <v>0</v>
      </c>
      <c r="Q238" s="54"/>
    </row>
    <row r="239" spans="1:17" ht="15.75" customHeight="1" x14ac:dyDescent="0.2">
      <c r="A239">
        <v>239</v>
      </c>
      <c r="B239" t="s">
        <v>1212</v>
      </c>
      <c r="C239" t="s">
        <v>1213</v>
      </c>
      <c r="D239">
        <v>2025</v>
      </c>
      <c r="E239" t="s">
        <v>277</v>
      </c>
      <c r="F239" t="s">
        <v>1215</v>
      </c>
      <c r="G239" t="s">
        <v>1216</v>
      </c>
      <c r="H239" t="s">
        <v>282</v>
      </c>
      <c r="I239" t="s">
        <v>15</v>
      </c>
      <c r="J239" t="s">
        <v>253</v>
      </c>
      <c r="K239" t="s">
        <v>1214</v>
      </c>
      <c r="L239" t="s">
        <v>1217</v>
      </c>
      <c r="Q239" s="54"/>
    </row>
    <row r="240" spans="1:17" ht="15.75" customHeight="1" x14ac:dyDescent="0.2">
      <c r="A240">
        <v>240</v>
      </c>
      <c r="B240" t="s">
        <v>1218</v>
      </c>
      <c r="C240" t="s">
        <v>1219</v>
      </c>
      <c r="D240">
        <v>2023</v>
      </c>
      <c r="E240" t="s">
        <v>394</v>
      </c>
      <c r="F240" t="s">
        <v>1221</v>
      </c>
      <c r="G240" t="s">
        <v>1222</v>
      </c>
      <c r="H240" t="s">
        <v>274</v>
      </c>
      <c r="I240" t="s">
        <v>15</v>
      </c>
      <c r="J240" t="s">
        <v>253</v>
      </c>
      <c r="K240" t="s">
        <v>1220</v>
      </c>
      <c r="L240" t="s">
        <v>1223</v>
      </c>
      <c r="Q240" s="54"/>
    </row>
    <row r="241" spans="1:17" ht="15.75" customHeight="1" x14ac:dyDescent="0.2">
      <c r="A241">
        <v>241</v>
      </c>
      <c r="B241" t="s">
        <v>1224</v>
      </c>
      <c r="C241" t="s">
        <v>1225</v>
      </c>
      <c r="D241">
        <v>2023</v>
      </c>
      <c r="E241" t="s">
        <v>331</v>
      </c>
      <c r="F241" t="s">
        <v>1227</v>
      </c>
      <c r="G241" t="s">
        <v>1228</v>
      </c>
      <c r="H241" t="s">
        <v>336</v>
      </c>
      <c r="I241" t="s">
        <v>15</v>
      </c>
      <c r="J241" t="s">
        <v>253</v>
      </c>
      <c r="K241" t="s">
        <v>1226</v>
      </c>
      <c r="L241" t="s">
        <v>505</v>
      </c>
      <c r="Q241" s="54"/>
    </row>
    <row r="242" spans="1:17" ht="15.75" customHeight="1" x14ac:dyDescent="0.2">
      <c r="A242">
        <v>242</v>
      </c>
      <c r="B242" t="s">
        <v>1229</v>
      </c>
      <c r="C242" t="s">
        <v>1230</v>
      </c>
      <c r="D242">
        <v>2022</v>
      </c>
      <c r="E242" t="s">
        <v>1231</v>
      </c>
      <c r="F242" t="s">
        <v>1233</v>
      </c>
      <c r="G242" t="s">
        <v>1234</v>
      </c>
      <c r="H242" t="s">
        <v>473</v>
      </c>
      <c r="I242" t="s">
        <v>15</v>
      </c>
      <c r="J242" t="s">
        <v>230</v>
      </c>
      <c r="K242" t="s">
        <v>1232</v>
      </c>
      <c r="L242">
        <v>0</v>
      </c>
      <c r="Q242" s="54"/>
    </row>
    <row r="243" spans="1:17" ht="15.75" customHeight="1" x14ac:dyDescent="0.2">
      <c r="A243">
        <v>243</v>
      </c>
      <c r="B243" t="s">
        <v>1235</v>
      </c>
      <c r="C243" t="s">
        <v>1236</v>
      </c>
      <c r="D243">
        <v>2025</v>
      </c>
      <c r="E243" t="s">
        <v>317</v>
      </c>
      <c r="F243" t="s">
        <v>1238</v>
      </c>
      <c r="G243" t="s">
        <v>1239</v>
      </c>
      <c r="H243" t="s">
        <v>322</v>
      </c>
      <c r="I243" t="s">
        <v>15</v>
      </c>
      <c r="J243" t="s">
        <v>253</v>
      </c>
      <c r="K243" t="s">
        <v>1237</v>
      </c>
      <c r="L243" t="s">
        <v>1240</v>
      </c>
      <c r="Q243" s="54"/>
    </row>
    <row r="244" spans="1:17" ht="15.75" customHeight="1" x14ac:dyDescent="0.2">
      <c r="A244">
        <v>244</v>
      </c>
      <c r="B244" t="s">
        <v>1241</v>
      </c>
      <c r="C244" t="s">
        <v>1242</v>
      </c>
      <c r="D244">
        <v>2025</v>
      </c>
      <c r="E244" t="s">
        <v>1003</v>
      </c>
      <c r="F244" t="s">
        <v>1244</v>
      </c>
      <c r="G244" t="s">
        <v>1245</v>
      </c>
      <c r="H244" t="s">
        <v>350</v>
      </c>
      <c r="I244" t="s">
        <v>15</v>
      </c>
      <c r="J244" t="s">
        <v>230</v>
      </c>
      <c r="K244" t="s">
        <v>1243</v>
      </c>
      <c r="L244" t="s">
        <v>1246</v>
      </c>
      <c r="Q244" s="54"/>
    </row>
    <row r="245" spans="1:17" ht="15.75" customHeight="1" x14ac:dyDescent="0.2">
      <c r="A245">
        <v>245</v>
      </c>
      <c r="B245" t="s">
        <v>1247</v>
      </c>
      <c r="C245" t="s">
        <v>1248</v>
      </c>
      <c r="D245">
        <v>2022</v>
      </c>
      <c r="E245" t="s">
        <v>233</v>
      </c>
      <c r="F245" t="s">
        <v>1250</v>
      </c>
      <c r="G245" t="s">
        <v>1251</v>
      </c>
      <c r="H245" t="s">
        <v>238</v>
      </c>
      <c r="I245" t="s">
        <v>15</v>
      </c>
      <c r="J245" t="s">
        <v>230</v>
      </c>
      <c r="K245" t="s">
        <v>1249</v>
      </c>
      <c r="L245" t="s">
        <v>1252</v>
      </c>
      <c r="Q245" s="54"/>
    </row>
    <row r="246" spans="1:17" ht="15.75" customHeight="1" x14ac:dyDescent="0.2">
      <c r="A246">
        <v>246</v>
      </c>
      <c r="B246" t="s">
        <v>1253</v>
      </c>
      <c r="C246" t="s">
        <v>1254</v>
      </c>
      <c r="D246">
        <v>2025</v>
      </c>
      <c r="E246" t="s">
        <v>233</v>
      </c>
      <c r="F246" t="s">
        <v>1256</v>
      </c>
      <c r="G246" t="s">
        <v>1257</v>
      </c>
      <c r="H246" t="s">
        <v>238</v>
      </c>
      <c r="I246" t="s">
        <v>15</v>
      </c>
      <c r="J246" t="s">
        <v>230</v>
      </c>
      <c r="K246" t="s">
        <v>1255</v>
      </c>
      <c r="L246" t="s">
        <v>1258</v>
      </c>
      <c r="Q246" s="54"/>
    </row>
    <row r="247" spans="1:17" ht="15.75" customHeight="1" x14ac:dyDescent="0.2">
      <c r="A247">
        <v>247</v>
      </c>
      <c r="B247" t="s">
        <v>1259</v>
      </c>
      <c r="C247" t="s">
        <v>1260</v>
      </c>
      <c r="D247">
        <v>2025</v>
      </c>
      <c r="E247" t="s">
        <v>1261</v>
      </c>
      <c r="F247" t="s">
        <v>1263</v>
      </c>
      <c r="G247" t="s">
        <v>1264</v>
      </c>
      <c r="H247" t="s">
        <v>238</v>
      </c>
      <c r="I247" t="s">
        <v>15</v>
      </c>
      <c r="J247" t="s">
        <v>230</v>
      </c>
      <c r="K247" t="s">
        <v>1262</v>
      </c>
      <c r="L247">
        <v>0</v>
      </c>
      <c r="Q247" s="54"/>
    </row>
    <row r="248" spans="1:17" ht="15.75" customHeight="1" x14ac:dyDescent="0.2">
      <c r="A248">
        <v>248</v>
      </c>
      <c r="B248" t="s">
        <v>1265</v>
      </c>
      <c r="C248" t="s">
        <v>1266</v>
      </c>
      <c r="D248">
        <v>2022</v>
      </c>
      <c r="E248" t="s">
        <v>1081</v>
      </c>
      <c r="F248" t="s">
        <v>1268</v>
      </c>
      <c r="G248" t="s">
        <v>1269</v>
      </c>
      <c r="H248" t="s">
        <v>1086</v>
      </c>
      <c r="I248" t="s">
        <v>15</v>
      </c>
      <c r="J248" t="s">
        <v>253</v>
      </c>
      <c r="K248" t="s">
        <v>1267</v>
      </c>
      <c r="L248" t="s">
        <v>1270</v>
      </c>
      <c r="Q248" s="54"/>
    </row>
    <row r="249" spans="1:17" ht="15.75" customHeight="1" x14ac:dyDescent="0.2">
      <c r="A249">
        <v>249</v>
      </c>
      <c r="B249" t="s">
        <v>1271</v>
      </c>
      <c r="C249" t="s">
        <v>1272</v>
      </c>
      <c r="D249">
        <v>2023</v>
      </c>
      <c r="E249" t="s">
        <v>927</v>
      </c>
      <c r="F249" t="s">
        <v>1274</v>
      </c>
      <c r="G249" t="s">
        <v>1275</v>
      </c>
      <c r="H249">
        <v>0</v>
      </c>
      <c r="I249" t="s">
        <v>15</v>
      </c>
      <c r="J249" t="s">
        <v>253</v>
      </c>
      <c r="K249" t="s">
        <v>1273</v>
      </c>
      <c r="L249">
        <v>0</v>
      </c>
      <c r="Q249" s="54"/>
    </row>
    <row r="250" spans="1:17" ht="15.75" customHeight="1" x14ac:dyDescent="0.2">
      <c r="A250">
        <v>250</v>
      </c>
      <c r="B250" t="s">
        <v>1276</v>
      </c>
      <c r="C250" t="s">
        <v>1277</v>
      </c>
      <c r="D250">
        <v>2022</v>
      </c>
      <c r="E250" t="s">
        <v>233</v>
      </c>
      <c r="F250" t="s">
        <v>1279</v>
      </c>
      <c r="G250" t="s">
        <v>1280</v>
      </c>
      <c r="H250" t="s">
        <v>238</v>
      </c>
      <c r="I250" t="s">
        <v>15</v>
      </c>
      <c r="J250" t="s">
        <v>230</v>
      </c>
      <c r="K250" t="s">
        <v>1278</v>
      </c>
      <c r="L250" t="s">
        <v>1281</v>
      </c>
      <c r="Q250" s="54"/>
    </row>
    <row r="251" spans="1:17" ht="15.75" customHeight="1" x14ac:dyDescent="0.2">
      <c r="A251">
        <v>251</v>
      </c>
      <c r="B251" t="s">
        <v>1282</v>
      </c>
      <c r="C251" t="s">
        <v>1283</v>
      </c>
      <c r="D251">
        <v>2022</v>
      </c>
      <c r="E251" t="s">
        <v>233</v>
      </c>
      <c r="F251" t="s">
        <v>1285</v>
      </c>
      <c r="G251" t="s">
        <v>1286</v>
      </c>
      <c r="H251" t="s">
        <v>238</v>
      </c>
      <c r="I251" t="s">
        <v>15</v>
      </c>
      <c r="J251" t="s">
        <v>230</v>
      </c>
      <c r="K251" t="s">
        <v>1284</v>
      </c>
      <c r="L251" t="s">
        <v>1287</v>
      </c>
      <c r="Q251" s="54"/>
    </row>
    <row r="252" spans="1:17" ht="15.75" customHeight="1" x14ac:dyDescent="0.2">
      <c r="A252">
        <v>252</v>
      </c>
      <c r="B252" t="s">
        <v>1288</v>
      </c>
      <c r="C252" t="s">
        <v>1289</v>
      </c>
      <c r="D252">
        <v>2023</v>
      </c>
      <c r="E252" t="s">
        <v>1290</v>
      </c>
      <c r="F252" t="s">
        <v>1291</v>
      </c>
      <c r="G252" t="s">
        <v>1292</v>
      </c>
      <c r="H252" t="s">
        <v>1293</v>
      </c>
      <c r="I252" t="s">
        <v>15</v>
      </c>
      <c r="J252" t="s">
        <v>230</v>
      </c>
      <c r="K252">
        <v>0</v>
      </c>
      <c r="L252">
        <v>0</v>
      </c>
      <c r="Q252" s="54"/>
    </row>
    <row r="253" spans="1:17" ht="15.75" customHeight="1" x14ac:dyDescent="0.2">
      <c r="A253">
        <v>253</v>
      </c>
      <c r="B253" t="s">
        <v>1294</v>
      </c>
      <c r="C253" t="s">
        <v>1295</v>
      </c>
      <c r="D253">
        <v>2025</v>
      </c>
      <c r="E253" t="s">
        <v>331</v>
      </c>
      <c r="F253" t="s">
        <v>1297</v>
      </c>
      <c r="G253" t="s">
        <v>1298</v>
      </c>
      <c r="H253" t="s">
        <v>336</v>
      </c>
      <c r="I253" t="s">
        <v>15</v>
      </c>
      <c r="J253" t="s">
        <v>253</v>
      </c>
      <c r="K253" t="s">
        <v>1296</v>
      </c>
      <c r="L253" t="s">
        <v>1299</v>
      </c>
      <c r="Q253" s="54"/>
    </row>
    <row r="254" spans="1:17" ht="15.75" customHeight="1" x14ac:dyDescent="0.2">
      <c r="A254">
        <v>254</v>
      </c>
      <c r="B254" t="s">
        <v>1300</v>
      </c>
      <c r="C254" t="s">
        <v>1301</v>
      </c>
      <c r="D254">
        <v>2026</v>
      </c>
      <c r="E254" t="s">
        <v>1302</v>
      </c>
      <c r="F254" t="s">
        <v>1304</v>
      </c>
      <c r="G254" t="s">
        <v>1305</v>
      </c>
      <c r="H254" t="s">
        <v>1307</v>
      </c>
      <c r="I254" t="s">
        <v>15</v>
      </c>
      <c r="J254" t="s">
        <v>253</v>
      </c>
      <c r="K254" t="s">
        <v>1303</v>
      </c>
      <c r="L254" t="s">
        <v>1306</v>
      </c>
      <c r="Q254" s="54"/>
    </row>
    <row r="255" spans="1:17" ht="15.75" customHeight="1" x14ac:dyDescent="0.2">
      <c r="A255">
        <v>255</v>
      </c>
      <c r="B255" t="s">
        <v>1308</v>
      </c>
      <c r="C255" t="s">
        <v>1309</v>
      </c>
      <c r="D255">
        <v>2023</v>
      </c>
      <c r="E255" t="s">
        <v>233</v>
      </c>
      <c r="F255" t="s">
        <v>1311</v>
      </c>
      <c r="G255" t="s">
        <v>1312</v>
      </c>
      <c r="H255" t="s">
        <v>238</v>
      </c>
      <c r="I255" t="s">
        <v>15</v>
      </c>
      <c r="J255" t="s">
        <v>230</v>
      </c>
      <c r="K255" t="s">
        <v>1310</v>
      </c>
      <c r="L255" t="s">
        <v>1313</v>
      </c>
      <c r="Q255" s="54"/>
    </row>
    <row r="256" spans="1:17" ht="15.75" customHeight="1" x14ac:dyDescent="0.2">
      <c r="A256">
        <v>256</v>
      </c>
      <c r="B256" t="s">
        <v>1314</v>
      </c>
      <c r="C256" t="s">
        <v>1315</v>
      </c>
      <c r="D256">
        <v>2025</v>
      </c>
      <c r="E256" t="s">
        <v>233</v>
      </c>
      <c r="F256" t="s">
        <v>1317</v>
      </c>
      <c r="G256" t="s">
        <v>1318</v>
      </c>
      <c r="H256" t="s">
        <v>238</v>
      </c>
      <c r="I256" t="s">
        <v>15</v>
      </c>
      <c r="J256" t="s">
        <v>230</v>
      </c>
      <c r="K256" t="s">
        <v>1316</v>
      </c>
      <c r="L256" t="s">
        <v>1319</v>
      </c>
      <c r="Q256" s="54"/>
    </row>
    <row r="257" spans="1:17" ht="15.75" customHeight="1" x14ac:dyDescent="0.2">
      <c r="A257">
        <v>257</v>
      </c>
      <c r="B257" t="s">
        <v>1320</v>
      </c>
      <c r="C257" t="s">
        <v>1321</v>
      </c>
      <c r="D257">
        <v>2026</v>
      </c>
      <c r="E257" t="s">
        <v>1322</v>
      </c>
      <c r="F257" t="s">
        <v>1324</v>
      </c>
      <c r="G257" t="s">
        <v>1325</v>
      </c>
      <c r="H257" t="s">
        <v>282</v>
      </c>
      <c r="I257" t="s">
        <v>15</v>
      </c>
      <c r="J257" t="s">
        <v>253</v>
      </c>
      <c r="K257" t="s">
        <v>1323</v>
      </c>
      <c r="L257" t="s">
        <v>1326</v>
      </c>
      <c r="Q257" s="54"/>
    </row>
    <row r="258" spans="1:17" ht="15.75" customHeight="1" x14ac:dyDescent="0.2">
      <c r="A258">
        <v>258</v>
      </c>
      <c r="B258" t="s">
        <v>1327</v>
      </c>
      <c r="C258" t="s">
        <v>1328</v>
      </c>
      <c r="D258">
        <v>2022</v>
      </c>
      <c r="E258" t="s">
        <v>331</v>
      </c>
      <c r="F258" t="s">
        <v>1330</v>
      </c>
      <c r="G258" t="s">
        <v>1331</v>
      </c>
      <c r="H258" t="s">
        <v>1333</v>
      </c>
      <c r="I258" t="s">
        <v>15</v>
      </c>
      <c r="J258" t="s">
        <v>253</v>
      </c>
      <c r="K258" t="s">
        <v>1329</v>
      </c>
      <c r="L258" t="s">
        <v>1332</v>
      </c>
      <c r="Q258" s="54"/>
    </row>
    <row r="259" spans="1:17" ht="15.75" customHeight="1" x14ac:dyDescent="0.2">
      <c r="A259">
        <v>259</v>
      </c>
      <c r="B259" t="s">
        <v>1334</v>
      </c>
      <c r="C259" t="s">
        <v>1335</v>
      </c>
      <c r="D259">
        <v>2023</v>
      </c>
      <c r="E259" t="s">
        <v>233</v>
      </c>
      <c r="F259" t="s">
        <v>1337</v>
      </c>
      <c r="G259" t="s">
        <v>1338</v>
      </c>
      <c r="H259" t="s">
        <v>238</v>
      </c>
      <c r="I259" t="s">
        <v>15</v>
      </c>
      <c r="J259" t="s">
        <v>230</v>
      </c>
      <c r="K259" t="s">
        <v>1336</v>
      </c>
      <c r="L259" t="s">
        <v>1339</v>
      </c>
      <c r="Q259" s="54"/>
    </row>
    <row r="260" spans="1:17" ht="15.75" customHeight="1" x14ac:dyDescent="0.2">
      <c r="A260">
        <v>260</v>
      </c>
      <c r="B260" t="s">
        <v>1340</v>
      </c>
      <c r="C260" t="s">
        <v>1341</v>
      </c>
      <c r="D260">
        <v>2023</v>
      </c>
      <c r="E260" t="s">
        <v>1342</v>
      </c>
      <c r="F260" t="s">
        <v>1344</v>
      </c>
      <c r="G260" t="s">
        <v>1345</v>
      </c>
      <c r="H260" t="s">
        <v>473</v>
      </c>
      <c r="I260" t="s">
        <v>15</v>
      </c>
      <c r="J260" t="s">
        <v>230</v>
      </c>
      <c r="K260" t="s">
        <v>1343</v>
      </c>
      <c r="L260">
        <v>0</v>
      </c>
      <c r="Q260" s="54"/>
    </row>
    <row r="261" spans="1:17" ht="15.75" customHeight="1" x14ac:dyDescent="0.2">
      <c r="A261">
        <v>261</v>
      </c>
      <c r="B261" t="s">
        <v>1346</v>
      </c>
      <c r="C261" t="s">
        <v>1347</v>
      </c>
      <c r="D261">
        <v>2023</v>
      </c>
      <c r="E261" t="s">
        <v>233</v>
      </c>
      <c r="F261" t="s">
        <v>1349</v>
      </c>
      <c r="G261" t="s">
        <v>1350</v>
      </c>
      <c r="H261" t="s">
        <v>238</v>
      </c>
      <c r="I261" t="s">
        <v>15</v>
      </c>
      <c r="J261" t="s">
        <v>230</v>
      </c>
      <c r="K261" t="s">
        <v>1348</v>
      </c>
      <c r="L261" t="s">
        <v>1351</v>
      </c>
      <c r="Q261" s="54"/>
    </row>
    <row r="262" spans="1:17" ht="15.75" customHeight="1" x14ac:dyDescent="0.2">
      <c r="A262">
        <v>262</v>
      </c>
      <c r="B262" t="s">
        <v>1352</v>
      </c>
      <c r="C262" t="s">
        <v>1353</v>
      </c>
      <c r="D262">
        <v>2025</v>
      </c>
      <c r="E262" t="s">
        <v>1354</v>
      </c>
      <c r="F262" t="s">
        <v>1356</v>
      </c>
      <c r="G262" t="s">
        <v>1357</v>
      </c>
      <c r="H262" t="s">
        <v>473</v>
      </c>
      <c r="I262" t="s">
        <v>15</v>
      </c>
      <c r="J262" t="s">
        <v>230</v>
      </c>
      <c r="K262" t="s">
        <v>1355</v>
      </c>
      <c r="L262">
        <v>0</v>
      </c>
      <c r="Q262" s="54"/>
    </row>
    <row r="263" spans="1:17" ht="15.75" customHeight="1" x14ac:dyDescent="0.2">
      <c r="A263">
        <v>263</v>
      </c>
      <c r="B263" t="s">
        <v>1358</v>
      </c>
      <c r="C263" t="s">
        <v>1359</v>
      </c>
      <c r="D263">
        <v>2024</v>
      </c>
      <c r="E263" t="s">
        <v>1360</v>
      </c>
      <c r="F263" t="s">
        <v>1362</v>
      </c>
      <c r="G263" t="s">
        <v>1363</v>
      </c>
      <c r="H263" t="s">
        <v>1365</v>
      </c>
      <c r="I263" t="s">
        <v>15</v>
      </c>
      <c r="J263" t="s">
        <v>302</v>
      </c>
      <c r="K263" t="s">
        <v>1361</v>
      </c>
      <c r="L263" t="s">
        <v>1364</v>
      </c>
      <c r="Q263" s="54"/>
    </row>
    <row r="264" spans="1:17" ht="15.75" customHeight="1" x14ac:dyDescent="0.2">
      <c r="A264">
        <v>264</v>
      </c>
      <c r="B264" t="s">
        <v>1366</v>
      </c>
      <c r="C264" t="s">
        <v>1367</v>
      </c>
      <c r="D264">
        <v>2025</v>
      </c>
      <c r="E264" t="s">
        <v>394</v>
      </c>
      <c r="F264" t="s">
        <v>1369</v>
      </c>
      <c r="G264" t="s">
        <v>1370</v>
      </c>
      <c r="H264" t="s">
        <v>274</v>
      </c>
      <c r="I264" t="s">
        <v>15</v>
      </c>
      <c r="J264" t="s">
        <v>253</v>
      </c>
      <c r="K264" t="s">
        <v>1368</v>
      </c>
      <c r="L264" t="s">
        <v>1371</v>
      </c>
      <c r="Q264" s="54"/>
    </row>
    <row r="265" spans="1:17" ht="15.75" customHeight="1" x14ac:dyDescent="0.2">
      <c r="A265">
        <v>265</v>
      </c>
      <c r="B265" t="s">
        <v>1372</v>
      </c>
      <c r="C265" t="s">
        <v>1373</v>
      </c>
      <c r="D265">
        <v>2024</v>
      </c>
      <c r="E265" t="s">
        <v>1360</v>
      </c>
      <c r="F265" t="s">
        <v>1375</v>
      </c>
      <c r="G265" t="s">
        <v>1376</v>
      </c>
      <c r="H265" t="s">
        <v>1365</v>
      </c>
      <c r="I265" t="s">
        <v>15</v>
      </c>
      <c r="J265" t="s">
        <v>302</v>
      </c>
      <c r="K265" t="s">
        <v>1374</v>
      </c>
      <c r="L265" t="s">
        <v>1377</v>
      </c>
      <c r="Q265" s="54"/>
    </row>
    <row r="266" spans="1:17" ht="15.75" customHeight="1" x14ac:dyDescent="0.2">
      <c r="A266">
        <v>266</v>
      </c>
      <c r="B266" t="s">
        <v>1378</v>
      </c>
      <c r="C266" t="s">
        <v>1379</v>
      </c>
      <c r="D266">
        <v>2024</v>
      </c>
      <c r="E266" t="s">
        <v>233</v>
      </c>
      <c r="F266" t="s">
        <v>1381</v>
      </c>
      <c r="G266" t="s">
        <v>1382</v>
      </c>
      <c r="H266" t="s">
        <v>238</v>
      </c>
      <c r="I266" t="s">
        <v>15</v>
      </c>
      <c r="J266" t="s">
        <v>230</v>
      </c>
      <c r="K266" t="s">
        <v>1380</v>
      </c>
      <c r="L266" t="s">
        <v>1383</v>
      </c>
      <c r="Q266" s="54"/>
    </row>
    <row r="267" spans="1:17" ht="15.75" customHeight="1" x14ac:dyDescent="0.2">
      <c r="A267">
        <v>267</v>
      </c>
      <c r="B267" t="s">
        <v>1384</v>
      </c>
      <c r="C267" t="s">
        <v>1385</v>
      </c>
      <c r="D267">
        <v>2025</v>
      </c>
      <c r="E267" t="s">
        <v>233</v>
      </c>
      <c r="F267" t="s">
        <v>1387</v>
      </c>
      <c r="G267" t="s">
        <v>1388</v>
      </c>
      <c r="H267" t="s">
        <v>238</v>
      </c>
      <c r="I267" t="s">
        <v>15</v>
      </c>
      <c r="J267" t="s">
        <v>230</v>
      </c>
      <c r="K267" t="s">
        <v>1386</v>
      </c>
      <c r="L267" t="s">
        <v>697</v>
      </c>
      <c r="Q267" s="54"/>
    </row>
    <row r="268" spans="1:17" ht="15.75" customHeight="1" x14ac:dyDescent="0.2">
      <c r="A268">
        <v>268</v>
      </c>
      <c r="B268" t="s">
        <v>1389</v>
      </c>
      <c r="C268" t="s">
        <v>1390</v>
      </c>
      <c r="D268">
        <v>2025</v>
      </c>
      <c r="E268" t="s">
        <v>1391</v>
      </c>
      <c r="F268" t="s">
        <v>1393</v>
      </c>
      <c r="G268" t="s">
        <v>1394</v>
      </c>
      <c r="H268" t="s">
        <v>1395</v>
      </c>
      <c r="I268" t="s">
        <v>15</v>
      </c>
      <c r="J268" t="s">
        <v>253</v>
      </c>
      <c r="K268" t="s">
        <v>1392</v>
      </c>
      <c r="L268" t="s">
        <v>1821</v>
      </c>
      <c r="Q268" s="54"/>
    </row>
    <row r="269" spans="1:17" ht="15.75" customHeight="1" x14ac:dyDescent="0.2">
      <c r="A269">
        <v>269</v>
      </c>
      <c r="B269" t="s">
        <v>1396</v>
      </c>
      <c r="C269" t="s">
        <v>1397</v>
      </c>
      <c r="D269">
        <v>2024</v>
      </c>
      <c r="E269" t="s">
        <v>233</v>
      </c>
      <c r="F269" t="s">
        <v>1399</v>
      </c>
      <c r="G269" t="s">
        <v>1400</v>
      </c>
      <c r="H269" t="s">
        <v>238</v>
      </c>
      <c r="I269" t="s">
        <v>15</v>
      </c>
      <c r="J269" t="s">
        <v>230</v>
      </c>
      <c r="K269" t="s">
        <v>1398</v>
      </c>
      <c r="L269" t="s">
        <v>1401</v>
      </c>
      <c r="Q269" s="54"/>
    </row>
    <row r="270" spans="1:17" ht="15.75" customHeight="1" x14ac:dyDescent="0.2">
      <c r="A270">
        <v>270</v>
      </c>
      <c r="B270" t="s">
        <v>1402</v>
      </c>
      <c r="C270" t="s">
        <v>1403</v>
      </c>
      <c r="D270">
        <v>2025</v>
      </c>
      <c r="E270" t="s">
        <v>233</v>
      </c>
      <c r="F270" t="s">
        <v>1405</v>
      </c>
      <c r="G270" t="s">
        <v>1406</v>
      </c>
      <c r="H270" t="s">
        <v>238</v>
      </c>
      <c r="I270" t="s">
        <v>15</v>
      </c>
      <c r="J270" t="s">
        <v>230</v>
      </c>
      <c r="K270" t="s">
        <v>1404</v>
      </c>
      <c r="L270" t="s">
        <v>1407</v>
      </c>
      <c r="Q270" s="54"/>
    </row>
    <row r="271" spans="1:17" ht="15.75" customHeight="1" x14ac:dyDescent="0.2">
      <c r="A271">
        <v>271</v>
      </c>
      <c r="B271">
        <v>0</v>
      </c>
      <c r="C271" t="s">
        <v>994</v>
      </c>
      <c r="D271">
        <v>2024</v>
      </c>
      <c r="E271" t="s">
        <v>523</v>
      </c>
      <c r="F271" t="s">
        <v>1408</v>
      </c>
      <c r="G271">
        <v>0</v>
      </c>
      <c r="H271" t="s">
        <v>228</v>
      </c>
      <c r="I271" t="s">
        <v>15</v>
      </c>
      <c r="J271" t="s">
        <v>391</v>
      </c>
      <c r="K271">
        <v>0</v>
      </c>
      <c r="L271">
        <v>0</v>
      </c>
      <c r="Q271" s="54"/>
    </row>
    <row r="272" spans="1:17" ht="15.75" customHeight="1" x14ac:dyDescent="0.2">
      <c r="A272">
        <v>272</v>
      </c>
      <c r="B272" t="s">
        <v>1409</v>
      </c>
      <c r="C272" t="s">
        <v>1410</v>
      </c>
      <c r="D272">
        <v>2025</v>
      </c>
      <c r="E272" t="s">
        <v>233</v>
      </c>
      <c r="F272" t="s">
        <v>1412</v>
      </c>
      <c r="G272" t="s">
        <v>1413</v>
      </c>
      <c r="H272" t="s">
        <v>238</v>
      </c>
      <c r="I272" t="s">
        <v>15</v>
      </c>
      <c r="J272" t="s">
        <v>230</v>
      </c>
      <c r="K272" t="s">
        <v>1411</v>
      </c>
      <c r="L272" t="s">
        <v>1414</v>
      </c>
      <c r="Q272" s="54"/>
    </row>
    <row r="273" spans="1:17" ht="15.75" customHeight="1" x14ac:dyDescent="0.2">
      <c r="A273">
        <v>273</v>
      </c>
      <c r="B273" t="s">
        <v>1415</v>
      </c>
      <c r="C273" t="s">
        <v>1416</v>
      </c>
      <c r="D273">
        <v>2024</v>
      </c>
      <c r="E273" t="s">
        <v>233</v>
      </c>
      <c r="F273" t="s">
        <v>1418</v>
      </c>
      <c r="G273" t="s">
        <v>1419</v>
      </c>
      <c r="H273" t="s">
        <v>238</v>
      </c>
      <c r="I273" t="s">
        <v>15</v>
      </c>
      <c r="J273" t="s">
        <v>230</v>
      </c>
      <c r="K273" t="s">
        <v>1417</v>
      </c>
      <c r="L273" t="s">
        <v>1420</v>
      </c>
      <c r="Q273" s="54"/>
    </row>
    <row r="274" spans="1:17" ht="15.75" customHeight="1" x14ac:dyDescent="0.2">
      <c r="A274">
        <v>274</v>
      </c>
      <c r="B274" t="s">
        <v>1421</v>
      </c>
      <c r="C274" t="s">
        <v>1422</v>
      </c>
      <c r="D274">
        <v>2023</v>
      </c>
      <c r="E274" t="s">
        <v>277</v>
      </c>
      <c r="F274" t="s">
        <v>1424</v>
      </c>
      <c r="G274" t="s">
        <v>1425</v>
      </c>
      <c r="H274" t="s">
        <v>586</v>
      </c>
      <c r="I274" t="s">
        <v>15</v>
      </c>
      <c r="J274" t="s">
        <v>253</v>
      </c>
      <c r="K274" t="s">
        <v>1423</v>
      </c>
      <c r="L274" t="s">
        <v>1822</v>
      </c>
      <c r="Q274" s="54"/>
    </row>
    <row r="275" spans="1:17" ht="15.75" customHeight="1" x14ac:dyDescent="0.2">
      <c r="A275">
        <v>275</v>
      </c>
      <c r="B275">
        <v>0</v>
      </c>
      <c r="C275" t="s">
        <v>1426</v>
      </c>
      <c r="D275">
        <v>2022</v>
      </c>
      <c r="E275" t="s">
        <v>607</v>
      </c>
      <c r="F275" t="s">
        <v>1427</v>
      </c>
      <c r="G275">
        <v>0</v>
      </c>
      <c r="H275" t="s">
        <v>610</v>
      </c>
      <c r="I275" t="s">
        <v>15</v>
      </c>
      <c r="J275" t="s">
        <v>391</v>
      </c>
      <c r="K275">
        <v>0</v>
      </c>
      <c r="L275">
        <v>0</v>
      </c>
      <c r="Q275" s="54"/>
    </row>
    <row r="276" spans="1:17" ht="15.75" customHeight="1" x14ac:dyDescent="0.2">
      <c r="A276">
        <v>276</v>
      </c>
      <c r="B276" t="s">
        <v>1428</v>
      </c>
      <c r="C276" t="s">
        <v>1429</v>
      </c>
      <c r="D276">
        <v>2024</v>
      </c>
      <c r="E276" t="s">
        <v>509</v>
      </c>
      <c r="F276" t="s">
        <v>1431</v>
      </c>
      <c r="G276" t="s">
        <v>1432</v>
      </c>
      <c r="H276" t="s">
        <v>228</v>
      </c>
      <c r="I276" t="s">
        <v>15</v>
      </c>
      <c r="J276" t="s">
        <v>230</v>
      </c>
      <c r="K276" t="s">
        <v>1430</v>
      </c>
      <c r="L276" t="s">
        <v>1433</v>
      </c>
      <c r="Q276" s="54"/>
    </row>
    <row r="277" spans="1:17" ht="15.75" customHeight="1" x14ac:dyDescent="0.2">
      <c r="A277">
        <v>277</v>
      </c>
      <c r="B277" t="s">
        <v>1434</v>
      </c>
      <c r="C277" t="s">
        <v>1435</v>
      </c>
      <c r="D277">
        <v>2023</v>
      </c>
      <c r="E277" t="s">
        <v>233</v>
      </c>
      <c r="F277" t="s">
        <v>1437</v>
      </c>
      <c r="G277" t="s">
        <v>1438</v>
      </c>
      <c r="H277" t="s">
        <v>238</v>
      </c>
      <c r="I277" t="s">
        <v>15</v>
      </c>
      <c r="J277" t="s">
        <v>230</v>
      </c>
      <c r="K277" t="s">
        <v>1436</v>
      </c>
      <c r="L277" t="s">
        <v>1439</v>
      </c>
      <c r="Q277" s="54"/>
    </row>
    <row r="278" spans="1:17" ht="15.75" customHeight="1" x14ac:dyDescent="0.2">
      <c r="A278">
        <v>278</v>
      </c>
      <c r="B278" t="s">
        <v>1440</v>
      </c>
      <c r="C278" t="s">
        <v>1441</v>
      </c>
      <c r="D278">
        <v>2023</v>
      </c>
      <c r="E278" t="s">
        <v>233</v>
      </c>
      <c r="F278" t="s">
        <v>1443</v>
      </c>
      <c r="G278" t="s">
        <v>1444</v>
      </c>
      <c r="H278" t="s">
        <v>238</v>
      </c>
      <c r="I278" t="s">
        <v>15</v>
      </c>
      <c r="J278" t="s">
        <v>230</v>
      </c>
      <c r="K278" t="s">
        <v>1442</v>
      </c>
      <c r="L278" t="s">
        <v>1445</v>
      </c>
      <c r="Q278" s="54"/>
    </row>
    <row r="279" spans="1:17" ht="15.75" customHeight="1" x14ac:dyDescent="0.2">
      <c r="A279">
        <v>279</v>
      </c>
      <c r="B279" t="s">
        <v>1446</v>
      </c>
      <c r="C279" t="s">
        <v>1447</v>
      </c>
      <c r="D279">
        <v>2024</v>
      </c>
      <c r="E279" t="s">
        <v>233</v>
      </c>
      <c r="F279" t="s">
        <v>1449</v>
      </c>
      <c r="G279" t="s">
        <v>1450</v>
      </c>
      <c r="H279" t="s">
        <v>238</v>
      </c>
      <c r="I279" t="s">
        <v>15</v>
      </c>
      <c r="J279" t="s">
        <v>230</v>
      </c>
      <c r="K279" t="s">
        <v>1448</v>
      </c>
      <c r="L279" t="s">
        <v>1451</v>
      </c>
      <c r="Q279" s="54"/>
    </row>
    <row r="280" spans="1:17" ht="15.75" customHeight="1" x14ac:dyDescent="0.2">
      <c r="A280">
        <v>280</v>
      </c>
      <c r="B280" t="s">
        <v>1452</v>
      </c>
      <c r="C280" t="s">
        <v>1453</v>
      </c>
      <c r="D280">
        <v>2024</v>
      </c>
      <c r="E280" t="s">
        <v>233</v>
      </c>
      <c r="F280" t="s">
        <v>1455</v>
      </c>
      <c r="G280" t="s">
        <v>1456</v>
      </c>
      <c r="H280" t="s">
        <v>238</v>
      </c>
      <c r="I280" t="s">
        <v>15</v>
      </c>
      <c r="J280" t="s">
        <v>230</v>
      </c>
      <c r="K280" t="s">
        <v>1454</v>
      </c>
      <c r="L280" t="s">
        <v>1457</v>
      </c>
      <c r="Q280" s="54"/>
    </row>
    <row r="281" spans="1:17" ht="15.75" customHeight="1" x14ac:dyDescent="0.2">
      <c r="A281">
        <v>281</v>
      </c>
      <c r="B281" t="s">
        <v>744</v>
      </c>
      <c r="C281" t="s">
        <v>1458</v>
      </c>
      <c r="D281">
        <v>2022</v>
      </c>
      <c r="E281" t="s">
        <v>1459</v>
      </c>
      <c r="F281" t="s">
        <v>1461</v>
      </c>
      <c r="G281" t="s">
        <v>1462</v>
      </c>
      <c r="H281" t="s">
        <v>473</v>
      </c>
      <c r="I281" t="s">
        <v>15</v>
      </c>
      <c r="J281" t="s">
        <v>230</v>
      </c>
      <c r="K281" t="s">
        <v>1460</v>
      </c>
      <c r="L281">
        <v>0</v>
      </c>
      <c r="Q281" s="54"/>
    </row>
    <row r="282" spans="1:17" ht="15.75" customHeight="1" x14ac:dyDescent="0.2">
      <c r="A282">
        <v>282</v>
      </c>
      <c r="B282" t="s">
        <v>1463</v>
      </c>
      <c r="C282" t="s">
        <v>1464</v>
      </c>
      <c r="D282">
        <v>2022</v>
      </c>
      <c r="E282" t="s">
        <v>297</v>
      </c>
      <c r="F282" t="s">
        <v>1466</v>
      </c>
      <c r="G282" t="s">
        <v>1467</v>
      </c>
      <c r="H282" t="s">
        <v>586</v>
      </c>
      <c r="I282" t="s">
        <v>15</v>
      </c>
      <c r="J282" t="s">
        <v>253</v>
      </c>
      <c r="K282" t="s">
        <v>1465</v>
      </c>
      <c r="L282" t="s">
        <v>1468</v>
      </c>
      <c r="Q282" s="54"/>
    </row>
    <row r="283" spans="1:17" ht="15.75" customHeight="1" x14ac:dyDescent="0.2">
      <c r="A283">
        <v>283</v>
      </c>
      <c r="B283" t="s">
        <v>1469</v>
      </c>
      <c r="C283" t="s">
        <v>1470</v>
      </c>
      <c r="D283">
        <v>2025</v>
      </c>
      <c r="E283" t="s">
        <v>1003</v>
      </c>
      <c r="F283" t="s">
        <v>1472</v>
      </c>
      <c r="G283" t="s">
        <v>1473</v>
      </c>
      <c r="H283" t="s">
        <v>350</v>
      </c>
      <c r="I283" t="s">
        <v>15</v>
      </c>
      <c r="J283" t="s">
        <v>230</v>
      </c>
      <c r="K283" t="s">
        <v>1471</v>
      </c>
      <c r="L283" t="s">
        <v>1474</v>
      </c>
      <c r="Q283" s="54"/>
    </row>
    <row r="284" spans="1:17" ht="15.75" customHeight="1" x14ac:dyDescent="0.2">
      <c r="A284">
        <v>284</v>
      </c>
      <c r="B284" t="s">
        <v>1475</v>
      </c>
      <c r="C284" t="s">
        <v>1476</v>
      </c>
      <c r="D284">
        <v>2025</v>
      </c>
      <c r="E284" t="s">
        <v>233</v>
      </c>
      <c r="F284" t="s">
        <v>1478</v>
      </c>
      <c r="G284" t="s">
        <v>1479</v>
      </c>
      <c r="H284" t="s">
        <v>238</v>
      </c>
      <c r="I284" t="s">
        <v>15</v>
      </c>
      <c r="J284" t="s">
        <v>230</v>
      </c>
      <c r="K284" t="s">
        <v>1477</v>
      </c>
      <c r="L284" t="s">
        <v>1480</v>
      </c>
      <c r="Q284" s="54"/>
    </row>
    <row r="285" spans="1:17" ht="15.75" customHeight="1" x14ac:dyDescent="0.2">
      <c r="A285">
        <v>285</v>
      </c>
      <c r="B285" t="s">
        <v>1481</v>
      </c>
      <c r="C285" t="s">
        <v>1482</v>
      </c>
      <c r="D285">
        <v>2024</v>
      </c>
      <c r="E285" t="s">
        <v>233</v>
      </c>
      <c r="F285" t="s">
        <v>1484</v>
      </c>
      <c r="G285" t="s">
        <v>1485</v>
      </c>
      <c r="H285" t="s">
        <v>238</v>
      </c>
      <c r="I285" t="s">
        <v>15</v>
      </c>
      <c r="J285" t="s">
        <v>230</v>
      </c>
      <c r="K285" t="s">
        <v>1483</v>
      </c>
      <c r="L285" t="s">
        <v>1486</v>
      </c>
      <c r="Q285" s="54"/>
    </row>
    <row r="286" spans="1:17" ht="15.75" customHeight="1" x14ac:dyDescent="0.2">
      <c r="A286">
        <v>286</v>
      </c>
      <c r="B286" t="s">
        <v>1487</v>
      </c>
      <c r="C286" t="s">
        <v>1488</v>
      </c>
      <c r="D286">
        <v>2025</v>
      </c>
      <c r="E286" t="s">
        <v>233</v>
      </c>
      <c r="F286" t="s">
        <v>1490</v>
      </c>
      <c r="G286" t="s">
        <v>1491</v>
      </c>
      <c r="H286" t="s">
        <v>238</v>
      </c>
      <c r="I286" t="s">
        <v>15</v>
      </c>
      <c r="J286" t="s">
        <v>230</v>
      </c>
      <c r="K286" t="s">
        <v>1489</v>
      </c>
      <c r="L286" t="s">
        <v>1492</v>
      </c>
      <c r="Q286" s="54"/>
    </row>
    <row r="287" spans="1:17" ht="15.75" customHeight="1" x14ac:dyDescent="0.2">
      <c r="A287">
        <v>287</v>
      </c>
      <c r="B287" t="s">
        <v>1493</v>
      </c>
      <c r="C287" t="s">
        <v>1494</v>
      </c>
      <c r="D287">
        <v>2024</v>
      </c>
      <c r="E287" t="s">
        <v>223</v>
      </c>
      <c r="F287" t="s">
        <v>1496</v>
      </c>
      <c r="G287" t="s">
        <v>1497</v>
      </c>
      <c r="H287" t="s">
        <v>228</v>
      </c>
      <c r="I287" t="s">
        <v>15</v>
      </c>
      <c r="J287" t="s">
        <v>230</v>
      </c>
      <c r="K287" t="s">
        <v>1495</v>
      </c>
      <c r="L287" t="s">
        <v>1498</v>
      </c>
      <c r="Q287" s="54"/>
    </row>
    <row r="288" spans="1:17" ht="15.75" customHeight="1" x14ac:dyDescent="0.2">
      <c r="A288">
        <v>288</v>
      </c>
      <c r="B288" t="s">
        <v>1499</v>
      </c>
      <c r="C288" t="s">
        <v>1500</v>
      </c>
      <c r="D288">
        <v>2025</v>
      </c>
      <c r="E288" t="s">
        <v>1501</v>
      </c>
      <c r="F288" t="s">
        <v>1823</v>
      </c>
      <c r="G288" t="s">
        <v>1503</v>
      </c>
      <c r="H288" t="s">
        <v>987</v>
      </c>
      <c r="I288" t="s">
        <v>15</v>
      </c>
      <c r="J288" t="s">
        <v>253</v>
      </c>
      <c r="K288" t="s">
        <v>1502</v>
      </c>
      <c r="L288">
        <v>0</v>
      </c>
      <c r="Q288" s="54"/>
    </row>
    <row r="289" spans="1:17" ht="15.75" customHeight="1" x14ac:dyDescent="0.2">
      <c r="A289">
        <v>289</v>
      </c>
      <c r="B289" t="s">
        <v>1504</v>
      </c>
      <c r="C289" t="s">
        <v>1505</v>
      </c>
      <c r="D289">
        <v>2025</v>
      </c>
      <c r="E289" t="s">
        <v>233</v>
      </c>
      <c r="F289" t="s">
        <v>1507</v>
      </c>
      <c r="G289" t="s">
        <v>1508</v>
      </c>
      <c r="H289" t="s">
        <v>238</v>
      </c>
      <c r="I289" t="s">
        <v>15</v>
      </c>
      <c r="J289" t="s">
        <v>230</v>
      </c>
      <c r="K289" t="s">
        <v>1506</v>
      </c>
      <c r="L289" t="s">
        <v>1509</v>
      </c>
      <c r="Q289" s="54"/>
    </row>
    <row r="290" spans="1:17" ht="15.75" customHeight="1" x14ac:dyDescent="0.2">
      <c r="A290">
        <v>290</v>
      </c>
      <c r="B290" t="s">
        <v>1510</v>
      </c>
      <c r="C290" t="s">
        <v>1511</v>
      </c>
      <c r="D290">
        <v>2025</v>
      </c>
      <c r="E290" t="s">
        <v>1512</v>
      </c>
      <c r="F290" t="s">
        <v>1514</v>
      </c>
      <c r="G290" t="s">
        <v>1515</v>
      </c>
      <c r="H290" t="s">
        <v>473</v>
      </c>
      <c r="I290" t="s">
        <v>15</v>
      </c>
      <c r="J290" t="s">
        <v>230</v>
      </c>
      <c r="K290" t="s">
        <v>1513</v>
      </c>
      <c r="L290">
        <v>0</v>
      </c>
      <c r="Q290" s="54"/>
    </row>
    <row r="291" spans="1:17" ht="15.75" customHeight="1" x14ac:dyDescent="0.2">
      <c r="A291">
        <v>291</v>
      </c>
      <c r="B291" t="s">
        <v>1516</v>
      </c>
      <c r="C291" t="s">
        <v>1517</v>
      </c>
      <c r="D291">
        <v>2023</v>
      </c>
      <c r="E291" t="s">
        <v>297</v>
      </c>
      <c r="F291" t="s">
        <v>1519</v>
      </c>
      <c r="G291" t="s">
        <v>1520</v>
      </c>
      <c r="H291" t="s">
        <v>282</v>
      </c>
      <c r="I291" t="s">
        <v>15</v>
      </c>
      <c r="J291" t="s">
        <v>253</v>
      </c>
      <c r="K291" t="s">
        <v>1518</v>
      </c>
      <c r="L291" t="s">
        <v>1521</v>
      </c>
      <c r="Q291" s="54"/>
    </row>
    <row r="292" spans="1:17" ht="15.75" customHeight="1" x14ac:dyDescent="0.2">
      <c r="A292">
        <v>292</v>
      </c>
      <c r="B292" t="s">
        <v>1522</v>
      </c>
      <c r="C292" t="s">
        <v>1523</v>
      </c>
      <c r="D292">
        <v>2023</v>
      </c>
      <c r="E292" t="s">
        <v>476</v>
      </c>
      <c r="F292" t="s">
        <v>1525</v>
      </c>
      <c r="G292" t="s">
        <v>1526</v>
      </c>
      <c r="H292" t="s">
        <v>228</v>
      </c>
      <c r="I292" t="s">
        <v>15</v>
      </c>
      <c r="J292" t="s">
        <v>230</v>
      </c>
      <c r="K292" t="s">
        <v>1524</v>
      </c>
      <c r="L292" t="s">
        <v>1527</v>
      </c>
      <c r="Q292" s="54"/>
    </row>
    <row r="293" spans="1:17" ht="15.75" customHeight="1" x14ac:dyDescent="0.2">
      <c r="A293">
        <v>293</v>
      </c>
      <c r="B293" t="s">
        <v>1346</v>
      </c>
      <c r="C293" t="s">
        <v>1528</v>
      </c>
      <c r="D293">
        <v>2023</v>
      </c>
      <c r="E293" t="s">
        <v>233</v>
      </c>
      <c r="F293" t="s">
        <v>1530</v>
      </c>
      <c r="G293" t="s">
        <v>1531</v>
      </c>
      <c r="H293" t="s">
        <v>238</v>
      </c>
      <c r="I293" t="s">
        <v>15</v>
      </c>
      <c r="J293" t="s">
        <v>230</v>
      </c>
      <c r="K293" t="s">
        <v>1529</v>
      </c>
      <c r="L293" t="s">
        <v>1532</v>
      </c>
      <c r="Q293" s="54"/>
    </row>
    <row r="294" spans="1:17" ht="15.75" customHeight="1" x14ac:dyDescent="0.2">
      <c r="A294">
        <v>294</v>
      </c>
      <c r="B294" t="s">
        <v>1533</v>
      </c>
      <c r="C294" t="s">
        <v>1534</v>
      </c>
      <c r="D294">
        <v>2024</v>
      </c>
      <c r="E294" t="s">
        <v>233</v>
      </c>
      <c r="F294" t="s">
        <v>1536</v>
      </c>
      <c r="G294" t="s">
        <v>1537</v>
      </c>
      <c r="H294" t="s">
        <v>238</v>
      </c>
      <c r="I294" t="s">
        <v>15</v>
      </c>
      <c r="J294" t="s">
        <v>230</v>
      </c>
      <c r="K294" t="s">
        <v>1535</v>
      </c>
      <c r="L294" t="s">
        <v>1538</v>
      </c>
      <c r="Q294" s="54"/>
    </row>
    <row r="295" spans="1:17" ht="15.75" customHeight="1" x14ac:dyDescent="0.2">
      <c r="A295">
        <v>295</v>
      </c>
      <c r="B295" t="s">
        <v>1539</v>
      </c>
      <c r="C295" t="s">
        <v>1540</v>
      </c>
      <c r="D295">
        <v>2025</v>
      </c>
      <c r="E295" t="s">
        <v>223</v>
      </c>
      <c r="F295" t="s">
        <v>1542</v>
      </c>
      <c r="G295" t="s">
        <v>1543</v>
      </c>
      <c r="H295" t="s">
        <v>228</v>
      </c>
      <c r="I295" t="s">
        <v>15</v>
      </c>
      <c r="J295" t="s">
        <v>230</v>
      </c>
      <c r="K295" t="s">
        <v>1541</v>
      </c>
      <c r="L295" t="s">
        <v>1826</v>
      </c>
      <c r="Q295" s="54"/>
    </row>
    <row r="296" spans="1:17" ht="15.75" customHeight="1" x14ac:dyDescent="0.2">
      <c r="A296">
        <v>296</v>
      </c>
      <c r="B296" t="s">
        <v>1544</v>
      </c>
      <c r="C296" t="s">
        <v>1545</v>
      </c>
      <c r="D296">
        <v>2023</v>
      </c>
      <c r="E296" t="s">
        <v>1290</v>
      </c>
      <c r="F296" t="s">
        <v>1546</v>
      </c>
      <c r="G296" t="s">
        <v>1547</v>
      </c>
      <c r="H296" t="s">
        <v>1293</v>
      </c>
      <c r="I296" t="s">
        <v>15</v>
      </c>
      <c r="J296" t="s">
        <v>230</v>
      </c>
      <c r="K296">
        <v>0</v>
      </c>
      <c r="L296">
        <v>0</v>
      </c>
      <c r="Q296" s="54"/>
    </row>
    <row r="297" spans="1:17" ht="15.75" customHeight="1" x14ac:dyDescent="0.2">
      <c r="A297">
        <v>297</v>
      </c>
      <c r="B297" t="s">
        <v>1548</v>
      </c>
      <c r="C297" t="s">
        <v>1549</v>
      </c>
      <c r="D297">
        <v>2025</v>
      </c>
      <c r="E297" t="s">
        <v>607</v>
      </c>
      <c r="F297" t="s">
        <v>1550</v>
      </c>
      <c r="G297" t="s">
        <v>1551</v>
      </c>
      <c r="H297" t="s">
        <v>610</v>
      </c>
      <c r="I297" t="s">
        <v>15</v>
      </c>
      <c r="J297" t="s">
        <v>230</v>
      </c>
      <c r="K297">
        <v>0</v>
      </c>
      <c r="L297" t="s">
        <v>1552</v>
      </c>
      <c r="Q297" s="54"/>
    </row>
    <row r="298" spans="1:17" ht="15.75" customHeight="1" x14ac:dyDescent="0.2">
      <c r="A298">
        <v>298</v>
      </c>
      <c r="B298" t="s">
        <v>1553</v>
      </c>
      <c r="C298" t="s">
        <v>1554</v>
      </c>
      <c r="D298">
        <v>2024</v>
      </c>
      <c r="E298" t="s">
        <v>1555</v>
      </c>
      <c r="F298" t="s">
        <v>1557</v>
      </c>
      <c r="G298" t="s">
        <v>1558</v>
      </c>
      <c r="H298" t="s">
        <v>473</v>
      </c>
      <c r="I298" t="s">
        <v>15</v>
      </c>
      <c r="J298" t="s">
        <v>230</v>
      </c>
      <c r="K298" t="s">
        <v>1556</v>
      </c>
      <c r="L298" t="s">
        <v>1559</v>
      </c>
      <c r="Q298" s="54"/>
    </row>
    <row r="299" spans="1:17" ht="15.75" customHeight="1" x14ac:dyDescent="0.2">
      <c r="A299">
        <v>299</v>
      </c>
      <c r="B299" t="s">
        <v>405</v>
      </c>
      <c r="C299" t="s">
        <v>1560</v>
      </c>
      <c r="D299">
        <v>2023</v>
      </c>
      <c r="E299" t="s">
        <v>233</v>
      </c>
      <c r="F299" t="s">
        <v>1562</v>
      </c>
      <c r="G299" t="s">
        <v>409</v>
      </c>
      <c r="H299" t="s">
        <v>238</v>
      </c>
      <c r="I299" t="s">
        <v>15</v>
      </c>
      <c r="J299" t="s">
        <v>230</v>
      </c>
      <c r="K299" t="s">
        <v>1561</v>
      </c>
      <c r="L299" t="s">
        <v>237</v>
      </c>
      <c r="Q299" s="54"/>
    </row>
    <row r="300" spans="1:17" ht="15.75" customHeight="1" x14ac:dyDescent="0.2">
      <c r="A300">
        <v>300</v>
      </c>
      <c r="B300" t="s">
        <v>1563</v>
      </c>
      <c r="C300" t="s">
        <v>1564</v>
      </c>
      <c r="D300">
        <v>2022</v>
      </c>
      <c r="E300" t="s">
        <v>1565</v>
      </c>
      <c r="F300" t="s">
        <v>1567</v>
      </c>
      <c r="G300" t="s">
        <v>1568</v>
      </c>
      <c r="H300" t="s">
        <v>987</v>
      </c>
      <c r="I300" t="s">
        <v>15</v>
      </c>
      <c r="J300" t="s">
        <v>230</v>
      </c>
      <c r="K300" t="s">
        <v>1566</v>
      </c>
      <c r="L300">
        <v>0</v>
      </c>
      <c r="Q300" s="54"/>
    </row>
    <row r="301" spans="1:17" ht="15.75" customHeight="1" x14ac:dyDescent="0.2">
      <c r="A301">
        <v>301</v>
      </c>
      <c r="B301" t="s">
        <v>1569</v>
      </c>
      <c r="C301" t="s">
        <v>1570</v>
      </c>
      <c r="D301">
        <v>2024</v>
      </c>
      <c r="E301" t="s">
        <v>1322</v>
      </c>
      <c r="F301" t="s">
        <v>1572</v>
      </c>
      <c r="G301" t="s">
        <v>1573</v>
      </c>
      <c r="H301" t="s">
        <v>282</v>
      </c>
      <c r="I301" t="s">
        <v>15</v>
      </c>
      <c r="J301" t="s">
        <v>253</v>
      </c>
      <c r="K301" t="s">
        <v>1571</v>
      </c>
      <c r="L301" t="s">
        <v>1574</v>
      </c>
      <c r="Q301" s="54"/>
    </row>
    <row r="302" spans="1:17" ht="15.75" customHeight="1" x14ac:dyDescent="0.2">
      <c r="A302">
        <v>302</v>
      </c>
      <c r="B302" t="s">
        <v>1575</v>
      </c>
      <c r="C302" t="s">
        <v>1576</v>
      </c>
      <c r="D302">
        <v>2025</v>
      </c>
      <c r="E302" t="s">
        <v>1577</v>
      </c>
      <c r="F302" t="s">
        <v>1579</v>
      </c>
      <c r="G302" t="s">
        <v>1580</v>
      </c>
      <c r="H302" t="s">
        <v>473</v>
      </c>
      <c r="I302" t="s">
        <v>15</v>
      </c>
      <c r="J302" t="s">
        <v>230</v>
      </c>
      <c r="K302" t="s">
        <v>1578</v>
      </c>
      <c r="L302" t="s">
        <v>1581</v>
      </c>
      <c r="Q302" s="54"/>
    </row>
    <row r="303" spans="1:17" ht="15.75" customHeight="1" x14ac:dyDescent="0.2">
      <c r="A303">
        <v>303</v>
      </c>
      <c r="B303" t="s">
        <v>1582</v>
      </c>
      <c r="C303" t="s">
        <v>1583</v>
      </c>
      <c r="D303">
        <v>2024</v>
      </c>
      <c r="E303" t="s">
        <v>819</v>
      </c>
      <c r="F303" t="s">
        <v>1585</v>
      </c>
      <c r="G303" t="s">
        <v>1586</v>
      </c>
      <c r="H303" t="s">
        <v>823</v>
      </c>
      <c r="I303" t="s">
        <v>15</v>
      </c>
      <c r="J303" t="s">
        <v>230</v>
      </c>
      <c r="K303" t="s">
        <v>1584</v>
      </c>
      <c r="L303">
        <v>0</v>
      </c>
      <c r="Q303" s="54"/>
    </row>
    <row r="304" spans="1:17" ht="15.75" customHeight="1" x14ac:dyDescent="0.2">
      <c r="A304">
        <v>304</v>
      </c>
      <c r="B304" t="s">
        <v>1587</v>
      </c>
      <c r="C304" t="s">
        <v>1588</v>
      </c>
      <c r="D304">
        <v>2022</v>
      </c>
      <c r="E304" t="s">
        <v>233</v>
      </c>
      <c r="F304" t="s">
        <v>1590</v>
      </c>
      <c r="G304" t="s">
        <v>1591</v>
      </c>
      <c r="H304" t="s">
        <v>238</v>
      </c>
      <c r="I304" t="s">
        <v>15</v>
      </c>
      <c r="J304" t="s">
        <v>230</v>
      </c>
      <c r="K304" t="s">
        <v>1589</v>
      </c>
      <c r="L304" t="s">
        <v>1592</v>
      </c>
      <c r="Q304" s="54"/>
    </row>
    <row r="305" spans="1:17" ht="15.75" customHeight="1" x14ac:dyDescent="0.2">
      <c r="A305">
        <v>305</v>
      </c>
      <c r="B305" t="s">
        <v>1593</v>
      </c>
      <c r="C305" t="s">
        <v>1594</v>
      </c>
      <c r="D305">
        <v>2024</v>
      </c>
      <c r="E305" t="s">
        <v>1595</v>
      </c>
      <c r="F305" t="s">
        <v>1597</v>
      </c>
      <c r="G305" t="s">
        <v>1598</v>
      </c>
      <c r="H305" t="s">
        <v>336</v>
      </c>
      <c r="I305" t="s">
        <v>15</v>
      </c>
      <c r="J305" t="s">
        <v>253</v>
      </c>
      <c r="K305" t="s">
        <v>1596</v>
      </c>
      <c r="L305" t="s">
        <v>1599</v>
      </c>
      <c r="Q305" s="54"/>
    </row>
    <row r="306" spans="1:17" ht="15.75" customHeight="1" x14ac:dyDescent="0.2">
      <c r="A306">
        <v>306</v>
      </c>
      <c r="B306" t="s">
        <v>1600</v>
      </c>
      <c r="C306" t="s">
        <v>1601</v>
      </c>
      <c r="D306">
        <v>2025</v>
      </c>
      <c r="E306" t="s">
        <v>1602</v>
      </c>
      <c r="F306" t="s">
        <v>1604</v>
      </c>
      <c r="G306" t="s">
        <v>1605</v>
      </c>
      <c r="H306" t="s">
        <v>1606</v>
      </c>
      <c r="I306" t="s">
        <v>15</v>
      </c>
      <c r="J306" t="s">
        <v>230</v>
      </c>
      <c r="K306" t="s">
        <v>1603</v>
      </c>
      <c r="L306">
        <v>0</v>
      </c>
      <c r="Q306" s="54"/>
    </row>
    <row r="307" spans="1:17" ht="15.75" customHeight="1" x14ac:dyDescent="0.2">
      <c r="A307">
        <v>307</v>
      </c>
      <c r="B307" t="s">
        <v>1607</v>
      </c>
      <c r="C307" t="s">
        <v>1608</v>
      </c>
      <c r="D307">
        <v>2022</v>
      </c>
      <c r="E307" t="s">
        <v>233</v>
      </c>
      <c r="F307" t="s">
        <v>1610</v>
      </c>
      <c r="G307" t="s">
        <v>1611</v>
      </c>
      <c r="H307" t="s">
        <v>238</v>
      </c>
      <c r="I307" t="s">
        <v>15</v>
      </c>
      <c r="J307" t="s">
        <v>230</v>
      </c>
      <c r="K307" t="s">
        <v>1609</v>
      </c>
      <c r="L307" t="s">
        <v>1612</v>
      </c>
      <c r="Q307" s="54"/>
    </row>
    <row r="308" spans="1:17" ht="15.75" customHeight="1" x14ac:dyDescent="0.2">
      <c r="A308">
        <v>308</v>
      </c>
      <c r="B308" t="s">
        <v>1613</v>
      </c>
      <c r="C308" t="s">
        <v>1614</v>
      </c>
      <c r="D308">
        <v>2022</v>
      </c>
      <c r="E308" t="s">
        <v>1615</v>
      </c>
      <c r="F308" t="s">
        <v>1617</v>
      </c>
      <c r="G308" t="s">
        <v>1618</v>
      </c>
      <c r="H308" t="s">
        <v>473</v>
      </c>
      <c r="I308" t="s">
        <v>15</v>
      </c>
      <c r="J308" t="s">
        <v>230</v>
      </c>
      <c r="K308" t="s">
        <v>1616</v>
      </c>
      <c r="L308" t="s">
        <v>1619</v>
      </c>
      <c r="Q308" s="54"/>
    </row>
    <row r="309" spans="1:17" ht="15.75" customHeight="1" x14ac:dyDescent="0.2">
      <c r="A309">
        <v>309</v>
      </c>
      <c r="B309" t="s">
        <v>1620</v>
      </c>
      <c r="C309" t="s">
        <v>1621</v>
      </c>
      <c r="D309">
        <v>2025</v>
      </c>
      <c r="E309" t="s">
        <v>1622</v>
      </c>
      <c r="F309" t="s">
        <v>1624</v>
      </c>
      <c r="G309" t="s">
        <v>1625</v>
      </c>
      <c r="H309" t="s">
        <v>1626</v>
      </c>
      <c r="I309" t="s">
        <v>15</v>
      </c>
      <c r="J309" t="s">
        <v>253</v>
      </c>
      <c r="K309" t="s">
        <v>1623</v>
      </c>
      <c r="L309" t="s">
        <v>1825</v>
      </c>
      <c r="Q309" s="54"/>
    </row>
    <row r="310" spans="1:17" ht="15.75" customHeight="1" x14ac:dyDescent="0.2">
      <c r="A310">
        <v>310</v>
      </c>
      <c r="B310" t="s">
        <v>1627</v>
      </c>
      <c r="C310" t="s">
        <v>1628</v>
      </c>
      <c r="D310">
        <v>2025</v>
      </c>
      <c r="E310" t="s">
        <v>1629</v>
      </c>
      <c r="F310" t="s">
        <v>1631</v>
      </c>
      <c r="G310" t="s">
        <v>1632</v>
      </c>
      <c r="H310" t="s">
        <v>1606</v>
      </c>
      <c r="I310" t="s">
        <v>15</v>
      </c>
      <c r="J310" t="s">
        <v>230</v>
      </c>
      <c r="K310" t="s">
        <v>1630</v>
      </c>
      <c r="L310">
        <v>0</v>
      </c>
      <c r="Q310" s="54"/>
    </row>
    <row r="311" spans="1:17" ht="15.75" customHeight="1" x14ac:dyDescent="0.2">
      <c r="A311">
        <v>311</v>
      </c>
      <c r="B311" t="s">
        <v>1633</v>
      </c>
      <c r="C311" t="s">
        <v>1634</v>
      </c>
      <c r="D311">
        <v>2026</v>
      </c>
      <c r="E311" t="s">
        <v>1635</v>
      </c>
      <c r="F311" t="s">
        <v>1637</v>
      </c>
      <c r="G311" t="s">
        <v>1638</v>
      </c>
      <c r="H311" t="s">
        <v>1639</v>
      </c>
      <c r="I311" t="s">
        <v>15</v>
      </c>
      <c r="J311" t="s">
        <v>545</v>
      </c>
      <c r="K311" t="s">
        <v>1636</v>
      </c>
      <c r="L311">
        <v>0</v>
      </c>
      <c r="Q311" s="54"/>
    </row>
    <row r="312" spans="1:17" ht="15.75" customHeight="1" x14ac:dyDescent="0.2">
      <c r="A312">
        <v>312</v>
      </c>
      <c r="B312" t="s">
        <v>1640</v>
      </c>
      <c r="C312" t="s">
        <v>1641</v>
      </c>
      <c r="D312">
        <v>2025</v>
      </c>
      <c r="E312" t="s">
        <v>1003</v>
      </c>
      <c r="F312" t="s">
        <v>1643</v>
      </c>
      <c r="G312" t="s">
        <v>1644</v>
      </c>
      <c r="H312" t="s">
        <v>350</v>
      </c>
      <c r="I312" t="s">
        <v>15</v>
      </c>
      <c r="J312" t="s">
        <v>230</v>
      </c>
      <c r="K312" t="s">
        <v>1642</v>
      </c>
      <c r="L312" t="s">
        <v>1645</v>
      </c>
      <c r="Q312" s="54"/>
    </row>
    <row r="313" spans="1:17" ht="15.75" customHeight="1" x14ac:dyDescent="0.2">
      <c r="A313">
        <v>313</v>
      </c>
      <c r="B313" t="s">
        <v>1646</v>
      </c>
      <c r="C313" t="s">
        <v>1647</v>
      </c>
      <c r="D313">
        <v>2024</v>
      </c>
      <c r="E313" t="s">
        <v>233</v>
      </c>
      <c r="F313" t="s">
        <v>1649</v>
      </c>
      <c r="G313" t="s">
        <v>1650</v>
      </c>
      <c r="H313" t="s">
        <v>238</v>
      </c>
      <c r="I313" t="s">
        <v>15</v>
      </c>
      <c r="J313" t="s">
        <v>230</v>
      </c>
      <c r="K313" t="s">
        <v>1648</v>
      </c>
      <c r="L313" t="s">
        <v>1651</v>
      </c>
      <c r="Q313" s="54"/>
    </row>
    <row r="314" spans="1:17" ht="15.75" customHeight="1" x14ac:dyDescent="0.2">
      <c r="A314">
        <v>314</v>
      </c>
      <c r="B314" t="s">
        <v>1652</v>
      </c>
      <c r="C314" t="s">
        <v>1653</v>
      </c>
      <c r="D314">
        <v>2025</v>
      </c>
      <c r="E314" t="s">
        <v>1654</v>
      </c>
      <c r="F314" t="s">
        <v>1656</v>
      </c>
      <c r="G314" t="s">
        <v>1657</v>
      </c>
      <c r="H314" t="s">
        <v>473</v>
      </c>
      <c r="I314" t="s">
        <v>15</v>
      </c>
      <c r="J314" t="s">
        <v>230</v>
      </c>
      <c r="K314" t="s">
        <v>1655</v>
      </c>
      <c r="L314" t="s">
        <v>1658</v>
      </c>
      <c r="Q314" s="54"/>
    </row>
    <row r="315" spans="1:17" ht="15.75" customHeight="1" x14ac:dyDescent="0.2">
      <c r="A315">
        <v>315</v>
      </c>
      <c r="B315" t="s">
        <v>744</v>
      </c>
      <c r="C315" t="s">
        <v>1659</v>
      </c>
      <c r="D315">
        <v>2023</v>
      </c>
      <c r="E315" t="s">
        <v>1660</v>
      </c>
      <c r="F315" t="s">
        <v>1662</v>
      </c>
      <c r="G315" t="s">
        <v>1663</v>
      </c>
      <c r="H315" t="s">
        <v>473</v>
      </c>
      <c r="I315" t="s">
        <v>15</v>
      </c>
      <c r="J315" t="s">
        <v>230</v>
      </c>
      <c r="K315" t="s">
        <v>1661</v>
      </c>
      <c r="L315">
        <v>0</v>
      </c>
      <c r="Q315" s="54"/>
    </row>
    <row r="316" spans="1:17" ht="15.75" customHeight="1" x14ac:dyDescent="0.2">
      <c r="A316">
        <v>316</v>
      </c>
      <c r="B316" t="s">
        <v>1247</v>
      </c>
      <c r="C316" t="s">
        <v>1664</v>
      </c>
      <c r="D316">
        <v>2022</v>
      </c>
      <c r="E316" t="s">
        <v>233</v>
      </c>
      <c r="F316" t="s">
        <v>1666</v>
      </c>
      <c r="G316" t="s">
        <v>1251</v>
      </c>
      <c r="H316" t="s">
        <v>238</v>
      </c>
      <c r="I316" t="s">
        <v>15</v>
      </c>
      <c r="J316" t="s">
        <v>230</v>
      </c>
      <c r="K316" t="s">
        <v>1665</v>
      </c>
      <c r="L316" t="s">
        <v>1667</v>
      </c>
      <c r="Q316" s="54"/>
    </row>
    <row r="317" spans="1:17" ht="15.75" customHeight="1" x14ac:dyDescent="0.2">
      <c r="A317">
        <v>317</v>
      </c>
      <c r="B317" t="s">
        <v>1668</v>
      </c>
      <c r="C317" t="s">
        <v>1669</v>
      </c>
      <c r="D317">
        <v>2024</v>
      </c>
      <c r="E317" t="s">
        <v>233</v>
      </c>
      <c r="F317" t="s">
        <v>1671</v>
      </c>
      <c r="G317" t="s">
        <v>1672</v>
      </c>
      <c r="H317" t="s">
        <v>238</v>
      </c>
      <c r="I317" t="s">
        <v>15</v>
      </c>
      <c r="J317" t="s">
        <v>230</v>
      </c>
      <c r="K317" t="s">
        <v>1670</v>
      </c>
      <c r="L317">
        <v>0</v>
      </c>
      <c r="Q317" s="54"/>
    </row>
    <row r="318" spans="1:17" ht="15.75" customHeight="1" x14ac:dyDescent="0.2">
      <c r="A318">
        <v>318</v>
      </c>
      <c r="B318" t="s">
        <v>1673</v>
      </c>
      <c r="C318" t="s">
        <v>1674</v>
      </c>
      <c r="D318">
        <v>2025</v>
      </c>
      <c r="E318" t="s">
        <v>233</v>
      </c>
      <c r="F318" t="s">
        <v>1676</v>
      </c>
      <c r="G318" t="s">
        <v>1677</v>
      </c>
      <c r="H318" t="s">
        <v>238</v>
      </c>
      <c r="I318" t="s">
        <v>15</v>
      </c>
      <c r="J318" t="s">
        <v>230</v>
      </c>
      <c r="K318" t="s">
        <v>1675</v>
      </c>
      <c r="L318" t="s">
        <v>1678</v>
      </c>
      <c r="Q318" s="54"/>
    </row>
    <row r="319" spans="1:17" ht="15.75" customHeight="1" x14ac:dyDescent="0.2">
      <c r="A319">
        <v>319</v>
      </c>
      <c r="B319" t="s">
        <v>1679</v>
      </c>
      <c r="C319" t="s">
        <v>1680</v>
      </c>
      <c r="D319">
        <v>2025</v>
      </c>
      <c r="E319" t="s">
        <v>1681</v>
      </c>
      <c r="F319" t="s">
        <v>1683</v>
      </c>
      <c r="G319" t="s">
        <v>1684</v>
      </c>
      <c r="H319" t="s">
        <v>473</v>
      </c>
      <c r="I319" t="s">
        <v>15</v>
      </c>
      <c r="J319" t="s">
        <v>230</v>
      </c>
      <c r="K319" t="s">
        <v>1682</v>
      </c>
      <c r="L319" t="s">
        <v>1685</v>
      </c>
      <c r="Q319" s="54"/>
    </row>
    <row r="320" spans="1:17" ht="15.75" customHeight="1" x14ac:dyDescent="0.2">
      <c r="A320">
        <v>320</v>
      </c>
      <c r="B320" t="s">
        <v>1686</v>
      </c>
      <c r="C320" t="s">
        <v>1687</v>
      </c>
      <c r="D320">
        <v>2025</v>
      </c>
      <c r="E320" t="s">
        <v>233</v>
      </c>
      <c r="F320" t="s">
        <v>1689</v>
      </c>
      <c r="G320" t="s">
        <v>1690</v>
      </c>
      <c r="H320" t="s">
        <v>238</v>
      </c>
      <c r="I320" t="s">
        <v>15</v>
      </c>
      <c r="J320" t="s">
        <v>230</v>
      </c>
      <c r="K320" t="s">
        <v>1688</v>
      </c>
      <c r="L320" t="s">
        <v>1691</v>
      </c>
      <c r="Q320" s="54"/>
    </row>
    <row r="321" spans="1:17" ht="15.75" customHeight="1" x14ac:dyDescent="0.2">
      <c r="A321">
        <v>321</v>
      </c>
      <c r="B321" t="s">
        <v>1692</v>
      </c>
      <c r="C321" t="s">
        <v>1693</v>
      </c>
      <c r="D321">
        <v>2022</v>
      </c>
      <c r="E321" t="s">
        <v>233</v>
      </c>
      <c r="F321" t="s">
        <v>1695</v>
      </c>
      <c r="G321" t="s">
        <v>1696</v>
      </c>
      <c r="H321" t="s">
        <v>238</v>
      </c>
      <c r="I321" t="s">
        <v>15</v>
      </c>
      <c r="J321" t="s">
        <v>230</v>
      </c>
      <c r="K321" t="s">
        <v>1694</v>
      </c>
      <c r="L321" t="s">
        <v>1697</v>
      </c>
      <c r="Q321" s="54"/>
    </row>
    <row r="322" spans="1:17" ht="15.75" customHeight="1" x14ac:dyDescent="0.2">
      <c r="A322">
        <v>322</v>
      </c>
      <c r="B322" t="s">
        <v>1698</v>
      </c>
      <c r="C322" t="s">
        <v>1699</v>
      </c>
      <c r="D322">
        <v>2023</v>
      </c>
      <c r="E322" t="s">
        <v>233</v>
      </c>
      <c r="F322" t="s">
        <v>1701</v>
      </c>
      <c r="G322" t="s">
        <v>1702</v>
      </c>
      <c r="H322" t="s">
        <v>238</v>
      </c>
      <c r="I322" t="s">
        <v>15</v>
      </c>
      <c r="J322" t="s">
        <v>230</v>
      </c>
      <c r="K322" t="s">
        <v>1700</v>
      </c>
      <c r="L322" t="s">
        <v>1703</v>
      </c>
      <c r="Q322" s="54"/>
    </row>
    <row r="323" spans="1:17" ht="15.75" customHeight="1" x14ac:dyDescent="0.2">
      <c r="A323">
        <v>323</v>
      </c>
      <c r="B323" t="s">
        <v>1704</v>
      </c>
      <c r="C323" t="s">
        <v>1705</v>
      </c>
      <c r="D323">
        <v>2022</v>
      </c>
      <c r="E323" t="s">
        <v>607</v>
      </c>
      <c r="F323" t="s">
        <v>1706</v>
      </c>
      <c r="G323" t="s">
        <v>1707</v>
      </c>
      <c r="H323" t="s">
        <v>610</v>
      </c>
      <c r="I323" t="s">
        <v>15</v>
      </c>
      <c r="J323" t="s">
        <v>230</v>
      </c>
      <c r="K323">
        <v>0</v>
      </c>
      <c r="L323" t="s">
        <v>1708</v>
      </c>
      <c r="Q323" s="54"/>
    </row>
    <row r="324" spans="1:17" ht="15.75" customHeight="1" x14ac:dyDescent="0.2">
      <c r="A324">
        <v>324</v>
      </c>
      <c r="B324" t="s">
        <v>1709</v>
      </c>
      <c r="C324" t="s">
        <v>1710</v>
      </c>
      <c r="D324">
        <v>2022</v>
      </c>
      <c r="E324" t="s">
        <v>1711</v>
      </c>
      <c r="F324" t="s">
        <v>1713</v>
      </c>
      <c r="G324" t="s">
        <v>1714</v>
      </c>
      <c r="H324" t="s">
        <v>473</v>
      </c>
      <c r="I324" t="s">
        <v>15</v>
      </c>
      <c r="J324" t="s">
        <v>230</v>
      </c>
      <c r="K324" t="s">
        <v>1712</v>
      </c>
      <c r="L324">
        <v>0</v>
      </c>
      <c r="Q324" s="54"/>
    </row>
    <row r="325" spans="1:17" ht="15.75" customHeight="1" x14ac:dyDescent="0.2">
      <c r="A325">
        <v>325</v>
      </c>
      <c r="B325" t="s">
        <v>1715</v>
      </c>
      <c r="C325" t="s">
        <v>1716</v>
      </c>
      <c r="D325">
        <v>2025</v>
      </c>
      <c r="E325" t="s">
        <v>1717</v>
      </c>
      <c r="F325" t="s">
        <v>1719</v>
      </c>
      <c r="G325" t="s">
        <v>1720</v>
      </c>
      <c r="H325" t="s">
        <v>1722</v>
      </c>
      <c r="I325" t="s">
        <v>15</v>
      </c>
      <c r="J325" t="s">
        <v>253</v>
      </c>
      <c r="K325" t="s">
        <v>1718</v>
      </c>
      <c r="L325" t="s">
        <v>1721</v>
      </c>
      <c r="Q325" s="54"/>
    </row>
    <row r="326" spans="1:17" ht="15.75" customHeight="1" x14ac:dyDescent="0.2">
      <c r="A326">
        <v>326</v>
      </c>
      <c r="B326" t="s">
        <v>1723</v>
      </c>
      <c r="C326" t="s">
        <v>1724</v>
      </c>
      <c r="D326">
        <v>2022</v>
      </c>
      <c r="E326" t="s">
        <v>233</v>
      </c>
      <c r="F326" t="s">
        <v>1726</v>
      </c>
      <c r="G326" t="s">
        <v>1727</v>
      </c>
      <c r="H326" t="s">
        <v>238</v>
      </c>
      <c r="I326" t="s">
        <v>15</v>
      </c>
      <c r="J326" t="s">
        <v>230</v>
      </c>
      <c r="K326" t="s">
        <v>1725</v>
      </c>
      <c r="L326" t="s">
        <v>1728</v>
      </c>
      <c r="Q326" s="54"/>
    </row>
    <row r="327" spans="1:17" ht="15.75" customHeight="1" x14ac:dyDescent="0.2">
      <c r="A327">
        <v>327</v>
      </c>
      <c r="B327" t="s">
        <v>1729</v>
      </c>
      <c r="C327" t="s">
        <v>1730</v>
      </c>
      <c r="D327">
        <v>2024</v>
      </c>
      <c r="E327" t="s">
        <v>256</v>
      </c>
      <c r="F327" t="s">
        <v>1732</v>
      </c>
      <c r="G327" t="s">
        <v>1733</v>
      </c>
      <c r="H327" t="s">
        <v>260</v>
      </c>
      <c r="I327" t="s">
        <v>15</v>
      </c>
      <c r="J327" t="s">
        <v>253</v>
      </c>
      <c r="K327" t="s">
        <v>1731</v>
      </c>
      <c r="L327" t="s">
        <v>1734</v>
      </c>
      <c r="Q327" s="54"/>
    </row>
    <row r="328" spans="1:17" ht="15.75" customHeight="1" x14ac:dyDescent="0.2">
      <c r="A328">
        <v>328</v>
      </c>
      <c r="B328" t="s">
        <v>1735</v>
      </c>
      <c r="C328" t="s">
        <v>1736</v>
      </c>
      <c r="D328">
        <v>2025</v>
      </c>
      <c r="E328" t="s">
        <v>1737</v>
      </c>
      <c r="F328" t="s">
        <v>1739</v>
      </c>
      <c r="G328" t="s">
        <v>1740</v>
      </c>
      <c r="H328" t="s">
        <v>473</v>
      </c>
      <c r="I328" t="s">
        <v>15</v>
      </c>
      <c r="J328" t="s">
        <v>230</v>
      </c>
      <c r="K328" t="s">
        <v>1738</v>
      </c>
      <c r="L328" t="s">
        <v>1827</v>
      </c>
      <c r="Q328" s="54"/>
    </row>
    <row r="329" spans="1:17" ht="15.75" customHeight="1" x14ac:dyDescent="0.2">
      <c r="A329">
        <v>329</v>
      </c>
      <c r="B329" t="s">
        <v>1741</v>
      </c>
      <c r="C329" t="s">
        <v>1742</v>
      </c>
      <c r="D329">
        <v>2025</v>
      </c>
      <c r="E329" t="s">
        <v>1743</v>
      </c>
      <c r="F329" t="s">
        <v>1745</v>
      </c>
      <c r="G329" t="s">
        <v>1746</v>
      </c>
      <c r="H329" t="s">
        <v>473</v>
      </c>
      <c r="I329" t="s">
        <v>15</v>
      </c>
      <c r="J329" t="s">
        <v>230</v>
      </c>
      <c r="K329" t="s">
        <v>1744</v>
      </c>
      <c r="L329">
        <v>0</v>
      </c>
      <c r="Q329" s="54"/>
    </row>
    <row r="330" spans="1:17" ht="15.75" customHeight="1" x14ac:dyDescent="0.2">
      <c r="A330">
        <v>330</v>
      </c>
      <c r="B330" t="s">
        <v>1747</v>
      </c>
      <c r="C330" t="s">
        <v>1748</v>
      </c>
      <c r="D330">
        <v>2025</v>
      </c>
      <c r="E330" t="s">
        <v>460</v>
      </c>
      <c r="F330" t="s">
        <v>1750</v>
      </c>
      <c r="G330" t="s">
        <v>1751</v>
      </c>
      <c r="H330" t="s">
        <v>465</v>
      </c>
      <c r="I330" t="s">
        <v>15</v>
      </c>
      <c r="J330" t="s">
        <v>253</v>
      </c>
      <c r="K330" t="s">
        <v>1749</v>
      </c>
      <c r="L330" t="s">
        <v>1752</v>
      </c>
      <c r="Q330" s="54"/>
    </row>
    <row r="331" spans="1:17" ht="15.75" customHeight="1" x14ac:dyDescent="0.2">
      <c r="A331">
        <v>331</v>
      </c>
      <c r="B331" t="s">
        <v>1753</v>
      </c>
      <c r="C331" t="s">
        <v>1754</v>
      </c>
      <c r="D331">
        <v>2023</v>
      </c>
      <c r="E331" t="s">
        <v>233</v>
      </c>
      <c r="F331" t="s">
        <v>1756</v>
      </c>
      <c r="G331" t="s">
        <v>1757</v>
      </c>
      <c r="H331" t="s">
        <v>238</v>
      </c>
      <c r="I331" t="s">
        <v>15</v>
      </c>
      <c r="J331" t="s">
        <v>230</v>
      </c>
      <c r="K331" t="s">
        <v>1755</v>
      </c>
      <c r="L331" t="s">
        <v>1758</v>
      </c>
      <c r="Q331" s="54"/>
    </row>
    <row r="332" spans="1:17" s="151" customFormat="1" ht="15.75" customHeight="1" x14ac:dyDescent="0.2">
      <c r="M332" s="152"/>
    </row>
    <row r="333" spans="1:17" s="151" customFormat="1" ht="15.75" customHeight="1" x14ac:dyDescent="0.2">
      <c r="M333" s="152"/>
    </row>
    <row r="334" spans="1:17" ht="15.75" customHeight="1" x14ac:dyDescent="0.2">
      <c r="Q334" s="54"/>
    </row>
    <row r="335" spans="1:17" ht="15.75" customHeight="1" x14ac:dyDescent="0.2">
      <c r="Q335" s="54"/>
    </row>
    <row r="336" spans="1:17" ht="15.75" customHeight="1" x14ac:dyDescent="0.2">
      <c r="Q336" s="54"/>
    </row>
    <row r="337" spans="17:17" ht="15.75" customHeight="1" x14ac:dyDescent="0.2">
      <c r="Q337" s="54"/>
    </row>
    <row r="338" spans="17:17" ht="15.75" customHeight="1" x14ac:dyDescent="0.2">
      <c r="Q338" s="54"/>
    </row>
    <row r="339" spans="17:17" ht="15.75" customHeight="1" x14ac:dyDescent="0.2">
      <c r="Q339" s="54"/>
    </row>
    <row r="340" spans="17:17" ht="15.75" customHeight="1" x14ac:dyDescent="0.2">
      <c r="Q340" s="54"/>
    </row>
    <row r="341" spans="17:17" ht="15.75" customHeight="1" x14ac:dyDescent="0.2">
      <c r="Q341" s="54"/>
    </row>
    <row r="342" spans="17:17" ht="15.75" customHeight="1" x14ac:dyDescent="0.2">
      <c r="Q342" s="54"/>
    </row>
    <row r="343" spans="17:17" ht="15.75" customHeight="1" x14ac:dyDescent="0.2">
      <c r="Q343" s="54"/>
    </row>
    <row r="344" spans="17:17" ht="15.75" customHeight="1" x14ac:dyDescent="0.2">
      <c r="Q344" s="54"/>
    </row>
    <row r="345" spans="17:17" ht="15.75" customHeight="1" x14ac:dyDescent="0.2">
      <c r="Q345" s="54"/>
    </row>
    <row r="346" spans="17:17" ht="15.75" customHeight="1" x14ac:dyDescent="0.2">
      <c r="Q346" s="54"/>
    </row>
    <row r="347" spans="17:17" ht="15.75" customHeight="1" x14ac:dyDescent="0.2">
      <c r="Q347" s="54"/>
    </row>
    <row r="348" spans="17:17" ht="15.75" customHeight="1" x14ac:dyDescent="0.2">
      <c r="Q348" s="54"/>
    </row>
    <row r="349" spans="17:17" ht="15.75" customHeight="1" x14ac:dyDescent="0.2">
      <c r="Q349" s="54"/>
    </row>
    <row r="350" spans="17:17" ht="15.75" customHeight="1" x14ac:dyDescent="0.2">
      <c r="Q350" s="54"/>
    </row>
    <row r="351" spans="17:17" ht="15.75" customHeight="1" x14ac:dyDescent="0.2">
      <c r="Q351" s="54"/>
    </row>
    <row r="352" spans="17:17" ht="15.75" customHeight="1" x14ac:dyDescent="0.2">
      <c r="Q352" s="54"/>
    </row>
    <row r="353" spans="17:17" ht="15.75" customHeight="1" x14ac:dyDescent="0.2">
      <c r="Q353" s="54"/>
    </row>
    <row r="354" spans="17:17" ht="15.75" customHeight="1" x14ac:dyDescent="0.2">
      <c r="Q354" s="54"/>
    </row>
    <row r="355" spans="17:17" ht="15.75" customHeight="1" x14ac:dyDescent="0.2">
      <c r="Q355" s="54"/>
    </row>
    <row r="356" spans="17:17" ht="15.75" customHeight="1" x14ac:dyDescent="0.2">
      <c r="Q356" s="54"/>
    </row>
    <row r="357" spans="17:17" ht="15.75" customHeight="1" x14ac:dyDescent="0.2">
      <c r="Q357" s="54"/>
    </row>
    <row r="358" spans="17:17" ht="15.75" customHeight="1" x14ac:dyDescent="0.2">
      <c r="Q358" s="54"/>
    </row>
    <row r="359" spans="17:17" ht="15.75" customHeight="1" x14ac:dyDescent="0.2">
      <c r="Q359" s="54"/>
    </row>
    <row r="360" spans="17:17" ht="15.75" customHeight="1" x14ac:dyDescent="0.2">
      <c r="Q360" s="54"/>
    </row>
    <row r="361" spans="17:17" ht="15.75" customHeight="1" x14ac:dyDescent="0.2">
      <c r="Q361" s="54"/>
    </row>
    <row r="362" spans="17:17" ht="15.75" customHeight="1" x14ac:dyDescent="0.2">
      <c r="Q362" s="54"/>
    </row>
    <row r="363" spans="17:17" ht="15.75" customHeight="1" x14ac:dyDescent="0.2">
      <c r="Q363" s="54"/>
    </row>
    <row r="364" spans="17:17" ht="15.75" customHeight="1" x14ac:dyDescent="0.2">
      <c r="Q364" s="54"/>
    </row>
    <row r="365" spans="17:17" ht="15.75" customHeight="1" x14ac:dyDescent="0.2">
      <c r="Q365" s="54"/>
    </row>
    <row r="366" spans="17:17" ht="15.75" customHeight="1" x14ac:dyDescent="0.2">
      <c r="Q366" s="54"/>
    </row>
    <row r="367" spans="17:17" ht="15.75" customHeight="1" x14ac:dyDescent="0.2">
      <c r="Q367" s="54"/>
    </row>
    <row r="368" spans="17:17" ht="15.75" customHeight="1" x14ac:dyDescent="0.2">
      <c r="Q368" s="54"/>
    </row>
    <row r="369" spans="17:17" ht="15.75" customHeight="1" x14ac:dyDescent="0.2">
      <c r="Q369" s="54"/>
    </row>
    <row r="370" spans="17:17" ht="15.75" customHeight="1" x14ac:dyDescent="0.2">
      <c r="Q370" s="54"/>
    </row>
    <row r="371" spans="17:17" ht="15.75" customHeight="1" x14ac:dyDescent="0.2">
      <c r="Q371" s="54"/>
    </row>
    <row r="372" spans="17:17" ht="15.75" customHeight="1" x14ac:dyDescent="0.2">
      <c r="Q372" s="54"/>
    </row>
    <row r="373" spans="17:17" ht="15.75" customHeight="1" x14ac:dyDescent="0.2">
      <c r="Q373" s="54"/>
    </row>
    <row r="374" spans="17:17" ht="15.75" customHeight="1" x14ac:dyDescent="0.2">
      <c r="Q374" s="54"/>
    </row>
    <row r="375" spans="17:17" ht="15.75" customHeight="1" x14ac:dyDescent="0.2">
      <c r="Q375" s="54"/>
    </row>
    <row r="376" spans="17:17" ht="15.75" customHeight="1" x14ac:dyDescent="0.2">
      <c r="Q376" s="54"/>
    </row>
    <row r="377" spans="17:17" ht="15.75" customHeight="1" x14ac:dyDescent="0.2">
      <c r="Q377" s="54"/>
    </row>
    <row r="378" spans="17:17" ht="15.75" customHeight="1" x14ac:dyDescent="0.2">
      <c r="Q378" s="54"/>
    </row>
    <row r="379" spans="17:17" ht="15.75" customHeight="1" x14ac:dyDescent="0.2">
      <c r="Q379" s="54"/>
    </row>
    <row r="380" spans="17:17" ht="15.75" customHeight="1" x14ac:dyDescent="0.2">
      <c r="Q380" s="54"/>
    </row>
    <row r="381" spans="17:17" ht="15.75" customHeight="1" x14ac:dyDescent="0.2">
      <c r="Q381" s="54"/>
    </row>
    <row r="382" spans="17:17" ht="15.75" customHeight="1" x14ac:dyDescent="0.2">
      <c r="Q382" s="54"/>
    </row>
    <row r="383" spans="17:17" ht="15.75" customHeight="1" x14ac:dyDescent="0.2">
      <c r="Q383" s="54"/>
    </row>
    <row r="384" spans="17:17" ht="15.75" customHeight="1" x14ac:dyDescent="0.2">
      <c r="Q384" s="54"/>
    </row>
    <row r="385" spans="17:17" ht="15.75" customHeight="1" x14ac:dyDescent="0.2">
      <c r="Q385" s="54"/>
    </row>
    <row r="386" spans="17:17" ht="15.75" customHeight="1" x14ac:dyDescent="0.2">
      <c r="Q386" s="54"/>
    </row>
    <row r="387" spans="17:17" ht="15.75" customHeight="1" x14ac:dyDescent="0.2">
      <c r="Q387" s="54"/>
    </row>
    <row r="388" spans="17:17" ht="15.75" customHeight="1" x14ac:dyDescent="0.2">
      <c r="Q388" s="54"/>
    </row>
    <row r="389" spans="17:17" ht="15.75" customHeight="1" x14ac:dyDescent="0.2">
      <c r="Q389" s="54"/>
    </row>
    <row r="390" spans="17:17" ht="15.75" customHeight="1" x14ac:dyDescent="0.2">
      <c r="Q390" s="54"/>
    </row>
    <row r="391" spans="17:17" ht="15.75" customHeight="1" x14ac:dyDescent="0.2">
      <c r="Q391" s="54"/>
    </row>
    <row r="392" spans="17:17" ht="15.75" customHeight="1" x14ac:dyDescent="0.2">
      <c r="Q392" s="54"/>
    </row>
    <row r="393" spans="17:17" ht="15.75" customHeight="1" x14ac:dyDescent="0.2">
      <c r="Q393" s="54"/>
    </row>
    <row r="394" spans="17:17" ht="15.75" customHeight="1" x14ac:dyDescent="0.2">
      <c r="Q394" s="54"/>
    </row>
    <row r="395" spans="17:17" ht="15.75" customHeight="1" x14ac:dyDescent="0.2">
      <c r="Q395" s="54"/>
    </row>
    <row r="396" spans="17:17" ht="15.75" customHeight="1" x14ac:dyDescent="0.2">
      <c r="Q396" s="54"/>
    </row>
    <row r="397" spans="17:17" ht="15.75" customHeight="1" x14ac:dyDescent="0.2">
      <c r="Q397" s="54"/>
    </row>
    <row r="398" spans="17:17" ht="15.75" customHeight="1" x14ac:dyDescent="0.2">
      <c r="Q398" s="54"/>
    </row>
    <row r="399" spans="17:17" ht="15.75" customHeight="1" x14ac:dyDescent="0.2">
      <c r="Q399" s="54"/>
    </row>
    <row r="400" spans="17:17" ht="15.75" customHeight="1" x14ac:dyDescent="0.2">
      <c r="Q400" s="54"/>
    </row>
    <row r="401" spans="17:17" ht="15.75" customHeight="1" x14ac:dyDescent="0.2">
      <c r="Q401" s="54"/>
    </row>
    <row r="402" spans="17:17" ht="15.75" customHeight="1" x14ac:dyDescent="0.2">
      <c r="Q402" s="54"/>
    </row>
    <row r="403" spans="17:17" ht="15.75" customHeight="1" x14ac:dyDescent="0.2">
      <c r="Q403" s="54"/>
    </row>
    <row r="404" spans="17:17" ht="15.75" customHeight="1" x14ac:dyDescent="0.2">
      <c r="Q404" s="54"/>
    </row>
    <row r="405" spans="17:17" ht="15.75" customHeight="1" x14ac:dyDescent="0.2">
      <c r="Q405" s="54"/>
    </row>
    <row r="406" spans="17:17" ht="15.75" customHeight="1" x14ac:dyDescent="0.2">
      <c r="Q406" s="54"/>
    </row>
    <row r="407" spans="17:17" ht="15.75" customHeight="1" x14ac:dyDescent="0.2">
      <c r="Q407" s="54"/>
    </row>
    <row r="408" spans="17:17" ht="15.75" customHeight="1" x14ac:dyDescent="0.2">
      <c r="Q408" s="54"/>
    </row>
    <row r="409" spans="17:17" ht="15.75" customHeight="1" x14ac:dyDescent="0.2">
      <c r="Q409" s="54"/>
    </row>
    <row r="410" spans="17:17" ht="15.75" customHeight="1" x14ac:dyDescent="0.2">
      <c r="Q410" s="54"/>
    </row>
    <row r="411" spans="17:17" ht="15.75" customHeight="1" x14ac:dyDescent="0.2">
      <c r="Q411" s="54"/>
    </row>
    <row r="412" spans="17:17" ht="15.75" customHeight="1" x14ac:dyDescent="0.2">
      <c r="Q412" s="54"/>
    </row>
    <row r="413" spans="17:17" ht="15.75" customHeight="1" x14ac:dyDescent="0.2">
      <c r="Q413" s="54"/>
    </row>
    <row r="414" spans="17:17" ht="15.75" customHeight="1" x14ac:dyDescent="0.2">
      <c r="Q414" s="54"/>
    </row>
    <row r="415" spans="17:17" ht="15.75" customHeight="1" x14ac:dyDescent="0.2">
      <c r="Q415" s="54"/>
    </row>
    <row r="416" spans="17:17" ht="15.75" customHeight="1" x14ac:dyDescent="0.2">
      <c r="Q416" s="54"/>
    </row>
    <row r="417" spans="17:17" ht="15.75" customHeight="1" x14ac:dyDescent="0.2">
      <c r="Q417" s="54"/>
    </row>
    <row r="418" spans="17:17" ht="15.75" customHeight="1" x14ac:dyDescent="0.2">
      <c r="Q418" s="54"/>
    </row>
    <row r="419" spans="17:17" ht="15.75" customHeight="1" x14ac:dyDescent="0.2">
      <c r="Q419" s="54"/>
    </row>
    <row r="420" spans="17:17" ht="15.75" customHeight="1" x14ac:dyDescent="0.2">
      <c r="Q420" s="54"/>
    </row>
    <row r="421" spans="17:17" ht="15.75" customHeight="1" x14ac:dyDescent="0.2">
      <c r="Q421" s="54"/>
    </row>
    <row r="422" spans="17:17" ht="15.75" customHeight="1" x14ac:dyDescent="0.2">
      <c r="Q422" s="54"/>
    </row>
    <row r="423" spans="17:17" ht="15.75" customHeight="1" x14ac:dyDescent="0.2">
      <c r="Q423" s="54"/>
    </row>
    <row r="424" spans="17:17" ht="15.75" customHeight="1" x14ac:dyDescent="0.2">
      <c r="Q424" s="54"/>
    </row>
    <row r="425" spans="17:17" ht="15.75" customHeight="1" x14ac:dyDescent="0.2">
      <c r="Q425" s="54"/>
    </row>
    <row r="426" spans="17:17" ht="15.75" customHeight="1" x14ac:dyDescent="0.2">
      <c r="Q426" s="54"/>
    </row>
    <row r="427" spans="17:17" ht="15.75" customHeight="1" x14ac:dyDescent="0.2">
      <c r="Q427" s="54"/>
    </row>
    <row r="428" spans="17:17" ht="15.75" customHeight="1" x14ac:dyDescent="0.2">
      <c r="Q428" s="54"/>
    </row>
    <row r="429" spans="17:17" ht="15.75" customHeight="1" x14ac:dyDescent="0.2">
      <c r="Q429" s="54"/>
    </row>
    <row r="430" spans="17:17" ht="15.75" customHeight="1" x14ac:dyDescent="0.2">
      <c r="Q430" s="54"/>
    </row>
    <row r="431" spans="17:17" ht="15.75" customHeight="1" x14ac:dyDescent="0.2">
      <c r="Q431" s="54"/>
    </row>
    <row r="432" spans="17:17" ht="15.75" customHeight="1" x14ac:dyDescent="0.2">
      <c r="Q432" s="54"/>
    </row>
    <row r="433" spans="17:17" ht="15.75" customHeight="1" x14ac:dyDescent="0.2">
      <c r="Q433" s="54"/>
    </row>
    <row r="434" spans="17:17" ht="15.75" customHeight="1" x14ac:dyDescent="0.2">
      <c r="Q434" s="54"/>
    </row>
    <row r="435" spans="17:17" ht="15.75" customHeight="1" x14ac:dyDescent="0.2">
      <c r="Q435" s="54"/>
    </row>
    <row r="436" spans="17:17" ht="15.75" customHeight="1" x14ac:dyDescent="0.2">
      <c r="Q436" s="54"/>
    </row>
    <row r="437" spans="17:17" ht="15.75" customHeight="1" x14ac:dyDescent="0.2">
      <c r="Q437" s="54"/>
    </row>
    <row r="438" spans="17:17" ht="15.75" customHeight="1" x14ac:dyDescent="0.2">
      <c r="Q438" s="54"/>
    </row>
    <row r="439" spans="17:17" ht="15.75" customHeight="1" x14ac:dyDescent="0.2">
      <c r="Q439" s="54"/>
    </row>
    <row r="440" spans="17:17" ht="15.75" customHeight="1" x14ac:dyDescent="0.2">
      <c r="Q440" s="54"/>
    </row>
    <row r="441" spans="17:17" ht="15.75" customHeight="1" x14ac:dyDescent="0.2">
      <c r="Q441" s="54"/>
    </row>
    <row r="442" spans="17:17" ht="15.75" customHeight="1" x14ac:dyDescent="0.2">
      <c r="Q442" s="54"/>
    </row>
    <row r="443" spans="17:17" ht="15.75" customHeight="1" x14ac:dyDescent="0.2">
      <c r="Q443" s="54"/>
    </row>
    <row r="444" spans="17:17" ht="15.75" customHeight="1" x14ac:dyDescent="0.2">
      <c r="Q444" s="54"/>
    </row>
    <row r="445" spans="17:17" ht="15.75" customHeight="1" x14ac:dyDescent="0.2">
      <c r="Q445" s="54"/>
    </row>
    <row r="446" spans="17:17" ht="15.75" customHeight="1" x14ac:dyDescent="0.2">
      <c r="Q446" s="54"/>
    </row>
    <row r="447" spans="17:17" ht="15.75" customHeight="1" x14ac:dyDescent="0.2">
      <c r="Q447" s="54"/>
    </row>
    <row r="448" spans="17:17" ht="15.75" customHeight="1" x14ac:dyDescent="0.2">
      <c r="Q448" s="54"/>
    </row>
    <row r="449" spans="17:17" ht="15.75" customHeight="1" x14ac:dyDescent="0.2">
      <c r="Q449" s="54"/>
    </row>
    <row r="450" spans="17:17" ht="15.75" customHeight="1" x14ac:dyDescent="0.2">
      <c r="Q450" s="54"/>
    </row>
    <row r="451" spans="17:17" ht="15.75" customHeight="1" x14ac:dyDescent="0.2">
      <c r="Q451" s="54"/>
    </row>
    <row r="452" spans="17:17" ht="15.75" customHeight="1" x14ac:dyDescent="0.2">
      <c r="Q452" s="54"/>
    </row>
    <row r="453" spans="17:17" ht="15.75" customHeight="1" x14ac:dyDescent="0.2">
      <c r="Q453" s="54"/>
    </row>
    <row r="454" spans="17:17" ht="15.75" customHeight="1" x14ac:dyDescent="0.2">
      <c r="Q454" s="54"/>
    </row>
    <row r="455" spans="17:17" ht="15.75" customHeight="1" x14ac:dyDescent="0.2">
      <c r="Q455" s="54"/>
    </row>
    <row r="456" spans="17:17" ht="15.75" customHeight="1" x14ac:dyDescent="0.2">
      <c r="Q456" s="54"/>
    </row>
    <row r="457" spans="17:17" ht="15.75" customHeight="1" x14ac:dyDescent="0.2">
      <c r="Q457" s="54"/>
    </row>
    <row r="458" spans="17:17" ht="15.75" customHeight="1" x14ac:dyDescent="0.2">
      <c r="Q458" s="54"/>
    </row>
    <row r="459" spans="17:17" ht="15.75" customHeight="1" x14ac:dyDescent="0.2">
      <c r="Q459" s="54"/>
    </row>
    <row r="460" spans="17:17" ht="15.75" customHeight="1" x14ac:dyDescent="0.2">
      <c r="Q460" s="54"/>
    </row>
    <row r="461" spans="17:17" ht="15.75" customHeight="1" x14ac:dyDescent="0.2">
      <c r="Q461" s="54"/>
    </row>
    <row r="462" spans="17:17" ht="15.75" customHeight="1" x14ac:dyDescent="0.2">
      <c r="Q462" s="54"/>
    </row>
    <row r="463" spans="17:17" ht="15.75" customHeight="1" x14ac:dyDescent="0.2">
      <c r="Q463" s="54"/>
    </row>
    <row r="464" spans="17:17" ht="15.75" customHeight="1" x14ac:dyDescent="0.2">
      <c r="Q464" s="54"/>
    </row>
    <row r="465" spans="17:17" ht="15.75" customHeight="1" x14ac:dyDescent="0.2">
      <c r="Q465" s="54"/>
    </row>
    <row r="466" spans="17:17" ht="15.75" customHeight="1" x14ac:dyDescent="0.2">
      <c r="Q466" s="54"/>
    </row>
    <row r="467" spans="17:17" ht="15.75" customHeight="1" x14ac:dyDescent="0.2">
      <c r="Q467" s="54"/>
    </row>
    <row r="468" spans="17:17" ht="15.75" customHeight="1" x14ac:dyDescent="0.2">
      <c r="Q468" s="54"/>
    </row>
    <row r="469" spans="17:17" ht="15.75" customHeight="1" x14ac:dyDescent="0.2">
      <c r="Q469" s="54"/>
    </row>
    <row r="470" spans="17:17" ht="15.75" customHeight="1" x14ac:dyDescent="0.2">
      <c r="Q470" s="54"/>
    </row>
    <row r="471" spans="17:17" ht="15.75" customHeight="1" x14ac:dyDescent="0.2">
      <c r="Q471" s="54"/>
    </row>
    <row r="472" spans="17:17" ht="15.75" customHeight="1" x14ac:dyDescent="0.2">
      <c r="Q472" s="54"/>
    </row>
    <row r="473" spans="17:17" ht="15.75" customHeight="1" x14ac:dyDescent="0.2">
      <c r="Q473" s="54"/>
    </row>
    <row r="474" spans="17:17" ht="15.75" customHeight="1" x14ac:dyDescent="0.2">
      <c r="Q474" s="54"/>
    </row>
    <row r="475" spans="17:17" ht="15.75" customHeight="1" x14ac:dyDescent="0.2">
      <c r="Q475" s="54"/>
    </row>
    <row r="476" spans="17:17" ht="15.75" customHeight="1" x14ac:dyDescent="0.2">
      <c r="Q476" s="54"/>
    </row>
    <row r="477" spans="17:17" ht="15.75" customHeight="1" x14ac:dyDescent="0.2">
      <c r="Q477" s="54"/>
    </row>
    <row r="478" spans="17:17" ht="15.75" customHeight="1" x14ac:dyDescent="0.2">
      <c r="Q478" s="54"/>
    </row>
    <row r="479" spans="17:17" ht="15.75" customHeight="1" x14ac:dyDescent="0.2">
      <c r="Q479" s="54"/>
    </row>
    <row r="480" spans="17:17" ht="15.75" customHeight="1" x14ac:dyDescent="0.2">
      <c r="Q480" s="54"/>
    </row>
    <row r="481" spans="17:17" ht="15.75" customHeight="1" x14ac:dyDescent="0.2">
      <c r="Q481" s="54"/>
    </row>
    <row r="482" spans="17:17" ht="15.75" customHeight="1" x14ac:dyDescent="0.2">
      <c r="Q482" s="54"/>
    </row>
    <row r="483" spans="17:17" ht="15.75" customHeight="1" x14ac:dyDescent="0.2">
      <c r="Q483" s="54"/>
    </row>
    <row r="484" spans="17:17" ht="15.75" customHeight="1" x14ac:dyDescent="0.2">
      <c r="Q484" s="54"/>
    </row>
    <row r="485" spans="17:17" ht="15.75" customHeight="1" x14ac:dyDescent="0.2">
      <c r="Q485" s="54"/>
    </row>
    <row r="486" spans="17:17" ht="15.75" customHeight="1" x14ac:dyDescent="0.2">
      <c r="Q486" s="54"/>
    </row>
    <row r="487" spans="17:17" ht="15.75" customHeight="1" x14ac:dyDescent="0.2">
      <c r="Q487" s="54"/>
    </row>
    <row r="488" spans="17:17" ht="15.75" customHeight="1" x14ac:dyDescent="0.2">
      <c r="Q488" s="54"/>
    </row>
    <row r="489" spans="17:17" ht="15.75" customHeight="1" x14ac:dyDescent="0.2">
      <c r="Q489" s="54"/>
    </row>
    <row r="490" spans="17:17" ht="15.75" customHeight="1" x14ac:dyDescent="0.2">
      <c r="Q490" s="54"/>
    </row>
    <row r="491" spans="17:17" ht="15.75" customHeight="1" x14ac:dyDescent="0.2">
      <c r="Q491" s="54"/>
    </row>
    <row r="492" spans="17:17" ht="15.75" customHeight="1" x14ac:dyDescent="0.2">
      <c r="Q492" s="54"/>
    </row>
    <row r="493" spans="17:17" ht="15.75" customHeight="1" x14ac:dyDescent="0.2">
      <c r="Q493" s="54"/>
    </row>
    <row r="494" spans="17:17" ht="15.75" customHeight="1" x14ac:dyDescent="0.2">
      <c r="Q494" s="54"/>
    </row>
    <row r="495" spans="17:17" ht="15.75" customHeight="1" x14ac:dyDescent="0.2">
      <c r="Q495" s="54"/>
    </row>
    <row r="496" spans="17:17" ht="15.75" customHeight="1" x14ac:dyDescent="0.2">
      <c r="Q496" s="54"/>
    </row>
    <row r="497" spans="17:17" ht="15.75" customHeight="1" x14ac:dyDescent="0.2">
      <c r="Q497" s="54"/>
    </row>
    <row r="498" spans="17:17" ht="15.75" customHeight="1" x14ac:dyDescent="0.2">
      <c r="Q498" s="54"/>
    </row>
    <row r="499" spans="17:17" ht="15.75" customHeight="1" x14ac:dyDescent="0.2">
      <c r="Q499" s="54"/>
    </row>
    <row r="500" spans="17:17" ht="15.75" customHeight="1" x14ac:dyDescent="0.2">
      <c r="Q500" s="54"/>
    </row>
    <row r="501" spans="17:17" ht="15.75" customHeight="1" x14ac:dyDescent="0.2">
      <c r="Q501" s="54"/>
    </row>
    <row r="502" spans="17:17" ht="15.75" customHeight="1" x14ac:dyDescent="0.2">
      <c r="Q502" s="54"/>
    </row>
    <row r="503" spans="17:17" ht="15.75" customHeight="1" x14ac:dyDescent="0.2">
      <c r="Q503" s="54"/>
    </row>
    <row r="504" spans="17:17" ht="15.75" customHeight="1" x14ac:dyDescent="0.2">
      <c r="Q504" s="54"/>
    </row>
    <row r="505" spans="17:17" ht="15.75" customHeight="1" x14ac:dyDescent="0.2">
      <c r="Q505" s="54"/>
    </row>
    <row r="506" spans="17:17" ht="15.75" customHeight="1" x14ac:dyDescent="0.2">
      <c r="Q506" s="54"/>
    </row>
    <row r="507" spans="17:17" ht="15.75" customHeight="1" x14ac:dyDescent="0.2">
      <c r="Q507" s="54"/>
    </row>
    <row r="508" spans="17:17" ht="15.75" customHeight="1" x14ac:dyDescent="0.2">
      <c r="Q508" s="54"/>
    </row>
    <row r="509" spans="17:17" ht="15.75" customHeight="1" x14ac:dyDescent="0.2">
      <c r="Q509" s="54"/>
    </row>
    <row r="510" spans="17:17" ht="15.75" customHeight="1" x14ac:dyDescent="0.2">
      <c r="Q510" s="54"/>
    </row>
    <row r="511" spans="17:17" ht="15.75" customHeight="1" x14ac:dyDescent="0.2">
      <c r="Q511" s="54"/>
    </row>
    <row r="512" spans="17:17" ht="15.75" customHeight="1" x14ac:dyDescent="0.2">
      <c r="Q512" s="54"/>
    </row>
    <row r="513" spans="17:17" ht="15.75" customHeight="1" x14ac:dyDescent="0.2">
      <c r="Q513" s="54"/>
    </row>
    <row r="514" spans="17:17" ht="15.75" customHeight="1" x14ac:dyDescent="0.2">
      <c r="Q514" s="54"/>
    </row>
    <row r="515" spans="17:17" ht="15.75" customHeight="1" x14ac:dyDescent="0.2">
      <c r="Q515" s="54"/>
    </row>
    <row r="516" spans="17:17" ht="15.75" customHeight="1" x14ac:dyDescent="0.2">
      <c r="Q516" s="54"/>
    </row>
    <row r="517" spans="17:17" ht="15.75" customHeight="1" x14ac:dyDescent="0.2">
      <c r="Q517" s="54"/>
    </row>
    <row r="518" spans="17:17" ht="15.75" customHeight="1" x14ac:dyDescent="0.2">
      <c r="Q518" s="54"/>
    </row>
    <row r="519" spans="17:17" ht="15.75" customHeight="1" x14ac:dyDescent="0.2">
      <c r="Q519" s="54"/>
    </row>
    <row r="520" spans="17:17" ht="15.75" customHeight="1" x14ac:dyDescent="0.2">
      <c r="Q520" s="54"/>
    </row>
    <row r="521" spans="17:17" ht="15.75" customHeight="1" x14ac:dyDescent="0.2">
      <c r="Q521" s="54"/>
    </row>
    <row r="522" spans="17:17" ht="15.75" customHeight="1" x14ac:dyDescent="0.2">
      <c r="Q522" s="54"/>
    </row>
    <row r="523" spans="17:17" ht="15.75" customHeight="1" x14ac:dyDescent="0.2">
      <c r="Q523" s="54"/>
    </row>
    <row r="524" spans="17:17" ht="15.75" customHeight="1" x14ac:dyDescent="0.2">
      <c r="Q524" s="54"/>
    </row>
    <row r="525" spans="17:17" ht="15.75" customHeight="1" x14ac:dyDescent="0.2">
      <c r="Q525" s="54"/>
    </row>
    <row r="526" spans="17:17" ht="15.75" customHeight="1" x14ac:dyDescent="0.2">
      <c r="Q526" s="54"/>
    </row>
    <row r="527" spans="17:17" ht="15.75" customHeight="1" x14ac:dyDescent="0.2">
      <c r="Q527" s="54"/>
    </row>
    <row r="528" spans="17:17" ht="15.75" customHeight="1" x14ac:dyDescent="0.2">
      <c r="Q528" s="54"/>
    </row>
    <row r="529" spans="17:17" ht="15.75" customHeight="1" x14ac:dyDescent="0.2">
      <c r="Q529" s="54"/>
    </row>
    <row r="530" spans="17:17" ht="15.75" customHeight="1" x14ac:dyDescent="0.2">
      <c r="Q530" s="54"/>
    </row>
    <row r="531" spans="17:17" ht="15.75" customHeight="1" x14ac:dyDescent="0.2">
      <c r="Q531" s="54"/>
    </row>
    <row r="532" spans="17:17" ht="15.75" customHeight="1" x14ac:dyDescent="0.2">
      <c r="Q532" s="54"/>
    </row>
    <row r="533" spans="17:17" ht="15.75" customHeight="1" x14ac:dyDescent="0.2">
      <c r="Q533" s="54"/>
    </row>
    <row r="534" spans="17:17" ht="15.75" customHeight="1" x14ac:dyDescent="0.2">
      <c r="Q534" s="54"/>
    </row>
    <row r="535" spans="17:17" ht="15.75" customHeight="1" x14ac:dyDescent="0.2">
      <c r="Q535" s="54"/>
    </row>
    <row r="536" spans="17:17" ht="15.75" customHeight="1" x14ac:dyDescent="0.2">
      <c r="Q536" s="54"/>
    </row>
    <row r="537" spans="17:17" ht="15.75" customHeight="1" x14ac:dyDescent="0.2">
      <c r="Q537" s="54"/>
    </row>
    <row r="538" spans="17:17" ht="15.75" customHeight="1" x14ac:dyDescent="0.2">
      <c r="Q538" s="54"/>
    </row>
    <row r="539" spans="17:17" ht="15.75" customHeight="1" x14ac:dyDescent="0.2">
      <c r="Q539" s="54"/>
    </row>
    <row r="540" spans="17:17" ht="15.75" customHeight="1" x14ac:dyDescent="0.2">
      <c r="Q540" s="54"/>
    </row>
    <row r="541" spans="17:17" ht="15.75" customHeight="1" x14ac:dyDescent="0.2">
      <c r="Q541" s="54"/>
    </row>
    <row r="542" spans="17:17" ht="15.75" customHeight="1" x14ac:dyDescent="0.2">
      <c r="Q542" s="54"/>
    </row>
    <row r="543" spans="17:17" ht="15.75" customHeight="1" x14ac:dyDescent="0.2">
      <c r="Q543" s="54"/>
    </row>
    <row r="544" spans="17:17" ht="15.75" customHeight="1" x14ac:dyDescent="0.2">
      <c r="Q544" s="54"/>
    </row>
    <row r="545" spans="17:17" ht="15.75" customHeight="1" x14ac:dyDescent="0.2">
      <c r="Q545" s="54"/>
    </row>
    <row r="546" spans="17:17" ht="15.75" customHeight="1" x14ac:dyDescent="0.2">
      <c r="Q546" s="54"/>
    </row>
    <row r="547" spans="17:17" ht="15.75" customHeight="1" x14ac:dyDescent="0.2">
      <c r="Q547" s="54"/>
    </row>
    <row r="548" spans="17:17" ht="15.75" customHeight="1" x14ac:dyDescent="0.2">
      <c r="Q548" s="54"/>
    </row>
    <row r="549" spans="17:17" ht="15.75" customHeight="1" x14ac:dyDescent="0.2">
      <c r="Q549" s="54"/>
    </row>
    <row r="550" spans="17:17" ht="15.75" customHeight="1" x14ac:dyDescent="0.2">
      <c r="Q550" s="54"/>
    </row>
    <row r="551" spans="17:17" ht="15.75" customHeight="1" x14ac:dyDescent="0.2">
      <c r="Q551" s="54"/>
    </row>
    <row r="552" spans="17:17" ht="15.75" customHeight="1" x14ac:dyDescent="0.2">
      <c r="Q552" s="54"/>
    </row>
    <row r="553" spans="17:17" ht="15.75" customHeight="1" x14ac:dyDescent="0.2">
      <c r="Q553" s="54"/>
    </row>
    <row r="554" spans="17:17" ht="15.75" customHeight="1" x14ac:dyDescent="0.2">
      <c r="Q554" s="54"/>
    </row>
    <row r="555" spans="17:17" ht="15.75" customHeight="1" x14ac:dyDescent="0.2">
      <c r="Q555" s="54"/>
    </row>
    <row r="556" spans="17:17" ht="15.75" customHeight="1" x14ac:dyDescent="0.2">
      <c r="Q556" s="54"/>
    </row>
    <row r="557" spans="17:17" ht="15.75" customHeight="1" x14ac:dyDescent="0.2">
      <c r="Q557" s="54"/>
    </row>
    <row r="558" spans="17:17" ht="15.75" customHeight="1" x14ac:dyDescent="0.2">
      <c r="Q558" s="54"/>
    </row>
    <row r="559" spans="17:17" ht="15.75" customHeight="1" x14ac:dyDescent="0.2">
      <c r="Q559" s="54"/>
    </row>
    <row r="560" spans="17:17" ht="15.75" customHeight="1" x14ac:dyDescent="0.2">
      <c r="Q560" s="54"/>
    </row>
    <row r="561" spans="17:17" ht="15.75" customHeight="1" x14ac:dyDescent="0.2">
      <c r="Q561" s="54"/>
    </row>
    <row r="562" spans="17:17" ht="15.75" customHeight="1" x14ac:dyDescent="0.2">
      <c r="Q562" s="54"/>
    </row>
    <row r="563" spans="17:17" ht="15.75" customHeight="1" x14ac:dyDescent="0.2">
      <c r="Q563" s="54"/>
    </row>
    <row r="564" spans="17:17" ht="15.75" customHeight="1" x14ac:dyDescent="0.2">
      <c r="Q564" s="54"/>
    </row>
    <row r="565" spans="17:17" ht="15.75" customHeight="1" x14ac:dyDescent="0.2">
      <c r="Q565" s="54"/>
    </row>
    <row r="566" spans="17:17" ht="15.75" customHeight="1" x14ac:dyDescent="0.2">
      <c r="Q566" s="54"/>
    </row>
    <row r="567" spans="17:17" ht="15.75" customHeight="1" x14ac:dyDescent="0.2">
      <c r="Q567" s="54"/>
    </row>
    <row r="568" spans="17:17" ht="15.75" customHeight="1" x14ac:dyDescent="0.2">
      <c r="Q568" s="54"/>
    </row>
    <row r="569" spans="17:17" ht="15.75" customHeight="1" x14ac:dyDescent="0.2">
      <c r="Q569" s="54"/>
    </row>
    <row r="570" spans="17:17" ht="15.75" customHeight="1" x14ac:dyDescent="0.2">
      <c r="Q570" s="54"/>
    </row>
    <row r="571" spans="17:17" ht="15.75" customHeight="1" x14ac:dyDescent="0.2">
      <c r="Q571" s="54"/>
    </row>
    <row r="572" spans="17:17" ht="15.75" customHeight="1" x14ac:dyDescent="0.2">
      <c r="Q572" s="54"/>
    </row>
    <row r="573" spans="17:17" ht="15.75" customHeight="1" x14ac:dyDescent="0.2">
      <c r="Q573" s="54"/>
    </row>
    <row r="574" spans="17:17" ht="15.75" customHeight="1" x14ac:dyDescent="0.2">
      <c r="Q574" s="54"/>
    </row>
    <row r="575" spans="17:17" ht="15.75" customHeight="1" x14ac:dyDescent="0.2">
      <c r="Q575" s="54"/>
    </row>
    <row r="576" spans="17:17" ht="15.75" customHeight="1" x14ac:dyDescent="0.2">
      <c r="Q576" s="54"/>
    </row>
    <row r="577" spans="17:17" ht="15.75" customHeight="1" x14ac:dyDescent="0.2">
      <c r="Q577" s="54"/>
    </row>
    <row r="578" spans="17:17" ht="15.75" customHeight="1" x14ac:dyDescent="0.2">
      <c r="Q578" s="54"/>
    </row>
    <row r="579" spans="17:17" ht="15.75" customHeight="1" x14ac:dyDescent="0.2">
      <c r="Q579" s="54"/>
    </row>
    <row r="580" spans="17:17" ht="15.75" customHeight="1" x14ac:dyDescent="0.2">
      <c r="Q580" s="54"/>
    </row>
    <row r="581" spans="17:17" ht="15.75" customHeight="1" x14ac:dyDescent="0.2">
      <c r="Q581" s="54"/>
    </row>
    <row r="582" spans="17:17" ht="15.75" customHeight="1" x14ac:dyDescent="0.2">
      <c r="Q582" s="54"/>
    </row>
    <row r="583" spans="17:17" ht="15.75" customHeight="1" x14ac:dyDescent="0.2">
      <c r="Q583" s="54"/>
    </row>
    <row r="584" spans="17:17" ht="15.75" customHeight="1" x14ac:dyDescent="0.2">
      <c r="Q584" s="54"/>
    </row>
    <row r="585" spans="17:17" ht="15.75" customHeight="1" x14ac:dyDescent="0.2">
      <c r="Q585" s="54"/>
    </row>
    <row r="586" spans="17:17" ht="15.75" customHeight="1" x14ac:dyDescent="0.2">
      <c r="Q586" s="54"/>
    </row>
    <row r="587" spans="17:17" ht="15.75" customHeight="1" x14ac:dyDescent="0.2">
      <c r="Q587" s="54"/>
    </row>
    <row r="588" spans="17:17" ht="15.75" customHeight="1" x14ac:dyDescent="0.2">
      <c r="Q588" s="54"/>
    </row>
    <row r="589" spans="17:17" ht="15.75" customHeight="1" x14ac:dyDescent="0.2">
      <c r="Q589" s="54"/>
    </row>
    <row r="590" spans="17:17" ht="15.75" customHeight="1" x14ac:dyDescent="0.2">
      <c r="Q590" s="54"/>
    </row>
    <row r="591" spans="17:17" ht="15.75" customHeight="1" x14ac:dyDescent="0.2">
      <c r="Q591" s="54"/>
    </row>
    <row r="592" spans="17:17" ht="15.75" customHeight="1" x14ac:dyDescent="0.2">
      <c r="Q592" s="54"/>
    </row>
    <row r="593" spans="17:17" ht="15.75" customHeight="1" x14ac:dyDescent="0.2">
      <c r="Q593" s="54"/>
    </row>
    <row r="594" spans="17:17" ht="15.75" customHeight="1" x14ac:dyDescent="0.2">
      <c r="Q594" s="54"/>
    </row>
    <row r="595" spans="17:17" ht="15.75" customHeight="1" x14ac:dyDescent="0.2">
      <c r="Q595" s="54"/>
    </row>
    <row r="596" spans="17:17" ht="15.75" customHeight="1" x14ac:dyDescent="0.2">
      <c r="Q596" s="54"/>
    </row>
    <row r="597" spans="17:17" ht="15.75" customHeight="1" x14ac:dyDescent="0.2">
      <c r="Q597" s="54"/>
    </row>
    <row r="598" spans="17:17" ht="15.75" customHeight="1" x14ac:dyDescent="0.2">
      <c r="Q598" s="54"/>
    </row>
    <row r="599" spans="17:17" ht="15.75" customHeight="1" x14ac:dyDescent="0.2">
      <c r="Q599" s="54"/>
    </row>
    <row r="600" spans="17:17" ht="15.75" customHeight="1" x14ac:dyDescent="0.2">
      <c r="Q600" s="54"/>
    </row>
    <row r="601" spans="17:17" ht="15.75" customHeight="1" x14ac:dyDescent="0.2">
      <c r="Q601" s="54"/>
    </row>
    <row r="602" spans="17:17" ht="15.75" customHeight="1" x14ac:dyDescent="0.2">
      <c r="Q602" s="54"/>
    </row>
    <row r="603" spans="17:17" ht="15.75" customHeight="1" x14ac:dyDescent="0.2">
      <c r="Q603" s="54"/>
    </row>
    <row r="604" spans="17:17" ht="15.75" customHeight="1" x14ac:dyDescent="0.2">
      <c r="Q604" s="54"/>
    </row>
    <row r="605" spans="17:17" ht="15.75" customHeight="1" x14ac:dyDescent="0.2">
      <c r="Q605" s="54"/>
    </row>
    <row r="606" spans="17:17" ht="15.75" customHeight="1" x14ac:dyDescent="0.2">
      <c r="Q606" s="54"/>
    </row>
    <row r="607" spans="17:17" ht="15.75" customHeight="1" x14ac:dyDescent="0.2">
      <c r="Q607" s="54"/>
    </row>
    <row r="608" spans="17:17" ht="15.75" customHeight="1" x14ac:dyDescent="0.2">
      <c r="Q608" s="54"/>
    </row>
    <row r="609" spans="17:17" ht="15.75" customHeight="1" x14ac:dyDescent="0.2">
      <c r="Q609" s="54"/>
    </row>
    <row r="610" spans="17:17" ht="15.75" customHeight="1" x14ac:dyDescent="0.2">
      <c r="Q610" s="54"/>
    </row>
    <row r="611" spans="17:17" ht="15.75" customHeight="1" x14ac:dyDescent="0.2">
      <c r="Q611" s="54"/>
    </row>
    <row r="612" spans="17:17" ht="15.75" customHeight="1" x14ac:dyDescent="0.2">
      <c r="Q612" s="54"/>
    </row>
    <row r="613" spans="17:17" ht="15.75" customHeight="1" x14ac:dyDescent="0.2">
      <c r="Q613" s="54"/>
    </row>
    <row r="614" spans="17:17" ht="15.75" customHeight="1" x14ac:dyDescent="0.2">
      <c r="Q614" s="54"/>
    </row>
    <row r="615" spans="17:17" ht="15.75" customHeight="1" x14ac:dyDescent="0.2">
      <c r="Q615" s="54"/>
    </row>
    <row r="616" spans="17:17" ht="15.75" customHeight="1" x14ac:dyDescent="0.2">
      <c r="Q616" s="54"/>
    </row>
    <row r="617" spans="17:17" ht="15.75" customHeight="1" x14ac:dyDescent="0.2">
      <c r="Q617" s="54"/>
    </row>
    <row r="618" spans="17:17" ht="15.75" customHeight="1" x14ac:dyDescent="0.2">
      <c r="Q618" s="54"/>
    </row>
    <row r="619" spans="17:17" ht="15.75" customHeight="1" x14ac:dyDescent="0.2">
      <c r="Q619" s="54"/>
    </row>
    <row r="620" spans="17:17" ht="15.75" customHeight="1" x14ac:dyDescent="0.2">
      <c r="Q620" s="54"/>
    </row>
    <row r="621" spans="17:17" ht="15.75" customHeight="1" x14ac:dyDescent="0.2">
      <c r="Q621" s="54"/>
    </row>
    <row r="622" spans="17:17" ht="15.75" customHeight="1" x14ac:dyDescent="0.2">
      <c r="Q622" s="54"/>
    </row>
    <row r="623" spans="17:17" ht="15.75" customHeight="1" x14ac:dyDescent="0.2">
      <c r="Q623" s="54"/>
    </row>
    <row r="624" spans="17:17" ht="15.75" customHeight="1" x14ac:dyDescent="0.2">
      <c r="Q624" s="54"/>
    </row>
    <row r="625" spans="17:17" ht="15.75" customHeight="1" x14ac:dyDescent="0.2">
      <c r="Q625" s="54"/>
    </row>
    <row r="626" spans="17:17" ht="15.75" customHeight="1" x14ac:dyDescent="0.2">
      <c r="Q626" s="54"/>
    </row>
    <row r="627" spans="17:17" ht="15.75" customHeight="1" x14ac:dyDescent="0.2">
      <c r="Q627" s="54"/>
    </row>
    <row r="628" spans="17:17" ht="15.75" customHeight="1" x14ac:dyDescent="0.2">
      <c r="Q628" s="54"/>
    </row>
    <row r="629" spans="17:17" ht="15.75" customHeight="1" x14ac:dyDescent="0.2">
      <c r="Q629" s="54"/>
    </row>
    <row r="630" spans="17:17" ht="15.75" customHeight="1" x14ac:dyDescent="0.2">
      <c r="Q630" s="54"/>
    </row>
    <row r="631" spans="17:17" ht="15.75" customHeight="1" x14ac:dyDescent="0.2">
      <c r="Q631" s="54"/>
    </row>
    <row r="632" spans="17:17" ht="15.75" customHeight="1" x14ac:dyDescent="0.2">
      <c r="Q632" s="54"/>
    </row>
    <row r="633" spans="17:17" ht="15.75" customHeight="1" x14ac:dyDescent="0.2">
      <c r="Q633" s="54"/>
    </row>
    <row r="634" spans="17:17" ht="15.75" customHeight="1" x14ac:dyDescent="0.2">
      <c r="Q634" s="54"/>
    </row>
    <row r="635" spans="17:17" ht="15.75" customHeight="1" x14ac:dyDescent="0.2">
      <c r="Q635" s="54"/>
    </row>
    <row r="636" spans="17:17" ht="15.75" customHeight="1" x14ac:dyDescent="0.2">
      <c r="Q636" s="54"/>
    </row>
    <row r="637" spans="17:17" ht="15.75" customHeight="1" x14ac:dyDescent="0.2">
      <c r="Q637" s="54"/>
    </row>
    <row r="638" spans="17:17" ht="15.75" customHeight="1" x14ac:dyDescent="0.2">
      <c r="Q638" s="54"/>
    </row>
    <row r="639" spans="17:17" ht="15.75" customHeight="1" x14ac:dyDescent="0.2">
      <c r="Q639" s="54"/>
    </row>
    <row r="640" spans="17:17" ht="15.75" customHeight="1" x14ac:dyDescent="0.2">
      <c r="Q640" s="54"/>
    </row>
    <row r="641" spans="17:17" ht="15.75" customHeight="1" x14ac:dyDescent="0.2">
      <c r="Q641" s="54"/>
    </row>
    <row r="642" spans="17:17" ht="15.75" customHeight="1" x14ac:dyDescent="0.2">
      <c r="Q642" s="54"/>
    </row>
    <row r="643" spans="17:17" ht="15.75" customHeight="1" x14ac:dyDescent="0.2">
      <c r="Q643" s="54"/>
    </row>
    <row r="644" spans="17:17" ht="15.75" customHeight="1" x14ac:dyDescent="0.2">
      <c r="Q644" s="54"/>
    </row>
    <row r="645" spans="17:17" ht="15.75" customHeight="1" x14ac:dyDescent="0.2">
      <c r="Q645" s="54"/>
    </row>
    <row r="646" spans="17:17" ht="15.75" customHeight="1" x14ac:dyDescent="0.2">
      <c r="Q646" s="54"/>
    </row>
    <row r="647" spans="17:17" ht="15.75" customHeight="1" x14ac:dyDescent="0.2">
      <c r="Q647" s="54"/>
    </row>
    <row r="648" spans="17:17" ht="15.75" customHeight="1" x14ac:dyDescent="0.2">
      <c r="Q648" s="54"/>
    </row>
    <row r="649" spans="17:17" ht="15.75" customHeight="1" x14ac:dyDescent="0.2">
      <c r="Q649" s="54"/>
    </row>
    <row r="650" spans="17:17" ht="15.75" customHeight="1" x14ac:dyDescent="0.2">
      <c r="Q650" s="54"/>
    </row>
    <row r="651" spans="17:17" ht="15.75" customHeight="1" x14ac:dyDescent="0.2">
      <c r="Q651" s="54"/>
    </row>
    <row r="652" spans="17:17" ht="15.75" customHeight="1" x14ac:dyDescent="0.2">
      <c r="Q652" s="54"/>
    </row>
    <row r="653" spans="17:17" ht="15.75" customHeight="1" x14ac:dyDescent="0.2">
      <c r="Q653" s="54"/>
    </row>
    <row r="654" spans="17:17" ht="15.75" customHeight="1" x14ac:dyDescent="0.2">
      <c r="Q654" s="54"/>
    </row>
    <row r="655" spans="17:17" ht="15.75" customHeight="1" x14ac:dyDescent="0.2">
      <c r="Q655" s="54"/>
    </row>
    <row r="656" spans="17:17" ht="15.75" customHeight="1" x14ac:dyDescent="0.2">
      <c r="Q656" s="54"/>
    </row>
    <row r="657" spans="17:17" ht="15.75" customHeight="1" x14ac:dyDescent="0.2">
      <c r="Q657" s="54"/>
    </row>
    <row r="658" spans="17:17" ht="15.75" customHeight="1" x14ac:dyDescent="0.2">
      <c r="Q658" s="54"/>
    </row>
    <row r="659" spans="17:17" ht="15.75" customHeight="1" x14ac:dyDescent="0.2">
      <c r="Q659" s="54"/>
    </row>
    <row r="660" spans="17:17" ht="15.75" customHeight="1" x14ac:dyDescent="0.2">
      <c r="Q660" s="54"/>
    </row>
    <row r="661" spans="17:17" ht="15" customHeight="1" x14ac:dyDescent="0.2">
      <c r="Q661" s="54"/>
    </row>
    <row r="662" spans="17:17" ht="15" customHeight="1" x14ac:dyDescent="0.2">
      <c r="Q662" s="54"/>
    </row>
    <row r="663" spans="17:17" ht="15" customHeight="1" x14ac:dyDescent="0.2">
      <c r="Q663" s="54"/>
    </row>
    <row r="664" spans="17:17" ht="15" customHeight="1" x14ac:dyDescent="0.2">
      <c r="Q664" s="54"/>
    </row>
    <row r="665" spans="17:17" ht="15" customHeight="1" x14ac:dyDescent="0.2">
      <c r="Q665" s="54"/>
    </row>
    <row r="666" spans="17:17" ht="15" customHeight="1" x14ac:dyDescent="0.2">
      <c r="Q666" s="54"/>
    </row>
    <row r="667" spans="17:17" ht="15" customHeight="1" x14ac:dyDescent="0.2">
      <c r="Q667" s="54"/>
    </row>
    <row r="668" spans="17:17" ht="15" customHeight="1" x14ac:dyDescent="0.2">
      <c r="Q668" s="54"/>
    </row>
    <row r="669" spans="17:17" ht="15" customHeight="1" x14ac:dyDescent="0.2">
      <c r="Q669" s="54"/>
    </row>
    <row r="670" spans="17:17" ht="15" customHeight="1" x14ac:dyDescent="0.2">
      <c r="Q670" s="54"/>
    </row>
    <row r="671" spans="17:17" ht="15" customHeight="1" x14ac:dyDescent="0.2">
      <c r="Q671" s="54"/>
    </row>
    <row r="672" spans="17:17" ht="15" customHeight="1" x14ac:dyDescent="0.2">
      <c r="Q672" s="54"/>
    </row>
    <row r="673" spans="17:17" ht="15" customHeight="1" x14ac:dyDescent="0.2">
      <c r="Q673" s="54"/>
    </row>
    <row r="674" spans="17:17" ht="15" customHeight="1" x14ac:dyDescent="0.2">
      <c r="Q674" s="54"/>
    </row>
    <row r="675" spans="17:17" ht="15" customHeight="1" x14ac:dyDescent="0.2">
      <c r="Q675" s="54"/>
    </row>
    <row r="676" spans="17:17" ht="15" customHeight="1" x14ac:dyDescent="0.2">
      <c r="Q676" s="54"/>
    </row>
    <row r="677" spans="17:17" ht="15" customHeight="1" x14ac:dyDescent="0.2">
      <c r="Q677" s="54"/>
    </row>
    <row r="678" spans="17:17" ht="15" customHeight="1" x14ac:dyDescent="0.2">
      <c r="Q678" s="54"/>
    </row>
    <row r="679" spans="17:17" ht="15" customHeight="1" x14ac:dyDescent="0.2">
      <c r="Q679" s="54"/>
    </row>
    <row r="680" spans="17:17" ht="15" customHeight="1" x14ac:dyDescent="0.2">
      <c r="Q680" s="54"/>
    </row>
    <row r="681" spans="17:17" ht="15" customHeight="1" x14ac:dyDescent="0.2">
      <c r="Q681" s="54"/>
    </row>
    <row r="682" spans="17:17" ht="15" customHeight="1" x14ac:dyDescent="0.2">
      <c r="Q682" s="54"/>
    </row>
    <row r="683" spans="17:17" ht="15" customHeight="1" x14ac:dyDescent="0.2">
      <c r="Q683" s="54"/>
    </row>
    <row r="684" spans="17:17" ht="15" customHeight="1" x14ac:dyDescent="0.2">
      <c r="Q684" s="54"/>
    </row>
    <row r="685" spans="17:17" ht="15" customHeight="1" x14ac:dyDescent="0.2">
      <c r="Q685" s="54"/>
    </row>
    <row r="686" spans="17:17" ht="15" customHeight="1" x14ac:dyDescent="0.2">
      <c r="Q686" s="54"/>
    </row>
    <row r="687" spans="17:17" ht="15" customHeight="1" x14ac:dyDescent="0.2">
      <c r="Q687" s="54"/>
    </row>
    <row r="688" spans="17:17" ht="15" customHeight="1" x14ac:dyDescent="0.2">
      <c r="Q688" s="54"/>
    </row>
    <row r="689" spans="17:17" ht="15" customHeight="1" x14ac:dyDescent="0.2">
      <c r="Q689" s="54"/>
    </row>
    <row r="690" spans="17:17" ht="15" customHeight="1" x14ac:dyDescent="0.2">
      <c r="Q690" s="54"/>
    </row>
    <row r="691" spans="17:17" ht="15" customHeight="1" x14ac:dyDescent="0.2">
      <c r="Q691" s="54"/>
    </row>
    <row r="692" spans="17:17" ht="15" customHeight="1" x14ac:dyDescent="0.2">
      <c r="Q692" s="54"/>
    </row>
    <row r="693" spans="17:17" ht="15" customHeight="1" x14ac:dyDescent="0.2">
      <c r="Q693" s="54"/>
    </row>
    <row r="694" spans="17:17" ht="15" customHeight="1" x14ac:dyDescent="0.2">
      <c r="Q694" s="54"/>
    </row>
    <row r="695" spans="17:17" ht="15" customHeight="1" x14ac:dyDescent="0.2">
      <c r="Q695" s="54"/>
    </row>
    <row r="696" spans="17:17" ht="15" customHeight="1" x14ac:dyDescent="0.2">
      <c r="Q696" s="54"/>
    </row>
    <row r="697" spans="17:17" ht="15" customHeight="1" x14ac:dyDescent="0.2">
      <c r="Q697" s="54"/>
    </row>
    <row r="698" spans="17:17" ht="15" customHeight="1" x14ac:dyDescent="0.2">
      <c r="Q698" s="54"/>
    </row>
    <row r="699" spans="17:17" ht="15" customHeight="1" x14ac:dyDescent="0.2">
      <c r="Q699" s="54"/>
    </row>
    <row r="700" spans="17:17" ht="15" customHeight="1" x14ac:dyDescent="0.2">
      <c r="Q700" s="54"/>
    </row>
    <row r="701" spans="17:17" ht="15" customHeight="1" x14ac:dyDescent="0.2">
      <c r="Q701" s="54"/>
    </row>
    <row r="702" spans="17:17" ht="15" customHeight="1" x14ac:dyDescent="0.2">
      <c r="Q702" s="54"/>
    </row>
    <row r="703" spans="17:17" ht="15" customHeight="1" x14ac:dyDescent="0.2">
      <c r="Q703" s="54"/>
    </row>
    <row r="704" spans="17:17" ht="15" customHeight="1" x14ac:dyDescent="0.2">
      <c r="Q704" s="54"/>
    </row>
    <row r="705" spans="17:17" ht="15" customHeight="1" x14ac:dyDescent="0.2">
      <c r="Q705" s="54"/>
    </row>
    <row r="706" spans="17:17" ht="15" customHeight="1" x14ac:dyDescent="0.2">
      <c r="Q706" s="54"/>
    </row>
    <row r="707" spans="17:17" ht="15" customHeight="1" x14ac:dyDescent="0.2">
      <c r="Q707" s="54"/>
    </row>
    <row r="708" spans="17:17" ht="15" customHeight="1" x14ac:dyDescent="0.2">
      <c r="Q708" s="54"/>
    </row>
    <row r="709" spans="17:17" ht="15" customHeight="1" x14ac:dyDescent="0.2">
      <c r="Q709" s="54"/>
    </row>
    <row r="710" spans="17:17" ht="15" customHeight="1" x14ac:dyDescent="0.2">
      <c r="Q710" s="54"/>
    </row>
    <row r="711" spans="17:17" ht="15" customHeight="1" x14ac:dyDescent="0.2">
      <c r="Q711" s="54"/>
    </row>
    <row r="712" spans="17:17" ht="15" customHeight="1" x14ac:dyDescent="0.2">
      <c r="Q712" s="54"/>
    </row>
    <row r="713" spans="17:17" ht="15" customHeight="1" x14ac:dyDescent="0.2">
      <c r="Q713" s="54"/>
    </row>
    <row r="714" spans="17:17" ht="15" customHeight="1" x14ac:dyDescent="0.2">
      <c r="Q714" s="54"/>
    </row>
    <row r="715" spans="17:17" ht="15" customHeight="1" x14ac:dyDescent="0.2">
      <c r="Q715" s="54"/>
    </row>
    <row r="716" spans="17:17" ht="15" customHeight="1" x14ac:dyDescent="0.2">
      <c r="Q716" s="54"/>
    </row>
    <row r="717" spans="17:17" ht="15" customHeight="1" x14ac:dyDescent="0.2">
      <c r="Q717" s="54"/>
    </row>
    <row r="718" spans="17:17" ht="15" customHeight="1" x14ac:dyDescent="0.2">
      <c r="Q718" s="54"/>
    </row>
    <row r="719" spans="17:17" ht="15" customHeight="1" x14ac:dyDescent="0.2">
      <c r="Q719" s="54"/>
    </row>
    <row r="720" spans="17:17" ht="15" customHeight="1" x14ac:dyDescent="0.2">
      <c r="Q720" s="54"/>
    </row>
    <row r="721" spans="17:17" ht="15" customHeight="1" x14ac:dyDescent="0.2">
      <c r="Q721" s="54"/>
    </row>
    <row r="722" spans="17:17" ht="15" customHeight="1" x14ac:dyDescent="0.2">
      <c r="Q722" s="54"/>
    </row>
    <row r="723" spans="17:17" ht="15" customHeight="1" x14ac:dyDescent="0.2">
      <c r="Q723" s="54"/>
    </row>
    <row r="724" spans="17:17" ht="15" customHeight="1" x14ac:dyDescent="0.2">
      <c r="Q724" s="54"/>
    </row>
    <row r="725" spans="17:17" ht="15" customHeight="1" x14ac:dyDescent="0.2">
      <c r="Q725" s="54"/>
    </row>
    <row r="726" spans="17:17" ht="15" customHeight="1" x14ac:dyDescent="0.2">
      <c r="Q726" s="54"/>
    </row>
    <row r="727" spans="17:17" ht="15" customHeight="1" x14ac:dyDescent="0.2">
      <c r="Q727" s="54"/>
    </row>
    <row r="728" spans="17:17" ht="15" customHeight="1" x14ac:dyDescent="0.2">
      <c r="Q728" s="54"/>
    </row>
    <row r="729" spans="17:17" ht="15" customHeight="1" x14ac:dyDescent="0.2">
      <c r="Q729" s="54"/>
    </row>
    <row r="730" spans="17:17" ht="15" customHeight="1" x14ac:dyDescent="0.2">
      <c r="Q730" s="54"/>
    </row>
    <row r="731" spans="17:17" ht="15" customHeight="1" x14ac:dyDescent="0.2">
      <c r="Q731" s="54"/>
    </row>
    <row r="732" spans="17:17" ht="15" customHeight="1" x14ac:dyDescent="0.2">
      <c r="Q732" s="54"/>
    </row>
    <row r="733" spans="17:17" ht="15" customHeight="1" x14ac:dyDescent="0.2">
      <c r="Q733" s="54"/>
    </row>
    <row r="734" spans="17:17" ht="15" customHeight="1" x14ac:dyDescent="0.2">
      <c r="Q734" s="54"/>
    </row>
    <row r="735" spans="17:17" ht="15" customHeight="1" x14ac:dyDescent="0.2">
      <c r="Q735" s="54"/>
    </row>
    <row r="736" spans="17:17" ht="15" customHeight="1" x14ac:dyDescent="0.2">
      <c r="Q736" s="54"/>
    </row>
    <row r="737" spans="17:17" ht="15" customHeight="1" x14ac:dyDescent="0.2">
      <c r="Q737" s="54"/>
    </row>
    <row r="738" spans="17:17" ht="15" customHeight="1" x14ac:dyDescent="0.2">
      <c r="Q738" s="54"/>
    </row>
    <row r="739" spans="17:17" ht="15" customHeight="1" x14ac:dyDescent="0.2">
      <c r="Q739" s="54"/>
    </row>
    <row r="740" spans="17:17" ht="15" customHeight="1" x14ac:dyDescent="0.2">
      <c r="Q740" s="54"/>
    </row>
    <row r="741" spans="17:17" ht="15" customHeight="1" x14ac:dyDescent="0.2">
      <c r="Q741" s="54"/>
    </row>
    <row r="742" spans="17:17" ht="15" customHeight="1" x14ac:dyDescent="0.2">
      <c r="Q742" s="54"/>
    </row>
    <row r="743" spans="17:17" ht="15" customHeight="1" x14ac:dyDescent="0.2">
      <c r="Q743" s="54"/>
    </row>
    <row r="744" spans="17:17" ht="15" customHeight="1" x14ac:dyDescent="0.2">
      <c r="Q744" s="54"/>
    </row>
    <row r="745" spans="17:17" ht="15" customHeight="1" x14ac:dyDescent="0.2">
      <c r="Q745" s="54"/>
    </row>
    <row r="746" spans="17:17" ht="15" customHeight="1" x14ac:dyDescent="0.2">
      <c r="Q746" s="54"/>
    </row>
    <row r="747" spans="17:17" ht="15" customHeight="1" x14ac:dyDescent="0.2">
      <c r="Q747" s="54"/>
    </row>
    <row r="748" spans="17:17" ht="15" customHeight="1" x14ac:dyDescent="0.2">
      <c r="Q748" s="54"/>
    </row>
    <row r="749" spans="17:17" ht="15" customHeight="1" x14ac:dyDescent="0.2">
      <c r="Q749" s="54"/>
    </row>
    <row r="750" spans="17:17" ht="15" customHeight="1" x14ac:dyDescent="0.2">
      <c r="Q750" s="54"/>
    </row>
    <row r="751" spans="17:17" ht="15" customHeight="1" x14ac:dyDescent="0.2">
      <c r="Q751" s="54"/>
    </row>
    <row r="752" spans="17:17" ht="15" customHeight="1" x14ac:dyDescent="0.2">
      <c r="Q752" s="54"/>
    </row>
    <row r="753" spans="17:17" ht="15" customHeight="1" x14ac:dyDescent="0.2">
      <c r="Q753" s="54"/>
    </row>
    <row r="754" spans="17:17" ht="15" customHeight="1" x14ac:dyDescent="0.2">
      <c r="Q754" s="54"/>
    </row>
    <row r="755" spans="17:17" ht="15" customHeight="1" x14ac:dyDescent="0.2">
      <c r="Q755" s="54"/>
    </row>
    <row r="756" spans="17:17" ht="15" customHeight="1" x14ac:dyDescent="0.2">
      <c r="Q756" s="54"/>
    </row>
    <row r="757" spans="17:17" ht="15" customHeight="1" x14ac:dyDescent="0.2">
      <c r="Q757" s="54"/>
    </row>
    <row r="758" spans="17:17" ht="15" customHeight="1" x14ac:dyDescent="0.2">
      <c r="Q758" s="54"/>
    </row>
    <row r="759" spans="17:17" ht="15" customHeight="1" x14ac:dyDescent="0.2">
      <c r="Q759" s="54"/>
    </row>
    <row r="760" spans="17:17" ht="15" customHeight="1" x14ac:dyDescent="0.2">
      <c r="Q760" s="54"/>
    </row>
    <row r="761" spans="17:17" ht="15" customHeight="1" x14ac:dyDescent="0.2">
      <c r="Q761" s="54"/>
    </row>
    <row r="762" spans="17:17" ht="15" customHeight="1" x14ac:dyDescent="0.2">
      <c r="Q762" s="54"/>
    </row>
    <row r="763" spans="17:17" ht="15" customHeight="1" x14ac:dyDescent="0.2">
      <c r="Q763" s="54"/>
    </row>
    <row r="764" spans="17:17" ht="15" customHeight="1" x14ac:dyDescent="0.2">
      <c r="Q764" s="54"/>
    </row>
    <row r="765" spans="17:17" ht="15" customHeight="1" x14ac:dyDescent="0.2">
      <c r="Q765" s="54"/>
    </row>
    <row r="766" spans="17:17" ht="15" customHeight="1" x14ac:dyDescent="0.2">
      <c r="Q766" s="54"/>
    </row>
    <row r="767" spans="17:17" ht="15" customHeight="1" x14ac:dyDescent="0.2">
      <c r="Q767" s="54"/>
    </row>
    <row r="768" spans="17:17" ht="15" customHeight="1" x14ac:dyDescent="0.2">
      <c r="Q768" s="54"/>
    </row>
    <row r="769" spans="17:17" ht="15" customHeight="1" x14ac:dyDescent="0.2">
      <c r="Q769" s="54"/>
    </row>
    <row r="770" spans="17:17" ht="15" customHeight="1" x14ac:dyDescent="0.2">
      <c r="Q770" s="54"/>
    </row>
    <row r="771" spans="17:17" ht="15" customHeight="1" x14ac:dyDescent="0.2">
      <c r="Q771" s="54"/>
    </row>
    <row r="772" spans="17:17" ht="15" customHeight="1" x14ac:dyDescent="0.2">
      <c r="Q772" s="54"/>
    </row>
    <row r="773" spans="17:17" ht="15" customHeight="1" x14ac:dyDescent="0.2">
      <c r="Q773" s="54"/>
    </row>
    <row r="774" spans="17:17" ht="15" customHeight="1" x14ac:dyDescent="0.2">
      <c r="Q774" s="54"/>
    </row>
    <row r="775" spans="17:17" ht="15" customHeight="1" x14ac:dyDescent="0.2">
      <c r="Q775" s="54"/>
    </row>
    <row r="776" spans="17:17" ht="15" customHeight="1" x14ac:dyDescent="0.2">
      <c r="Q776" s="54"/>
    </row>
    <row r="777" spans="17:17" ht="15" customHeight="1" x14ac:dyDescent="0.2">
      <c r="Q777" s="54"/>
    </row>
    <row r="778" spans="17:17" ht="15" customHeight="1" x14ac:dyDescent="0.2">
      <c r="Q778" s="54"/>
    </row>
    <row r="779" spans="17:17" ht="15" customHeight="1" x14ac:dyDescent="0.2">
      <c r="Q779" s="54"/>
    </row>
    <row r="780" spans="17:17" ht="15" customHeight="1" x14ac:dyDescent="0.2">
      <c r="Q780" s="54"/>
    </row>
    <row r="781" spans="17:17" ht="15" customHeight="1" x14ac:dyDescent="0.2">
      <c r="Q781" s="54"/>
    </row>
    <row r="782" spans="17:17" ht="15" customHeight="1" x14ac:dyDescent="0.2">
      <c r="Q782" s="54"/>
    </row>
    <row r="783" spans="17:17" ht="15" customHeight="1" x14ac:dyDescent="0.2">
      <c r="Q783" s="54"/>
    </row>
    <row r="784" spans="17:17" ht="15" customHeight="1" x14ac:dyDescent="0.2">
      <c r="Q784" s="54"/>
    </row>
    <row r="785" spans="17:17" ht="15" customHeight="1" x14ac:dyDescent="0.2">
      <c r="Q785" s="54"/>
    </row>
    <row r="786" spans="17:17" ht="15" customHeight="1" x14ac:dyDescent="0.2">
      <c r="Q786" s="54"/>
    </row>
    <row r="787" spans="17:17" ht="15" customHeight="1" x14ac:dyDescent="0.2">
      <c r="Q787" s="54"/>
    </row>
    <row r="788" spans="17:17" ht="15" customHeight="1" x14ac:dyDescent="0.2">
      <c r="Q788" s="54"/>
    </row>
    <row r="789" spans="17:17" ht="15" customHeight="1" x14ac:dyDescent="0.2">
      <c r="Q789" s="54"/>
    </row>
    <row r="790" spans="17:17" ht="15" customHeight="1" x14ac:dyDescent="0.2">
      <c r="Q790" s="54"/>
    </row>
    <row r="791" spans="17:17" ht="15" customHeight="1" x14ac:dyDescent="0.2">
      <c r="Q791" s="54"/>
    </row>
    <row r="792" spans="17:17" ht="15" customHeight="1" x14ac:dyDescent="0.2">
      <c r="Q792" s="54"/>
    </row>
    <row r="793" spans="17:17" ht="15" customHeight="1" x14ac:dyDescent="0.2">
      <c r="Q793" s="54"/>
    </row>
    <row r="794" spans="17:17" ht="15" customHeight="1" x14ac:dyDescent="0.2">
      <c r="Q794" s="54"/>
    </row>
    <row r="795" spans="17:17" ht="15" customHeight="1" x14ac:dyDescent="0.2">
      <c r="Q795" s="54"/>
    </row>
    <row r="796" spans="17:17" ht="15" customHeight="1" x14ac:dyDescent="0.2">
      <c r="Q796" s="54"/>
    </row>
    <row r="797" spans="17:17" ht="15" customHeight="1" x14ac:dyDescent="0.2">
      <c r="Q797" s="54"/>
    </row>
    <row r="798" spans="17:17" ht="15" customHeight="1" x14ac:dyDescent="0.2">
      <c r="Q798" s="54"/>
    </row>
    <row r="799" spans="17:17" ht="15" customHeight="1" x14ac:dyDescent="0.2">
      <c r="Q799" s="54"/>
    </row>
    <row r="800" spans="17:17" ht="15" customHeight="1" x14ac:dyDescent="0.2">
      <c r="Q800" s="54"/>
    </row>
    <row r="801" spans="17:17" ht="15" customHeight="1" x14ac:dyDescent="0.2">
      <c r="Q801" s="54"/>
    </row>
    <row r="802" spans="17:17" ht="15" customHeight="1" x14ac:dyDescent="0.2">
      <c r="Q802" s="54"/>
    </row>
    <row r="803" spans="17:17" ht="15" customHeight="1" x14ac:dyDescent="0.2">
      <c r="Q803" s="54"/>
    </row>
    <row r="804" spans="17:17" ht="15" customHeight="1" x14ac:dyDescent="0.2">
      <c r="Q804" s="54"/>
    </row>
    <row r="805" spans="17:17" ht="15" customHeight="1" x14ac:dyDescent="0.2">
      <c r="Q805" s="54"/>
    </row>
    <row r="806" spans="17:17" ht="15" customHeight="1" x14ac:dyDescent="0.2">
      <c r="Q806" s="54"/>
    </row>
    <row r="807" spans="17:17" ht="15" customHeight="1" x14ac:dyDescent="0.2">
      <c r="Q807" s="54"/>
    </row>
    <row r="808" spans="17:17" ht="15" customHeight="1" x14ac:dyDescent="0.2">
      <c r="Q808" s="54"/>
    </row>
    <row r="809" spans="17:17" ht="15" customHeight="1" x14ac:dyDescent="0.2">
      <c r="Q809" s="54"/>
    </row>
    <row r="810" spans="17:17" ht="15" customHeight="1" x14ac:dyDescent="0.2">
      <c r="Q810" s="54"/>
    </row>
    <row r="811" spans="17:17" ht="15" customHeight="1" x14ac:dyDescent="0.2">
      <c r="Q811" s="54"/>
    </row>
    <row r="812" spans="17:17" ht="15" customHeight="1" x14ac:dyDescent="0.2">
      <c r="Q812" s="54"/>
    </row>
    <row r="813" spans="17:17" ht="15" customHeight="1" x14ac:dyDescent="0.2">
      <c r="Q813" s="54"/>
    </row>
    <row r="814" spans="17:17" ht="15" customHeight="1" x14ac:dyDescent="0.2">
      <c r="Q814" s="54"/>
    </row>
    <row r="815" spans="17:17" ht="15" customHeight="1" x14ac:dyDescent="0.2">
      <c r="Q815" s="54"/>
    </row>
    <row r="816" spans="17:17" ht="15" customHeight="1" x14ac:dyDescent="0.2">
      <c r="Q816" s="54"/>
    </row>
    <row r="817" spans="17:17" ht="15" customHeight="1" x14ac:dyDescent="0.2">
      <c r="Q817" s="54"/>
    </row>
    <row r="818" spans="17:17" ht="15" customHeight="1" x14ac:dyDescent="0.2">
      <c r="Q818" s="54"/>
    </row>
    <row r="819" spans="17:17" ht="15" customHeight="1" x14ac:dyDescent="0.2">
      <c r="Q819" s="54"/>
    </row>
    <row r="820" spans="17:17" ht="15" customHeight="1" x14ac:dyDescent="0.2">
      <c r="Q820" s="54"/>
    </row>
    <row r="821" spans="17:17" ht="15" customHeight="1" x14ac:dyDescent="0.2">
      <c r="Q821" s="54"/>
    </row>
    <row r="822" spans="17:17" ht="15" customHeight="1" x14ac:dyDescent="0.2">
      <c r="Q822" s="54"/>
    </row>
    <row r="823" spans="17:17" ht="15" customHeight="1" x14ac:dyDescent="0.2">
      <c r="Q823" s="54"/>
    </row>
    <row r="824" spans="17:17" ht="15" customHeight="1" x14ac:dyDescent="0.2">
      <c r="Q824" s="54"/>
    </row>
    <row r="825" spans="17:17" ht="15" customHeight="1" x14ac:dyDescent="0.2">
      <c r="Q825" s="54"/>
    </row>
    <row r="826" spans="17:17" ht="15" customHeight="1" x14ac:dyDescent="0.2">
      <c r="Q826" s="54"/>
    </row>
    <row r="827" spans="17:17" ht="15" customHeight="1" x14ac:dyDescent="0.2">
      <c r="Q827" s="54"/>
    </row>
    <row r="828" spans="17:17" ht="15" customHeight="1" x14ac:dyDescent="0.2">
      <c r="Q828" s="54"/>
    </row>
    <row r="829" spans="17:17" ht="15" customHeight="1" x14ac:dyDescent="0.2">
      <c r="Q829" s="54"/>
    </row>
    <row r="830" spans="17:17" ht="15" customHeight="1" x14ac:dyDescent="0.2">
      <c r="Q830" s="54"/>
    </row>
    <row r="831" spans="17:17" ht="15" customHeight="1" x14ac:dyDescent="0.2">
      <c r="Q831" s="54"/>
    </row>
    <row r="832" spans="17:17" ht="15" customHeight="1" x14ac:dyDescent="0.2">
      <c r="Q832" s="54"/>
    </row>
    <row r="833" spans="17:17" ht="15" customHeight="1" x14ac:dyDescent="0.2">
      <c r="Q833" s="54"/>
    </row>
    <row r="834" spans="17:17" ht="15" customHeight="1" x14ac:dyDescent="0.2">
      <c r="Q834" s="54"/>
    </row>
    <row r="835" spans="17:17" ht="15" customHeight="1" x14ac:dyDescent="0.2">
      <c r="Q835" s="54"/>
    </row>
    <row r="836" spans="17:17" ht="15" customHeight="1" x14ac:dyDescent="0.2">
      <c r="Q836" s="54"/>
    </row>
    <row r="837" spans="17:17" ht="15" customHeight="1" x14ac:dyDescent="0.2">
      <c r="Q837" s="54"/>
    </row>
    <row r="838" spans="17:17" ht="15" customHeight="1" x14ac:dyDescent="0.2">
      <c r="Q838" s="54"/>
    </row>
    <row r="839" spans="17:17" ht="15" customHeight="1" x14ac:dyDescent="0.2">
      <c r="Q839" s="54"/>
    </row>
    <row r="840" spans="17:17" ht="15" customHeight="1" x14ac:dyDescent="0.2">
      <c r="Q840" s="54"/>
    </row>
    <row r="841" spans="17:17" ht="15" customHeight="1" x14ac:dyDescent="0.2">
      <c r="Q841" s="54"/>
    </row>
    <row r="842" spans="17:17" ht="15" customHeight="1" x14ac:dyDescent="0.2">
      <c r="Q842" s="54"/>
    </row>
    <row r="843" spans="17:17" ht="15" customHeight="1" x14ac:dyDescent="0.2">
      <c r="Q843" s="54"/>
    </row>
    <row r="844" spans="17:17" ht="15" customHeight="1" x14ac:dyDescent="0.2">
      <c r="Q844" s="54"/>
    </row>
    <row r="845" spans="17:17" ht="15" customHeight="1" x14ac:dyDescent="0.2">
      <c r="Q845" s="54"/>
    </row>
    <row r="846" spans="17:17" ht="15" customHeight="1" x14ac:dyDescent="0.2">
      <c r="Q846" s="54"/>
    </row>
    <row r="847" spans="17:17" ht="15" customHeight="1" x14ac:dyDescent="0.2">
      <c r="Q847" s="54"/>
    </row>
    <row r="848" spans="17:17" ht="15" customHeight="1" x14ac:dyDescent="0.2">
      <c r="Q848" s="54"/>
    </row>
    <row r="849" spans="17:17" ht="15" customHeight="1" x14ac:dyDescent="0.2">
      <c r="Q849" s="54"/>
    </row>
    <row r="850" spans="17:17" ht="15" customHeight="1" x14ac:dyDescent="0.2">
      <c r="Q850" s="54"/>
    </row>
    <row r="851" spans="17:17" ht="15" customHeight="1" x14ac:dyDescent="0.2">
      <c r="Q851" s="54"/>
    </row>
    <row r="852" spans="17:17" ht="15" customHeight="1" x14ac:dyDescent="0.2">
      <c r="Q852" s="54"/>
    </row>
    <row r="853" spans="17:17" ht="15" customHeight="1" x14ac:dyDescent="0.2">
      <c r="Q853" s="54"/>
    </row>
    <row r="854" spans="17:17" ht="15" customHeight="1" x14ac:dyDescent="0.2">
      <c r="Q854" s="54"/>
    </row>
    <row r="855" spans="17:17" ht="15" customHeight="1" x14ac:dyDescent="0.2">
      <c r="Q855" s="54"/>
    </row>
    <row r="856" spans="17:17" ht="15" customHeight="1" x14ac:dyDescent="0.2">
      <c r="Q856" s="54"/>
    </row>
    <row r="857" spans="17:17" ht="15" customHeight="1" x14ac:dyDescent="0.2">
      <c r="Q857" s="54"/>
    </row>
    <row r="858" spans="17:17" ht="15" customHeight="1" x14ac:dyDescent="0.2">
      <c r="Q858" s="54"/>
    </row>
    <row r="859" spans="17:17" ht="15" customHeight="1" x14ac:dyDescent="0.2">
      <c r="Q859" s="54"/>
    </row>
    <row r="860" spans="17:17" ht="15" customHeight="1" x14ac:dyDescent="0.2">
      <c r="Q860" s="54"/>
    </row>
    <row r="861" spans="17:17" ht="15" customHeight="1" x14ac:dyDescent="0.2">
      <c r="Q861" s="54"/>
    </row>
    <row r="862" spans="17:17" ht="15" customHeight="1" x14ac:dyDescent="0.2">
      <c r="Q862" s="54"/>
    </row>
    <row r="863" spans="17:17" ht="15" customHeight="1" x14ac:dyDescent="0.2">
      <c r="Q863" s="54"/>
    </row>
    <row r="864" spans="17:17" ht="15" customHeight="1" x14ac:dyDescent="0.2">
      <c r="Q864" s="54"/>
    </row>
    <row r="865" spans="17:17" ht="15" customHeight="1" x14ac:dyDescent="0.2">
      <c r="Q865" s="54"/>
    </row>
    <row r="866" spans="17:17" ht="15" customHeight="1" x14ac:dyDescent="0.2">
      <c r="Q866" s="54"/>
    </row>
    <row r="867" spans="17:17" ht="15" customHeight="1" x14ac:dyDescent="0.2">
      <c r="Q867" s="54"/>
    </row>
    <row r="868" spans="17:17" ht="15" customHeight="1" x14ac:dyDescent="0.2">
      <c r="Q868" s="54"/>
    </row>
    <row r="869" spans="17:17" ht="15" customHeight="1" x14ac:dyDescent="0.2">
      <c r="Q869" s="54"/>
    </row>
    <row r="870" spans="17:17" ht="15" customHeight="1" x14ac:dyDescent="0.2">
      <c r="Q870" s="54"/>
    </row>
    <row r="871" spans="17:17" ht="15" customHeight="1" x14ac:dyDescent="0.2">
      <c r="Q871" s="54"/>
    </row>
    <row r="872" spans="17:17" ht="15" customHeight="1" x14ac:dyDescent="0.2">
      <c r="Q872" s="54"/>
    </row>
    <row r="873" spans="17:17" ht="15" customHeight="1" x14ac:dyDescent="0.2">
      <c r="Q873" s="54"/>
    </row>
    <row r="874" spans="17:17" ht="15" customHeight="1" x14ac:dyDescent="0.2">
      <c r="Q874" s="54"/>
    </row>
    <row r="875" spans="17:17" ht="15" customHeight="1" x14ac:dyDescent="0.2">
      <c r="Q875" s="54"/>
    </row>
    <row r="876" spans="17:17" ht="15" customHeight="1" x14ac:dyDescent="0.2">
      <c r="Q876" s="54"/>
    </row>
    <row r="877" spans="17:17" ht="15" customHeight="1" x14ac:dyDescent="0.2">
      <c r="Q877" s="54"/>
    </row>
    <row r="878" spans="17:17" ht="15" customHeight="1" x14ac:dyDescent="0.2">
      <c r="Q878" s="54"/>
    </row>
    <row r="879" spans="17:17" ht="15" customHeight="1" x14ac:dyDescent="0.2">
      <c r="Q879" s="54"/>
    </row>
    <row r="880" spans="17:17" ht="15" customHeight="1" x14ac:dyDescent="0.2">
      <c r="Q880" s="54"/>
    </row>
    <row r="881" spans="17:17" ht="15" customHeight="1" x14ac:dyDescent="0.2">
      <c r="Q881" s="54"/>
    </row>
    <row r="882" spans="17:17" ht="15" customHeight="1" x14ac:dyDescent="0.2">
      <c r="Q882" s="54"/>
    </row>
    <row r="883" spans="17:17" ht="15" customHeight="1" x14ac:dyDescent="0.2">
      <c r="Q883" s="54"/>
    </row>
    <row r="884" spans="17:17" ht="15" customHeight="1" x14ac:dyDescent="0.2">
      <c r="Q884" s="54"/>
    </row>
    <row r="885" spans="17:17" ht="15" customHeight="1" x14ac:dyDescent="0.2">
      <c r="Q885" s="54"/>
    </row>
    <row r="886" spans="17:17" ht="15" customHeight="1" x14ac:dyDescent="0.2">
      <c r="Q886" s="54"/>
    </row>
    <row r="887" spans="17:17" ht="15" customHeight="1" x14ac:dyDescent="0.2">
      <c r="Q887" s="54"/>
    </row>
    <row r="888" spans="17:17" ht="15" customHeight="1" x14ac:dyDescent="0.2">
      <c r="Q888" s="54"/>
    </row>
    <row r="889" spans="17:17" ht="15" customHeight="1" x14ac:dyDescent="0.2">
      <c r="Q889" s="54"/>
    </row>
    <row r="890" spans="17:17" ht="15" customHeight="1" x14ac:dyDescent="0.2">
      <c r="Q890" s="54"/>
    </row>
    <row r="891" spans="17:17" ht="15" customHeight="1" x14ac:dyDescent="0.2">
      <c r="Q891" s="54"/>
    </row>
    <row r="892" spans="17:17" ht="15" customHeight="1" x14ac:dyDescent="0.2">
      <c r="Q892" s="54"/>
    </row>
    <row r="893" spans="17:17" ht="15" customHeight="1" x14ac:dyDescent="0.2">
      <c r="Q893" s="54"/>
    </row>
    <row r="894" spans="17:17" ht="15" customHeight="1" x14ac:dyDescent="0.2">
      <c r="Q894" s="54"/>
    </row>
    <row r="895" spans="17:17" ht="15" customHeight="1" x14ac:dyDescent="0.2">
      <c r="Q895" s="54"/>
    </row>
    <row r="896" spans="17:17" ht="15" customHeight="1" x14ac:dyDescent="0.2">
      <c r="Q896" s="54"/>
    </row>
    <row r="897" spans="17:17" ht="15" customHeight="1" x14ac:dyDescent="0.2">
      <c r="Q897" s="54"/>
    </row>
    <row r="898" spans="17:17" ht="15" customHeight="1" x14ac:dyDescent="0.2">
      <c r="Q898" s="54"/>
    </row>
    <row r="899" spans="17:17" ht="15" customHeight="1" x14ac:dyDescent="0.2">
      <c r="Q899" s="54"/>
    </row>
    <row r="900" spans="17:17" ht="15" customHeight="1" x14ac:dyDescent="0.2">
      <c r="Q900" s="54"/>
    </row>
    <row r="901" spans="17:17" ht="15" customHeight="1" x14ac:dyDescent="0.2">
      <c r="Q901" s="54"/>
    </row>
    <row r="902" spans="17:17" ht="15" customHeight="1" x14ac:dyDescent="0.2">
      <c r="Q902" s="54"/>
    </row>
    <row r="903" spans="17:17" ht="15" customHeight="1" x14ac:dyDescent="0.2">
      <c r="Q903" s="54"/>
    </row>
    <row r="904" spans="17:17" ht="15" customHeight="1" x14ac:dyDescent="0.2">
      <c r="Q904" s="54"/>
    </row>
    <row r="905" spans="17:17" ht="15" customHeight="1" x14ac:dyDescent="0.2">
      <c r="Q905" s="54"/>
    </row>
    <row r="906" spans="17:17" ht="15" customHeight="1" x14ac:dyDescent="0.2">
      <c r="Q906" s="54"/>
    </row>
    <row r="907" spans="17:17" ht="15" customHeight="1" x14ac:dyDescent="0.2">
      <c r="Q907" s="54"/>
    </row>
    <row r="908" spans="17:17" ht="15" customHeight="1" x14ac:dyDescent="0.2">
      <c r="Q908" s="54"/>
    </row>
    <row r="909" spans="17:17" ht="15" customHeight="1" x14ac:dyDescent="0.2">
      <c r="Q909" s="54"/>
    </row>
    <row r="910" spans="17:17" ht="15" customHeight="1" x14ac:dyDescent="0.2">
      <c r="Q910" s="54"/>
    </row>
    <row r="911" spans="17:17" ht="15" customHeight="1" x14ac:dyDescent="0.2">
      <c r="Q911" s="54"/>
    </row>
    <row r="912" spans="17:17" ht="15" customHeight="1" x14ac:dyDescent="0.2">
      <c r="Q912" s="54"/>
    </row>
    <row r="913" spans="17:17" ht="15" customHeight="1" x14ac:dyDescent="0.2">
      <c r="Q913" s="54"/>
    </row>
    <row r="914" spans="17:17" ht="15" customHeight="1" x14ac:dyDescent="0.2">
      <c r="Q914" s="54"/>
    </row>
    <row r="915" spans="17:17" ht="15" customHeight="1" x14ac:dyDescent="0.2">
      <c r="Q915" s="54"/>
    </row>
    <row r="916" spans="17:17" ht="15" customHeight="1" x14ac:dyDescent="0.2">
      <c r="Q916" s="54"/>
    </row>
    <row r="917" spans="17:17" ht="15" customHeight="1" x14ac:dyDescent="0.2">
      <c r="Q917" s="54"/>
    </row>
    <row r="918" spans="17:17" ht="15" customHeight="1" x14ac:dyDescent="0.2">
      <c r="Q918" s="54"/>
    </row>
    <row r="919" spans="17:17" ht="15" customHeight="1" x14ac:dyDescent="0.2">
      <c r="Q919" s="54"/>
    </row>
    <row r="920" spans="17:17" ht="15" customHeight="1" x14ac:dyDescent="0.2">
      <c r="Q920" s="54"/>
    </row>
    <row r="921" spans="17:17" ht="15" customHeight="1" x14ac:dyDescent="0.2">
      <c r="Q921" s="54"/>
    </row>
    <row r="922" spans="17:17" ht="15" customHeight="1" x14ac:dyDescent="0.2">
      <c r="Q922" s="54"/>
    </row>
    <row r="923" spans="17:17" ht="15" customHeight="1" x14ac:dyDescent="0.2">
      <c r="Q923" s="54"/>
    </row>
    <row r="924" spans="17:17" ht="15" customHeight="1" x14ac:dyDescent="0.2">
      <c r="Q924" s="54"/>
    </row>
    <row r="925" spans="17:17" ht="15" customHeight="1" x14ac:dyDescent="0.2">
      <c r="Q925" s="54"/>
    </row>
    <row r="926" spans="17:17" ht="15" customHeight="1" x14ac:dyDescent="0.2">
      <c r="Q926" s="54"/>
    </row>
    <row r="927" spans="17:17" ht="15" customHeight="1" x14ac:dyDescent="0.2">
      <c r="Q927" s="54"/>
    </row>
    <row r="928" spans="17:17" ht="15" customHeight="1" x14ac:dyDescent="0.2">
      <c r="Q928" s="54"/>
    </row>
    <row r="929" spans="17:17" ht="15" customHeight="1" x14ac:dyDescent="0.2">
      <c r="Q929" s="54"/>
    </row>
    <row r="930" spans="17:17" ht="15" customHeight="1" x14ac:dyDescent="0.2">
      <c r="Q930" s="54"/>
    </row>
    <row r="931" spans="17:17" ht="15" customHeight="1" x14ac:dyDescent="0.2">
      <c r="Q931" s="54"/>
    </row>
    <row r="932" spans="17:17" ht="15" customHeight="1" x14ac:dyDescent="0.2">
      <c r="Q932" s="54"/>
    </row>
    <row r="933" spans="17:17" ht="15" customHeight="1" x14ac:dyDescent="0.2">
      <c r="Q933" s="54"/>
    </row>
    <row r="934" spans="17:17" ht="15" customHeight="1" x14ac:dyDescent="0.2">
      <c r="Q934" s="54"/>
    </row>
    <row r="935" spans="17:17" ht="15" customHeight="1" x14ac:dyDescent="0.2">
      <c r="Q935" s="54"/>
    </row>
    <row r="936" spans="17:17" ht="15" customHeight="1" x14ac:dyDescent="0.2">
      <c r="Q936" s="54"/>
    </row>
    <row r="937" spans="17:17" ht="15" customHeight="1" x14ac:dyDescent="0.2">
      <c r="Q937" s="54"/>
    </row>
    <row r="938" spans="17:17" ht="15" customHeight="1" x14ac:dyDescent="0.2">
      <c r="Q938" s="54"/>
    </row>
    <row r="939" spans="17:17" ht="15" customHeight="1" x14ac:dyDescent="0.2">
      <c r="Q939" s="54"/>
    </row>
    <row r="940" spans="17:17" ht="15" customHeight="1" x14ac:dyDescent="0.2">
      <c r="Q940" s="54"/>
    </row>
    <row r="941" spans="17:17" ht="15" customHeight="1" x14ac:dyDescent="0.2">
      <c r="Q941" s="54"/>
    </row>
    <row r="942" spans="17:17" ht="15" customHeight="1" x14ac:dyDescent="0.2">
      <c r="Q942" s="54"/>
    </row>
    <row r="943" spans="17:17" ht="15" customHeight="1" x14ac:dyDescent="0.2">
      <c r="Q943" s="54"/>
    </row>
    <row r="944" spans="17:17" ht="15" customHeight="1" x14ac:dyDescent="0.2">
      <c r="Q944" s="54"/>
    </row>
    <row r="945" spans="17:17" ht="15" customHeight="1" x14ac:dyDescent="0.2">
      <c r="Q945" s="54"/>
    </row>
    <row r="946" spans="17:17" ht="15" customHeight="1" x14ac:dyDescent="0.2">
      <c r="Q946" s="54"/>
    </row>
    <row r="947" spans="17:17" ht="15" customHeight="1" x14ac:dyDescent="0.2">
      <c r="Q947" s="54"/>
    </row>
    <row r="948" spans="17:17" ht="15" customHeight="1" x14ac:dyDescent="0.2">
      <c r="Q948" s="54"/>
    </row>
    <row r="949" spans="17:17" ht="15" customHeight="1" x14ac:dyDescent="0.2">
      <c r="Q949" s="54"/>
    </row>
    <row r="950" spans="17:17" ht="15" customHeight="1" x14ac:dyDescent="0.2">
      <c r="Q950" s="54"/>
    </row>
    <row r="951" spans="17:17" ht="15" customHeight="1" x14ac:dyDescent="0.2">
      <c r="Q951" s="54"/>
    </row>
    <row r="952" spans="17:17" ht="15" customHeight="1" x14ac:dyDescent="0.2">
      <c r="Q952" s="54"/>
    </row>
    <row r="953" spans="17:17" ht="15" customHeight="1" x14ac:dyDescent="0.2">
      <c r="Q953" s="54"/>
    </row>
    <row r="954" spans="17:17" ht="15" customHeight="1" x14ac:dyDescent="0.2">
      <c r="Q954" s="54"/>
    </row>
    <row r="955" spans="17:17" ht="15" customHeight="1" x14ac:dyDescent="0.2">
      <c r="Q955" s="54"/>
    </row>
    <row r="956" spans="17:17" ht="15" customHeight="1" x14ac:dyDescent="0.2">
      <c r="Q956" s="54"/>
    </row>
    <row r="957" spans="17:17" ht="15" customHeight="1" x14ac:dyDescent="0.2">
      <c r="Q957" s="54"/>
    </row>
    <row r="958" spans="17:17" ht="15" customHeight="1" x14ac:dyDescent="0.2">
      <c r="Q958" s="54"/>
    </row>
    <row r="959" spans="17:17" ht="15" customHeight="1" x14ac:dyDescent="0.2">
      <c r="Q959" s="54"/>
    </row>
    <row r="960" spans="17:17" ht="15" customHeight="1" x14ac:dyDescent="0.2">
      <c r="Q960" s="54"/>
    </row>
    <row r="961" spans="17:17" ht="15" customHeight="1" x14ac:dyDescent="0.2">
      <c r="Q961" s="54"/>
    </row>
    <row r="962" spans="17:17" ht="15" customHeight="1" x14ac:dyDescent="0.2">
      <c r="Q962" s="54"/>
    </row>
    <row r="963" spans="17:17" ht="15" customHeight="1" x14ac:dyDescent="0.2">
      <c r="Q963" s="54"/>
    </row>
    <row r="964" spans="17:17" ht="15" customHeight="1" x14ac:dyDescent="0.2">
      <c r="Q964" s="54"/>
    </row>
    <row r="965" spans="17:17" ht="15" customHeight="1" x14ac:dyDescent="0.2">
      <c r="Q965" s="54"/>
    </row>
    <row r="966" spans="17:17" ht="15" customHeight="1" x14ac:dyDescent="0.2">
      <c r="Q966" s="54"/>
    </row>
    <row r="967" spans="17:17" ht="15" customHeight="1" x14ac:dyDescent="0.2">
      <c r="Q967" s="54"/>
    </row>
    <row r="968" spans="17:17" ht="15" customHeight="1" x14ac:dyDescent="0.2">
      <c r="Q968" s="54"/>
    </row>
    <row r="969" spans="17:17" ht="15" customHeight="1" x14ac:dyDescent="0.2">
      <c r="Q969" s="54"/>
    </row>
    <row r="970" spans="17:17" ht="15" customHeight="1" x14ac:dyDescent="0.2">
      <c r="Q970" s="54"/>
    </row>
    <row r="971" spans="17:17" ht="15" customHeight="1" x14ac:dyDescent="0.2">
      <c r="Q971" s="54"/>
    </row>
    <row r="972" spans="17:17" ht="15" customHeight="1" x14ac:dyDescent="0.2">
      <c r="Q972" s="54"/>
    </row>
    <row r="973" spans="17:17" ht="15" customHeight="1" x14ac:dyDescent="0.2">
      <c r="Q973" s="54"/>
    </row>
    <row r="974" spans="17:17" ht="15" customHeight="1" x14ac:dyDescent="0.2">
      <c r="Q974" s="54"/>
    </row>
    <row r="975" spans="17:17" ht="15" customHeight="1" x14ac:dyDescent="0.2">
      <c r="Q975" s="54"/>
    </row>
    <row r="976" spans="17:17" ht="15" customHeight="1" x14ac:dyDescent="0.2">
      <c r="Q976" s="54"/>
    </row>
    <row r="977" spans="17:17" ht="15" customHeight="1" x14ac:dyDescent="0.2">
      <c r="Q977" s="54"/>
    </row>
    <row r="978" spans="17:17" ht="15" customHeight="1" x14ac:dyDescent="0.2">
      <c r="Q978" s="54"/>
    </row>
    <row r="979" spans="17:17" ht="15" customHeight="1" x14ac:dyDescent="0.2">
      <c r="Q979" s="54"/>
    </row>
    <row r="980" spans="17:17" ht="15" customHeight="1" x14ac:dyDescent="0.2">
      <c r="Q980" s="54"/>
    </row>
    <row r="981" spans="17:17" ht="15" customHeight="1" x14ac:dyDescent="0.2">
      <c r="Q981" s="54"/>
    </row>
    <row r="982" spans="17:17" ht="15" customHeight="1" x14ac:dyDescent="0.2">
      <c r="Q982" s="54"/>
    </row>
    <row r="983" spans="17:17" ht="15" customHeight="1" x14ac:dyDescent="0.2">
      <c r="Q983" s="54"/>
    </row>
    <row r="984" spans="17:17" ht="15" customHeight="1" x14ac:dyDescent="0.2">
      <c r="Q984" s="54"/>
    </row>
    <row r="985" spans="17:17" ht="15" customHeight="1" x14ac:dyDescent="0.2">
      <c r="Q985" s="54"/>
    </row>
    <row r="986" spans="17:17" ht="15" customHeight="1" x14ac:dyDescent="0.2">
      <c r="Q986" s="54"/>
    </row>
    <row r="987" spans="17:17" ht="15" customHeight="1" x14ac:dyDescent="0.2">
      <c r="Q987" s="54"/>
    </row>
    <row r="988" spans="17:17" ht="15" customHeight="1" x14ac:dyDescent="0.2">
      <c r="Q988" s="54"/>
    </row>
    <row r="989" spans="17:17" ht="15" customHeight="1" x14ac:dyDescent="0.2">
      <c r="Q989" s="54"/>
    </row>
    <row r="990" spans="17:17" ht="15" customHeight="1" x14ac:dyDescent="0.2">
      <c r="Q990" s="54"/>
    </row>
    <row r="991" spans="17:17" ht="15" customHeight="1" x14ac:dyDescent="0.2">
      <c r="Q991" s="54"/>
    </row>
    <row r="992" spans="17:17" ht="15" customHeight="1" x14ac:dyDescent="0.2">
      <c r="Q992" s="54"/>
    </row>
    <row r="993" spans="17:17" ht="15" customHeight="1" x14ac:dyDescent="0.2">
      <c r="Q993" s="54"/>
    </row>
    <row r="994" spans="17:17" ht="15" customHeight="1" x14ac:dyDescent="0.2">
      <c r="Q994" s="54"/>
    </row>
    <row r="995" spans="17:17" ht="15" customHeight="1" x14ac:dyDescent="0.2">
      <c r="Q995" s="54"/>
    </row>
    <row r="996" spans="17:17" ht="15" customHeight="1" x14ac:dyDescent="0.2">
      <c r="Q996" s="54"/>
    </row>
    <row r="997" spans="17:17" ht="15" customHeight="1" x14ac:dyDescent="0.2">
      <c r="Q997" s="54"/>
    </row>
    <row r="998" spans="17:17" ht="15" customHeight="1" x14ac:dyDescent="0.2">
      <c r="Q998" s="54"/>
    </row>
    <row r="999" spans="17:17" ht="15" customHeight="1" x14ac:dyDescent="0.2">
      <c r="Q999" s="54"/>
    </row>
    <row r="1000" spans="17:17" ht="15" customHeight="1" x14ac:dyDescent="0.2">
      <c r="Q1000" s="54"/>
    </row>
    <row r="1001" spans="17:17" ht="15" customHeight="1" x14ac:dyDescent="0.2">
      <c r="Q1001" s="54"/>
    </row>
    <row r="1002" spans="17:17" ht="15" customHeight="1" x14ac:dyDescent="0.2">
      <c r="Q1002" s="54"/>
    </row>
    <row r="1003" spans="17:17" ht="15" customHeight="1" x14ac:dyDescent="0.2">
      <c r="Q1003" s="54"/>
    </row>
    <row r="1004" spans="17:17" ht="15" customHeight="1" x14ac:dyDescent="0.2">
      <c r="Q1004" s="54"/>
    </row>
    <row r="1005" spans="17:17" ht="15" customHeight="1" x14ac:dyDescent="0.2">
      <c r="Q1005" s="54"/>
    </row>
    <row r="1006" spans="17:17" ht="15" customHeight="1" x14ac:dyDescent="0.2">
      <c r="Q1006" s="54"/>
    </row>
    <row r="1007" spans="17:17" ht="15" customHeight="1" x14ac:dyDescent="0.2">
      <c r="Q1007" s="54"/>
    </row>
    <row r="1008" spans="17:17" ht="15" customHeight="1" x14ac:dyDescent="0.2">
      <c r="Q1008" s="54"/>
    </row>
    <row r="1009" spans="17:17" ht="15" customHeight="1" x14ac:dyDescent="0.2">
      <c r="Q1009" s="54"/>
    </row>
    <row r="1010" spans="17:17" ht="15" customHeight="1" x14ac:dyDescent="0.2">
      <c r="Q1010" s="54"/>
    </row>
    <row r="1011" spans="17:17" ht="15" customHeight="1" x14ac:dyDescent="0.2">
      <c r="Q1011" s="54"/>
    </row>
    <row r="1012" spans="17:17" ht="15" customHeight="1" x14ac:dyDescent="0.2">
      <c r="Q1012" s="54"/>
    </row>
    <row r="1013" spans="17:17" ht="15" customHeight="1" x14ac:dyDescent="0.2">
      <c r="Q1013" s="54"/>
    </row>
    <row r="1014" spans="17:17" ht="15" customHeight="1" x14ac:dyDescent="0.2">
      <c r="Q1014" s="54"/>
    </row>
    <row r="1015" spans="17:17" ht="15" customHeight="1" x14ac:dyDescent="0.2">
      <c r="Q1015" s="54"/>
    </row>
    <row r="1016" spans="17:17" ht="15" customHeight="1" x14ac:dyDescent="0.2">
      <c r="Q1016" s="54"/>
    </row>
    <row r="1017" spans="17:17" ht="15" customHeight="1" x14ac:dyDescent="0.2">
      <c r="Q1017" s="54"/>
    </row>
    <row r="1018" spans="17:17" ht="15" customHeight="1" x14ac:dyDescent="0.2">
      <c r="Q1018" s="54"/>
    </row>
    <row r="1019" spans="17:17" ht="15" customHeight="1" x14ac:dyDescent="0.2">
      <c r="Q1019" s="54"/>
    </row>
    <row r="1020" spans="17:17" ht="15" customHeight="1" x14ac:dyDescent="0.2">
      <c r="Q1020" s="54"/>
    </row>
    <row r="1021" spans="17:17" ht="15" customHeight="1" x14ac:dyDescent="0.2">
      <c r="Q1021" s="54"/>
    </row>
    <row r="1022" spans="17:17" ht="15" customHeight="1" x14ac:dyDescent="0.2">
      <c r="Q1022" s="54"/>
    </row>
    <row r="1023" spans="17:17" ht="15" customHeight="1" x14ac:dyDescent="0.2">
      <c r="Q1023" s="54"/>
    </row>
    <row r="1024" spans="17:17" ht="15" customHeight="1" x14ac:dyDescent="0.2">
      <c r="Q1024" s="54"/>
    </row>
    <row r="1025" spans="17:17" ht="15" customHeight="1" x14ac:dyDescent="0.2">
      <c r="Q1025" s="54"/>
    </row>
    <row r="1026" spans="17:17" ht="15" customHeight="1" x14ac:dyDescent="0.2">
      <c r="Q1026" s="54"/>
    </row>
    <row r="1027" spans="17:17" ht="15" customHeight="1" x14ac:dyDescent="0.2">
      <c r="Q1027" s="54"/>
    </row>
    <row r="1028" spans="17:17" ht="15" customHeight="1" x14ac:dyDescent="0.2">
      <c r="Q1028" s="54"/>
    </row>
    <row r="1029" spans="17:17" ht="15" customHeight="1" x14ac:dyDescent="0.2">
      <c r="Q1029" s="54"/>
    </row>
    <row r="1030" spans="17:17" ht="15" customHeight="1" x14ac:dyDescent="0.2">
      <c r="Q1030" s="54"/>
    </row>
    <row r="1031" spans="17:17" ht="15" customHeight="1" x14ac:dyDescent="0.2">
      <c r="Q1031" s="54"/>
    </row>
    <row r="1032" spans="17:17" ht="15" customHeight="1" x14ac:dyDescent="0.2">
      <c r="Q1032" s="54"/>
    </row>
    <row r="1033" spans="17:17" ht="15" customHeight="1" x14ac:dyDescent="0.2">
      <c r="Q1033" s="54"/>
    </row>
    <row r="1034" spans="17:17" ht="15" customHeight="1" x14ac:dyDescent="0.2">
      <c r="Q1034" s="54"/>
    </row>
    <row r="1035" spans="17:17" ht="15" customHeight="1" x14ac:dyDescent="0.2">
      <c r="Q1035" s="54"/>
    </row>
    <row r="1036" spans="17:17" ht="15" customHeight="1" x14ac:dyDescent="0.2">
      <c r="Q1036" s="54"/>
    </row>
    <row r="1037" spans="17:17" ht="15" customHeight="1" x14ac:dyDescent="0.2">
      <c r="Q1037" s="54"/>
    </row>
    <row r="1038" spans="17:17" ht="15" customHeight="1" x14ac:dyDescent="0.2">
      <c r="Q1038" s="54"/>
    </row>
    <row r="1039" spans="17:17" ht="15" customHeight="1" x14ac:dyDescent="0.2">
      <c r="Q1039" s="54"/>
    </row>
    <row r="1040" spans="17:17" ht="15" customHeight="1" x14ac:dyDescent="0.2">
      <c r="Q1040" s="54"/>
    </row>
    <row r="1041" spans="17:17" ht="15" customHeight="1" x14ac:dyDescent="0.2">
      <c r="Q1041" s="54"/>
    </row>
    <row r="1042" spans="17:17" ht="15" customHeight="1" x14ac:dyDescent="0.2">
      <c r="Q1042" s="54"/>
    </row>
    <row r="1043" spans="17:17" ht="15" customHeight="1" x14ac:dyDescent="0.2">
      <c r="Q1043" s="54"/>
    </row>
    <row r="1044" spans="17:17" ht="15" customHeight="1" x14ac:dyDescent="0.2">
      <c r="Q1044" s="54"/>
    </row>
    <row r="1045" spans="17:17" ht="15" customHeight="1" x14ac:dyDescent="0.2">
      <c r="Q1045" s="54"/>
    </row>
    <row r="1046" spans="17:17" ht="15" customHeight="1" x14ac:dyDescent="0.2">
      <c r="Q1046" s="54"/>
    </row>
    <row r="1047" spans="17:17" ht="15" customHeight="1" x14ac:dyDescent="0.2">
      <c r="Q1047" s="54"/>
    </row>
    <row r="1048" spans="17:17" ht="15" customHeight="1" x14ac:dyDescent="0.2">
      <c r="Q1048" s="54"/>
    </row>
    <row r="1049" spans="17:17" ht="15" customHeight="1" x14ac:dyDescent="0.2">
      <c r="Q1049" s="54"/>
    </row>
    <row r="1050" spans="17:17" ht="15" customHeight="1" x14ac:dyDescent="0.2">
      <c r="Q1050" s="54"/>
    </row>
    <row r="1051" spans="17:17" ht="15" customHeight="1" x14ac:dyDescent="0.2">
      <c r="Q1051" s="54"/>
    </row>
    <row r="1052" spans="17:17" ht="15" customHeight="1" x14ac:dyDescent="0.2">
      <c r="Q1052" s="54"/>
    </row>
    <row r="1053" spans="17:17" ht="15" customHeight="1" x14ac:dyDescent="0.2">
      <c r="Q1053" s="54"/>
    </row>
    <row r="1054" spans="17:17" ht="15" customHeight="1" x14ac:dyDescent="0.2">
      <c r="Q1054" s="54"/>
    </row>
    <row r="1055" spans="17:17" ht="15" customHeight="1" x14ac:dyDescent="0.2">
      <c r="Q1055" s="54"/>
    </row>
    <row r="1056" spans="17:17" ht="15" customHeight="1" x14ac:dyDescent="0.2">
      <c r="Q1056" s="54"/>
    </row>
    <row r="1057" spans="17:17" ht="15" customHeight="1" x14ac:dyDescent="0.2">
      <c r="Q1057" s="54"/>
    </row>
    <row r="1058" spans="17:17" ht="15" customHeight="1" x14ac:dyDescent="0.2">
      <c r="Q1058" s="54"/>
    </row>
    <row r="1059" spans="17:17" ht="15" customHeight="1" x14ac:dyDescent="0.2">
      <c r="Q1059" s="54"/>
    </row>
    <row r="1060" spans="17:17" ht="15" customHeight="1" x14ac:dyDescent="0.2">
      <c r="Q1060" s="54"/>
    </row>
    <row r="1061" spans="17:17" ht="15" customHeight="1" x14ac:dyDescent="0.2">
      <c r="Q1061" s="54"/>
    </row>
    <row r="1062" spans="17:17" ht="15" customHeight="1" x14ac:dyDescent="0.2">
      <c r="Q1062" s="54"/>
    </row>
    <row r="1063" spans="17:17" ht="15" customHeight="1" x14ac:dyDescent="0.2">
      <c r="Q1063" s="54"/>
    </row>
    <row r="1064" spans="17:17" ht="15" customHeight="1" x14ac:dyDescent="0.2">
      <c r="Q1064" s="54"/>
    </row>
    <row r="1065" spans="17:17" ht="15" customHeight="1" x14ac:dyDescent="0.2">
      <c r="Q1065" s="54"/>
    </row>
    <row r="1066" spans="17:17" ht="15" customHeight="1" x14ac:dyDescent="0.2">
      <c r="Q1066" s="54"/>
    </row>
    <row r="1067" spans="17:17" ht="15" customHeight="1" x14ac:dyDescent="0.2">
      <c r="Q1067" s="54"/>
    </row>
    <row r="1068" spans="17:17" ht="15" customHeight="1" x14ac:dyDescent="0.2">
      <c r="Q1068" s="54"/>
    </row>
    <row r="1069" spans="17:17" ht="15" customHeight="1" x14ac:dyDescent="0.2">
      <c r="Q1069" s="54"/>
    </row>
    <row r="1070" spans="17:17" ht="15" customHeight="1" x14ac:dyDescent="0.2">
      <c r="Q1070" s="54"/>
    </row>
    <row r="1071" spans="17:17" ht="15" customHeight="1" x14ac:dyDescent="0.2">
      <c r="Q1071" s="54"/>
    </row>
    <row r="1072" spans="17:17" ht="15" customHeight="1" x14ac:dyDescent="0.2">
      <c r="Q1072" s="54"/>
    </row>
    <row r="1073" spans="17:17" ht="15" customHeight="1" x14ac:dyDescent="0.2">
      <c r="Q1073" s="54"/>
    </row>
    <row r="1074" spans="17:17" ht="15" customHeight="1" x14ac:dyDescent="0.2">
      <c r="Q1074" s="54"/>
    </row>
    <row r="1075" spans="17:17" ht="15" customHeight="1" x14ac:dyDescent="0.2">
      <c r="Q1075" s="54"/>
    </row>
    <row r="1076" spans="17:17" ht="15" customHeight="1" x14ac:dyDescent="0.2">
      <c r="Q1076" s="54"/>
    </row>
    <row r="1077" spans="17:17" ht="15" customHeight="1" x14ac:dyDescent="0.2">
      <c r="Q1077" s="54"/>
    </row>
    <row r="1078" spans="17:17" ht="15" customHeight="1" x14ac:dyDescent="0.2">
      <c r="Q1078" s="54"/>
    </row>
    <row r="1079" spans="17:17" ht="15" customHeight="1" x14ac:dyDescent="0.2">
      <c r="Q1079" s="54"/>
    </row>
    <row r="1080" spans="17:17" ht="15" customHeight="1" x14ac:dyDescent="0.2">
      <c r="Q1080" s="54"/>
    </row>
    <row r="1081" spans="17:17" ht="15" customHeight="1" x14ac:dyDescent="0.2">
      <c r="Q1081" s="54"/>
    </row>
    <row r="1082" spans="17:17" ht="15" customHeight="1" x14ac:dyDescent="0.2">
      <c r="Q1082" s="54"/>
    </row>
    <row r="1083" spans="17:17" ht="15" customHeight="1" x14ac:dyDescent="0.2">
      <c r="Q1083" s="54"/>
    </row>
    <row r="1084" spans="17:17" ht="15" customHeight="1" x14ac:dyDescent="0.2">
      <c r="Q1084" s="54"/>
    </row>
    <row r="1085" spans="17:17" ht="15" customHeight="1" x14ac:dyDescent="0.2">
      <c r="Q1085" s="54"/>
    </row>
    <row r="1086" spans="17:17" ht="15" customHeight="1" x14ac:dyDescent="0.2">
      <c r="Q1086" s="54"/>
    </row>
    <row r="1087" spans="17:17" ht="15" customHeight="1" x14ac:dyDescent="0.2">
      <c r="Q1087" s="54"/>
    </row>
    <row r="1088" spans="17:17" ht="15" customHeight="1" x14ac:dyDescent="0.2">
      <c r="Q1088" s="54"/>
    </row>
    <row r="1089" spans="17:17" ht="15" customHeight="1" x14ac:dyDescent="0.2">
      <c r="Q1089" s="54"/>
    </row>
    <row r="1090" spans="17:17" ht="15" customHeight="1" x14ac:dyDescent="0.2">
      <c r="Q1090" s="54"/>
    </row>
    <row r="1091" spans="17:17" ht="15" customHeight="1" x14ac:dyDescent="0.2">
      <c r="Q1091" s="54"/>
    </row>
    <row r="1092" spans="17:17" ht="15" customHeight="1" x14ac:dyDescent="0.2">
      <c r="Q1092" s="54"/>
    </row>
    <row r="1093" spans="17:17" ht="15" customHeight="1" x14ac:dyDescent="0.2">
      <c r="Q1093" s="54"/>
    </row>
    <row r="1094" spans="17:17" ht="15" customHeight="1" x14ac:dyDescent="0.2">
      <c r="Q1094" s="54"/>
    </row>
    <row r="1095" spans="17:17" ht="15" customHeight="1" x14ac:dyDescent="0.2">
      <c r="Q1095" s="54"/>
    </row>
    <row r="1096" spans="17:17" ht="15" customHeight="1" x14ac:dyDescent="0.2">
      <c r="Q1096" s="54"/>
    </row>
    <row r="1097" spans="17:17" ht="15" customHeight="1" x14ac:dyDescent="0.2">
      <c r="Q1097" s="54"/>
    </row>
    <row r="1098" spans="17:17" ht="15" customHeight="1" x14ac:dyDescent="0.2">
      <c r="Q1098" s="54"/>
    </row>
    <row r="1099" spans="17:17" ht="15" customHeight="1" x14ac:dyDescent="0.2">
      <c r="Q1099" s="54"/>
    </row>
    <row r="1100" spans="17:17" ht="15" customHeight="1" x14ac:dyDescent="0.2">
      <c r="Q1100" s="54"/>
    </row>
    <row r="1101" spans="17:17" ht="15" customHeight="1" x14ac:dyDescent="0.2">
      <c r="Q1101" s="54"/>
    </row>
    <row r="1102" spans="17:17" ht="15" customHeight="1" x14ac:dyDescent="0.2">
      <c r="Q1102" s="54"/>
    </row>
    <row r="1103" spans="17:17" ht="15" customHeight="1" x14ac:dyDescent="0.2">
      <c r="Q1103" s="54"/>
    </row>
    <row r="1104" spans="17:17" ht="15" customHeight="1" x14ac:dyDescent="0.2">
      <c r="Q1104" s="54"/>
    </row>
    <row r="1105" spans="17:17" ht="15" customHeight="1" x14ac:dyDescent="0.2">
      <c r="Q1105" s="54"/>
    </row>
    <row r="1106" spans="17:17" ht="15" customHeight="1" x14ac:dyDescent="0.2">
      <c r="Q1106" s="54"/>
    </row>
    <row r="1107" spans="17:17" ht="15" customHeight="1" x14ac:dyDescent="0.2">
      <c r="Q1107" s="54"/>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2234-9363-0646-8D56-F8F4B6965FD6}">
  <sheetPr>
    <tabColor rgb="FFFF0000"/>
  </sheetPr>
  <dimension ref="A1:I25"/>
  <sheetViews>
    <sheetView workbookViewId="0">
      <selection activeCell="C3" sqref="C3:E6"/>
    </sheetView>
  </sheetViews>
  <sheetFormatPr baseColWidth="10" defaultColWidth="10.83203125" defaultRowHeight="15" x14ac:dyDescent="0.2"/>
  <cols>
    <col min="1" max="1" width="6.1640625" style="50" customWidth="1"/>
    <col min="2" max="2" width="2.83203125" style="50" customWidth="1"/>
    <col min="3" max="5" width="10.83203125" style="50"/>
    <col min="6" max="6" width="8.5" style="50" customWidth="1"/>
    <col min="7" max="16384" width="10.83203125" style="50"/>
  </cols>
  <sheetData>
    <row r="1" spans="1:9" ht="21" customHeight="1" x14ac:dyDescent="0.2">
      <c r="C1" s="137" t="s">
        <v>108</v>
      </c>
      <c r="D1" s="137"/>
      <c r="E1" s="137"/>
      <c r="F1" s="137"/>
      <c r="G1" s="137"/>
      <c r="H1" s="137"/>
      <c r="I1" s="137"/>
    </row>
    <row r="2" spans="1:9" x14ac:dyDescent="0.2">
      <c r="C2" s="49"/>
      <c r="D2" s="49"/>
      <c r="E2" s="49"/>
      <c r="F2" s="49"/>
      <c r="G2" s="49"/>
    </row>
    <row r="3" spans="1:9" ht="26" customHeight="1" x14ac:dyDescent="0.2">
      <c r="A3" s="139" t="s">
        <v>109</v>
      </c>
      <c r="B3" s="46"/>
      <c r="C3" s="136" t="s">
        <v>111</v>
      </c>
      <c r="D3" s="134"/>
      <c r="E3" s="134"/>
      <c r="G3" s="136" t="s">
        <v>112</v>
      </c>
      <c r="H3" s="134"/>
      <c r="I3" s="134"/>
    </row>
    <row r="4" spans="1:9" ht="26" customHeight="1" x14ac:dyDescent="0.2">
      <c r="A4" s="140"/>
      <c r="B4" s="47"/>
      <c r="C4" s="134"/>
      <c r="D4" s="134"/>
      <c r="E4" s="134"/>
      <c r="F4" s="138"/>
      <c r="G4" s="134"/>
      <c r="H4" s="134"/>
      <c r="I4" s="134"/>
    </row>
    <row r="5" spans="1:9" ht="26" customHeight="1" x14ac:dyDescent="0.2">
      <c r="A5" s="140"/>
      <c r="B5" s="47"/>
      <c r="C5" s="134"/>
      <c r="D5" s="134"/>
      <c r="E5" s="134"/>
      <c r="F5" s="138"/>
      <c r="G5" s="134"/>
      <c r="H5" s="134"/>
      <c r="I5" s="134"/>
    </row>
    <row r="6" spans="1:9" ht="26" customHeight="1" x14ac:dyDescent="0.2">
      <c r="A6" s="140"/>
      <c r="B6" s="47"/>
      <c r="C6" s="134"/>
      <c r="D6" s="134"/>
      <c r="E6" s="134"/>
      <c r="G6" s="134"/>
      <c r="H6" s="134"/>
      <c r="I6" s="134"/>
    </row>
    <row r="7" spans="1:9" ht="26" customHeight="1" x14ac:dyDescent="0.2">
      <c r="A7" s="45"/>
      <c r="B7" s="45"/>
      <c r="D7" s="51"/>
    </row>
    <row r="8" spans="1:9" x14ac:dyDescent="0.2">
      <c r="A8" s="141" t="s">
        <v>110</v>
      </c>
      <c r="B8" s="48"/>
      <c r="C8" s="136" t="s">
        <v>113</v>
      </c>
      <c r="D8" s="134"/>
      <c r="E8" s="134"/>
      <c r="G8" s="136" t="s">
        <v>114</v>
      </c>
      <c r="H8" s="134"/>
      <c r="I8" s="134"/>
    </row>
    <row r="9" spans="1:9" x14ac:dyDescent="0.2">
      <c r="A9" s="142"/>
      <c r="B9" s="45"/>
      <c r="C9" s="134"/>
      <c r="D9" s="134"/>
      <c r="E9" s="134"/>
      <c r="F9" s="51"/>
      <c r="G9" s="134"/>
      <c r="H9" s="134"/>
      <c r="I9" s="134"/>
    </row>
    <row r="10" spans="1:9" x14ac:dyDescent="0.2">
      <c r="A10" s="142"/>
      <c r="B10" s="45"/>
      <c r="D10" s="51"/>
    </row>
    <row r="11" spans="1:9" x14ac:dyDescent="0.2">
      <c r="A11" s="142"/>
      <c r="B11" s="45"/>
      <c r="D11" s="52"/>
    </row>
    <row r="12" spans="1:9" x14ac:dyDescent="0.2">
      <c r="A12" s="142"/>
      <c r="B12" s="45"/>
      <c r="C12" s="136" t="s">
        <v>115</v>
      </c>
      <c r="D12" s="134"/>
      <c r="E12" s="134"/>
      <c r="G12" s="136" t="s">
        <v>116</v>
      </c>
      <c r="H12" s="134"/>
      <c r="I12" s="134"/>
    </row>
    <row r="13" spans="1:9" x14ac:dyDescent="0.2">
      <c r="A13" s="142"/>
      <c r="B13" s="45"/>
      <c r="C13" s="134"/>
      <c r="D13" s="134"/>
      <c r="E13" s="134"/>
      <c r="F13" s="51"/>
      <c r="G13" s="134"/>
      <c r="H13" s="134"/>
      <c r="I13" s="134"/>
    </row>
    <row r="14" spans="1:9" x14ac:dyDescent="0.2">
      <c r="A14" s="142"/>
      <c r="B14" s="45"/>
      <c r="D14" s="51"/>
    </row>
    <row r="15" spans="1:9" ht="39" customHeight="1" x14ac:dyDescent="0.2">
      <c r="A15" s="142"/>
      <c r="B15" s="45"/>
      <c r="D15" s="52"/>
    </row>
    <row r="16" spans="1:9" ht="26" customHeight="1" x14ac:dyDescent="0.2">
      <c r="A16" s="142"/>
      <c r="B16" s="45"/>
      <c r="C16" s="136" t="s">
        <v>117</v>
      </c>
      <c r="D16" s="134"/>
      <c r="E16" s="134"/>
      <c r="G16" s="133" t="s">
        <v>118</v>
      </c>
      <c r="H16" s="134"/>
      <c r="I16" s="134"/>
    </row>
    <row r="17" spans="1:9" ht="26" customHeight="1" x14ac:dyDescent="0.2">
      <c r="A17" s="142"/>
      <c r="B17" s="45"/>
      <c r="C17" s="134"/>
      <c r="D17" s="134"/>
      <c r="E17" s="134"/>
      <c r="F17" s="51"/>
      <c r="G17" s="134"/>
      <c r="H17" s="134"/>
      <c r="I17" s="134"/>
    </row>
    <row r="18" spans="1:9" ht="26" customHeight="1" x14ac:dyDescent="0.2">
      <c r="A18" s="142"/>
      <c r="B18" s="45"/>
      <c r="D18" s="51"/>
      <c r="G18" s="134"/>
      <c r="H18" s="134"/>
      <c r="I18" s="134"/>
    </row>
    <row r="19" spans="1:9" ht="26" customHeight="1" x14ac:dyDescent="0.2">
      <c r="A19" s="142"/>
      <c r="B19" s="45"/>
      <c r="D19" s="52"/>
    </row>
    <row r="20" spans="1:9" x14ac:dyDescent="0.2">
      <c r="D20" s="53"/>
    </row>
    <row r="21" spans="1:9" x14ac:dyDescent="0.2">
      <c r="A21" s="135"/>
      <c r="C21" s="136" t="s">
        <v>119</v>
      </c>
      <c r="D21" s="134"/>
      <c r="E21" s="134"/>
    </row>
    <row r="22" spans="1:9" x14ac:dyDescent="0.2">
      <c r="A22" s="135"/>
      <c r="C22" s="134"/>
      <c r="D22" s="134"/>
      <c r="E22" s="134"/>
    </row>
    <row r="23" spans="1:9" x14ac:dyDescent="0.2">
      <c r="A23" s="135"/>
      <c r="C23" s="134"/>
      <c r="D23" s="134"/>
      <c r="E23" s="134"/>
    </row>
    <row r="24" spans="1:9" x14ac:dyDescent="0.2">
      <c r="A24" s="135"/>
      <c r="C24" s="134"/>
      <c r="D24" s="134"/>
      <c r="E24" s="134"/>
    </row>
    <row r="25" spans="1:9" x14ac:dyDescent="0.2">
      <c r="A25" s="135"/>
      <c r="C25" s="134"/>
      <c r="D25" s="134"/>
      <c r="E25" s="134"/>
    </row>
  </sheetData>
  <mergeCells count="14">
    <mergeCell ref="G16:I18"/>
    <mergeCell ref="A21:A25"/>
    <mergeCell ref="C21:E25"/>
    <mergeCell ref="C1:I1"/>
    <mergeCell ref="F4:F5"/>
    <mergeCell ref="A3:A6"/>
    <mergeCell ref="A8:A19"/>
    <mergeCell ref="C3:E6"/>
    <mergeCell ref="G3:I6"/>
    <mergeCell ref="C8:E9"/>
    <mergeCell ref="C12:E13"/>
    <mergeCell ref="C16:E17"/>
    <mergeCell ref="G8:I9"/>
    <mergeCell ref="G12:I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74B96-457B-4F22-AAB5-0378875C3651}">
  <sheetPr>
    <tabColor rgb="FFFF0000"/>
  </sheetPr>
  <dimension ref="A1:BK34"/>
  <sheetViews>
    <sheetView showGridLines="0" zoomScale="150" workbookViewId="0">
      <selection activeCell="E30" sqref="E30"/>
    </sheetView>
  </sheetViews>
  <sheetFormatPr baseColWidth="10" defaultRowHeight="15" outlineLevelCol="1" x14ac:dyDescent="0.2"/>
  <cols>
    <col min="1" max="1" width="15.6640625" style="55" customWidth="1"/>
    <col min="2" max="4" width="15.33203125" style="55" customWidth="1" outlineLevel="1"/>
    <col min="5" max="5" width="9.5" style="55" customWidth="1"/>
    <col min="6" max="6" width="12.5" style="55" customWidth="1"/>
    <col min="7" max="7" width="11.5" style="55" customWidth="1" outlineLevel="1"/>
    <col min="8" max="11" width="8.6640625" style="55" customWidth="1" outlineLevel="1"/>
    <col min="12" max="12" width="14.5" style="55" customWidth="1" outlineLevel="1"/>
    <col min="13" max="13" width="11.5" style="55"/>
    <col min="14" max="14" width="18.33203125" style="55" bestFit="1" customWidth="1"/>
    <col min="15" max="15" width="10.6640625" style="55" customWidth="1" outlineLevel="1"/>
    <col min="16" max="16" width="12" style="55" customWidth="1" outlineLevel="1"/>
    <col min="17" max="17" width="12.83203125" style="55" customWidth="1" outlineLevel="1"/>
    <col min="18" max="18" width="3" style="55" customWidth="1" outlineLevel="1"/>
    <col min="19" max="19" width="18" style="55" customWidth="1" outlineLevel="1"/>
    <col min="20" max="20" width="10.6640625" style="55" customWidth="1" outlineLevel="1"/>
    <col min="21" max="21" width="14.5" style="55" customWidth="1" outlineLevel="1"/>
    <col min="22" max="25" width="10.83203125" style="55"/>
    <col min="26" max="26" width="4" style="55" customWidth="1"/>
    <col min="27" max="27" width="28.33203125" style="55" customWidth="1"/>
    <col min="28" max="28" width="12" style="55" hidden="1" customWidth="1" outlineLevel="1"/>
    <col min="29" max="29" width="17" style="55" hidden="1" customWidth="1" outlineLevel="1"/>
    <col min="30" max="30" width="18" style="55" hidden="1" customWidth="1" outlineLevel="1"/>
    <col min="31" max="31" width="3.83203125" style="55" customWidth="1" collapsed="1"/>
    <col min="32" max="38" width="10.83203125" style="55"/>
    <col min="39" max="39" width="18.33203125" style="55" bestFit="1" customWidth="1"/>
    <col min="40" max="40" width="10.6640625" style="55" customWidth="1" outlineLevel="1"/>
    <col min="41" max="41" width="12" style="55" customWidth="1" outlineLevel="1"/>
    <col min="42" max="42" width="12.83203125" style="55" customWidth="1" outlineLevel="1"/>
    <col min="43" max="44" width="10.83203125" style="55"/>
    <col min="45" max="45" width="18.33203125" style="55" bestFit="1" customWidth="1"/>
    <col min="46" max="46" width="10.6640625" style="55" customWidth="1" outlineLevel="1"/>
    <col min="47" max="47" width="12" style="55" customWidth="1" outlineLevel="1"/>
    <col min="48" max="48" width="12.83203125" style="55" customWidth="1" outlineLevel="1"/>
    <col min="49" max="55" width="10.83203125" style="55"/>
    <col min="56" max="56" width="18.33203125" style="55" bestFit="1" customWidth="1"/>
    <col min="57" max="57" width="10.6640625" style="55" hidden="1" customWidth="1" outlineLevel="1"/>
    <col min="58" max="58" width="12" style="55" hidden="1" customWidth="1" outlineLevel="1"/>
    <col min="59" max="59" width="12.83203125" style="55" hidden="1" customWidth="1" outlineLevel="1"/>
    <col min="60" max="60" width="4" style="55" hidden="1" customWidth="1" outlineLevel="1"/>
    <col min="61" max="61" width="18" style="55" hidden="1" customWidth="1" outlineLevel="1"/>
    <col min="62" max="62" width="10.6640625" style="55" hidden="1" customWidth="1" outlineLevel="1"/>
    <col min="63" max="63" width="10.83203125" style="55" collapsed="1"/>
    <col min="64" max="16384" width="10.83203125" style="55"/>
  </cols>
  <sheetData>
    <row r="1" spans="1:62" ht="15.75" customHeight="1" x14ac:dyDescent="0.2"/>
    <row r="3" spans="1:62" x14ac:dyDescent="0.2">
      <c r="A3" s="56" t="s">
        <v>130</v>
      </c>
      <c r="F3" s="56" t="s">
        <v>131</v>
      </c>
      <c r="N3" s="56" t="s">
        <v>133</v>
      </c>
      <c r="AA3" s="56" t="s">
        <v>133</v>
      </c>
      <c r="AM3" s="56" t="s">
        <v>136</v>
      </c>
      <c r="AN3" s="57" t="s">
        <v>140</v>
      </c>
      <c r="AS3" s="56" t="s">
        <v>138</v>
      </c>
      <c r="AT3" s="58" t="s">
        <v>134</v>
      </c>
      <c r="AU3" s="59" t="s">
        <v>104</v>
      </c>
      <c r="AV3" s="60" t="s">
        <v>140</v>
      </c>
      <c r="BD3" s="56" t="s">
        <v>139</v>
      </c>
      <c r="BE3" s="58" t="s">
        <v>134</v>
      </c>
      <c r="BF3" s="59" t="s">
        <v>104</v>
      </c>
      <c r="BG3" s="60" t="s">
        <v>140</v>
      </c>
    </row>
    <row r="4" spans="1:62" x14ac:dyDescent="0.2">
      <c r="N4" s="55" t="s">
        <v>123</v>
      </c>
      <c r="AA4" s="55" t="s">
        <v>124</v>
      </c>
      <c r="AM4" s="55" t="s">
        <v>135</v>
      </c>
      <c r="AS4" s="55" t="s">
        <v>127</v>
      </c>
      <c r="BE4" s="55" t="s">
        <v>128</v>
      </c>
    </row>
    <row r="5" spans="1:62" x14ac:dyDescent="0.2">
      <c r="F5" s="71" t="s">
        <v>132</v>
      </c>
      <c r="G5" s="71" t="s">
        <v>120</v>
      </c>
      <c r="H5" s="71" t="s">
        <v>121</v>
      </c>
      <c r="I5" s="71" t="s">
        <v>59</v>
      </c>
      <c r="J5" s="71" t="s">
        <v>60</v>
      </c>
      <c r="K5" s="71" t="s">
        <v>122</v>
      </c>
      <c r="L5" s="71" t="s">
        <v>101</v>
      </c>
      <c r="AA5" s="65"/>
      <c r="AB5" s="78"/>
      <c r="AC5" s="78"/>
      <c r="AD5" s="79"/>
      <c r="AS5" s="77" t="s">
        <v>129</v>
      </c>
      <c r="AT5" s="71" t="s">
        <v>134</v>
      </c>
      <c r="AU5" s="71" t="s">
        <v>104</v>
      </c>
      <c r="AV5" s="71" t="s">
        <v>140</v>
      </c>
      <c r="BD5" s="77" t="s">
        <v>129</v>
      </c>
      <c r="BE5" s="71" t="s">
        <v>134</v>
      </c>
      <c r="BF5" s="71" t="s">
        <v>104</v>
      </c>
      <c r="BG5" s="71" t="s">
        <v>140</v>
      </c>
      <c r="BI5" s="62" t="s">
        <v>129</v>
      </c>
      <c r="BJ5" s="63" t="s">
        <v>134</v>
      </c>
    </row>
    <row r="6" spans="1:62" x14ac:dyDescent="0.2">
      <c r="A6" s="64" t="s">
        <v>101</v>
      </c>
      <c r="B6" s="143" t="s">
        <v>102</v>
      </c>
      <c r="C6" s="143"/>
      <c r="D6" s="143"/>
      <c r="F6" s="61">
        <v>1</v>
      </c>
      <c r="G6" s="61" t="str">
        <f>'BASE DE DATOS SCOPUS'!B2</f>
        <v>Ulrich H.; Hendel R.; Bergh B.; Schreiweis B.</v>
      </c>
      <c r="H6" s="61" t="str">
        <f>'BASE DE DATOS SCOPUS'!C2</f>
        <v>Full-scale indexing and semantic annotation of CT imaging: boosting FAIRness</v>
      </c>
      <c r="I6" s="61">
        <f>'BASE DE DATOS SCOPUS'!D2</f>
        <v>2026</v>
      </c>
      <c r="J6" s="61" t="str">
        <f>'BASE DE DATOS SCOPUS'!E2</f>
        <v>BMC Medical Informatics and Decision Making</v>
      </c>
      <c r="K6" s="61" t="str">
        <f>'BASE DE DATOS SCOPUS'!L2</f>
        <v>H. Ulrich; Institute for Medical Informatics and Artificial Intelligence, Kiel University and University Hospital Schleswig-Holstein, Schleswig-Holstein, Campus Kiel, Kiel, Germany; email: hannes.ulrich@uksh.de</v>
      </c>
      <c r="L6" s="61">
        <f>'BASE DE DATOS SCOPUS'!Q2</f>
        <v>0</v>
      </c>
      <c r="N6" s="86" t="s">
        <v>129</v>
      </c>
      <c r="O6" s="87" t="s">
        <v>134</v>
      </c>
      <c r="P6" s="87" t="s">
        <v>104</v>
      </c>
      <c r="Q6" s="87" t="s">
        <v>140</v>
      </c>
      <c r="R6" s="65"/>
      <c r="S6" s="62" t="s">
        <v>129</v>
      </c>
      <c r="T6" s="63" t="s">
        <v>134</v>
      </c>
      <c r="AA6" s="86" t="s">
        <v>129</v>
      </c>
      <c r="AB6" s="87" t="s">
        <v>134</v>
      </c>
      <c r="AC6" s="87" t="s">
        <v>104</v>
      </c>
      <c r="AD6" s="87" t="s">
        <v>140</v>
      </c>
      <c r="AF6" s="62" t="s">
        <v>129</v>
      </c>
      <c r="AG6" s="63" t="s">
        <v>134</v>
      </c>
      <c r="AM6" s="77" t="s">
        <v>129</v>
      </c>
      <c r="AN6" s="71" t="s">
        <v>134</v>
      </c>
      <c r="AO6" s="71" t="s">
        <v>104</v>
      </c>
      <c r="AP6" s="71" t="s">
        <v>140</v>
      </c>
      <c r="AS6" s="83" t="s">
        <v>15</v>
      </c>
      <c r="AT6" s="83">
        <v>30</v>
      </c>
      <c r="AU6" s="84">
        <v>1</v>
      </c>
      <c r="AV6" s="85">
        <v>1</v>
      </c>
      <c r="BD6" s="83" t="s">
        <v>13</v>
      </c>
      <c r="BE6" s="91">
        <v>10</v>
      </c>
      <c r="BF6" s="89">
        <v>0.33333333333333331</v>
      </c>
      <c r="BG6" s="90">
        <v>0.33333333333333331</v>
      </c>
      <c r="BI6" s="58" t="s">
        <v>13</v>
      </c>
      <c r="BJ6" s="63">
        <v>10</v>
      </c>
    </row>
    <row r="7" spans="1:62" x14ac:dyDescent="0.2">
      <c r="A7" s="65"/>
      <c r="B7" s="64" t="s">
        <v>103</v>
      </c>
      <c r="C7" s="64" t="s">
        <v>104</v>
      </c>
      <c r="D7" s="64" t="s">
        <v>105</v>
      </c>
      <c r="F7" s="65">
        <v>2</v>
      </c>
      <c r="G7" s="65" t="s">
        <v>64</v>
      </c>
      <c r="H7" s="65" t="s">
        <v>65</v>
      </c>
      <c r="I7" s="65">
        <v>2019</v>
      </c>
      <c r="J7" s="65" t="s">
        <v>66</v>
      </c>
      <c r="K7" s="65" t="str">
        <f>'BASE DE DATOS SCOPUS'!L3</f>
        <v>H. Liu; Mayo Clinic, Rochester, 200 First St SW, 55905, United States; email: liu.hongfang@mayo.edu</v>
      </c>
      <c r="L7" s="65">
        <f>'BASE DE DATOS SCOPUS'!Q3</f>
        <v>0</v>
      </c>
      <c r="N7" s="61">
        <v>2021</v>
      </c>
      <c r="O7" s="61">
        <v>13</v>
      </c>
      <c r="P7" s="75">
        <v>0.43333333333333335</v>
      </c>
      <c r="Q7" s="76">
        <v>0.43333333333333335</v>
      </c>
      <c r="R7" s="66"/>
      <c r="S7" s="58">
        <v>2021</v>
      </c>
      <c r="T7" s="63">
        <v>13</v>
      </c>
      <c r="AA7" s="61" t="s">
        <v>77</v>
      </c>
      <c r="AB7" s="61">
        <v>1</v>
      </c>
      <c r="AC7" s="82">
        <v>0.5</v>
      </c>
      <c r="AD7" s="76">
        <v>0.5</v>
      </c>
      <c r="AF7" s="58" t="s">
        <v>77</v>
      </c>
      <c r="AG7" s="63">
        <v>1</v>
      </c>
      <c r="AM7" s="61" t="s">
        <v>62</v>
      </c>
      <c r="AN7" s="61">
        <v>2</v>
      </c>
      <c r="AO7" s="82">
        <v>6.6666666666666666E-2</v>
      </c>
      <c r="AP7" s="76">
        <v>6.6666666666666666E-2</v>
      </c>
      <c r="AS7" s="83" t="s">
        <v>125</v>
      </c>
      <c r="AT7" s="69">
        <v>30</v>
      </c>
      <c r="AU7" s="81">
        <v>1</v>
      </c>
      <c r="AV7" s="74">
        <v>1</v>
      </c>
      <c r="BD7" s="65" t="s">
        <v>142</v>
      </c>
      <c r="BE7" s="92">
        <v>10</v>
      </c>
      <c r="BF7" s="93">
        <v>0.33333333333333331</v>
      </c>
      <c r="BG7" s="94">
        <v>0.33333333333333331</v>
      </c>
      <c r="BI7" s="58" t="s">
        <v>142</v>
      </c>
      <c r="BJ7" s="63">
        <v>10</v>
      </c>
    </row>
    <row r="8" spans="1:62" x14ac:dyDescent="0.2">
      <c r="A8" s="64" t="s">
        <v>13</v>
      </c>
      <c r="B8" s="61">
        <v>613</v>
      </c>
      <c r="C8" s="61">
        <f>B8/B$10</f>
        <v>0.55525362318840576</v>
      </c>
      <c r="D8" s="67">
        <f>C8*100%</f>
        <v>0.55525362318840576</v>
      </c>
      <c r="F8" s="65">
        <v>3</v>
      </c>
      <c r="G8" s="65" t="s">
        <v>67</v>
      </c>
      <c r="H8" s="65" t="s">
        <v>68</v>
      </c>
      <c r="I8" s="65">
        <v>2019</v>
      </c>
      <c r="J8" s="65" t="s">
        <v>69</v>
      </c>
      <c r="K8" s="65" t="str">
        <f>'BASE DE DATOS SCOPUS'!L4</f>
        <v>S. Shafqat; Ambient Cloud, Islamabad, Pakistan; email: ceo@DreamzSoft.org; H.F. Ahmad; Computer Science Department, College of Computer Sciences and Information Technology (CCSIT), King Faisal University, Al-Ahsa, Saudi Arabia; email: hfahmad@kfu.edu.sa</v>
      </c>
      <c r="L8" s="65">
        <f>'BASE DE DATOS SCOPUS'!Q4</f>
        <v>0</v>
      </c>
      <c r="N8" s="65">
        <v>2022</v>
      </c>
      <c r="O8" s="65">
        <v>8</v>
      </c>
      <c r="P8" s="72">
        <v>0.26666666666666666</v>
      </c>
      <c r="Q8" s="66">
        <v>0.26666666666666666</v>
      </c>
      <c r="R8" s="66"/>
      <c r="S8" s="58">
        <v>2022</v>
      </c>
      <c r="T8" s="63">
        <v>8</v>
      </c>
      <c r="AA8" s="65" t="s">
        <v>99</v>
      </c>
      <c r="AB8" s="65">
        <v>1</v>
      </c>
      <c r="AC8" s="80">
        <v>0.5</v>
      </c>
      <c r="AD8" s="66">
        <v>0.5</v>
      </c>
      <c r="AF8" s="58" t="s">
        <v>99</v>
      </c>
      <c r="AG8" s="63">
        <v>1</v>
      </c>
      <c r="AM8" s="65" t="s">
        <v>61</v>
      </c>
      <c r="AN8" s="65">
        <v>10</v>
      </c>
      <c r="AO8" s="80">
        <v>0.33333333333333331</v>
      </c>
      <c r="AP8" s="66">
        <v>0.33333333333333331</v>
      </c>
      <c r="BD8" s="65" t="s">
        <v>143</v>
      </c>
      <c r="BE8" s="92">
        <v>10</v>
      </c>
      <c r="BF8" s="93">
        <v>0.33333333333333331</v>
      </c>
      <c r="BG8" s="94">
        <v>0.33333333333333331</v>
      </c>
      <c r="BI8" s="58" t="s">
        <v>143</v>
      </c>
      <c r="BJ8" s="63">
        <v>10</v>
      </c>
    </row>
    <row r="9" spans="1:62" x14ac:dyDescent="0.2">
      <c r="A9" s="68" t="s">
        <v>106</v>
      </c>
      <c r="B9" s="69">
        <v>491</v>
      </c>
      <c r="C9" s="61">
        <f>B9/B$10</f>
        <v>0.44474637681159418</v>
      </c>
      <c r="D9" s="67">
        <f>C9*100%</f>
        <v>0.44474637681159418</v>
      </c>
      <c r="F9" s="65">
        <v>4</v>
      </c>
      <c r="G9" s="65" t="s">
        <v>70</v>
      </c>
      <c r="H9" s="65" t="s">
        <v>71</v>
      </c>
      <c r="I9" s="65">
        <v>2021</v>
      </c>
      <c r="J9" s="65" t="s">
        <v>69</v>
      </c>
      <c r="K9" s="65" t="str">
        <f>'BASE DE DATOS SCOPUS'!L5</f>
        <v>S. Chamala; Department of Pathology and Laboratory Medicine, Children's Hospital Los Angeles, Los Angeles, 4650 Sunset Blvd, 90027, United States; email: schamala@chla.usc.edu</v>
      </c>
      <c r="L9" s="65">
        <f>'BASE DE DATOS SCOPUS'!Q5</f>
        <v>0</v>
      </c>
      <c r="N9" s="65">
        <v>2023</v>
      </c>
      <c r="O9" s="65">
        <v>9</v>
      </c>
      <c r="P9" s="72">
        <v>0.3</v>
      </c>
      <c r="Q9" s="66">
        <v>0.3</v>
      </c>
      <c r="R9" s="66"/>
      <c r="S9" s="58">
        <v>2023</v>
      </c>
      <c r="T9" s="63">
        <v>9</v>
      </c>
      <c r="AA9" s="83" t="s">
        <v>125</v>
      </c>
      <c r="AB9" s="69">
        <v>2</v>
      </c>
      <c r="AC9" s="81">
        <v>1</v>
      </c>
      <c r="AD9" s="74">
        <v>1</v>
      </c>
      <c r="AF9" s="58" t="s">
        <v>125</v>
      </c>
      <c r="AG9" s="63">
        <v>2</v>
      </c>
      <c r="AM9" s="65" t="s">
        <v>144</v>
      </c>
      <c r="AN9" s="65">
        <v>12</v>
      </c>
      <c r="AO9" s="80">
        <v>0.4</v>
      </c>
      <c r="AP9" s="66">
        <v>0.4</v>
      </c>
      <c r="BD9" s="83" t="s">
        <v>125</v>
      </c>
      <c r="BE9" s="91">
        <v>30</v>
      </c>
      <c r="BF9" s="89">
        <v>1</v>
      </c>
      <c r="BG9" s="90">
        <v>1</v>
      </c>
      <c r="BI9" s="58" t="s">
        <v>125</v>
      </c>
      <c r="BJ9" s="63">
        <v>30</v>
      </c>
    </row>
    <row r="10" spans="1:62" x14ac:dyDescent="0.2">
      <c r="A10" s="64" t="s">
        <v>107</v>
      </c>
      <c r="B10" s="61">
        <f>SUM(B8:B9)</f>
        <v>1104</v>
      </c>
      <c r="C10" s="61">
        <f>SUM(C8:C9)</f>
        <v>1</v>
      </c>
      <c r="D10" s="70">
        <f>SUM(D8:D9)</f>
        <v>1</v>
      </c>
      <c r="F10" s="65">
        <v>5</v>
      </c>
      <c r="G10" s="65" t="s">
        <v>72</v>
      </c>
      <c r="H10" s="65" t="s">
        <v>73</v>
      </c>
      <c r="I10" s="65">
        <v>2020</v>
      </c>
      <c r="J10" s="65" t="s">
        <v>74</v>
      </c>
      <c r="K10" s="65" t="str">
        <f>'BASE DE DATOS SCOPUS'!L6</f>
        <v>B. Gurnani; Neemuch, Gomabai Netralaya, Madhya Pradesh, 485441, India; email: drgurnanibharat25@gmail.com</v>
      </c>
      <c r="L10" s="65">
        <f>'BASE DE DATOS SCOPUS'!Q6</f>
        <v>0</v>
      </c>
      <c r="N10" s="83" t="s">
        <v>125</v>
      </c>
      <c r="O10" s="69">
        <v>30</v>
      </c>
      <c r="P10" s="73">
        <v>1</v>
      </c>
      <c r="Q10" s="74">
        <v>1</v>
      </c>
      <c r="R10" s="66"/>
      <c r="S10" s="58" t="s">
        <v>125</v>
      </c>
      <c r="T10" s="63">
        <v>30</v>
      </c>
      <c r="AM10" s="65" t="s">
        <v>145</v>
      </c>
      <c r="AN10" s="65">
        <v>2</v>
      </c>
      <c r="AO10" s="80">
        <v>6.6666666666666666E-2</v>
      </c>
      <c r="AP10" s="66">
        <v>6.6666666666666666E-2</v>
      </c>
      <c r="BD10"/>
      <c r="BE10"/>
      <c r="BF10"/>
      <c r="BG10"/>
      <c r="BI10"/>
      <c r="BJ10"/>
    </row>
    <row r="11" spans="1:62" x14ac:dyDescent="0.2">
      <c r="F11" s="65">
        <v>6</v>
      </c>
      <c r="G11" s="65" t="s">
        <v>75</v>
      </c>
      <c r="H11" s="65" t="s">
        <v>76</v>
      </c>
      <c r="I11" s="65">
        <v>1991</v>
      </c>
      <c r="J11" s="65" t="s">
        <v>77</v>
      </c>
      <c r="K11" s="65" t="str">
        <f>'BASE DE DATOS SCOPUS'!L7</f>
        <v>C. Gulden; Department of Medical Informatics, Biometrics and Epidemiology, Erlangen, Friedrich-Alexander Universität Erlangen-Nürnberg Wetterkreuz 15, Tennenlohe, 91058, Germany; email: christian.gulden@fau.de</v>
      </c>
      <c r="L11" s="65">
        <f>'BASE DE DATOS SCOPUS'!Q7</f>
        <v>0</v>
      </c>
      <c r="R11" s="66"/>
      <c r="AM11" s="65" t="s">
        <v>146</v>
      </c>
      <c r="AN11" s="65">
        <v>1</v>
      </c>
      <c r="AO11" s="80">
        <v>3.3333333333333333E-2</v>
      </c>
      <c r="AP11" s="66">
        <v>3.3333333333333333E-2</v>
      </c>
      <c r="BD11"/>
      <c r="BE11"/>
      <c r="BF11"/>
      <c r="BG11"/>
      <c r="BI11"/>
      <c r="BJ11"/>
    </row>
    <row r="12" spans="1:62" x14ac:dyDescent="0.2">
      <c r="F12" s="65">
        <v>7</v>
      </c>
      <c r="G12" s="65" t="s">
        <v>78</v>
      </c>
      <c r="H12" s="65" t="s">
        <v>79</v>
      </c>
      <c r="I12" s="65">
        <v>2019</v>
      </c>
      <c r="J12" s="65" t="s">
        <v>80</v>
      </c>
      <c r="K12" s="65" t="str">
        <f>'BASE DE DATOS SCOPUS'!L8</f>
        <v>A. Ansari; Krembil Centre for Neuroinformatics, Centre for Addiction and Mental Health, Toronto, 250 College St., M5T 1R8, Canada; email: adeel.ansari@camh.ca</v>
      </c>
      <c r="L12" s="65">
        <f>'BASE DE DATOS SCOPUS'!Q8</f>
        <v>0</v>
      </c>
      <c r="R12" s="66"/>
      <c r="AM12" s="65" t="s">
        <v>147</v>
      </c>
      <c r="AN12" s="65">
        <v>1</v>
      </c>
      <c r="AO12" s="80">
        <v>3.3333333333333333E-2</v>
      </c>
      <c r="AP12" s="66">
        <v>3.3333333333333333E-2</v>
      </c>
      <c r="BD12"/>
      <c r="BE12"/>
      <c r="BF12"/>
      <c r="BG12"/>
      <c r="BI12"/>
      <c r="BJ12"/>
    </row>
    <row r="13" spans="1:62" x14ac:dyDescent="0.2">
      <c r="F13" s="65">
        <v>8</v>
      </c>
      <c r="G13" s="65" t="s">
        <v>64</v>
      </c>
      <c r="H13" s="65" t="s">
        <v>81</v>
      </c>
      <c r="I13" s="65">
        <v>2019</v>
      </c>
      <c r="J13" s="65" t="s">
        <v>82</v>
      </c>
      <c r="K13" s="65" t="str">
        <f>'BASE DE DATOS SCOPUS'!L9</f>
        <v>S.-H. Kim; Department of IT Convergence Software Engineering, Korea University of Technology &amp; Education (KOREATECH), 1600 Chungjeol-ro, Dongnam-gu, Cheonan-si 31253, Chungcheongnam-do, South Korea; email: sh.kim@koreatech.ac.kr</v>
      </c>
      <c r="L13" s="65">
        <f>'BASE DE DATOS SCOPUS'!Q9</f>
        <v>0</v>
      </c>
      <c r="R13" s="66"/>
      <c r="AM13" s="65" t="s">
        <v>148</v>
      </c>
      <c r="AN13" s="65">
        <v>1</v>
      </c>
      <c r="AO13" s="80">
        <v>3.3333333333333333E-2</v>
      </c>
      <c r="AP13" s="66">
        <v>3.3333333333333333E-2</v>
      </c>
      <c r="BD13"/>
      <c r="BE13"/>
      <c r="BF13"/>
      <c r="BG13"/>
      <c r="BI13"/>
      <c r="BJ13"/>
    </row>
    <row r="14" spans="1:62" x14ac:dyDescent="0.2">
      <c r="F14" s="65">
        <v>9</v>
      </c>
      <c r="G14" s="65" t="s">
        <v>83</v>
      </c>
      <c r="H14" s="65" t="s">
        <v>84</v>
      </c>
      <c r="I14" s="65">
        <v>2018</v>
      </c>
      <c r="J14" s="65" t="s">
        <v>77</v>
      </c>
      <c r="K14" s="65" t="str">
        <f>'BASE DE DATOS SCOPUS'!L10</f>
        <v>S. Mohammed; Department of Computer Science, Lakehead University, Thunder Bay, Canada; email: sabah.mohammed@lakeheadu.ca</v>
      </c>
      <c r="L14" s="65">
        <f>'BASE DE DATOS SCOPUS'!Q10</f>
        <v>0</v>
      </c>
      <c r="R14" s="66"/>
      <c r="AM14" s="69" t="s">
        <v>149</v>
      </c>
      <c r="AN14" s="69">
        <v>1</v>
      </c>
      <c r="AO14" s="81">
        <v>3.3333333333333333E-2</v>
      </c>
      <c r="AP14" s="74">
        <v>3.3333333333333333E-2</v>
      </c>
    </row>
    <row r="15" spans="1:62" x14ac:dyDescent="0.2">
      <c r="F15" s="65">
        <v>10</v>
      </c>
      <c r="G15" s="65" t="s">
        <v>85</v>
      </c>
      <c r="H15" s="65" t="s">
        <v>86</v>
      </c>
      <c r="I15" s="65">
        <v>1992</v>
      </c>
      <c r="J15" s="65" t="s">
        <v>77</v>
      </c>
      <c r="K15" s="65" t="str">
        <f>'BASE DE DATOS SCOPUS'!L11</f>
        <v>C. Drenkhahn; IT Center for Clinical Research, University of Luebeck, Luebeck, 23562, Germany; email: c.drenkhahn@uni-luebeck.de; J. Ingenerf; IT Center for Clinical Research, University of Luebeck, Luebeck, 23562, Germany; email: josef.ingenerf@uni-luebeck.de; T. Ohlsen; Institute of Medical Informatics, University of Luebeck, Luebeck, 23562, Germany; email: tessa.ohlsen@student.uni-luebeck.de</v>
      </c>
      <c r="L15" s="65">
        <f>'BASE DE DATOS SCOPUS'!Q11</f>
        <v>0</v>
      </c>
      <c r="R15" s="66"/>
      <c r="AM15" s="83" t="s">
        <v>125</v>
      </c>
      <c r="AN15" s="69">
        <v>30</v>
      </c>
      <c r="AO15" s="81">
        <v>1</v>
      </c>
      <c r="AP15" s="74">
        <v>1</v>
      </c>
    </row>
    <row r="16" spans="1:62" x14ac:dyDescent="0.2">
      <c r="F16" s="65">
        <v>11</v>
      </c>
      <c r="G16" s="65" t="s">
        <v>87</v>
      </c>
      <c r="H16" s="65" t="s">
        <v>88</v>
      </c>
      <c r="I16" s="65">
        <v>1994</v>
      </c>
      <c r="J16" s="65" t="s">
        <v>77</v>
      </c>
      <c r="K16" s="65" t="str">
        <f>'BASE DE DATOS SCOPUS'!L12</f>
        <v>A. Chatterjee; Department of Information and Communication Technology, Center for eHealth, University of Agder, Kristiansand, 4630, Norway; email: ayan.chatterjee@uia.no</v>
      </c>
      <c r="L16" s="65">
        <f>'BASE DE DATOS SCOPUS'!Q12</f>
        <v>0</v>
      </c>
      <c r="R16" s="66"/>
      <c r="AM16"/>
      <c r="AN16"/>
      <c r="AO16"/>
      <c r="AP16"/>
    </row>
    <row r="17" spans="1:40" x14ac:dyDescent="0.2">
      <c r="F17" s="65">
        <v>12</v>
      </c>
      <c r="G17" s="65" t="s">
        <v>89</v>
      </c>
      <c r="H17" s="65" t="s">
        <v>90</v>
      </c>
      <c r="I17" s="65">
        <v>2020</v>
      </c>
      <c r="J17" s="65" t="s">
        <v>91</v>
      </c>
      <c r="K17" s="65" t="str">
        <f>'BASE DE DATOS SCOPUS'!L13</f>
        <v>R. Scheible; Institute of Artificial Intelligence and Informatics in Medicine, Chair of Medical Informatics, University Hospital Rechts der Isar, Technical University of Munich, Munich, 81675, Germany; email: raphael.scheible@tum.de</v>
      </c>
      <c r="L17" s="65">
        <f>'BASE DE DATOS SCOPUS'!Q13</f>
        <v>0</v>
      </c>
      <c r="R17" s="66"/>
    </row>
    <row r="18" spans="1:40" x14ac:dyDescent="0.2">
      <c r="F18" s="65">
        <v>13</v>
      </c>
      <c r="G18" s="65" t="s">
        <v>92</v>
      </c>
      <c r="H18" s="65" t="s">
        <v>93</v>
      </c>
      <c r="I18" s="65">
        <v>2016</v>
      </c>
      <c r="J18" s="65" t="s">
        <v>63</v>
      </c>
      <c r="K18" s="65" t="str">
        <f>'BASE DE DATOS SCOPUS'!L14</f>
        <v>G. Paragliola; ICAR, CNR, Naples, Italy; email: giovanni.paragliola@icar.cnr.it</v>
      </c>
      <c r="L18" s="65">
        <f>'BASE DE DATOS SCOPUS'!Q14</f>
        <v>0</v>
      </c>
      <c r="R18" s="66"/>
      <c r="AN18" s="55" t="s">
        <v>137</v>
      </c>
    </row>
    <row r="19" spans="1:40" x14ac:dyDescent="0.2">
      <c r="F19" s="65">
        <v>14</v>
      </c>
      <c r="G19" s="65" t="s">
        <v>94</v>
      </c>
      <c r="H19" s="65" t="s">
        <v>95</v>
      </c>
      <c r="I19" s="65">
        <v>1995</v>
      </c>
      <c r="J19" s="65" t="s">
        <v>77</v>
      </c>
      <c r="K19" s="65" t="str">
        <f>'BASE DE DATOS SCOPUS'!L15</f>
        <v>C. Fischer; Roche Diabetes Care GmbH, Mannheim, Sandhofer Strasse 116, 68305, Germany; email: christoph.fischer@roche.com</v>
      </c>
      <c r="L19" s="65">
        <f>'BASE DE DATOS SCOPUS'!Q15</f>
        <v>0</v>
      </c>
      <c r="R19" s="66"/>
    </row>
    <row r="20" spans="1:40" x14ac:dyDescent="0.2">
      <c r="F20" s="69">
        <v>15</v>
      </c>
      <c r="G20" s="69" t="s">
        <v>96</v>
      </c>
      <c r="H20" s="69" t="s">
        <v>97</v>
      </c>
      <c r="I20" s="69">
        <v>2018</v>
      </c>
      <c r="J20" s="69" t="s">
        <v>98</v>
      </c>
      <c r="K20" s="69" t="str">
        <f>'BASE DE DATOS SCOPUS'!L16</f>
        <v>S. Doi; Department of Healthcare Information Management, The University of Tokyo Hospital, Tokyo, Hongo 7-3-1, Bunkyo-ku, 113-8655, Japan; email: s.doi@hcc.h.u-Tokyo.ac.jp</v>
      </c>
      <c r="L20" s="69">
        <f>'BASE DE DATOS SCOPUS'!Q16</f>
        <v>0</v>
      </c>
      <c r="R20" s="66"/>
    </row>
    <row r="21" spans="1:40" x14ac:dyDescent="0.2">
      <c r="R21" s="66"/>
    </row>
    <row r="22" spans="1:40" x14ac:dyDescent="0.2">
      <c r="R22" s="66"/>
    </row>
    <row r="23" spans="1:40" x14ac:dyDescent="0.2">
      <c r="R23" s="66"/>
    </row>
    <row r="24" spans="1:40" x14ac:dyDescent="0.2">
      <c r="R24" s="66"/>
    </row>
    <row r="25" spans="1:40" x14ac:dyDescent="0.2">
      <c r="R25" s="66"/>
    </row>
    <row r="26" spans="1:40" x14ac:dyDescent="0.2">
      <c r="A26" s="95" t="s">
        <v>101</v>
      </c>
      <c r="B26" s="144" t="s">
        <v>102</v>
      </c>
      <c r="C26" s="144"/>
      <c r="D26" s="144"/>
      <c r="R26" s="66"/>
    </row>
    <row r="27" spans="1:40" x14ac:dyDescent="0.2">
      <c r="A27" s="95"/>
      <c r="B27" s="95" t="s">
        <v>103</v>
      </c>
      <c r="C27" s="95" t="s">
        <v>104</v>
      </c>
      <c r="D27" s="95" t="s">
        <v>105</v>
      </c>
      <c r="R27" s="66"/>
    </row>
    <row r="28" spans="1:40" x14ac:dyDescent="0.2">
      <c r="A28" s="96" t="s">
        <v>150</v>
      </c>
      <c r="B28" s="65">
        <v>6</v>
      </c>
      <c r="C28" s="65">
        <f>B28/B$34</f>
        <v>0.12</v>
      </c>
      <c r="D28" s="97">
        <f>C28/C$34</f>
        <v>0.12</v>
      </c>
      <c r="R28" s="66"/>
    </row>
    <row r="29" spans="1:40" x14ac:dyDescent="0.2">
      <c r="A29" s="96" t="s">
        <v>151</v>
      </c>
      <c r="B29" s="65">
        <v>11</v>
      </c>
      <c r="C29" s="65">
        <f t="shared" ref="C29:C33" si="0">B29/B$34</f>
        <v>0.22</v>
      </c>
      <c r="D29" s="98">
        <f>C29*100%</f>
        <v>0.22</v>
      </c>
      <c r="R29" s="66"/>
    </row>
    <row r="30" spans="1:40" ht="16" x14ac:dyDescent="0.2">
      <c r="A30" s="99" t="s">
        <v>152</v>
      </c>
      <c r="B30" s="65">
        <v>6</v>
      </c>
      <c r="C30" s="65">
        <f t="shared" si="0"/>
        <v>0.12</v>
      </c>
      <c r="D30" s="98">
        <f t="shared" ref="D30:D33" si="1">C30*100%</f>
        <v>0.12</v>
      </c>
      <c r="R30" s="66"/>
    </row>
    <row r="31" spans="1:40" ht="16" x14ac:dyDescent="0.2">
      <c r="A31" s="99" t="s">
        <v>13</v>
      </c>
      <c r="B31" s="65">
        <v>16</v>
      </c>
      <c r="C31" s="65">
        <f t="shared" si="0"/>
        <v>0.32</v>
      </c>
      <c r="D31" s="98">
        <f t="shared" si="1"/>
        <v>0.32</v>
      </c>
    </row>
    <row r="32" spans="1:40" ht="16" x14ac:dyDescent="0.2">
      <c r="A32" s="99" t="s">
        <v>153</v>
      </c>
      <c r="B32" s="65">
        <v>5</v>
      </c>
      <c r="C32" s="65">
        <f t="shared" si="0"/>
        <v>0.1</v>
      </c>
      <c r="D32" s="98">
        <f t="shared" si="1"/>
        <v>0.1</v>
      </c>
    </row>
    <row r="33" spans="1:4" ht="16" x14ac:dyDescent="0.2">
      <c r="A33" s="99" t="s">
        <v>154</v>
      </c>
      <c r="B33" s="65">
        <v>6</v>
      </c>
      <c r="C33" s="65">
        <f t="shared" si="0"/>
        <v>0.12</v>
      </c>
      <c r="D33" s="98">
        <f t="shared" si="1"/>
        <v>0.12</v>
      </c>
    </row>
    <row r="34" spans="1:4" x14ac:dyDescent="0.2">
      <c r="A34" s="95" t="s">
        <v>107</v>
      </c>
      <c r="B34" s="95">
        <f>SUM(B28:B33)</f>
        <v>50</v>
      </c>
      <c r="C34" s="95">
        <f>SUM(C28:C33)</f>
        <v>1</v>
      </c>
      <c r="D34" s="100">
        <f>SUM(D28:D33)</f>
        <v>1</v>
      </c>
    </row>
  </sheetData>
  <mergeCells count="2">
    <mergeCell ref="B6:D6"/>
    <mergeCell ref="B26:D26"/>
  </mergeCells>
  <hyperlinks>
    <hyperlink ref="A28" r:id="rId9" display="https://www.redalyc.org/" xr:uid="{ED1A0976-CC1D-E345-B79F-553E5D476A84}"/>
    <hyperlink ref="A29" r:id="rId10" tooltip="Scielo" display="http://www.scielo.org/php/index.php" xr:uid="{01521ED9-984E-A84A-8516-AAB9CA9B7314}"/>
  </hyperlinks>
  <pageMargins left="0.7" right="0.7" top="0.75" bottom="0.75" header="0.3" footer="0.3"/>
  <pageSetup paperSize="9"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D624-C81E-7643-863B-D270978DB766}">
  <dimension ref="A22:F61"/>
  <sheetViews>
    <sheetView topLeftCell="A8" workbookViewId="0">
      <selection activeCell="A22" sqref="A22:F61"/>
    </sheetView>
  </sheetViews>
  <sheetFormatPr baseColWidth="10" defaultRowHeight="15" x14ac:dyDescent="0.2"/>
  <cols>
    <col min="2" max="2" width="52.5" bestFit="1" customWidth="1"/>
  </cols>
  <sheetData>
    <row r="22" spans="1:4" ht="34" x14ac:dyDescent="0.2">
      <c r="A22" s="101" t="s">
        <v>155</v>
      </c>
      <c r="B22" s="101" t="s">
        <v>156</v>
      </c>
      <c r="C22" s="101" t="s">
        <v>157</v>
      </c>
      <c r="D22" s="101" t="s">
        <v>140</v>
      </c>
    </row>
    <row r="23" spans="1:4" ht="17" x14ac:dyDescent="0.2">
      <c r="A23" s="145" t="s">
        <v>101</v>
      </c>
      <c r="B23" s="102" t="s">
        <v>150</v>
      </c>
      <c r="C23" s="102">
        <v>4</v>
      </c>
      <c r="D23" s="103">
        <v>0.13333333333333333</v>
      </c>
    </row>
    <row r="24" spans="1:4" ht="17" x14ac:dyDescent="0.2">
      <c r="A24" s="146"/>
      <c r="B24" s="104" t="s">
        <v>151</v>
      </c>
      <c r="C24" s="104">
        <v>6</v>
      </c>
      <c r="D24" s="105">
        <v>0.2</v>
      </c>
    </row>
    <row r="25" spans="1:4" ht="17" x14ac:dyDescent="0.2">
      <c r="A25" s="146"/>
      <c r="B25" s="104" t="s">
        <v>152</v>
      </c>
      <c r="C25" s="104">
        <v>5</v>
      </c>
      <c r="D25" s="105">
        <v>0.16666666666666666</v>
      </c>
    </row>
    <row r="26" spans="1:4" ht="17" x14ac:dyDescent="0.2">
      <c r="A26" s="146"/>
      <c r="B26" s="104" t="s">
        <v>158</v>
      </c>
      <c r="C26" s="104">
        <v>5</v>
      </c>
      <c r="D26" s="105">
        <v>0.16666666666666666</v>
      </c>
    </row>
    <row r="27" spans="1:4" ht="17" x14ac:dyDescent="0.2">
      <c r="A27" s="146"/>
      <c r="B27" s="104" t="s">
        <v>153</v>
      </c>
      <c r="C27" s="104">
        <v>5</v>
      </c>
      <c r="D27" s="105">
        <v>0.16666666666666666</v>
      </c>
    </row>
    <row r="28" spans="1:4" ht="17" x14ac:dyDescent="0.2">
      <c r="A28" s="147"/>
      <c r="B28" s="104" t="s">
        <v>154</v>
      </c>
      <c r="C28" s="104">
        <v>5</v>
      </c>
      <c r="D28" s="105">
        <v>0.16666666666666666</v>
      </c>
    </row>
    <row r="29" spans="1:4" x14ac:dyDescent="0.2">
      <c r="A29" s="148" t="s">
        <v>60</v>
      </c>
      <c r="B29" s="61" t="s">
        <v>141</v>
      </c>
      <c r="C29" s="61">
        <v>2</v>
      </c>
      <c r="D29" s="76">
        <v>6.6666666666666666E-2</v>
      </c>
    </row>
    <row r="30" spans="1:4" x14ac:dyDescent="0.2">
      <c r="A30" s="149"/>
      <c r="B30" s="65" t="s">
        <v>159</v>
      </c>
      <c r="C30" s="65">
        <v>1</v>
      </c>
      <c r="D30" s="66">
        <v>3.3333333333333333E-2</v>
      </c>
    </row>
    <row r="31" spans="1:4" x14ac:dyDescent="0.2">
      <c r="A31" s="149"/>
      <c r="B31" s="65" t="s">
        <v>160</v>
      </c>
      <c r="C31" s="65">
        <v>1</v>
      </c>
      <c r="D31" s="66">
        <v>3.3333333333333333E-2</v>
      </c>
    </row>
    <row r="32" spans="1:4" x14ac:dyDescent="0.2">
      <c r="A32" s="149"/>
      <c r="B32" s="65" t="s">
        <v>161</v>
      </c>
      <c r="C32" s="65">
        <v>1</v>
      </c>
      <c r="D32" s="66">
        <v>3.3333333333333333E-2</v>
      </c>
    </row>
    <row r="33" spans="1:4" x14ac:dyDescent="0.2">
      <c r="A33" s="149"/>
      <c r="B33" s="65" t="s">
        <v>162</v>
      </c>
      <c r="C33" s="65">
        <v>2</v>
      </c>
      <c r="D33" s="66">
        <v>6.6666666666666666E-2</v>
      </c>
    </row>
    <row r="34" spans="1:4" x14ac:dyDescent="0.2">
      <c r="A34" s="149"/>
      <c r="B34" s="65" t="s">
        <v>163</v>
      </c>
      <c r="C34" s="65">
        <v>1</v>
      </c>
      <c r="D34" s="66">
        <v>3.3333333333333333E-2</v>
      </c>
    </row>
    <row r="35" spans="1:4" x14ac:dyDescent="0.2">
      <c r="A35" s="149"/>
      <c r="B35" s="65" t="s">
        <v>164</v>
      </c>
      <c r="C35" s="65">
        <v>1</v>
      </c>
      <c r="D35" s="66">
        <v>3.3333333333333333E-2</v>
      </c>
    </row>
    <row r="36" spans="1:4" x14ac:dyDescent="0.2">
      <c r="A36" s="149"/>
      <c r="B36" s="65" t="s">
        <v>165</v>
      </c>
      <c r="C36" s="65">
        <v>5</v>
      </c>
      <c r="D36" s="66">
        <v>0.16666666666666666</v>
      </c>
    </row>
    <row r="37" spans="1:4" x14ac:dyDescent="0.2">
      <c r="A37" s="149"/>
      <c r="B37" s="65" t="s">
        <v>166</v>
      </c>
      <c r="C37" s="65">
        <v>2</v>
      </c>
      <c r="D37" s="66">
        <v>6.6666666666666666E-2</v>
      </c>
    </row>
    <row r="38" spans="1:4" x14ac:dyDescent="0.2">
      <c r="A38" s="149"/>
      <c r="B38" s="65" t="s">
        <v>167</v>
      </c>
      <c r="C38" s="65">
        <v>1</v>
      </c>
      <c r="D38" s="66">
        <v>3.3333333333333333E-2</v>
      </c>
    </row>
    <row r="39" spans="1:4" x14ac:dyDescent="0.2">
      <c r="A39" s="149"/>
      <c r="B39" s="65" t="s">
        <v>168</v>
      </c>
      <c r="C39" s="65">
        <v>1</v>
      </c>
      <c r="D39" s="66">
        <v>3.3333333333333333E-2</v>
      </c>
    </row>
    <row r="40" spans="1:4" x14ac:dyDescent="0.2">
      <c r="A40" s="149"/>
      <c r="B40" s="65" t="s">
        <v>169</v>
      </c>
      <c r="C40" s="65">
        <v>2</v>
      </c>
      <c r="D40" s="66">
        <v>6.6666666666666666E-2</v>
      </c>
    </row>
    <row r="41" spans="1:4" x14ac:dyDescent="0.2">
      <c r="A41" s="149"/>
      <c r="B41" s="65" t="s">
        <v>170</v>
      </c>
      <c r="C41" s="65">
        <v>1</v>
      </c>
      <c r="D41" s="66">
        <v>3.3333333333333333E-2</v>
      </c>
    </row>
    <row r="42" spans="1:4" x14ac:dyDescent="0.2">
      <c r="A42" s="149"/>
      <c r="B42" s="65" t="s">
        <v>171</v>
      </c>
      <c r="C42" s="65">
        <v>1</v>
      </c>
      <c r="D42" s="66">
        <v>3.3333333333333333E-2</v>
      </c>
    </row>
    <row r="43" spans="1:4" x14ac:dyDescent="0.2">
      <c r="A43" s="149"/>
      <c r="B43" s="65" t="s">
        <v>172</v>
      </c>
      <c r="C43" s="65">
        <v>1</v>
      </c>
      <c r="D43" s="66">
        <v>3.3333333333333333E-2</v>
      </c>
    </row>
    <row r="44" spans="1:4" x14ac:dyDescent="0.2">
      <c r="A44" s="149"/>
      <c r="B44" s="65" t="s">
        <v>173</v>
      </c>
      <c r="C44" s="65">
        <v>1</v>
      </c>
      <c r="D44" s="66">
        <v>3.3333333333333333E-2</v>
      </c>
    </row>
    <row r="45" spans="1:4" x14ac:dyDescent="0.2">
      <c r="A45" s="149"/>
      <c r="B45" s="65" t="s">
        <v>174</v>
      </c>
      <c r="C45" s="65">
        <v>1</v>
      </c>
      <c r="D45" s="66">
        <v>3.3333333333333333E-2</v>
      </c>
    </row>
    <row r="46" spans="1:4" x14ac:dyDescent="0.2">
      <c r="A46" s="149"/>
      <c r="B46" s="65" t="s">
        <v>175</v>
      </c>
      <c r="C46" s="65">
        <v>1</v>
      </c>
      <c r="D46" s="66">
        <v>3.3333333333333333E-2</v>
      </c>
    </row>
    <row r="47" spans="1:4" x14ac:dyDescent="0.2">
      <c r="A47" s="149"/>
      <c r="B47" s="65" t="s">
        <v>176</v>
      </c>
      <c r="C47" s="65">
        <v>1</v>
      </c>
      <c r="D47" s="66">
        <v>3.3333333333333333E-2</v>
      </c>
    </row>
    <row r="48" spans="1:4" x14ac:dyDescent="0.2">
      <c r="A48" s="149"/>
      <c r="B48" s="65" t="s">
        <v>177</v>
      </c>
      <c r="C48" s="65">
        <v>1</v>
      </c>
      <c r="D48" s="66">
        <v>3.3333333333333333E-2</v>
      </c>
    </row>
    <row r="49" spans="1:6" x14ac:dyDescent="0.2">
      <c r="A49" s="149"/>
      <c r="B49" s="65" t="s">
        <v>178</v>
      </c>
      <c r="C49" s="65">
        <v>1</v>
      </c>
      <c r="D49" s="66">
        <v>3.3333333333333333E-2</v>
      </c>
    </row>
    <row r="50" spans="1:6" x14ac:dyDescent="0.2">
      <c r="A50" s="150"/>
      <c r="B50" s="69" t="s">
        <v>179</v>
      </c>
      <c r="C50" s="69">
        <v>1</v>
      </c>
      <c r="D50" s="74">
        <v>3.3333333333333333E-2</v>
      </c>
      <c r="F50" s="54">
        <v>30</v>
      </c>
    </row>
    <row r="51" spans="1:6" ht="34" x14ac:dyDescent="0.2">
      <c r="B51" s="101" t="s">
        <v>180</v>
      </c>
      <c r="C51" s="101" t="s">
        <v>157</v>
      </c>
      <c r="D51" s="101" t="s">
        <v>140</v>
      </c>
    </row>
    <row r="52" spans="1:6" ht="16" x14ac:dyDescent="0.2">
      <c r="B52" s="108" t="s">
        <v>149</v>
      </c>
      <c r="C52" s="108">
        <v>4</v>
      </c>
      <c r="D52" s="109">
        <f>C52/F$50</f>
        <v>0.13333333333333333</v>
      </c>
    </row>
    <row r="53" spans="1:6" ht="16" x14ac:dyDescent="0.2">
      <c r="B53" s="106" t="s">
        <v>181</v>
      </c>
      <c r="C53" s="106">
        <v>8</v>
      </c>
      <c r="D53" s="110">
        <f t="shared" ref="D53:D55" si="0">C53/F$50</f>
        <v>0.26666666666666666</v>
      </c>
    </row>
    <row r="54" spans="1:6" ht="16" x14ac:dyDescent="0.2">
      <c r="B54" s="106" t="s">
        <v>182</v>
      </c>
      <c r="C54" s="106">
        <v>12</v>
      </c>
      <c r="D54" s="110">
        <f t="shared" si="0"/>
        <v>0.4</v>
      </c>
    </row>
    <row r="55" spans="1:6" ht="16" x14ac:dyDescent="0.2">
      <c r="B55" s="106" t="s">
        <v>183</v>
      </c>
      <c r="C55" s="106">
        <v>6</v>
      </c>
      <c r="D55" s="110">
        <f t="shared" si="0"/>
        <v>0.2</v>
      </c>
    </row>
    <row r="56" spans="1:6" ht="17" x14ac:dyDescent="0.2">
      <c r="B56" s="111" t="s">
        <v>184</v>
      </c>
      <c r="C56" s="106"/>
      <c r="D56" s="106"/>
    </row>
    <row r="57" spans="1:6" ht="16" x14ac:dyDescent="0.2">
      <c r="B57" s="112" t="s">
        <v>185</v>
      </c>
      <c r="C57" s="106">
        <v>22</v>
      </c>
      <c r="D57" s="110">
        <f>C57/F$50</f>
        <v>0.73333333333333328</v>
      </c>
    </row>
    <row r="58" spans="1:6" ht="16" x14ac:dyDescent="0.2">
      <c r="B58" s="112" t="s">
        <v>186</v>
      </c>
      <c r="C58" s="106">
        <v>8</v>
      </c>
      <c r="D58" s="110">
        <f>C58/F$50</f>
        <v>0.26666666666666666</v>
      </c>
    </row>
    <row r="59" spans="1:6" ht="17" x14ac:dyDescent="0.2">
      <c r="B59" s="111" t="s">
        <v>187</v>
      </c>
      <c r="C59" s="106"/>
      <c r="D59" s="106"/>
    </row>
    <row r="60" spans="1:6" ht="16" x14ac:dyDescent="0.2">
      <c r="B60" s="112" t="s">
        <v>188</v>
      </c>
      <c r="C60" s="106">
        <v>21</v>
      </c>
      <c r="D60" s="110">
        <f>C60/F$50</f>
        <v>0.7</v>
      </c>
    </row>
    <row r="61" spans="1:6" ht="16" x14ac:dyDescent="0.2">
      <c r="B61" s="113" t="s">
        <v>189</v>
      </c>
      <c r="C61" s="107">
        <v>9</v>
      </c>
      <c r="D61" s="114">
        <f>C61/F$50</f>
        <v>0.3</v>
      </c>
    </row>
  </sheetData>
  <mergeCells count="2">
    <mergeCell ref="A23:A28"/>
    <mergeCell ref="A29:A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00"/>
  <sheetViews>
    <sheetView topLeftCell="A304" workbookViewId="0">
      <selection activeCell="A332" sqref="A332:XFD1000"/>
    </sheetView>
  </sheetViews>
  <sheetFormatPr baseColWidth="10" defaultColWidth="14.5" defaultRowHeight="15" customHeight="1" x14ac:dyDescent="0.2"/>
  <cols>
    <col min="1" max="1" width="20.5" customWidth="1"/>
    <col min="2" max="2" width="24.6640625" customWidth="1"/>
    <col min="3" max="3" width="6.33203125" customWidth="1"/>
    <col min="4" max="6" width="8.83203125" customWidth="1"/>
    <col min="7" max="7" width="21.33203125" customWidth="1"/>
    <col min="8" max="8" width="8.83203125" customWidth="1"/>
    <col min="9" max="9" width="16" customWidth="1"/>
    <col min="10" max="10" width="28.1640625" customWidth="1"/>
    <col min="11" max="11" width="19.83203125" customWidth="1"/>
    <col min="12" max="13" width="8.83203125" customWidth="1"/>
    <col min="14" max="14" width="17" customWidth="1"/>
    <col min="15" max="15" width="14.1640625" customWidth="1"/>
    <col min="16" max="17" width="19" customWidth="1"/>
    <col min="18" max="18" width="13.33203125" customWidth="1"/>
    <col min="19" max="24" width="10.6640625" customWidth="1"/>
  </cols>
  <sheetData>
    <row r="1" spans="1:38" ht="24.75" customHeight="1" x14ac:dyDescent="0.2">
      <c r="A1" s="1" t="s">
        <v>0</v>
      </c>
      <c r="B1" s="1" t="s">
        <v>1</v>
      </c>
      <c r="C1" s="1" t="s">
        <v>2</v>
      </c>
      <c r="D1" s="1" t="s">
        <v>3</v>
      </c>
      <c r="E1" s="1" t="s">
        <v>4</v>
      </c>
      <c r="F1" s="1" t="s">
        <v>5</v>
      </c>
      <c r="G1" s="1" t="s">
        <v>6</v>
      </c>
      <c r="H1" s="1" t="s">
        <v>7</v>
      </c>
      <c r="I1" s="1" t="s">
        <v>8</v>
      </c>
      <c r="J1" s="1" t="s">
        <v>10</v>
      </c>
      <c r="K1" s="1" t="s">
        <v>11</v>
      </c>
      <c r="L1" s="1" t="s">
        <v>12</v>
      </c>
      <c r="M1" s="1" t="s">
        <v>13</v>
      </c>
      <c r="N1" s="1" t="s">
        <v>14</v>
      </c>
      <c r="O1" s="5" t="s">
        <v>216</v>
      </c>
      <c r="P1" s="6" t="s">
        <v>215</v>
      </c>
      <c r="Q1" s="120" t="s">
        <v>217</v>
      </c>
      <c r="R1" s="121" t="s">
        <v>218</v>
      </c>
      <c r="S1" s="122" t="s">
        <v>219</v>
      </c>
      <c r="T1" s="2"/>
      <c r="U1" s="2"/>
      <c r="V1" s="2"/>
      <c r="W1" s="2"/>
      <c r="X1" s="2"/>
      <c r="Y1" s="3"/>
      <c r="Z1" s="3"/>
      <c r="AA1" s="3"/>
      <c r="AB1" s="3"/>
      <c r="AC1" s="3"/>
      <c r="AD1" s="3"/>
      <c r="AE1" s="3"/>
      <c r="AF1" s="3"/>
      <c r="AG1" s="3"/>
      <c r="AH1" s="3"/>
      <c r="AI1" s="3"/>
      <c r="AJ1" s="3"/>
      <c r="AK1" s="3"/>
      <c r="AL1" s="3"/>
    </row>
    <row r="2" spans="1:38" ht="14.25" customHeight="1" x14ac:dyDescent="0.2">
      <c r="A2" s="118" t="s">
        <v>626</v>
      </c>
      <c r="B2" s="118" t="s">
        <v>627</v>
      </c>
      <c r="C2" s="118">
        <v>2026</v>
      </c>
      <c r="D2" s="118" t="s">
        <v>394</v>
      </c>
      <c r="E2" s="118" t="s">
        <v>629</v>
      </c>
      <c r="F2" s="118" t="s">
        <v>630</v>
      </c>
      <c r="G2" s="118" t="s">
        <v>274</v>
      </c>
      <c r="H2" s="118" t="s">
        <v>15</v>
      </c>
      <c r="I2" s="118" t="s">
        <v>253</v>
      </c>
      <c r="J2" s="118" t="s">
        <v>628</v>
      </c>
      <c r="K2" s="118" t="s">
        <v>631</v>
      </c>
      <c r="L2" s="118"/>
      <c r="M2" s="118"/>
      <c r="N2" s="42"/>
      <c r="O2" s="42" t="s">
        <v>193</v>
      </c>
      <c r="P2" s="42" t="s">
        <v>194</v>
      </c>
      <c r="Q2" s="42"/>
      <c r="R2" s="42"/>
      <c r="S2" s="3" t="s">
        <v>15</v>
      </c>
      <c r="T2" s="3"/>
      <c r="U2" s="3"/>
      <c r="V2" s="3"/>
      <c r="W2" s="3"/>
      <c r="X2" s="3"/>
      <c r="Y2" s="3"/>
      <c r="Z2" s="3"/>
      <c r="AA2" s="3"/>
      <c r="AB2" s="3"/>
      <c r="AC2" s="3"/>
      <c r="AD2" s="3"/>
      <c r="AE2" s="3"/>
      <c r="AF2" s="3"/>
      <c r="AG2" s="3"/>
      <c r="AH2" s="3"/>
      <c r="AI2" s="3"/>
      <c r="AJ2" s="3"/>
      <c r="AK2" s="3"/>
      <c r="AL2" s="3"/>
    </row>
    <row r="3" spans="1:38" ht="14.25" customHeight="1" x14ac:dyDescent="0.2">
      <c r="A3" s="118" t="s">
        <v>1759</v>
      </c>
      <c r="B3" s="118" t="s">
        <v>1760</v>
      </c>
      <c r="C3" s="118">
        <v>2020</v>
      </c>
      <c r="D3" s="118" t="s">
        <v>371</v>
      </c>
      <c r="E3" s="118" t="s">
        <v>1762</v>
      </c>
      <c r="F3" s="118" t="s">
        <v>1763</v>
      </c>
      <c r="G3" s="118" t="s">
        <v>376</v>
      </c>
      <c r="H3" s="118" t="s">
        <v>15</v>
      </c>
      <c r="I3" s="118" t="s">
        <v>253</v>
      </c>
      <c r="J3" s="118" t="s">
        <v>1761</v>
      </c>
      <c r="K3" s="118" t="s">
        <v>1764</v>
      </c>
      <c r="L3" s="118"/>
      <c r="M3" s="118"/>
      <c r="N3" s="42"/>
      <c r="O3" s="42" t="s">
        <v>193</v>
      </c>
      <c r="P3" s="42" t="s">
        <v>194</v>
      </c>
      <c r="Q3" s="42"/>
      <c r="R3" s="42"/>
      <c r="S3" s="3"/>
      <c r="T3" s="3"/>
      <c r="U3" s="3"/>
      <c r="V3" s="3"/>
      <c r="W3" s="3"/>
      <c r="X3" s="3"/>
      <c r="Y3" s="3"/>
      <c r="Z3" s="3"/>
      <c r="AA3" s="3"/>
      <c r="AB3" s="3"/>
      <c r="AC3" s="3"/>
      <c r="AD3" s="3"/>
      <c r="AE3" s="3"/>
      <c r="AF3" s="3"/>
      <c r="AG3" s="3"/>
      <c r="AH3" s="3"/>
      <c r="AI3" s="3"/>
      <c r="AJ3" s="3"/>
      <c r="AK3" s="3"/>
      <c r="AL3" s="3"/>
    </row>
    <row r="4" spans="1:38" ht="14.25" customHeight="1" x14ac:dyDescent="0.2">
      <c r="A4" s="118" t="s">
        <v>1389</v>
      </c>
      <c r="B4" s="118" t="s">
        <v>1390</v>
      </c>
      <c r="C4" s="118">
        <v>2025</v>
      </c>
      <c r="D4" s="118" t="s">
        <v>1391</v>
      </c>
      <c r="E4" s="118" t="s">
        <v>1393</v>
      </c>
      <c r="F4" s="118" t="s">
        <v>1394</v>
      </c>
      <c r="G4" s="118" t="s">
        <v>1395</v>
      </c>
      <c r="H4" s="118" t="s">
        <v>15</v>
      </c>
      <c r="I4" s="118" t="s">
        <v>253</v>
      </c>
      <c r="J4" s="118" t="s">
        <v>1392</v>
      </c>
      <c r="K4" s="118" t="s">
        <v>1821</v>
      </c>
      <c r="L4" s="118"/>
      <c r="M4" s="118"/>
      <c r="N4" s="42"/>
      <c r="O4" s="42" t="s">
        <v>193</v>
      </c>
      <c r="P4" s="42" t="s">
        <v>194</v>
      </c>
      <c r="Q4" s="42"/>
      <c r="R4" s="42"/>
      <c r="S4" s="3"/>
      <c r="T4" s="3"/>
      <c r="U4" s="3"/>
      <c r="V4" s="3"/>
      <c r="W4" s="3"/>
      <c r="X4" s="3"/>
      <c r="Y4" s="3"/>
      <c r="Z4" s="3"/>
      <c r="AA4" s="3"/>
      <c r="AB4" s="3"/>
      <c r="AC4" s="3"/>
      <c r="AD4" s="3"/>
      <c r="AE4" s="3"/>
      <c r="AF4" s="3"/>
      <c r="AG4" s="3"/>
      <c r="AH4" s="3"/>
      <c r="AI4" s="3"/>
      <c r="AJ4" s="3"/>
      <c r="AK4" s="3"/>
      <c r="AL4" s="3"/>
    </row>
    <row r="5" spans="1:38" ht="14.25" customHeight="1" x14ac:dyDescent="0.2">
      <c r="A5" s="118" t="s">
        <v>1030</v>
      </c>
      <c r="B5" s="118" t="s">
        <v>1031</v>
      </c>
      <c r="C5" s="118">
        <v>2023</v>
      </c>
      <c r="D5" s="118" t="s">
        <v>345</v>
      </c>
      <c r="E5" s="118" t="s">
        <v>1033</v>
      </c>
      <c r="F5" s="118" t="s">
        <v>1034</v>
      </c>
      <c r="G5" s="118" t="s">
        <v>350</v>
      </c>
      <c r="H5" s="118" t="s">
        <v>15</v>
      </c>
      <c r="I5" s="118" t="s">
        <v>253</v>
      </c>
      <c r="J5" s="118" t="s">
        <v>1032</v>
      </c>
      <c r="K5" s="118" t="s">
        <v>1035</v>
      </c>
      <c r="L5" s="118"/>
      <c r="M5" s="118"/>
      <c r="N5" s="42"/>
      <c r="O5" s="42" t="s">
        <v>193</v>
      </c>
      <c r="P5" s="42" t="s">
        <v>194</v>
      </c>
      <c r="Q5" s="42"/>
      <c r="R5" s="42"/>
      <c r="S5" s="3"/>
      <c r="T5" s="3"/>
      <c r="U5" s="3"/>
      <c r="V5" s="3"/>
      <c r="W5" s="3"/>
      <c r="X5" s="3"/>
      <c r="Y5" s="3"/>
      <c r="Z5" s="3"/>
      <c r="AA5" s="3"/>
      <c r="AB5" s="3"/>
      <c r="AC5" s="3"/>
      <c r="AD5" s="3"/>
      <c r="AE5" s="3"/>
      <c r="AF5" s="3"/>
      <c r="AG5" s="3"/>
      <c r="AH5" s="3"/>
      <c r="AI5" s="3"/>
      <c r="AJ5" s="3"/>
      <c r="AK5" s="3"/>
      <c r="AL5" s="3"/>
    </row>
    <row r="6" spans="1:38" ht="14.25" customHeight="1" x14ac:dyDescent="0.2">
      <c r="A6" s="118" t="s">
        <v>245</v>
      </c>
      <c r="B6" s="118" t="s">
        <v>246</v>
      </c>
      <c r="C6" s="118">
        <v>2025</v>
      </c>
      <c r="D6" s="118" t="s">
        <v>247</v>
      </c>
      <c r="E6" s="118" t="s">
        <v>249</v>
      </c>
      <c r="F6" s="118" t="s">
        <v>250</v>
      </c>
      <c r="G6" s="118" t="s">
        <v>252</v>
      </c>
      <c r="H6" s="118" t="s">
        <v>15</v>
      </c>
      <c r="I6" s="118" t="s">
        <v>253</v>
      </c>
      <c r="J6" s="118" t="s">
        <v>248</v>
      </c>
      <c r="K6" s="118" t="s">
        <v>251</v>
      </c>
      <c r="L6" s="118"/>
      <c r="M6" s="118"/>
      <c r="N6" s="42"/>
      <c r="O6" s="42" t="s">
        <v>193</v>
      </c>
      <c r="P6" s="42" t="s">
        <v>194</v>
      </c>
      <c r="Q6" s="42"/>
      <c r="R6" s="42"/>
      <c r="S6" s="3"/>
      <c r="T6" s="3"/>
      <c r="U6" s="3"/>
      <c r="V6" s="3"/>
      <c r="W6" s="3"/>
      <c r="X6" s="3"/>
      <c r="Y6" s="3"/>
      <c r="Z6" s="3"/>
      <c r="AA6" s="3"/>
      <c r="AB6" s="3"/>
      <c r="AC6" s="3"/>
      <c r="AD6" s="3"/>
      <c r="AE6" s="3"/>
      <c r="AF6" s="3"/>
      <c r="AG6" s="3"/>
      <c r="AH6" s="3"/>
      <c r="AI6" s="3"/>
      <c r="AJ6" s="3"/>
      <c r="AK6" s="3"/>
      <c r="AL6" s="3"/>
    </row>
    <row r="7" spans="1:38" ht="14.25" customHeight="1" x14ac:dyDescent="0.2">
      <c r="A7" s="118" t="s">
        <v>254</v>
      </c>
      <c r="B7" s="118" t="s">
        <v>255</v>
      </c>
      <c r="C7" s="118">
        <v>2024</v>
      </c>
      <c r="D7" s="118" t="s">
        <v>256</v>
      </c>
      <c r="E7" s="118" t="s">
        <v>258</v>
      </c>
      <c r="F7" s="118">
        <v>0</v>
      </c>
      <c r="G7" s="118" t="s">
        <v>260</v>
      </c>
      <c r="H7" s="118" t="s">
        <v>15</v>
      </c>
      <c r="I7" s="118" t="s">
        <v>253</v>
      </c>
      <c r="J7" s="118" t="s">
        <v>257</v>
      </c>
      <c r="K7" s="118" t="s">
        <v>259</v>
      </c>
      <c r="L7" s="118"/>
      <c r="M7" s="118"/>
      <c r="N7" s="42"/>
      <c r="O7" s="42" t="s">
        <v>193</v>
      </c>
      <c r="P7" s="42" t="s">
        <v>194</v>
      </c>
      <c r="Q7" s="42"/>
      <c r="R7" s="42"/>
      <c r="S7" s="3"/>
      <c r="T7" s="3"/>
      <c r="U7" s="3"/>
      <c r="V7" s="3"/>
      <c r="W7" s="3"/>
      <c r="X7" s="3"/>
      <c r="Y7" s="3"/>
      <c r="Z7" s="3"/>
      <c r="AA7" s="3"/>
      <c r="AB7" s="3"/>
      <c r="AC7" s="3"/>
      <c r="AD7" s="3"/>
      <c r="AE7" s="3"/>
      <c r="AF7" s="3"/>
      <c r="AG7" s="3"/>
      <c r="AH7" s="3"/>
      <c r="AI7" s="3"/>
      <c r="AJ7" s="3"/>
      <c r="AK7" s="3"/>
      <c r="AL7" s="3"/>
    </row>
    <row r="8" spans="1:38" ht="14.25" customHeight="1" x14ac:dyDescent="0.2">
      <c r="A8" s="118" t="s">
        <v>267</v>
      </c>
      <c r="B8" s="118" t="s">
        <v>268</v>
      </c>
      <c r="C8" s="118">
        <v>2025</v>
      </c>
      <c r="D8" s="118" t="s">
        <v>269</v>
      </c>
      <c r="E8" s="118" t="s">
        <v>271</v>
      </c>
      <c r="F8" s="118" t="s">
        <v>272</v>
      </c>
      <c r="G8" s="118" t="s">
        <v>274</v>
      </c>
      <c r="H8" s="118" t="s">
        <v>15</v>
      </c>
      <c r="I8" s="118" t="s">
        <v>253</v>
      </c>
      <c r="J8" s="118" t="s">
        <v>270</v>
      </c>
      <c r="K8" s="118" t="s">
        <v>273</v>
      </c>
      <c r="L8" s="118"/>
      <c r="M8" s="118"/>
      <c r="N8" s="42"/>
      <c r="O8" s="42" t="s">
        <v>193</v>
      </c>
      <c r="P8" s="42" t="s">
        <v>194</v>
      </c>
      <c r="Q8" s="42"/>
      <c r="R8" s="42"/>
      <c r="S8" s="3"/>
      <c r="T8" s="3"/>
      <c r="U8" s="3"/>
      <c r="V8" s="3"/>
      <c r="W8" s="3"/>
      <c r="X8" s="3"/>
      <c r="Y8" s="3"/>
      <c r="Z8" s="3"/>
      <c r="AA8" s="3"/>
      <c r="AB8" s="3"/>
      <c r="AC8" s="3"/>
      <c r="AD8" s="3"/>
      <c r="AE8" s="3"/>
      <c r="AF8" s="3"/>
      <c r="AG8" s="3"/>
      <c r="AH8" s="3"/>
      <c r="AI8" s="3"/>
      <c r="AJ8" s="3"/>
      <c r="AK8" s="3"/>
      <c r="AL8" s="3"/>
    </row>
    <row r="9" spans="1:38" ht="14.25" customHeight="1" x14ac:dyDescent="0.2">
      <c r="A9" s="118" t="s">
        <v>275</v>
      </c>
      <c r="B9" s="118" t="s">
        <v>276</v>
      </c>
      <c r="C9" s="118">
        <v>2026</v>
      </c>
      <c r="D9" s="118" t="s">
        <v>277</v>
      </c>
      <c r="E9" s="118" t="s">
        <v>279</v>
      </c>
      <c r="F9" s="118" t="s">
        <v>280</v>
      </c>
      <c r="G9" s="118" t="s">
        <v>282</v>
      </c>
      <c r="H9" s="118" t="s">
        <v>15</v>
      </c>
      <c r="I9" s="118" t="s">
        <v>253</v>
      </c>
      <c r="J9" s="118" t="s">
        <v>278</v>
      </c>
      <c r="K9" s="118" t="s">
        <v>281</v>
      </c>
      <c r="L9" s="118"/>
      <c r="M9" s="118"/>
      <c r="N9" s="42"/>
      <c r="O9" s="42" t="s">
        <v>193</v>
      </c>
      <c r="P9" s="42" t="s">
        <v>194</v>
      </c>
      <c r="Q9" s="42"/>
      <c r="R9" s="42"/>
      <c r="S9" s="3"/>
      <c r="T9" s="3"/>
      <c r="U9" s="3"/>
      <c r="V9" s="3"/>
      <c r="W9" s="3"/>
      <c r="X9" s="3"/>
      <c r="Y9" s="3"/>
      <c r="Z9" s="3"/>
      <c r="AA9" s="3"/>
      <c r="AB9" s="3"/>
      <c r="AC9" s="3"/>
      <c r="AD9" s="3"/>
      <c r="AE9" s="3"/>
      <c r="AF9" s="3"/>
      <c r="AG9" s="3"/>
      <c r="AH9" s="3"/>
      <c r="AI9" s="3"/>
      <c r="AJ9" s="3"/>
      <c r="AK9" s="3"/>
      <c r="AL9" s="3"/>
    </row>
    <row r="10" spans="1:38" ht="14.25" customHeight="1" x14ac:dyDescent="0.2">
      <c r="A10" s="118" t="s">
        <v>652</v>
      </c>
      <c r="B10" s="118" t="s">
        <v>653</v>
      </c>
      <c r="C10" s="118">
        <v>2023</v>
      </c>
      <c r="D10" s="118" t="s">
        <v>654</v>
      </c>
      <c r="E10" s="118" t="s">
        <v>656</v>
      </c>
      <c r="F10" s="118" t="s">
        <v>657</v>
      </c>
      <c r="G10" s="118" t="s">
        <v>228</v>
      </c>
      <c r="H10" s="118" t="s">
        <v>15</v>
      </c>
      <c r="I10" s="118" t="s">
        <v>253</v>
      </c>
      <c r="J10" s="118" t="s">
        <v>655</v>
      </c>
      <c r="K10" s="118" t="s">
        <v>658</v>
      </c>
      <c r="L10" s="118"/>
      <c r="M10" s="118"/>
      <c r="N10" s="42"/>
      <c r="O10" s="42" t="s">
        <v>193</v>
      </c>
      <c r="P10" s="42" t="s">
        <v>194</v>
      </c>
      <c r="Q10" s="42"/>
      <c r="R10" s="42"/>
      <c r="S10" s="3"/>
      <c r="T10" s="3"/>
      <c r="U10" s="3"/>
      <c r="V10" s="3"/>
      <c r="W10" s="3"/>
      <c r="X10" s="3"/>
      <c r="Y10" s="3"/>
      <c r="Z10" s="3"/>
      <c r="AA10" s="3"/>
      <c r="AB10" s="3"/>
      <c r="AC10" s="3"/>
      <c r="AD10" s="3"/>
      <c r="AE10" s="3"/>
      <c r="AF10" s="3"/>
      <c r="AG10" s="3"/>
      <c r="AH10" s="3"/>
      <c r="AI10" s="3"/>
      <c r="AJ10" s="3"/>
      <c r="AK10" s="3"/>
      <c r="AL10" s="3"/>
    </row>
    <row r="11" spans="1:38" ht="14.25" customHeight="1" x14ac:dyDescent="0.2">
      <c r="A11" s="118" t="s">
        <v>1421</v>
      </c>
      <c r="B11" s="118" t="s">
        <v>1422</v>
      </c>
      <c r="C11" s="118">
        <v>2023</v>
      </c>
      <c r="D11" s="118" t="s">
        <v>277</v>
      </c>
      <c r="E11" s="118" t="s">
        <v>1424</v>
      </c>
      <c r="F11" s="118" t="s">
        <v>1425</v>
      </c>
      <c r="G11" s="118" t="s">
        <v>586</v>
      </c>
      <c r="H11" s="118" t="s">
        <v>15</v>
      </c>
      <c r="I11" s="118" t="s">
        <v>253</v>
      </c>
      <c r="J11" s="118" t="s">
        <v>1423</v>
      </c>
      <c r="K11" s="118" t="s">
        <v>1822</v>
      </c>
      <c r="L11" s="118"/>
      <c r="M11" s="118"/>
      <c r="N11" s="42"/>
      <c r="O11" s="42" t="s">
        <v>193</v>
      </c>
      <c r="P11" s="42" t="s">
        <v>194</v>
      </c>
      <c r="Q11" s="42"/>
      <c r="R11" s="42"/>
      <c r="S11" s="3"/>
      <c r="T11" s="3"/>
      <c r="U11" s="3"/>
      <c r="V11" s="3"/>
      <c r="W11" s="3"/>
      <c r="X11" s="3"/>
      <c r="Y11" s="3"/>
      <c r="Z11" s="3"/>
      <c r="AA11" s="3"/>
      <c r="AB11" s="3"/>
      <c r="AC11" s="3"/>
      <c r="AD11" s="3"/>
      <c r="AE11" s="3"/>
      <c r="AF11" s="3"/>
      <c r="AG11" s="3"/>
      <c r="AH11" s="3"/>
      <c r="AI11" s="3"/>
      <c r="AJ11" s="3"/>
      <c r="AK11" s="3"/>
      <c r="AL11" s="3"/>
    </row>
    <row r="12" spans="1:38" ht="14.25" customHeight="1" x14ac:dyDescent="0.2">
      <c r="A12" s="118" t="s">
        <v>665</v>
      </c>
      <c r="B12" s="118" t="s">
        <v>666</v>
      </c>
      <c r="C12" s="118">
        <v>2022</v>
      </c>
      <c r="D12" s="118" t="s">
        <v>385</v>
      </c>
      <c r="E12" s="118" t="s">
        <v>668</v>
      </c>
      <c r="F12" s="118" t="s">
        <v>669</v>
      </c>
      <c r="G12" s="118" t="s">
        <v>586</v>
      </c>
      <c r="H12" s="118" t="s">
        <v>15</v>
      </c>
      <c r="I12" s="118" t="s">
        <v>253</v>
      </c>
      <c r="J12" s="118" t="s">
        <v>667</v>
      </c>
      <c r="K12" s="118" t="s">
        <v>670</v>
      </c>
      <c r="L12" s="118"/>
      <c r="M12" s="118"/>
      <c r="N12" s="42"/>
      <c r="O12" s="42" t="s">
        <v>193</v>
      </c>
      <c r="P12" s="42" t="s">
        <v>194</v>
      </c>
      <c r="Q12" s="42"/>
      <c r="R12" s="42"/>
      <c r="S12" s="3"/>
      <c r="T12" s="3"/>
      <c r="U12" s="3"/>
      <c r="V12" s="3"/>
      <c r="W12" s="3"/>
      <c r="X12" s="3"/>
      <c r="Y12" s="3"/>
      <c r="Z12" s="3"/>
      <c r="AA12" s="3"/>
      <c r="AB12" s="3"/>
      <c r="AC12" s="3"/>
      <c r="AD12" s="3"/>
      <c r="AE12" s="3"/>
      <c r="AF12" s="3"/>
      <c r="AG12" s="3"/>
      <c r="AH12" s="3"/>
      <c r="AI12" s="3"/>
      <c r="AJ12" s="3"/>
      <c r="AK12" s="3"/>
      <c r="AL12" s="3"/>
    </row>
    <row r="13" spans="1:38" ht="14.25" customHeight="1" x14ac:dyDescent="0.2">
      <c r="A13" s="118" t="s">
        <v>671</v>
      </c>
      <c r="B13" s="118" t="s">
        <v>672</v>
      </c>
      <c r="C13" s="118">
        <v>2024</v>
      </c>
      <c r="D13" s="118" t="s">
        <v>673</v>
      </c>
      <c r="E13" s="118" t="s">
        <v>675</v>
      </c>
      <c r="F13" s="118" t="s">
        <v>676</v>
      </c>
      <c r="G13" s="118" t="s">
        <v>282</v>
      </c>
      <c r="H13" s="118" t="s">
        <v>15</v>
      </c>
      <c r="I13" s="118" t="s">
        <v>253</v>
      </c>
      <c r="J13" s="118" t="s">
        <v>674</v>
      </c>
      <c r="K13" s="118" t="s">
        <v>677</v>
      </c>
      <c r="L13" s="118"/>
      <c r="M13" s="118"/>
      <c r="N13" s="42"/>
      <c r="O13" s="42" t="s">
        <v>193</v>
      </c>
      <c r="P13" s="42" t="s">
        <v>194</v>
      </c>
      <c r="Q13" s="42"/>
      <c r="R13" s="42"/>
      <c r="S13" s="3"/>
      <c r="T13" s="3"/>
      <c r="U13" s="3"/>
      <c r="V13" s="3"/>
      <c r="W13" s="3"/>
      <c r="X13" s="3"/>
      <c r="Y13" s="3"/>
      <c r="Z13" s="3"/>
      <c r="AA13" s="3"/>
      <c r="AB13" s="3"/>
      <c r="AC13" s="3"/>
      <c r="AD13" s="3"/>
      <c r="AE13" s="3"/>
      <c r="AF13" s="3"/>
      <c r="AG13" s="3"/>
      <c r="AH13" s="3"/>
      <c r="AI13" s="3"/>
      <c r="AJ13" s="3"/>
      <c r="AK13" s="3"/>
      <c r="AL13" s="3"/>
    </row>
    <row r="14" spans="1:38" ht="14.25" customHeight="1" x14ac:dyDescent="0.2">
      <c r="A14" s="118" t="s">
        <v>288</v>
      </c>
      <c r="B14" s="118" t="s">
        <v>289</v>
      </c>
      <c r="C14" s="118">
        <v>2022</v>
      </c>
      <c r="D14" s="118" t="s">
        <v>290</v>
      </c>
      <c r="E14" s="118" t="s">
        <v>292</v>
      </c>
      <c r="F14" s="118" t="s">
        <v>293</v>
      </c>
      <c r="G14" s="118" t="s">
        <v>228</v>
      </c>
      <c r="H14" s="118" t="s">
        <v>15</v>
      </c>
      <c r="I14" s="118" t="s">
        <v>253</v>
      </c>
      <c r="J14" s="118" t="s">
        <v>291</v>
      </c>
      <c r="K14" s="118" t="s">
        <v>294</v>
      </c>
      <c r="L14" s="118"/>
      <c r="M14" s="118"/>
      <c r="N14" s="42"/>
      <c r="O14" s="42" t="s">
        <v>193</v>
      </c>
      <c r="P14" s="42" t="s">
        <v>194</v>
      </c>
      <c r="Q14" s="42"/>
      <c r="R14" s="42"/>
      <c r="S14" s="3"/>
      <c r="T14" s="3"/>
      <c r="U14" s="3"/>
      <c r="V14" s="3"/>
      <c r="W14" s="3"/>
      <c r="X14" s="3"/>
      <c r="Y14" s="3"/>
      <c r="Z14" s="3"/>
      <c r="AA14" s="3"/>
      <c r="AB14" s="3"/>
      <c r="AC14" s="3"/>
      <c r="AD14" s="3"/>
      <c r="AE14" s="3"/>
      <c r="AF14" s="3"/>
      <c r="AG14" s="3"/>
      <c r="AH14" s="3"/>
      <c r="AI14" s="3"/>
      <c r="AJ14" s="3"/>
      <c r="AK14" s="3"/>
      <c r="AL14" s="3"/>
    </row>
    <row r="15" spans="1:38" ht="14.25" customHeight="1" x14ac:dyDescent="0.2">
      <c r="A15" s="118" t="s">
        <v>684</v>
      </c>
      <c r="B15" s="118" t="s">
        <v>685</v>
      </c>
      <c r="C15" s="118">
        <v>2025</v>
      </c>
      <c r="D15" s="118" t="s">
        <v>686</v>
      </c>
      <c r="E15" s="118" t="s">
        <v>688</v>
      </c>
      <c r="F15" s="118" t="s">
        <v>689</v>
      </c>
      <c r="G15" s="118" t="s">
        <v>691</v>
      </c>
      <c r="H15" s="118" t="s">
        <v>15</v>
      </c>
      <c r="I15" s="118" t="s">
        <v>253</v>
      </c>
      <c r="J15" s="118" t="s">
        <v>687</v>
      </c>
      <c r="K15" s="118" t="s">
        <v>690</v>
      </c>
      <c r="L15" s="118"/>
      <c r="M15" s="118"/>
      <c r="N15" s="42"/>
      <c r="O15" s="42" t="s">
        <v>193</v>
      </c>
      <c r="P15" s="42" t="s">
        <v>194</v>
      </c>
      <c r="Q15" s="42"/>
      <c r="R15" s="42"/>
      <c r="S15" s="3"/>
      <c r="T15" s="3"/>
      <c r="U15" s="3"/>
      <c r="V15" s="3"/>
      <c r="W15" s="3"/>
      <c r="X15" s="3"/>
      <c r="Y15" s="3"/>
      <c r="Z15" s="3"/>
      <c r="AA15" s="3"/>
      <c r="AB15" s="3"/>
      <c r="AC15" s="3"/>
      <c r="AD15" s="3"/>
      <c r="AE15" s="3"/>
      <c r="AF15" s="3"/>
      <c r="AG15" s="3"/>
      <c r="AH15" s="3"/>
      <c r="AI15" s="3"/>
      <c r="AJ15" s="3"/>
      <c r="AK15" s="3"/>
      <c r="AL15" s="3"/>
    </row>
    <row r="16" spans="1:38" ht="14.25" customHeight="1" x14ac:dyDescent="0.2">
      <c r="A16" s="118" t="s">
        <v>315</v>
      </c>
      <c r="B16" s="118" t="s">
        <v>316</v>
      </c>
      <c r="C16" s="118">
        <v>2024</v>
      </c>
      <c r="D16" s="118" t="s">
        <v>317</v>
      </c>
      <c r="E16" s="118" t="s">
        <v>319</v>
      </c>
      <c r="F16" s="118" t="s">
        <v>320</v>
      </c>
      <c r="G16" s="118" t="s">
        <v>322</v>
      </c>
      <c r="H16" s="118" t="s">
        <v>15</v>
      </c>
      <c r="I16" s="118" t="s">
        <v>253</v>
      </c>
      <c r="J16" s="118" t="s">
        <v>318</v>
      </c>
      <c r="K16" s="118" t="s">
        <v>321</v>
      </c>
      <c r="L16" s="118"/>
      <c r="M16" s="118"/>
      <c r="N16" s="42"/>
      <c r="O16" s="42" t="s">
        <v>193</v>
      </c>
      <c r="P16" s="42" t="s">
        <v>194</v>
      </c>
      <c r="Q16" s="42"/>
      <c r="R16" s="42"/>
      <c r="S16" s="3"/>
      <c r="T16" s="119"/>
      <c r="U16" s="119"/>
      <c r="V16" s="119"/>
      <c r="W16" s="119"/>
      <c r="X16" s="119"/>
      <c r="Y16" s="119"/>
      <c r="Z16" s="119"/>
      <c r="AA16" s="119"/>
      <c r="AB16" s="119"/>
      <c r="AC16" s="119"/>
      <c r="AD16" s="119"/>
      <c r="AE16" s="119"/>
      <c r="AF16" s="119"/>
      <c r="AG16" s="119"/>
      <c r="AH16" s="119"/>
      <c r="AI16" s="119"/>
      <c r="AJ16" s="119"/>
      <c r="AK16" s="119"/>
      <c r="AL16" s="119"/>
    </row>
    <row r="17" spans="1:38" ht="14.25" customHeight="1" x14ac:dyDescent="0.2">
      <c r="A17" s="118" t="s">
        <v>1060</v>
      </c>
      <c r="B17" s="118" t="s">
        <v>1061</v>
      </c>
      <c r="C17" s="118">
        <v>2025</v>
      </c>
      <c r="D17" s="118" t="s">
        <v>1062</v>
      </c>
      <c r="E17" s="118" t="s">
        <v>1064</v>
      </c>
      <c r="F17" s="118" t="s">
        <v>1065</v>
      </c>
      <c r="G17" s="118" t="s">
        <v>691</v>
      </c>
      <c r="H17" s="118" t="s">
        <v>15</v>
      </c>
      <c r="I17" s="118" t="s">
        <v>253</v>
      </c>
      <c r="J17" s="118" t="s">
        <v>1063</v>
      </c>
      <c r="K17" s="118" t="s">
        <v>1066</v>
      </c>
      <c r="L17" s="118"/>
      <c r="M17" s="118"/>
      <c r="N17" s="42"/>
      <c r="O17" s="42" t="s">
        <v>193</v>
      </c>
      <c r="P17" s="42" t="s">
        <v>194</v>
      </c>
      <c r="Q17" s="42"/>
      <c r="R17" s="42"/>
      <c r="S17" s="3"/>
      <c r="T17" s="119"/>
      <c r="U17" s="119"/>
      <c r="V17" s="119"/>
      <c r="W17" s="119"/>
      <c r="X17" s="119"/>
      <c r="Y17" s="119"/>
      <c r="Z17" s="119"/>
      <c r="AA17" s="119"/>
      <c r="AB17" s="119"/>
      <c r="AC17" s="119"/>
      <c r="AD17" s="119"/>
      <c r="AE17" s="119"/>
      <c r="AF17" s="119"/>
      <c r="AG17" s="119"/>
      <c r="AH17" s="119"/>
      <c r="AI17" s="119"/>
      <c r="AJ17" s="119"/>
      <c r="AK17" s="119"/>
      <c r="AL17" s="119"/>
    </row>
    <row r="18" spans="1:38" ht="14.25" customHeight="1" x14ac:dyDescent="0.2">
      <c r="A18" s="118" t="s">
        <v>705</v>
      </c>
      <c r="B18" s="118" t="s">
        <v>706</v>
      </c>
      <c r="C18" s="118">
        <v>2026</v>
      </c>
      <c r="D18" s="118" t="s">
        <v>707</v>
      </c>
      <c r="E18" s="118" t="s">
        <v>709</v>
      </c>
      <c r="F18" s="118" t="s">
        <v>710</v>
      </c>
      <c r="G18" s="118" t="s">
        <v>252</v>
      </c>
      <c r="H18" s="118" t="s">
        <v>15</v>
      </c>
      <c r="I18" s="118" t="s">
        <v>253</v>
      </c>
      <c r="J18" s="118" t="s">
        <v>708</v>
      </c>
      <c r="K18" s="118" t="s">
        <v>711</v>
      </c>
      <c r="L18" s="118"/>
      <c r="M18" s="118"/>
      <c r="N18" s="42"/>
      <c r="O18" s="42" t="s">
        <v>193</v>
      </c>
      <c r="P18" s="42" t="s">
        <v>194</v>
      </c>
      <c r="Q18" s="42"/>
      <c r="R18" s="42"/>
      <c r="S18" s="3"/>
      <c r="T18" s="119"/>
      <c r="U18" s="119"/>
      <c r="V18" s="119"/>
      <c r="W18" s="119"/>
      <c r="X18" s="119"/>
      <c r="Y18" s="119"/>
      <c r="Z18" s="119"/>
      <c r="AA18" s="119"/>
      <c r="AB18" s="119"/>
      <c r="AC18" s="119"/>
      <c r="AD18" s="119"/>
      <c r="AE18" s="119"/>
      <c r="AF18" s="119"/>
      <c r="AG18" s="119"/>
      <c r="AH18" s="119"/>
      <c r="AI18" s="119"/>
      <c r="AJ18" s="119"/>
      <c r="AK18" s="119"/>
      <c r="AL18" s="119"/>
    </row>
    <row r="19" spans="1:38" ht="14.25" customHeight="1" x14ac:dyDescent="0.2">
      <c r="A19" s="118" t="s">
        <v>1079</v>
      </c>
      <c r="B19" s="118" t="s">
        <v>1080</v>
      </c>
      <c r="C19" s="118">
        <v>2023</v>
      </c>
      <c r="D19" s="118" t="s">
        <v>1081</v>
      </c>
      <c r="E19" s="118" t="s">
        <v>1083</v>
      </c>
      <c r="F19" s="118" t="s">
        <v>1084</v>
      </c>
      <c r="G19" s="118" t="s">
        <v>1086</v>
      </c>
      <c r="H19" s="118" t="s">
        <v>15</v>
      </c>
      <c r="I19" s="118" t="s">
        <v>253</v>
      </c>
      <c r="J19" s="118" t="s">
        <v>1082</v>
      </c>
      <c r="K19" s="118" t="s">
        <v>1085</v>
      </c>
      <c r="L19" s="118"/>
      <c r="M19" s="118"/>
      <c r="N19" s="42"/>
      <c r="O19" s="42" t="s">
        <v>193</v>
      </c>
      <c r="P19" s="42" t="s">
        <v>194</v>
      </c>
      <c r="Q19" s="42"/>
      <c r="R19" s="42"/>
      <c r="S19" s="3"/>
      <c r="T19" s="119"/>
      <c r="U19" s="119"/>
      <c r="V19" s="119"/>
      <c r="W19" s="119"/>
      <c r="X19" s="119"/>
      <c r="Y19" s="119"/>
      <c r="Z19" s="119"/>
      <c r="AA19" s="119"/>
      <c r="AB19" s="119"/>
      <c r="AC19" s="119"/>
      <c r="AD19" s="119"/>
      <c r="AE19" s="119"/>
      <c r="AF19" s="119"/>
      <c r="AG19" s="119"/>
      <c r="AH19" s="119"/>
      <c r="AI19" s="119"/>
      <c r="AJ19" s="119"/>
      <c r="AK19" s="119"/>
      <c r="AL19" s="119"/>
    </row>
    <row r="20" spans="1:38" ht="14.25" customHeight="1" x14ac:dyDescent="0.2">
      <c r="A20" s="118" t="s">
        <v>1765</v>
      </c>
      <c r="B20" s="118" t="s">
        <v>1766</v>
      </c>
      <c r="C20" s="118">
        <v>2020</v>
      </c>
      <c r="D20" s="118" t="s">
        <v>1767</v>
      </c>
      <c r="E20" s="118" t="s">
        <v>1769</v>
      </c>
      <c r="F20" s="118">
        <v>0</v>
      </c>
      <c r="G20" s="118" t="s">
        <v>457</v>
      </c>
      <c r="H20" s="118" t="s">
        <v>15</v>
      </c>
      <c r="I20" s="118" t="s">
        <v>253</v>
      </c>
      <c r="J20" s="118" t="s">
        <v>1768</v>
      </c>
      <c r="K20" s="118" t="s">
        <v>1770</v>
      </c>
      <c r="L20" s="118"/>
      <c r="M20" s="118"/>
      <c r="N20" s="42"/>
      <c r="O20" s="42" t="s">
        <v>193</v>
      </c>
      <c r="P20" s="42" t="s">
        <v>194</v>
      </c>
      <c r="Q20" s="42"/>
      <c r="R20" s="42"/>
      <c r="S20" s="3"/>
      <c r="T20" s="119"/>
      <c r="U20" s="119"/>
      <c r="V20" s="119"/>
      <c r="W20" s="119"/>
      <c r="X20" s="119"/>
      <c r="Y20" s="119"/>
      <c r="Z20" s="119"/>
      <c r="AA20" s="119"/>
      <c r="AB20" s="119"/>
      <c r="AC20" s="119"/>
      <c r="AD20" s="119"/>
      <c r="AE20" s="119"/>
      <c r="AF20" s="119"/>
      <c r="AG20" s="119"/>
      <c r="AH20" s="119"/>
      <c r="AI20" s="119"/>
      <c r="AJ20" s="119"/>
      <c r="AK20" s="119"/>
      <c r="AL20" s="119"/>
    </row>
    <row r="21" spans="1:38" ht="14.25" customHeight="1" x14ac:dyDescent="0.2">
      <c r="A21" s="118" t="s">
        <v>718</v>
      </c>
      <c r="B21" s="118" t="s">
        <v>719</v>
      </c>
      <c r="C21" s="118">
        <v>2025</v>
      </c>
      <c r="D21" s="118" t="s">
        <v>460</v>
      </c>
      <c r="E21" s="118" t="s">
        <v>721</v>
      </c>
      <c r="F21" s="118" t="s">
        <v>722</v>
      </c>
      <c r="G21" s="118" t="s">
        <v>465</v>
      </c>
      <c r="H21" s="118" t="s">
        <v>15</v>
      </c>
      <c r="I21" s="118" t="s">
        <v>253</v>
      </c>
      <c r="J21" s="118" t="s">
        <v>720</v>
      </c>
      <c r="K21" s="118" t="s">
        <v>723</v>
      </c>
      <c r="L21" s="118"/>
      <c r="M21" s="118"/>
      <c r="N21" s="42"/>
      <c r="O21" s="42" t="s">
        <v>193</v>
      </c>
      <c r="P21" s="42" t="s">
        <v>194</v>
      </c>
      <c r="Q21" s="42"/>
      <c r="R21" s="42"/>
      <c r="S21" s="3"/>
      <c r="T21" s="119"/>
      <c r="U21" s="119"/>
      <c r="V21" s="119"/>
      <c r="W21" s="119"/>
      <c r="X21" s="119"/>
      <c r="Y21" s="119"/>
      <c r="Z21" s="119"/>
      <c r="AA21" s="119"/>
      <c r="AB21" s="119"/>
      <c r="AC21" s="119"/>
      <c r="AD21" s="119"/>
      <c r="AE21" s="119"/>
      <c r="AF21" s="119"/>
      <c r="AG21" s="119"/>
      <c r="AH21" s="119"/>
      <c r="AI21" s="119"/>
      <c r="AJ21" s="119"/>
      <c r="AK21" s="119"/>
      <c r="AL21" s="119"/>
    </row>
    <row r="22" spans="1:38" ht="14.25" customHeight="1" x14ac:dyDescent="0.2">
      <c r="A22" s="118" t="s">
        <v>343</v>
      </c>
      <c r="B22" s="118" t="s">
        <v>344</v>
      </c>
      <c r="C22" s="118">
        <v>2025</v>
      </c>
      <c r="D22" s="118" t="s">
        <v>345</v>
      </c>
      <c r="E22" s="118" t="s">
        <v>347</v>
      </c>
      <c r="F22" s="118" t="s">
        <v>348</v>
      </c>
      <c r="G22" s="118" t="s">
        <v>350</v>
      </c>
      <c r="H22" s="118" t="s">
        <v>15</v>
      </c>
      <c r="I22" s="118" t="s">
        <v>253</v>
      </c>
      <c r="J22" s="118" t="s">
        <v>346</v>
      </c>
      <c r="K22" s="118" t="s">
        <v>349</v>
      </c>
      <c r="L22" s="118"/>
      <c r="M22" s="118"/>
      <c r="N22" s="42"/>
      <c r="O22" s="42" t="s">
        <v>193</v>
      </c>
      <c r="P22" s="42" t="s">
        <v>194</v>
      </c>
      <c r="Q22" s="42"/>
      <c r="R22" s="42"/>
      <c r="S22" s="3"/>
      <c r="T22" s="119"/>
      <c r="U22" s="119"/>
      <c r="V22" s="119"/>
      <c r="W22" s="119"/>
      <c r="X22" s="119"/>
      <c r="Y22" s="119"/>
      <c r="Z22" s="119"/>
      <c r="AA22" s="119"/>
      <c r="AB22" s="119"/>
      <c r="AC22" s="119"/>
      <c r="AD22" s="119"/>
      <c r="AE22" s="119"/>
      <c r="AF22" s="119"/>
      <c r="AG22" s="119"/>
      <c r="AH22" s="119"/>
      <c r="AI22" s="119"/>
      <c r="AJ22" s="119"/>
      <c r="AK22" s="119"/>
      <c r="AL22" s="119"/>
    </row>
    <row r="23" spans="1:38" ht="14.25" customHeight="1" x14ac:dyDescent="0.2">
      <c r="A23" s="118" t="s">
        <v>724</v>
      </c>
      <c r="B23" s="118" t="s">
        <v>725</v>
      </c>
      <c r="C23" s="118">
        <v>2022</v>
      </c>
      <c r="D23" s="118" t="s">
        <v>394</v>
      </c>
      <c r="E23" s="118" t="s">
        <v>727</v>
      </c>
      <c r="F23" s="118" t="s">
        <v>728</v>
      </c>
      <c r="G23" s="118" t="s">
        <v>274</v>
      </c>
      <c r="H23" s="118" t="s">
        <v>15</v>
      </c>
      <c r="I23" s="118" t="s">
        <v>253</v>
      </c>
      <c r="J23" s="118" t="s">
        <v>726</v>
      </c>
      <c r="K23" s="118" t="s">
        <v>729</v>
      </c>
      <c r="L23" s="118"/>
      <c r="M23" s="118"/>
      <c r="N23" s="42"/>
      <c r="O23" s="42" t="s">
        <v>193</v>
      </c>
      <c r="P23" s="42" t="s">
        <v>194</v>
      </c>
      <c r="Q23" s="42"/>
      <c r="R23" s="42"/>
      <c r="S23" s="3"/>
      <c r="T23" s="119"/>
      <c r="U23" s="119"/>
      <c r="V23" s="119"/>
      <c r="W23" s="119"/>
      <c r="X23" s="119"/>
      <c r="Y23" s="119"/>
      <c r="Z23" s="119"/>
      <c r="AA23" s="119"/>
      <c r="AB23" s="119"/>
      <c r="AC23" s="119"/>
      <c r="AD23" s="119"/>
      <c r="AE23" s="119"/>
      <c r="AF23" s="119"/>
      <c r="AG23" s="119"/>
      <c r="AH23" s="119"/>
      <c r="AI23" s="119"/>
      <c r="AJ23" s="119"/>
      <c r="AK23" s="119"/>
      <c r="AL23" s="119"/>
    </row>
    <row r="24" spans="1:38" ht="14.25" customHeight="1" x14ac:dyDescent="0.2">
      <c r="A24" s="118" t="s">
        <v>1463</v>
      </c>
      <c r="B24" s="118" t="s">
        <v>1464</v>
      </c>
      <c r="C24" s="118">
        <v>2022</v>
      </c>
      <c r="D24" s="118" t="s">
        <v>297</v>
      </c>
      <c r="E24" s="118" t="s">
        <v>1466</v>
      </c>
      <c r="F24" s="118" t="s">
        <v>1467</v>
      </c>
      <c r="G24" s="118" t="s">
        <v>586</v>
      </c>
      <c r="H24" s="118" t="s">
        <v>15</v>
      </c>
      <c r="I24" s="118" t="s">
        <v>253</v>
      </c>
      <c r="J24" s="118" t="s">
        <v>1465</v>
      </c>
      <c r="K24" s="118" t="s">
        <v>1468</v>
      </c>
      <c r="L24" s="118"/>
      <c r="M24" s="118"/>
      <c r="N24" s="42"/>
      <c r="O24" s="42" t="s">
        <v>193</v>
      </c>
      <c r="P24" s="42" t="s">
        <v>194</v>
      </c>
      <c r="Q24" s="42"/>
      <c r="R24" s="42"/>
      <c r="S24" s="3"/>
      <c r="T24" s="119"/>
      <c r="U24" s="119"/>
      <c r="V24" s="119"/>
      <c r="W24" s="119"/>
      <c r="X24" s="119"/>
      <c r="Y24" s="119"/>
      <c r="Z24" s="119"/>
      <c r="AA24" s="119"/>
      <c r="AB24" s="119"/>
      <c r="AC24" s="119"/>
      <c r="AD24" s="119"/>
      <c r="AE24" s="119"/>
      <c r="AF24" s="119"/>
      <c r="AG24" s="119"/>
      <c r="AH24" s="119"/>
      <c r="AI24" s="119"/>
      <c r="AJ24" s="119"/>
      <c r="AK24" s="119"/>
      <c r="AL24" s="119"/>
    </row>
    <row r="25" spans="1:38" ht="14.25" customHeight="1" x14ac:dyDescent="0.2">
      <c r="A25" s="118" t="s">
        <v>736</v>
      </c>
      <c r="B25" s="118" t="s">
        <v>737</v>
      </c>
      <c r="C25" s="118">
        <v>2023</v>
      </c>
      <c r="D25" s="118" t="s">
        <v>738</v>
      </c>
      <c r="E25" s="118" t="s">
        <v>740</v>
      </c>
      <c r="F25" s="118" t="s">
        <v>741</v>
      </c>
      <c r="G25" s="118" t="s">
        <v>743</v>
      </c>
      <c r="H25" s="118" t="s">
        <v>15</v>
      </c>
      <c r="I25" s="118" t="s">
        <v>253</v>
      </c>
      <c r="J25" s="118" t="s">
        <v>739</v>
      </c>
      <c r="K25" s="118" t="s">
        <v>742</v>
      </c>
      <c r="L25" s="118"/>
      <c r="M25" s="118"/>
      <c r="N25" s="42"/>
      <c r="O25" s="42" t="s">
        <v>193</v>
      </c>
      <c r="P25" s="42" t="s">
        <v>194</v>
      </c>
      <c r="Q25" s="42"/>
      <c r="R25" s="42"/>
      <c r="S25" s="3"/>
      <c r="T25" s="119"/>
      <c r="U25" s="119"/>
      <c r="V25" s="119"/>
      <c r="W25" s="119"/>
      <c r="X25" s="119"/>
      <c r="Y25" s="119"/>
      <c r="Z25" s="119"/>
      <c r="AA25" s="119"/>
      <c r="AB25" s="119"/>
      <c r="AC25" s="119"/>
      <c r="AD25" s="119"/>
      <c r="AE25" s="119"/>
      <c r="AF25" s="119"/>
      <c r="AG25" s="119"/>
      <c r="AH25" s="119"/>
      <c r="AI25" s="119"/>
      <c r="AJ25" s="119"/>
      <c r="AK25" s="119"/>
      <c r="AL25" s="119"/>
    </row>
    <row r="26" spans="1:38" ht="14.25" customHeight="1" x14ac:dyDescent="0.2">
      <c r="A26" s="118" t="s">
        <v>750</v>
      </c>
      <c r="B26" s="118" t="s">
        <v>751</v>
      </c>
      <c r="C26" s="118">
        <v>2024</v>
      </c>
      <c r="D26" s="118" t="s">
        <v>394</v>
      </c>
      <c r="E26" s="118" t="s">
        <v>753</v>
      </c>
      <c r="F26" s="118" t="s">
        <v>754</v>
      </c>
      <c r="G26" s="118" t="s">
        <v>274</v>
      </c>
      <c r="H26" s="118" t="s">
        <v>15</v>
      </c>
      <c r="I26" s="118" t="s">
        <v>253</v>
      </c>
      <c r="J26" s="118" t="s">
        <v>752</v>
      </c>
      <c r="K26" s="118" t="s">
        <v>755</v>
      </c>
      <c r="L26" s="118"/>
      <c r="M26" s="118"/>
      <c r="N26" s="42"/>
      <c r="O26" s="42" t="s">
        <v>193</v>
      </c>
      <c r="P26" s="42" t="s">
        <v>194</v>
      </c>
      <c r="Q26" s="42"/>
      <c r="R26" s="42"/>
      <c r="S26" s="3"/>
      <c r="T26" s="119"/>
      <c r="U26" s="119"/>
      <c r="V26" s="119"/>
      <c r="W26" s="119"/>
      <c r="X26" s="119"/>
      <c r="Y26" s="119"/>
      <c r="Z26" s="119"/>
      <c r="AA26" s="119"/>
      <c r="AB26" s="119"/>
      <c r="AC26" s="119"/>
      <c r="AD26" s="119"/>
      <c r="AE26" s="119"/>
      <c r="AF26" s="119"/>
      <c r="AG26" s="119"/>
      <c r="AH26" s="119"/>
      <c r="AI26" s="119"/>
      <c r="AJ26" s="119"/>
      <c r="AK26" s="119"/>
      <c r="AL26" s="119"/>
    </row>
    <row r="27" spans="1:38" ht="14.25" customHeight="1" x14ac:dyDescent="0.2">
      <c r="A27" s="118" t="s">
        <v>363</v>
      </c>
      <c r="B27" s="118" t="s">
        <v>364</v>
      </c>
      <c r="C27" s="118">
        <v>2025</v>
      </c>
      <c r="D27" s="118" t="s">
        <v>277</v>
      </c>
      <c r="E27" s="118" t="s">
        <v>366</v>
      </c>
      <c r="F27" s="118" t="s">
        <v>367</v>
      </c>
      <c r="G27" s="118" t="s">
        <v>282</v>
      </c>
      <c r="H27" s="118" t="s">
        <v>15</v>
      </c>
      <c r="I27" s="118" t="s">
        <v>253</v>
      </c>
      <c r="J27" s="118" t="s">
        <v>365</v>
      </c>
      <c r="K27" s="118" t="s">
        <v>368</v>
      </c>
      <c r="L27" s="118"/>
      <c r="M27" s="118"/>
      <c r="N27" s="42"/>
      <c r="O27" s="42" t="s">
        <v>193</v>
      </c>
      <c r="P27" s="42" t="s">
        <v>194</v>
      </c>
      <c r="Q27" s="42"/>
      <c r="R27" s="42"/>
      <c r="S27" s="3"/>
      <c r="T27" s="119"/>
      <c r="U27" s="119"/>
      <c r="V27" s="119"/>
      <c r="W27" s="119"/>
      <c r="X27" s="119"/>
      <c r="Y27" s="119"/>
      <c r="Z27" s="119"/>
      <c r="AA27" s="119"/>
      <c r="AB27" s="119"/>
      <c r="AC27" s="119"/>
      <c r="AD27" s="119"/>
      <c r="AE27" s="119"/>
      <c r="AF27" s="119"/>
      <c r="AG27" s="119"/>
      <c r="AH27" s="119"/>
      <c r="AI27" s="119"/>
      <c r="AJ27" s="119"/>
      <c r="AK27" s="119"/>
      <c r="AL27" s="119"/>
    </row>
    <row r="28" spans="1:38" ht="14.25" customHeight="1" x14ac:dyDescent="0.2">
      <c r="A28" s="118" t="s">
        <v>1122</v>
      </c>
      <c r="B28" s="118" t="s">
        <v>1123</v>
      </c>
      <c r="C28" s="118">
        <v>2026</v>
      </c>
      <c r="D28" s="118" t="s">
        <v>1124</v>
      </c>
      <c r="E28" s="118" t="s">
        <v>1126</v>
      </c>
      <c r="F28" s="118" t="s">
        <v>1127</v>
      </c>
      <c r="G28" s="118" t="s">
        <v>260</v>
      </c>
      <c r="H28" s="118" t="s">
        <v>15</v>
      </c>
      <c r="I28" s="118" t="s">
        <v>253</v>
      </c>
      <c r="J28" s="118" t="s">
        <v>1125</v>
      </c>
      <c r="K28" s="118" t="s">
        <v>1128</v>
      </c>
      <c r="L28" s="118"/>
      <c r="M28" s="118"/>
      <c r="N28" s="42"/>
      <c r="O28" s="42" t="s">
        <v>193</v>
      </c>
      <c r="P28" s="42" t="s">
        <v>194</v>
      </c>
      <c r="Q28" s="42"/>
      <c r="R28" s="42"/>
      <c r="S28" s="3"/>
      <c r="T28" s="119"/>
      <c r="U28" s="119"/>
      <c r="V28" s="119"/>
      <c r="W28" s="119"/>
      <c r="X28" s="119"/>
      <c r="Y28" s="119"/>
      <c r="Z28" s="119"/>
      <c r="AA28" s="119"/>
      <c r="AB28" s="119"/>
      <c r="AC28" s="119"/>
      <c r="AD28" s="119"/>
      <c r="AE28" s="119"/>
      <c r="AF28" s="119"/>
      <c r="AG28" s="119"/>
      <c r="AH28" s="119"/>
      <c r="AI28" s="119"/>
      <c r="AJ28" s="119"/>
      <c r="AK28" s="119"/>
      <c r="AL28" s="119"/>
    </row>
    <row r="29" spans="1:38" ht="14.25" customHeight="1" x14ac:dyDescent="0.2">
      <c r="A29" s="118" t="s">
        <v>369</v>
      </c>
      <c r="B29" s="118" t="s">
        <v>370</v>
      </c>
      <c r="C29" s="118">
        <v>2022</v>
      </c>
      <c r="D29" s="118" t="s">
        <v>371</v>
      </c>
      <c r="E29" s="118" t="s">
        <v>373</v>
      </c>
      <c r="F29" s="118" t="s">
        <v>374</v>
      </c>
      <c r="G29" s="118" t="s">
        <v>376</v>
      </c>
      <c r="H29" s="118" t="s">
        <v>15</v>
      </c>
      <c r="I29" s="118" t="s">
        <v>253</v>
      </c>
      <c r="J29" s="118" t="s">
        <v>372</v>
      </c>
      <c r="K29" s="118" t="s">
        <v>375</v>
      </c>
      <c r="L29" s="118"/>
      <c r="M29" s="118"/>
      <c r="N29" s="42"/>
      <c r="O29" s="42" t="s">
        <v>193</v>
      </c>
      <c r="P29" s="42" t="s">
        <v>194</v>
      </c>
      <c r="Q29" s="42"/>
      <c r="R29" s="42"/>
      <c r="S29" s="3"/>
      <c r="T29" s="119"/>
      <c r="U29" s="119"/>
      <c r="V29" s="119"/>
      <c r="W29" s="119"/>
      <c r="X29" s="119"/>
      <c r="Y29" s="119"/>
      <c r="Z29" s="119"/>
      <c r="AA29" s="119"/>
      <c r="AB29" s="119"/>
      <c r="AC29" s="119"/>
      <c r="AD29" s="119"/>
      <c r="AE29" s="119"/>
      <c r="AF29" s="119"/>
      <c r="AG29" s="119"/>
      <c r="AH29" s="119"/>
      <c r="AI29" s="119"/>
      <c r="AJ29" s="119"/>
      <c r="AK29" s="119"/>
      <c r="AL29" s="119"/>
    </row>
    <row r="30" spans="1:38" ht="14.25" customHeight="1" x14ac:dyDescent="0.2">
      <c r="A30" s="118" t="s">
        <v>1771</v>
      </c>
      <c r="B30" s="118" t="s">
        <v>1772</v>
      </c>
      <c r="C30" s="118">
        <v>2021</v>
      </c>
      <c r="D30" s="118" t="s">
        <v>1773</v>
      </c>
      <c r="E30" s="118" t="s">
        <v>1775</v>
      </c>
      <c r="F30" s="118" t="s">
        <v>1776</v>
      </c>
      <c r="G30" s="118" t="s">
        <v>1778</v>
      </c>
      <c r="H30" s="118" t="s">
        <v>15</v>
      </c>
      <c r="I30" s="118" t="s">
        <v>253</v>
      </c>
      <c r="J30" s="118" t="s">
        <v>1774</v>
      </c>
      <c r="K30" s="118" t="s">
        <v>1777</v>
      </c>
      <c r="L30" s="118"/>
      <c r="M30" s="118"/>
      <c r="N30" s="42"/>
      <c r="O30" s="42" t="s">
        <v>193</v>
      </c>
      <c r="P30" s="42" t="s">
        <v>194</v>
      </c>
      <c r="Q30" s="42"/>
      <c r="R30" s="42"/>
      <c r="S30" s="3"/>
      <c r="T30" s="119"/>
      <c r="U30" s="119"/>
      <c r="V30" s="119"/>
      <c r="W30" s="119"/>
      <c r="X30" s="119"/>
      <c r="Y30" s="119"/>
      <c r="Z30" s="119"/>
      <c r="AA30" s="119"/>
      <c r="AB30" s="119"/>
      <c r="AC30" s="119"/>
      <c r="AD30" s="119"/>
      <c r="AE30" s="119"/>
      <c r="AF30" s="119"/>
      <c r="AG30" s="119"/>
      <c r="AH30" s="119"/>
      <c r="AI30" s="119"/>
      <c r="AJ30" s="119"/>
      <c r="AK30" s="119"/>
      <c r="AL30" s="119"/>
    </row>
    <row r="31" spans="1:38" ht="14.25" customHeight="1" x14ac:dyDescent="0.2">
      <c r="A31" s="118" t="s">
        <v>1140</v>
      </c>
      <c r="B31" s="118" t="s">
        <v>1141</v>
      </c>
      <c r="C31" s="118">
        <v>2022</v>
      </c>
      <c r="D31" s="118" t="s">
        <v>1142</v>
      </c>
      <c r="E31" s="118" t="s">
        <v>1144</v>
      </c>
      <c r="F31" s="118" t="s">
        <v>1145</v>
      </c>
      <c r="G31" s="118" t="s">
        <v>238</v>
      </c>
      <c r="H31" s="118" t="s">
        <v>15</v>
      </c>
      <c r="I31" s="118" t="s">
        <v>253</v>
      </c>
      <c r="J31" s="118" t="s">
        <v>1143</v>
      </c>
      <c r="K31" s="118" t="s">
        <v>1146</v>
      </c>
      <c r="L31" s="118"/>
      <c r="M31" s="118"/>
      <c r="N31" s="42"/>
      <c r="O31" s="42" t="s">
        <v>193</v>
      </c>
      <c r="P31" s="42" t="s">
        <v>194</v>
      </c>
      <c r="Q31" s="42"/>
      <c r="R31" s="42"/>
      <c r="S31" s="3"/>
      <c r="T31" s="119"/>
      <c r="U31" s="119"/>
      <c r="V31" s="119"/>
      <c r="W31" s="119"/>
      <c r="X31" s="119"/>
      <c r="Y31" s="119"/>
      <c r="Z31" s="119"/>
      <c r="AA31" s="119"/>
      <c r="AB31" s="119"/>
      <c r="AC31" s="119"/>
      <c r="AD31" s="119"/>
      <c r="AE31" s="119"/>
      <c r="AF31" s="119"/>
      <c r="AG31" s="119"/>
      <c r="AH31" s="119"/>
      <c r="AI31" s="119"/>
      <c r="AJ31" s="119"/>
      <c r="AK31" s="119"/>
      <c r="AL31" s="119"/>
    </row>
    <row r="32" spans="1:38" ht="14.25" customHeight="1" x14ac:dyDescent="0.2">
      <c r="A32" s="118" t="s">
        <v>796</v>
      </c>
      <c r="B32" s="118" t="s">
        <v>797</v>
      </c>
      <c r="C32" s="118">
        <v>2025</v>
      </c>
      <c r="D32" s="118" t="s">
        <v>798</v>
      </c>
      <c r="E32" s="118" t="s">
        <v>800</v>
      </c>
      <c r="F32" s="118" t="s">
        <v>801</v>
      </c>
      <c r="G32" s="118" t="s">
        <v>803</v>
      </c>
      <c r="H32" s="118" t="s">
        <v>15</v>
      </c>
      <c r="I32" s="118" t="s">
        <v>253</v>
      </c>
      <c r="J32" s="118" t="s">
        <v>799</v>
      </c>
      <c r="K32" s="118" t="s">
        <v>802</v>
      </c>
      <c r="L32" s="118"/>
      <c r="M32" s="118"/>
      <c r="N32" s="42"/>
      <c r="O32" s="42" t="s">
        <v>193</v>
      </c>
      <c r="P32" s="42" t="s">
        <v>194</v>
      </c>
      <c r="Q32" s="42"/>
      <c r="R32" s="42"/>
      <c r="S32" s="3"/>
      <c r="T32" s="119"/>
      <c r="U32" s="119"/>
      <c r="V32" s="119"/>
      <c r="W32" s="119"/>
      <c r="X32" s="119"/>
      <c r="Y32" s="119"/>
      <c r="Z32" s="119"/>
      <c r="AA32" s="119"/>
      <c r="AB32" s="119"/>
      <c r="AC32" s="119"/>
      <c r="AD32" s="119"/>
      <c r="AE32" s="119"/>
      <c r="AF32" s="119"/>
      <c r="AG32" s="119"/>
      <c r="AH32" s="119"/>
      <c r="AI32" s="119"/>
      <c r="AJ32" s="119"/>
      <c r="AK32" s="119"/>
      <c r="AL32" s="119"/>
    </row>
    <row r="33" spans="1:38" ht="14.25" customHeight="1" x14ac:dyDescent="0.2">
      <c r="A33" s="118" t="s">
        <v>811</v>
      </c>
      <c r="B33" s="118" t="s">
        <v>812</v>
      </c>
      <c r="C33" s="118">
        <v>2024</v>
      </c>
      <c r="D33" s="118" t="s">
        <v>460</v>
      </c>
      <c r="E33" s="118" t="s">
        <v>814</v>
      </c>
      <c r="F33" s="118" t="s">
        <v>815</v>
      </c>
      <c r="G33" s="118" t="s">
        <v>465</v>
      </c>
      <c r="H33" s="118" t="s">
        <v>15</v>
      </c>
      <c r="I33" s="118" t="s">
        <v>253</v>
      </c>
      <c r="J33" s="118" t="s">
        <v>813</v>
      </c>
      <c r="K33" s="118" t="s">
        <v>816</v>
      </c>
      <c r="L33" s="118"/>
      <c r="M33" s="118"/>
      <c r="N33" s="42"/>
      <c r="O33" s="42" t="s">
        <v>193</v>
      </c>
      <c r="P33" s="42" t="s">
        <v>194</v>
      </c>
      <c r="Q33" s="42"/>
      <c r="R33" s="42"/>
      <c r="S33" s="3"/>
      <c r="T33" s="119"/>
      <c r="U33" s="119"/>
      <c r="V33" s="119"/>
      <c r="W33" s="119"/>
      <c r="X33" s="119"/>
      <c r="Y33" s="119"/>
      <c r="Z33" s="119"/>
      <c r="AA33" s="119"/>
      <c r="AB33" s="119"/>
      <c r="AC33" s="119"/>
      <c r="AD33" s="119"/>
      <c r="AE33" s="119"/>
      <c r="AF33" s="119"/>
      <c r="AG33" s="119"/>
      <c r="AH33" s="119"/>
      <c r="AI33" s="119"/>
      <c r="AJ33" s="119"/>
      <c r="AK33" s="119"/>
      <c r="AL33" s="119"/>
    </row>
    <row r="34" spans="1:38" ht="14.25" customHeight="1" x14ac:dyDescent="0.2">
      <c r="A34" s="118" t="s">
        <v>1147</v>
      </c>
      <c r="B34" s="118" t="s">
        <v>1148</v>
      </c>
      <c r="C34" s="118">
        <v>2021</v>
      </c>
      <c r="D34" s="118" t="s">
        <v>1149</v>
      </c>
      <c r="E34" s="118" t="s">
        <v>1151</v>
      </c>
      <c r="F34" s="118" t="s">
        <v>1152</v>
      </c>
      <c r="G34" s="118" t="s">
        <v>274</v>
      </c>
      <c r="H34" s="118" t="s">
        <v>15</v>
      </c>
      <c r="I34" s="118" t="s">
        <v>253</v>
      </c>
      <c r="J34" s="118" t="s">
        <v>1150</v>
      </c>
      <c r="K34" s="118" t="s">
        <v>1153</v>
      </c>
      <c r="L34" s="118"/>
      <c r="M34" s="118"/>
      <c r="N34" s="42"/>
      <c r="O34" s="42" t="s">
        <v>193</v>
      </c>
      <c r="P34" s="42" t="s">
        <v>194</v>
      </c>
      <c r="Q34" s="42"/>
      <c r="R34" s="42"/>
      <c r="S34" s="3"/>
      <c r="T34" s="119"/>
      <c r="U34" s="119"/>
      <c r="V34" s="119"/>
      <c r="W34" s="119"/>
      <c r="X34" s="119"/>
      <c r="Y34" s="119"/>
      <c r="Z34" s="119"/>
      <c r="AA34" s="119"/>
      <c r="AB34" s="119"/>
      <c r="AC34" s="119"/>
      <c r="AD34" s="119"/>
      <c r="AE34" s="119"/>
      <c r="AF34" s="119"/>
      <c r="AG34" s="119"/>
      <c r="AH34" s="119"/>
      <c r="AI34" s="119"/>
      <c r="AJ34" s="119"/>
      <c r="AK34" s="119"/>
      <c r="AL34" s="119"/>
    </row>
    <row r="35" spans="1:38" ht="14.25" customHeight="1" x14ac:dyDescent="0.2">
      <c r="A35" s="118" t="s">
        <v>1779</v>
      </c>
      <c r="B35" s="118" t="s">
        <v>1780</v>
      </c>
      <c r="C35" s="118">
        <v>2020</v>
      </c>
      <c r="D35" s="118" t="s">
        <v>1781</v>
      </c>
      <c r="E35" s="118" t="s">
        <v>1782</v>
      </c>
      <c r="F35" s="118" t="s">
        <v>1783</v>
      </c>
      <c r="G35" s="118" t="s">
        <v>1784</v>
      </c>
      <c r="H35" s="118" t="s">
        <v>15</v>
      </c>
      <c r="I35" s="118" t="s">
        <v>253</v>
      </c>
      <c r="J35" s="118">
        <v>0</v>
      </c>
      <c r="K35" s="118">
        <v>0</v>
      </c>
      <c r="L35" s="118"/>
      <c r="M35" s="118"/>
      <c r="N35" s="42"/>
      <c r="O35" s="42" t="s">
        <v>193</v>
      </c>
      <c r="P35" s="42" t="s">
        <v>194</v>
      </c>
      <c r="Q35" s="42"/>
      <c r="R35" s="42"/>
      <c r="S35" s="3"/>
      <c r="T35" s="119"/>
      <c r="U35" s="119"/>
      <c r="V35" s="119"/>
      <c r="W35" s="119"/>
      <c r="X35" s="119"/>
      <c r="Y35" s="119"/>
      <c r="Z35" s="119"/>
      <c r="AA35" s="119"/>
      <c r="AB35" s="119"/>
      <c r="AC35" s="119"/>
      <c r="AD35" s="119"/>
      <c r="AE35" s="119"/>
      <c r="AF35" s="119"/>
      <c r="AG35" s="119"/>
      <c r="AH35" s="119"/>
      <c r="AI35" s="119"/>
      <c r="AJ35" s="119"/>
      <c r="AK35" s="119"/>
      <c r="AL35" s="119"/>
    </row>
    <row r="36" spans="1:38" ht="14.25" customHeight="1" x14ac:dyDescent="0.2">
      <c r="A36" s="118" t="s">
        <v>383</v>
      </c>
      <c r="B36" s="118" t="s">
        <v>384</v>
      </c>
      <c r="C36" s="118">
        <v>2024</v>
      </c>
      <c r="D36" s="118" t="s">
        <v>385</v>
      </c>
      <c r="E36" s="118" t="s">
        <v>387</v>
      </c>
      <c r="F36" s="118" t="s">
        <v>388</v>
      </c>
      <c r="G36" s="118" t="s">
        <v>282</v>
      </c>
      <c r="H36" s="118" t="s">
        <v>15</v>
      </c>
      <c r="I36" s="118" t="s">
        <v>253</v>
      </c>
      <c r="J36" s="118" t="s">
        <v>386</v>
      </c>
      <c r="K36" s="118" t="s">
        <v>389</v>
      </c>
      <c r="L36" s="118"/>
      <c r="M36" s="118"/>
      <c r="N36" s="42"/>
      <c r="O36" s="42" t="s">
        <v>193</v>
      </c>
      <c r="P36" s="42" t="s">
        <v>194</v>
      </c>
      <c r="Q36" s="42"/>
      <c r="R36" s="42"/>
      <c r="S36" s="3"/>
      <c r="T36" s="119"/>
      <c r="U36" s="119"/>
      <c r="V36" s="119"/>
      <c r="W36" s="119"/>
      <c r="X36" s="119"/>
      <c r="Y36" s="119"/>
      <c r="Z36" s="119"/>
      <c r="AA36" s="119"/>
      <c r="AB36" s="119"/>
      <c r="AC36" s="119"/>
      <c r="AD36" s="119"/>
      <c r="AE36" s="119"/>
      <c r="AF36" s="119"/>
      <c r="AG36" s="119"/>
      <c r="AH36" s="119"/>
      <c r="AI36" s="119"/>
      <c r="AJ36" s="119"/>
      <c r="AK36" s="119"/>
      <c r="AL36" s="119"/>
    </row>
    <row r="37" spans="1:38" ht="14.25" customHeight="1" x14ac:dyDescent="0.2">
      <c r="A37" s="118" t="s">
        <v>1499</v>
      </c>
      <c r="B37" s="118" t="s">
        <v>1500</v>
      </c>
      <c r="C37" s="118">
        <v>2025</v>
      </c>
      <c r="D37" s="118" t="s">
        <v>1501</v>
      </c>
      <c r="E37" s="118" t="s">
        <v>1823</v>
      </c>
      <c r="F37" s="118" t="s">
        <v>1503</v>
      </c>
      <c r="G37" s="118" t="s">
        <v>987</v>
      </c>
      <c r="H37" s="118" t="s">
        <v>15</v>
      </c>
      <c r="I37" s="118" t="s">
        <v>253</v>
      </c>
      <c r="J37" s="118" t="s">
        <v>1502</v>
      </c>
      <c r="K37" s="118">
        <v>0</v>
      </c>
      <c r="L37" s="118"/>
      <c r="M37" s="118"/>
      <c r="N37" s="42"/>
      <c r="O37" s="42" t="s">
        <v>193</v>
      </c>
      <c r="P37" s="42" t="s">
        <v>194</v>
      </c>
      <c r="Q37" s="42"/>
      <c r="R37" s="42"/>
      <c r="S37" s="3"/>
      <c r="T37" s="119"/>
      <c r="U37" s="119"/>
      <c r="V37" s="119"/>
      <c r="W37" s="119"/>
      <c r="X37" s="119"/>
      <c r="Y37" s="119"/>
      <c r="Z37" s="119"/>
      <c r="AA37" s="119"/>
      <c r="AB37" s="119"/>
      <c r="AC37" s="119"/>
      <c r="AD37" s="119"/>
      <c r="AE37" s="119"/>
      <c r="AF37" s="119"/>
      <c r="AG37" s="119"/>
      <c r="AH37" s="119"/>
      <c r="AI37" s="119"/>
      <c r="AJ37" s="119"/>
      <c r="AK37" s="119"/>
      <c r="AL37" s="119"/>
    </row>
    <row r="38" spans="1:38" ht="14.25" customHeight="1" x14ac:dyDescent="0.2">
      <c r="A38" s="118" t="s">
        <v>392</v>
      </c>
      <c r="B38" s="118" t="s">
        <v>393</v>
      </c>
      <c r="C38" s="118">
        <v>2023</v>
      </c>
      <c r="D38" s="118" t="s">
        <v>394</v>
      </c>
      <c r="E38" s="118" t="s">
        <v>396</v>
      </c>
      <c r="F38" s="118" t="s">
        <v>397</v>
      </c>
      <c r="G38" s="118" t="s">
        <v>274</v>
      </c>
      <c r="H38" s="118" t="s">
        <v>15</v>
      </c>
      <c r="I38" s="118" t="s">
        <v>253</v>
      </c>
      <c r="J38" s="118" t="s">
        <v>395</v>
      </c>
      <c r="K38" s="118" t="s">
        <v>398</v>
      </c>
      <c r="L38" s="118"/>
      <c r="M38" s="118"/>
      <c r="N38" s="42"/>
      <c r="O38" s="42" t="s">
        <v>193</v>
      </c>
      <c r="P38" s="42" t="s">
        <v>194</v>
      </c>
      <c r="Q38" s="42"/>
      <c r="R38" s="42"/>
      <c r="S38" s="3"/>
      <c r="T38" s="119"/>
      <c r="U38" s="119"/>
      <c r="V38" s="119"/>
      <c r="W38" s="119"/>
      <c r="X38" s="119"/>
      <c r="Y38" s="119"/>
      <c r="Z38" s="119"/>
      <c r="AA38" s="119"/>
      <c r="AB38" s="119"/>
      <c r="AC38" s="119"/>
      <c r="AD38" s="119"/>
      <c r="AE38" s="119"/>
      <c r="AF38" s="119"/>
      <c r="AG38" s="119"/>
      <c r="AH38" s="119"/>
      <c r="AI38" s="119"/>
      <c r="AJ38" s="119"/>
      <c r="AK38" s="119"/>
      <c r="AL38" s="119"/>
    </row>
    <row r="39" spans="1:38" ht="15.75" customHeight="1" x14ac:dyDescent="0.2">
      <c r="A39" s="118" t="s">
        <v>824</v>
      </c>
      <c r="B39" s="118" t="s">
        <v>825</v>
      </c>
      <c r="C39" s="118">
        <v>2025</v>
      </c>
      <c r="D39" s="118" t="s">
        <v>269</v>
      </c>
      <c r="E39" s="118" t="s">
        <v>827</v>
      </c>
      <c r="F39" s="118" t="s">
        <v>828</v>
      </c>
      <c r="G39" s="118" t="s">
        <v>274</v>
      </c>
      <c r="H39" s="118" t="s">
        <v>15</v>
      </c>
      <c r="I39" s="118" t="s">
        <v>253</v>
      </c>
      <c r="J39" s="118" t="s">
        <v>826</v>
      </c>
      <c r="K39" s="118" t="s">
        <v>829</v>
      </c>
      <c r="L39" s="118"/>
      <c r="M39" s="118"/>
      <c r="N39" s="42"/>
      <c r="O39" s="42" t="s">
        <v>193</v>
      </c>
      <c r="P39" s="42" t="s">
        <v>194</v>
      </c>
      <c r="Q39" s="42"/>
      <c r="R39" s="42"/>
      <c r="S39" s="3"/>
      <c r="T39" s="119"/>
      <c r="U39" s="119"/>
      <c r="V39" s="119"/>
      <c r="W39" s="119"/>
      <c r="X39" s="119"/>
      <c r="Y39" s="119"/>
      <c r="Z39" s="119"/>
      <c r="AA39" s="119"/>
      <c r="AB39" s="119"/>
      <c r="AC39" s="119"/>
      <c r="AD39" s="119"/>
      <c r="AE39" s="119"/>
      <c r="AF39" s="119"/>
      <c r="AG39" s="119"/>
      <c r="AH39" s="119"/>
      <c r="AI39" s="119"/>
      <c r="AJ39" s="119"/>
      <c r="AK39" s="119"/>
      <c r="AL39" s="119"/>
    </row>
    <row r="40" spans="1:38" ht="14.25" customHeight="1" x14ac:dyDescent="0.2">
      <c r="A40" s="118" t="s">
        <v>399</v>
      </c>
      <c r="B40" s="118" t="s">
        <v>400</v>
      </c>
      <c r="C40" s="118">
        <v>2025</v>
      </c>
      <c r="D40" s="118" t="s">
        <v>331</v>
      </c>
      <c r="E40" s="118" t="s">
        <v>402</v>
      </c>
      <c r="F40" s="118" t="s">
        <v>403</v>
      </c>
      <c r="G40" s="118" t="s">
        <v>336</v>
      </c>
      <c r="H40" s="118" t="s">
        <v>15</v>
      </c>
      <c r="I40" s="118" t="s">
        <v>253</v>
      </c>
      <c r="J40" s="118" t="s">
        <v>401</v>
      </c>
      <c r="K40" s="118" t="s">
        <v>404</v>
      </c>
      <c r="L40" s="118"/>
      <c r="M40" s="118"/>
      <c r="N40" s="42"/>
      <c r="O40" s="42" t="s">
        <v>193</v>
      </c>
      <c r="P40" s="42" t="s">
        <v>194</v>
      </c>
      <c r="Q40" s="42"/>
      <c r="R40" s="42"/>
      <c r="S40" s="3"/>
      <c r="T40" s="119"/>
      <c r="U40" s="119"/>
      <c r="V40" s="119"/>
      <c r="W40" s="119"/>
      <c r="X40" s="119"/>
      <c r="Y40" s="119"/>
      <c r="Z40" s="119"/>
      <c r="AA40" s="119"/>
      <c r="AB40" s="119"/>
      <c r="AC40" s="119"/>
      <c r="AD40" s="119"/>
      <c r="AE40" s="119"/>
      <c r="AF40" s="119"/>
      <c r="AG40" s="119"/>
      <c r="AH40" s="119"/>
      <c r="AI40" s="119"/>
      <c r="AJ40" s="119"/>
      <c r="AK40" s="119"/>
      <c r="AL40" s="119"/>
    </row>
    <row r="41" spans="1:38" ht="14.25" customHeight="1" x14ac:dyDescent="0.2">
      <c r="A41" s="118" t="s">
        <v>1516</v>
      </c>
      <c r="B41" s="118" t="s">
        <v>1517</v>
      </c>
      <c r="C41" s="118">
        <v>2023</v>
      </c>
      <c r="D41" s="118" t="s">
        <v>297</v>
      </c>
      <c r="E41" s="118" t="s">
        <v>1519</v>
      </c>
      <c r="F41" s="118" t="s">
        <v>1520</v>
      </c>
      <c r="G41" s="118" t="s">
        <v>282</v>
      </c>
      <c r="H41" s="118" t="s">
        <v>15</v>
      </c>
      <c r="I41" s="118" t="s">
        <v>253</v>
      </c>
      <c r="J41" s="118" t="s">
        <v>1518</v>
      </c>
      <c r="K41" s="118" t="s">
        <v>1521</v>
      </c>
      <c r="L41" s="118"/>
      <c r="M41" s="118"/>
      <c r="N41" s="42"/>
      <c r="O41" s="42" t="s">
        <v>193</v>
      </c>
      <c r="P41" s="42" t="s">
        <v>194</v>
      </c>
      <c r="Q41" s="42"/>
      <c r="R41" s="42"/>
      <c r="S41" s="3"/>
      <c r="T41" s="3"/>
      <c r="U41" s="3"/>
      <c r="V41" s="3"/>
      <c r="W41" s="3"/>
      <c r="X41" s="3"/>
      <c r="Y41" s="3"/>
      <c r="Z41" s="3"/>
      <c r="AA41" s="3"/>
      <c r="AB41" s="3"/>
      <c r="AC41" s="3"/>
      <c r="AD41" s="3"/>
      <c r="AE41" s="3"/>
      <c r="AF41" s="3"/>
      <c r="AG41" s="3"/>
      <c r="AH41" s="3"/>
      <c r="AI41" s="3"/>
      <c r="AJ41" s="3"/>
      <c r="AK41" s="3"/>
      <c r="AL41" s="3"/>
    </row>
    <row r="42" spans="1:38" ht="14.25" customHeight="1" x14ac:dyDescent="0.2">
      <c r="A42" s="118" t="s">
        <v>1785</v>
      </c>
      <c r="B42" s="118" t="s">
        <v>1824</v>
      </c>
      <c r="C42" s="118">
        <v>2021</v>
      </c>
      <c r="D42" s="118" t="s">
        <v>1786</v>
      </c>
      <c r="E42" s="118" t="s">
        <v>1788</v>
      </c>
      <c r="F42" s="118" t="s">
        <v>1789</v>
      </c>
      <c r="G42" s="118" t="s">
        <v>1791</v>
      </c>
      <c r="H42" s="118" t="s">
        <v>1792</v>
      </c>
      <c r="I42" s="118" t="s">
        <v>253</v>
      </c>
      <c r="J42" s="118" t="s">
        <v>1787</v>
      </c>
      <c r="K42" s="118" t="s">
        <v>1790</v>
      </c>
      <c r="L42" s="118"/>
      <c r="M42" s="118"/>
      <c r="N42" s="42"/>
      <c r="O42" s="42" t="s">
        <v>193</v>
      </c>
      <c r="P42" s="42" t="s">
        <v>194</v>
      </c>
      <c r="Q42" s="42"/>
      <c r="R42" s="42"/>
      <c r="S42" s="3"/>
      <c r="T42" s="3"/>
      <c r="U42" s="3"/>
      <c r="V42" s="3"/>
      <c r="W42" s="3"/>
      <c r="X42" s="3"/>
      <c r="Y42" s="3"/>
      <c r="Z42" s="3"/>
      <c r="AA42" s="3"/>
      <c r="AB42" s="3"/>
      <c r="AC42" s="3"/>
      <c r="AD42" s="3"/>
      <c r="AE42" s="3"/>
      <c r="AF42" s="3"/>
      <c r="AG42" s="3"/>
      <c r="AH42" s="3"/>
      <c r="AI42" s="3"/>
      <c r="AJ42" s="3"/>
      <c r="AK42" s="3"/>
      <c r="AL42" s="3"/>
    </row>
    <row r="43" spans="1:38" ht="14.25" customHeight="1" x14ac:dyDescent="0.2">
      <c r="A43" s="118" t="s">
        <v>1204</v>
      </c>
      <c r="B43" s="118" t="s">
        <v>1205</v>
      </c>
      <c r="C43" s="118">
        <v>2023</v>
      </c>
      <c r="D43" s="118" t="s">
        <v>1206</v>
      </c>
      <c r="E43" s="118" t="s">
        <v>1208</v>
      </c>
      <c r="F43" s="118" t="s">
        <v>1209</v>
      </c>
      <c r="G43" s="118" t="s">
        <v>1210</v>
      </c>
      <c r="H43" s="118" t="s">
        <v>1211</v>
      </c>
      <c r="I43" s="118" t="s">
        <v>253</v>
      </c>
      <c r="J43" s="118" t="s">
        <v>1207</v>
      </c>
      <c r="K43" s="118">
        <v>0</v>
      </c>
      <c r="L43" s="118"/>
      <c r="M43" s="118"/>
      <c r="N43" s="42"/>
      <c r="O43" s="42" t="s">
        <v>193</v>
      </c>
      <c r="P43" s="42" t="s">
        <v>194</v>
      </c>
      <c r="Q43" s="42"/>
      <c r="R43" s="42"/>
      <c r="S43" s="3"/>
      <c r="T43" s="3"/>
      <c r="U43" s="3"/>
      <c r="V43" s="3"/>
      <c r="W43" s="3"/>
      <c r="X43" s="3"/>
      <c r="Y43" s="3"/>
      <c r="Z43" s="3"/>
      <c r="AA43" s="3"/>
      <c r="AB43" s="3"/>
      <c r="AC43" s="3"/>
      <c r="AD43" s="3"/>
      <c r="AE43" s="3"/>
      <c r="AF43" s="3"/>
      <c r="AG43" s="3"/>
      <c r="AH43" s="3"/>
      <c r="AI43" s="3"/>
      <c r="AJ43" s="3"/>
      <c r="AK43" s="3"/>
      <c r="AL43" s="3"/>
    </row>
    <row r="44" spans="1:38" ht="14.25" customHeight="1" x14ac:dyDescent="0.2">
      <c r="A44" s="118" t="s">
        <v>1212</v>
      </c>
      <c r="B44" s="118" t="s">
        <v>1213</v>
      </c>
      <c r="C44" s="118">
        <v>2025</v>
      </c>
      <c r="D44" s="118" t="s">
        <v>277</v>
      </c>
      <c r="E44" s="118" t="s">
        <v>1215</v>
      </c>
      <c r="F44" s="118" t="s">
        <v>1216</v>
      </c>
      <c r="G44" s="118" t="s">
        <v>282</v>
      </c>
      <c r="H44" s="118" t="s">
        <v>15</v>
      </c>
      <c r="I44" s="118" t="s">
        <v>253</v>
      </c>
      <c r="J44" s="118" t="s">
        <v>1214</v>
      </c>
      <c r="K44" s="118" t="s">
        <v>1217</v>
      </c>
      <c r="L44" s="118"/>
      <c r="M44" s="118"/>
      <c r="N44" s="42"/>
      <c r="O44" s="42" t="s">
        <v>193</v>
      </c>
      <c r="P44" s="42" t="s">
        <v>194</v>
      </c>
      <c r="Q44" s="42"/>
      <c r="R44" s="42"/>
      <c r="S44" s="3"/>
      <c r="T44" s="3"/>
      <c r="U44" s="3"/>
      <c r="V44" s="3"/>
      <c r="W44" s="3"/>
      <c r="X44" s="3"/>
      <c r="Y44" s="3"/>
      <c r="Z44" s="3"/>
      <c r="AA44" s="3"/>
      <c r="AB44" s="3"/>
      <c r="AC44" s="3"/>
      <c r="AD44" s="3"/>
      <c r="AE44" s="3"/>
      <c r="AF44" s="3"/>
      <c r="AG44" s="3"/>
      <c r="AH44" s="3"/>
      <c r="AI44" s="3"/>
      <c r="AJ44" s="3"/>
      <c r="AK44" s="3"/>
      <c r="AL44" s="3"/>
    </row>
    <row r="45" spans="1:38" ht="14.25" customHeight="1" x14ac:dyDescent="0.2">
      <c r="A45" s="118" t="s">
        <v>1218</v>
      </c>
      <c r="B45" s="118" t="s">
        <v>1219</v>
      </c>
      <c r="C45" s="118">
        <v>2023</v>
      </c>
      <c r="D45" s="118" t="s">
        <v>394</v>
      </c>
      <c r="E45" s="118" t="s">
        <v>1221</v>
      </c>
      <c r="F45" s="118" t="s">
        <v>1222</v>
      </c>
      <c r="G45" s="118" t="s">
        <v>274</v>
      </c>
      <c r="H45" s="118" t="s">
        <v>15</v>
      </c>
      <c r="I45" s="118" t="s">
        <v>253</v>
      </c>
      <c r="J45" s="118" t="s">
        <v>1220</v>
      </c>
      <c r="K45" s="118" t="s">
        <v>1223</v>
      </c>
      <c r="L45" s="118"/>
      <c r="M45" s="118"/>
      <c r="N45" s="42"/>
      <c r="O45" s="42" t="s">
        <v>193</v>
      </c>
      <c r="P45" s="42" t="s">
        <v>194</v>
      </c>
      <c r="Q45" s="42"/>
      <c r="R45" s="42"/>
      <c r="S45" s="3"/>
      <c r="T45" s="3"/>
      <c r="U45" s="3"/>
      <c r="V45" s="3"/>
      <c r="W45" s="3"/>
      <c r="X45" s="3"/>
      <c r="Y45" s="3"/>
      <c r="Z45" s="3"/>
      <c r="AA45" s="3"/>
      <c r="AB45" s="3"/>
      <c r="AC45" s="3"/>
      <c r="AD45" s="3"/>
      <c r="AE45" s="3"/>
      <c r="AF45" s="3"/>
      <c r="AG45" s="3"/>
      <c r="AH45" s="3"/>
      <c r="AI45" s="3"/>
      <c r="AJ45" s="3"/>
      <c r="AK45" s="3"/>
      <c r="AL45" s="3"/>
    </row>
    <row r="46" spans="1:38" ht="14.25" customHeight="1" x14ac:dyDescent="0.2">
      <c r="A46" s="118" t="s">
        <v>1224</v>
      </c>
      <c r="B46" s="118" t="s">
        <v>1225</v>
      </c>
      <c r="C46" s="118">
        <v>2023</v>
      </c>
      <c r="D46" s="118" t="s">
        <v>331</v>
      </c>
      <c r="E46" s="118" t="s">
        <v>1227</v>
      </c>
      <c r="F46" s="118" t="s">
        <v>1228</v>
      </c>
      <c r="G46" s="118" t="s">
        <v>336</v>
      </c>
      <c r="H46" s="118" t="s">
        <v>15</v>
      </c>
      <c r="I46" s="118" t="s">
        <v>253</v>
      </c>
      <c r="J46" s="118" t="s">
        <v>1226</v>
      </c>
      <c r="K46" s="118" t="s">
        <v>505</v>
      </c>
      <c r="L46" s="118"/>
      <c r="M46" s="118"/>
      <c r="N46" s="42"/>
      <c r="O46" s="42" t="s">
        <v>193</v>
      </c>
      <c r="P46" s="42" t="s">
        <v>194</v>
      </c>
      <c r="Q46" s="42"/>
      <c r="R46" s="42"/>
      <c r="S46" s="3"/>
      <c r="T46" s="3"/>
      <c r="U46" s="3"/>
      <c r="V46" s="3"/>
      <c r="W46" s="3"/>
      <c r="X46" s="3"/>
      <c r="Y46" s="3"/>
      <c r="Z46" s="3"/>
      <c r="AA46" s="3"/>
      <c r="AB46" s="3"/>
      <c r="AC46" s="3"/>
      <c r="AD46" s="3"/>
      <c r="AE46" s="3"/>
      <c r="AF46" s="3"/>
      <c r="AG46" s="3"/>
      <c r="AH46" s="3"/>
      <c r="AI46" s="3"/>
      <c r="AJ46" s="3"/>
      <c r="AK46" s="3"/>
      <c r="AL46" s="3"/>
    </row>
    <row r="47" spans="1:38" ht="14.25" customHeight="1" x14ac:dyDescent="0.2">
      <c r="A47" s="118" t="s">
        <v>1235</v>
      </c>
      <c r="B47" s="118" t="s">
        <v>1236</v>
      </c>
      <c r="C47" s="118">
        <v>2025</v>
      </c>
      <c r="D47" s="118" t="s">
        <v>317</v>
      </c>
      <c r="E47" s="118" t="s">
        <v>1238</v>
      </c>
      <c r="F47" s="118" t="s">
        <v>1239</v>
      </c>
      <c r="G47" s="118" t="s">
        <v>322</v>
      </c>
      <c r="H47" s="118" t="s">
        <v>15</v>
      </c>
      <c r="I47" s="118" t="s">
        <v>253</v>
      </c>
      <c r="J47" s="118" t="s">
        <v>1237</v>
      </c>
      <c r="K47" s="118" t="s">
        <v>1240</v>
      </c>
      <c r="L47" s="118"/>
      <c r="M47" s="118"/>
      <c r="N47" s="42"/>
      <c r="O47" s="42" t="s">
        <v>193</v>
      </c>
      <c r="P47" s="42" t="s">
        <v>194</v>
      </c>
      <c r="Q47" s="42"/>
      <c r="R47" s="42"/>
      <c r="S47" s="3"/>
      <c r="T47" s="3"/>
      <c r="U47" s="3"/>
      <c r="V47" s="3"/>
      <c r="W47" s="3"/>
      <c r="X47" s="3"/>
      <c r="Y47" s="3"/>
      <c r="Z47" s="3"/>
      <c r="AA47" s="3"/>
      <c r="AB47" s="3"/>
      <c r="AC47" s="3"/>
      <c r="AD47" s="3"/>
      <c r="AE47" s="3"/>
      <c r="AF47" s="3"/>
      <c r="AG47" s="3"/>
      <c r="AH47" s="3"/>
      <c r="AI47" s="3"/>
      <c r="AJ47" s="3"/>
      <c r="AK47" s="3"/>
      <c r="AL47" s="3"/>
    </row>
    <row r="48" spans="1:38" ht="14.25" customHeight="1" x14ac:dyDescent="0.2">
      <c r="A48" s="118" t="s">
        <v>439</v>
      </c>
      <c r="B48" s="118" t="s">
        <v>440</v>
      </c>
      <c r="C48" s="118">
        <v>2023</v>
      </c>
      <c r="D48" s="118" t="s">
        <v>233</v>
      </c>
      <c r="E48" s="118" t="s">
        <v>442</v>
      </c>
      <c r="F48" s="118" t="s">
        <v>443</v>
      </c>
      <c r="G48" s="118" t="s">
        <v>238</v>
      </c>
      <c r="H48" s="118" t="s">
        <v>15</v>
      </c>
      <c r="I48" s="118" t="s">
        <v>253</v>
      </c>
      <c r="J48" s="118" t="s">
        <v>441</v>
      </c>
      <c r="K48" s="118" t="s">
        <v>444</v>
      </c>
      <c r="L48" s="118"/>
      <c r="M48" s="118"/>
      <c r="N48" s="42"/>
      <c r="O48" s="42" t="s">
        <v>193</v>
      </c>
      <c r="P48" s="42" t="s">
        <v>194</v>
      </c>
      <c r="Q48" s="42"/>
      <c r="R48" s="42"/>
      <c r="S48" s="3"/>
      <c r="T48" s="3"/>
      <c r="U48" s="3"/>
      <c r="V48" s="3"/>
      <c r="W48" s="3"/>
      <c r="X48" s="3"/>
      <c r="Y48" s="3"/>
      <c r="Z48" s="3"/>
      <c r="AA48" s="3"/>
      <c r="AB48" s="3"/>
      <c r="AC48" s="3"/>
      <c r="AD48" s="3"/>
      <c r="AE48" s="3"/>
      <c r="AF48" s="3"/>
      <c r="AG48" s="3"/>
      <c r="AH48" s="3"/>
      <c r="AI48" s="3"/>
      <c r="AJ48" s="3"/>
      <c r="AK48" s="3"/>
      <c r="AL48" s="3"/>
    </row>
    <row r="49" spans="1:38" ht="14.25" customHeight="1" x14ac:dyDescent="0.2">
      <c r="A49" s="118" t="s">
        <v>451</v>
      </c>
      <c r="B49" s="118" t="s">
        <v>452</v>
      </c>
      <c r="C49" s="118">
        <v>2024</v>
      </c>
      <c r="D49" s="118" t="s">
        <v>453</v>
      </c>
      <c r="E49" s="118" t="s">
        <v>455</v>
      </c>
      <c r="F49" s="118">
        <v>0</v>
      </c>
      <c r="G49" s="118" t="s">
        <v>457</v>
      </c>
      <c r="H49" s="118" t="s">
        <v>15</v>
      </c>
      <c r="I49" s="118" t="s">
        <v>253</v>
      </c>
      <c r="J49" s="118" t="s">
        <v>454</v>
      </c>
      <c r="K49" s="118" t="s">
        <v>456</v>
      </c>
      <c r="L49" s="118"/>
      <c r="M49" s="118"/>
      <c r="N49" s="42"/>
      <c r="O49" s="42" t="s">
        <v>193</v>
      </c>
      <c r="P49" s="42" t="s">
        <v>194</v>
      </c>
      <c r="Q49" s="42"/>
      <c r="R49" s="42"/>
      <c r="S49" s="3"/>
      <c r="T49" s="3"/>
      <c r="U49" s="3"/>
      <c r="V49" s="3"/>
      <c r="W49" s="3"/>
      <c r="X49" s="3"/>
      <c r="Y49" s="3"/>
      <c r="Z49" s="3"/>
      <c r="AA49" s="3"/>
      <c r="AB49" s="3"/>
      <c r="AC49" s="3"/>
      <c r="AD49" s="3"/>
      <c r="AE49" s="3"/>
      <c r="AF49" s="3"/>
      <c r="AG49" s="3"/>
      <c r="AH49" s="3"/>
      <c r="AI49" s="3"/>
      <c r="AJ49" s="3"/>
      <c r="AK49" s="3"/>
      <c r="AL49" s="3"/>
    </row>
    <row r="50" spans="1:38" ht="14.25" customHeight="1" x14ac:dyDescent="0.2">
      <c r="A50" s="118" t="s">
        <v>458</v>
      </c>
      <c r="B50" s="118" t="s">
        <v>459</v>
      </c>
      <c r="C50" s="118">
        <v>2024</v>
      </c>
      <c r="D50" s="118" t="s">
        <v>460</v>
      </c>
      <c r="E50" s="118" t="s">
        <v>462</v>
      </c>
      <c r="F50" s="118" t="s">
        <v>463</v>
      </c>
      <c r="G50" s="118" t="s">
        <v>465</v>
      </c>
      <c r="H50" s="118" t="s">
        <v>15</v>
      </c>
      <c r="I50" s="118" t="s">
        <v>253</v>
      </c>
      <c r="J50" s="118" t="s">
        <v>461</v>
      </c>
      <c r="K50" s="118" t="s">
        <v>464</v>
      </c>
      <c r="L50" s="118"/>
      <c r="M50" s="118"/>
      <c r="N50" s="42"/>
      <c r="O50" s="42" t="s">
        <v>193</v>
      </c>
      <c r="P50" s="42" t="s">
        <v>194</v>
      </c>
      <c r="Q50" s="42"/>
      <c r="R50" s="42"/>
      <c r="S50" s="3"/>
      <c r="T50" s="3"/>
      <c r="U50" s="3"/>
      <c r="V50" s="3"/>
      <c r="W50" s="3"/>
      <c r="X50" s="3"/>
      <c r="Y50" s="3"/>
      <c r="Z50" s="3"/>
      <c r="AA50" s="3"/>
      <c r="AB50" s="3"/>
      <c r="AC50" s="3"/>
      <c r="AD50" s="3"/>
      <c r="AE50" s="3"/>
      <c r="AF50" s="3"/>
      <c r="AG50" s="3"/>
      <c r="AH50" s="3"/>
      <c r="AI50" s="3"/>
      <c r="AJ50" s="3"/>
      <c r="AK50" s="3"/>
      <c r="AL50" s="3"/>
    </row>
    <row r="51" spans="1:38" ht="14.25" customHeight="1" x14ac:dyDescent="0.2">
      <c r="A51" s="118" t="s">
        <v>849</v>
      </c>
      <c r="B51" s="118" t="s">
        <v>850</v>
      </c>
      <c r="C51" s="118">
        <v>2025</v>
      </c>
      <c r="D51" s="118" t="s">
        <v>371</v>
      </c>
      <c r="E51" s="118" t="s">
        <v>852</v>
      </c>
      <c r="F51" s="118" t="s">
        <v>853</v>
      </c>
      <c r="G51" s="118" t="s">
        <v>376</v>
      </c>
      <c r="H51" s="118" t="s">
        <v>15</v>
      </c>
      <c r="I51" s="118" t="s">
        <v>253</v>
      </c>
      <c r="J51" s="118" t="s">
        <v>851</v>
      </c>
      <c r="K51" s="118" t="s">
        <v>854</v>
      </c>
      <c r="L51" s="118"/>
      <c r="M51" s="118"/>
      <c r="N51" s="42"/>
      <c r="O51" s="42" t="s">
        <v>193</v>
      </c>
      <c r="P51" s="42" t="s">
        <v>194</v>
      </c>
      <c r="Q51" s="42"/>
      <c r="R51" s="42"/>
      <c r="S51" s="3"/>
      <c r="T51" s="3"/>
      <c r="U51" s="3"/>
      <c r="V51" s="3"/>
      <c r="W51" s="3"/>
      <c r="X51" s="3"/>
      <c r="Y51" s="3"/>
      <c r="Z51" s="3"/>
      <c r="AA51" s="3"/>
      <c r="AB51" s="3"/>
      <c r="AC51" s="3"/>
      <c r="AD51" s="3"/>
      <c r="AE51" s="3"/>
      <c r="AF51" s="3"/>
      <c r="AG51" s="3"/>
      <c r="AH51" s="3"/>
      <c r="AI51" s="3"/>
      <c r="AJ51" s="3"/>
      <c r="AK51" s="3"/>
      <c r="AL51" s="3"/>
    </row>
    <row r="52" spans="1:38" ht="14.25" customHeight="1" x14ac:dyDescent="0.2">
      <c r="A52" s="118" t="s">
        <v>1569</v>
      </c>
      <c r="B52" s="118" t="s">
        <v>1570</v>
      </c>
      <c r="C52" s="118">
        <v>2024</v>
      </c>
      <c r="D52" s="118" t="s">
        <v>1322</v>
      </c>
      <c r="E52" s="118" t="s">
        <v>1572</v>
      </c>
      <c r="F52" s="118" t="s">
        <v>1573</v>
      </c>
      <c r="G52" s="118" t="s">
        <v>282</v>
      </c>
      <c r="H52" s="118" t="s">
        <v>15</v>
      </c>
      <c r="I52" s="118" t="s">
        <v>253</v>
      </c>
      <c r="J52" s="118" t="s">
        <v>1571</v>
      </c>
      <c r="K52" s="118" t="s">
        <v>1574</v>
      </c>
      <c r="L52" s="118"/>
      <c r="M52" s="118"/>
      <c r="N52" s="42"/>
      <c r="O52" s="42" t="s">
        <v>193</v>
      </c>
      <c r="P52" s="42" t="s">
        <v>194</v>
      </c>
      <c r="Q52" s="42"/>
      <c r="R52" s="42"/>
      <c r="S52" s="3"/>
      <c r="T52" s="3"/>
      <c r="U52" s="3"/>
      <c r="V52" s="3"/>
      <c r="W52" s="3"/>
      <c r="X52" s="3"/>
      <c r="Y52" s="3"/>
      <c r="Z52" s="3"/>
      <c r="AA52" s="3"/>
      <c r="AB52" s="3"/>
      <c r="AC52" s="3"/>
      <c r="AD52" s="3"/>
      <c r="AE52" s="3"/>
      <c r="AF52" s="3"/>
      <c r="AG52" s="3"/>
      <c r="AH52" s="3"/>
      <c r="AI52" s="3"/>
      <c r="AJ52" s="3"/>
      <c r="AK52" s="3"/>
      <c r="AL52" s="3"/>
    </row>
    <row r="53" spans="1:38" ht="14.25" customHeight="1" x14ac:dyDescent="0.2">
      <c r="A53" s="118" t="s">
        <v>1265</v>
      </c>
      <c r="B53" s="118" t="s">
        <v>1266</v>
      </c>
      <c r="C53" s="118">
        <v>2022</v>
      </c>
      <c r="D53" s="118" t="s">
        <v>1081</v>
      </c>
      <c r="E53" s="118" t="s">
        <v>1268</v>
      </c>
      <c r="F53" s="118" t="s">
        <v>1269</v>
      </c>
      <c r="G53" s="118" t="s">
        <v>1086</v>
      </c>
      <c r="H53" s="118" t="s">
        <v>15</v>
      </c>
      <c r="I53" s="118" t="s">
        <v>253</v>
      </c>
      <c r="J53" s="118" t="s">
        <v>1267</v>
      </c>
      <c r="K53" s="118" t="s">
        <v>1270</v>
      </c>
      <c r="L53" s="118"/>
      <c r="M53" s="118"/>
      <c r="N53" s="42"/>
      <c r="O53" s="42" t="s">
        <v>193</v>
      </c>
      <c r="P53" s="42" t="s">
        <v>194</v>
      </c>
      <c r="Q53" s="42"/>
      <c r="R53" s="42"/>
      <c r="S53" s="3"/>
      <c r="T53" s="3"/>
      <c r="U53" s="3"/>
      <c r="V53" s="3"/>
      <c r="W53" s="3"/>
      <c r="X53" s="3"/>
      <c r="Y53" s="3"/>
      <c r="Z53" s="3"/>
      <c r="AA53" s="3"/>
      <c r="AB53" s="3"/>
      <c r="AC53" s="3"/>
      <c r="AD53" s="3"/>
      <c r="AE53" s="3"/>
      <c r="AF53" s="3"/>
      <c r="AG53" s="3"/>
      <c r="AH53" s="3"/>
      <c r="AI53" s="3"/>
      <c r="AJ53" s="3"/>
      <c r="AK53" s="3"/>
      <c r="AL53" s="3"/>
    </row>
    <row r="54" spans="1:38" ht="14.25" customHeight="1" x14ac:dyDescent="0.2">
      <c r="A54" s="118" t="s">
        <v>493</v>
      </c>
      <c r="B54" s="118" t="s">
        <v>494</v>
      </c>
      <c r="C54" s="118">
        <v>2026</v>
      </c>
      <c r="D54" s="118" t="s">
        <v>394</v>
      </c>
      <c r="E54" s="118" t="s">
        <v>496</v>
      </c>
      <c r="F54" s="118" t="s">
        <v>497</v>
      </c>
      <c r="G54" s="118" t="s">
        <v>274</v>
      </c>
      <c r="H54" s="118" t="s">
        <v>15</v>
      </c>
      <c r="I54" s="118" t="s">
        <v>253</v>
      </c>
      <c r="J54" s="118" t="s">
        <v>495</v>
      </c>
      <c r="K54" s="118" t="s">
        <v>498</v>
      </c>
      <c r="L54" s="118"/>
      <c r="M54" s="118"/>
      <c r="N54" s="42"/>
      <c r="O54" s="42" t="s">
        <v>193</v>
      </c>
      <c r="P54" s="42" t="s">
        <v>194</v>
      </c>
      <c r="Q54" s="42"/>
      <c r="R54" s="42"/>
      <c r="S54" s="3"/>
      <c r="T54" s="3"/>
      <c r="U54" s="3"/>
      <c r="V54" s="3"/>
      <c r="W54" s="3"/>
      <c r="X54" s="3"/>
      <c r="Y54" s="3"/>
      <c r="Z54" s="3"/>
      <c r="AA54" s="3"/>
      <c r="AB54" s="3"/>
      <c r="AC54" s="3"/>
      <c r="AD54" s="3"/>
      <c r="AE54" s="3"/>
      <c r="AF54" s="3"/>
      <c r="AG54" s="3"/>
      <c r="AH54" s="3"/>
      <c r="AI54" s="3"/>
      <c r="AJ54" s="3"/>
      <c r="AK54" s="3"/>
      <c r="AL54" s="3"/>
    </row>
    <row r="55" spans="1:38" ht="14.25" customHeight="1" x14ac:dyDescent="0.2">
      <c r="A55" s="118" t="s">
        <v>499</v>
      </c>
      <c r="B55" s="118" t="s">
        <v>500</v>
      </c>
      <c r="C55" s="118">
        <v>2024</v>
      </c>
      <c r="D55" s="118" t="s">
        <v>501</v>
      </c>
      <c r="E55" s="118" t="s">
        <v>503</v>
      </c>
      <c r="F55" s="118" t="s">
        <v>504</v>
      </c>
      <c r="G55" s="118" t="s">
        <v>506</v>
      </c>
      <c r="H55" s="118" t="s">
        <v>15</v>
      </c>
      <c r="I55" s="118" t="s">
        <v>253</v>
      </c>
      <c r="J55" s="118" t="s">
        <v>502</v>
      </c>
      <c r="K55" s="118" t="s">
        <v>505</v>
      </c>
      <c r="L55" s="118"/>
      <c r="M55" s="118"/>
      <c r="N55" s="42"/>
      <c r="O55" s="42" t="s">
        <v>193</v>
      </c>
      <c r="P55" s="42" t="s">
        <v>194</v>
      </c>
      <c r="Q55" s="42"/>
      <c r="R55" s="42"/>
      <c r="S55" s="3"/>
      <c r="T55" s="3"/>
      <c r="U55" s="3"/>
      <c r="V55" s="3"/>
      <c r="W55" s="3"/>
      <c r="X55" s="3"/>
      <c r="Y55" s="3"/>
      <c r="Z55" s="3"/>
      <c r="AA55" s="3"/>
      <c r="AB55" s="3"/>
      <c r="AC55" s="3"/>
      <c r="AD55" s="3"/>
      <c r="AE55" s="3"/>
      <c r="AF55" s="3"/>
      <c r="AG55" s="3"/>
      <c r="AH55" s="3"/>
      <c r="AI55" s="3"/>
      <c r="AJ55" s="3"/>
      <c r="AK55" s="3"/>
      <c r="AL55" s="3"/>
    </row>
    <row r="56" spans="1:38" ht="14.25" customHeight="1" x14ac:dyDescent="0.2">
      <c r="A56" s="118" t="s">
        <v>514</v>
      </c>
      <c r="B56" s="118" t="s">
        <v>515</v>
      </c>
      <c r="C56" s="118">
        <v>2026</v>
      </c>
      <c r="D56" s="118" t="s">
        <v>516</v>
      </c>
      <c r="E56" s="118" t="s">
        <v>518</v>
      </c>
      <c r="F56" s="118" t="s">
        <v>519</v>
      </c>
      <c r="G56" s="118" t="s">
        <v>260</v>
      </c>
      <c r="H56" s="118" t="s">
        <v>15</v>
      </c>
      <c r="I56" s="118" t="s">
        <v>253</v>
      </c>
      <c r="J56" s="118" t="s">
        <v>517</v>
      </c>
      <c r="K56" s="118" t="s">
        <v>520</v>
      </c>
      <c r="L56" s="118"/>
      <c r="M56" s="118"/>
      <c r="N56" s="42"/>
      <c r="O56" s="42" t="s">
        <v>193</v>
      </c>
      <c r="P56" s="42" t="s">
        <v>194</v>
      </c>
      <c r="Q56" s="42"/>
      <c r="R56" s="42"/>
      <c r="S56" s="3"/>
      <c r="T56" s="3"/>
      <c r="U56" s="3"/>
      <c r="V56" s="3"/>
      <c r="W56" s="3"/>
      <c r="X56" s="3"/>
      <c r="Y56" s="3"/>
      <c r="Z56" s="3"/>
      <c r="AA56" s="3"/>
      <c r="AB56" s="3"/>
      <c r="AC56" s="3"/>
      <c r="AD56" s="3"/>
      <c r="AE56" s="3"/>
      <c r="AF56" s="3"/>
      <c r="AG56" s="3"/>
      <c r="AH56" s="3"/>
      <c r="AI56" s="3"/>
      <c r="AJ56" s="3"/>
      <c r="AK56" s="3"/>
      <c r="AL56" s="3"/>
    </row>
    <row r="57" spans="1:38" ht="14.25" customHeight="1" x14ac:dyDescent="0.2">
      <c r="A57" s="118" t="s">
        <v>1593</v>
      </c>
      <c r="B57" s="118" t="s">
        <v>1594</v>
      </c>
      <c r="C57" s="118">
        <v>2024</v>
      </c>
      <c r="D57" s="118" t="s">
        <v>1595</v>
      </c>
      <c r="E57" s="118" t="s">
        <v>1597</v>
      </c>
      <c r="F57" s="118" t="s">
        <v>1598</v>
      </c>
      <c r="G57" s="118" t="s">
        <v>336</v>
      </c>
      <c r="H57" s="118" t="s">
        <v>15</v>
      </c>
      <c r="I57" s="118" t="s">
        <v>253</v>
      </c>
      <c r="J57" s="118" t="s">
        <v>1596</v>
      </c>
      <c r="K57" s="118" t="s">
        <v>1599</v>
      </c>
      <c r="L57" s="118"/>
      <c r="M57" s="118"/>
      <c r="N57" s="42"/>
      <c r="O57" s="42" t="s">
        <v>193</v>
      </c>
      <c r="P57" s="42" t="s">
        <v>194</v>
      </c>
      <c r="Q57" s="42"/>
      <c r="R57" s="42"/>
      <c r="S57" s="3"/>
      <c r="T57" s="3"/>
      <c r="U57" s="3"/>
      <c r="V57" s="3"/>
      <c r="W57" s="3"/>
      <c r="X57" s="3"/>
      <c r="Y57" s="3"/>
      <c r="Z57" s="3"/>
      <c r="AA57" s="3"/>
      <c r="AB57" s="3"/>
      <c r="AC57" s="3"/>
      <c r="AD57" s="3"/>
      <c r="AE57" s="3"/>
      <c r="AF57" s="3"/>
      <c r="AG57" s="3"/>
      <c r="AH57" s="3"/>
      <c r="AI57" s="3"/>
      <c r="AJ57" s="3"/>
      <c r="AK57" s="3"/>
      <c r="AL57" s="3"/>
    </row>
    <row r="58" spans="1:38" ht="14.25" customHeight="1" x14ac:dyDescent="0.2">
      <c r="A58" s="118" t="s">
        <v>1620</v>
      </c>
      <c r="B58" s="118" t="s">
        <v>1621</v>
      </c>
      <c r="C58" s="118">
        <v>2025</v>
      </c>
      <c r="D58" s="118" t="s">
        <v>1622</v>
      </c>
      <c r="E58" s="118" t="s">
        <v>1624</v>
      </c>
      <c r="F58" s="118" t="s">
        <v>1625</v>
      </c>
      <c r="G58" s="118" t="s">
        <v>1626</v>
      </c>
      <c r="H58" s="118" t="s">
        <v>15</v>
      </c>
      <c r="I58" s="118" t="s">
        <v>253</v>
      </c>
      <c r="J58" s="118" t="s">
        <v>1623</v>
      </c>
      <c r="K58" s="118" t="s">
        <v>1825</v>
      </c>
      <c r="L58" s="118"/>
      <c r="M58" s="118"/>
      <c r="N58" s="42"/>
      <c r="O58" s="42" t="s">
        <v>193</v>
      </c>
      <c r="P58" s="42" t="s">
        <v>194</v>
      </c>
      <c r="Q58" s="42"/>
      <c r="R58" s="42"/>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118" t="s">
        <v>1271</v>
      </c>
      <c r="B59" s="118" t="s">
        <v>1272</v>
      </c>
      <c r="C59" s="118">
        <v>2023</v>
      </c>
      <c r="D59" s="118" t="s">
        <v>927</v>
      </c>
      <c r="E59" s="118" t="s">
        <v>1274</v>
      </c>
      <c r="F59" s="118" t="s">
        <v>1275</v>
      </c>
      <c r="G59" s="118">
        <v>0</v>
      </c>
      <c r="H59" s="118" t="s">
        <v>15</v>
      </c>
      <c r="I59" s="118" t="s">
        <v>253</v>
      </c>
      <c r="J59" s="118" t="s">
        <v>1273</v>
      </c>
      <c r="K59" s="118">
        <v>0</v>
      </c>
      <c r="L59" s="118"/>
      <c r="M59" s="118"/>
      <c r="N59" s="42"/>
      <c r="O59" s="42" t="s">
        <v>193</v>
      </c>
      <c r="P59" s="42" t="s">
        <v>194</v>
      </c>
      <c r="Q59" s="42"/>
      <c r="R59" s="42"/>
      <c r="S59" s="3"/>
      <c r="T59" s="3"/>
      <c r="U59" s="3"/>
      <c r="V59" s="3"/>
      <c r="W59" s="3"/>
      <c r="X59" s="3"/>
      <c r="Y59" s="3"/>
      <c r="Z59" s="3"/>
      <c r="AA59" s="3"/>
      <c r="AB59" s="3"/>
      <c r="AC59" s="3"/>
      <c r="AD59" s="3"/>
      <c r="AE59" s="3"/>
      <c r="AF59" s="3"/>
      <c r="AG59" s="3"/>
      <c r="AH59" s="3"/>
      <c r="AI59" s="3"/>
      <c r="AJ59" s="3"/>
      <c r="AK59" s="3"/>
      <c r="AL59" s="3"/>
    </row>
    <row r="60" spans="1:38" ht="14.25" customHeight="1" x14ac:dyDescent="0.2">
      <c r="A60" s="118" t="s">
        <v>1793</v>
      </c>
      <c r="B60" s="118" t="s">
        <v>1794</v>
      </c>
      <c r="C60" s="118">
        <v>2020</v>
      </c>
      <c r="D60" s="118" t="s">
        <v>1781</v>
      </c>
      <c r="E60" s="118" t="s">
        <v>1795</v>
      </c>
      <c r="F60" s="118" t="s">
        <v>1796</v>
      </c>
      <c r="G60" s="118" t="s">
        <v>1784</v>
      </c>
      <c r="H60" s="118" t="s">
        <v>15</v>
      </c>
      <c r="I60" s="118" t="s">
        <v>253</v>
      </c>
      <c r="J60" s="118">
        <v>0</v>
      </c>
      <c r="K60" s="118" t="s">
        <v>1797</v>
      </c>
      <c r="L60" s="118"/>
      <c r="M60" s="118"/>
      <c r="N60" s="42"/>
      <c r="O60" s="42" t="s">
        <v>193</v>
      </c>
      <c r="P60" s="42" t="s">
        <v>194</v>
      </c>
      <c r="Q60" s="42"/>
      <c r="R60" s="42"/>
      <c r="S60" s="3"/>
      <c r="T60" s="3"/>
      <c r="U60" s="3"/>
      <c r="V60" s="3"/>
      <c r="W60" s="3"/>
      <c r="X60" s="3"/>
      <c r="Y60" s="3"/>
      <c r="Z60" s="3"/>
      <c r="AA60" s="3"/>
      <c r="AB60" s="3"/>
      <c r="AC60" s="3"/>
      <c r="AD60" s="3"/>
      <c r="AE60" s="3"/>
      <c r="AF60" s="3"/>
      <c r="AG60" s="3"/>
      <c r="AH60" s="3"/>
      <c r="AI60" s="3"/>
      <c r="AJ60" s="3"/>
      <c r="AK60" s="3"/>
      <c r="AL60" s="3"/>
    </row>
    <row r="61" spans="1:38" ht="14.25" customHeight="1" x14ac:dyDescent="0.2">
      <c r="A61" s="118" t="s">
        <v>1294</v>
      </c>
      <c r="B61" s="118" t="s">
        <v>1295</v>
      </c>
      <c r="C61" s="118">
        <v>2025</v>
      </c>
      <c r="D61" s="118" t="s">
        <v>331</v>
      </c>
      <c r="E61" s="118" t="s">
        <v>1297</v>
      </c>
      <c r="F61" s="118" t="s">
        <v>1298</v>
      </c>
      <c r="G61" s="118" t="s">
        <v>336</v>
      </c>
      <c r="H61" s="118" t="s">
        <v>15</v>
      </c>
      <c r="I61" s="118" t="s">
        <v>253</v>
      </c>
      <c r="J61" s="118" t="s">
        <v>1296</v>
      </c>
      <c r="K61" s="118" t="s">
        <v>1299</v>
      </c>
      <c r="L61" s="118"/>
      <c r="M61" s="118"/>
      <c r="N61" s="42"/>
      <c r="O61" s="42" t="s">
        <v>193</v>
      </c>
      <c r="P61" s="42" t="s">
        <v>194</v>
      </c>
      <c r="Q61" s="42"/>
      <c r="R61" s="42"/>
      <c r="S61" s="3"/>
      <c r="T61" s="3"/>
      <c r="U61" s="3"/>
      <c r="V61" s="3"/>
      <c r="W61" s="3"/>
      <c r="X61" s="3"/>
      <c r="Y61" s="3"/>
      <c r="Z61" s="3"/>
      <c r="AA61" s="3"/>
      <c r="AB61" s="3"/>
      <c r="AC61" s="3"/>
      <c r="AD61" s="3"/>
      <c r="AE61" s="3"/>
      <c r="AF61" s="3"/>
      <c r="AG61" s="3"/>
      <c r="AH61" s="3"/>
      <c r="AI61" s="3"/>
      <c r="AJ61" s="3"/>
      <c r="AK61" s="3"/>
      <c r="AL61" s="3"/>
    </row>
    <row r="62" spans="1:38" ht="14.25" customHeight="1" x14ac:dyDescent="0.2">
      <c r="A62" s="118" t="s">
        <v>1300</v>
      </c>
      <c r="B62" s="118" t="s">
        <v>1301</v>
      </c>
      <c r="C62" s="118">
        <v>2026</v>
      </c>
      <c r="D62" s="118" t="s">
        <v>1302</v>
      </c>
      <c r="E62" s="118" t="s">
        <v>1304</v>
      </c>
      <c r="F62" s="118" t="s">
        <v>1305</v>
      </c>
      <c r="G62" s="118" t="s">
        <v>1307</v>
      </c>
      <c r="H62" s="118" t="s">
        <v>15</v>
      </c>
      <c r="I62" s="118" t="s">
        <v>253</v>
      </c>
      <c r="J62" s="118" t="s">
        <v>1303</v>
      </c>
      <c r="K62" s="118" t="s">
        <v>1306</v>
      </c>
      <c r="L62" s="118"/>
      <c r="M62" s="118"/>
      <c r="N62" s="42"/>
      <c r="O62" s="42" t="s">
        <v>193</v>
      </c>
      <c r="P62" s="42" t="s">
        <v>194</v>
      </c>
      <c r="Q62" s="42"/>
      <c r="R62" s="42"/>
      <c r="S62" s="3"/>
      <c r="T62" s="3"/>
      <c r="U62" s="3"/>
      <c r="V62" s="3"/>
      <c r="W62" s="3"/>
      <c r="X62" s="3"/>
      <c r="Y62" s="3"/>
      <c r="Z62" s="3"/>
      <c r="AA62" s="3"/>
      <c r="AB62" s="3"/>
      <c r="AC62" s="3"/>
      <c r="AD62" s="3"/>
      <c r="AE62" s="3"/>
      <c r="AF62" s="3"/>
      <c r="AG62" s="3"/>
      <c r="AH62" s="3"/>
      <c r="AI62" s="3"/>
      <c r="AJ62" s="3"/>
      <c r="AK62" s="3"/>
      <c r="AL62" s="3"/>
    </row>
    <row r="63" spans="1:38" ht="14.25" customHeight="1" x14ac:dyDescent="0.2">
      <c r="A63" s="118" t="s">
        <v>925</v>
      </c>
      <c r="B63" s="118" t="s">
        <v>926</v>
      </c>
      <c r="C63" s="118">
        <v>2023</v>
      </c>
      <c r="D63" s="118" t="s">
        <v>927</v>
      </c>
      <c r="E63" s="118" t="s">
        <v>929</v>
      </c>
      <c r="F63" s="118" t="s">
        <v>930</v>
      </c>
      <c r="G63" s="118">
        <v>0</v>
      </c>
      <c r="H63" s="118" t="s">
        <v>15</v>
      </c>
      <c r="I63" s="118" t="s">
        <v>253</v>
      </c>
      <c r="J63" s="118" t="s">
        <v>928</v>
      </c>
      <c r="K63" s="118">
        <v>0</v>
      </c>
      <c r="L63" s="118"/>
      <c r="M63" s="118"/>
      <c r="N63" s="42"/>
      <c r="O63" s="42" t="s">
        <v>193</v>
      </c>
      <c r="P63" s="42" t="s">
        <v>194</v>
      </c>
      <c r="Q63" s="42"/>
      <c r="R63" s="42"/>
      <c r="S63" s="3"/>
      <c r="T63" s="3"/>
      <c r="U63" s="3"/>
      <c r="V63" s="3"/>
      <c r="W63" s="3"/>
      <c r="X63" s="3"/>
      <c r="Y63" s="3"/>
      <c r="Z63" s="3"/>
      <c r="AA63" s="3"/>
      <c r="AB63" s="3"/>
      <c r="AC63" s="3"/>
      <c r="AD63" s="3"/>
      <c r="AE63" s="3"/>
      <c r="AF63" s="3"/>
      <c r="AG63" s="3"/>
      <c r="AH63" s="3"/>
      <c r="AI63" s="3"/>
      <c r="AJ63" s="3"/>
      <c r="AK63" s="3"/>
      <c r="AL63" s="3"/>
    </row>
    <row r="64" spans="1:38" ht="14.25" customHeight="1" x14ac:dyDescent="0.2">
      <c r="A64" s="118" t="s">
        <v>937</v>
      </c>
      <c r="B64" s="118" t="s">
        <v>938</v>
      </c>
      <c r="C64" s="118">
        <v>2023</v>
      </c>
      <c r="D64" s="118" t="s">
        <v>939</v>
      </c>
      <c r="E64" s="118" t="s">
        <v>941</v>
      </c>
      <c r="F64" s="118">
        <v>0</v>
      </c>
      <c r="G64" s="118" t="s">
        <v>457</v>
      </c>
      <c r="H64" s="118" t="s">
        <v>15</v>
      </c>
      <c r="I64" s="118" t="s">
        <v>253</v>
      </c>
      <c r="J64" s="118" t="s">
        <v>940</v>
      </c>
      <c r="K64" s="118" t="s">
        <v>942</v>
      </c>
      <c r="L64" s="118"/>
      <c r="M64" s="118"/>
      <c r="N64" s="42"/>
      <c r="O64" s="42" t="s">
        <v>193</v>
      </c>
      <c r="P64" s="42" t="s">
        <v>194</v>
      </c>
      <c r="Q64" s="42"/>
      <c r="R64" s="42"/>
      <c r="S64" s="3"/>
      <c r="T64" s="3"/>
      <c r="U64" s="3"/>
      <c r="V64" s="3"/>
      <c r="W64" s="3"/>
      <c r="X64" s="3"/>
      <c r="Y64" s="3"/>
      <c r="Z64" s="3"/>
      <c r="AA64" s="3"/>
      <c r="AB64" s="3"/>
      <c r="AC64" s="3"/>
      <c r="AD64" s="3"/>
      <c r="AE64" s="3"/>
      <c r="AF64" s="3"/>
      <c r="AG64" s="3"/>
      <c r="AH64" s="3"/>
      <c r="AI64" s="3"/>
      <c r="AJ64" s="3"/>
      <c r="AK64" s="3"/>
      <c r="AL64" s="3"/>
    </row>
    <row r="65" spans="1:38" ht="14.25" customHeight="1" x14ac:dyDescent="0.2">
      <c r="A65" s="118" t="s">
        <v>559</v>
      </c>
      <c r="B65" s="118" t="s">
        <v>560</v>
      </c>
      <c r="C65" s="118">
        <v>2026</v>
      </c>
      <c r="D65" s="118" t="s">
        <v>269</v>
      </c>
      <c r="E65" s="118" t="s">
        <v>562</v>
      </c>
      <c r="F65" s="118" t="s">
        <v>563</v>
      </c>
      <c r="G65" s="118" t="s">
        <v>274</v>
      </c>
      <c r="H65" s="118" t="s">
        <v>15</v>
      </c>
      <c r="I65" s="118" t="s">
        <v>253</v>
      </c>
      <c r="J65" s="118" t="s">
        <v>561</v>
      </c>
      <c r="K65" s="118" t="s">
        <v>564</v>
      </c>
      <c r="L65" s="118"/>
      <c r="M65" s="118"/>
      <c r="N65" s="42"/>
      <c r="O65" s="42" t="s">
        <v>193</v>
      </c>
      <c r="P65" s="42" t="s">
        <v>194</v>
      </c>
      <c r="Q65" s="42"/>
      <c r="R65" s="42"/>
      <c r="S65" s="3"/>
      <c r="T65" s="3"/>
      <c r="U65" s="3"/>
      <c r="V65" s="3"/>
      <c r="W65" s="3"/>
      <c r="X65" s="3"/>
      <c r="Y65" s="3"/>
      <c r="Z65" s="3"/>
      <c r="AA65" s="3"/>
      <c r="AB65" s="3"/>
      <c r="AC65" s="3"/>
      <c r="AD65" s="3"/>
      <c r="AE65" s="3"/>
      <c r="AF65" s="3"/>
      <c r="AG65" s="3"/>
      <c r="AH65" s="3"/>
      <c r="AI65" s="3"/>
      <c r="AJ65" s="3"/>
      <c r="AK65" s="3"/>
      <c r="AL65" s="3"/>
    </row>
    <row r="66" spans="1:38" ht="14.25" customHeight="1" x14ac:dyDescent="0.2">
      <c r="A66" s="118" t="s">
        <v>1798</v>
      </c>
      <c r="B66" s="118" t="s">
        <v>1799</v>
      </c>
      <c r="C66" s="118">
        <v>2020</v>
      </c>
      <c r="D66" s="118" t="s">
        <v>1781</v>
      </c>
      <c r="E66" s="118" t="s">
        <v>1800</v>
      </c>
      <c r="F66" s="118" t="s">
        <v>1801</v>
      </c>
      <c r="G66" s="118" t="s">
        <v>1784</v>
      </c>
      <c r="H66" s="118" t="s">
        <v>15</v>
      </c>
      <c r="I66" s="118" t="s">
        <v>253</v>
      </c>
      <c r="J66" s="118">
        <v>0</v>
      </c>
      <c r="K66" s="118" t="s">
        <v>1802</v>
      </c>
      <c r="L66" s="118"/>
      <c r="M66" s="118"/>
      <c r="N66" s="42"/>
      <c r="O66" s="42" t="s">
        <v>193</v>
      </c>
      <c r="P66" s="42" t="s">
        <v>194</v>
      </c>
      <c r="Q66" s="42"/>
      <c r="R66" s="42"/>
      <c r="S66" s="3"/>
      <c r="T66" s="3"/>
      <c r="U66" s="3"/>
      <c r="V66" s="3"/>
      <c r="W66" s="3"/>
      <c r="X66" s="3"/>
      <c r="Y66" s="3"/>
      <c r="Z66" s="3"/>
      <c r="AA66" s="3"/>
      <c r="AB66" s="3"/>
      <c r="AC66" s="3"/>
      <c r="AD66" s="3"/>
      <c r="AE66" s="3"/>
      <c r="AF66" s="3"/>
      <c r="AG66" s="3"/>
      <c r="AH66" s="3"/>
      <c r="AI66" s="3"/>
      <c r="AJ66" s="3"/>
      <c r="AK66" s="3"/>
      <c r="AL66" s="3"/>
    </row>
    <row r="67" spans="1:38" ht="14.25" customHeight="1" x14ac:dyDescent="0.2">
      <c r="A67" s="118" t="s">
        <v>571</v>
      </c>
      <c r="B67" s="118" t="s">
        <v>572</v>
      </c>
      <c r="C67" s="118">
        <v>2025</v>
      </c>
      <c r="D67" s="118" t="s">
        <v>573</v>
      </c>
      <c r="E67" s="118" t="s">
        <v>575</v>
      </c>
      <c r="F67" s="118" t="s">
        <v>576</v>
      </c>
      <c r="G67" s="118" t="s">
        <v>578</v>
      </c>
      <c r="H67" s="118" t="s">
        <v>15</v>
      </c>
      <c r="I67" s="118" t="s">
        <v>253</v>
      </c>
      <c r="J67" s="118" t="s">
        <v>574</v>
      </c>
      <c r="K67" s="118" t="s">
        <v>577</v>
      </c>
      <c r="L67" s="118"/>
      <c r="M67" s="118"/>
      <c r="N67" s="42"/>
      <c r="O67" s="42" t="s">
        <v>193</v>
      </c>
      <c r="P67" s="42" t="s">
        <v>194</v>
      </c>
      <c r="Q67" s="42"/>
      <c r="R67" s="42"/>
      <c r="S67" s="3"/>
      <c r="T67" s="3"/>
      <c r="U67" s="3"/>
      <c r="V67" s="3"/>
      <c r="W67" s="3"/>
      <c r="X67" s="3"/>
      <c r="Y67" s="3"/>
      <c r="Z67" s="3"/>
      <c r="AA67" s="3"/>
      <c r="AB67" s="3"/>
      <c r="AC67" s="3"/>
      <c r="AD67" s="3"/>
      <c r="AE67" s="3"/>
      <c r="AF67" s="3"/>
      <c r="AG67" s="3"/>
      <c r="AH67" s="3"/>
      <c r="AI67" s="3"/>
      <c r="AJ67" s="3"/>
      <c r="AK67" s="3"/>
      <c r="AL67" s="3"/>
    </row>
    <row r="68" spans="1:38" ht="14.25" customHeight="1" x14ac:dyDescent="0.2">
      <c r="A68" s="118" t="s">
        <v>1320</v>
      </c>
      <c r="B68" s="118" t="s">
        <v>1321</v>
      </c>
      <c r="C68" s="118">
        <v>2026</v>
      </c>
      <c r="D68" s="118" t="s">
        <v>1322</v>
      </c>
      <c r="E68" s="118" t="s">
        <v>1324</v>
      </c>
      <c r="F68" s="118" t="s">
        <v>1325</v>
      </c>
      <c r="G68" s="118" t="s">
        <v>282</v>
      </c>
      <c r="H68" s="118" t="s">
        <v>15</v>
      </c>
      <c r="I68" s="118" t="s">
        <v>253</v>
      </c>
      <c r="J68" s="118" t="s">
        <v>1323</v>
      </c>
      <c r="K68" s="118" t="s">
        <v>1326</v>
      </c>
      <c r="L68" s="118"/>
      <c r="M68" s="118"/>
      <c r="N68" s="42"/>
      <c r="O68" s="42" t="s">
        <v>193</v>
      </c>
      <c r="P68" s="42" t="s">
        <v>194</v>
      </c>
      <c r="Q68" s="42"/>
      <c r="R68" s="42"/>
      <c r="S68" s="3"/>
      <c r="T68" s="3"/>
      <c r="U68" s="3"/>
      <c r="V68" s="3"/>
      <c r="W68" s="3"/>
      <c r="X68" s="3"/>
      <c r="Y68" s="3"/>
      <c r="Z68" s="3"/>
      <c r="AA68" s="3"/>
      <c r="AB68" s="3"/>
      <c r="AC68" s="3"/>
      <c r="AD68" s="3"/>
      <c r="AE68" s="3"/>
      <c r="AF68" s="3"/>
      <c r="AG68" s="3"/>
      <c r="AH68" s="3"/>
      <c r="AI68" s="3"/>
      <c r="AJ68" s="3"/>
      <c r="AK68" s="3"/>
      <c r="AL68" s="3"/>
    </row>
    <row r="69" spans="1:38" ht="16.5" customHeight="1" x14ac:dyDescent="0.2">
      <c r="A69" s="118" t="s">
        <v>1715</v>
      </c>
      <c r="B69" s="118" t="s">
        <v>1716</v>
      </c>
      <c r="C69" s="118">
        <v>2025</v>
      </c>
      <c r="D69" s="118" t="s">
        <v>1717</v>
      </c>
      <c r="E69" s="118" t="s">
        <v>1719</v>
      </c>
      <c r="F69" s="118" t="s">
        <v>1720</v>
      </c>
      <c r="G69" s="118" t="s">
        <v>1722</v>
      </c>
      <c r="H69" s="118" t="s">
        <v>15</v>
      </c>
      <c r="I69" s="118" t="s">
        <v>253</v>
      </c>
      <c r="J69" s="118" t="s">
        <v>1718</v>
      </c>
      <c r="K69" s="118" t="s">
        <v>1721</v>
      </c>
      <c r="L69" s="118"/>
      <c r="M69" s="118"/>
      <c r="N69" s="42"/>
      <c r="O69" s="42" t="s">
        <v>193</v>
      </c>
      <c r="P69" s="42" t="s">
        <v>194</v>
      </c>
      <c r="Q69" s="42"/>
      <c r="R69" s="42"/>
      <c r="S69" s="3"/>
      <c r="T69" s="3"/>
      <c r="U69" s="3"/>
      <c r="V69" s="3"/>
      <c r="W69" s="3"/>
      <c r="X69" s="3"/>
      <c r="Y69" s="3"/>
      <c r="Z69" s="3"/>
      <c r="AA69" s="3"/>
      <c r="AB69" s="3"/>
      <c r="AC69" s="3"/>
      <c r="AD69" s="3"/>
      <c r="AE69" s="3"/>
      <c r="AF69" s="3"/>
      <c r="AG69" s="3"/>
      <c r="AH69" s="3"/>
      <c r="AI69" s="3"/>
      <c r="AJ69" s="3"/>
      <c r="AK69" s="3"/>
      <c r="AL69" s="3"/>
    </row>
    <row r="70" spans="1:38" ht="14.25" customHeight="1" x14ac:dyDescent="0.2">
      <c r="A70" s="118" t="s">
        <v>579</v>
      </c>
      <c r="B70" s="118" t="s">
        <v>580</v>
      </c>
      <c r="C70" s="118">
        <v>2023</v>
      </c>
      <c r="D70" s="118" t="s">
        <v>581</v>
      </c>
      <c r="E70" s="118" t="s">
        <v>583</v>
      </c>
      <c r="F70" s="118" t="s">
        <v>584</v>
      </c>
      <c r="G70" s="118" t="s">
        <v>586</v>
      </c>
      <c r="H70" s="118" t="s">
        <v>15</v>
      </c>
      <c r="I70" s="118" t="s">
        <v>253</v>
      </c>
      <c r="J70" s="118" t="s">
        <v>582</v>
      </c>
      <c r="K70" s="118" t="s">
        <v>585</v>
      </c>
      <c r="L70" s="118"/>
      <c r="M70" s="118"/>
      <c r="N70" s="42"/>
      <c r="O70" s="42" t="s">
        <v>193</v>
      </c>
      <c r="P70" s="42" t="s">
        <v>194</v>
      </c>
      <c r="Q70" s="42"/>
      <c r="R70" s="42"/>
      <c r="S70" s="3"/>
      <c r="T70" s="3"/>
      <c r="U70" s="3"/>
      <c r="V70" s="3"/>
      <c r="W70" s="3"/>
      <c r="X70" s="3"/>
      <c r="Y70" s="3"/>
      <c r="Z70" s="3"/>
      <c r="AA70" s="3"/>
      <c r="AB70" s="3"/>
      <c r="AC70" s="3"/>
      <c r="AD70" s="3"/>
      <c r="AE70" s="3"/>
      <c r="AF70" s="3"/>
      <c r="AG70" s="3"/>
      <c r="AH70" s="3"/>
      <c r="AI70" s="3"/>
      <c r="AJ70" s="3"/>
      <c r="AK70" s="3"/>
      <c r="AL70" s="3"/>
    </row>
    <row r="71" spans="1:38" ht="14.25" customHeight="1" x14ac:dyDescent="0.2">
      <c r="A71" s="118" t="s">
        <v>1327</v>
      </c>
      <c r="B71" s="118" t="s">
        <v>1328</v>
      </c>
      <c r="C71" s="118">
        <v>2022</v>
      </c>
      <c r="D71" s="118" t="s">
        <v>331</v>
      </c>
      <c r="E71" s="118" t="s">
        <v>1330</v>
      </c>
      <c r="F71" s="118" t="s">
        <v>1331</v>
      </c>
      <c r="G71" s="118" t="s">
        <v>1333</v>
      </c>
      <c r="H71" s="118" t="s">
        <v>15</v>
      </c>
      <c r="I71" s="118" t="s">
        <v>253</v>
      </c>
      <c r="J71" s="118" t="s">
        <v>1329</v>
      </c>
      <c r="K71" s="118" t="s">
        <v>1332</v>
      </c>
      <c r="L71" s="118"/>
      <c r="M71" s="118"/>
      <c r="N71" s="42"/>
      <c r="O71" s="42" t="s">
        <v>193</v>
      </c>
      <c r="P71" s="42" t="s">
        <v>194</v>
      </c>
      <c r="Q71" s="42"/>
      <c r="R71" s="42"/>
      <c r="S71" s="3"/>
      <c r="T71" s="3"/>
      <c r="U71" s="3"/>
      <c r="V71" s="3"/>
      <c r="W71" s="3"/>
      <c r="X71" s="3"/>
      <c r="Y71" s="3"/>
      <c r="Z71" s="3"/>
      <c r="AA71" s="3"/>
      <c r="AB71" s="3"/>
      <c r="AC71" s="3"/>
      <c r="AD71" s="3"/>
      <c r="AE71" s="3"/>
      <c r="AF71" s="3"/>
      <c r="AG71" s="3"/>
      <c r="AH71" s="3"/>
      <c r="AI71" s="3"/>
      <c r="AJ71" s="3"/>
      <c r="AK71" s="3"/>
      <c r="AL71" s="3"/>
    </row>
    <row r="72" spans="1:38" ht="14.25" customHeight="1" x14ac:dyDescent="0.2">
      <c r="A72" s="118" t="s">
        <v>587</v>
      </c>
      <c r="B72" s="118" t="s">
        <v>588</v>
      </c>
      <c r="C72" s="118">
        <v>2026</v>
      </c>
      <c r="D72" s="118" t="s">
        <v>331</v>
      </c>
      <c r="E72" s="118" t="s">
        <v>590</v>
      </c>
      <c r="F72" s="118" t="s">
        <v>591</v>
      </c>
      <c r="G72" s="118" t="s">
        <v>336</v>
      </c>
      <c r="H72" s="118" t="s">
        <v>15</v>
      </c>
      <c r="I72" s="118" t="s">
        <v>253</v>
      </c>
      <c r="J72" s="118" t="s">
        <v>589</v>
      </c>
      <c r="K72" s="118" t="s">
        <v>592</v>
      </c>
      <c r="L72" s="118"/>
      <c r="M72" s="118"/>
      <c r="N72" s="42"/>
      <c r="O72" s="42" t="s">
        <v>193</v>
      </c>
      <c r="P72" s="42" t="s">
        <v>194</v>
      </c>
      <c r="Q72" s="42"/>
      <c r="R72" s="42"/>
      <c r="S72" s="3"/>
      <c r="T72" s="3"/>
      <c r="U72" s="3"/>
      <c r="V72" s="3"/>
      <c r="W72" s="3"/>
      <c r="X72" s="3"/>
      <c r="Y72" s="3"/>
      <c r="Z72" s="3"/>
      <c r="AA72" s="3"/>
      <c r="AB72" s="3"/>
      <c r="AC72" s="3"/>
      <c r="AD72" s="3"/>
      <c r="AE72" s="3"/>
      <c r="AF72" s="3"/>
      <c r="AG72" s="3"/>
      <c r="AH72" s="3"/>
      <c r="AI72" s="3"/>
      <c r="AJ72" s="3"/>
      <c r="AK72" s="3"/>
      <c r="AL72" s="3"/>
    </row>
    <row r="73" spans="1:38" ht="14.25" customHeight="1" x14ac:dyDescent="0.2">
      <c r="A73" s="118" t="s">
        <v>593</v>
      </c>
      <c r="B73" s="118" t="s">
        <v>594</v>
      </c>
      <c r="C73" s="118">
        <v>2022</v>
      </c>
      <c r="D73" s="118" t="s">
        <v>277</v>
      </c>
      <c r="E73" s="118" t="s">
        <v>596</v>
      </c>
      <c r="F73" s="118" t="s">
        <v>597</v>
      </c>
      <c r="G73" s="118" t="s">
        <v>586</v>
      </c>
      <c r="H73" s="118" t="s">
        <v>15</v>
      </c>
      <c r="I73" s="118" t="s">
        <v>253</v>
      </c>
      <c r="J73" s="118" t="s">
        <v>595</v>
      </c>
      <c r="K73" s="118" t="s">
        <v>598</v>
      </c>
      <c r="L73" s="118"/>
      <c r="M73" s="118"/>
      <c r="N73" s="42"/>
      <c r="O73" s="42" t="s">
        <v>193</v>
      </c>
      <c r="P73" s="42" t="s">
        <v>194</v>
      </c>
      <c r="Q73" s="42"/>
      <c r="R73" s="42"/>
      <c r="S73" s="3"/>
      <c r="T73" s="3"/>
      <c r="U73" s="3"/>
      <c r="V73" s="3"/>
      <c r="W73" s="3"/>
      <c r="X73" s="3"/>
      <c r="Y73" s="3"/>
      <c r="Z73" s="3"/>
      <c r="AA73" s="3"/>
      <c r="AB73" s="3"/>
      <c r="AC73" s="3"/>
      <c r="AD73" s="3"/>
      <c r="AE73" s="3"/>
      <c r="AF73" s="3"/>
      <c r="AG73" s="3"/>
      <c r="AH73" s="3"/>
      <c r="AI73" s="3"/>
      <c r="AJ73" s="3"/>
      <c r="AK73" s="3"/>
      <c r="AL73" s="3"/>
    </row>
    <row r="74" spans="1:38" ht="14.25" customHeight="1" x14ac:dyDescent="0.2">
      <c r="A74" s="118" t="s">
        <v>1803</v>
      </c>
      <c r="B74" s="118" t="s">
        <v>1804</v>
      </c>
      <c r="C74" s="118">
        <v>2020</v>
      </c>
      <c r="D74" s="118" t="s">
        <v>317</v>
      </c>
      <c r="E74" s="118" t="s">
        <v>1806</v>
      </c>
      <c r="F74" s="118" t="s">
        <v>1807</v>
      </c>
      <c r="G74" s="118" t="s">
        <v>322</v>
      </c>
      <c r="H74" s="118" t="s">
        <v>15</v>
      </c>
      <c r="I74" s="118" t="s">
        <v>253</v>
      </c>
      <c r="J74" s="118" t="s">
        <v>1805</v>
      </c>
      <c r="K74" s="118" t="s">
        <v>1808</v>
      </c>
      <c r="L74" s="118"/>
      <c r="M74" s="118"/>
      <c r="N74" s="42"/>
      <c r="O74" s="42" t="s">
        <v>193</v>
      </c>
      <c r="P74" s="42" t="s">
        <v>194</v>
      </c>
      <c r="Q74" s="42"/>
      <c r="R74" s="42"/>
      <c r="S74" s="3"/>
      <c r="T74" s="3"/>
      <c r="U74" s="3"/>
      <c r="V74" s="3"/>
      <c r="W74" s="3"/>
      <c r="X74" s="3"/>
      <c r="Y74" s="3"/>
      <c r="Z74" s="3"/>
      <c r="AA74" s="3"/>
      <c r="AB74" s="3"/>
      <c r="AC74" s="3"/>
      <c r="AD74" s="3"/>
      <c r="AE74" s="3"/>
      <c r="AF74" s="3"/>
      <c r="AG74" s="3"/>
      <c r="AH74" s="3"/>
      <c r="AI74" s="3"/>
      <c r="AJ74" s="3"/>
      <c r="AK74" s="3"/>
      <c r="AL74" s="3"/>
    </row>
    <row r="75" spans="1:38" ht="14.25" customHeight="1" x14ac:dyDescent="0.2">
      <c r="A75" s="118" t="s">
        <v>1809</v>
      </c>
      <c r="B75" s="118" t="s">
        <v>1810</v>
      </c>
      <c r="C75" s="118">
        <v>2020</v>
      </c>
      <c r="D75" s="118" t="s">
        <v>371</v>
      </c>
      <c r="E75" s="118" t="s">
        <v>1812</v>
      </c>
      <c r="F75" s="118" t="s">
        <v>1813</v>
      </c>
      <c r="G75" s="118" t="s">
        <v>376</v>
      </c>
      <c r="H75" s="118" t="s">
        <v>15</v>
      </c>
      <c r="I75" s="118" t="s">
        <v>253</v>
      </c>
      <c r="J75" s="118" t="s">
        <v>1811</v>
      </c>
      <c r="K75" s="118" t="s">
        <v>1814</v>
      </c>
      <c r="L75" s="118"/>
      <c r="M75" s="118"/>
      <c r="N75" s="42"/>
      <c r="O75" s="42" t="s">
        <v>193</v>
      </c>
      <c r="P75" s="42" t="s">
        <v>194</v>
      </c>
      <c r="Q75" s="42"/>
      <c r="R75" s="42"/>
      <c r="S75" s="3"/>
      <c r="T75" s="3"/>
      <c r="U75" s="3"/>
      <c r="V75" s="3"/>
      <c r="W75" s="3"/>
      <c r="X75" s="3"/>
      <c r="Y75" s="3"/>
      <c r="Z75" s="3"/>
      <c r="AA75" s="3"/>
      <c r="AB75" s="3"/>
      <c r="AC75" s="3"/>
      <c r="AD75" s="3"/>
      <c r="AE75" s="3"/>
      <c r="AF75" s="3"/>
      <c r="AG75" s="3"/>
      <c r="AH75" s="3"/>
      <c r="AI75" s="3"/>
      <c r="AJ75" s="3"/>
      <c r="AK75" s="3"/>
      <c r="AL75" s="3"/>
    </row>
    <row r="76" spans="1:38" ht="14.25" customHeight="1" x14ac:dyDescent="0.2">
      <c r="A76" s="118" t="s">
        <v>1729</v>
      </c>
      <c r="B76" s="118" t="s">
        <v>1730</v>
      </c>
      <c r="C76" s="118">
        <v>2024</v>
      </c>
      <c r="D76" s="118" t="s">
        <v>256</v>
      </c>
      <c r="E76" s="118" t="s">
        <v>1732</v>
      </c>
      <c r="F76" s="118" t="s">
        <v>1733</v>
      </c>
      <c r="G76" s="118" t="s">
        <v>260</v>
      </c>
      <c r="H76" s="118" t="s">
        <v>15</v>
      </c>
      <c r="I76" s="118" t="s">
        <v>253</v>
      </c>
      <c r="J76" s="118" t="s">
        <v>1731</v>
      </c>
      <c r="K76" s="118" t="s">
        <v>1734</v>
      </c>
      <c r="L76" s="118"/>
      <c r="M76" s="118"/>
      <c r="N76" s="42"/>
      <c r="O76" s="42" t="s">
        <v>193</v>
      </c>
      <c r="P76" s="42" t="s">
        <v>194</v>
      </c>
      <c r="Q76" s="42"/>
      <c r="R76" s="42"/>
      <c r="S76" s="3"/>
      <c r="T76" s="3"/>
      <c r="U76" s="3"/>
      <c r="V76" s="3"/>
      <c r="W76" s="3"/>
      <c r="X76" s="3"/>
      <c r="Y76" s="3"/>
      <c r="Z76" s="3"/>
      <c r="AA76" s="3"/>
      <c r="AB76" s="3"/>
      <c r="AC76" s="3"/>
      <c r="AD76" s="3"/>
      <c r="AE76" s="3"/>
      <c r="AF76" s="3"/>
      <c r="AG76" s="3"/>
      <c r="AH76" s="3"/>
      <c r="AI76" s="3"/>
      <c r="AJ76" s="3"/>
      <c r="AK76" s="3"/>
      <c r="AL76" s="3"/>
    </row>
    <row r="77" spans="1:38" ht="14.25" customHeight="1" x14ac:dyDescent="0.2">
      <c r="A77" s="118" t="s">
        <v>975</v>
      </c>
      <c r="B77" s="118" t="s">
        <v>976</v>
      </c>
      <c r="C77" s="118">
        <v>2022</v>
      </c>
      <c r="D77" s="118" t="s">
        <v>977</v>
      </c>
      <c r="E77" s="118" t="s">
        <v>979</v>
      </c>
      <c r="F77" s="118" t="s">
        <v>980</v>
      </c>
      <c r="G77" s="118" t="s">
        <v>473</v>
      </c>
      <c r="H77" s="118" t="s">
        <v>15</v>
      </c>
      <c r="I77" s="118" t="s">
        <v>253</v>
      </c>
      <c r="J77" s="118" t="s">
        <v>978</v>
      </c>
      <c r="K77" s="118" t="s">
        <v>981</v>
      </c>
      <c r="L77" s="118"/>
      <c r="M77" s="118"/>
      <c r="N77" s="42"/>
      <c r="O77" s="42" t="s">
        <v>193</v>
      </c>
      <c r="P77" s="42" t="s">
        <v>194</v>
      </c>
      <c r="Q77" s="42"/>
      <c r="R77" s="42"/>
      <c r="S77" s="3"/>
      <c r="T77" s="3"/>
      <c r="U77" s="3"/>
      <c r="V77" s="3"/>
      <c r="W77" s="3"/>
      <c r="X77" s="3"/>
      <c r="Y77" s="3"/>
      <c r="Z77" s="3"/>
      <c r="AA77" s="3"/>
      <c r="AB77" s="3"/>
      <c r="AC77" s="3"/>
      <c r="AD77" s="3"/>
      <c r="AE77" s="3"/>
      <c r="AF77" s="3"/>
      <c r="AG77" s="3"/>
      <c r="AH77" s="3"/>
      <c r="AI77" s="3"/>
      <c r="AJ77" s="3"/>
      <c r="AK77" s="3"/>
      <c r="AL77" s="3"/>
    </row>
    <row r="78" spans="1:38" ht="14.25" customHeight="1" x14ac:dyDescent="0.2">
      <c r="A78" s="118" t="s">
        <v>611</v>
      </c>
      <c r="B78" s="118" t="s">
        <v>612</v>
      </c>
      <c r="C78" s="118">
        <v>2023</v>
      </c>
      <c r="D78" s="118" t="s">
        <v>317</v>
      </c>
      <c r="E78" s="118" t="s">
        <v>614</v>
      </c>
      <c r="F78" s="118" t="s">
        <v>615</v>
      </c>
      <c r="G78" s="118" t="s">
        <v>322</v>
      </c>
      <c r="H78" s="118" t="s">
        <v>15</v>
      </c>
      <c r="I78" s="118" t="s">
        <v>253</v>
      </c>
      <c r="J78" s="118" t="s">
        <v>613</v>
      </c>
      <c r="K78" s="118" t="s">
        <v>616</v>
      </c>
      <c r="L78" s="118"/>
      <c r="M78" s="118"/>
      <c r="N78" s="42"/>
      <c r="O78" s="42" t="s">
        <v>193</v>
      </c>
      <c r="P78" s="42" t="s">
        <v>194</v>
      </c>
      <c r="Q78" s="42"/>
      <c r="R78" s="42"/>
      <c r="S78" s="3"/>
      <c r="T78" s="3"/>
      <c r="U78" s="3"/>
      <c r="V78" s="3"/>
      <c r="W78" s="3"/>
      <c r="X78" s="3"/>
      <c r="Y78" s="3"/>
      <c r="Z78" s="3"/>
      <c r="AA78" s="3"/>
      <c r="AB78" s="3"/>
      <c r="AC78" s="3"/>
      <c r="AD78" s="3"/>
      <c r="AE78" s="3"/>
      <c r="AF78" s="3"/>
      <c r="AG78" s="3"/>
      <c r="AH78" s="3"/>
      <c r="AI78" s="3"/>
      <c r="AJ78" s="3"/>
      <c r="AK78" s="3"/>
      <c r="AL78" s="3"/>
    </row>
    <row r="79" spans="1:38" ht="14.25" customHeight="1" x14ac:dyDescent="0.2">
      <c r="A79" s="118" t="s">
        <v>1815</v>
      </c>
      <c r="B79" s="118" t="s">
        <v>1816</v>
      </c>
      <c r="C79" s="118">
        <v>2020</v>
      </c>
      <c r="D79" s="118" t="s">
        <v>394</v>
      </c>
      <c r="E79" s="118" t="s">
        <v>1818</v>
      </c>
      <c r="F79" s="118" t="s">
        <v>1819</v>
      </c>
      <c r="G79" s="118" t="s">
        <v>274</v>
      </c>
      <c r="H79" s="118" t="s">
        <v>15</v>
      </c>
      <c r="I79" s="118" t="s">
        <v>253</v>
      </c>
      <c r="J79" s="118" t="s">
        <v>1817</v>
      </c>
      <c r="K79" s="118" t="s">
        <v>1820</v>
      </c>
      <c r="L79" s="118"/>
      <c r="M79" s="118"/>
      <c r="N79" s="42"/>
      <c r="O79" s="42" t="s">
        <v>193</v>
      </c>
      <c r="P79" s="42" t="s">
        <v>194</v>
      </c>
      <c r="Q79" s="42"/>
      <c r="R79" s="42"/>
      <c r="S79" s="3"/>
      <c r="T79" s="3"/>
      <c r="U79" s="3"/>
      <c r="V79" s="3"/>
      <c r="W79" s="3"/>
      <c r="X79" s="3"/>
      <c r="Y79" s="3"/>
      <c r="Z79" s="3"/>
      <c r="AA79" s="3"/>
      <c r="AB79" s="3"/>
      <c r="AC79" s="3"/>
      <c r="AD79" s="3"/>
      <c r="AE79" s="3"/>
      <c r="AF79" s="3"/>
      <c r="AG79" s="3"/>
      <c r="AH79" s="3"/>
      <c r="AI79" s="3"/>
      <c r="AJ79" s="3"/>
      <c r="AK79" s="3"/>
      <c r="AL79" s="3"/>
    </row>
    <row r="80" spans="1:38" ht="14.25" customHeight="1" x14ac:dyDescent="0.2">
      <c r="A80" s="118" t="s">
        <v>1747</v>
      </c>
      <c r="B80" s="118" t="s">
        <v>1748</v>
      </c>
      <c r="C80" s="118">
        <v>2025</v>
      </c>
      <c r="D80" s="118" t="s">
        <v>460</v>
      </c>
      <c r="E80" s="118" t="s">
        <v>1750</v>
      </c>
      <c r="F80" s="118" t="s">
        <v>1751</v>
      </c>
      <c r="G80" s="118" t="s">
        <v>465</v>
      </c>
      <c r="H80" s="118" t="s">
        <v>15</v>
      </c>
      <c r="I80" s="118" t="s">
        <v>253</v>
      </c>
      <c r="J80" s="118" t="s">
        <v>1749</v>
      </c>
      <c r="K80" s="118" t="s">
        <v>1752</v>
      </c>
      <c r="L80" s="118"/>
      <c r="M80" s="118"/>
      <c r="N80" s="42"/>
      <c r="O80" s="42" t="s">
        <v>193</v>
      </c>
      <c r="P80" s="42" t="s">
        <v>194</v>
      </c>
      <c r="Q80" s="42"/>
      <c r="R80" s="42"/>
      <c r="S80" s="3"/>
      <c r="T80" s="3"/>
      <c r="U80" s="3"/>
      <c r="V80" s="3"/>
      <c r="W80" s="3"/>
      <c r="X80" s="3"/>
      <c r="Y80" s="3"/>
      <c r="Z80" s="3"/>
      <c r="AA80" s="3"/>
      <c r="AB80" s="3"/>
      <c r="AC80" s="3"/>
      <c r="AD80" s="3"/>
      <c r="AE80" s="3"/>
      <c r="AF80" s="3"/>
      <c r="AG80" s="3"/>
      <c r="AH80" s="3"/>
      <c r="AI80" s="3"/>
      <c r="AJ80" s="3"/>
      <c r="AK80" s="3"/>
      <c r="AL80" s="3"/>
    </row>
    <row r="81" spans="1:38" ht="14.25" customHeight="1" x14ac:dyDescent="0.2">
      <c r="A81" s="118" t="s">
        <v>1366</v>
      </c>
      <c r="B81" s="118" t="s">
        <v>1367</v>
      </c>
      <c r="C81" s="118">
        <v>2025</v>
      </c>
      <c r="D81" s="118" t="s">
        <v>394</v>
      </c>
      <c r="E81" s="118" t="s">
        <v>1369</v>
      </c>
      <c r="F81" s="118" t="s">
        <v>1370</v>
      </c>
      <c r="G81" s="118" t="s">
        <v>274</v>
      </c>
      <c r="H81" s="118" t="s">
        <v>15</v>
      </c>
      <c r="I81" s="118" t="s">
        <v>253</v>
      </c>
      <c r="J81" s="118" t="s">
        <v>1368</v>
      </c>
      <c r="K81" s="118" t="s">
        <v>1371</v>
      </c>
      <c r="L81" s="118"/>
      <c r="M81" s="118"/>
      <c r="N81" s="42"/>
      <c r="O81" s="42" t="s">
        <v>193</v>
      </c>
      <c r="P81" s="42" t="s">
        <v>194</v>
      </c>
      <c r="Q81" s="42"/>
      <c r="R81" s="42"/>
      <c r="S81" s="3"/>
      <c r="T81" s="3"/>
      <c r="U81" s="3"/>
      <c r="V81" s="3"/>
      <c r="W81" s="3"/>
      <c r="X81" s="3"/>
      <c r="Y81" s="3"/>
      <c r="Z81" s="3"/>
      <c r="AA81" s="3"/>
      <c r="AB81" s="3"/>
      <c r="AC81" s="3"/>
      <c r="AD81" s="3"/>
      <c r="AE81" s="3"/>
      <c r="AF81" s="3"/>
      <c r="AG81" s="3"/>
      <c r="AH81" s="3"/>
      <c r="AI81" s="3"/>
      <c r="AJ81" s="3"/>
      <c r="AK81" s="3"/>
      <c r="AL81" s="3"/>
    </row>
    <row r="82" spans="1:38" ht="14.25" customHeight="1" x14ac:dyDescent="0.2">
      <c r="A82" s="118" t="s">
        <v>221</v>
      </c>
      <c r="B82" s="118" t="s">
        <v>222</v>
      </c>
      <c r="C82" s="118">
        <v>2025</v>
      </c>
      <c r="D82" s="118" t="s">
        <v>223</v>
      </c>
      <c r="E82" s="118" t="s">
        <v>225</v>
      </c>
      <c r="F82" s="118" t="s">
        <v>226</v>
      </c>
      <c r="G82" s="118" t="s">
        <v>228</v>
      </c>
      <c r="H82" s="118" t="s">
        <v>15</v>
      </c>
      <c r="I82" s="118" t="s">
        <v>230</v>
      </c>
      <c r="J82" s="118" t="s">
        <v>224</v>
      </c>
      <c r="K82" s="118" t="s">
        <v>227</v>
      </c>
      <c r="L82" s="118"/>
      <c r="M82" s="118"/>
      <c r="N82" s="42"/>
      <c r="O82" s="42" t="s">
        <v>193</v>
      </c>
      <c r="P82" s="42" t="s">
        <v>194</v>
      </c>
      <c r="Q82" s="42"/>
      <c r="R82" s="42"/>
      <c r="S82" s="3"/>
      <c r="T82" s="3"/>
      <c r="U82" s="3"/>
      <c r="V82" s="3"/>
      <c r="W82" s="3"/>
      <c r="X82" s="3"/>
      <c r="Y82" s="3"/>
      <c r="Z82" s="3"/>
      <c r="AA82" s="3"/>
      <c r="AB82" s="3"/>
      <c r="AC82" s="3"/>
      <c r="AD82" s="3"/>
      <c r="AE82" s="3"/>
      <c r="AF82" s="3"/>
      <c r="AG82" s="3"/>
      <c r="AH82" s="3"/>
      <c r="AI82" s="3"/>
      <c r="AJ82" s="3"/>
      <c r="AK82" s="3"/>
      <c r="AL82" s="3"/>
    </row>
    <row r="83" spans="1:38" ht="14.25" customHeight="1" x14ac:dyDescent="0.2">
      <c r="A83" s="118" t="s">
        <v>231</v>
      </c>
      <c r="B83" s="118" t="s">
        <v>232</v>
      </c>
      <c r="C83" s="118">
        <v>2024</v>
      </c>
      <c r="D83" s="118" t="s">
        <v>233</v>
      </c>
      <c r="E83" s="118" t="s">
        <v>235</v>
      </c>
      <c r="F83" s="118" t="s">
        <v>236</v>
      </c>
      <c r="G83" s="118" t="s">
        <v>238</v>
      </c>
      <c r="H83" s="118" t="s">
        <v>15</v>
      </c>
      <c r="I83" s="118" t="s">
        <v>230</v>
      </c>
      <c r="J83" s="118" t="s">
        <v>234</v>
      </c>
      <c r="K83" s="118" t="s">
        <v>237</v>
      </c>
      <c r="L83" s="118"/>
      <c r="M83" s="118"/>
      <c r="N83" s="42"/>
      <c r="O83" s="42" t="s">
        <v>193</v>
      </c>
      <c r="P83" s="42" t="s">
        <v>194</v>
      </c>
      <c r="Q83" s="42"/>
      <c r="R83" s="42"/>
      <c r="S83" s="3"/>
      <c r="T83" s="3"/>
      <c r="U83" s="3"/>
      <c r="V83" s="3"/>
      <c r="W83" s="3"/>
      <c r="X83" s="3"/>
      <c r="Y83" s="3"/>
      <c r="Z83" s="3"/>
      <c r="AA83" s="3"/>
      <c r="AB83" s="3"/>
      <c r="AC83" s="3"/>
      <c r="AD83" s="3"/>
      <c r="AE83" s="3"/>
      <c r="AF83" s="3"/>
      <c r="AG83" s="3"/>
      <c r="AH83" s="3"/>
      <c r="AI83" s="3"/>
      <c r="AJ83" s="3"/>
      <c r="AK83" s="3"/>
      <c r="AL83" s="3"/>
    </row>
    <row r="84" spans="1:38" ht="14.25" customHeight="1" x14ac:dyDescent="0.2">
      <c r="A84" s="118" t="s">
        <v>239</v>
      </c>
      <c r="B84" s="118" t="s">
        <v>240</v>
      </c>
      <c r="C84" s="118">
        <v>2024</v>
      </c>
      <c r="D84" s="118" t="s">
        <v>233</v>
      </c>
      <c r="E84" s="118" t="s">
        <v>242</v>
      </c>
      <c r="F84" s="118" t="s">
        <v>243</v>
      </c>
      <c r="G84" s="118" t="s">
        <v>238</v>
      </c>
      <c r="H84" s="118" t="s">
        <v>15</v>
      </c>
      <c r="I84" s="118" t="s">
        <v>230</v>
      </c>
      <c r="J84" s="118" t="s">
        <v>241</v>
      </c>
      <c r="K84" s="118" t="s">
        <v>244</v>
      </c>
      <c r="L84" s="118"/>
      <c r="M84" s="118"/>
      <c r="N84" s="42"/>
      <c r="O84" s="42" t="s">
        <v>193</v>
      </c>
      <c r="P84" s="42" t="s">
        <v>194</v>
      </c>
      <c r="Q84" s="42"/>
      <c r="R84" s="42"/>
      <c r="S84" s="3"/>
      <c r="T84" s="3"/>
      <c r="U84" s="3"/>
      <c r="V84" s="3"/>
      <c r="W84" s="3"/>
      <c r="X84" s="3"/>
      <c r="Y84" s="3"/>
      <c r="Z84" s="3"/>
      <c r="AA84" s="3"/>
      <c r="AB84" s="3"/>
      <c r="AC84" s="3"/>
      <c r="AD84" s="3"/>
      <c r="AE84" s="3"/>
      <c r="AF84" s="3"/>
      <c r="AG84" s="3"/>
      <c r="AH84" s="3"/>
      <c r="AI84" s="3"/>
      <c r="AJ84" s="3"/>
      <c r="AK84" s="3"/>
      <c r="AL84" s="3"/>
    </row>
    <row r="85" spans="1:38" ht="14.25" customHeight="1" x14ac:dyDescent="0.2">
      <c r="A85" s="118" t="s">
        <v>245</v>
      </c>
      <c r="B85" s="118" t="s">
        <v>246</v>
      </c>
      <c r="C85" s="118">
        <v>2025</v>
      </c>
      <c r="D85" s="118" t="s">
        <v>247</v>
      </c>
      <c r="E85" s="118" t="s">
        <v>249</v>
      </c>
      <c r="F85" s="118" t="s">
        <v>250</v>
      </c>
      <c r="G85" s="118" t="s">
        <v>252</v>
      </c>
      <c r="H85" s="118" t="s">
        <v>15</v>
      </c>
      <c r="I85" s="118" t="s">
        <v>253</v>
      </c>
      <c r="J85" s="118" t="s">
        <v>248</v>
      </c>
      <c r="K85" s="118" t="s">
        <v>251</v>
      </c>
      <c r="L85" s="118"/>
      <c r="M85" s="118"/>
      <c r="N85" s="42"/>
      <c r="O85" s="42" t="s">
        <v>193</v>
      </c>
      <c r="P85" s="42" t="s">
        <v>194</v>
      </c>
      <c r="Q85" s="42"/>
      <c r="R85" s="42"/>
      <c r="S85" s="3"/>
      <c r="T85" s="3"/>
      <c r="U85" s="3"/>
      <c r="V85" s="3"/>
      <c r="W85" s="3"/>
      <c r="X85" s="3"/>
      <c r="Y85" s="3"/>
      <c r="Z85" s="3"/>
      <c r="AA85" s="3"/>
      <c r="AB85" s="3"/>
      <c r="AC85" s="3"/>
      <c r="AD85" s="3"/>
      <c r="AE85" s="3"/>
      <c r="AF85" s="3"/>
      <c r="AG85" s="3"/>
      <c r="AH85" s="3"/>
      <c r="AI85" s="3"/>
      <c r="AJ85" s="3"/>
      <c r="AK85" s="3"/>
      <c r="AL85" s="3"/>
    </row>
    <row r="86" spans="1:38" ht="14.25" customHeight="1" x14ac:dyDescent="0.2">
      <c r="A86" s="118" t="s">
        <v>254</v>
      </c>
      <c r="B86" s="118" t="s">
        <v>255</v>
      </c>
      <c r="C86" s="118">
        <v>2024</v>
      </c>
      <c r="D86" s="118" t="s">
        <v>256</v>
      </c>
      <c r="E86" s="118" t="s">
        <v>258</v>
      </c>
      <c r="F86" s="118">
        <v>0</v>
      </c>
      <c r="G86" s="118" t="s">
        <v>260</v>
      </c>
      <c r="H86" s="118" t="s">
        <v>15</v>
      </c>
      <c r="I86" s="118" t="s">
        <v>253</v>
      </c>
      <c r="J86" s="118" t="s">
        <v>257</v>
      </c>
      <c r="K86" s="118" t="s">
        <v>259</v>
      </c>
      <c r="L86" s="118"/>
      <c r="M86" s="118"/>
      <c r="N86" s="42"/>
      <c r="O86" s="42" t="s">
        <v>193</v>
      </c>
      <c r="P86" s="42" t="s">
        <v>194</v>
      </c>
      <c r="Q86" s="42"/>
      <c r="R86" s="42"/>
      <c r="S86" s="3"/>
      <c r="T86" s="3"/>
      <c r="U86" s="3"/>
      <c r="V86" s="3"/>
      <c r="W86" s="3"/>
      <c r="X86" s="3"/>
      <c r="Y86" s="3"/>
      <c r="Z86" s="3"/>
      <c r="AA86" s="3"/>
      <c r="AB86" s="3"/>
      <c r="AC86" s="3"/>
      <c r="AD86" s="3"/>
      <c r="AE86" s="3"/>
      <c r="AF86" s="3"/>
      <c r="AG86" s="3"/>
      <c r="AH86" s="3"/>
      <c r="AI86" s="3"/>
      <c r="AJ86" s="3"/>
      <c r="AK86" s="3"/>
      <c r="AL86" s="3"/>
    </row>
    <row r="87" spans="1:38" ht="14.25" customHeight="1" x14ac:dyDescent="0.2">
      <c r="A87" s="118" t="s">
        <v>261</v>
      </c>
      <c r="B87" s="118" t="s">
        <v>262</v>
      </c>
      <c r="C87" s="118">
        <v>2024</v>
      </c>
      <c r="D87" s="118" t="s">
        <v>233</v>
      </c>
      <c r="E87" s="118" t="s">
        <v>264</v>
      </c>
      <c r="F87" s="118" t="s">
        <v>265</v>
      </c>
      <c r="G87" s="118" t="s">
        <v>238</v>
      </c>
      <c r="H87" s="118" t="s">
        <v>15</v>
      </c>
      <c r="I87" s="118" t="s">
        <v>230</v>
      </c>
      <c r="J87" s="118" t="s">
        <v>263</v>
      </c>
      <c r="K87" s="118" t="s">
        <v>266</v>
      </c>
      <c r="L87" s="118"/>
      <c r="M87" s="118"/>
      <c r="N87" s="42"/>
      <c r="O87" s="42" t="s">
        <v>193</v>
      </c>
      <c r="P87" s="42" t="s">
        <v>194</v>
      </c>
      <c r="Q87" s="42"/>
      <c r="R87" s="42"/>
      <c r="S87" s="3"/>
      <c r="T87" s="3"/>
      <c r="U87" s="3"/>
      <c r="V87" s="3"/>
      <c r="W87" s="3"/>
      <c r="X87" s="3"/>
      <c r="Y87" s="3"/>
      <c r="Z87" s="3"/>
      <c r="AA87" s="3"/>
      <c r="AB87" s="3"/>
      <c r="AC87" s="3"/>
      <c r="AD87" s="3"/>
      <c r="AE87" s="3"/>
      <c r="AF87" s="3"/>
      <c r="AG87" s="3"/>
      <c r="AH87" s="3"/>
      <c r="AI87" s="3"/>
      <c r="AJ87" s="3"/>
      <c r="AK87" s="3"/>
      <c r="AL87" s="3"/>
    </row>
    <row r="88" spans="1:38" ht="14.25" customHeight="1" x14ac:dyDescent="0.2">
      <c r="A88" s="118" t="s">
        <v>267</v>
      </c>
      <c r="B88" s="118" t="s">
        <v>268</v>
      </c>
      <c r="C88" s="118">
        <v>2025</v>
      </c>
      <c r="D88" s="118" t="s">
        <v>269</v>
      </c>
      <c r="E88" s="118" t="s">
        <v>271</v>
      </c>
      <c r="F88" s="118" t="s">
        <v>272</v>
      </c>
      <c r="G88" s="118" t="s">
        <v>274</v>
      </c>
      <c r="H88" s="118" t="s">
        <v>15</v>
      </c>
      <c r="I88" s="118" t="s">
        <v>253</v>
      </c>
      <c r="J88" s="118" t="s">
        <v>270</v>
      </c>
      <c r="K88" s="118" t="s">
        <v>273</v>
      </c>
      <c r="L88" s="118"/>
      <c r="M88" s="118"/>
      <c r="N88" s="42"/>
      <c r="O88" s="42" t="s">
        <v>193</v>
      </c>
      <c r="P88" s="42" t="s">
        <v>194</v>
      </c>
      <c r="Q88" s="42"/>
      <c r="R88" s="42"/>
      <c r="S88" s="3"/>
      <c r="T88" s="3"/>
      <c r="U88" s="3"/>
      <c r="V88" s="3"/>
      <c r="W88" s="3"/>
      <c r="X88" s="3"/>
      <c r="Y88" s="3"/>
      <c r="Z88" s="3"/>
      <c r="AA88" s="3"/>
      <c r="AB88" s="3"/>
      <c r="AC88" s="3"/>
      <c r="AD88" s="3"/>
      <c r="AE88" s="3"/>
      <c r="AF88" s="3"/>
      <c r="AG88" s="3"/>
      <c r="AH88" s="3"/>
      <c r="AI88" s="3"/>
      <c r="AJ88" s="3"/>
      <c r="AK88" s="3"/>
      <c r="AL88" s="3"/>
    </row>
    <row r="89" spans="1:38" ht="14.25" customHeight="1" x14ac:dyDescent="0.2">
      <c r="A89" s="118" t="s">
        <v>275</v>
      </c>
      <c r="B89" s="118" t="s">
        <v>276</v>
      </c>
      <c r="C89" s="118">
        <v>2026</v>
      </c>
      <c r="D89" s="118" t="s">
        <v>277</v>
      </c>
      <c r="E89" s="118" t="s">
        <v>279</v>
      </c>
      <c r="F89" s="118" t="s">
        <v>280</v>
      </c>
      <c r="G89" s="118" t="s">
        <v>282</v>
      </c>
      <c r="H89" s="118" t="s">
        <v>15</v>
      </c>
      <c r="I89" s="118" t="s">
        <v>253</v>
      </c>
      <c r="J89" s="118" t="s">
        <v>278</v>
      </c>
      <c r="K89" s="118" t="s">
        <v>281</v>
      </c>
      <c r="L89" s="118"/>
      <c r="M89" s="118"/>
      <c r="N89" s="42"/>
      <c r="O89" s="42" t="s">
        <v>193</v>
      </c>
      <c r="P89" s="42" t="s">
        <v>194</v>
      </c>
      <c r="Q89" s="42"/>
      <c r="R89" s="42"/>
      <c r="S89" s="3"/>
      <c r="T89" s="3"/>
      <c r="U89" s="3"/>
      <c r="V89" s="3"/>
      <c r="W89" s="3"/>
      <c r="X89" s="3"/>
      <c r="Y89" s="3"/>
      <c r="Z89" s="3"/>
      <c r="AA89" s="3"/>
      <c r="AB89" s="3"/>
      <c r="AC89" s="3"/>
      <c r="AD89" s="3"/>
      <c r="AE89" s="3"/>
      <c r="AF89" s="3"/>
      <c r="AG89" s="3"/>
      <c r="AH89" s="3"/>
      <c r="AI89" s="3"/>
      <c r="AJ89" s="3"/>
      <c r="AK89" s="3"/>
      <c r="AL89" s="3"/>
    </row>
    <row r="90" spans="1:38" ht="14.25" customHeight="1" x14ac:dyDescent="0.2">
      <c r="A90" s="118" t="s">
        <v>283</v>
      </c>
      <c r="B90" s="118" t="s">
        <v>284</v>
      </c>
      <c r="C90" s="118">
        <v>2022</v>
      </c>
      <c r="D90" s="118" t="s">
        <v>233</v>
      </c>
      <c r="E90" s="118" t="s">
        <v>286</v>
      </c>
      <c r="F90" s="118" t="s">
        <v>287</v>
      </c>
      <c r="G90" s="118" t="s">
        <v>238</v>
      </c>
      <c r="H90" s="118" t="s">
        <v>15</v>
      </c>
      <c r="I90" s="118" t="s">
        <v>230</v>
      </c>
      <c r="J90" s="118" t="s">
        <v>285</v>
      </c>
      <c r="K90" s="118">
        <v>0</v>
      </c>
      <c r="L90" s="118"/>
      <c r="M90" s="118"/>
      <c r="N90" s="42"/>
      <c r="O90" s="42" t="s">
        <v>193</v>
      </c>
      <c r="P90" s="42" t="s">
        <v>194</v>
      </c>
      <c r="Q90" s="42"/>
      <c r="R90" s="42"/>
      <c r="S90" s="3"/>
      <c r="T90" s="3"/>
      <c r="U90" s="3"/>
      <c r="V90" s="3"/>
      <c r="W90" s="3"/>
      <c r="X90" s="3"/>
      <c r="Y90" s="3"/>
      <c r="Z90" s="3"/>
      <c r="AA90" s="3"/>
      <c r="AB90" s="3"/>
      <c r="AC90" s="3"/>
      <c r="AD90" s="3"/>
      <c r="AE90" s="3"/>
      <c r="AF90" s="3"/>
      <c r="AG90" s="3"/>
      <c r="AH90" s="3"/>
      <c r="AI90" s="3"/>
      <c r="AJ90" s="3"/>
      <c r="AK90" s="3"/>
      <c r="AL90" s="3"/>
    </row>
    <row r="91" spans="1:38" ht="14.25" customHeight="1" x14ac:dyDescent="0.2">
      <c r="A91" s="118" t="s">
        <v>288</v>
      </c>
      <c r="B91" s="118" t="s">
        <v>289</v>
      </c>
      <c r="C91" s="118">
        <v>2022</v>
      </c>
      <c r="D91" s="118" t="s">
        <v>290</v>
      </c>
      <c r="E91" s="118" t="s">
        <v>292</v>
      </c>
      <c r="F91" s="118" t="s">
        <v>293</v>
      </c>
      <c r="G91" s="118" t="s">
        <v>228</v>
      </c>
      <c r="H91" s="118" t="s">
        <v>15</v>
      </c>
      <c r="I91" s="118" t="s">
        <v>253</v>
      </c>
      <c r="J91" s="118" t="s">
        <v>291</v>
      </c>
      <c r="K91" s="118" t="s">
        <v>294</v>
      </c>
      <c r="L91" s="118"/>
      <c r="M91" s="118"/>
      <c r="N91" s="42"/>
      <c r="O91" s="42" t="s">
        <v>193</v>
      </c>
      <c r="P91" s="42" t="s">
        <v>194</v>
      </c>
      <c r="Q91" s="42"/>
      <c r="R91" s="42"/>
      <c r="S91" s="3"/>
      <c r="T91" s="3"/>
      <c r="U91" s="3"/>
      <c r="V91" s="3"/>
      <c r="W91" s="3"/>
      <c r="X91" s="3"/>
      <c r="Y91" s="3"/>
      <c r="Z91" s="3"/>
      <c r="AA91" s="3"/>
      <c r="AB91" s="3"/>
      <c r="AC91" s="3"/>
      <c r="AD91" s="3"/>
      <c r="AE91" s="3"/>
      <c r="AF91" s="3"/>
      <c r="AG91" s="3"/>
      <c r="AH91" s="3"/>
      <c r="AI91" s="3"/>
      <c r="AJ91" s="3"/>
      <c r="AK91" s="3"/>
      <c r="AL91" s="3"/>
    </row>
    <row r="92" spans="1:38" ht="14.25" customHeight="1" x14ac:dyDescent="0.2">
      <c r="A92" s="118" t="s">
        <v>295</v>
      </c>
      <c r="B92" s="118" t="s">
        <v>296</v>
      </c>
      <c r="C92" s="118">
        <v>2023</v>
      </c>
      <c r="D92" s="118" t="s">
        <v>297</v>
      </c>
      <c r="E92" s="118" t="s">
        <v>299</v>
      </c>
      <c r="F92" s="118" t="s">
        <v>300</v>
      </c>
      <c r="G92" s="118" t="s">
        <v>282</v>
      </c>
      <c r="H92" s="118" t="s">
        <v>15</v>
      </c>
      <c r="I92" s="118" t="s">
        <v>302</v>
      </c>
      <c r="J92" s="118" t="s">
        <v>298</v>
      </c>
      <c r="K92" s="118" t="s">
        <v>301</v>
      </c>
      <c r="L92" s="118"/>
      <c r="M92" s="118"/>
      <c r="N92" s="42"/>
      <c r="O92" s="42" t="s">
        <v>193</v>
      </c>
      <c r="P92" s="42" t="s">
        <v>194</v>
      </c>
      <c r="Q92" s="42"/>
      <c r="R92" s="42"/>
      <c r="S92" s="3"/>
      <c r="T92" s="3"/>
      <c r="U92" s="3"/>
      <c r="V92" s="3"/>
      <c r="W92" s="3"/>
      <c r="X92" s="3"/>
      <c r="Y92" s="3"/>
      <c r="Z92" s="3"/>
      <c r="AA92" s="3"/>
      <c r="AB92" s="3"/>
      <c r="AC92" s="3"/>
      <c r="AD92" s="3"/>
      <c r="AE92" s="3"/>
      <c r="AF92" s="3"/>
      <c r="AG92" s="3"/>
      <c r="AH92" s="3"/>
      <c r="AI92" s="3"/>
      <c r="AJ92" s="3"/>
      <c r="AK92" s="3"/>
      <c r="AL92" s="3"/>
    </row>
    <row r="93" spans="1:38" ht="14.25" customHeight="1" x14ac:dyDescent="0.2">
      <c r="A93" s="118" t="s">
        <v>303</v>
      </c>
      <c r="B93" s="118" t="s">
        <v>304</v>
      </c>
      <c r="C93" s="118">
        <v>2025</v>
      </c>
      <c r="D93" s="118" t="s">
        <v>233</v>
      </c>
      <c r="E93" s="118" t="s">
        <v>306</v>
      </c>
      <c r="F93" s="118" t="s">
        <v>307</v>
      </c>
      <c r="G93" s="118" t="s">
        <v>238</v>
      </c>
      <c r="H93" s="118" t="s">
        <v>15</v>
      </c>
      <c r="I93" s="118" t="s">
        <v>230</v>
      </c>
      <c r="J93" s="118" t="s">
        <v>305</v>
      </c>
      <c r="K93" s="118" t="s">
        <v>308</v>
      </c>
      <c r="L93" s="118"/>
      <c r="M93" s="118"/>
      <c r="N93" s="42"/>
      <c r="O93" s="42" t="s">
        <v>193</v>
      </c>
      <c r="P93" s="42" t="s">
        <v>194</v>
      </c>
      <c r="Q93" s="42"/>
      <c r="R93" s="42"/>
      <c r="S93" s="3"/>
      <c r="T93" s="3"/>
      <c r="U93" s="3"/>
      <c r="V93" s="3"/>
      <c r="W93" s="3"/>
      <c r="X93" s="3"/>
      <c r="Y93" s="3"/>
      <c r="Z93" s="3"/>
      <c r="AA93" s="3"/>
      <c r="AB93" s="3"/>
      <c r="AC93" s="3"/>
      <c r="AD93" s="3"/>
      <c r="AE93" s="3"/>
      <c r="AF93" s="3"/>
      <c r="AG93" s="3"/>
      <c r="AH93" s="3"/>
      <c r="AI93" s="3"/>
      <c r="AJ93" s="3"/>
      <c r="AK93" s="3"/>
      <c r="AL93" s="3"/>
    </row>
    <row r="94" spans="1:38" ht="14.25" customHeight="1" x14ac:dyDescent="0.2">
      <c r="A94" s="118" t="s">
        <v>309</v>
      </c>
      <c r="B94" s="118" t="s">
        <v>310</v>
      </c>
      <c r="C94" s="118">
        <v>2023</v>
      </c>
      <c r="D94" s="118" t="s">
        <v>233</v>
      </c>
      <c r="E94" s="118" t="s">
        <v>312</v>
      </c>
      <c r="F94" s="118" t="s">
        <v>313</v>
      </c>
      <c r="G94" s="118" t="s">
        <v>238</v>
      </c>
      <c r="H94" s="118" t="s">
        <v>15</v>
      </c>
      <c r="I94" s="118" t="s">
        <v>230</v>
      </c>
      <c r="J94" s="118" t="s">
        <v>311</v>
      </c>
      <c r="K94" s="118" t="s">
        <v>314</v>
      </c>
      <c r="L94" s="118"/>
      <c r="M94" s="118"/>
      <c r="N94" s="42"/>
      <c r="O94" s="42" t="s">
        <v>193</v>
      </c>
      <c r="P94" s="42" t="s">
        <v>194</v>
      </c>
      <c r="Q94" s="42"/>
      <c r="R94" s="42"/>
      <c r="S94" s="3"/>
      <c r="T94" s="3"/>
      <c r="U94" s="3"/>
      <c r="V94" s="3"/>
      <c r="W94" s="3"/>
      <c r="X94" s="3"/>
      <c r="Y94" s="3"/>
      <c r="Z94" s="3"/>
      <c r="AA94" s="3"/>
      <c r="AB94" s="3"/>
      <c r="AC94" s="3"/>
      <c r="AD94" s="3"/>
      <c r="AE94" s="3"/>
      <c r="AF94" s="3"/>
      <c r="AG94" s="3"/>
      <c r="AH94" s="3"/>
      <c r="AI94" s="3"/>
      <c r="AJ94" s="3"/>
      <c r="AK94" s="3"/>
      <c r="AL94" s="3"/>
    </row>
    <row r="95" spans="1:38" ht="14.25" customHeight="1" x14ac:dyDescent="0.2">
      <c r="A95" s="118" t="s">
        <v>315</v>
      </c>
      <c r="B95" s="118" t="s">
        <v>316</v>
      </c>
      <c r="C95" s="118">
        <v>2024</v>
      </c>
      <c r="D95" s="118" t="s">
        <v>317</v>
      </c>
      <c r="E95" s="118" t="s">
        <v>319</v>
      </c>
      <c r="F95" s="118" t="s">
        <v>320</v>
      </c>
      <c r="G95" s="118" t="s">
        <v>322</v>
      </c>
      <c r="H95" s="118" t="s">
        <v>15</v>
      </c>
      <c r="I95" s="118" t="s">
        <v>253</v>
      </c>
      <c r="J95" s="118" t="s">
        <v>318</v>
      </c>
      <c r="K95" s="118" t="s">
        <v>321</v>
      </c>
      <c r="L95" s="118"/>
      <c r="M95" s="118"/>
      <c r="N95" s="42"/>
      <c r="O95" s="42" t="s">
        <v>193</v>
      </c>
      <c r="P95" s="42" t="s">
        <v>194</v>
      </c>
      <c r="Q95" s="42"/>
      <c r="R95" s="42"/>
      <c r="S95" s="3"/>
      <c r="T95" s="3"/>
      <c r="U95" s="3"/>
      <c r="V95" s="3"/>
      <c r="W95" s="3"/>
      <c r="X95" s="3"/>
      <c r="Y95" s="3"/>
      <c r="Z95" s="3"/>
      <c r="AA95" s="3"/>
      <c r="AB95" s="3"/>
      <c r="AC95" s="3"/>
      <c r="AD95" s="3"/>
      <c r="AE95" s="3"/>
      <c r="AF95" s="3"/>
      <c r="AG95" s="3"/>
      <c r="AH95" s="3"/>
      <c r="AI95" s="3"/>
      <c r="AJ95" s="3"/>
      <c r="AK95" s="3"/>
      <c r="AL95" s="3"/>
    </row>
    <row r="96" spans="1:38" ht="14.25" customHeight="1" x14ac:dyDescent="0.2">
      <c r="A96" s="118" t="s">
        <v>323</v>
      </c>
      <c r="B96" s="118" t="s">
        <v>324</v>
      </c>
      <c r="C96" s="118">
        <v>2022</v>
      </c>
      <c r="D96" s="118" t="s">
        <v>233</v>
      </c>
      <c r="E96" s="118" t="s">
        <v>326</v>
      </c>
      <c r="F96" s="118" t="s">
        <v>327</v>
      </c>
      <c r="G96" s="118" t="s">
        <v>238</v>
      </c>
      <c r="H96" s="118" t="s">
        <v>15</v>
      </c>
      <c r="I96" s="118" t="s">
        <v>230</v>
      </c>
      <c r="J96" s="118" t="s">
        <v>325</v>
      </c>
      <c r="K96" s="118" t="s">
        <v>328</v>
      </c>
      <c r="L96" s="118"/>
      <c r="M96" s="118"/>
      <c r="N96" s="42"/>
      <c r="O96" s="42" t="s">
        <v>193</v>
      </c>
      <c r="P96" s="42" t="s">
        <v>194</v>
      </c>
      <c r="Q96" s="42"/>
      <c r="R96" s="42"/>
      <c r="S96" s="3"/>
      <c r="T96" s="3"/>
      <c r="U96" s="3"/>
      <c r="V96" s="3"/>
      <c r="W96" s="3"/>
      <c r="X96" s="3"/>
      <c r="Y96" s="3"/>
      <c r="Z96" s="3"/>
      <c r="AA96" s="3"/>
      <c r="AB96" s="3"/>
      <c r="AC96" s="3"/>
      <c r="AD96" s="3"/>
      <c r="AE96" s="3"/>
      <c r="AF96" s="3"/>
      <c r="AG96" s="3"/>
      <c r="AH96" s="3"/>
      <c r="AI96" s="3"/>
      <c r="AJ96" s="3"/>
      <c r="AK96" s="3"/>
      <c r="AL96" s="3"/>
    </row>
    <row r="97" spans="1:38" ht="14.25" customHeight="1" x14ac:dyDescent="0.2">
      <c r="A97" s="118" t="s">
        <v>329</v>
      </c>
      <c r="B97" s="118" t="s">
        <v>330</v>
      </c>
      <c r="C97" s="118">
        <v>2025</v>
      </c>
      <c r="D97" s="118" t="s">
        <v>331</v>
      </c>
      <c r="E97" s="118" t="s">
        <v>333</v>
      </c>
      <c r="F97" s="118" t="s">
        <v>334</v>
      </c>
      <c r="G97" s="118" t="s">
        <v>336</v>
      </c>
      <c r="H97" s="118" t="s">
        <v>15</v>
      </c>
      <c r="I97" s="118" t="s">
        <v>302</v>
      </c>
      <c r="J97" s="118" t="s">
        <v>332</v>
      </c>
      <c r="K97" s="118" t="s">
        <v>335</v>
      </c>
      <c r="L97" s="118"/>
      <c r="M97" s="118"/>
      <c r="N97" s="42"/>
      <c r="O97" s="42" t="s">
        <v>193</v>
      </c>
      <c r="P97" s="42" t="s">
        <v>194</v>
      </c>
      <c r="Q97" s="42"/>
      <c r="R97" s="42"/>
      <c r="S97" s="3"/>
      <c r="T97" s="3"/>
      <c r="U97" s="3"/>
      <c r="V97" s="3"/>
      <c r="W97" s="3"/>
      <c r="X97" s="3"/>
      <c r="Y97" s="3"/>
      <c r="Z97" s="3"/>
      <c r="AA97" s="3"/>
      <c r="AB97" s="3"/>
      <c r="AC97" s="3"/>
      <c r="AD97" s="3"/>
      <c r="AE97" s="3"/>
      <c r="AF97" s="3"/>
      <c r="AG97" s="3"/>
      <c r="AH97" s="3"/>
      <c r="AI97" s="3"/>
      <c r="AJ97" s="3"/>
      <c r="AK97" s="3"/>
      <c r="AL97" s="3"/>
    </row>
    <row r="98" spans="1:38" ht="14.25" customHeight="1" x14ac:dyDescent="0.2">
      <c r="A98" s="118" t="s">
        <v>337</v>
      </c>
      <c r="B98" s="118" t="s">
        <v>338</v>
      </c>
      <c r="C98" s="118">
        <v>2025</v>
      </c>
      <c r="D98" s="118" t="s">
        <v>233</v>
      </c>
      <c r="E98" s="118" t="s">
        <v>340</v>
      </c>
      <c r="F98" s="118" t="s">
        <v>341</v>
      </c>
      <c r="G98" s="118" t="s">
        <v>238</v>
      </c>
      <c r="H98" s="118" t="s">
        <v>15</v>
      </c>
      <c r="I98" s="118" t="s">
        <v>230</v>
      </c>
      <c r="J98" s="118" t="s">
        <v>339</v>
      </c>
      <c r="K98" s="118" t="s">
        <v>342</v>
      </c>
      <c r="L98" s="118"/>
      <c r="M98" s="118"/>
      <c r="N98" s="42"/>
      <c r="O98" s="42" t="s">
        <v>193</v>
      </c>
      <c r="P98" s="42" t="s">
        <v>194</v>
      </c>
      <c r="Q98" s="42"/>
      <c r="R98" s="42"/>
      <c r="S98" s="3"/>
      <c r="T98" s="3"/>
      <c r="U98" s="3"/>
      <c r="V98" s="3"/>
      <c r="W98" s="3"/>
      <c r="X98" s="3"/>
      <c r="Y98" s="3"/>
      <c r="Z98" s="3"/>
      <c r="AA98" s="3"/>
      <c r="AB98" s="3"/>
      <c r="AC98" s="3"/>
      <c r="AD98" s="3"/>
      <c r="AE98" s="3"/>
      <c r="AF98" s="3"/>
      <c r="AG98" s="3"/>
      <c r="AH98" s="3"/>
      <c r="AI98" s="3"/>
      <c r="AJ98" s="3"/>
      <c r="AK98" s="3"/>
      <c r="AL98" s="3"/>
    </row>
    <row r="99" spans="1:38" ht="14.25" customHeight="1" x14ac:dyDescent="0.2">
      <c r="A99" s="118" t="s">
        <v>343</v>
      </c>
      <c r="B99" s="118" t="s">
        <v>344</v>
      </c>
      <c r="C99" s="118">
        <v>2025</v>
      </c>
      <c r="D99" s="118" t="s">
        <v>345</v>
      </c>
      <c r="E99" s="118" t="s">
        <v>347</v>
      </c>
      <c r="F99" s="118" t="s">
        <v>348</v>
      </c>
      <c r="G99" s="118" t="s">
        <v>350</v>
      </c>
      <c r="H99" s="118" t="s">
        <v>15</v>
      </c>
      <c r="I99" s="118" t="s">
        <v>253</v>
      </c>
      <c r="J99" s="118" t="s">
        <v>346</v>
      </c>
      <c r="K99" s="118" t="s">
        <v>349</v>
      </c>
      <c r="L99" s="118"/>
      <c r="M99" s="118"/>
      <c r="N99" s="42"/>
      <c r="O99" s="42" t="s">
        <v>193</v>
      </c>
      <c r="P99" s="42" t="s">
        <v>194</v>
      </c>
      <c r="Q99" s="42"/>
      <c r="R99" s="42"/>
      <c r="S99" s="3"/>
      <c r="T99" s="3"/>
      <c r="U99" s="3"/>
      <c r="V99" s="3"/>
      <c r="W99" s="3"/>
      <c r="X99" s="3"/>
      <c r="Y99" s="3"/>
      <c r="Z99" s="3"/>
      <c r="AA99" s="3"/>
      <c r="AB99" s="3"/>
      <c r="AC99" s="3"/>
      <c r="AD99" s="3"/>
      <c r="AE99" s="3"/>
      <c r="AF99" s="3"/>
      <c r="AG99" s="3"/>
      <c r="AH99" s="3"/>
      <c r="AI99" s="3"/>
      <c r="AJ99" s="3"/>
      <c r="AK99" s="3"/>
      <c r="AL99" s="3"/>
    </row>
    <row r="100" spans="1:38" ht="14.25" customHeight="1" x14ac:dyDescent="0.2">
      <c r="A100" s="118" t="s">
        <v>351</v>
      </c>
      <c r="B100" s="118" t="s">
        <v>352</v>
      </c>
      <c r="C100" s="118">
        <v>2022</v>
      </c>
      <c r="D100" s="118" t="s">
        <v>233</v>
      </c>
      <c r="E100" s="118" t="s">
        <v>354</v>
      </c>
      <c r="F100" s="118" t="s">
        <v>355</v>
      </c>
      <c r="G100" s="118" t="s">
        <v>238</v>
      </c>
      <c r="H100" s="118" t="s">
        <v>15</v>
      </c>
      <c r="I100" s="118" t="s">
        <v>230</v>
      </c>
      <c r="J100" s="118" t="s">
        <v>353</v>
      </c>
      <c r="K100" s="118" t="s">
        <v>356</v>
      </c>
      <c r="L100" s="118"/>
      <c r="M100" s="118"/>
      <c r="N100" s="42"/>
      <c r="O100" s="42" t="s">
        <v>193</v>
      </c>
      <c r="P100" s="42" t="s">
        <v>194</v>
      </c>
      <c r="Q100" s="42"/>
      <c r="R100" s="42"/>
      <c r="S100" s="3"/>
      <c r="T100" s="3"/>
      <c r="U100" s="3"/>
      <c r="V100" s="3"/>
      <c r="W100" s="3"/>
      <c r="X100" s="3"/>
      <c r="Y100" s="3"/>
      <c r="Z100" s="3"/>
      <c r="AA100" s="3"/>
      <c r="AB100" s="3"/>
      <c r="AC100" s="3"/>
      <c r="AD100" s="3"/>
      <c r="AE100" s="3"/>
      <c r="AF100" s="3"/>
      <c r="AG100" s="3"/>
      <c r="AH100" s="3"/>
      <c r="AI100" s="3"/>
      <c r="AJ100" s="3"/>
      <c r="AK100" s="3"/>
      <c r="AL100" s="3"/>
    </row>
    <row r="101" spans="1:38" ht="13.5" customHeight="1" x14ac:dyDescent="0.2">
      <c r="A101" s="118" t="s">
        <v>357</v>
      </c>
      <c r="B101" s="118" t="s">
        <v>358</v>
      </c>
      <c r="C101" s="118">
        <v>2022</v>
      </c>
      <c r="D101" s="118" t="s">
        <v>233</v>
      </c>
      <c r="E101" s="118" t="s">
        <v>360</v>
      </c>
      <c r="F101" s="118" t="s">
        <v>361</v>
      </c>
      <c r="G101" s="118" t="s">
        <v>238</v>
      </c>
      <c r="H101" s="118" t="s">
        <v>15</v>
      </c>
      <c r="I101" s="118" t="s">
        <v>230</v>
      </c>
      <c r="J101" s="118" t="s">
        <v>359</v>
      </c>
      <c r="K101" s="118" t="s">
        <v>362</v>
      </c>
      <c r="L101" s="118"/>
      <c r="M101" s="118"/>
      <c r="N101" s="42"/>
      <c r="O101" s="42" t="s">
        <v>193</v>
      </c>
      <c r="P101" s="42" t="s">
        <v>194</v>
      </c>
      <c r="Q101" s="42"/>
      <c r="R101" s="42"/>
      <c r="S101" s="3"/>
      <c r="T101" s="3"/>
      <c r="U101" s="3"/>
      <c r="V101" s="3"/>
      <c r="W101" s="3"/>
      <c r="X101" s="3"/>
      <c r="Y101" s="3"/>
      <c r="Z101" s="3"/>
      <c r="AA101" s="3"/>
      <c r="AB101" s="3"/>
      <c r="AC101" s="3"/>
      <c r="AD101" s="3"/>
      <c r="AE101" s="3"/>
      <c r="AF101" s="3"/>
      <c r="AG101" s="3"/>
      <c r="AH101" s="3"/>
      <c r="AI101" s="3"/>
      <c r="AJ101" s="3"/>
      <c r="AK101" s="3"/>
      <c r="AL101" s="3"/>
    </row>
    <row r="102" spans="1:38" ht="14.25" customHeight="1" x14ac:dyDescent="0.2">
      <c r="A102" s="118" t="s">
        <v>363</v>
      </c>
      <c r="B102" s="118" t="s">
        <v>364</v>
      </c>
      <c r="C102" s="118">
        <v>2025</v>
      </c>
      <c r="D102" s="118" t="s">
        <v>277</v>
      </c>
      <c r="E102" s="118" t="s">
        <v>366</v>
      </c>
      <c r="F102" s="118" t="s">
        <v>367</v>
      </c>
      <c r="G102" s="118" t="s">
        <v>282</v>
      </c>
      <c r="H102" s="118" t="s">
        <v>15</v>
      </c>
      <c r="I102" s="118" t="s">
        <v>253</v>
      </c>
      <c r="J102" s="118" t="s">
        <v>365</v>
      </c>
      <c r="K102" s="118" t="s">
        <v>368</v>
      </c>
      <c r="L102" s="118"/>
      <c r="M102" s="118"/>
      <c r="N102" s="42"/>
      <c r="O102" s="42" t="s">
        <v>193</v>
      </c>
      <c r="P102" s="42" t="s">
        <v>194</v>
      </c>
      <c r="Q102" s="42"/>
      <c r="R102" s="42"/>
      <c r="S102" s="3"/>
      <c r="T102" s="3"/>
      <c r="U102" s="3"/>
      <c r="V102" s="3"/>
      <c r="W102" s="3"/>
      <c r="X102" s="3"/>
      <c r="Y102" s="3"/>
      <c r="Z102" s="3"/>
      <c r="AA102" s="3"/>
      <c r="AB102" s="3"/>
      <c r="AC102" s="3"/>
      <c r="AD102" s="3"/>
      <c r="AE102" s="3"/>
      <c r="AF102" s="3"/>
      <c r="AG102" s="3"/>
      <c r="AH102" s="3"/>
      <c r="AI102" s="3"/>
      <c r="AJ102" s="3"/>
      <c r="AK102" s="3"/>
      <c r="AL102" s="3"/>
    </row>
    <row r="103" spans="1:38" ht="14.25" customHeight="1" x14ac:dyDescent="0.2">
      <c r="A103" s="118" t="s">
        <v>369</v>
      </c>
      <c r="B103" s="118" t="s">
        <v>370</v>
      </c>
      <c r="C103" s="118">
        <v>2022</v>
      </c>
      <c r="D103" s="118" t="s">
        <v>371</v>
      </c>
      <c r="E103" s="118" t="s">
        <v>373</v>
      </c>
      <c r="F103" s="118" t="s">
        <v>374</v>
      </c>
      <c r="G103" s="118" t="s">
        <v>376</v>
      </c>
      <c r="H103" s="118" t="s">
        <v>15</v>
      </c>
      <c r="I103" s="118" t="s">
        <v>253</v>
      </c>
      <c r="J103" s="118" t="s">
        <v>372</v>
      </c>
      <c r="K103" s="118" t="s">
        <v>375</v>
      </c>
      <c r="L103" s="118"/>
      <c r="M103" s="118"/>
      <c r="N103" s="42"/>
      <c r="O103" s="42" t="s">
        <v>193</v>
      </c>
      <c r="P103" s="42" t="s">
        <v>194</v>
      </c>
      <c r="Q103" s="42"/>
      <c r="R103" s="42"/>
      <c r="S103" s="3"/>
      <c r="T103" s="3"/>
      <c r="U103" s="3"/>
      <c r="V103" s="3"/>
      <c r="W103" s="3"/>
      <c r="X103" s="3"/>
      <c r="Y103" s="3"/>
      <c r="Z103" s="3"/>
      <c r="AA103" s="3"/>
      <c r="AB103" s="3"/>
      <c r="AC103" s="3"/>
      <c r="AD103" s="3"/>
      <c r="AE103" s="3"/>
      <c r="AF103" s="3"/>
      <c r="AG103" s="3"/>
      <c r="AH103" s="3"/>
      <c r="AI103" s="3"/>
      <c r="AJ103" s="3"/>
      <c r="AK103" s="3"/>
      <c r="AL103" s="3"/>
    </row>
    <row r="104" spans="1:38" ht="14.25" customHeight="1" x14ac:dyDescent="0.2">
      <c r="A104" s="118" t="s">
        <v>377</v>
      </c>
      <c r="B104" s="118" t="s">
        <v>378</v>
      </c>
      <c r="C104" s="118">
        <v>2025</v>
      </c>
      <c r="D104" s="118" t="s">
        <v>233</v>
      </c>
      <c r="E104" s="118" t="s">
        <v>380</v>
      </c>
      <c r="F104" s="118" t="s">
        <v>381</v>
      </c>
      <c r="G104" s="118" t="s">
        <v>238</v>
      </c>
      <c r="H104" s="118" t="s">
        <v>15</v>
      </c>
      <c r="I104" s="118" t="s">
        <v>230</v>
      </c>
      <c r="J104" s="118" t="s">
        <v>379</v>
      </c>
      <c r="K104" s="118" t="s">
        <v>382</v>
      </c>
      <c r="L104" s="118"/>
      <c r="M104" s="118"/>
      <c r="N104" s="42"/>
      <c r="O104" s="42" t="s">
        <v>193</v>
      </c>
      <c r="P104" s="42" t="s">
        <v>194</v>
      </c>
      <c r="Q104" s="42"/>
      <c r="R104" s="42"/>
      <c r="S104" s="3"/>
      <c r="T104" s="3"/>
      <c r="U104" s="3"/>
      <c r="V104" s="3"/>
      <c r="W104" s="3"/>
      <c r="X104" s="3"/>
      <c r="Y104" s="3"/>
      <c r="Z104" s="3"/>
      <c r="AA104" s="3"/>
      <c r="AB104" s="3"/>
      <c r="AC104" s="3"/>
      <c r="AD104" s="3"/>
      <c r="AE104" s="3"/>
      <c r="AF104" s="3"/>
      <c r="AG104" s="3"/>
      <c r="AH104" s="3"/>
      <c r="AI104" s="3"/>
      <c r="AJ104" s="3"/>
      <c r="AK104" s="3"/>
      <c r="AL104" s="3"/>
    </row>
    <row r="105" spans="1:38" ht="14.25" customHeight="1" x14ac:dyDescent="0.2">
      <c r="A105" s="118" t="s">
        <v>383</v>
      </c>
      <c r="B105" s="118" t="s">
        <v>384</v>
      </c>
      <c r="C105" s="118">
        <v>2024</v>
      </c>
      <c r="D105" s="118" t="s">
        <v>385</v>
      </c>
      <c r="E105" s="118" t="s">
        <v>387</v>
      </c>
      <c r="F105" s="118" t="s">
        <v>388</v>
      </c>
      <c r="G105" s="118" t="s">
        <v>282</v>
      </c>
      <c r="H105" s="118" t="s">
        <v>15</v>
      </c>
      <c r="I105" s="118" t="s">
        <v>253</v>
      </c>
      <c r="J105" s="118" t="s">
        <v>386</v>
      </c>
      <c r="K105" s="118" t="s">
        <v>389</v>
      </c>
      <c r="L105" s="118"/>
      <c r="M105" s="118"/>
      <c r="N105" s="42"/>
      <c r="O105" s="42" t="s">
        <v>193</v>
      </c>
      <c r="P105" s="42" t="s">
        <v>194</v>
      </c>
      <c r="Q105" s="42"/>
      <c r="R105" s="42"/>
      <c r="S105" s="3"/>
      <c r="T105" s="3"/>
      <c r="U105" s="3"/>
      <c r="V105" s="3"/>
      <c r="W105" s="3"/>
      <c r="X105" s="3"/>
      <c r="Y105" s="3"/>
      <c r="Z105" s="3"/>
      <c r="AA105" s="3"/>
      <c r="AB105" s="3"/>
      <c r="AC105" s="3"/>
      <c r="AD105" s="3"/>
      <c r="AE105" s="3"/>
      <c r="AF105" s="3"/>
      <c r="AG105" s="3"/>
      <c r="AH105" s="3"/>
      <c r="AI105" s="3"/>
      <c r="AJ105" s="3"/>
      <c r="AK105" s="3"/>
      <c r="AL105" s="3"/>
    </row>
    <row r="106" spans="1:38" ht="14.25" customHeight="1" x14ac:dyDescent="0.2">
      <c r="A106" s="118">
        <v>0</v>
      </c>
      <c r="B106" s="118" t="s">
        <v>229</v>
      </c>
      <c r="C106" s="118">
        <v>2025</v>
      </c>
      <c r="D106" s="118" t="s">
        <v>223</v>
      </c>
      <c r="E106" s="118" t="s">
        <v>390</v>
      </c>
      <c r="F106" s="118">
        <v>0</v>
      </c>
      <c r="G106" s="118" t="s">
        <v>228</v>
      </c>
      <c r="H106" s="118" t="s">
        <v>15</v>
      </c>
      <c r="I106" s="118" t="s">
        <v>391</v>
      </c>
      <c r="J106" s="118">
        <v>0</v>
      </c>
      <c r="K106" s="118">
        <v>0</v>
      </c>
      <c r="L106" s="118"/>
      <c r="M106" s="118"/>
      <c r="N106" s="42"/>
      <c r="O106" s="42" t="s">
        <v>193</v>
      </c>
      <c r="P106" s="42" t="s">
        <v>194</v>
      </c>
      <c r="Q106" s="42"/>
      <c r="R106" s="42"/>
      <c r="S106" s="3"/>
      <c r="T106" s="3"/>
      <c r="U106" s="3"/>
      <c r="V106" s="3"/>
      <c r="W106" s="3"/>
      <c r="X106" s="3"/>
      <c r="Y106" s="3"/>
      <c r="Z106" s="3"/>
      <c r="AA106" s="3"/>
      <c r="AB106" s="3"/>
      <c r="AC106" s="3"/>
      <c r="AD106" s="3"/>
      <c r="AE106" s="3"/>
      <c r="AF106" s="3"/>
      <c r="AG106" s="3"/>
      <c r="AH106" s="3"/>
      <c r="AI106" s="3"/>
      <c r="AJ106" s="3"/>
      <c r="AK106" s="3"/>
      <c r="AL106" s="3"/>
    </row>
    <row r="107" spans="1:38" ht="14.25" customHeight="1" x14ac:dyDescent="0.2">
      <c r="A107" s="118" t="s">
        <v>392</v>
      </c>
      <c r="B107" s="118" t="s">
        <v>393</v>
      </c>
      <c r="C107" s="118">
        <v>2023</v>
      </c>
      <c r="D107" s="118" t="s">
        <v>394</v>
      </c>
      <c r="E107" s="118" t="s">
        <v>396</v>
      </c>
      <c r="F107" s="118" t="s">
        <v>397</v>
      </c>
      <c r="G107" s="118" t="s">
        <v>274</v>
      </c>
      <c r="H107" s="118" t="s">
        <v>15</v>
      </c>
      <c r="I107" s="118" t="s">
        <v>253</v>
      </c>
      <c r="J107" s="118" t="s">
        <v>395</v>
      </c>
      <c r="K107" s="118" t="s">
        <v>398</v>
      </c>
      <c r="L107" s="118"/>
      <c r="M107" s="118"/>
      <c r="N107" s="42"/>
      <c r="O107" s="42" t="s">
        <v>193</v>
      </c>
      <c r="P107" s="42" t="s">
        <v>194</v>
      </c>
      <c r="Q107" s="42"/>
      <c r="R107" s="42"/>
      <c r="S107" s="3"/>
      <c r="T107" s="3"/>
      <c r="U107" s="3"/>
      <c r="V107" s="3"/>
      <c r="W107" s="3"/>
      <c r="X107" s="3"/>
      <c r="Y107" s="3"/>
      <c r="Z107" s="3"/>
      <c r="AA107" s="3"/>
      <c r="AB107" s="3"/>
      <c r="AC107" s="3"/>
      <c r="AD107" s="3"/>
      <c r="AE107" s="3"/>
      <c r="AF107" s="3"/>
      <c r="AG107" s="3"/>
      <c r="AH107" s="3"/>
      <c r="AI107" s="3"/>
      <c r="AJ107" s="3"/>
      <c r="AK107" s="3"/>
      <c r="AL107" s="3"/>
    </row>
    <row r="108" spans="1:38" ht="14.25" customHeight="1" x14ac:dyDescent="0.2">
      <c r="A108" s="118" t="s">
        <v>399</v>
      </c>
      <c r="B108" s="118" t="s">
        <v>400</v>
      </c>
      <c r="C108" s="118">
        <v>2025</v>
      </c>
      <c r="D108" s="118" t="s">
        <v>331</v>
      </c>
      <c r="E108" s="118" t="s">
        <v>402</v>
      </c>
      <c r="F108" s="118" t="s">
        <v>403</v>
      </c>
      <c r="G108" s="118" t="s">
        <v>336</v>
      </c>
      <c r="H108" s="118" t="s">
        <v>15</v>
      </c>
      <c r="I108" s="118" t="s">
        <v>253</v>
      </c>
      <c r="J108" s="118" t="s">
        <v>401</v>
      </c>
      <c r="K108" s="118" t="s">
        <v>404</v>
      </c>
      <c r="L108" s="118"/>
      <c r="M108" s="118"/>
      <c r="N108" s="42"/>
      <c r="O108" s="42" t="s">
        <v>193</v>
      </c>
      <c r="P108" s="42" t="s">
        <v>194</v>
      </c>
      <c r="Q108" s="42"/>
      <c r="R108" s="42"/>
      <c r="S108" s="3"/>
      <c r="T108" s="3"/>
      <c r="U108" s="3"/>
      <c r="V108" s="3"/>
      <c r="W108" s="3"/>
      <c r="X108" s="3"/>
      <c r="Y108" s="3"/>
      <c r="Z108" s="3"/>
      <c r="AA108" s="3"/>
      <c r="AB108" s="3"/>
      <c r="AC108" s="3"/>
      <c r="AD108" s="3"/>
      <c r="AE108" s="3"/>
      <c r="AF108" s="3"/>
      <c r="AG108" s="3"/>
      <c r="AH108" s="3"/>
      <c r="AI108" s="3"/>
      <c r="AJ108" s="3"/>
      <c r="AK108" s="3"/>
      <c r="AL108" s="3"/>
    </row>
    <row r="109" spans="1:38" ht="14.25" customHeight="1" x14ac:dyDescent="0.2">
      <c r="A109" s="118" t="s">
        <v>405</v>
      </c>
      <c r="B109" s="118" t="s">
        <v>406</v>
      </c>
      <c r="C109" s="118">
        <v>2024</v>
      </c>
      <c r="D109" s="118" t="s">
        <v>233</v>
      </c>
      <c r="E109" s="118" t="s">
        <v>408</v>
      </c>
      <c r="F109" s="118" t="s">
        <v>409</v>
      </c>
      <c r="G109" s="118" t="s">
        <v>238</v>
      </c>
      <c r="H109" s="118" t="s">
        <v>15</v>
      </c>
      <c r="I109" s="118" t="s">
        <v>230</v>
      </c>
      <c r="J109" s="118" t="s">
        <v>407</v>
      </c>
      <c r="K109" s="118" t="s">
        <v>237</v>
      </c>
      <c r="L109" s="118"/>
      <c r="M109" s="118"/>
      <c r="N109" s="42"/>
      <c r="O109" s="42" t="s">
        <v>193</v>
      </c>
      <c r="P109" s="42" t="s">
        <v>194</v>
      </c>
      <c r="Q109" s="42"/>
      <c r="R109" s="42"/>
      <c r="S109" s="3"/>
      <c r="T109" s="3"/>
      <c r="U109" s="3"/>
      <c r="V109" s="3"/>
      <c r="W109" s="3"/>
      <c r="X109" s="3"/>
      <c r="Y109" s="3"/>
      <c r="Z109" s="3"/>
      <c r="AA109" s="3"/>
      <c r="AB109" s="3"/>
      <c r="AC109" s="3"/>
      <c r="AD109" s="3"/>
      <c r="AE109" s="3"/>
      <c r="AF109" s="3"/>
      <c r="AG109" s="3"/>
      <c r="AH109" s="3"/>
      <c r="AI109" s="3"/>
      <c r="AJ109" s="3"/>
      <c r="AK109" s="3"/>
      <c r="AL109" s="3"/>
    </row>
    <row r="110" spans="1:38" ht="14.25" customHeight="1" x14ac:dyDescent="0.2">
      <c r="A110" s="118" t="s">
        <v>410</v>
      </c>
      <c r="B110" s="118" t="s">
        <v>411</v>
      </c>
      <c r="C110" s="118">
        <v>2025</v>
      </c>
      <c r="D110" s="118" t="s">
        <v>233</v>
      </c>
      <c r="E110" s="118" t="s">
        <v>413</v>
      </c>
      <c r="F110" s="118" t="s">
        <v>414</v>
      </c>
      <c r="G110" s="118" t="s">
        <v>238</v>
      </c>
      <c r="H110" s="118" t="s">
        <v>15</v>
      </c>
      <c r="I110" s="118" t="s">
        <v>230</v>
      </c>
      <c r="J110" s="118" t="s">
        <v>412</v>
      </c>
      <c r="K110" s="118" t="s">
        <v>415</v>
      </c>
      <c r="L110" s="118"/>
      <c r="M110" s="118"/>
      <c r="N110" s="42"/>
      <c r="O110" s="42" t="s">
        <v>193</v>
      </c>
      <c r="P110" s="42" t="s">
        <v>194</v>
      </c>
      <c r="Q110" s="42"/>
      <c r="R110" s="42"/>
      <c r="S110" s="3"/>
      <c r="T110" s="3"/>
      <c r="U110" s="3"/>
      <c r="V110" s="3"/>
      <c r="W110" s="3"/>
      <c r="X110" s="3"/>
      <c r="Y110" s="3"/>
      <c r="Z110" s="3"/>
      <c r="AA110" s="3"/>
      <c r="AB110" s="3"/>
      <c r="AC110" s="3"/>
      <c r="AD110" s="3"/>
      <c r="AE110" s="3"/>
      <c r="AF110" s="3"/>
      <c r="AG110" s="3"/>
      <c r="AH110" s="3"/>
      <c r="AI110" s="3"/>
      <c r="AJ110" s="3"/>
      <c r="AK110" s="3"/>
      <c r="AL110" s="3"/>
    </row>
    <row r="111" spans="1:38" ht="14.25" customHeight="1" x14ac:dyDescent="0.2">
      <c r="A111" s="118" t="s">
        <v>416</v>
      </c>
      <c r="B111" s="118" t="s">
        <v>417</v>
      </c>
      <c r="C111" s="118">
        <v>2022</v>
      </c>
      <c r="D111" s="118" t="s">
        <v>233</v>
      </c>
      <c r="E111" s="118" t="s">
        <v>419</v>
      </c>
      <c r="F111" s="118" t="s">
        <v>420</v>
      </c>
      <c r="G111" s="118" t="s">
        <v>238</v>
      </c>
      <c r="H111" s="118" t="s">
        <v>15</v>
      </c>
      <c r="I111" s="118" t="s">
        <v>230</v>
      </c>
      <c r="J111" s="118" t="s">
        <v>418</v>
      </c>
      <c r="K111" s="118" t="s">
        <v>421</v>
      </c>
      <c r="L111" s="118"/>
      <c r="M111" s="118"/>
      <c r="N111" s="42"/>
      <c r="O111" s="42" t="s">
        <v>193</v>
      </c>
      <c r="P111" s="42" t="s">
        <v>194</v>
      </c>
      <c r="Q111" s="42"/>
      <c r="R111" s="42"/>
      <c r="S111" s="3"/>
      <c r="T111" s="3"/>
      <c r="U111" s="3"/>
      <c r="V111" s="3"/>
      <c r="W111" s="3"/>
      <c r="X111" s="3"/>
      <c r="Y111" s="3"/>
      <c r="Z111" s="3"/>
      <c r="AA111" s="3"/>
      <c r="AB111" s="3"/>
      <c r="AC111" s="3"/>
      <c r="AD111" s="3"/>
      <c r="AE111" s="3"/>
      <c r="AF111" s="3"/>
      <c r="AG111" s="3"/>
      <c r="AH111" s="3"/>
      <c r="AI111" s="3"/>
      <c r="AJ111" s="3"/>
      <c r="AK111" s="3"/>
      <c r="AL111" s="3"/>
    </row>
    <row r="112" spans="1:38" ht="14.25" customHeight="1" x14ac:dyDescent="0.2">
      <c r="A112" s="118" t="s">
        <v>422</v>
      </c>
      <c r="B112" s="118" t="s">
        <v>423</v>
      </c>
      <c r="C112" s="118">
        <v>2022</v>
      </c>
      <c r="D112" s="118" t="s">
        <v>233</v>
      </c>
      <c r="E112" s="118" t="s">
        <v>425</v>
      </c>
      <c r="F112" s="118" t="s">
        <v>426</v>
      </c>
      <c r="G112" s="118" t="s">
        <v>238</v>
      </c>
      <c r="H112" s="118" t="s">
        <v>15</v>
      </c>
      <c r="I112" s="118" t="s">
        <v>230</v>
      </c>
      <c r="J112" s="118" t="s">
        <v>424</v>
      </c>
      <c r="K112" s="118" t="s">
        <v>427</v>
      </c>
      <c r="L112" s="118"/>
      <c r="M112" s="118"/>
      <c r="N112" s="42"/>
      <c r="O112" s="42" t="s">
        <v>193</v>
      </c>
      <c r="P112" s="42" t="s">
        <v>194</v>
      </c>
      <c r="Q112" s="42"/>
      <c r="R112" s="42"/>
      <c r="S112" s="3"/>
      <c r="T112" s="3"/>
      <c r="U112" s="3"/>
      <c r="V112" s="3"/>
      <c r="W112" s="3"/>
      <c r="X112" s="3"/>
      <c r="Y112" s="3"/>
      <c r="Z112" s="3"/>
      <c r="AA112" s="3"/>
      <c r="AB112" s="3"/>
      <c r="AC112" s="3"/>
      <c r="AD112" s="3"/>
      <c r="AE112" s="3"/>
      <c r="AF112" s="3"/>
      <c r="AG112" s="3"/>
      <c r="AH112" s="3"/>
      <c r="AI112" s="3"/>
      <c r="AJ112" s="3"/>
      <c r="AK112" s="3"/>
      <c r="AL112" s="3"/>
    </row>
    <row r="113" spans="1:38" ht="14.25" customHeight="1" x14ac:dyDescent="0.2">
      <c r="A113" s="118" t="s">
        <v>428</v>
      </c>
      <c r="B113" s="118" t="s">
        <v>429</v>
      </c>
      <c r="C113" s="118">
        <v>2024</v>
      </c>
      <c r="D113" s="118" t="s">
        <v>233</v>
      </c>
      <c r="E113" s="118" t="s">
        <v>431</v>
      </c>
      <c r="F113" s="118" t="s">
        <v>432</v>
      </c>
      <c r="G113" s="118" t="s">
        <v>238</v>
      </c>
      <c r="H113" s="118" t="s">
        <v>15</v>
      </c>
      <c r="I113" s="118" t="s">
        <v>230</v>
      </c>
      <c r="J113" s="118" t="s">
        <v>430</v>
      </c>
      <c r="K113" s="118" t="s">
        <v>433</v>
      </c>
      <c r="L113" s="118"/>
      <c r="M113" s="118"/>
      <c r="N113" s="42"/>
      <c r="O113" s="42" t="s">
        <v>193</v>
      </c>
      <c r="P113" s="42" t="s">
        <v>194</v>
      </c>
      <c r="Q113" s="42"/>
      <c r="R113" s="42"/>
      <c r="S113" s="3"/>
      <c r="T113" s="3"/>
      <c r="U113" s="3"/>
      <c r="V113" s="3"/>
      <c r="W113" s="3"/>
      <c r="X113" s="3"/>
      <c r="Y113" s="3"/>
      <c r="Z113" s="3"/>
      <c r="AA113" s="3"/>
      <c r="AB113" s="3"/>
      <c r="AC113" s="3"/>
      <c r="AD113" s="3"/>
      <c r="AE113" s="3"/>
      <c r="AF113" s="3"/>
      <c r="AG113" s="3"/>
      <c r="AH113" s="3"/>
      <c r="AI113" s="3"/>
      <c r="AJ113" s="3"/>
      <c r="AK113" s="3"/>
      <c r="AL113" s="3"/>
    </row>
    <row r="114" spans="1:38" ht="14.25" customHeight="1" x14ac:dyDescent="0.2">
      <c r="A114" s="118" t="s">
        <v>434</v>
      </c>
      <c r="B114" s="118" t="s">
        <v>435</v>
      </c>
      <c r="C114" s="118">
        <v>2025</v>
      </c>
      <c r="D114" s="118" t="s">
        <v>233</v>
      </c>
      <c r="E114" s="118" t="s">
        <v>437</v>
      </c>
      <c r="F114" s="118" t="s">
        <v>438</v>
      </c>
      <c r="G114" s="118" t="s">
        <v>238</v>
      </c>
      <c r="H114" s="118" t="s">
        <v>15</v>
      </c>
      <c r="I114" s="118" t="s">
        <v>230</v>
      </c>
      <c r="J114" s="118" t="s">
        <v>436</v>
      </c>
      <c r="K114" s="118">
        <v>0</v>
      </c>
      <c r="L114" s="118"/>
      <c r="M114" s="118"/>
      <c r="N114" s="42"/>
      <c r="O114" s="42" t="s">
        <v>193</v>
      </c>
      <c r="P114" s="42" t="s">
        <v>194</v>
      </c>
      <c r="Q114" s="42"/>
      <c r="R114" s="42"/>
      <c r="S114" s="3"/>
      <c r="T114" s="3"/>
      <c r="U114" s="3"/>
      <c r="V114" s="3"/>
      <c r="W114" s="3"/>
      <c r="X114" s="3"/>
      <c r="Y114" s="3"/>
      <c r="Z114" s="3"/>
      <c r="AA114" s="3"/>
      <c r="AB114" s="3"/>
      <c r="AC114" s="3"/>
      <c r="AD114" s="3"/>
      <c r="AE114" s="3"/>
      <c r="AF114" s="3"/>
      <c r="AG114" s="3"/>
      <c r="AH114" s="3"/>
      <c r="AI114" s="3"/>
      <c r="AJ114" s="3"/>
      <c r="AK114" s="3"/>
      <c r="AL114" s="3"/>
    </row>
    <row r="115" spans="1:38" ht="14.25" customHeight="1" x14ac:dyDescent="0.2">
      <c r="A115" s="118" t="s">
        <v>439</v>
      </c>
      <c r="B115" s="118" t="s">
        <v>440</v>
      </c>
      <c r="C115" s="118">
        <v>2023</v>
      </c>
      <c r="D115" s="118" t="s">
        <v>233</v>
      </c>
      <c r="E115" s="118" t="s">
        <v>442</v>
      </c>
      <c r="F115" s="118" t="s">
        <v>443</v>
      </c>
      <c r="G115" s="118" t="s">
        <v>238</v>
      </c>
      <c r="H115" s="118" t="s">
        <v>15</v>
      </c>
      <c r="I115" s="118" t="s">
        <v>253</v>
      </c>
      <c r="J115" s="118" t="s">
        <v>441</v>
      </c>
      <c r="K115" s="118" t="s">
        <v>444</v>
      </c>
      <c r="L115" s="118"/>
      <c r="M115" s="118"/>
      <c r="N115" s="42"/>
      <c r="O115" s="42" t="s">
        <v>193</v>
      </c>
      <c r="P115" s="42" t="s">
        <v>194</v>
      </c>
      <c r="Q115" s="42"/>
      <c r="R115" s="42"/>
      <c r="S115" s="3"/>
      <c r="T115" s="3"/>
      <c r="U115" s="3"/>
      <c r="V115" s="3"/>
      <c r="W115" s="3"/>
      <c r="X115" s="3"/>
      <c r="Y115" s="3"/>
      <c r="Z115" s="3"/>
      <c r="AA115" s="3"/>
      <c r="AB115" s="3"/>
      <c r="AC115" s="3"/>
      <c r="AD115" s="3"/>
      <c r="AE115" s="3"/>
      <c r="AF115" s="3"/>
      <c r="AG115" s="3"/>
      <c r="AH115" s="3"/>
      <c r="AI115" s="3"/>
      <c r="AJ115" s="3"/>
      <c r="AK115" s="3"/>
      <c r="AL115" s="3"/>
    </row>
    <row r="116" spans="1:38" ht="14.25" customHeight="1" x14ac:dyDescent="0.2">
      <c r="A116" s="118" t="s">
        <v>445</v>
      </c>
      <c r="B116" s="118" t="s">
        <v>446</v>
      </c>
      <c r="C116" s="118">
        <v>2025</v>
      </c>
      <c r="D116" s="118" t="s">
        <v>233</v>
      </c>
      <c r="E116" s="118" t="s">
        <v>448</v>
      </c>
      <c r="F116" s="118" t="s">
        <v>449</v>
      </c>
      <c r="G116" s="118" t="s">
        <v>238</v>
      </c>
      <c r="H116" s="118" t="s">
        <v>15</v>
      </c>
      <c r="I116" s="118" t="s">
        <v>230</v>
      </c>
      <c r="J116" s="118" t="s">
        <v>447</v>
      </c>
      <c r="K116" s="118" t="s">
        <v>450</v>
      </c>
      <c r="L116" s="118"/>
      <c r="M116" s="118"/>
      <c r="N116" s="42"/>
      <c r="O116" s="42" t="s">
        <v>193</v>
      </c>
      <c r="P116" s="42" t="s">
        <v>194</v>
      </c>
      <c r="Q116" s="42"/>
      <c r="R116" s="42"/>
      <c r="S116" s="3"/>
      <c r="T116" s="3"/>
      <c r="U116" s="3"/>
      <c r="V116" s="3"/>
      <c r="W116" s="3"/>
      <c r="X116" s="3"/>
      <c r="Y116" s="3"/>
      <c r="Z116" s="3"/>
      <c r="AA116" s="3"/>
      <c r="AB116" s="3"/>
      <c r="AC116" s="3"/>
      <c r="AD116" s="3"/>
      <c r="AE116" s="3"/>
      <c r="AF116" s="3"/>
      <c r="AG116" s="3"/>
      <c r="AH116" s="3"/>
      <c r="AI116" s="3"/>
      <c r="AJ116" s="3"/>
      <c r="AK116" s="3"/>
      <c r="AL116" s="3"/>
    </row>
    <row r="117" spans="1:38" ht="14.25" customHeight="1" x14ac:dyDescent="0.2">
      <c r="A117" s="118" t="s">
        <v>451</v>
      </c>
      <c r="B117" s="118" t="s">
        <v>452</v>
      </c>
      <c r="C117" s="118">
        <v>2024</v>
      </c>
      <c r="D117" s="118" t="s">
        <v>453</v>
      </c>
      <c r="E117" s="118" t="s">
        <v>455</v>
      </c>
      <c r="F117" s="118">
        <v>0</v>
      </c>
      <c r="G117" s="118" t="s">
        <v>457</v>
      </c>
      <c r="H117" s="118" t="s">
        <v>15</v>
      </c>
      <c r="I117" s="118" t="s">
        <v>253</v>
      </c>
      <c r="J117" s="118" t="s">
        <v>454</v>
      </c>
      <c r="K117" s="118" t="s">
        <v>456</v>
      </c>
      <c r="L117" s="118"/>
      <c r="M117" s="118"/>
      <c r="N117" s="42"/>
      <c r="O117" s="42" t="s">
        <v>193</v>
      </c>
      <c r="P117" s="42" t="s">
        <v>194</v>
      </c>
      <c r="Q117" s="42"/>
      <c r="R117" s="42"/>
      <c r="S117" s="3"/>
      <c r="T117" s="3"/>
      <c r="U117" s="3"/>
      <c r="V117" s="3"/>
      <c r="W117" s="3"/>
      <c r="X117" s="3"/>
      <c r="Y117" s="3"/>
      <c r="Z117" s="3"/>
      <c r="AA117" s="3"/>
      <c r="AB117" s="3"/>
      <c r="AC117" s="3"/>
      <c r="AD117" s="3"/>
      <c r="AE117" s="3"/>
      <c r="AF117" s="3"/>
      <c r="AG117" s="3"/>
      <c r="AH117" s="3"/>
      <c r="AI117" s="3"/>
      <c r="AJ117" s="3"/>
      <c r="AK117" s="3"/>
      <c r="AL117" s="3"/>
    </row>
    <row r="118" spans="1:38" ht="14.25" customHeight="1" x14ac:dyDescent="0.2">
      <c r="A118" s="118" t="s">
        <v>458</v>
      </c>
      <c r="B118" s="118" t="s">
        <v>459</v>
      </c>
      <c r="C118" s="118">
        <v>2024</v>
      </c>
      <c r="D118" s="118" t="s">
        <v>460</v>
      </c>
      <c r="E118" s="118" t="s">
        <v>462</v>
      </c>
      <c r="F118" s="118" t="s">
        <v>463</v>
      </c>
      <c r="G118" s="118" t="s">
        <v>465</v>
      </c>
      <c r="H118" s="118" t="s">
        <v>15</v>
      </c>
      <c r="I118" s="118" t="s">
        <v>253</v>
      </c>
      <c r="J118" s="118" t="s">
        <v>461</v>
      </c>
      <c r="K118" s="118" t="s">
        <v>464</v>
      </c>
      <c r="L118" s="118"/>
      <c r="M118" s="118"/>
      <c r="N118" s="42"/>
      <c r="O118" s="42" t="s">
        <v>193</v>
      </c>
      <c r="P118" s="42" t="s">
        <v>194</v>
      </c>
      <c r="Q118" s="42"/>
      <c r="R118" s="42"/>
      <c r="S118" s="3"/>
      <c r="T118" s="3"/>
      <c r="U118" s="3"/>
      <c r="V118" s="3"/>
      <c r="W118" s="3"/>
      <c r="X118" s="3"/>
      <c r="Y118" s="3"/>
      <c r="Z118" s="3"/>
      <c r="AA118" s="3"/>
      <c r="AB118" s="3"/>
      <c r="AC118" s="3"/>
      <c r="AD118" s="3"/>
      <c r="AE118" s="3"/>
      <c r="AF118" s="3"/>
      <c r="AG118" s="3"/>
      <c r="AH118" s="3"/>
      <c r="AI118" s="3"/>
      <c r="AJ118" s="3"/>
      <c r="AK118" s="3"/>
      <c r="AL118" s="3"/>
    </row>
    <row r="119" spans="1:38" ht="14.25" customHeight="1" x14ac:dyDescent="0.2">
      <c r="A119" s="118" t="s">
        <v>466</v>
      </c>
      <c r="B119" s="118" t="s">
        <v>467</v>
      </c>
      <c r="C119" s="118">
        <v>2025</v>
      </c>
      <c r="D119" s="118" t="s">
        <v>468</v>
      </c>
      <c r="E119" s="118" t="s">
        <v>470</v>
      </c>
      <c r="F119" s="118" t="s">
        <v>471</v>
      </c>
      <c r="G119" s="118" t="s">
        <v>473</v>
      </c>
      <c r="H119" s="118" t="s">
        <v>15</v>
      </c>
      <c r="I119" s="118" t="s">
        <v>230</v>
      </c>
      <c r="J119" s="118" t="s">
        <v>469</v>
      </c>
      <c r="K119" s="118" t="s">
        <v>472</v>
      </c>
      <c r="L119" s="118"/>
      <c r="M119" s="118"/>
      <c r="N119" s="42"/>
      <c r="O119" s="42" t="s">
        <v>193</v>
      </c>
      <c r="P119" s="42" t="s">
        <v>194</v>
      </c>
      <c r="Q119" s="42"/>
      <c r="R119" s="42"/>
      <c r="S119" s="3"/>
      <c r="T119" s="3"/>
      <c r="U119" s="3"/>
      <c r="V119" s="3"/>
      <c r="W119" s="3"/>
      <c r="X119" s="3"/>
      <c r="Y119" s="3"/>
      <c r="Z119" s="3"/>
      <c r="AA119" s="3"/>
      <c r="AB119" s="3"/>
      <c r="AC119" s="3"/>
      <c r="AD119" s="3"/>
      <c r="AE119" s="3"/>
      <c r="AF119" s="3"/>
      <c r="AG119" s="3"/>
      <c r="AH119" s="3"/>
      <c r="AI119" s="3"/>
      <c r="AJ119" s="3"/>
      <c r="AK119" s="3"/>
      <c r="AL119" s="3"/>
    </row>
    <row r="120" spans="1:38" ht="14.25" customHeight="1" x14ac:dyDescent="0.2">
      <c r="A120" s="118" t="s">
        <v>474</v>
      </c>
      <c r="B120" s="118" t="s">
        <v>475</v>
      </c>
      <c r="C120" s="118">
        <v>2023</v>
      </c>
      <c r="D120" s="118" t="s">
        <v>476</v>
      </c>
      <c r="E120" s="118" t="s">
        <v>478</v>
      </c>
      <c r="F120" s="118" t="s">
        <v>479</v>
      </c>
      <c r="G120" s="118" t="s">
        <v>228</v>
      </c>
      <c r="H120" s="118" t="s">
        <v>15</v>
      </c>
      <c r="I120" s="118" t="s">
        <v>230</v>
      </c>
      <c r="J120" s="118" t="s">
        <v>477</v>
      </c>
      <c r="K120" s="118" t="s">
        <v>480</v>
      </c>
      <c r="L120" s="118"/>
      <c r="M120" s="118"/>
      <c r="N120" s="42"/>
      <c r="O120" s="42" t="s">
        <v>193</v>
      </c>
      <c r="P120" s="42" t="s">
        <v>194</v>
      </c>
      <c r="Q120" s="42"/>
      <c r="R120" s="42"/>
      <c r="S120" s="3"/>
      <c r="T120" s="3"/>
      <c r="U120" s="3"/>
      <c r="V120" s="3"/>
      <c r="W120" s="3"/>
      <c r="X120" s="3"/>
      <c r="Y120" s="3"/>
      <c r="Z120" s="3"/>
      <c r="AA120" s="3"/>
      <c r="AB120" s="3"/>
      <c r="AC120" s="3"/>
      <c r="AD120" s="3"/>
      <c r="AE120" s="3"/>
      <c r="AF120" s="3"/>
      <c r="AG120" s="3"/>
      <c r="AH120" s="3"/>
      <c r="AI120" s="3"/>
      <c r="AJ120" s="3"/>
      <c r="AK120" s="3"/>
      <c r="AL120" s="3"/>
    </row>
    <row r="121" spans="1:38" ht="14.25" customHeight="1" x14ac:dyDescent="0.2">
      <c r="A121" s="118" t="s">
        <v>482</v>
      </c>
      <c r="B121" s="118" t="s">
        <v>483</v>
      </c>
      <c r="C121" s="118">
        <v>2024</v>
      </c>
      <c r="D121" s="118" t="s">
        <v>233</v>
      </c>
      <c r="E121" s="118" t="s">
        <v>485</v>
      </c>
      <c r="F121" s="118" t="s">
        <v>486</v>
      </c>
      <c r="G121" s="118" t="s">
        <v>238</v>
      </c>
      <c r="H121" s="118" t="s">
        <v>15</v>
      </c>
      <c r="I121" s="118" t="s">
        <v>230</v>
      </c>
      <c r="J121" s="118" t="s">
        <v>484</v>
      </c>
      <c r="K121" s="118" t="s">
        <v>382</v>
      </c>
      <c r="L121" s="118"/>
      <c r="M121" s="118"/>
      <c r="N121" s="42"/>
      <c r="O121" s="42" t="s">
        <v>193</v>
      </c>
      <c r="P121" s="42" t="s">
        <v>194</v>
      </c>
      <c r="Q121" s="42"/>
      <c r="R121" s="42"/>
      <c r="S121" s="3"/>
      <c r="T121" s="3"/>
      <c r="U121" s="3"/>
      <c r="V121" s="3"/>
      <c r="W121" s="3"/>
      <c r="X121" s="3"/>
      <c r="Y121" s="3"/>
      <c r="Z121" s="3"/>
      <c r="AA121" s="3"/>
      <c r="AB121" s="3"/>
      <c r="AC121" s="3"/>
      <c r="AD121" s="3"/>
      <c r="AE121" s="3"/>
      <c r="AF121" s="3"/>
      <c r="AG121" s="3"/>
      <c r="AH121" s="3"/>
      <c r="AI121" s="3"/>
      <c r="AJ121" s="3"/>
      <c r="AK121" s="3"/>
      <c r="AL121" s="3"/>
    </row>
    <row r="122" spans="1:38" ht="14.25" customHeight="1" x14ac:dyDescent="0.2">
      <c r="A122" s="118" t="s">
        <v>487</v>
      </c>
      <c r="B122" s="118" t="s">
        <v>488</v>
      </c>
      <c r="C122" s="118">
        <v>2022</v>
      </c>
      <c r="D122" s="118" t="s">
        <v>233</v>
      </c>
      <c r="E122" s="118" t="s">
        <v>490</v>
      </c>
      <c r="F122" s="118" t="s">
        <v>491</v>
      </c>
      <c r="G122" s="118" t="s">
        <v>238</v>
      </c>
      <c r="H122" s="118" t="s">
        <v>15</v>
      </c>
      <c r="I122" s="118" t="s">
        <v>230</v>
      </c>
      <c r="J122" s="118" t="s">
        <v>489</v>
      </c>
      <c r="K122" s="118" t="s">
        <v>492</v>
      </c>
      <c r="L122" s="118"/>
      <c r="M122" s="118"/>
      <c r="N122" s="42"/>
      <c r="O122" s="42" t="s">
        <v>193</v>
      </c>
      <c r="P122" s="42" t="s">
        <v>194</v>
      </c>
      <c r="Q122" s="42"/>
      <c r="R122" s="42"/>
      <c r="S122" s="3"/>
      <c r="T122" s="3"/>
      <c r="U122" s="3"/>
      <c r="V122" s="3"/>
      <c r="W122" s="3"/>
      <c r="X122" s="3"/>
      <c r="Y122" s="3"/>
      <c r="Z122" s="3"/>
      <c r="AA122" s="3"/>
      <c r="AB122" s="3"/>
      <c r="AC122" s="3"/>
      <c r="AD122" s="3"/>
      <c r="AE122" s="3"/>
      <c r="AF122" s="3"/>
      <c r="AG122" s="3"/>
      <c r="AH122" s="3"/>
      <c r="AI122" s="3"/>
      <c r="AJ122" s="3"/>
      <c r="AK122" s="3"/>
      <c r="AL122" s="3"/>
    </row>
    <row r="123" spans="1:38" ht="14.25" customHeight="1" x14ac:dyDescent="0.2">
      <c r="A123" s="118" t="s">
        <v>493</v>
      </c>
      <c r="B123" s="118" t="s">
        <v>494</v>
      </c>
      <c r="C123" s="118">
        <v>2026</v>
      </c>
      <c r="D123" s="118" t="s">
        <v>394</v>
      </c>
      <c r="E123" s="118" t="s">
        <v>496</v>
      </c>
      <c r="F123" s="118" t="s">
        <v>497</v>
      </c>
      <c r="G123" s="118" t="s">
        <v>274</v>
      </c>
      <c r="H123" s="118" t="s">
        <v>15</v>
      </c>
      <c r="I123" s="118" t="s">
        <v>253</v>
      </c>
      <c r="J123" s="118" t="s">
        <v>495</v>
      </c>
      <c r="K123" s="118" t="s">
        <v>498</v>
      </c>
      <c r="L123" s="118"/>
      <c r="M123" s="118"/>
      <c r="N123" s="42"/>
      <c r="O123" s="42" t="s">
        <v>193</v>
      </c>
      <c r="P123" s="42" t="s">
        <v>194</v>
      </c>
      <c r="Q123" s="42"/>
      <c r="R123" s="42"/>
      <c r="S123" s="3"/>
      <c r="T123" s="3"/>
      <c r="U123" s="3"/>
      <c r="V123" s="3"/>
      <c r="W123" s="3"/>
      <c r="X123" s="3"/>
      <c r="Y123" s="3"/>
      <c r="Z123" s="3"/>
      <c r="AA123" s="3"/>
      <c r="AB123" s="3"/>
      <c r="AC123" s="3"/>
      <c r="AD123" s="3"/>
      <c r="AE123" s="3"/>
      <c r="AF123" s="3"/>
      <c r="AG123" s="3"/>
      <c r="AH123" s="3"/>
      <c r="AI123" s="3"/>
      <c r="AJ123" s="3"/>
      <c r="AK123" s="3"/>
      <c r="AL123" s="3"/>
    </row>
    <row r="124" spans="1:38" ht="14.25" customHeight="1" x14ac:dyDescent="0.2">
      <c r="A124" s="118" t="s">
        <v>499</v>
      </c>
      <c r="B124" s="118" t="s">
        <v>500</v>
      </c>
      <c r="C124" s="118">
        <v>2024</v>
      </c>
      <c r="D124" s="118" t="s">
        <v>501</v>
      </c>
      <c r="E124" s="118" t="s">
        <v>503</v>
      </c>
      <c r="F124" s="118" t="s">
        <v>504</v>
      </c>
      <c r="G124" s="118" t="s">
        <v>506</v>
      </c>
      <c r="H124" s="118" t="s">
        <v>15</v>
      </c>
      <c r="I124" s="118" t="s">
        <v>253</v>
      </c>
      <c r="J124" s="118" t="s">
        <v>502</v>
      </c>
      <c r="K124" s="118" t="s">
        <v>505</v>
      </c>
      <c r="L124" s="118"/>
      <c r="M124" s="118"/>
      <c r="N124" s="42"/>
      <c r="O124" s="42" t="s">
        <v>193</v>
      </c>
      <c r="P124" s="42" t="s">
        <v>194</v>
      </c>
      <c r="Q124" s="42"/>
      <c r="R124" s="42"/>
      <c r="S124" s="3"/>
      <c r="T124" s="3"/>
      <c r="U124" s="3"/>
      <c r="V124" s="3"/>
      <c r="W124" s="3"/>
      <c r="X124" s="3"/>
      <c r="Y124" s="3"/>
      <c r="Z124" s="3"/>
      <c r="AA124" s="3"/>
      <c r="AB124" s="3"/>
      <c r="AC124" s="3"/>
      <c r="AD124" s="3"/>
      <c r="AE124" s="3"/>
      <c r="AF124" s="3"/>
      <c r="AG124" s="3"/>
      <c r="AH124" s="3"/>
      <c r="AI124" s="3"/>
      <c r="AJ124" s="3"/>
      <c r="AK124" s="3"/>
      <c r="AL124" s="3"/>
    </row>
    <row r="125" spans="1:38" ht="14.25" customHeight="1" x14ac:dyDescent="0.2">
      <c r="A125" s="118" t="s">
        <v>507</v>
      </c>
      <c r="B125" s="118" t="s">
        <v>508</v>
      </c>
      <c r="C125" s="118">
        <v>2022</v>
      </c>
      <c r="D125" s="118" t="s">
        <v>509</v>
      </c>
      <c r="E125" s="118" t="s">
        <v>511</v>
      </c>
      <c r="F125" s="118" t="s">
        <v>512</v>
      </c>
      <c r="G125" s="118" t="s">
        <v>228</v>
      </c>
      <c r="H125" s="118" t="s">
        <v>15</v>
      </c>
      <c r="I125" s="118" t="s">
        <v>230</v>
      </c>
      <c r="J125" s="118" t="s">
        <v>510</v>
      </c>
      <c r="K125" s="118" t="s">
        <v>513</v>
      </c>
      <c r="L125" s="118"/>
      <c r="M125" s="118"/>
      <c r="N125" s="42"/>
      <c r="O125" s="42" t="s">
        <v>193</v>
      </c>
      <c r="P125" s="42" t="s">
        <v>194</v>
      </c>
      <c r="Q125" s="42"/>
      <c r="R125" s="42"/>
      <c r="S125" s="3"/>
      <c r="T125" s="3"/>
      <c r="U125" s="3"/>
      <c r="V125" s="3"/>
      <c r="W125" s="3"/>
      <c r="X125" s="3"/>
      <c r="Y125" s="3"/>
      <c r="Z125" s="3"/>
      <c r="AA125" s="3"/>
      <c r="AB125" s="3"/>
      <c r="AC125" s="3"/>
      <c r="AD125" s="3"/>
      <c r="AE125" s="3"/>
      <c r="AF125" s="3"/>
      <c r="AG125" s="3"/>
      <c r="AH125" s="3"/>
      <c r="AI125" s="3"/>
      <c r="AJ125" s="3"/>
      <c r="AK125" s="3"/>
      <c r="AL125" s="3"/>
    </row>
    <row r="126" spans="1:38" ht="14.25" customHeight="1" x14ac:dyDescent="0.2">
      <c r="A126" s="118" t="s">
        <v>514</v>
      </c>
      <c r="B126" s="118" t="s">
        <v>515</v>
      </c>
      <c r="C126" s="118">
        <v>2026</v>
      </c>
      <c r="D126" s="118" t="s">
        <v>516</v>
      </c>
      <c r="E126" s="118" t="s">
        <v>518</v>
      </c>
      <c r="F126" s="118" t="s">
        <v>519</v>
      </c>
      <c r="G126" s="118" t="s">
        <v>260</v>
      </c>
      <c r="H126" s="118" t="s">
        <v>15</v>
      </c>
      <c r="I126" s="118" t="s">
        <v>253</v>
      </c>
      <c r="J126" s="118" t="s">
        <v>517</v>
      </c>
      <c r="K126" s="118" t="s">
        <v>520</v>
      </c>
      <c r="L126" s="118"/>
      <c r="M126" s="118"/>
      <c r="N126" s="42"/>
      <c r="O126" s="42" t="s">
        <v>193</v>
      </c>
      <c r="P126" s="42" t="s">
        <v>194</v>
      </c>
      <c r="Q126" s="42"/>
      <c r="R126" s="42"/>
      <c r="S126" s="3"/>
      <c r="T126" s="3"/>
      <c r="U126" s="3"/>
      <c r="V126" s="3"/>
      <c r="W126" s="3"/>
      <c r="X126" s="3"/>
      <c r="Y126" s="3"/>
      <c r="Z126" s="3"/>
      <c r="AA126" s="3"/>
      <c r="AB126" s="3"/>
      <c r="AC126" s="3"/>
      <c r="AD126" s="3"/>
      <c r="AE126" s="3"/>
      <c r="AF126" s="3"/>
      <c r="AG126" s="3"/>
      <c r="AH126" s="3"/>
      <c r="AI126" s="3"/>
      <c r="AJ126" s="3"/>
      <c r="AK126" s="3"/>
      <c r="AL126" s="3"/>
    </row>
    <row r="127" spans="1:38" ht="14.25" customHeight="1" x14ac:dyDescent="0.2">
      <c r="A127" s="118" t="s">
        <v>521</v>
      </c>
      <c r="B127" s="118" t="s">
        <v>522</v>
      </c>
      <c r="C127" s="118">
        <v>2024</v>
      </c>
      <c r="D127" s="118" t="s">
        <v>523</v>
      </c>
      <c r="E127" s="118" t="s">
        <v>525</v>
      </c>
      <c r="F127" s="118" t="s">
        <v>526</v>
      </c>
      <c r="G127" s="118" t="s">
        <v>228</v>
      </c>
      <c r="H127" s="118" t="s">
        <v>15</v>
      </c>
      <c r="I127" s="118" t="s">
        <v>230</v>
      </c>
      <c r="J127" s="118" t="s">
        <v>524</v>
      </c>
      <c r="K127" s="118" t="s">
        <v>527</v>
      </c>
      <c r="L127" s="118"/>
      <c r="M127" s="118"/>
      <c r="N127" s="42"/>
      <c r="O127" s="42" t="s">
        <v>193</v>
      </c>
      <c r="P127" s="42" t="s">
        <v>194</v>
      </c>
      <c r="Q127" s="42"/>
      <c r="R127" s="42"/>
      <c r="S127" s="3"/>
      <c r="T127" s="3"/>
      <c r="U127" s="3"/>
      <c r="V127" s="3"/>
      <c r="W127" s="3"/>
      <c r="X127" s="3"/>
      <c r="Y127" s="3"/>
      <c r="Z127" s="3"/>
      <c r="AA127" s="3"/>
      <c r="AB127" s="3"/>
      <c r="AC127" s="3"/>
      <c r="AD127" s="3"/>
      <c r="AE127" s="3"/>
      <c r="AF127" s="3"/>
      <c r="AG127" s="3"/>
      <c r="AH127" s="3"/>
      <c r="AI127" s="3"/>
      <c r="AJ127" s="3"/>
      <c r="AK127" s="3"/>
      <c r="AL127" s="3"/>
    </row>
    <row r="128" spans="1:38" ht="14.25" customHeight="1" x14ac:dyDescent="0.2">
      <c r="A128" s="118" t="s">
        <v>528</v>
      </c>
      <c r="B128" s="118" t="s">
        <v>529</v>
      </c>
      <c r="C128" s="118">
        <v>2024</v>
      </c>
      <c r="D128" s="118" t="s">
        <v>530</v>
      </c>
      <c r="E128" s="118" t="s">
        <v>532</v>
      </c>
      <c r="F128" s="118" t="s">
        <v>533</v>
      </c>
      <c r="G128" s="118" t="s">
        <v>473</v>
      </c>
      <c r="H128" s="118" t="s">
        <v>15</v>
      </c>
      <c r="I128" s="118" t="s">
        <v>230</v>
      </c>
      <c r="J128" s="118" t="s">
        <v>531</v>
      </c>
      <c r="K128" s="118">
        <v>0</v>
      </c>
      <c r="L128" s="118"/>
      <c r="M128" s="118"/>
      <c r="N128" s="42"/>
      <c r="O128" s="42" t="s">
        <v>193</v>
      </c>
      <c r="P128" s="42" t="s">
        <v>194</v>
      </c>
      <c r="Q128" s="42"/>
      <c r="R128" s="42"/>
      <c r="S128" s="3"/>
      <c r="T128" s="3"/>
      <c r="U128" s="3"/>
      <c r="V128" s="3"/>
      <c r="W128" s="3"/>
      <c r="X128" s="3"/>
      <c r="Y128" s="3"/>
      <c r="Z128" s="3"/>
      <c r="AA128" s="3"/>
      <c r="AB128" s="3"/>
      <c r="AC128" s="3"/>
      <c r="AD128" s="3"/>
      <c r="AE128" s="3"/>
      <c r="AF128" s="3"/>
      <c r="AG128" s="3"/>
      <c r="AH128" s="3"/>
      <c r="AI128" s="3"/>
      <c r="AJ128" s="3"/>
      <c r="AK128" s="3"/>
      <c r="AL128" s="3"/>
    </row>
    <row r="129" spans="1:38" ht="14.25" customHeight="1" x14ac:dyDescent="0.2">
      <c r="A129" s="118" t="s">
        <v>534</v>
      </c>
      <c r="B129" s="118" t="s">
        <v>535</v>
      </c>
      <c r="C129" s="118">
        <v>2022</v>
      </c>
      <c r="D129" s="118" t="s">
        <v>536</v>
      </c>
      <c r="E129" s="118" t="s">
        <v>538</v>
      </c>
      <c r="F129" s="118">
        <v>0</v>
      </c>
      <c r="G129" s="118" t="s">
        <v>473</v>
      </c>
      <c r="H129" s="118" t="s">
        <v>15</v>
      </c>
      <c r="I129" s="118" t="s">
        <v>230</v>
      </c>
      <c r="J129" s="118" t="s">
        <v>537</v>
      </c>
      <c r="K129" s="118">
        <v>0</v>
      </c>
      <c r="L129" s="118"/>
      <c r="M129" s="118"/>
      <c r="N129" s="42"/>
      <c r="O129" s="42" t="s">
        <v>193</v>
      </c>
      <c r="P129" s="42" t="s">
        <v>194</v>
      </c>
      <c r="Q129" s="42"/>
      <c r="R129" s="42"/>
      <c r="S129" s="3"/>
      <c r="T129" s="3"/>
      <c r="U129" s="3"/>
      <c r="V129" s="3"/>
      <c r="W129" s="3"/>
      <c r="X129" s="3"/>
      <c r="Y129" s="3"/>
      <c r="Z129" s="3"/>
      <c r="AA129" s="3"/>
      <c r="AB129" s="3"/>
      <c r="AC129" s="3"/>
      <c r="AD129" s="3"/>
      <c r="AE129" s="3"/>
      <c r="AF129" s="3"/>
      <c r="AG129" s="3"/>
      <c r="AH129" s="3"/>
      <c r="AI129" s="3"/>
      <c r="AJ129" s="3"/>
      <c r="AK129" s="3"/>
      <c r="AL129" s="3"/>
    </row>
    <row r="130" spans="1:38" ht="14.25" customHeight="1" x14ac:dyDescent="0.2">
      <c r="A130" s="118" t="s">
        <v>539</v>
      </c>
      <c r="B130" s="118" t="s">
        <v>540</v>
      </c>
      <c r="C130" s="118">
        <v>2022</v>
      </c>
      <c r="D130" s="118" t="s">
        <v>541</v>
      </c>
      <c r="E130" s="118" t="s">
        <v>543</v>
      </c>
      <c r="F130" s="118" t="s">
        <v>544</v>
      </c>
      <c r="G130" s="118" t="s">
        <v>506</v>
      </c>
      <c r="H130" s="118" t="s">
        <v>15</v>
      </c>
      <c r="I130" s="118" t="s">
        <v>545</v>
      </c>
      <c r="J130" s="118" t="s">
        <v>542</v>
      </c>
      <c r="K130" s="118">
        <v>0</v>
      </c>
      <c r="L130" s="118"/>
      <c r="M130" s="118"/>
      <c r="N130" s="42"/>
      <c r="O130" s="42" t="s">
        <v>193</v>
      </c>
      <c r="P130" s="42" t="s">
        <v>194</v>
      </c>
      <c r="Q130" s="42"/>
      <c r="R130" s="42"/>
      <c r="S130" s="3"/>
      <c r="T130" s="3"/>
      <c r="U130" s="3"/>
      <c r="V130" s="3"/>
      <c r="W130" s="3"/>
      <c r="X130" s="3"/>
      <c r="Y130" s="3"/>
      <c r="Z130" s="3"/>
      <c r="AA130" s="3"/>
      <c r="AB130" s="3"/>
      <c r="AC130" s="3"/>
      <c r="AD130" s="3"/>
      <c r="AE130" s="3"/>
      <c r="AF130" s="3"/>
      <c r="AG130" s="3"/>
      <c r="AH130" s="3"/>
      <c r="AI130" s="3"/>
      <c r="AJ130" s="3"/>
      <c r="AK130" s="3"/>
      <c r="AL130" s="3"/>
    </row>
    <row r="131" spans="1:38" ht="14.25" customHeight="1" x14ac:dyDescent="0.2">
      <c r="A131" s="118" t="s">
        <v>546</v>
      </c>
      <c r="B131" s="118" t="s">
        <v>547</v>
      </c>
      <c r="C131" s="118">
        <v>2026</v>
      </c>
      <c r="D131" s="118" t="s">
        <v>548</v>
      </c>
      <c r="E131" s="118" t="s">
        <v>550</v>
      </c>
      <c r="F131" s="118" t="s">
        <v>551</v>
      </c>
      <c r="G131" s="118" t="s">
        <v>228</v>
      </c>
      <c r="H131" s="118" t="s">
        <v>15</v>
      </c>
      <c r="I131" s="118" t="s">
        <v>230</v>
      </c>
      <c r="J131" s="118" t="s">
        <v>549</v>
      </c>
      <c r="K131" s="118" t="s">
        <v>552</v>
      </c>
      <c r="L131" s="118"/>
      <c r="M131" s="118"/>
      <c r="N131" s="42"/>
      <c r="O131" s="42" t="s">
        <v>193</v>
      </c>
      <c r="P131" s="42" t="s">
        <v>194</v>
      </c>
      <c r="Q131" s="42"/>
      <c r="R131" s="42"/>
      <c r="S131" s="3"/>
      <c r="T131" s="3"/>
      <c r="U131" s="3"/>
      <c r="V131" s="3"/>
      <c r="W131" s="3"/>
      <c r="X131" s="3"/>
      <c r="Y131" s="3"/>
      <c r="Z131" s="3"/>
      <c r="AA131" s="3"/>
      <c r="AB131" s="3"/>
      <c r="AC131" s="3"/>
      <c r="AD131" s="3"/>
      <c r="AE131" s="3"/>
      <c r="AF131" s="3"/>
      <c r="AG131" s="3"/>
      <c r="AH131" s="3"/>
      <c r="AI131" s="3"/>
      <c r="AJ131" s="3"/>
      <c r="AK131" s="3"/>
      <c r="AL131" s="3"/>
    </row>
    <row r="132" spans="1:38" ht="14.25" customHeight="1" x14ac:dyDescent="0.2">
      <c r="A132" s="118" t="s">
        <v>553</v>
      </c>
      <c r="B132" s="118" t="s">
        <v>554</v>
      </c>
      <c r="C132" s="118">
        <v>2025</v>
      </c>
      <c r="D132" s="118" t="s">
        <v>233</v>
      </c>
      <c r="E132" s="118" t="s">
        <v>556</v>
      </c>
      <c r="F132" s="118" t="s">
        <v>557</v>
      </c>
      <c r="G132" s="118" t="s">
        <v>238</v>
      </c>
      <c r="H132" s="118" t="s">
        <v>15</v>
      </c>
      <c r="I132" s="118" t="s">
        <v>230</v>
      </c>
      <c r="J132" s="118" t="s">
        <v>555</v>
      </c>
      <c r="K132" s="118" t="s">
        <v>558</v>
      </c>
      <c r="L132" s="118"/>
      <c r="M132" s="118"/>
      <c r="N132" s="42"/>
      <c r="O132" s="42" t="s">
        <v>193</v>
      </c>
      <c r="P132" s="42" t="s">
        <v>194</v>
      </c>
      <c r="Q132" s="42"/>
      <c r="R132" s="42"/>
      <c r="S132" s="3"/>
      <c r="T132" s="3"/>
      <c r="U132" s="3"/>
      <c r="V132" s="3"/>
      <c r="W132" s="3"/>
      <c r="X132" s="3"/>
      <c r="Y132" s="3"/>
      <c r="Z132" s="3"/>
      <c r="AA132" s="3"/>
      <c r="AB132" s="3"/>
      <c r="AC132" s="3"/>
      <c r="AD132" s="3"/>
      <c r="AE132" s="3"/>
      <c r="AF132" s="3"/>
      <c r="AG132" s="3"/>
      <c r="AH132" s="3"/>
      <c r="AI132" s="3"/>
      <c r="AJ132" s="3"/>
      <c r="AK132" s="3"/>
      <c r="AL132" s="3"/>
    </row>
    <row r="133" spans="1:38" ht="14.25" customHeight="1" x14ac:dyDescent="0.2">
      <c r="A133" s="118" t="s">
        <v>559</v>
      </c>
      <c r="B133" s="118" t="s">
        <v>560</v>
      </c>
      <c r="C133" s="118">
        <v>2026</v>
      </c>
      <c r="D133" s="118" t="s">
        <v>269</v>
      </c>
      <c r="E133" s="118" t="s">
        <v>562</v>
      </c>
      <c r="F133" s="118" t="s">
        <v>563</v>
      </c>
      <c r="G133" s="118" t="s">
        <v>274</v>
      </c>
      <c r="H133" s="118" t="s">
        <v>15</v>
      </c>
      <c r="I133" s="118" t="s">
        <v>253</v>
      </c>
      <c r="J133" s="118" t="s">
        <v>561</v>
      </c>
      <c r="K133" s="118" t="s">
        <v>564</v>
      </c>
      <c r="L133" s="118"/>
      <c r="M133" s="118"/>
      <c r="N133" s="42"/>
      <c r="O133" s="42" t="s">
        <v>193</v>
      </c>
      <c r="P133" s="42" t="s">
        <v>194</v>
      </c>
      <c r="Q133" s="42"/>
      <c r="R133" s="42"/>
      <c r="S133" s="3"/>
      <c r="T133" s="3"/>
      <c r="U133" s="3"/>
      <c r="V133" s="3"/>
      <c r="W133" s="3"/>
      <c r="X133" s="3"/>
      <c r="Y133" s="3"/>
      <c r="Z133" s="3"/>
      <c r="AA133" s="3"/>
      <c r="AB133" s="3"/>
      <c r="AC133" s="3"/>
      <c r="AD133" s="3"/>
      <c r="AE133" s="3"/>
      <c r="AF133" s="3"/>
      <c r="AG133" s="3"/>
      <c r="AH133" s="3"/>
      <c r="AI133" s="3"/>
      <c r="AJ133" s="3"/>
      <c r="AK133" s="3"/>
      <c r="AL133" s="3"/>
    </row>
    <row r="134" spans="1:38" ht="14.25" customHeight="1" x14ac:dyDescent="0.2">
      <c r="A134" s="118" t="s">
        <v>565</v>
      </c>
      <c r="B134" s="118" t="s">
        <v>566</v>
      </c>
      <c r="C134" s="118">
        <v>2025</v>
      </c>
      <c r="D134" s="118" t="s">
        <v>523</v>
      </c>
      <c r="E134" s="118" t="s">
        <v>568</v>
      </c>
      <c r="F134" s="118" t="s">
        <v>569</v>
      </c>
      <c r="G134" s="118" t="s">
        <v>228</v>
      </c>
      <c r="H134" s="118" t="s">
        <v>15</v>
      </c>
      <c r="I134" s="118" t="s">
        <v>230</v>
      </c>
      <c r="J134" s="118" t="s">
        <v>567</v>
      </c>
      <c r="K134" s="118" t="s">
        <v>570</v>
      </c>
      <c r="L134" s="118"/>
      <c r="M134" s="118"/>
      <c r="N134" s="42"/>
      <c r="O134" s="42" t="s">
        <v>193</v>
      </c>
      <c r="P134" s="42" t="s">
        <v>194</v>
      </c>
      <c r="Q134" s="42"/>
      <c r="R134" s="42"/>
      <c r="S134" s="3"/>
      <c r="T134" s="3"/>
      <c r="U134" s="3"/>
      <c r="V134" s="3"/>
      <c r="W134" s="3"/>
      <c r="X134" s="3"/>
      <c r="Y134" s="3"/>
      <c r="Z134" s="3"/>
      <c r="AA134" s="3"/>
      <c r="AB134" s="3"/>
      <c r="AC134" s="3"/>
      <c r="AD134" s="3"/>
      <c r="AE134" s="3"/>
      <c r="AF134" s="3"/>
      <c r="AG134" s="3"/>
      <c r="AH134" s="3"/>
      <c r="AI134" s="3"/>
      <c r="AJ134" s="3"/>
      <c r="AK134" s="3"/>
      <c r="AL134" s="3"/>
    </row>
    <row r="135" spans="1:38" ht="14.25" customHeight="1" x14ac:dyDescent="0.2">
      <c r="A135" s="118" t="s">
        <v>571</v>
      </c>
      <c r="B135" s="118" t="s">
        <v>572</v>
      </c>
      <c r="C135" s="118">
        <v>2025</v>
      </c>
      <c r="D135" s="118" t="s">
        <v>573</v>
      </c>
      <c r="E135" s="118" t="s">
        <v>575</v>
      </c>
      <c r="F135" s="118" t="s">
        <v>576</v>
      </c>
      <c r="G135" s="118" t="s">
        <v>578</v>
      </c>
      <c r="H135" s="118" t="s">
        <v>15</v>
      </c>
      <c r="I135" s="118" t="s">
        <v>253</v>
      </c>
      <c r="J135" s="118" t="s">
        <v>574</v>
      </c>
      <c r="K135" s="118" t="s">
        <v>577</v>
      </c>
      <c r="L135" s="118"/>
      <c r="M135" s="118"/>
      <c r="N135" s="42"/>
      <c r="O135" s="42" t="s">
        <v>193</v>
      </c>
      <c r="P135" s="42" t="s">
        <v>194</v>
      </c>
      <c r="Q135" s="42"/>
      <c r="R135" s="42"/>
      <c r="S135" s="3"/>
      <c r="T135" s="3"/>
      <c r="U135" s="3"/>
      <c r="V135" s="3"/>
      <c r="W135" s="3"/>
      <c r="X135" s="3"/>
      <c r="Y135" s="3"/>
      <c r="Z135" s="3"/>
      <c r="AA135" s="3"/>
      <c r="AB135" s="3"/>
      <c r="AC135" s="3"/>
      <c r="AD135" s="3"/>
      <c r="AE135" s="3"/>
      <c r="AF135" s="3"/>
      <c r="AG135" s="3"/>
      <c r="AH135" s="3"/>
      <c r="AI135" s="3"/>
      <c r="AJ135" s="3"/>
      <c r="AK135" s="3"/>
      <c r="AL135" s="3"/>
    </row>
    <row r="136" spans="1:38" ht="14.25" customHeight="1" x14ac:dyDescent="0.2">
      <c r="A136" s="118" t="s">
        <v>579</v>
      </c>
      <c r="B136" s="118" t="s">
        <v>580</v>
      </c>
      <c r="C136" s="118">
        <v>2023</v>
      </c>
      <c r="D136" s="118" t="s">
        <v>581</v>
      </c>
      <c r="E136" s="118" t="s">
        <v>583</v>
      </c>
      <c r="F136" s="118" t="s">
        <v>584</v>
      </c>
      <c r="G136" s="118" t="s">
        <v>586</v>
      </c>
      <c r="H136" s="118" t="s">
        <v>15</v>
      </c>
      <c r="I136" s="118" t="s">
        <v>253</v>
      </c>
      <c r="J136" s="118" t="s">
        <v>582</v>
      </c>
      <c r="K136" s="118" t="s">
        <v>585</v>
      </c>
      <c r="L136" s="118"/>
      <c r="M136" s="118"/>
      <c r="N136" s="42"/>
      <c r="O136" s="42" t="s">
        <v>193</v>
      </c>
      <c r="P136" s="42" t="s">
        <v>194</v>
      </c>
      <c r="Q136" s="42"/>
      <c r="R136" s="42"/>
      <c r="S136" s="3"/>
      <c r="T136" s="119"/>
      <c r="U136" s="119"/>
      <c r="V136" s="119"/>
      <c r="W136" s="119"/>
      <c r="X136" s="119"/>
      <c r="Y136" s="119"/>
      <c r="Z136" s="119"/>
      <c r="AA136" s="119"/>
      <c r="AB136" s="119"/>
      <c r="AC136" s="119"/>
      <c r="AD136" s="119"/>
      <c r="AE136" s="119"/>
      <c r="AF136" s="119"/>
      <c r="AG136" s="119"/>
      <c r="AH136" s="119"/>
      <c r="AI136" s="119"/>
      <c r="AJ136" s="119"/>
      <c r="AK136" s="119"/>
      <c r="AL136" s="119"/>
    </row>
    <row r="137" spans="1:38" ht="14.25" customHeight="1" x14ac:dyDescent="0.2">
      <c r="A137" s="118" t="s">
        <v>587</v>
      </c>
      <c r="B137" s="118" t="s">
        <v>588</v>
      </c>
      <c r="C137" s="118">
        <v>2026</v>
      </c>
      <c r="D137" s="118" t="s">
        <v>331</v>
      </c>
      <c r="E137" s="118" t="s">
        <v>590</v>
      </c>
      <c r="F137" s="118" t="s">
        <v>591</v>
      </c>
      <c r="G137" s="118" t="s">
        <v>336</v>
      </c>
      <c r="H137" s="118" t="s">
        <v>15</v>
      </c>
      <c r="I137" s="118" t="s">
        <v>253</v>
      </c>
      <c r="J137" s="118" t="s">
        <v>589</v>
      </c>
      <c r="K137" s="118" t="s">
        <v>592</v>
      </c>
      <c r="L137" s="118"/>
      <c r="M137" s="118"/>
      <c r="N137" s="42"/>
      <c r="O137" s="42" t="s">
        <v>193</v>
      </c>
      <c r="P137" s="42" t="s">
        <v>194</v>
      </c>
      <c r="Q137" s="42"/>
      <c r="R137" s="42"/>
      <c r="S137" s="3"/>
      <c r="T137" s="119"/>
      <c r="U137" s="119"/>
      <c r="V137" s="119"/>
      <c r="W137" s="119"/>
      <c r="X137" s="119"/>
      <c r="Y137" s="119"/>
      <c r="Z137" s="119"/>
      <c r="AA137" s="119"/>
      <c r="AB137" s="119"/>
      <c r="AC137" s="119"/>
      <c r="AD137" s="119"/>
      <c r="AE137" s="119"/>
      <c r="AF137" s="119"/>
      <c r="AG137" s="119"/>
      <c r="AH137" s="119"/>
      <c r="AI137" s="119"/>
      <c r="AJ137" s="119"/>
      <c r="AK137" s="119"/>
      <c r="AL137" s="119"/>
    </row>
    <row r="138" spans="1:38" ht="14.25" customHeight="1" x14ac:dyDescent="0.2">
      <c r="A138" s="118" t="s">
        <v>593</v>
      </c>
      <c r="B138" s="118" t="s">
        <v>594</v>
      </c>
      <c r="C138" s="118">
        <v>2022</v>
      </c>
      <c r="D138" s="118" t="s">
        <v>277</v>
      </c>
      <c r="E138" s="118" t="s">
        <v>596</v>
      </c>
      <c r="F138" s="118" t="s">
        <v>597</v>
      </c>
      <c r="G138" s="118" t="s">
        <v>586</v>
      </c>
      <c r="H138" s="118" t="s">
        <v>15</v>
      </c>
      <c r="I138" s="118" t="s">
        <v>253</v>
      </c>
      <c r="J138" s="118" t="s">
        <v>595</v>
      </c>
      <c r="K138" s="118" t="s">
        <v>598</v>
      </c>
      <c r="L138" s="118"/>
      <c r="M138" s="118"/>
      <c r="N138" s="42"/>
      <c r="O138" s="42" t="s">
        <v>193</v>
      </c>
      <c r="P138" s="42" t="s">
        <v>194</v>
      </c>
      <c r="Q138" s="42"/>
      <c r="R138" s="42"/>
      <c r="S138" s="3"/>
      <c r="T138" s="119"/>
      <c r="U138" s="119"/>
      <c r="V138" s="119"/>
      <c r="W138" s="119"/>
      <c r="X138" s="119"/>
      <c r="Y138" s="119"/>
      <c r="Z138" s="119"/>
      <c r="AA138" s="119"/>
      <c r="AB138" s="119"/>
      <c r="AC138" s="119"/>
      <c r="AD138" s="119"/>
      <c r="AE138" s="119"/>
      <c r="AF138" s="119"/>
      <c r="AG138" s="119"/>
      <c r="AH138" s="119"/>
      <c r="AI138" s="119"/>
      <c r="AJ138" s="119"/>
      <c r="AK138" s="119"/>
      <c r="AL138" s="119"/>
    </row>
    <row r="139" spans="1:38" ht="14.25" customHeight="1" x14ac:dyDescent="0.2">
      <c r="A139" s="118" t="s">
        <v>599</v>
      </c>
      <c r="B139" s="118" t="s">
        <v>600</v>
      </c>
      <c r="C139" s="118">
        <v>2024</v>
      </c>
      <c r="D139" s="118" t="s">
        <v>233</v>
      </c>
      <c r="E139" s="118" t="s">
        <v>602</v>
      </c>
      <c r="F139" s="118" t="s">
        <v>603</v>
      </c>
      <c r="G139" s="118" t="s">
        <v>238</v>
      </c>
      <c r="H139" s="118" t="s">
        <v>15</v>
      </c>
      <c r="I139" s="118" t="s">
        <v>230</v>
      </c>
      <c r="J139" s="118" t="s">
        <v>601</v>
      </c>
      <c r="K139" s="118" t="s">
        <v>604</v>
      </c>
      <c r="L139" s="118"/>
      <c r="M139" s="118"/>
      <c r="N139" s="42"/>
      <c r="O139" s="42" t="s">
        <v>193</v>
      </c>
      <c r="P139" s="42" t="s">
        <v>194</v>
      </c>
      <c r="Q139" s="42"/>
      <c r="R139" s="42"/>
      <c r="S139" s="3"/>
      <c r="T139" s="119"/>
      <c r="U139" s="119"/>
      <c r="V139" s="119"/>
      <c r="W139" s="119"/>
      <c r="X139" s="119"/>
      <c r="Y139" s="119"/>
      <c r="Z139" s="119"/>
      <c r="AA139" s="119"/>
      <c r="AB139" s="119"/>
      <c r="AC139" s="119"/>
      <c r="AD139" s="119"/>
      <c r="AE139" s="119"/>
      <c r="AF139" s="119"/>
      <c r="AG139" s="119"/>
      <c r="AH139" s="119"/>
      <c r="AI139" s="119"/>
      <c r="AJ139" s="119"/>
      <c r="AK139" s="119"/>
      <c r="AL139" s="119"/>
    </row>
    <row r="140" spans="1:38" ht="14.25" customHeight="1" x14ac:dyDescent="0.2">
      <c r="A140" s="118" t="s">
        <v>605</v>
      </c>
      <c r="B140" s="118" t="s">
        <v>606</v>
      </c>
      <c r="C140" s="118">
        <v>2022</v>
      </c>
      <c r="D140" s="118" t="s">
        <v>607</v>
      </c>
      <c r="E140" s="118" t="s">
        <v>608</v>
      </c>
      <c r="F140" s="118" t="s">
        <v>609</v>
      </c>
      <c r="G140" s="118" t="s">
        <v>610</v>
      </c>
      <c r="H140" s="118" t="s">
        <v>15</v>
      </c>
      <c r="I140" s="118" t="s">
        <v>230</v>
      </c>
      <c r="J140" s="118">
        <v>0</v>
      </c>
      <c r="K140" s="118">
        <v>0</v>
      </c>
      <c r="L140" s="118"/>
      <c r="M140" s="118"/>
      <c r="N140" s="42"/>
      <c r="O140" s="42" t="s">
        <v>193</v>
      </c>
      <c r="P140" s="42" t="s">
        <v>194</v>
      </c>
      <c r="Q140" s="42"/>
      <c r="R140" s="42"/>
      <c r="S140" s="3"/>
      <c r="T140" s="119"/>
      <c r="U140" s="119"/>
      <c r="V140" s="119"/>
      <c r="W140" s="119"/>
      <c r="X140" s="119"/>
      <c r="Y140" s="119"/>
      <c r="Z140" s="119"/>
      <c r="AA140" s="119"/>
      <c r="AB140" s="119"/>
      <c r="AC140" s="119"/>
      <c r="AD140" s="119"/>
      <c r="AE140" s="119"/>
      <c r="AF140" s="119"/>
      <c r="AG140" s="119"/>
      <c r="AH140" s="119"/>
      <c r="AI140" s="119"/>
      <c r="AJ140" s="119"/>
      <c r="AK140" s="119"/>
      <c r="AL140" s="119"/>
    </row>
    <row r="141" spans="1:38" ht="14.25" customHeight="1" x14ac:dyDescent="0.2">
      <c r="A141" s="118">
        <v>0</v>
      </c>
      <c r="B141" s="118" t="s">
        <v>229</v>
      </c>
      <c r="C141" s="118">
        <v>2025</v>
      </c>
      <c r="D141" s="118" t="s">
        <v>223</v>
      </c>
      <c r="E141" s="118" t="s">
        <v>390</v>
      </c>
      <c r="F141" s="118">
        <v>0</v>
      </c>
      <c r="G141" s="118" t="s">
        <v>228</v>
      </c>
      <c r="H141" s="118" t="s">
        <v>15</v>
      </c>
      <c r="I141" s="118" t="s">
        <v>391</v>
      </c>
      <c r="J141" s="118">
        <v>0</v>
      </c>
      <c r="K141" s="118">
        <v>0</v>
      </c>
      <c r="L141" s="118"/>
      <c r="M141" s="118"/>
      <c r="N141" s="42"/>
      <c r="O141" s="42" t="s">
        <v>193</v>
      </c>
      <c r="P141" s="42" t="s">
        <v>194</v>
      </c>
      <c r="Q141" s="42"/>
      <c r="R141" s="42"/>
      <c r="S141" s="3"/>
      <c r="T141" s="119"/>
      <c r="U141" s="119"/>
      <c r="V141" s="119"/>
      <c r="W141" s="119"/>
      <c r="X141" s="119"/>
      <c r="Y141" s="119"/>
      <c r="Z141" s="119"/>
      <c r="AA141" s="119"/>
      <c r="AB141" s="119"/>
      <c r="AC141" s="119"/>
      <c r="AD141" s="119"/>
      <c r="AE141" s="119"/>
      <c r="AF141" s="119"/>
      <c r="AG141" s="119"/>
      <c r="AH141" s="119"/>
      <c r="AI141" s="119"/>
      <c r="AJ141" s="119"/>
      <c r="AK141" s="119"/>
      <c r="AL141" s="119"/>
    </row>
    <row r="142" spans="1:38" ht="14.25" customHeight="1" x14ac:dyDescent="0.2">
      <c r="A142" s="118" t="s">
        <v>611</v>
      </c>
      <c r="B142" s="118" t="s">
        <v>612</v>
      </c>
      <c r="C142" s="118">
        <v>2023</v>
      </c>
      <c r="D142" s="118" t="s">
        <v>317</v>
      </c>
      <c r="E142" s="118" t="s">
        <v>614</v>
      </c>
      <c r="F142" s="118" t="s">
        <v>615</v>
      </c>
      <c r="G142" s="118" t="s">
        <v>322</v>
      </c>
      <c r="H142" s="118" t="s">
        <v>15</v>
      </c>
      <c r="I142" s="118" t="s">
        <v>253</v>
      </c>
      <c r="J142" s="118" t="s">
        <v>613</v>
      </c>
      <c r="K142" s="118" t="s">
        <v>616</v>
      </c>
      <c r="L142" s="118"/>
      <c r="M142" s="118"/>
      <c r="N142" s="42"/>
      <c r="O142" s="42" t="s">
        <v>193</v>
      </c>
      <c r="P142" s="42" t="s">
        <v>194</v>
      </c>
      <c r="Q142" s="42"/>
      <c r="R142" s="42"/>
      <c r="S142" s="3"/>
      <c r="T142" s="119"/>
      <c r="U142" s="119"/>
      <c r="V142" s="119"/>
      <c r="W142" s="119"/>
      <c r="X142" s="119"/>
      <c r="Y142" s="119"/>
      <c r="Z142" s="119"/>
      <c r="AA142" s="119"/>
      <c r="AB142" s="119"/>
      <c r="AC142" s="119"/>
      <c r="AD142" s="119"/>
      <c r="AE142" s="119"/>
      <c r="AF142" s="119"/>
      <c r="AG142" s="119"/>
      <c r="AH142" s="119"/>
      <c r="AI142" s="119"/>
      <c r="AJ142" s="119"/>
      <c r="AK142" s="119"/>
      <c r="AL142" s="119"/>
    </row>
    <row r="143" spans="1:38" ht="14.25" customHeight="1" x14ac:dyDescent="0.2">
      <c r="A143" s="118" t="s">
        <v>507</v>
      </c>
      <c r="B143" s="118" t="s">
        <v>617</v>
      </c>
      <c r="C143" s="118">
        <v>2022</v>
      </c>
      <c r="D143" s="118" t="s">
        <v>509</v>
      </c>
      <c r="E143" s="118" t="s">
        <v>619</v>
      </c>
      <c r="F143" s="118" t="s">
        <v>620</v>
      </c>
      <c r="G143" s="118" t="s">
        <v>228</v>
      </c>
      <c r="H143" s="118" t="s">
        <v>15</v>
      </c>
      <c r="I143" s="118" t="s">
        <v>230</v>
      </c>
      <c r="J143" s="118" t="s">
        <v>618</v>
      </c>
      <c r="K143" s="118" t="s">
        <v>513</v>
      </c>
      <c r="L143" s="118"/>
      <c r="M143" s="118"/>
      <c r="N143" s="42"/>
      <c r="O143" s="42" t="s">
        <v>193</v>
      </c>
      <c r="P143" s="42" t="s">
        <v>194</v>
      </c>
      <c r="Q143" s="42"/>
      <c r="R143" s="42"/>
      <c r="S143" s="3"/>
      <c r="T143" s="119"/>
      <c r="U143" s="119"/>
      <c r="V143" s="119"/>
      <c r="W143" s="119"/>
      <c r="X143" s="119"/>
      <c r="Y143" s="119"/>
      <c r="Z143" s="119"/>
      <c r="AA143" s="119"/>
      <c r="AB143" s="119"/>
      <c r="AC143" s="119"/>
      <c r="AD143" s="119"/>
      <c r="AE143" s="119"/>
      <c r="AF143" s="119"/>
      <c r="AG143" s="119"/>
      <c r="AH143" s="119"/>
      <c r="AI143" s="119"/>
      <c r="AJ143" s="119"/>
      <c r="AK143" s="119"/>
      <c r="AL143" s="119"/>
    </row>
    <row r="144" spans="1:38" ht="14.25" customHeight="1" x14ac:dyDescent="0.2">
      <c r="A144" s="118" t="s">
        <v>621</v>
      </c>
      <c r="B144" s="118" t="s">
        <v>622</v>
      </c>
      <c r="C144" s="118">
        <v>2024</v>
      </c>
      <c r="D144" s="118" t="s">
        <v>233</v>
      </c>
      <c r="E144" s="118" t="s">
        <v>624</v>
      </c>
      <c r="F144" s="118" t="s">
        <v>625</v>
      </c>
      <c r="G144" s="118" t="s">
        <v>238</v>
      </c>
      <c r="H144" s="118" t="s">
        <v>15</v>
      </c>
      <c r="I144" s="118" t="s">
        <v>230</v>
      </c>
      <c r="J144" s="118" t="s">
        <v>623</v>
      </c>
      <c r="K144" s="118">
        <v>0</v>
      </c>
      <c r="L144" s="118"/>
      <c r="M144" s="118"/>
      <c r="N144" s="42"/>
      <c r="O144" s="42" t="s">
        <v>193</v>
      </c>
      <c r="P144" s="42" t="s">
        <v>194</v>
      </c>
      <c r="Q144" s="42"/>
      <c r="R144" s="42"/>
      <c r="S144" s="3"/>
      <c r="T144" s="119"/>
      <c r="U144" s="119"/>
      <c r="V144" s="119"/>
      <c r="W144" s="119"/>
      <c r="X144" s="119"/>
      <c r="Y144" s="119"/>
      <c r="Z144" s="119"/>
      <c r="AA144" s="119"/>
      <c r="AB144" s="119"/>
      <c r="AC144" s="119"/>
      <c r="AD144" s="119"/>
      <c r="AE144" s="119"/>
      <c r="AF144" s="119"/>
      <c r="AG144" s="119"/>
      <c r="AH144" s="119"/>
      <c r="AI144" s="119"/>
      <c r="AJ144" s="119"/>
      <c r="AK144" s="119"/>
      <c r="AL144" s="119"/>
    </row>
    <row r="145" spans="1:38" ht="14.25" customHeight="1" x14ac:dyDescent="0.2">
      <c r="A145" s="118" t="s">
        <v>626</v>
      </c>
      <c r="B145" s="118" t="s">
        <v>627</v>
      </c>
      <c r="C145" s="118">
        <v>2026</v>
      </c>
      <c r="D145" s="118" t="s">
        <v>394</v>
      </c>
      <c r="E145" s="118" t="s">
        <v>629</v>
      </c>
      <c r="F145" s="118" t="s">
        <v>630</v>
      </c>
      <c r="G145" s="118" t="s">
        <v>274</v>
      </c>
      <c r="H145" s="118" t="s">
        <v>15</v>
      </c>
      <c r="I145" s="118" t="s">
        <v>253</v>
      </c>
      <c r="J145" s="118" t="s">
        <v>628</v>
      </c>
      <c r="K145" s="118" t="s">
        <v>631</v>
      </c>
      <c r="L145" s="118"/>
      <c r="M145" s="118"/>
      <c r="N145" s="42"/>
      <c r="O145" s="42" t="s">
        <v>193</v>
      </c>
      <c r="P145" s="42" t="s">
        <v>194</v>
      </c>
      <c r="Q145" s="42"/>
      <c r="R145" s="42"/>
      <c r="S145" s="3"/>
      <c r="T145" s="119"/>
      <c r="U145" s="119"/>
      <c r="V145" s="119"/>
      <c r="W145" s="119"/>
      <c r="X145" s="119"/>
      <c r="Y145" s="119"/>
      <c r="Z145" s="119"/>
      <c r="AA145" s="119"/>
      <c r="AB145" s="119"/>
      <c r="AC145" s="119"/>
      <c r="AD145" s="119"/>
      <c r="AE145" s="119"/>
      <c r="AF145" s="119"/>
      <c r="AG145" s="119"/>
      <c r="AH145" s="119"/>
      <c r="AI145" s="119"/>
      <c r="AJ145" s="119"/>
      <c r="AK145" s="119"/>
      <c r="AL145" s="119"/>
    </row>
    <row r="146" spans="1:38" ht="14.25" customHeight="1" x14ac:dyDescent="0.2">
      <c r="A146" s="118" t="s">
        <v>632</v>
      </c>
      <c r="B146" s="118" t="s">
        <v>633</v>
      </c>
      <c r="C146" s="118">
        <v>2025</v>
      </c>
      <c r="D146" s="118" t="s">
        <v>634</v>
      </c>
      <c r="E146" s="118" t="s">
        <v>636</v>
      </c>
      <c r="F146" s="118" t="s">
        <v>637</v>
      </c>
      <c r="G146" s="118" t="s">
        <v>639</v>
      </c>
      <c r="H146" s="118" t="s">
        <v>15</v>
      </c>
      <c r="I146" s="118" t="s">
        <v>230</v>
      </c>
      <c r="J146" s="118" t="s">
        <v>635</v>
      </c>
      <c r="K146" s="118" t="s">
        <v>638</v>
      </c>
      <c r="L146" s="118"/>
      <c r="M146" s="118"/>
      <c r="N146" s="42"/>
      <c r="O146" s="42" t="s">
        <v>193</v>
      </c>
      <c r="P146" s="42" t="s">
        <v>194</v>
      </c>
      <c r="Q146" s="42"/>
      <c r="R146" s="42"/>
      <c r="S146" s="3"/>
      <c r="T146" s="119"/>
      <c r="U146" s="119"/>
      <c r="V146" s="119"/>
      <c r="W146" s="119"/>
      <c r="X146" s="119"/>
      <c r="Y146" s="119"/>
      <c r="Z146" s="119"/>
      <c r="AA146" s="119"/>
      <c r="AB146" s="119"/>
      <c r="AC146" s="119"/>
      <c r="AD146" s="119"/>
      <c r="AE146" s="119"/>
      <c r="AF146" s="119"/>
      <c r="AG146" s="119"/>
      <c r="AH146" s="119"/>
      <c r="AI146" s="119"/>
      <c r="AJ146" s="119"/>
      <c r="AK146" s="119"/>
      <c r="AL146" s="119"/>
    </row>
    <row r="147" spans="1:38" ht="14.25" customHeight="1" x14ac:dyDescent="0.2">
      <c r="A147" s="118" t="s">
        <v>640</v>
      </c>
      <c r="B147" s="118" t="s">
        <v>641</v>
      </c>
      <c r="C147" s="118">
        <v>2025</v>
      </c>
      <c r="D147" s="118" t="s">
        <v>233</v>
      </c>
      <c r="E147" s="118" t="s">
        <v>643</v>
      </c>
      <c r="F147" s="118" t="s">
        <v>644</v>
      </c>
      <c r="G147" s="118" t="s">
        <v>238</v>
      </c>
      <c r="H147" s="118" t="s">
        <v>15</v>
      </c>
      <c r="I147" s="118" t="s">
        <v>230</v>
      </c>
      <c r="J147" s="118" t="s">
        <v>642</v>
      </c>
      <c r="K147" s="118" t="s">
        <v>645</v>
      </c>
      <c r="L147" s="118"/>
      <c r="M147" s="118"/>
      <c r="N147" s="42"/>
      <c r="O147" s="42" t="s">
        <v>193</v>
      </c>
      <c r="P147" s="42" t="s">
        <v>194</v>
      </c>
      <c r="Q147" s="42"/>
      <c r="R147" s="42"/>
      <c r="S147" s="3"/>
      <c r="T147" s="119"/>
      <c r="U147" s="119"/>
      <c r="V147" s="119"/>
      <c r="W147" s="119"/>
      <c r="X147" s="119"/>
      <c r="Y147" s="119"/>
      <c r="Z147" s="119"/>
      <c r="AA147" s="119"/>
      <c r="AB147" s="119"/>
      <c r="AC147" s="119"/>
      <c r="AD147" s="119"/>
      <c r="AE147" s="119"/>
      <c r="AF147" s="119"/>
      <c r="AG147" s="119"/>
      <c r="AH147" s="119"/>
      <c r="AI147" s="119"/>
      <c r="AJ147" s="119"/>
      <c r="AK147" s="119"/>
      <c r="AL147" s="119"/>
    </row>
    <row r="148" spans="1:38" ht="14.25" customHeight="1" x14ac:dyDescent="0.2">
      <c r="A148" s="118" t="s">
        <v>646</v>
      </c>
      <c r="B148" s="118" t="s">
        <v>647</v>
      </c>
      <c r="C148" s="118">
        <v>2023</v>
      </c>
      <c r="D148" s="118" t="s">
        <v>509</v>
      </c>
      <c r="E148" s="118" t="s">
        <v>649</v>
      </c>
      <c r="F148" s="118" t="s">
        <v>650</v>
      </c>
      <c r="G148" s="118" t="s">
        <v>228</v>
      </c>
      <c r="H148" s="118" t="s">
        <v>15</v>
      </c>
      <c r="I148" s="118" t="s">
        <v>230</v>
      </c>
      <c r="J148" s="118" t="s">
        <v>648</v>
      </c>
      <c r="K148" s="118" t="s">
        <v>651</v>
      </c>
      <c r="L148" s="118"/>
      <c r="M148" s="118"/>
      <c r="N148" s="42"/>
      <c r="O148" s="42" t="s">
        <v>193</v>
      </c>
      <c r="P148" s="42" t="s">
        <v>194</v>
      </c>
      <c r="Q148" s="42"/>
      <c r="R148" s="42"/>
      <c r="S148" s="3"/>
      <c r="T148" s="119"/>
      <c r="U148" s="119"/>
      <c r="V148" s="119"/>
      <c r="W148" s="119"/>
      <c r="X148" s="119"/>
      <c r="Y148" s="119"/>
      <c r="Z148" s="119"/>
      <c r="AA148" s="119"/>
      <c r="AB148" s="119"/>
      <c r="AC148" s="119"/>
      <c r="AD148" s="119"/>
      <c r="AE148" s="119"/>
      <c r="AF148" s="119"/>
      <c r="AG148" s="119"/>
      <c r="AH148" s="119"/>
      <c r="AI148" s="119"/>
      <c r="AJ148" s="119"/>
      <c r="AK148" s="119"/>
      <c r="AL148" s="119"/>
    </row>
    <row r="149" spans="1:38" ht="14.25" customHeight="1" x14ac:dyDescent="0.2">
      <c r="A149" s="118" t="s">
        <v>652</v>
      </c>
      <c r="B149" s="118" t="s">
        <v>653</v>
      </c>
      <c r="C149" s="118">
        <v>2023</v>
      </c>
      <c r="D149" s="118" t="s">
        <v>654</v>
      </c>
      <c r="E149" s="118" t="s">
        <v>656</v>
      </c>
      <c r="F149" s="118" t="s">
        <v>657</v>
      </c>
      <c r="G149" s="118" t="s">
        <v>228</v>
      </c>
      <c r="H149" s="118" t="s">
        <v>15</v>
      </c>
      <c r="I149" s="118" t="s">
        <v>253</v>
      </c>
      <c r="J149" s="118" t="s">
        <v>655</v>
      </c>
      <c r="K149" s="118" t="s">
        <v>658</v>
      </c>
      <c r="L149" s="118"/>
      <c r="M149" s="118"/>
      <c r="N149" s="42"/>
      <c r="O149" s="42" t="s">
        <v>193</v>
      </c>
      <c r="P149" s="42" t="s">
        <v>194</v>
      </c>
      <c r="Q149" s="42"/>
      <c r="R149" s="42"/>
      <c r="S149" s="3"/>
      <c r="T149" s="119"/>
      <c r="U149" s="119"/>
      <c r="V149" s="119"/>
      <c r="W149" s="119"/>
      <c r="X149" s="119"/>
      <c r="Y149" s="119"/>
      <c r="Z149" s="119"/>
      <c r="AA149" s="119"/>
      <c r="AB149" s="119"/>
      <c r="AC149" s="119"/>
      <c r="AD149" s="119"/>
      <c r="AE149" s="119"/>
      <c r="AF149" s="119"/>
      <c r="AG149" s="119"/>
      <c r="AH149" s="119"/>
      <c r="AI149" s="119"/>
      <c r="AJ149" s="119"/>
      <c r="AK149" s="119"/>
      <c r="AL149" s="119"/>
    </row>
    <row r="150" spans="1:38" ht="14.25" customHeight="1" x14ac:dyDescent="0.2">
      <c r="A150" s="118" t="s">
        <v>659</v>
      </c>
      <c r="B150" s="118" t="s">
        <v>660</v>
      </c>
      <c r="C150" s="118">
        <v>2022</v>
      </c>
      <c r="D150" s="118" t="s">
        <v>233</v>
      </c>
      <c r="E150" s="118" t="s">
        <v>662</v>
      </c>
      <c r="F150" s="118" t="s">
        <v>663</v>
      </c>
      <c r="G150" s="118" t="s">
        <v>238</v>
      </c>
      <c r="H150" s="118" t="s">
        <v>15</v>
      </c>
      <c r="I150" s="118" t="s">
        <v>230</v>
      </c>
      <c r="J150" s="118" t="s">
        <v>661</v>
      </c>
      <c r="K150" s="118" t="s">
        <v>664</v>
      </c>
      <c r="L150" s="118"/>
      <c r="M150" s="118"/>
      <c r="N150" s="42"/>
      <c r="O150" s="42" t="s">
        <v>193</v>
      </c>
      <c r="P150" s="42" t="s">
        <v>194</v>
      </c>
      <c r="Q150" s="42"/>
      <c r="R150" s="42"/>
      <c r="S150" s="3"/>
      <c r="T150" s="119"/>
      <c r="U150" s="119"/>
      <c r="V150" s="119"/>
      <c r="W150" s="119"/>
      <c r="X150" s="119"/>
      <c r="Y150" s="119"/>
      <c r="Z150" s="119"/>
      <c r="AA150" s="119"/>
      <c r="AB150" s="119"/>
      <c r="AC150" s="119"/>
      <c r="AD150" s="119"/>
      <c r="AE150" s="119"/>
      <c r="AF150" s="119"/>
      <c r="AG150" s="119"/>
      <c r="AH150" s="119"/>
      <c r="AI150" s="119"/>
      <c r="AJ150" s="119"/>
      <c r="AK150" s="119"/>
      <c r="AL150" s="119"/>
    </row>
    <row r="151" spans="1:38" ht="14.25" customHeight="1" x14ac:dyDescent="0.2">
      <c r="A151" s="118" t="s">
        <v>665</v>
      </c>
      <c r="B151" s="118" t="s">
        <v>666</v>
      </c>
      <c r="C151" s="118">
        <v>2022</v>
      </c>
      <c r="D151" s="118" t="s">
        <v>385</v>
      </c>
      <c r="E151" s="118" t="s">
        <v>668</v>
      </c>
      <c r="F151" s="118" t="s">
        <v>669</v>
      </c>
      <c r="G151" s="118" t="s">
        <v>586</v>
      </c>
      <c r="H151" s="118" t="s">
        <v>15</v>
      </c>
      <c r="I151" s="118" t="s">
        <v>253</v>
      </c>
      <c r="J151" s="118" t="s">
        <v>667</v>
      </c>
      <c r="K151" s="118" t="s">
        <v>670</v>
      </c>
      <c r="L151" s="118"/>
      <c r="M151" s="118"/>
      <c r="N151" s="42"/>
      <c r="O151" s="42" t="s">
        <v>193</v>
      </c>
      <c r="P151" s="42" t="s">
        <v>194</v>
      </c>
      <c r="Q151" s="42"/>
      <c r="R151" s="42"/>
      <c r="S151" s="3"/>
      <c r="T151" s="119"/>
      <c r="U151" s="119"/>
      <c r="V151" s="119"/>
      <c r="W151" s="119"/>
      <c r="X151" s="119"/>
      <c r="Y151" s="119"/>
      <c r="Z151" s="119"/>
      <c r="AA151" s="119"/>
      <c r="AB151" s="119"/>
      <c r="AC151" s="119"/>
      <c r="AD151" s="119"/>
      <c r="AE151" s="119"/>
      <c r="AF151" s="119"/>
      <c r="AG151" s="119"/>
      <c r="AH151" s="119"/>
      <c r="AI151" s="119"/>
      <c r="AJ151" s="119"/>
      <c r="AK151" s="119"/>
      <c r="AL151" s="119"/>
    </row>
    <row r="152" spans="1:38" ht="14.25" customHeight="1" x14ac:dyDescent="0.2">
      <c r="A152" s="118" t="s">
        <v>671</v>
      </c>
      <c r="B152" s="118" t="s">
        <v>672</v>
      </c>
      <c r="C152" s="118">
        <v>2024</v>
      </c>
      <c r="D152" s="118" t="s">
        <v>673</v>
      </c>
      <c r="E152" s="118" t="s">
        <v>675</v>
      </c>
      <c r="F152" s="118" t="s">
        <v>676</v>
      </c>
      <c r="G152" s="118" t="s">
        <v>282</v>
      </c>
      <c r="H152" s="118" t="s">
        <v>15</v>
      </c>
      <c r="I152" s="118" t="s">
        <v>253</v>
      </c>
      <c r="J152" s="118" t="s">
        <v>674</v>
      </c>
      <c r="K152" s="118" t="s">
        <v>677</v>
      </c>
      <c r="L152" s="118"/>
      <c r="M152" s="118"/>
      <c r="N152" s="42"/>
      <c r="O152" s="42" t="s">
        <v>193</v>
      </c>
      <c r="P152" s="42" t="s">
        <v>194</v>
      </c>
      <c r="Q152" s="42"/>
      <c r="R152" s="42"/>
      <c r="S152" s="3"/>
      <c r="T152" s="119"/>
      <c r="U152" s="119"/>
      <c r="V152" s="119"/>
      <c r="W152" s="119"/>
      <c r="X152" s="119"/>
      <c r="Y152" s="119"/>
      <c r="Z152" s="119"/>
      <c r="AA152" s="119"/>
      <c r="AB152" s="119"/>
      <c r="AC152" s="119"/>
      <c r="AD152" s="119"/>
      <c r="AE152" s="119"/>
      <c r="AF152" s="119"/>
      <c r="AG152" s="119"/>
      <c r="AH152" s="119"/>
      <c r="AI152" s="119"/>
      <c r="AJ152" s="119"/>
      <c r="AK152" s="119"/>
      <c r="AL152" s="119"/>
    </row>
    <row r="153" spans="1:38" ht="14.25" customHeight="1" x14ac:dyDescent="0.2">
      <c r="A153" s="118" t="s">
        <v>678</v>
      </c>
      <c r="B153" s="118" t="s">
        <v>679</v>
      </c>
      <c r="C153" s="118">
        <v>2023</v>
      </c>
      <c r="D153" s="118" t="s">
        <v>680</v>
      </c>
      <c r="E153" s="118" t="s">
        <v>682</v>
      </c>
      <c r="F153" s="118">
        <v>0</v>
      </c>
      <c r="G153" s="118" t="s">
        <v>473</v>
      </c>
      <c r="H153" s="118" t="s">
        <v>15</v>
      </c>
      <c r="I153" s="118" t="s">
        <v>230</v>
      </c>
      <c r="J153" s="118" t="s">
        <v>681</v>
      </c>
      <c r="K153" s="118" t="s">
        <v>683</v>
      </c>
      <c r="L153" s="118"/>
      <c r="M153" s="118"/>
      <c r="N153" s="42"/>
      <c r="O153" s="42" t="s">
        <v>193</v>
      </c>
      <c r="P153" s="42" t="s">
        <v>194</v>
      </c>
      <c r="Q153" s="42"/>
      <c r="R153" s="42"/>
      <c r="S153" s="3"/>
      <c r="T153" s="119"/>
      <c r="U153" s="119"/>
      <c r="V153" s="119"/>
      <c r="W153" s="119"/>
      <c r="X153" s="119"/>
      <c r="Y153" s="119"/>
      <c r="Z153" s="119"/>
      <c r="AA153" s="119"/>
      <c r="AB153" s="119"/>
      <c r="AC153" s="119"/>
      <c r="AD153" s="119"/>
      <c r="AE153" s="119"/>
      <c r="AF153" s="119"/>
      <c r="AG153" s="119"/>
      <c r="AH153" s="119"/>
      <c r="AI153" s="119"/>
      <c r="AJ153" s="119"/>
      <c r="AK153" s="119"/>
      <c r="AL153" s="119"/>
    </row>
    <row r="154" spans="1:38" ht="14.25" customHeight="1" x14ac:dyDescent="0.2">
      <c r="A154" s="118" t="s">
        <v>684</v>
      </c>
      <c r="B154" s="118" t="s">
        <v>685</v>
      </c>
      <c r="C154" s="118">
        <v>2025</v>
      </c>
      <c r="D154" s="118" t="s">
        <v>686</v>
      </c>
      <c r="E154" s="118" t="s">
        <v>688</v>
      </c>
      <c r="F154" s="118" t="s">
        <v>689</v>
      </c>
      <c r="G154" s="118" t="s">
        <v>691</v>
      </c>
      <c r="H154" s="118" t="s">
        <v>15</v>
      </c>
      <c r="I154" s="118" t="s">
        <v>253</v>
      </c>
      <c r="J154" s="118" t="s">
        <v>687</v>
      </c>
      <c r="K154" s="118" t="s">
        <v>690</v>
      </c>
      <c r="L154" s="118"/>
      <c r="M154" s="118"/>
      <c r="N154" s="42"/>
      <c r="O154" s="42" t="s">
        <v>193</v>
      </c>
      <c r="P154" s="42" t="s">
        <v>194</v>
      </c>
      <c r="Q154" s="42"/>
      <c r="R154" s="42"/>
      <c r="S154" s="3"/>
      <c r="T154" s="119"/>
      <c r="U154" s="119"/>
      <c r="V154" s="119"/>
      <c r="W154" s="119"/>
      <c r="X154" s="119"/>
      <c r="Y154" s="119"/>
      <c r="Z154" s="119"/>
      <c r="AA154" s="119"/>
      <c r="AB154" s="119"/>
      <c r="AC154" s="119"/>
      <c r="AD154" s="119"/>
      <c r="AE154" s="119"/>
      <c r="AF154" s="119"/>
      <c r="AG154" s="119"/>
      <c r="AH154" s="119"/>
      <c r="AI154" s="119"/>
      <c r="AJ154" s="119"/>
      <c r="AK154" s="119"/>
      <c r="AL154" s="119"/>
    </row>
    <row r="155" spans="1:38" ht="14.25" customHeight="1" x14ac:dyDescent="0.2">
      <c r="A155" s="118" t="s">
        <v>692</v>
      </c>
      <c r="B155" s="118" t="s">
        <v>693</v>
      </c>
      <c r="C155" s="118">
        <v>2025</v>
      </c>
      <c r="D155" s="118" t="s">
        <v>233</v>
      </c>
      <c r="E155" s="118" t="s">
        <v>695</v>
      </c>
      <c r="F155" s="118" t="s">
        <v>696</v>
      </c>
      <c r="G155" s="118" t="s">
        <v>238</v>
      </c>
      <c r="H155" s="118" t="s">
        <v>15</v>
      </c>
      <c r="I155" s="118" t="s">
        <v>230</v>
      </c>
      <c r="J155" s="118" t="s">
        <v>694</v>
      </c>
      <c r="K155" s="118" t="s">
        <v>697</v>
      </c>
      <c r="L155" s="118"/>
      <c r="M155" s="118"/>
      <c r="N155" s="42"/>
      <c r="O155" s="42" t="s">
        <v>193</v>
      </c>
      <c r="P155" s="42" t="s">
        <v>194</v>
      </c>
      <c r="Q155" s="42"/>
      <c r="R155" s="42"/>
      <c r="S155" s="3"/>
      <c r="T155" s="119"/>
      <c r="U155" s="119"/>
      <c r="V155" s="119"/>
      <c r="W155" s="119"/>
      <c r="X155" s="119"/>
      <c r="Y155" s="119"/>
      <c r="Z155" s="119"/>
      <c r="AA155" s="119"/>
      <c r="AB155" s="119"/>
      <c r="AC155" s="119"/>
      <c r="AD155" s="119"/>
      <c r="AE155" s="119"/>
      <c r="AF155" s="119"/>
      <c r="AG155" s="119"/>
      <c r="AH155" s="119"/>
      <c r="AI155" s="119"/>
      <c r="AJ155" s="119"/>
      <c r="AK155" s="119"/>
      <c r="AL155" s="119"/>
    </row>
    <row r="156" spans="1:38" ht="14.25" customHeight="1" x14ac:dyDescent="0.2">
      <c r="A156" s="118">
        <v>0</v>
      </c>
      <c r="B156" s="118" t="s">
        <v>481</v>
      </c>
      <c r="C156" s="118">
        <v>2023</v>
      </c>
      <c r="D156" s="118" t="s">
        <v>476</v>
      </c>
      <c r="E156" s="118" t="s">
        <v>698</v>
      </c>
      <c r="F156" s="118">
        <v>0</v>
      </c>
      <c r="G156" s="118" t="s">
        <v>228</v>
      </c>
      <c r="H156" s="118" t="s">
        <v>15</v>
      </c>
      <c r="I156" s="118" t="s">
        <v>391</v>
      </c>
      <c r="J156" s="118">
        <v>0</v>
      </c>
      <c r="K156" s="118">
        <v>0</v>
      </c>
      <c r="L156" s="118"/>
      <c r="M156" s="118"/>
      <c r="N156" s="42"/>
      <c r="O156" s="42" t="s">
        <v>193</v>
      </c>
      <c r="P156" s="42" t="s">
        <v>194</v>
      </c>
      <c r="Q156" s="42"/>
      <c r="R156" s="42"/>
      <c r="S156" s="3"/>
      <c r="T156" s="119"/>
      <c r="U156" s="119"/>
      <c r="V156" s="119"/>
      <c r="W156" s="119"/>
      <c r="X156" s="119"/>
      <c r="Y156" s="119"/>
      <c r="Z156" s="119"/>
      <c r="AA156" s="119"/>
      <c r="AB156" s="119"/>
      <c r="AC156" s="119"/>
      <c r="AD156" s="119"/>
      <c r="AE156" s="119"/>
      <c r="AF156" s="119"/>
      <c r="AG156" s="119"/>
      <c r="AH156" s="119"/>
      <c r="AI156" s="119"/>
      <c r="AJ156" s="119"/>
      <c r="AK156" s="119"/>
      <c r="AL156" s="119"/>
    </row>
    <row r="157" spans="1:38" ht="14.25" customHeight="1" x14ac:dyDescent="0.2">
      <c r="A157" s="118" t="s">
        <v>699</v>
      </c>
      <c r="B157" s="118" t="s">
        <v>700</v>
      </c>
      <c r="C157" s="118">
        <v>2025</v>
      </c>
      <c r="D157" s="118" t="s">
        <v>233</v>
      </c>
      <c r="E157" s="118" t="s">
        <v>702</v>
      </c>
      <c r="F157" s="118" t="s">
        <v>703</v>
      </c>
      <c r="G157" s="118" t="s">
        <v>238</v>
      </c>
      <c r="H157" s="118" t="s">
        <v>15</v>
      </c>
      <c r="I157" s="118" t="s">
        <v>230</v>
      </c>
      <c r="J157" s="118" t="s">
        <v>701</v>
      </c>
      <c r="K157" s="118" t="s">
        <v>704</v>
      </c>
      <c r="L157" s="118"/>
      <c r="M157" s="118"/>
      <c r="N157" s="42"/>
      <c r="O157" s="42" t="s">
        <v>193</v>
      </c>
      <c r="P157" s="42" t="s">
        <v>194</v>
      </c>
      <c r="Q157" s="42"/>
      <c r="R157" s="42"/>
      <c r="S157" s="3"/>
      <c r="T157" s="119"/>
      <c r="U157" s="119"/>
      <c r="V157" s="119"/>
      <c r="W157" s="119"/>
      <c r="X157" s="119"/>
      <c r="Y157" s="119"/>
      <c r="Z157" s="119"/>
      <c r="AA157" s="119"/>
      <c r="AB157" s="119"/>
      <c r="AC157" s="119"/>
      <c r="AD157" s="119"/>
      <c r="AE157" s="119"/>
      <c r="AF157" s="119"/>
      <c r="AG157" s="119"/>
      <c r="AH157" s="119"/>
      <c r="AI157" s="119"/>
      <c r="AJ157" s="119"/>
      <c r="AK157" s="119"/>
      <c r="AL157" s="119"/>
    </row>
    <row r="158" spans="1:38" ht="14.25" customHeight="1" x14ac:dyDescent="0.2">
      <c r="A158" s="118" t="s">
        <v>705</v>
      </c>
      <c r="B158" s="118" t="s">
        <v>706</v>
      </c>
      <c r="C158" s="118">
        <v>2026</v>
      </c>
      <c r="D158" s="118" t="s">
        <v>707</v>
      </c>
      <c r="E158" s="118" t="s">
        <v>709</v>
      </c>
      <c r="F158" s="118" t="s">
        <v>710</v>
      </c>
      <c r="G158" s="118" t="s">
        <v>252</v>
      </c>
      <c r="H158" s="118" t="s">
        <v>15</v>
      </c>
      <c r="I158" s="118" t="s">
        <v>253</v>
      </c>
      <c r="J158" s="118" t="s">
        <v>708</v>
      </c>
      <c r="K158" s="118" t="s">
        <v>711</v>
      </c>
      <c r="L158" s="118"/>
      <c r="M158" s="118"/>
      <c r="N158" s="42"/>
      <c r="O158" s="42" t="s">
        <v>193</v>
      </c>
      <c r="P158" s="42" t="s">
        <v>194</v>
      </c>
      <c r="Q158" s="42"/>
      <c r="R158" s="42"/>
      <c r="S158" s="3"/>
      <c r="T158" s="119"/>
      <c r="U158" s="119"/>
      <c r="V158" s="119"/>
      <c r="W158" s="119"/>
      <c r="X158" s="119"/>
      <c r="Y158" s="119"/>
      <c r="Z158" s="119"/>
      <c r="AA158" s="119"/>
      <c r="AB158" s="119"/>
      <c r="AC158" s="119"/>
      <c r="AD158" s="119"/>
      <c r="AE158" s="119"/>
      <c r="AF158" s="119"/>
      <c r="AG158" s="119"/>
      <c r="AH158" s="119"/>
      <c r="AI158" s="119"/>
      <c r="AJ158" s="119"/>
      <c r="AK158" s="119"/>
      <c r="AL158" s="119"/>
    </row>
    <row r="159" spans="1:38" ht="14.25" customHeight="1" x14ac:dyDescent="0.2">
      <c r="A159" s="118" t="s">
        <v>712</v>
      </c>
      <c r="B159" s="118" t="s">
        <v>713</v>
      </c>
      <c r="C159" s="118">
        <v>2025</v>
      </c>
      <c r="D159" s="118" t="s">
        <v>233</v>
      </c>
      <c r="E159" s="118" t="s">
        <v>715</v>
      </c>
      <c r="F159" s="118" t="s">
        <v>716</v>
      </c>
      <c r="G159" s="118" t="s">
        <v>238</v>
      </c>
      <c r="H159" s="118" t="s">
        <v>15</v>
      </c>
      <c r="I159" s="118" t="s">
        <v>230</v>
      </c>
      <c r="J159" s="118" t="s">
        <v>714</v>
      </c>
      <c r="K159" s="118" t="s">
        <v>717</v>
      </c>
      <c r="L159" s="118"/>
      <c r="M159" s="118"/>
      <c r="N159" s="42"/>
      <c r="O159" s="42" t="s">
        <v>193</v>
      </c>
      <c r="P159" s="42" t="s">
        <v>194</v>
      </c>
      <c r="Q159" s="42"/>
      <c r="R159" s="42"/>
      <c r="S159" s="3"/>
      <c r="T159" s="119"/>
      <c r="U159" s="119"/>
      <c r="V159" s="119"/>
      <c r="W159" s="119"/>
      <c r="X159" s="119"/>
      <c r="Y159" s="119"/>
      <c r="Z159" s="119"/>
      <c r="AA159" s="119"/>
      <c r="AB159" s="119"/>
      <c r="AC159" s="119"/>
      <c r="AD159" s="119"/>
      <c r="AE159" s="119"/>
      <c r="AF159" s="119"/>
      <c r="AG159" s="119"/>
      <c r="AH159" s="119"/>
      <c r="AI159" s="119"/>
      <c r="AJ159" s="119"/>
      <c r="AK159" s="119"/>
      <c r="AL159" s="119"/>
    </row>
    <row r="160" spans="1:38" ht="14.25" customHeight="1" x14ac:dyDescent="0.2">
      <c r="A160" s="118" t="s">
        <v>718</v>
      </c>
      <c r="B160" s="118" t="s">
        <v>719</v>
      </c>
      <c r="C160" s="118">
        <v>2025</v>
      </c>
      <c r="D160" s="118" t="s">
        <v>460</v>
      </c>
      <c r="E160" s="118" t="s">
        <v>721</v>
      </c>
      <c r="F160" s="118" t="s">
        <v>722</v>
      </c>
      <c r="G160" s="118" t="s">
        <v>465</v>
      </c>
      <c r="H160" s="118" t="s">
        <v>15</v>
      </c>
      <c r="I160" s="118" t="s">
        <v>253</v>
      </c>
      <c r="J160" s="118" t="s">
        <v>720</v>
      </c>
      <c r="K160" s="118" t="s">
        <v>723</v>
      </c>
      <c r="L160" s="118"/>
      <c r="M160" s="118"/>
      <c r="N160" s="42"/>
      <c r="O160" s="42" t="s">
        <v>193</v>
      </c>
      <c r="P160" s="42" t="s">
        <v>194</v>
      </c>
      <c r="Q160" s="42"/>
      <c r="R160" s="42"/>
      <c r="S160" s="3"/>
      <c r="T160" s="119"/>
      <c r="U160" s="119"/>
      <c r="V160" s="119"/>
      <c r="W160" s="119"/>
      <c r="X160" s="119"/>
      <c r="Y160" s="119"/>
      <c r="Z160" s="119"/>
      <c r="AA160" s="119"/>
      <c r="AB160" s="119"/>
      <c r="AC160" s="119"/>
      <c r="AD160" s="119"/>
      <c r="AE160" s="119"/>
      <c r="AF160" s="119"/>
      <c r="AG160" s="119"/>
      <c r="AH160" s="119"/>
      <c r="AI160" s="119"/>
      <c r="AJ160" s="119"/>
      <c r="AK160" s="119"/>
      <c r="AL160" s="119"/>
    </row>
    <row r="161" spans="1:38" ht="14.25" customHeight="1" x14ac:dyDescent="0.2">
      <c r="A161" s="118" t="s">
        <v>724</v>
      </c>
      <c r="B161" s="118" t="s">
        <v>725</v>
      </c>
      <c r="C161" s="118">
        <v>2022</v>
      </c>
      <c r="D161" s="118" t="s">
        <v>394</v>
      </c>
      <c r="E161" s="118" t="s">
        <v>727</v>
      </c>
      <c r="F161" s="118" t="s">
        <v>728</v>
      </c>
      <c r="G161" s="118" t="s">
        <v>274</v>
      </c>
      <c r="H161" s="118" t="s">
        <v>15</v>
      </c>
      <c r="I161" s="118" t="s">
        <v>253</v>
      </c>
      <c r="J161" s="118" t="s">
        <v>726</v>
      </c>
      <c r="K161" s="118" t="s">
        <v>729</v>
      </c>
      <c r="L161" s="118"/>
      <c r="M161" s="118"/>
      <c r="N161" s="42"/>
      <c r="O161" s="42" t="s">
        <v>193</v>
      </c>
      <c r="P161" s="42" t="s">
        <v>194</v>
      </c>
      <c r="Q161" s="42"/>
      <c r="R161" s="42"/>
      <c r="S161" s="3"/>
      <c r="T161" s="119"/>
      <c r="U161" s="119"/>
      <c r="V161" s="119"/>
      <c r="W161" s="119"/>
      <c r="X161" s="119"/>
      <c r="Y161" s="119"/>
      <c r="Z161" s="119"/>
      <c r="AA161" s="119"/>
      <c r="AB161" s="119"/>
      <c r="AC161" s="119"/>
      <c r="AD161" s="119"/>
      <c r="AE161" s="119"/>
      <c r="AF161" s="119"/>
      <c r="AG161" s="119"/>
      <c r="AH161" s="119"/>
      <c r="AI161" s="119"/>
      <c r="AJ161" s="119"/>
      <c r="AK161" s="119"/>
      <c r="AL161" s="119"/>
    </row>
    <row r="162" spans="1:38" ht="14.25" customHeight="1" x14ac:dyDescent="0.2">
      <c r="A162" s="118" t="s">
        <v>730</v>
      </c>
      <c r="B162" s="118" t="s">
        <v>731</v>
      </c>
      <c r="C162" s="118">
        <v>2024</v>
      </c>
      <c r="D162" s="118" t="s">
        <v>233</v>
      </c>
      <c r="E162" s="118" t="s">
        <v>733</v>
      </c>
      <c r="F162" s="118" t="s">
        <v>734</v>
      </c>
      <c r="G162" s="118" t="s">
        <v>238</v>
      </c>
      <c r="H162" s="118" t="s">
        <v>15</v>
      </c>
      <c r="I162" s="118" t="s">
        <v>230</v>
      </c>
      <c r="J162" s="118" t="s">
        <v>732</v>
      </c>
      <c r="K162" s="118" t="s">
        <v>735</v>
      </c>
      <c r="L162" s="118"/>
      <c r="M162" s="118"/>
      <c r="N162" s="42"/>
      <c r="O162" s="42" t="s">
        <v>193</v>
      </c>
      <c r="P162" s="42" t="s">
        <v>194</v>
      </c>
      <c r="Q162" s="42"/>
      <c r="R162" s="42"/>
      <c r="S162" s="3"/>
      <c r="T162" s="119"/>
      <c r="U162" s="119"/>
      <c r="V162" s="119"/>
      <c r="W162" s="119"/>
      <c r="X162" s="119"/>
      <c r="Y162" s="119"/>
      <c r="Z162" s="119"/>
      <c r="AA162" s="119"/>
      <c r="AB162" s="119"/>
      <c r="AC162" s="119"/>
      <c r="AD162" s="119"/>
      <c r="AE162" s="119"/>
      <c r="AF162" s="119"/>
      <c r="AG162" s="119"/>
      <c r="AH162" s="119"/>
      <c r="AI162" s="119"/>
      <c r="AJ162" s="119"/>
      <c r="AK162" s="119"/>
      <c r="AL162" s="119"/>
    </row>
    <row r="163" spans="1:38" ht="14.25" customHeight="1" x14ac:dyDescent="0.2">
      <c r="A163" s="118" t="s">
        <v>736</v>
      </c>
      <c r="B163" s="118" t="s">
        <v>737</v>
      </c>
      <c r="C163" s="118">
        <v>2023</v>
      </c>
      <c r="D163" s="118" t="s">
        <v>738</v>
      </c>
      <c r="E163" s="118" t="s">
        <v>740</v>
      </c>
      <c r="F163" s="118" t="s">
        <v>741</v>
      </c>
      <c r="G163" s="118" t="s">
        <v>743</v>
      </c>
      <c r="H163" s="118" t="s">
        <v>15</v>
      </c>
      <c r="I163" s="118" t="s">
        <v>253</v>
      </c>
      <c r="J163" s="118" t="s">
        <v>739</v>
      </c>
      <c r="K163" s="118" t="s">
        <v>742</v>
      </c>
      <c r="L163" s="118"/>
      <c r="M163" s="118"/>
      <c r="N163" s="42"/>
      <c r="O163" s="42" t="s">
        <v>193</v>
      </c>
      <c r="P163" s="42" t="s">
        <v>194</v>
      </c>
      <c r="Q163" s="42"/>
      <c r="R163" s="42"/>
      <c r="S163" s="3"/>
      <c r="T163" s="119"/>
      <c r="U163" s="119"/>
      <c r="V163" s="119"/>
      <c r="W163" s="119"/>
      <c r="X163" s="119"/>
      <c r="Y163" s="119"/>
      <c r="Z163" s="119"/>
      <c r="AA163" s="119"/>
      <c r="AB163" s="119"/>
      <c r="AC163" s="119"/>
      <c r="AD163" s="119"/>
      <c r="AE163" s="119"/>
      <c r="AF163" s="119"/>
      <c r="AG163" s="119"/>
      <c r="AH163" s="119"/>
      <c r="AI163" s="119"/>
      <c r="AJ163" s="119"/>
      <c r="AK163" s="119"/>
      <c r="AL163" s="119"/>
    </row>
    <row r="164" spans="1:38" ht="14.25" customHeight="1" x14ac:dyDescent="0.2">
      <c r="A164" s="118" t="s">
        <v>744</v>
      </c>
      <c r="B164" s="118" t="s">
        <v>745</v>
      </c>
      <c r="C164" s="118">
        <v>2022</v>
      </c>
      <c r="D164" s="118" t="s">
        <v>746</v>
      </c>
      <c r="E164" s="118" t="s">
        <v>748</v>
      </c>
      <c r="F164" s="118" t="s">
        <v>749</v>
      </c>
      <c r="G164" s="118" t="s">
        <v>473</v>
      </c>
      <c r="H164" s="118" t="s">
        <v>15</v>
      </c>
      <c r="I164" s="118" t="s">
        <v>230</v>
      </c>
      <c r="J164" s="118" t="s">
        <v>747</v>
      </c>
      <c r="K164" s="118">
        <v>0</v>
      </c>
      <c r="L164" s="118"/>
      <c r="M164" s="118"/>
      <c r="N164" s="42"/>
      <c r="O164" s="42" t="s">
        <v>193</v>
      </c>
      <c r="P164" s="42" t="s">
        <v>194</v>
      </c>
      <c r="Q164" s="42"/>
      <c r="R164" s="42"/>
      <c r="S164" s="3"/>
      <c r="T164" s="119"/>
      <c r="U164" s="119"/>
      <c r="V164" s="119"/>
      <c r="W164" s="119"/>
      <c r="X164" s="119"/>
      <c r="Y164" s="119"/>
      <c r="Z164" s="119"/>
      <c r="AA164" s="119"/>
      <c r="AB164" s="119"/>
      <c r="AC164" s="119"/>
      <c r="AD164" s="119"/>
      <c r="AE164" s="119"/>
      <c r="AF164" s="119"/>
      <c r="AG164" s="119"/>
      <c r="AH164" s="119"/>
      <c r="AI164" s="119"/>
      <c r="AJ164" s="119"/>
      <c r="AK164" s="119"/>
      <c r="AL164" s="119"/>
    </row>
    <row r="165" spans="1:38" ht="14.25" customHeight="1" x14ac:dyDescent="0.2">
      <c r="A165" s="118" t="s">
        <v>750</v>
      </c>
      <c r="B165" s="118" t="s">
        <v>751</v>
      </c>
      <c r="C165" s="118">
        <v>2024</v>
      </c>
      <c r="D165" s="118" t="s">
        <v>394</v>
      </c>
      <c r="E165" s="118" t="s">
        <v>753</v>
      </c>
      <c r="F165" s="118" t="s">
        <v>754</v>
      </c>
      <c r="G165" s="118" t="s">
        <v>274</v>
      </c>
      <c r="H165" s="118" t="s">
        <v>15</v>
      </c>
      <c r="I165" s="118" t="s">
        <v>253</v>
      </c>
      <c r="J165" s="118" t="s">
        <v>752</v>
      </c>
      <c r="K165" s="118" t="s">
        <v>755</v>
      </c>
      <c r="L165" s="118"/>
      <c r="M165" s="118"/>
      <c r="N165" s="42"/>
      <c r="O165" s="42" t="s">
        <v>193</v>
      </c>
      <c r="P165" s="42" t="s">
        <v>194</v>
      </c>
      <c r="Q165" s="42"/>
      <c r="R165" s="42"/>
      <c r="S165" s="3"/>
      <c r="T165" s="119"/>
      <c r="U165" s="119"/>
      <c r="V165" s="119"/>
      <c r="W165" s="119"/>
      <c r="X165" s="119"/>
      <c r="Y165" s="119"/>
      <c r="Z165" s="119"/>
      <c r="AA165" s="119"/>
      <c r="AB165" s="119"/>
      <c r="AC165" s="119"/>
      <c r="AD165" s="119"/>
      <c r="AE165" s="119"/>
      <c r="AF165" s="119"/>
      <c r="AG165" s="119"/>
      <c r="AH165" s="119"/>
      <c r="AI165" s="119"/>
      <c r="AJ165" s="119"/>
      <c r="AK165" s="119"/>
      <c r="AL165" s="119"/>
    </row>
    <row r="166" spans="1:38" ht="14.25" customHeight="1" x14ac:dyDescent="0.2">
      <c r="A166" s="118" t="s">
        <v>756</v>
      </c>
      <c r="B166" s="118" t="s">
        <v>757</v>
      </c>
      <c r="C166" s="118">
        <v>2022</v>
      </c>
      <c r="D166" s="118" t="s">
        <v>233</v>
      </c>
      <c r="E166" s="118" t="s">
        <v>759</v>
      </c>
      <c r="F166" s="118" t="s">
        <v>760</v>
      </c>
      <c r="G166" s="118" t="s">
        <v>238</v>
      </c>
      <c r="H166" s="118" t="s">
        <v>15</v>
      </c>
      <c r="I166" s="118" t="s">
        <v>230</v>
      </c>
      <c r="J166" s="118" t="s">
        <v>758</v>
      </c>
      <c r="K166" s="118" t="s">
        <v>761</v>
      </c>
      <c r="L166" s="118"/>
      <c r="M166" s="118"/>
      <c r="N166" s="42"/>
      <c r="O166" s="42" t="s">
        <v>193</v>
      </c>
      <c r="P166" s="42" t="s">
        <v>194</v>
      </c>
      <c r="Q166" s="42"/>
      <c r="R166" s="42"/>
      <c r="S166" s="3"/>
      <c r="T166" s="119"/>
      <c r="U166" s="119"/>
      <c r="V166" s="119"/>
      <c r="W166" s="119"/>
      <c r="X166" s="119"/>
      <c r="Y166" s="119"/>
      <c r="Z166" s="119"/>
      <c r="AA166" s="119"/>
      <c r="AB166" s="119"/>
      <c r="AC166" s="119"/>
      <c r="AD166" s="119"/>
      <c r="AE166" s="119"/>
      <c r="AF166" s="119"/>
      <c r="AG166" s="119"/>
      <c r="AH166" s="119"/>
      <c r="AI166" s="119"/>
      <c r="AJ166" s="119"/>
      <c r="AK166" s="119"/>
      <c r="AL166" s="119"/>
    </row>
    <row r="167" spans="1:38" ht="14.25" customHeight="1" x14ac:dyDescent="0.2">
      <c r="A167" s="118" t="s">
        <v>762</v>
      </c>
      <c r="B167" s="118" t="s">
        <v>763</v>
      </c>
      <c r="C167" s="118">
        <v>2024</v>
      </c>
      <c r="D167" s="118" t="s">
        <v>764</v>
      </c>
      <c r="E167" s="118" t="s">
        <v>766</v>
      </c>
      <c r="F167" s="118" t="s">
        <v>767</v>
      </c>
      <c r="G167" s="118" t="s">
        <v>473</v>
      </c>
      <c r="H167" s="118" t="s">
        <v>15</v>
      </c>
      <c r="I167" s="118" t="s">
        <v>230</v>
      </c>
      <c r="J167" s="118" t="s">
        <v>765</v>
      </c>
      <c r="K167" s="118" t="s">
        <v>768</v>
      </c>
      <c r="L167" s="118"/>
      <c r="M167" s="118"/>
      <c r="N167" s="42"/>
      <c r="O167" s="42" t="s">
        <v>193</v>
      </c>
      <c r="P167" s="42" t="s">
        <v>194</v>
      </c>
      <c r="Q167" s="42"/>
      <c r="R167" s="42"/>
      <c r="S167" s="3"/>
      <c r="T167" s="119"/>
      <c r="U167" s="119"/>
      <c r="V167" s="119"/>
      <c r="W167" s="119"/>
      <c r="X167" s="119"/>
      <c r="Y167" s="119"/>
      <c r="Z167" s="119"/>
      <c r="AA167" s="119"/>
      <c r="AB167" s="119"/>
      <c r="AC167" s="119"/>
      <c r="AD167" s="119"/>
      <c r="AE167" s="119"/>
      <c r="AF167" s="119"/>
      <c r="AG167" s="119"/>
      <c r="AH167" s="119"/>
      <c r="AI167" s="119"/>
      <c r="AJ167" s="119"/>
      <c r="AK167" s="119"/>
      <c r="AL167" s="119"/>
    </row>
    <row r="168" spans="1:38" ht="14.25" customHeight="1" x14ac:dyDescent="0.2">
      <c r="A168" s="118" t="s">
        <v>769</v>
      </c>
      <c r="B168" s="118" t="s">
        <v>770</v>
      </c>
      <c r="C168" s="118">
        <v>2023</v>
      </c>
      <c r="D168" s="118" t="s">
        <v>771</v>
      </c>
      <c r="E168" s="118" t="s">
        <v>773</v>
      </c>
      <c r="F168" s="118" t="s">
        <v>774</v>
      </c>
      <c r="G168" s="118" t="s">
        <v>228</v>
      </c>
      <c r="H168" s="118" t="s">
        <v>15</v>
      </c>
      <c r="I168" s="118" t="s">
        <v>230</v>
      </c>
      <c r="J168" s="118" t="s">
        <v>772</v>
      </c>
      <c r="K168" s="118" t="s">
        <v>775</v>
      </c>
      <c r="L168" s="118"/>
      <c r="M168" s="118"/>
      <c r="N168" s="42"/>
      <c r="O168" s="42" t="s">
        <v>193</v>
      </c>
      <c r="P168" s="42" t="s">
        <v>194</v>
      </c>
      <c r="Q168" s="42"/>
      <c r="R168" s="42"/>
      <c r="S168" s="3"/>
      <c r="T168" s="119"/>
      <c r="U168" s="119"/>
      <c r="V168" s="119"/>
      <c r="W168" s="119"/>
      <c r="X168" s="119"/>
      <c r="Y168" s="119"/>
      <c r="Z168" s="119"/>
      <c r="AA168" s="119"/>
      <c r="AB168" s="119"/>
      <c r="AC168" s="119"/>
      <c r="AD168" s="119"/>
      <c r="AE168" s="119"/>
      <c r="AF168" s="119"/>
      <c r="AG168" s="119"/>
      <c r="AH168" s="119"/>
      <c r="AI168" s="119"/>
      <c r="AJ168" s="119"/>
      <c r="AK168" s="119"/>
      <c r="AL168" s="119"/>
    </row>
    <row r="169" spans="1:38" ht="14.25" customHeight="1" x14ac:dyDescent="0.2">
      <c r="A169" s="118" t="s">
        <v>776</v>
      </c>
      <c r="B169" s="118" t="s">
        <v>777</v>
      </c>
      <c r="C169" s="118">
        <v>2023</v>
      </c>
      <c r="D169" s="118" t="s">
        <v>233</v>
      </c>
      <c r="E169" s="118" t="s">
        <v>779</v>
      </c>
      <c r="F169" s="118" t="s">
        <v>780</v>
      </c>
      <c r="G169" s="118" t="s">
        <v>238</v>
      </c>
      <c r="H169" s="118" t="s">
        <v>15</v>
      </c>
      <c r="I169" s="118" t="s">
        <v>230</v>
      </c>
      <c r="J169" s="118" t="s">
        <v>778</v>
      </c>
      <c r="K169" s="118" t="s">
        <v>781</v>
      </c>
      <c r="L169" s="118"/>
      <c r="M169" s="118"/>
      <c r="N169" s="42"/>
      <c r="O169" s="42" t="s">
        <v>193</v>
      </c>
      <c r="P169" s="42" t="s">
        <v>194</v>
      </c>
      <c r="Q169" s="42"/>
      <c r="R169" s="42"/>
      <c r="S169" s="3"/>
      <c r="T169" s="119"/>
      <c r="U169" s="119"/>
      <c r="V169" s="119"/>
      <c r="W169" s="119"/>
      <c r="X169" s="119"/>
      <c r="Y169" s="119"/>
      <c r="Z169" s="119"/>
      <c r="AA169" s="119"/>
      <c r="AB169" s="119"/>
      <c r="AC169" s="119"/>
      <c r="AD169" s="119"/>
      <c r="AE169" s="119"/>
      <c r="AF169" s="119"/>
      <c r="AG169" s="119"/>
      <c r="AH169" s="119"/>
      <c r="AI169" s="119"/>
      <c r="AJ169" s="119"/>
      <c r="AK169" s="119"/>
      <c r="AL169" s="119"/>
    </row>
    <row r="170" spans="1:38" ht="14.25" customHeight="1" x14ac:dyDescent="0.2">
      <c r="A170" s="118" t="s">
        <v>782</v>
      </c>
      <c r="B170" s="118" t="s">
        <v>783</v>
      </c>
      <c r="C170" s="118">
        <v>2026</v>
      </c>
      <c r="D170" s="118" t="s">
        <v>784</v>
      </c>
      <c r="E170" s="118" t="s">
        <v>786</v>
      </c>
      <c r="F170" s="118" t="s">
        <v>787</v>
      </c>
      <c r="G170" s="118" t="s">
        <v>789</v>
      </c>
      <c r="H170" s="118" t="s">
        <v>15</v>
      </c>
      <c r="I170" s="118" t="s">
        <v>230</v>
      </c>
      <c r="J170" s="118" t="s">
        <v>785</v>
      </c>
      <c r="K170" s="118" t="s">
        <v>788</v>
      </c>
      <c r="L170" s="118"/>
      <c r="M170" s="118"/>
      <c r="N170" s="42"/>
      <c r="O170" s="42" t="s">
        <v>193</v>
      </c>
      <c r="P170" s="42" t="s">
        <v>194</v>
      </c>
      <c r="Q170" s="42"/>
      <c r="R170" s="42"/>
      <c r="S170" s="3"/>
      <c r="T170" s="119"/>
      <c r="U170" s="119"/>
      <c r="V170" s="119"/>
      <c r="W170" s="119"/>
      <c r="X170" s="119"/>
      <c r="Y170" s="119"/>
      <c r="Z170" s="119"/>
      <c r="AA170" s="119"/>
      <c r="AB170" s="119"/>
      <c r="AC170" s="119"/>
      <c r="AD170" s="119"/>
      <c r="AE170" s="119"/>
      <c r="AF170" s="119"/>
      <c r="AG170" s="119"/>
      <c r="AH170" s="119"/>
      <c r="AI170" s="119"/>
      <c r="AJ170" s="119"/>
      <c r="AK170" s="119"/>
      <c r="AL170" s="119"/>
    </row>
    <row r="171" spans="1:38" ht="14.25" customHeight="1" x14ac:dyDescent="0.2">
      <c r="A171" s="118" t="s">
        <v>790</v>
      </c>
      <c r="B171" s="118" t="s">
        <v>791</v>
      </c>
      <c r="C171" s="118">
        <v>2022</v>
      </c>
      <c r="D171" s="118" t="s">
        <v>233</v>
      </c>
      <c r="E171" s="118" t="s">
        <v>793</v>
      </c>
      <c r="F171" s="118" t="s">
        <v>794</v>
      </c>
      <c r="G171" s="118" t="s">
        <v>238</v>
      </c>
      <c r="H171" s="118" t="s">
        <v>15</v>
      </c>
      <c r="I171" s="118" t="s">
        <v>230</v>
      </c>
      <c r="J171" s="118" t="s">
        <v>792</v>
      </c>
      <c r="K171" s="118" t="s">
        <v>795</v>
      </c>
      <c r="L171" s="118"/>
      <c r="M171" s="118"/>
      <c r="N171" s="42"/>
      <c r="O171" s="42" t="s">
        <v>193</v>
      </c>
      <c r="P171" s="42" t="s">
        <v>194</v>
      </c>
      <c r="Q171" s="42"/>
      <c r="R171" s="42"/>
      <c r="S171" s="3"/>
      <c r="T171" s="119"/>
      <c r="U171" s="119"/>
      <c r="V171" s="119"/>
      <c r="W171" s="119"/>
      <c r="X171" s="119"/>
      <c r="Y171" s="119"/>
      <c r="Z171" s="119"/>
      <c r="AA171" s="119"/>
      <c r="AB171" s="119"/>
      <c r="AC171" s="119"/>
      <c r="AD171" s="119"/>
      <c r="AE171" s="119"/>
      <c r="AF171" s="119"/>
      <c r="AG171" s="119"/>
      <c r="AH171" s="119"/>
      <c r="AI171" s="119"/>
      <c r="AJ171" s="119"/>
      <c r="AK171" s="119"/>
      <c r="AL171" s="119"/>
    </row>
    <row r="172" spans="1:38" ht="14.25" customHeight="1" x14ac:dyDescent="0.2">
      <c r="A172" s="118" t="s">
        <v>796</v>
      </c>
      <c r="B172" s="118" t="s">
        <v>797</v>
      </c>
      <c r="C172" s="118">
        <v>2025</v>
      </c>
      <c r="D172" s="118" t="s">
        <v>798</v>
      </c>
      <c r="E172" s="118" t="s">
        <v>800</v>
      </c>
      <c r="F172" s="118" t="s">
        <v>801</v>
      </c>
      <c r="G172" s="118" t="s">
        <v>803</v>
      </c>
      <c r="H172" s="118" t="s">
        <v>15</v>
      </c>
      <c r="I172" s="118" t="s">
        <v>253</v>
      </c>
      <c r="J172" s="118" t="s">
        <v>799</v>
      </c>
      <c r="K172" s="118" t="s">
        <v>802</v>
      </c>
      <c r="L172" s="118"/>
      <c r="M172" s="118"/>
      <c r="N172" s="42"/>
      <c r="O172" s="42" t="s">
        <v>193</v>
      </c>
      <c r="P172" s="42" t="s">
        <v>194</v>
      </c>
      <c r="Q172" s="42"/>
      <c r="R172" s="42"/>
      <c r="S172" s="3"/>
      <c r="T172" s="119"/>
      <c r="U172" s="119"/>
      <c r="V172" s="119"/>
      <c r="W172" s="119"/>
      <c r="X172" s="119"/>
      <c r="Y172" s="119"/>
      <c r="Z172" s="119"/>
      <c r="AA172" s="119"/>
      <c r="AB172" s="119"/>
      <c r="AC172" s="119"/>
      <c r="AD172" s="119"/>
      <c r="AE172" s="119"/>
      <c r="AF172" s="119"/>
      <c r="AG172" s="119"/>
      <c r="AH172" s="119"/>
      <c r="AI172" s="119"/>
      <c r="AJ172" s="119"/>
      <c r="AK172" s="119"/>
      <c r="AL172" s="119"/>
    </row>
    <row r="173" spans="1:38" ht="14.25" customHeight="1" x14ac:dyDescent="0.2">
      <c r="A173" s="118" t="s">
        <v>804</v>
      </c>
      <c r="B173" s="118" t="s">
        <v>805</v>
      </c>
      <c r="C173" s="118">
        <v>2025</v>
      </c>
      <c r="D173" s="118" t="s">
        <v>806</v>
      </c>
      <c r="E173" s="118" t="s">
        <v>808</v>
      </c>
      <c r="F173" s="118" t="s">
        <v>809</v>
      </c>
      <c r="G173" s="118" t="s">
        <v>465</v>
      </c>
      <c r="H173" s="118" t="s">
        <v>15</v>
      </c>
      <c r="I173" s="118" t="s">
        <v>545</v>
      </c>
      <c r="J173" s="118" t="s">
        <v>807</v>
      </c>
      <c r="K173" s="118" t="s">
        <v>810</v>
      </c>
      <c r="L173" s="118"/>
      <c r="M173" s="118"/>
      <c r="N173" s="42"/>
      <c r="O173" s="42" t="s">
        <v>193</v>
      </c>
      <c r="P173" s="42" t="s">
        <v>194</v>
      </c>
      <c r="Q173" s="42"/>
      <c r="R173" s="42"/>
      <c r="S173" s="3"/>
      <c r="T173" s="119"/>
      <c r="U173" s="119"/>
      <c r="V173" s="119"/>
      <c r="W173" s="119"/>
      <c r="X173" s="119"/>
      <c r="Y173" s="119"/>
      <c r="Z173" s="119"/>
      <c r="AA173" s="119"/>
      <c r="AB173" s="119"/>
      <c r="AC173" s="119"/>
      <c r="AD173" s="119"/>
      <c r="AE173" s="119"/>
      <c r="AF173" s="119"/>
      <c r="AG173" s="119"/>
      <c r="AH173" s="119"/>
      <c r="AI173" s="119"/>
      <c r="AJ173" s="119"/>
      <c r="AK173" s="119"/>
      <c r="AL173" s="119"/>
    </row>
    <row r="174" spans="1:38" ht="14.25" customHeight="1" x14ac:dyDescent="0.2">
      <c r="A174" s="118" t="s">
        <v>811</v>
      </c>
      <c r="B174" s="118" t="s">
        <v>812</v>
      </c>
      <c r="C174" s="118">
        <v>2024</v>
      </c>
      <c r="D174" s="118" t="s">
        <v>460</v>
      </c>
      <c r="E174" s="118" t="s">
        <v>814</v>
      </c>
      <c r="F174" s="118" t="s">
        <v>815</v>
      </c>
      <c r="G174" s="118" t="s">
        <v>465</v>
      </c>
      <c r="H174" s="118" t="s">
        <v>15</v>
      </c>
      <c r="I174" s="118" t="s">
        <v>253</v>
      </c>
      <c r="J174" s="118" t="s">
        <v>813</v>
      </c>
      <c r="K174" s="118" t="s">
        <v>816</v>
      </c>
      <c r="L174" s="118"/>
      <c r="M174" s="118"/>
      <c r="N174" s="42"/>
      <c r="O174" s="42" t="s">
        <v>193</v>
      </c>
      <c r="P174" s="42" t="s">
        <v>194</v>
      </c>
      <c r="Q174" s="42"/>
      <c r="R174" s="42"/>
      <c r="S174" s="3"/>
      <c r="T174" s="119"/>
      <c r="U174" s="119"/>
      <c r="V174" s="119"/>
      <c r="W174" s="119"/>
      <c r="X174" s="119"/>
      <c r="Y174" s="119"/>
      <c r="Z174" s="119"/>
      <c r="AA174" s="119"/>
      <c r="AB174" s="119"/>
      <c r="AC174" s="119"/>
      <c r="AD174" s="119"/>
      <c r="AE174" s="119"/>
      <c r="AF174" s="119"/>
      <c r="AG174" s="119"/>
      <c r="AH174" s="119"/>
      <c r="AI174" s="119"/>
      <c r="AJ174" s="119"/>
      <c r="AK174" s="119"/>
      <c r="AL174" s="119"/>
    </row>
    <row r="175" spans="1:38" ht="14.25" customHeight="1" x14ac:dyDescent="0.2">
      <c r="A175" s="118" t="s">
        <v>817</v>
      </c>
      <c r="B175" s="118" t="s">
        <v>818</v>
      </c>
      <c r="C175" s="118">
        <v>2022</v>
      </c>
      <c r="D175" s="118" t="s">
        <v>819</v>
      </c>
      <c r="E175" s="118" t="s">
        <v>821</v>
      </c>
      <c r="F175" s="118" t="s">
        <v>822</v>
      </c>
      <c r="G175" s="118" t="s">
        <v>823</v>
      </c>
      <c r="H175" s="118" t="s">
        <v>15</v>
      </c>
      <c r="I175" s="118" t="s">
        <v>230</v>
      </c>
      <c r="J175" s="118" t="s">
        <v>820</v>
      </c>
      <c r="K175" s="118">
        <v>0</v>
      </c>
      <c r="L175" s="118"/>
      <c r="M175" s="118"/>
      <c r="N175" s="42"/>
      <c r="O175" s="42" t="s">
        <v>193</v>
      </c>
      <c r="P175" s="42" t="s">
        <v>194</v>
      </c>
      <c r="Q175" s="42"/>
      <c r="R175" s="42"/>
      <c r="S175" s="3"/>
      <c r="T175" s="119"/>
      <c r="U175" s="119"/>
      <c r="V175" s="119"/>
      <c r="W175" s="119"/>
      <c r="X175" s="119"/>
      <c r="Y175" s="119"/>
      <c r="Z175" s="119"/>
      <c r="AA175" s="119"/>
      <c r="AB175" s="119"/>
      <c r="AC175" s="119"/>
      <c r="AD175" s="119"/>
      <c r="AE175" s="119"/>
      <c r="AF175" s="119"/>
      <c r="AG175" s="119"/>
      <c r="AH175" s="119"/>
      <c r="AI175" s="119"/>
      <c r="AJ175" s="119"/>
      <c r="AK175" s="119"/>
      <c r="AL175" s="119"/>
    </row>
    <row r="176" spans="1:38" ht="14.25" customHeight="1" x14ac:dyDescent="0.2">
      <c r="A176" s="118" t="s">
        <v>824</v>
      </c>
      <c r="B176" s="118" t="s">
        <v>825</v>
      </c>
      <c r="C176" s="118">
        <v>2025</v>
      </c>
      <c r="D176" s="118" t="s">
        <v>269</v>
      </c>
      <c r="E176" s="118" t="s">
        <v>827</v>
      </c>
      <c r="F176" s="118" t="s">
        <v>828</v>
      </c>
      <c r="G176" s="118" t="s">
        <v>274</v>
      </c>
      <c r="H176" s="118" t="s">
        <v>15</v>
      </c>
      <c r="I176" s="118" t="s">
        <v>253</v>
      </c>
      <c r="J176" s="118" t="s">
        <v>826</v>
      </c>
      <c r="K176" s="118" t="s">
        <v>829</v>
      </c>
      <c r="L176" s="118"/>
      <c r="M176" s="118"/>
      <c r="N176" s="42"/>
      <c r="O176" s="42" t="s">
        <v>193</v>
      </c>
      <c r="P176" s="42" t="s">
        <v>194</v>
      </c>
      <c r="Q176" s="42"/>
      <c r="R176" s="42"/>
      <c r="S176" s="3"/>
      <c r="T176" s="119"/>
      <c r="U176" s="119"/>
      <c r="V176" s="119"/>
      <c r="W176" s="119"/>
      <c r="X176" s="119"/>
      <c r="Y176" s="119"/>
      <c r="Z176" s="119"/>
      <c r="AA176" s="119"/>
      <c r="AB176" s="119"/>
      <c r="AC176" s="119"/>
      <c r="AD176" s="119"/>
      <c r="AE176" s="119"/>
      <c r="AF176" s="119"/>
      <c r="AG176" s="119"/>
      <c r="AH176" s="119"/>
      <c r="AI176" s="119"/>
      <c r="AJ176" s="119"/>
      <c r="AK176" s="119"/>
      <c r="AL176" s="119"/>
    </row>
    <row r="177" spans="1:38" ht="14.25" customHeight="1" x14ac:dyDescent="0.2">
      <c r="A177" s="118" t="s">
        <v>830</v>
      </c>
      <c r="B177" s="118" t="s">
        <v>831</v>
      </c>
      <c r="C177" s="118">
        <v>2023</v>
      </c>
      <c r="D177" s="118" t="s">
        <v>832</v>
      </c>
      <c r="E177" s="118" t="s">
        <v>834</v>
      </c>
      <c r="F177" s="118" t="s">
        <v>835</v>
      </c>
      <c r="G177" s="118" t="s">
        <v>473</v>
      </c>
      <c r="H177" s="118" t="s">
        <v>15</v>
      </c>
      <c r="I177" s="118" t="s">
        <v>230</v>
      </c>
      <c r="J177" s="118" t="s">
        <v>833</v>
      </c>
      <c r="K177" s="118" t="s">
        <v>836</v>
      </c>
      <c r="L177" s="118"/>
      <c r="M177" s="118"/>
      <c r="N177" s="42"/>
      <c r="O177" s="42" t="s">
        <v>193</v>
      </c>
      <c r="P177" s="42" t="s">
        <v>194</v>
      </c>
      <c r="Q177" s="42"/>
      <c r="R177" s="42"/>
      <c r="S177" s="3"/>
      <c r="T177" s="119"/>
      <c r="U177" s="119"/>
      <c r="V177" s="119"/>
      <c r="W177" s="119"/>
      <c r="X177" s="119"/>
      <c r="Y177" s="119"/>
      <c r="Z177" s="119"/>
      <c r="AA177" s="119"/>
      <c r="AB177" s="119"/>
      <c r="AC177" s="119"/>
      <c r="AD177" s="119"/>
      <c r="AE177" s="119"/>
      <c r="AF177" s="119"/>
      <c r="AG177" s="119"/>
      <c r="AH177" s="119"/>
      <c r="AI177" s="119"/>
      <c r="AJ177" s="119"/>
      <c r="AK177" s="119"/>
      <c r="AL177" s="119"/>
    </row>
    <row r="178" spans="1:38" ht="14.25" customHeight="1" x14ac:dyDescent="0.2">
      <c r="A178" s="118" t="s">
        <v>837</v>
      </c>
      <c r="B178" s="118" t="s">
        <v>838</v>
      </c>
      <c r="C178" s="118">
        <v>2024</v>
      </c>
      <c r="D178" s="118" t="s">
        <v>839</v>
      </c>
      <c r="E178" s="118" t="s">
        <v>841</v>
      </c>
      <c r="F178" s="118" t="s">
        <v>842</v>
      </c>
      <c r="G178" s="118" t="s">
        <v>473</v>
      </c>
      <c r="H178" s="118" t="s">
        <v>15</v>
      </c>
      <c r="I178" s="118" t="s">
        <v>230</v>
      </c>
      <c r="J178" s="118" t="s">
        <v>840</v>
      </c>
      <c r="K178" s="118">
        <v>0</v>
      </c>
      <c r="L178" s="118"/>
      <c r="M178" s="118"/>
      <c r="N178" s="42"/>
      <c r="O178" s="42" t="s">
        <v>193</v>
      </c>
      <c r="P178" s="42" t="s">
        <v>194</v>
      </c>
      <c r="Q178" s="42"/>
      <c r="R178" s="42"/>
      <c r="S178" s="3"/>
      <c r="T178" s="119"/>
      <c r="U178" s="119"/>
      <c r="V178" s="119"/>
      <c r="W178" s="119"/>
      <c r="X178" s="119"/>
      <c r="Y178" s="119"/>
      <c r="Z178" s="119"/>
      <c r="AA178" s="119"/>
      <c r="AB178" s="119"/>
      <c r="AC178" s="119"/>
      <c r="AD178" s="119"/>
      <c r="AE178" s="119"/>
      <c r="AF178" s="119"/>
      <c r="AG178" s="119"/>
      <c r="AH178" s="119"/>
      <c r="AI178" s="119"/>
      <c r="AJ178" s="119"/>
      <c r="AK178" s="119"/>
      <c r="AL178" s="119"/>
    </row>
    <row r="179" spans="1:38" ht="14.25" customHeight="1" x14ac:dyDescent="0.2">
      <c r="A179" s="118" t="s">
        <v>843</v>
      </c>
      <c r="B179" s="118" t="s">
        <v>844</v>
      </c>
      <c r="C179" s="118">
        <v>2022</v>
      </c>
      <c r="D179" s="118" t="s">
        <v>233</v>
      </c>
      <c r="E179" s="118" t="s">
        <v>846</v>
      </c>
      <c r="F179" s="118" t="s">
        <v>847</v>
      </c>
      <c r="G179" s="118" t="s">
        <v>238</v>
      </c>
      <c r="H179" s="118" t="s">
        <v>15</v>
      </c>
      <c r="I179" s="118" t="s">
        <v>230</v>
      </c>
      <c r="J179" s="118" t="s">
        <v>845</v>
      </c>
      <c r="K179" s="118" t="s">
        <v>848</v>
      </c>
      <c r="L179" s="118"/>
      <c r="M179" s="118"/>
      <c r="N179" s="42"/>
      <c r="O179" s="42" t="s">
        <v>193</v>
      </c>
      <c r="P179" s="42" t="s">
        <v>194</v>
      </c>
      <c r="Q179" s="42"/>
      <c r="R179" s="42"/>
      <c r="S179" s="3"/>
      <c r="T179" s="119"/>
      <c r="U179" s="119"/>
      <c r="V179" s="119"/>
      <c r="W179" s="119"/>
      <c r="X179" s="119"/>
      <c r="Y179" s="119"/>
      <c r="Z179" s="119"/>
      <c r="AA179" s="119"/>
      <c r="AB179" s="119"/>
      <c r="AC179" s="119"/>
      <c r="AD179" s="119"/>
      <c r="AE179" s="119"/>
      <c r="AF179" s="119"/>
      <c r="AG179" s="119"/>
      <c r="AH179" s="119"/>
      <c r="AI179" s="119"/>
      <c r="AJ179" s="119"/>
      <c r="AK179" s="119"/>
      <c r="AL179" s="119"/>
    </row>
    <row r="180" spans="1:38" ht="14.25" customHeight="1" x14ac:dyDescent="0.2">
      <c r="A180" s="118" t="s">
        <v>849</v>
      </c>
      <c r="B180" s="118" t="s">
        <v>850</v>
      </c>
      <c r="C180" s="118">
        <v>2025</v>
      </c>
      <c r="D180" s="118" t="s">
        <v>371</v>
      </c>
      <c r="E180" s="118" t="s">
        <v>852</v>
      </c>
      <c r="F180" s="118" t="s">
        <v>853</v>
      </c>
      <c r="G180" s="118" t="s">
        <v>376</v>
      </c>
      <c r="H180" s="118" t="s">
        <v>15</v>
      </c>
      <c r="I180" s="118" t="s">
        <v>253</v>
      </c>
      <c r="J180" s="118" t="s">
        <v>851</v>
      </c>
      <c r="K180" s="118" t="s">
        <v>854</v>
      </c>
      <c r="L180" s="118"/>
      <c r="M180" s="118"/>
      <c r="N180" s="42"/>
      <c r="O180" s="42" t="s">
        <v>193</v>
      </c>
      <c r="P180" s="42" t="s">
        <v>194</v>
      </c>
      <c r="Q180" s="42"/>
      <c r="R180" s="42"/>
      <c r="S180" s="3"/>
      <c r="T180" s="119"/>
      <c r="U180" s="119"/>
      <c r="V180" s="119"/>
      <c r="W180" s="119"/>
      <c r="X180" s="119"/>
      <c r="Y180" s="119"/>
      <c r="Z180" s="119"/>
      <c r="AA180" s="119"/>
      <c r="AB180" s="119"/>
      <c r="AC180" s="119"/>
      <c r="AD180" s="119"/>
      <c r="AE180" s="119"/>
      <c r="AF180" s="119"/>
      <c r="AG180" s="119"/>
      <c r="AH180" s="119"/>
      <c r="AI180" s="119"/>
      <c r="AJ180" s="119"/>
      <c r="AK180" s="119"/>
      <c r="AL180" s="119"/>
    </row>
    <row r="181" spans="1:38" ht="14.25" customHeight="1" x14ac:dyDescent="0.2">
      <c r="A181" s="118" t="s">
        <v>855</v>
      </c>
      <c r="B181" s="118" t="s">
        <v>856</v>
      </c>
      <c r="C181" s="118">
        <v>2026</v>
      </c>
      <c r="D181" s="118" t="s">
        <v>233</v>
      </c>
      <c r="E181" s="118" t="s">
        <v>858</v>
      </c>
      <c r="F181" s="118" t="s">
        <v>859</v>
      </c>
      <c r="G181" s="118" t="s">
        <v>238</v>
      </c>
      <c r="H181" s="118" t="s">
        <v>15</v>
      </c>
      <c r="I181" s="118" t="s">
        <v>230</v>
      </c>
      <c r="J181" s="118" t="s">
        <v>857</v>
      </c>
      <c r="K181" s="118" t="s">
        <v>860</v>
      </c>
      <c r="L181" s="118"/>
      <c r="M181" s="118"/>
      <c r="N181" s="42"/>
      <c r="O181" s="42" t="s">
        <v>193</v>
      </c>
      <c r="P181" s="42" t="s">
        <v>194</v>
      </c>
      <c r="Q181" s="42"/>
      <c r="R181" s="42"/>
      <c r="S181" s="3"/>
      <c r="T181" s="119"/>
      <c r="U181" s="119"/>
      <c r="V181" s="119"/>
      <c r="W181" s="119"/>
      <c r="X181" s="119"/>
      <c r="Y181" s="119"/>
      <c r="Z181" s="119"/>
      <c r="AA181" s="119"/>
      <c r="AB181" s="119"/>
      <c r="AC181" s="119"/>
      <c r="AD181" s="119"/>
      <c r="AE181" s="119"/>
      <c r="AF181" s="119"/>
      <c r="AG181" s="119"/>
      <c r="AH181" s="119"/>
      <c r="AI181" s="119"/>
      <c r="AJ181" s="119"/>
      <c r="AK181" s="119"/>
      <c r="AL181" s="119"/>
    </row>
    <row r="182" spans="1:38" ht="14.25" customHeight="1" x14ac:dyDescent="0.2">
      <c r="A182" s="118" t="s">
        <v>861</v>
      </c>
      <c r="B182" s="118" t="s">
        <v>862</v>
      </c>
      <c r="C182" s="118">
        <v>2024</v>
      </c>
      <c r="D182" s="118" t="s">
        <v>863</v>
      </c>
      <c r="E182" s="118" t="s">
        <v>864</v>
      </c>
      <c r="F182" s="118" t="s">
        <v>865</v>
      </c>
      <c r="G182" s="118" t="s">
        <v>866</v>
      </c>
      <c r="H182" s="118" t="s">
        <v>15</v>
      </c>
      <c r="I182" s="118" t="s">
        <v>230</v>
      </c>
      <c r="J182" s="118">
        <v>0</v>
      </c>
      <c r="K182" s="118">
        <v>0</v>
      </c>
      <c r="L182" s="118"/>
      <c r="M182" s="118"/>
      <c r="N182" s="42"/>
      <c r="O182" s="42" t="s">
        <v>193</v>
      </c>
      <c r="P182" s="42" t="s">
        <v>194</v>
      </c>
      <c r="Q182" s="42"/>
      <c r="R182" s="42"/>
      <c r="S182" s="3"/>
      <c r="T182" s="119"/>
      <c r="U182" s="119"/>
      <c r="V182" s="119"/>
      <c r="W182" s="119"/>
      <c r="X182" s="119"/>
      <c r="Y182" s="119"/>
      <c r="Z182" s="119"/>
      <c r="AA182" s="119"/>
      <c r="AB182" s="119"/>
      <c r="AC182" s="119"/>
      <c r="AD182" s="119"/>
      <c r="AE182" s="119"/>
      <c r="AF182" s="119"/>
      <c r="AG182" s="119"/>
      <c r="AH182" s="119"/>
      <c r="AI182" s="119"/>
      <c r="AJ182" s="119"/>
      <c r="AK182" s="119"/>
      <c r="AL182" s="119"/>
    </row>
    <row r="183" spans="1:38" ht="14.25" customHeight="1" x14ac:dyDescent="0.2">
      <c r="A183" s="118" t="s">
        <v>867</v>
      </c>
      <c r="B183" s="118" t="s">
        <v>868</v>
      </c>
      <c r="C183" s="118">
        <v>2024</v>
      </c>
      <c r="D183" s="118" t="s">
        <v>233</v>
      </c>
      <c r="E183" s="118" t="s">
        <v>870</v>
      </c>
      <c r="F183" s="118" t="s">
        <v>871</v>
      </c>
      <c r="G183" s="118" t="s">
        <v>238</v>
      </c>
      <c r="H183" s="118" t="s">
        <v>15</v>
      </c>
      <c r="I183" s="118" t="s">
        <v>230</v>
      </c>
      <c r="J183" s="118" t="s">
        <v>869</v>
      </c>
      <c r="K183" s="118" t="s">
        <v>872</v>
      </c>
      <c r="L183" s="118"/>
      <c r="M183" s="118"/>
      <c r="N183" s="42"/>
      <c r="O183" s="42" t="s">
        <v>193</v>
      </c>
      <c r="P183" s="42" t="s">
        <v>194</v>
      </c>
      <c r="Q183" s="42"/>
      <c r="R183" s="42"/>
      <c r="S183" s="3"/>
      <c r="T183" s="119"/>
      <c r="U183" s="119"/>
      <c r="V183" s="119"/>
      <c r="W183" s="119"/>
      <c r="X183" s="119"/>
      <c r="Y183" s="119"/>
      <c r="Z183" s="119"/>
      <c r="AA183" s="119"/>
      <c r="AB183" s="119"/>
      <c r="AC183" s="119"/>
      <c r="AD183" s="119"/>
      <c r="AE183" s="119"/>
      <c r="AF183" s="119"/>
      <c r="AG183" s="119"/>
      <c r="AH183" s="119"/>
      <c r="AI183" s="119"/>
      <c r="AJ183" s="119"/>
      <c r="AK183" s="119"/>
      <c r="AL183" s="119"/>
    </row>
    <row r="184" spans="1:38" ht="14.25" customHeight="1" x14ac:dyDescent="0.2">
      <c r="A184" s="118" t="s">
        <v>873</v>
      </c>
      <c r="B184" s="118" t="s">
        <v>874</v>
      </c>
      <c r="C184" s="118">
        <v>2024</v>
      </c>
      <c r="D184" s="118" t="s">
        <v>233</v>
      </c>
      <c r="E184" s="118" t="s">
        <v>876</v>
      </c>
      <c r="F184" s="118" t="s">
        <v>877</v>
      </c>
      <c r="G184" s="118" t="s">
        <v>238</v>
      </c>
      <c r="H184" s="118" t="s">
        <v>15</v>
      </c>
      <c r="I184" s="118" t="s">
        <v>230</v>
      </c>
      <c r="J184" s="118" t="s">
        <v>875</v>
      </c>
      <c r="K184" s="118" t="s">
        <v>878</v>
      </c>
      <c r="L184" s="118"/>
      <c r="M184" s="118"/>
      <c r="N184" s="42"/>
      <c r="O184" s="42" t="s">
        <v>193</v>
      </c>
      <c r="P184" s="42" t="s">
        <v>194</v>
      </c>
      <c r="Q184" s="42"/>
      <c r="R184" s="42"/>
      <c r="S184" s="3"/>
      <c r="T184" s="119"/>
      <c r="U184" s="119"/>
      <c r="V184" s="119"/>
      <c r="W184" s="119"/>
      <c r="X184" s="119"/>
      <c r="Y184" s="119"/>
      <c r="Z184" s="119"/>
      <c r="AA184" s="119"/>
      <c r="AB184" s="119"/>
      <c r="AC184" s="119"/>
      <c r="AD184" s="119"/>
      <c r="AE184" s="119"/>
      <c r="AF184" s="119"/>
      <c r="AG184" s="119"/>
      <c r="AH184" s="119"/>
      <c r="AI184" s="119"/>
      <c r="AJ184" s="119"/>
      <c r="AK184" s="119"/>
      <c r="AL184" s="119"/>
    </row>
    <row r="185" spans="1:38" ht="14.25" customHeight="1" x14ac:dyDescent="0.2">
      <c r="A185" s="118" t="s">
        <v>879</v>
      </c>
      <c r="B185" s="118" t="s">
        <v>880</v>
      </c>
      <c r="C185" s="118">
        <v>2025</v>
      </c>
      <c r="D185" s="118" t="s">
        <v>881</v>
      </c>
      <c r="E185" s="118" t="s">
        <v>883</v>
      </c>
      <c r="F185" s="118" t="s">
        <v>884</v>
      </c>
      <c r="G185" s="118" t="s">
        <v>473</v>
      </c>
      <c r="H185" s="118" t="s">
        <v>15</v>
      </c>
      <c r="I185" s="118" t="s">
        <v>230</v>
      </c>
      <c r="J185" s="118" t="s">
        <v>882</v>
      </c>
      <c r="K185" s="118" t="s">
        <v>885</v>
      </c>
      <c r="L185" s="118"/>
      <c r="M185" s="118"/>
      <c r="N185" s="42"/>
      <c r="O185" s="42" t="s">
        <v>193</v>
      </c>
      <c r="P185" s="42" t="s">
        <v>194</v>
      </c>
      <c r="Q185" s="42"/>
      <c r="R185" s="42"/>
      <c r="S185" s="3"/>
      <c r="T185" s="119"/>
      <c r="U185" s="119"/>
      <c r="V185" s="119"/>
      <c r="W185" s="119"/>
      <c r="X185" s="119"/>
      <c r="Y185" s="119"/>
      <c r="Z185" s="119"/>
      <c r="AA185" s="119"/>
      <c r="AB185" s="119"/>
      <c r="AC185" s="119"/>
      <c r="AD185" s="119"/>
      <c r="AE185" s="119"/>
      <c r="AF185" s="119"/>
      <c r="AG185" s="119"/>
      <c r="AH185" s="119"/>
      <c r="AI185" s="119"/>
      <c r="AJ185" s="119"/>
      <c r="AK185" s="119"/>
      <c r="AL185" s="119"/>
    </row>
    <row r="186" spans="1:38" ht="14.25" customHeight="1" x14ac:dyDescent="0.2">
      <c r="A186" s="118" t="s">
        <v>886</v>
      </c>
      <c r="B186" s="118" t="s">
        <v>887</v>
      </c>
      <c r="C186" s="118">
        <v>2023</v>
      </c>
      <c r="D186" s="118" t="s">
        <v>607</v>
      </c>
      <c r="E186" s="118" t="s">
        <v>888</v>
      </c>
      <c r="F186" s="118" t="s">
        <v>889</v>
      </c>
      <c r="G186" s="118" t="s">
        <v>610</v>
      </c>
      <c r="H186" s="118" t="s">
        <v>15</v>
      </c>
      <c r="I186" s="118" t="s">
        <v>230</v>
      </c>
      <c r="J186" s="118">
        <v>0</v>
      </c>
      <c r="K186" s="118" t="s">
        <v>890</v>
      </c>
      <c r="L186" s="118"/>
      <c r="M186" s="118"/>
      <c r="N186" s="42"/>
      <c r="O186" s="42" t="s">
        <v>193</v>
      </c>
      <c r="P186" s="42" t="s">
        <v>194</v>
      </c>
      <c r="Q186" s="42"/>
      <c r="R186" s="42"/>
      <c r="S186" s="3"/>
      <c r="T186" s="119"/>
      <c r="U186" s="119"/>
      <c r="V186" s="119"/>
      <c r="W186" s="119"/>
      <c r="X186" s="119"/>
      <c r="Y186" s="119"/>
      <c r="Z186" s="119"/>
      <c r="AA186" s="119"/>
      <c r="AB186" s="119"/>
      <c r="AC186" s="119"/>
      <c r="AD186" s="119"/>
      <c r="AE186" s="119"/>
      <c r="AF186" s="119"/>
      <c r="AG186" s="119"/>
      <c r="AH186" s="119"/>
      <c r="AI186" s="119"/>
      <c r="AJ186" s="119"/>
      <c r="AK186" s="119"/>
      <c r="AL186" s="119"/>
    </row>
    <row r="187" spans="1:38" ht="14.25" customHeight="1" x14ac:dyDescent="0.2">
      <c r="A187" s="118" t="s">
        <v>891</v>
      </c>
      <c r="B187" s="118" t="s">
        <v>892</v>
      </c>
      <c r="C187" s="118">
        <v>2022</v>
      </c>
      <c r="D187" s="118" t="s">
        <v>893</v>
      </c>
      <c r="E187" s="118" t="s">
        <v>894</v>
      </c>
      <c r="F187" s="118">
        <v>0</v>
      </c>
      <c r="G187" s="118" t="s">
        <v>895</v>
      </c>
      <c r="H187" s="118" t="s">
        <v>15</v>
      </c>
      <c r="I187" s="118" t="s">
        <v>230</v>
      </c>
      <c r="J187" s="118">
        <v>0</v>
      </c>
      <c r="K187" s="118">
        <v>0</v>
      </c>
      <c r="L187" s="118"/>
      <c r="M187" s="118"/>
      <c r="N187" s="42"/>
      <c r="O187" s="42" t="s">
        <v>193</v>
      </c>
      <c r="P187" s="42" t="s">
        <v>194</v>
      </c>
      <c r="Q187" s="42"/>
      <c r="R187" s="42"/>
      <c r="S187" s="3"/>
      <c r="T187" s="119"/>
      <c r="U187" s="119"/>
      <c r="V187" s="119"/>
      <c r="W187" s="119"/>
      <c r="X187" s="119"/>
      <c r="Y187" s="119"/>
      <c r="Z187" s="119"/>
      <c r="AA187" s="119"/>
      <c r="AB187" s="119"/>
      <c r="AC187" s="119"/>
      <c r="AD187" s="119"/>
      <c r="AE187" s="119"/>
      <c r="AF187" s="119"/>
      <c r="AG187" s="119"/>
      <c r="AH187" s="119"/>
      <c r="AI187" s="119"/>
      <c r="AJ187" s="119"/>
      <c r="AK187" s="119"/>
      <c r="AL187" s="119"/>
    </row>
    <row r="188" spans="1:38" ht="14.25" customHeight="1" x14ac:dyDescent="0.2">
      <c r="A188" s="118" t="s">
        <v>896</v>
      </c>
      <c r="B188" s="118" t="s">
        <v>897</v>
      </c>
      <c r="C188" s="118">
        <v>2025</v>
      </c>
      <c r="D188" s="118" t="s">
        <v>898</v>
      </c>
      <c r="E188" s="118" t="s">
        <v>900</v>
      </c>
      <c r="F188" s="118" t="s">
        <v>901</v>
      </c>
      <c r="G188" s="118" t="s">
        <v>473</v>
      </c>
      <c r="H188" s="118" t="s">
        <v>15</v>
      </c>
      <c r="I188" s="118" t="s">
        <v>230</v>
      </c>
      <c r="J188" s="118" t="s">
        <v>899</v>
      </c>
      <c r="K188" s="118">
        <v>0</v>
      </c>
      <c r="L188" s="118"/>
      <c r="M188" s="118"/>
      <c r="N188" s="42"/>
      <c r="O188" s="42" t="s">
        <v>193</v>
      </c>
      <c r="P188" s="42" t="s">
        <v>194</v>
      </c>
      <c r="Q188" s="42"/>
      <c r="R188" s="42"/>
      <c r="S188" s="3"/>
      <c r="T188" s="119"/>
      <c r="U188" s="119"/>
      <c r="V188" s="119"/>
      <c r="W188" s="119"/>
      <c r="X188" s="119"/>
      <c r="Y188" s="119"/>
      <c r="Z188" s="119"/>
      <c r="AA188" s="119"/>
      <c r="AB188" s="119"/>
      <c r="AC188" s="119"/>
      <c r="AD188" s="119"/>
      <c r="AE188" s="119"/>
      <c r="AF188" s="119"/>
      <c r="AG188" s="119"/>
      <c r="AH188" s="119"/>
      <c r="AI188" s="119"/>
      <c r="AJ188" s="119"/>
      <c r="AK188" s="119"/>
      <c r="AL188" s="119"/>
    </row>
    <row r="189" spans="1:38" ht="14.25" customHeight="1" x14ac:dyDescent="0.2">
      <c r="A189" s="118" t="s">
        <v>902</v>
      </c>
      <c r="B189" s="118" t="s">
        <v>903</v>
      </c>
      <c r="C189" s="118">
        <v>2025</v>
      </c>
      <c r="D189" s="118" t="s">
        <v>904</v>
      </c>
      <c r="E189" s="118" t="s">
        <v>905</v>
      </c>
      <c r="F189" s="118" t="s">
        <v>906</v>
      </c>
      <c r="G189" s="118" t="s">
        <v>908</v>
      </c>
      <c r="H189" s="118" t="s">
        <v>15</v>
      </c>
      <c r="I189" s="118" t="s">
        <v>545</v>
      </c>
      <c r="J189" s="118">
        <v>0</v>
      </c>
      <c r="K189" s="118" t="s">
        <v>907</v>
      </c>
      <c r="L189" s="118"/>
      <c r="M189" s="118"/>
      <c r="N189" s="42"/>
      <c r="O189" s="42" t="s">
        <v>193</v>
      </c>
      <c r="P189" s="42" t="s">
        <v>194</v>
      </c>
      <c r="Q189" s="42"/>
      <c r="R189" s="42"/>
      <c r="S189" s="3"/>
      <c r="T189" s="119"/>
      <c r="U189" s="119"/>
      <c r="V189" s="119"/>
      <c r="W189" s="119"/>
      <c r="X189" s="119"/>
      <c r="Y189" s="119"/>
      <c r="Z189" s="119"/>
      <c r="AA189" s="119"/>
      <c r="AB189" s="119"/>
      <c r="AC189" s="119"/>
      <c r="AD189" s="119"/>
      <c r="AE189" s="119"/>
      <c r="AF189" s="119"/>
      <c r="AG189" s="119"/>
      <c r="AH189" s="119"/>
      <c r="AI189" s="119"/>
      <c r="AJ189" s="119"/>
      <c r="AK189" s="119"/>
      <c r="AL189" s="119"/>
    </row>
    <row r="190" spans="1:38" ht="14.25" customHeight="1" x14ac:dyDescent="0.2">
      <c r="A190" s="118" t="s">
        <v>909</v>
      </c>
      <c r="B190" s="118" t="s">
        <v>910</v>
      </c>
      <c r="C190" s="118">
        <v>2022</v>
      </c>
      <c r="D190" s="118" t="s">
        <v>607</v>
      </c>
      <c r="E190" s="118" t="s">
        <v>911</v>
      </c>
      <c r="F190" s="118" t="s">
        <v>912</v>
      </c>
      <c r="G190" s="118" t="s">
        <v>610</v>
      </c>
      <c r="H190" s="118" t="s">
        <v>15</v>
      </c>
      <c r="I190" s="118" t="s">
        <v>230</v>
      </c>
      <c r="J190" s="118">
        <v>0</v>
      </c>
      <c r="K190" s="118">
        <v>0</v>
      </c>
      <c r="L190" s="118"/>
      <c r="M190" s="118"/>
      <c r="N190" s="42"/>
      <c r="O190" s="42" t="s">
        <v>193</v>
      </c>
      <c r="P190" s="42" t="s">
        <v>194</v>
      </c>
      <c r="Q190" s="42"/>
      <c r="R190" s="42"/>
      <c r="S190" s="3"/>
      <c r="T190" s="119"/>
      <c r="U190" s="119"/>
      <c r="V190" s="119"/>
      <c r="W190" s="119"/>
      <c r="X190" s="119"/>
      <c r="Y190" s="119"/>
      <c r="Z190" s="119"/>
      <c r="AA190" s="119"/>
      <c r="AB190" s="119"/>
      <c r="AC190" s="119"/>
      <c r="AD190" s="119"/>
      <c r="AE190" s="119"/>
      <c r="AF190" s="119"/>
      <c r="AG190" s="119"/>
      <c r="AH190" s="119"/>
      <c r="AI190" s="119"/>
      <c r="AJ190" s="119"/>
      <c r="AK190" s="119"/>
      <c r="AL190" s="119"/>
    </row>
    <row r="191" spans="1:38" ht="14.25" customHeight="1" x14ac:dyDescent="0.2">
      <c r="A191" s="118" t="s">
        <v>605</v>
      </c>
      <c r="B191" s="118" t="s">
        <v>913</v>
      </c>
      <c r="C191" s="118">
        <v>2025</v>
      </c>
      <c r="D191" s="118" t="s">
        <v>914</v>
      </c>
      <c r="E191" s="118" t="s">
        <v>916</v>
      </c>
      <c r="F191" s="118" t="s">
        <v>917</v>
      </c>
      <c r="G191" s="118" t="s">
        <v>228</v>
      </c>
      <c r="H191" s="118" t="s">
        <v>15</v>
      </c>
      <c r="I191" s="118" t="s">
        <v>230</v>
      </c>
      <c r="J191" s="118" t="s">
        <v>915</v>
      </c>
      <c r="K191" s="118" t="s">
        <v>918</v>
      </c>
      <c r="L191" s="118"/>
      <c r="M191" s="118"/>
      <c r="N191" s="42"/>
      <c r="O191" s="42" t="s">
        <v>193</v>
      </c>
      <c r="P191" s="42" t="s">
        <v>194</v>
      </c>
      <c r="Q191" s="42"/>
      <c r="R191" s="42"/>
      <c r="S191" s="3"/>
      <c r="T191" s="119"/>
      <c r="U191" s="119"/>
      <c r="V191" s="119"/>
      <c r="W191" s="119"/>
      <c r="X191" s="119"/>
      <c r="Y191" s="119"/>
      <c r="Z191" s="119"/>
      <c r="AA191" s="119"/>
      <c r="AB191" s="119"/>
      <c r="AC191" s="119"/>
      <c r="AD191" s="119"/>
      <c r="AE191" s="119"/>
      <c r="AF191" s="119"/>
      <c r="AG191" s="119"/>
      <c r="AH191" s="119"/>
      <c r="AI191" s="119"/>
      <c r="AJ191" s="119"/>
      <c r="AK191" s="119"/>
      <c r="AL191" s="119"/>
    </row>
    <row r="192" spans="1:38" ht="14.25" customHeight="1" x14ac:dyDescent="0.2">
      <c r="A192" s="118" t="s">
        <v>919</v>
      </c>
      <c r="B192" s="118" t="s">
        <v>920</v>
      </c>
      <c r="C192" s="118">
        <v>2025</v>
      </c>
      <c r="D192" s="118" t="s">
        <v>233</v>
      </c>
      <c r="E192" s="118" t="s">
        <v>922</v>
      </c>
      <c r="F192" s="118" t="s">
        <v>923</v>
      </c>
      <c r="G192" s="118" t="s">
        <v>238</v>
      </c>
      <c r="H192" s="118" t="s">
        <v>15</v>
      </c>
      <c r="I192" s="118" t="s">
        <v>230</v>
      </c>
      <c r="J192" s="118" t="s">
        <v>921</v>
      </c>
      <c r="K192" s="118" t="s">
        <v>924</v>
      </c>
      <c r="L192" s="118"/>
      <c r="M192" s="118"/>
      <c r="N192" s="42"/>
      <c r="O192" s="42" t="s">
        <v>193</v>
      </c>
      <c r="P192" s="42" t="s">
        <v>194</v>
      </c>
      <c r="Q192" s="42"/>
      <c r="R192" s="42"/>
      <c r="S192" s="3"/>
      <c r="T192" s="119"/>
      <c r="U192" s="119"/>
      <c r="V192" s="119"/>
      <c r="W192" s="119"/>
      <c r="X192" s="119"/>
      <c r="Y192" s="119"/>
      <c r="Z192" s="119"/>
      <c r="AA192" s="119"/>
      <c r="AB192" s="119"/>
      <c r="AC192" s="119"/>
      <c r="AD192" s="119"/>
      <c r="AE192" s="119"/>
      <c r="AF192" s="119"/>
      <c r="AG192" s="119"/>
      <c r="AH192" s="119"/>
      <c r="AI192" s="119"/>
      <c r="AJ192" s="119"/>
      <c r="AK192" s="119"/>
      <c r="AL192" s="119"/>
    </row>
    <row r="193" spans="1:38" ht="14.25" customHeight="1" x14ac:dyDescent="0.2">
      <c r="A193" s="118" t="s">
        <v>925</v>
      </c>
      <c r="B193" s="118" t="s">
        <v>926</v>
      </c>
      <c r="C193" s="118">
        <v>2023</v>
      </c>
      <c r="D193" s="118" t="s">
        <v>927</v>
      </c>
      <c r="E193" s="118" t="s">
        <v>929</v>
      </c>
      <c r="F193" s="118" t="s">
        <v>930</v>
      </c>
      <c r="G193" s="118">
        <v>0</v>
      </c>
      <c r="H193" s="118" t="s">
        <v>15</v>
      </c>
      <c r="I193" s="118" t="s">
        <v>253</v>
      </c>
      <c r="J193" s="118" t="s">
        <v>928</v>
      </c>
      <c r="K193" s="118">
        <v>0</v>
      </c>
      <c r="L193" s="118"/>
      <c r="M193" s="118"/>
      <c r="N193" s="42"/>
      <c r="O193" s="42" t="s">
        <v>193</v>
      </c>
      <c r="P193" s="42" t="s">
        <v>194</v>
      </c>
      <c r="Q193" s="42"/>
      <c r="R193" s="42"/>
      <c r="S193" s="3"/>
      <c r="T193" s="119"/>
      <c r="U193" s="119"/>
      <c r="V193" s="119"/>
      <c r="W193" s="119"/>
      <c r="X193" s="119"/>
      <c r="Y193" s="119"/>
      <c r="Z193" s="119"/>
      <c r="AA193" s="119"/>
      <c r="AB193" s="119"/>
      <c r="AC193" s="119"/>
      <c r="AD193" s="119"/>
      <c r="AE193" s="119"/>
      <c r="AF193" s="119"/>
      <c r="AG193" s="119"/>
      <c r="AH193" s="119"/>
      <c r="AI193" s="119"/>
      <c r="AJ193" s="119"/>
      <c r="AK193" s="119"/>
      <c r="AL193" s="119"/>
    </row>
    <row r="194" spans="1:38" ht="14.25" customHeight="1" x14ac:dyDescent="0.2">
      <c r="A194" s="118" t="s">
        <v>931</v>
      </c>
      <c r="B194" s="118" t="s">
        <v>932</v>
      </c>
      <c r="C194" s="118">
        <v>2022</v>
      </c>
      <c r="D194" s="118" t="s">
        <v>233</v>
      </c>
      <c r="E194" s="118" t="s">
        <v>934</v>
      </c>
      <c r="F194" s="118" t="s">
        <v>935</v>
      </c>
      <c r="G194" s="118" t="s">
        <v>238</v>
      </c>
      <c r="H194" s="118" t="s">
        <v>15</v>
      </c>
      <c r="I194" s="118" t="s">
        <v>230</v>
      </c>
      <c r="J194" s="118" t="s">
        <v>933</v>
      </c>
      <c r="K194" s="118" t="s">
        <v>936</v>
      </c>
      <c r="L194" s="118"/>
      <c r="M194" s="118"/>
      <c r="N194" s="42"/>
      <c r="O194" s="42" t="s">
        <v>193</v>
      </c>
      <c r="P194" s="42" t="s">
        <v>194</v>
      </c>
      <c r="Q194" s="42"/>
      <c r="R194" s="42"/>
      <c r="S194" s="3"/>
      <c r="T194" s="119"/>
      <c r="U194" s="119"/>
      <c r="V194" s="119"/>
      <c r="W194" s="119"/>
      <c r="X194" s="119"/>
      <c r="Y194" s="119"/>
      <c r="Z194" s="119"/>
      <c r="AA194" s="119"/>
      <c r="AB194" s="119"/>
      <c r="AC194" s="119"/>
      <c r="AD194" s="119"/>
      <c r="AE194" s="119"/>
      <c r="AF194" s="119"/>
      <c r="AG194" s="119"/>
      <c r="AH194" s="119"/>
      <c r="AI194" s="119"/>
      <c r="AJ194" s="119"/>
      <c r="AK194" s="119"/>
      <c r="AL194" s="119"/>
    </row>
    <row r="195" spans="1:38" ht="14.25" customHeight="1" x14ac:dyDescent="0.2">
      <c r="A195" s="118" t="s">
        <v>937</v>
      </c>
      <c r="B195" s="118" t="s">
        <v>938</v>
      </c>
      <c r="C195" s="118">
        <v>2023</v>
      </c>
      <c r="D195" s="118" t="s">
        <v>939</v>
      </c>
      <c r="E195" s="118" t="s">
        <v>941</v>
      </c>
      <c r="F195" s="118">
        <v>0</v>
      </c>
      <c r="G195" s="118" t="s">
        <v>457</v>
      </c>
      <c r="H195" s="118" t="s">
        <v>15</v>
      </c>
      <c r="I195" s="118" t="s">
        <v>253</v>
      </c>
      <c r="J195" s="118" t="s">
        <v>940</v>
      </c>
      <c r="K195" s="118" t="s">
        <v>942</v>
      </c>
      <c r="L195" s="118"/>
      <c r="M195" s="118"/>
      <c r="N195" s="42"/>
      <c r="O195" s="42" t="s">
        <v>193</v>
      </c>
      <c r="P195" s="42" t="s">
        <v>194</v>
      </c>
      <c r="Q195" s="42"/>
      <c r="R195" s="42"/>
      <c r="S195" s="3"/>
      <c r="T195" s="119"/>
      <c r="U195" s="119"/>
      <c r="V195" s="119"/>
      <c r="W195" s="119"/>
      <c r="X195" s="119"/>
      <c r="Y195" s="119"/>
      <c r="Z195" s="119"/>
      <c r="AA195" s="119"/>
      <c r="AB195" s="119"/>
      <c r="AC195" s="119"/>
      <c r="AD195" s="119"/>
      <c r="AE195" s="119"/>
      <c r="AF195" s="119"/>
      <c r="AG195" s="119"/>
      <c r="AH195" s="119"/>
      <c r="AI195" s="119"/>
      <c r="AJ195" s="119"/>
      <c r="AK195" s="119"/>
      <c r="AL195" s="119"/>
    </row>
    <row r="196" spans="1:38" ht="14.25" customHeight="1" x14ac:dyDescent="0.2">
      <c r="A196" s="118" t="s">
        <v>943</v>
      </c>
      <c r="B196" s="118" t="s">
        <v>944</v>
      </c>
      <c r="C196" s="118">
        <v>2023</v>
      </c>
      <c r="D196" s="118" t="s">
        <v>233</v>
      </c>
      <c r="E196" s="118" t="s">
        <v>946</v>
      </c>
      <c r="F196" s="118" t="s">
        <v>947</v>
      </c>
      <c r="G196" s="118" t="s">
        <v>238</v>
      </c>
      <c r="H196" s="118" t="s">
        <v>15</v>
      </c>
      <c r="I196" s="118" t="s">
        <v>230</v>
      </c>
      <c r="J196" s="118" t="s">
        <v>945</v>
      </c>
      <c r="K196" s="118" t="s">
        <v>948</v>
      </c>
      <c r="L196" s="118"/>
      <c r="M196" s="118"/>
      <c r="N196" s="42"/>
      <c r="O196" s="42" t="s">
        <v>193</v>
      </c>
      <c r="P196" s="42" t="s">
        <v>194</v>
      </c>
      <c r="Q196" s="42"/>
      <c r="R196" s="42"/>
      <c r="S196" s="3"/>
      <c r="T196" s="119"/>
      <c r="U196" s="119"/>
      <c r="V196" s="119"/>
      <c r="W196" s="119"/>
      <c r="X196" s="119"/>
      <c r="Y196" s="119"/>
      <c r="Z196" s="119"/>
      <c r="AA196" s="119"/>
      <c r="AB196" s="119"/>
      <c r="AC196" s="119"/>
      <c r="AD196" s="119"/>
      <c r="AE196" s="119"/>
      <c r="AF196" s="119"/>
      <c r="AG196" s="119"/>
      <c r="AH196" s="119"/>
      <c r="AI196" s="119"/>
      <c r="AJ196" s="119"/>
      <c r="AK196" s="119"/>
      <c r="AL196" s="119"/>
    </row>
    <row r="197" spans="1:38" ht="14.25" customHeight="1" x14ac:dyDescent="0.2">
      <c r="A197" s="118" t="s">
        <v>949</v>
      </c>
      <c r="B197" s="118" t="s">
        <v>950</v>
      </c>
      <c r="C197" s="118">
        <v>2024</v>
      </c>
      <c r="D197" s="118" t="s">
        <v>233</v>
      </c>
      <c r="E197" s="118" t="s">
        <v>952</v>
      </c>
      <c r="F197" s="118" t="s">
        <v>953</v>
      </c>
      <c r="G197" s="118" t="s">
        <v>238</v>
      </c>
      <c r="H197" s="118" t="s">
        <v>15</v>
      </c>
      <c r="I197" s="118" t="s">
        <v>230</v>
      </c>
      <c r="J197" s="118" t="s">
        <v>951</v>
      </c>
      <c r="K197" s="118" t="s">
        <v>954</v>
      </c>
      <c r="L197" s="118"/>
      <c r="M197" s="118"/>
      <c r="N197" s="42"/>
      <c r="O197" s="42" t="s">
        <v>193</v>
      </c>
      <c r="P197" s="42" t="s">
        <v>194</v>
      </c>
      <c r="Q197" s="42"/>
      <c r="R197" s="42"/>
      <c r="S197" s="3"/>
      <c r="T197" s="119"/>
      <c r="U197" s="119"/>
      <c r="V197" s="119"/>
      <c r="W197" s="119"/>
      <c r="X197" s="119"/>
      <c r="Y197" s="119"/>
      <c r="Z197" s="119"/>
      <c r="AA197" s="119"/>
      <c r="AB197" s="119"/>
      <c r="AC197" s="119"/>
      <c r="AD197" s="119"/>
      <c r="AE197" s="119"/>
      <c r="AF197" s="119"/>
      <c r="AG197" s="119"/>
      <c r="AH197" s="119"/>
      <c r="AI197" s="119"/>
      <c r="AJ197" s="119"/>
      <c r="AK197" s="119"/>
      <c r="AL197" s="119"/>
    </row>
    <row r="198" spans="1:38" ht="14.25" customHeight="1" x14ac:dyDescent="0.2">
      <c r="A198" s="118" t="s">
        <v>955</v>
      </c>
      <c r="B198" s="118" t="s">
        <v>956</v>
      </c>
      <c r="C198" s="118">
        <v>2024</v>
      </c>
      <c r="D198" s="118" t="s">
        <v>957</v>
      </c>
      <c r="E198" s="118" t="s">
        <v>959</v>
      </c>
      <c r="F198" s="118" t="s">
        <v>960</v>
      </c>
      <c r="G198" s="118" t="s">
        <v>473</v>
      </c>
      <c r="H198" s="118" t="s">
        <v>961</v>
      </c>
      <c r="I198" s="118" t="s">
        <v>230</v>
      </c>
      <c r="J198" s="118" t="s">
        <v>958</v>
      </c>
      <c r="K198" s="118">
        <v>0</v>
      </c>
      <c r="L198" s="118"/>
      <c r="M198" s="118"/>
      <c r="N198" s="42"/>
      <c r="O198" s="42" t="s">
        <v>193</v>
      </c>
      <c r="P198" s="42" t="s">
        <v>194</v>
      </c>
      <c r="Q198" s="42"/>
      <c r="R198" s="42"/>
      <c r="S198" s="3"/>
      <c r="T198" s="119"/>
      <c r="U198" s="119"/>
      <c r="V198" s="119"/>
      <c r="W198" s="119"/>
      <c r="X198" s="119"/>
      <c r="Y198" s="119"/>
      <c r="Z198" s="119"/>
      <c r="AA198" s="119"/>
      <c r="AB198" s="119"/>
      <c r="AC198" s="119"/>
      <c r="AD198" s="119"/>
      <c r="AE198" s="119"/>
      <c r="AF198" s="119"/>
      <c r="AG198" s="119"/>
      <c r="AH198" s="119"/>
      <c r="AI198" s="119"/>
      <c r="AJ198" s="119"/>
      <c r="AK198" s="119"/>
      <c r="AL198" s="119"/>
    </row>
    <row r="199" spans="1:38" ht="14.25" customHeight="1" x14ac:dyDescent="0.2">
      <c r="A199" s="118" t="s">
        <v>962</v>
      </c>
      <c r="B199" s="118" t="s">
        <v>963</v>
      </c>
      <c r="C199" s="118">
        <v>2025</v>
      </c>
      <c r="D199" s="118" t="s">
        <v>476</v>
      </c>
      <c r="E199" s="118" t="s">
        <v>965</v>
      </c>
      <c r="F199" s="118" t="s">
        <v>966</v>
      </c>
      <c r="G199" s="118" t="s">
        <v>228</v>
      </c>
      <c r="H199" s="118" t="s">
        <v>15</v>
      </c>
      <c r="I199" s="118" t="s">
        <v>230</v>
      </c>
      <c r="J199" s="118" t="s">
        <v>964</v>
      </c>
      <c r="K199" s="118" t="s">
        <v>967</v>
      </c>
      <c r="L199" s="118"/>
      <c r="M199" s="118"/>
      <c r="N199" s="42"/>
      <c r="O199" s="42" t="s">
        <v>193</v>
      </c>
      <c r="P199" s="42" t="s">
        <v>194</v>
      </c>
      <c r="Q199" s="42"/>
      <c r="R199" s="42"/>
      <c r="S199" s="3"/>
      <c r="T199" s="119"/>
      <c r="U199" s="119"/>
      <c r="V199" s="119"/>
      <c r="W199" s="119"/>
      <c r="X199" s="119"/>
      <c r="Y199" s="119"/>
      <c r="Z199" s="119"/>
      <c r="AA199" s="119"/>
      <c r="AB199" s="119"/>
      <c r="AC199" s="119"/>
      <c r="AD199" s="119"/>
      <c r="AE199" s="119"/>
      <c r="AF199" s="119"/>
      <c r="AG199" s="119"/>
      <c r="AH199" s="119"/>
      <c r="AI199" s="119"/>
      <c r="AJ199" s="119"/>
      <c r="AK199" s="119"/>
      <c r="AL199" s="119"/>
    </row>
    <row r="200" spans="1:38" ht="14.25" customHeight="1" x14ac:dyDescent="0.2">
      <c r="A200" s="118" t="s">
        <v>968</v>
      </c>
      <c r="B200" s="118" t="s">
        <v>969</v>
      </c>
      <c r="C200" s="118">
        <v>2026</v>
      </c>
      <c r="D200" s="118" t="s">
        <v>970</v>
      </c>
      <c r="E200" s="118" t="s">
        <v>972</v>
      </c>
      <c r="F200" s="118" t="s">
        <v>973</v>
      </c>
      <c r="G200" s="118" t="s">
        <v>228</v>
      </c>
      <c r="H200" s="118" t="s">
        <v>15</v>
      </c>
      <c r="I200" s="118" t="s">
        <v>230</v>
      </c>
      <c r="J200" s="118" t="s">
        <v>971</v>
      </c>
      <c r="K200" s="118" t="s">
        <v>974</v>
      </c>
      <c r="L200" s="118"/>
      <c r="M200" s="118"/>
      <c r="N200" s="42"/>
      <c r="O200" s="42" t="s">
        <v>193</v>
      </c>
      <c r="P200" s="42" t="s">
        <v>194</v>
      </c>
      <c r="Q200" s="42"/>
      <c r="R200" s="42"/>
      <c r="S200" s="3"/>
      <c r="T200" s="119"/>
      <c r="U200" s="119"/>
      <c r="V200" s="119"/>
      <c r="W200" s="119"/>
      <c r="X200" s="119"/>
      <c r="Y200" s="119"/>
      <c r="Z200" s="119"/>
      <c r="AA200" s="119"/>
      <c r="AB200" s="119"/>
      <c r="AC200" s="119"/>
      <c r="AD200" s="119"/>
      <c r="AE200" s="119"/>
      <c r="AF200" s="119"/>
      <c r="AG200" s="119"/>
      <c r="AH200" s="119"/>
      <c r="AI200" s="119"/>
      <c r="AJ200" s="119"/>
      <c r="AK200" s="119"/>
      <c r="AL200" s="119"/>
    </row>
    <row r="201" spans="1:38" ht="14.25" customHeight="1" x14ac:dyDescent="0.2">
      <c r="A201" s="118" t="s">
        <v>975</v>
      </c>
      <c r="B201" s="118" t="s">
        <v>976</v>
      </c>
      <c r="C201" s="118">
        <v>2022</v>
      </c>
      <c r="D201" s="118" t="s">
        <v>977</v>
      </c>
      <c r="E201" s="118" t="s">
        <v>979</v>
      </c>
      <c r="F201" s="118" t="s">
        <v>980</v>
      </c>
      <c r="G201" s="118" t="s">
        <v>473</v>
      </c>
      <c r="H201" s="118" t="s">
        <v>15</v>
      </c>
      <c r="I201" s="118" t="s">
        <v>253</v>
      </c>
      <c r="J201" s="118" t="s">
        <v>978</v>
      </c>
      <c r="K201" s="118" t="s">
        <v>981</v>
      </c>
      <c r="L201" s="118"/>
      <c r="M201" s="118"/>
      <c r="N201" s="42"/>
      <c r="O201" s="42" t="s">
        <v>193</v>
      </c>
      <c r="P201" s="42" t="s">
        <v>194</v>
      </c>
      <c r="Q201" s="42"/>
      <c r="R201" s="42"/>
      <c r="S201" s="3"/>
      <c r="T201" s="119"/>
      <c r="U201" s="119"/>
      <c r="V201" s="119"/>
      <c r="W201" s="119"/>
      <c r="X201" s="119"/>
      <c r="Y201" s="119"/>
      <c r="Z201" s="119"/>
      <c r="AA201" s="119"/>
      <c r="AB201" s="119"/>
      <c r="AC201" s="119"/>
      <c r="AD201" s="119"/>
      <c r="AE201" s="119"/>
      <c r="AF201" s="119"/>
      <c r="AG201" s="119"/>
      <c r="AH201" s="119"/>
      <c r="AI201" s="119"/>
      <c r="AJ201" s="119"/>
      <c r="AK201" s="119"/>
      <c r="AL201" s="119"/>
    </row>
    <row r="202" spans="1:38" ht="14.25" customHeight="1" x14ac:dyDescent="0.2">
      <c r="A202" s="118" t="s">
        <v>487</v>
      </c>
      <c r="B202" s="118" t="s">
        <v>982</v>
      </c>
      <c r="C202" s="118">
        <v>2023</v>
      </c>
      <c r="D202" s="118" t="s">
        <v>983</v>
      </c>
      <c r="E202" s="118" t="s">
        <v>985</v>
      </c>
      <c r="F202" s="118" t="s">
        <v>986</v>
      </c>
      <c r="G202" s="118" t="s">
        <v>987</v>
      </c>
      <c r="H202" s="118" t="s">
        <v>15</v>
      </c>
      <c r="I202" s="118" t="s">
        <v>230</v>
      </c>
      <c r="J202" s="118" t="s">
        <v>984</v>
      </c>
      <c r="K202" s="118">
        <v>0</v>
      </c>
      <c r="L202" s="118"/>
      <c r="M202" s="118"/>
      <c r="N202" s="42"/>
      <c r="O202" s="42" t="s">
        <v>193</v>
      </c>
      <c r="P202" s="42" t="s">
        <v>194</v>
      </c>
      <c r="Q202" s="42"/>
      <c r="R202" s="42"/>
      <c r="S202" s="3"/>
      <c r="T202" s="119"/>
      <c r="U202" s="119"/>
      <c r="V202" s="119"/>
      <c r="W202" s="119"/>
      <c r="X202" s="119"/>
      <c r="Y202" s="119"/>
      <c r="Z202" s="119"/>
      <c r="AA202" s="119"/>
      <c r="AB202" s="119"/>
      <c r="AC202" s="119"/>
      <c r="AD202" s="119"/>
      <c r="AE202" s="119"/>
      <c r="AF202" s="119"/>
      <c r="AG202" s="119"/>
      <c r="AH202" s="119"/>
      <c r="AI202" s="119"/>
      <c r="AJ202" s="119"/>
      <c r="AK202" s="119"/>
      <c r="AL202" s="119"/>
    </row>
    <row r="203" spans="1:38" ht="14.25" customHeight="1" x14ac:dyDescent="0.2">
      <c r="A203" s="118" t="s">
        <v>988</v>
      </c>
      <c r="B203" s="118" t="s">
        <v>989</v>
      </c>
      <c r="C203" s="118">
        <v>2024</v>
      </c>
      <c r="D203" s="118" t="s">
        <v>523</v>
      </c>
      <c r="E203" s="118" t="s">
        <v>991</v>
      </c>
      <c r="F203" s="118" t="s">
        <v>992</v>
      </c>
      <c r="G203" s="118" t="s">
        <v>228</v>
      </c>
      <c r="H203" s="118" t="s">
        <v>15</v>
      </c>
      <c r="I203" s="118" t="s">
        <v>230</v>
      </c>
      <c r="J203" s="118" t="s">
        <v>990</v>
      </c>
      <c r="K203" s="118" t="s">
        <v>993</v>
      </c>
      <c r="L203" s="118"/>
      <c r="M203" s="118"/>
      <c r="N203" s="42"/>
      <c r="O203" s="42" t="s">
        <v>193</v>
      </c>
      <c r="P203" s="42" t="s">
        <v>194</v>
      </c>
      <c r="Q203" s="42"/>
      <c r="R203" s="42"/>
      <c r="S203" s="3"/>
      <c r="T203" s="119"/>
      <c r="U203" s="119"/>
      <c r="V203" s="119"/>
      <c r="W203" s="119"/>
      <c r="X203" s="119"/>
      <c r="Y203" s="119"/>
      <c r="Z203" s="119"/>
      <c r="AA203" s="119"/>
      <c r="AB203" s="119"/>
      <c r="AC203" s="119"/>
      <c r="AD203" s="119"/>
      <c r="AE203" s="119"/>
      <c r="AF203" s="119"/>
      <c r="AG203" s="119"/>
      <c r="AH203" s="119"/>
      <c r="AI203" s="119"/>
      <c r="AJ203" s="119"/>
      <c r="AK203" s="119"/>
      <c r="AL203" s="119"/>
    </row>
    <row r="204" spans="1:38" ht="14.25" customHeight="1" x14ac:dyDescent="0.2">
      <c r="A204" s="118" t="s">
        <v>995</v>
      </c>
      <c r="B204" s="118" t="s">
        <v>996</v>
      </c>
      <c r="C204" s="118">
        <v>2025</v>
      </c>
      <c r="D204" s="118" t="s">
        <v>233</v>
      </c>
      <c r="E204" s="118" t="s">
        <v>998</v>
      </c>
      <c r="F204" s="118" t="s">
        <v>999</v>
      </c>
      <c r="G204" s="118" t="s">
        <v>238</v>
      </c>
      <c r="H204" s="118" t="s">
        <v>15</v>
      </c>
      <c r="I204" s="118" t="s">
        <v>230</v>
      </c>
      <c r="J204" s="118" t="s">
        <v>997</v>
      </c>
      <c r="K204" s="118" t="s">
        <v>1000</v>
      </c>
      <c r="L204" s="118"/>
      <c r="M204" s="118"/>
      <c r="N204" s="42"/>
      <c r="O204" s="42" t="s">
        <v>193</v>
      </c>
      <c r="P204" s="42" t="s">
        <v>194</v>
      </c>
      <c r="Q204" s="42"/>
      <c r="R204" s="42"/>
      <c r="S204" s="3"/>
      <c r="T204" s="119"/>
      <c r="U204" s="119"/>
      <c r="V204" s="119"/>
      <c r="W204" s="119"/>
      <c r="X204" s="119"/>
      <c r="Y204" s="119"/>
      <c r="Z204" s="119"/>
      <c r="AA204" s="119"/>
      <c r="AB204" s="119"/>
      <c r="AC204" s="119"/>
      <c r="AD204" s="119"/>
      <c r="AE204" s="119"/>
      <c r="AF204" s="119"/>
      <c r="AG204" s="119"/>
      <c r="AH204" s="119"/>
      <c r="AI204" s="119"/>
      <c r="AJ204" s="119"/>
      <c r="AK204" s="119"/>
      <c r="AL204" s="119"/>
    </row>
    <row r="205" spans="1:38" ht="14.25" customHeight="1" x14ac:dyDescent="0.2">
      <c r="A205" s="118" t="s">
        <v>1001</v>
      </c>
      <c r="B205" s="118" t="s">
        <v>1002</v>
      </c>
      <c r="C205" s="118">
        <v>2023</v>
      </c>
      <c r="D205" s="118" t="s">
        <v>1003</v>
      </c>
      <c r="E205" s="118" t="s">
        <v>1005</v>
      </c>
      <c r="F205" s="118" t="s">
        <v>1006</v>
      </c>
      <c r="G205" s="118" t="s">
        <v>350</v>
      </c>
      <c r="H205" s="118" t="s">
        <v>15</v>
      </c>
      <c r="I205" s="118" t="s">
        <v>230</v>
      </c>
      <c r="J205" s="118" t="s">
        <v>1004</v>
      </c>
      <c r="K205" s="118" t="s">
        <v>1007</v>
      </c>
      <c r="L205" s="118"/>
      <c r="M205" s="118"/>
      <c r="N205" s="42"/>
      <c r="O205" s="42" t="s">
        <v>193</v>
      </c>
      <c r="P205" s="42" t="s">
        <v>194</v>
      </c>
      <c r="Q205" s="42"/>
      <c r="R205" s="42"/>
      <c r="S205" s="3"/>
      <c r="T205" s="119"/>
      <c r="U205" s="119"/>
      <c r="V205" s="119"/>
      <c r="W205" s="119"/>
      <c r="X205" s="119"/>
      <c r="Y205" s="119"/>
      <c r="Z205" s="119"/>
      <c r="AA205" s="119"/>
      <c r="AB205" s="119"/>
      <c r="AC205" s="119"/>
      <c r="AD205" s="119"/>
      <c r="AE205" s="119"/>
      <c r="AF205" s="119"/>
      <c r="AG205" s="119"/>
      <c r="AH205" s="119"/>
      <c r="AI205" s="119"/>
      <c r="AJ205" s="119"/>
      <c r="AK205" s="119"/>
      <c r="AL205" s="119"/>
    </row>
    <row r="206" spans="1:38" ht="14.25" customHeight="1" x14ac:dyDescent="0.2">
      <c r="A206" s="118" t="s">
        <v>1008</v>
      </c>
      <c r="B206" s="118" t="s">
        <v>1009</v>
      </c>
      <c r="C206" s="118">
        <v>2023</v>
      </c>
      <c r="D206" s="118" t="s">
        <v>233</v>
      </c>
      <c r="E206" s="118" t="s">
        <v>1011</v>
      </c>
      <c r="F206" s="118" t="s">
        <v>1012</v>
      </c>
      <c r="G206" s="118" t="s">
        <v>238</v>
      </c>
      <c r="H206" s="118" t="s">
        <v>15</v>
      </c>
      <c r="I206" s="118" t="s">
        <v>230</v>
      </c>
      <c r="J206" s="118" t="s">
        <v>1010</v>
      </c>
      <c r="K206" s="118" t="s">
        <v>1013</v>
      </c>
      <c r="L206" s="118"/>
      <c r="M206" s="118"/>
      <c r="N206" s="42"/>
      <c r="O206" s="42" t="s">
        <v>193</v>
      </c>
      <c r="P206" s="42" t="s">
        <v>194</v>
      </c>
      <c r="Q206" s="42"/>
      <c r="R206" s="42"/>
      <c r="S206" s="3"/>
      <c r="T206" s="119"/>
      <c r="U206" s="119"/>
      <c r="V206" s="119"/>
      <c r="W206" s="119"/>
      <c r="X206" s="119"/>
      <c r="Y206" s="119"/>
      <c r="Z206" s="119"/>
      <c r="AA206" s="119"/>
      <c r="AB206" s="119"/>
      <c r="AC206" s="119"/>
      <c r="AD206" s="119"/>
      <c r="AE206" s="119"/>
      <c r="AF206" s="119"/>
      <c r="AG206" s="119"/>
      <c r="AH206" s="119"/>
      <c r="AI206" s="119"/>
      <c r="AJ206" s="119"/>
      <c r="AK206" s="119"/>
      <c r="AL206" s="119"/>
    </row>
    <row r="207" spans="1:38" ht="14.25" customHeight="1" x14ac:dyDescent="0.2">
      <c r="A207" s="118" t="s">
        <v>1014</v>
      </c>
      <c r="B207" s="118" t="s">
        <v>1015</v>
      </c>
      <c r="C207" s="118">
        <v>2024</v>
      </c>
      <c r="D207" s="118" t="s">
        <v>233</v>
      </c>
      <c r="E207" s="118" t="s">
        <v>1017</v>
      </c>
      <c r="F207" s="118" t="s">
        <v>1018</v>
      </c>
      <c r="G207" s="118" t="s">
        <v>238</v>
      </c>
      <c r="H207" s="118" t="s">
        <v>15</v>
      </c>
      <c r="I207" s="118" t="s">
        <v>230</v>
      </c>
      <c r="J207" s="118" t="s">
        <v>1016</v>
      </c>
      <c r="K207" s="118" t="s">
        <v>1019</v>
      </c>
      <c r="L207" s="118"/>
      <c r="M207" s="118"/>
      <c r="N207" s="42"/>
      <c r="O207" s="42" t="s">
        <v>193</v>
      </c>
      <c r="P207" s="42" t="s">
        <v>194</v>
      </c>
      <c r="Q207" s="42"/>
      <c r="R207" s="42"/>
      <c r="S207" s="3"/>
      <c r="T207" s="119"/>
      <c r="U207" s="119"/>
      <c r="V207" s="119"/>
      <c r="W207" s="119"/>
      <c r="X207" s="119"/>
      <c r="Y207" s="119"/>
      <c r="Z207" s="119"/>
      <c r="AA207" s="119"/>
      <c r="AB207" s="119"/>
      <c r="AC207" s="119"/>
      <c r="AD207" s="119"/>
      <c r="AE207" s="119"/>
      <c r="AF207" s="119"/>
      <c r="AG207" s="119"/>
      <c r="AH207" s="119"/>
      <c r="AI207" s="119"/>
      <c r="AJ207" s="119"/>
      <c r="AK207" s="119"/>
      <c r="AL207" s="119"/>
    </row>
    <row r="208" spans="1:38" ht="14.25" customHeight="1" x14ac:dyDescent="0.2">
      <c r="A208" s="118" t="s">
        <v>1020</v>
      </c>
      <c r="B208" s="118" t="s">
        <v>1021</v>
      </c>
      <c r="C208" s="118">
        <v>2023</v>
      </c>
      <c r="D208" s="118" t="s">
        <v>1022</v>
      </c>
      <c r="E208" s="118" t="s">
        <v>1023</v>
      </c>
      <c r="F208" s="118">
        <v>0</v>
      </c>
      <c r="G208" s="118" t="s">
        <v>895</v>
      </c>
      <c r="H208" s="118" t="s">
        <v>15</v>
      </c>
      <c r="I208" s="118" t="s">
        <v>230</v>
      </c>
      <c r="J208" s="118">
        <v>0</v>
      </c>
      <c r="K208" s="118">
        <v>0</v>
      </c>
      <c r="L208" s="118"/>
      <c r="M208" s="118"/>
      <c r="N208" s="42"/>
      <c r="O208" s="42" t="s">
        <v>193</v>
      </c>
      <c r="P208" s="42" t="s">
        <v>194</v>
      </c>
      <c r="Q208" s="42"/>
      <c r="R208" s="42"/>
      <c r="S208" s="3"/>
      <c r="T208" s="119"/>
      <c r="U208" s="119"/>
      <c r="V208" s="119"/>
      <c r="W208" s="119"/>
      <c r="X208" s="119"/>
      <c r="Y208" s="119"/>
      <c r="Z208" s="119"/>
      <c r="AA208" s="119"/>
      <c r="AB208" s="119"/>
      <c r="AC208" s="119"/>
      <c r="AD208" s="119"/>
      <c r="AE208" s="119"/>
      <c r="AF208" s="119"/>
      <c r="AG208" s="119"/>
      <c r="AH208" s="119"/>
      <c r="AI208" s="119"/>
      <c r="AJ208" s="119"/>
      <c r="AK208" s="119"/>
      <c r="AL208" s="119"/>
    </row>
    <row r="209" spans="1:38" ht="14.25" customHeight="1" x14ac:dyDescent="0.2">
      <c r="A209" s="118" t="s">
        <v>1024</v>
      </c>
      <c r="B209" s="118" t="s">
        <v>1025</v>
      </c>
      <c r="C209" s="118">
        <v>2025</v>
      </c>
      <c r="D209" s="118" t="s">
        <v>233</v>
      </c>
      <c r="E209" s="118" t="s">
        <v>1027</v>
      </c>
      <c r="F209" s="118" t="s">
        <v>1028</v>
      </c>
      <c r="G209" s="118" t="s">
        <v>238</v>
      </c>
      <c r="H209" s="118" t="s">
        <v>15</v>
      </c>
      <c r="I209" s="118" t="s">
        <v>230</v>
      </c>
      <c r="J209" s="118" t="s">
        <v>1026</v>
      </c>
      <c r="K209" s="118" t="s">
        <v>1029</v>
      </c>
      <c r="L209" s="118"/>
      <c r="M209" s="118"/>
      <c r="N209" s="42"/>
      <c r="O209" s="42" t="s">
        <v>193</v>
      </c>
      <c r="P209" s="42" t="s">
        <v>194</v>
      </c>
      <c r="Q209" s="42"/>
      <c r="R209" s="42"/>
      <c r="S209" s="3"/>
      <c r="T209" s="119"/>
      <c r="U209" s="119"/>
      <c r="V209" s="119"/>
      <c r="W209" s="119"/>
      <c r="X209" s="119"/>
      <c r="Y209" s="119"/>
      <c r="Z209" s="119"/>
      <c r="AA209" s="119"/>
      <c r="AB209" s="119"/>
      <c r="AC209" s="119"/>
      <c r="AD209" s="119"/>
      <c r="AE209" s="119"/>
      <c r="AF209" s="119"/>
      <c r="AG209" s="119"/>
      <c r="AH209" s="119"/>
      <c r="AI209" s="119"/>
      <c r="AJ209" s="119"/>
      <c r="AK209" s="119"/>
      <c r="AL209" s="119"/>
    </row>
    <row r="210" spans="1:38" ht="14.25" customHeight="1" x14ac:dyDescent="0.2">
      <c r="A210" s="118" t="s">
        <v>1030</v>
      </c>
      <c r="B210" s="118" t="s">
        <v>1031</v>
      </c>
      <c r="C210" s="118">
        <v>2023</v>
      </c>
      <c r="D210" s="118" t="s">
        <v>345</v>
      </c>
      <c r="E210" s="118" t="s">
        <v>1033</v>
      </c>
      <c r="F210" s="118" t="s">
        <v>1034</v>
      </c>
      <c r="G210" s="118" t="s">
        <v>350</v>
      </c>
      <c r="H210" s="118" t="s">
        <v>15</v>
      </c>
      <c r="I210" s="118" t="s">
        <v>253</v>
      </c>
      <c r="J210" s="118" t="s">
        <v>1032</v>
      </c>
      <c r="K210" s="118" t="s">
        <v>1035</v>
      </c>
      <c r="L210" s="118"/>
      <c r="M210" s="118"/>
      <c r="N210" s="42"/>
      <c r="O210" s="42" t="s">
        <v>193</v>
      </c>
      <c r="P210" s="42" t="s">
        <v>194</v>
      </c>
      <c r="Q210" s="42"/>
      <c r="R210" s="42"/>
      <c r="S210" s="3"/>
      <c r="T210" s="119"/>
      <c r="U210" s="119"/>
      <c r="V210" s="119"/>
      <c r="W210" s="119"/>
      <c r="X210" s="119"/>
      <c r="Y210" s="119"/>
      <c r="Z210" s="119"/>
      <c r="AA210" s="119"/>
      <c r="AB210" s="119"/>
      <c r="AC210" s="119"/>
      <c r="AD210" s="119"/>
      <c r="AE210" s="119"/>
      <c r="AF210" s="119"/>
      <c r="AG210" s="119"/>
      <c r="AH210" s="119"/>
      <c r="AI210" s="119"/>
      <c r="AJ210" s="119"/>
      <c r="AK210" s="119"/>
      <c r="AL210" s="119"/>
    </row>
    <row r="211" spans="1:38" ht="14.25" customHeight="1" x14ac:dyDescent="0.2">
      <c r="A211" s="118" t="s">
        <v>1036</v>
      </c>
      <c r="B211" s="118" t="s">
        <v>1037</v>
      </c>
      <c r="C211" s="118">
        <v>2025</v>
      </c>
      <c r="D211" s="118" t="s">
        <v>233</v>
      </c>
      <c r="E211" s="118" t="s">
        <v>1039</v>
      </c>
      <c r="F211" s="118" t="s">
        <v>1040</v>
      </c>
      <c r="G211" s="118" t="s">
        <v>238</v>
      </c>
      <c r="H211" s="118" t="s">
        <v>15</v>
      </c>
      <c r="I211" s="118" t="s">
        <v>230</v>
      </c>
      <c r="J211" s="118" t="s">
        <v>1038</v>
      </c>
      <c r="K211" s="118" t="s">
        <v>1041</v>
      </c>
      <c r="L211" s="118"/>
      <c r="M211" s="118"/>
      <c r="N211" s="42"/>
      <c r="O211" s="42" t="s">
        <v>193</v>
      </c>
      <c r="P211" s="42" t="s">
        <v>194</v>
      </c>
      <c r="Q211" s="42"/>
      <c r="R211" s="42"/>
      <c r="S211" s="3"/>
      <c r="T211" s="119"/>
      <c r="U211" s="119"/>
      <c r="V211" s="119"/>
      <c r="W211" s="119"/>
      <c r="X211" s="119"/>
      <c r="Y211" s="119"/>
      <c r="Z211" s="119"/>
      <c r="AA211" s="119"/>
      <c r="AB211" s="119"/>
      <c r="AC211" s="119"/>
      <c r="AD211" s="119"/>
      <c r="AE211" s="119"/>
      <c r="AF211" s="119"/>
      <c r="AG211" s="119"/>
      <c r="AH211" s="119"/>
      <c r="AI211" s="119"/>
      <c r="AJ211" s="119"/>
      <c r="AK211" s="119"/>
      <c r="AL211" s="119"/>
    </row>
    <row r="212" spans="1:38" ht="14.25" customHeight="1" x14ac:dyDescent="0.2">
      <c r="A212" s="118" t="s">
        <v>1042</v>
      </c>
      <c r="B212" s="118" t="s">
        <v>1043</v>
      </c>
      <c r="C212" s="118">
        <v>2026</v>
      </c>
      <c r="D212" s="118" t="s">
        <v>548</v>
      </c>
      <c r="E212" s="118" t="s">
        <v>1045</v>
      </c>
      <c r="F212" s="118" t="s">
        <v>1046</v>
      </c>
      <c r="G212" s="118" t="s">
        <v>228</v>
      </c>
      <c r="H212" s="118" t="s">
        <v>15</v>
      </c>
      <c r="I212" s="118" t="s">
        <v>230</v>
      </c>
      <c r="J212" s="118" t="s">
        <v>1044</v>
      </c>
      <c r="K212" s="118" t="s">
        <v>1047</v>
      </c>
      <c r="L212" s="118"/>
      <c r="M212" s="118"/>
      <c r="N212" s="42"/>
      <c r="O212" s="42" t="s">
        <v>193</v>
      </c>
      <c r="P212" s="42" t="s">
        <v>194</v>
      </c>
      <c r="Q212" s="42"/>
      <c r="R212" s="42"/>
      <c r="S212" s="3"/>
      <c r="T212" s="119"/>
      <c r="U212" s="119"/>
      <c r="V212" s="119"/>
      <c r="W212" s="119"/>
      <c r="X212" s="119"/>
      <c r="Y212" s="119"/>
      <c r="Z212" s="119"/>
      <c r="AA212" s="119"/>
      <c r="AB212" s="119"/>
      <c r="AC212" s="119"/>
      <c r="AD212" s="119"/>
      <c r="AE212" s="119"/>
      <c r="AF212" s="119"/>
      <c r="AG212" s="119"/>
      <c r="AH212" s="119"/>
      <c r="AI212" s="119"/>
      <c r="AJ212" s="119"/>
      <c r="AK212" s="119"/>
      <c r="AL212" s="119"/>
    </row>
    <row r="213" spans="1:38" ht="14.25" customHeight="1" x14ac:dyDescent="0.2">
      <c r="A213" s="118" t="s">
        <v>1048</v>
      </c>
      <c r="B213" s="118" t="s">
        <v>1049</v>
      </c>
      <c r="C213" s="118">
        <v>2024</v>
      </c>
      <c r="D213" s="118" t="s">
        <v>233</v>
      </c>
      <c r="E213" s="118" t="s">
        <v>1051</v>
      </c>
      <c r="F213" s="118" t="s">
        <v>1052</v>
      </c>
      <c r="G213" s="118" t="s">
        <v>238</v>
      </c>
      <c r="H213" s="118" t="s">
        <v>15</v>
      </c>
      <c r="I213" s="118" t="s">
        <v>230</v>
      </c>
      <c r="J213" s="118" t="s">
        <v>1050</v>
      </c>
      <c r="K213" s="118" t="s">
        <v>1053</v>
      </c>
      <c r="L213" s="118"/>
      <c r="M213" s="118"/>
      <c r="N213" s="42"/>
      <c r="O213" s="42" t="s">
        <v>193</v>
      </c>
      <c r="P213" s="42" t="s">
        <v>194</v>
      </c>
      <c r="Q213" s="42"/>
      <c r="R213" s="42"/>
      <c r="S213" s="3"/>
      <c r="T213" s="119"/>
      <c r="U213" s="119"/>
      <c r="V213" s="119"/>
      <c r="W213" s="119"/>
      <c r="X213" s="119"/>
      <c r="Y213" s="119"/>
      <c r="Z213" s="119"/>
      <c r="AA213" s="119"/>
      <c r="AB213" s="119"/>
      <c r="AC213" s="119"/>
      <c r="AD213" s="119"/>
      <c r="AE213" s="119"/>
      <c r="AF213" s="119"/>
      <c r="AG213" s="119"/>
      <c r="AH213" s="119"/>
      <c r="AI213" s="119"/>
      <c r="AJ213" s="119"/>
      <c r="AK213" s="119"/>
      <c r="AL213" s="119"/>
    </row>
    <row r="214" spans="1:38" ht="14.25" customHeight="1" x14ac:dyDescent="0.2">
      <c r="A214" s="118" t="s">
        <v>1054</v>
      </c>
      <c r="B214" s="118" t="s">
        <v>1055</v>
      </c>
      <c r="C214" s="118">
        <v>2023</v>
      </c>
      <c r="D214" s="118" t="s">
        <v>233</v>
      </c>
      <c r="E214" s="118" t="s">
        <v>1057</v>
      </c>
      <c r="F214" s="118" t="s">
        <v>1058</v>
      </c>
      <c r="G214" s="118" t="s">
        <v>238</v>
      </c>
      <c r="H214" s="118" t="s">
        <v>15</v>
      </c>
      <c r="I214" s="118" t="s">
        <v>230</v>
      </c>
      <c r="J214" s="118" t="s">
        <v>1056</v>
      </c>
      <c r="K214" s="118" t="s">
        <v>1059</v>
      </c>
      <c r="L214" s="118"/>
      <c r="M214" s="118"/>
      <c r="N214" s="42"/>
      <c r="O214" s="42" t="s">
        <v>193</v>
      </c>
      <c r="P214" s="42" t="s">
        <v>194</v>
      </c>
      <c r="Q214" s="42"/>
      <c r="R214" s="42"/>
      <c r="S214" s="3"/>
      <c r="T214" s="119"/>
      <c r="U214" s="119"/>
      <c r="V214" s="119"/>
      <c r="W214" s="119"/>
      <c r="X214" s="119"/>
      <c r="Y214" s="119"/>
      <c r="Z214" s="119"/>
      <c r="AA214" s="119"/>
      <c r="AB214" s="119"/>
      <c r="AC214" s="119"/>
      <c r="AD214" s="119"/>
      <c r="AE214" s="119"/>
      <c r="AF214" s="119"/>
      <c r="AG214" s="119"/>
      <c r="AH214" s="119"/>
      <c r="AI214" s="119"/>
      <c r="AJ214" s="119"/>
      <c r="AK214" s="119"/>
      <c r="AL214" s="119"/>
    </row>
    <row r="215" spans="1:38" ht="14.25" customHeight="1" x14ac:dyDescent="0.2">
      <c r="A215" s="118" t="s">
        <v>1060</v>
      </c>
      <c r="B215" s="118" t="s">
        <v>1061</v>
      </c>
      <c r="C215" s="118">
        <v>2025</v>
      </c>
      <c r="D215" s="118" t="s">
        <v>1062</v>
      </c>
      <c r="E215" s="118" t="s">
        <v>1064</v>
      </c>
      <c r="F215" s="118" t="s">
        <v>1065</v>
      </c>
      <c r="G215" s="118" t="s">
        <v>691</v>
      </c>
      <c r="H215" s="118" t="s">
        <v>15</v>
      </c>
      <c r="I215" s="118" t="s">
        <v>253</v>
      </c>
      <c r="J215" s="118" t="s">
        <v>1063</v>
      </c>
      <c r="K215" s="118" t="s">
        <v>1066</v>
      </c>
      <c r="L215" s="118"/>
      <c r="M215" s="118"/>
      <c r="N215" s="42"/>
      <c r="O215" s="42" t="s">
        <v>193</v>
      </c>
      <c r="P215" s="42" t="s">
        <v>194</v>
      </c>
      <c r="Q215" s="42"/>
      <c r="R215" s="42"/>
      <c r="S215" s="3"/>
      <c r="T215" s="119"/>
      <c r="U215" s="119"/>
      <c r="V215" s="119"/>
      <c r="W215" s="119"/>
      <c r="X215" s="119"/>
      <c r="Y215" s="119"/>
      <c r="Z215" s="119"/>
      <c r="AA215" s="119"/>
      <c r="AB215" s="119"/>
      <c r="AC215" s="119"/>
      <c r="AD215" s="119"/>
      <c r="AE215" s="119"/>
      <c r="AF215" s="119"/>
      <c r="AG215" s="119"/>
      <c r="AH215" s="119"/>
      <c r="AI215" s="119"/>
      <c r="AJ215" s="119"/>
      <c r="AK215" s="119"/>
      <c r="AL215" s="119"/>
    </row>
    <row r="216" spans="1:38" ht="14.25" customHeight="1" x14ac:dyDescent="0.2">
      <c r="A216" s="118" t="s">
        <v>1067</v>
      </c>
      <c r="B216" s="118" t="s">
        <v>1068</v>
      </c>
      <c r="C216" s="118">
        <v>2023</v>
      </c>
      <c r="D216" s="118" t="s">
        <v>233</v>
      </c>
      <c r="E216" s="118" t="s">
        <v>1070</v>
      </c>
      <c r="F216" s="118" t="s">
        <v>1071</v>
      </c>
      <c r="G216" s="118" t="s">
        <v>238</v>
      </c>
      <c r="H216" s="118" t="s">
        <v>15</v>
      </c>
      <c r="I216" s="118" t="s">
        <v>230</v>
      </c>
      <c r="J216" s="118" t="s">
        <v>1069</v>
      </c>
      <c r="K216" s="118" t="s">
        <v>1072</v>
      </c>
      <c r="L216" s="118"/>
      <c r="M216" s="118"/>
      <c r="N216" s="42"/>
      <c r="O216" s="42" t="s">
        <v>193</v>
      </c>
      <c r="P216" s="42" t="s">
        <v>194</v>
      </c>
      <c r="Q216" s="42"/>
      <c r="R216" s="42"/>
      <c r="S216" s="3"/>
      <c r="T216" s="119"/>
      <c r="U216" s="119"/>
      <c r="V216" s="119"/>
      <c r="W216" s="119"/>
      <c r="X216" s="119"/>
      <c r="Y216" s="119"/>
      <c r="Z216" s="119"/>
      <c r="AA216" s="119"/>
      <c r="AB216" s="119"/>
      <c r="AC216" s="119"/>
      <c r="AD216" s="119"/>
      <c r="AE216" s="119"/>
      <c r="AF216" s="119"/>
      <c r="AG216" s="119"/>
      <c r="AH216" s="119"/>
      <c r="AI216" s="119"/>
      <c r="AJ216" s="119"/>
      <c r="AK216" s="119"/>
      <c r="AL216" s="119"/>
    </row>
    <row r="217" spans="1:38" ht="14.25" customHeight="1" x14ac:dyDescent="0.2">
      <c r="A217" s="118" t="s">
        <v>1073</v>
      </c>
      <c r="B217" s="118" t="s">
        <v>1074</v>
      </c>
      <c r="C217" s="118">
        <v>2024</v>
      </c>
      <c r="D217" s="118" t="s">
        <v>233</v>
      </c>
      <c r="E217" s="118" t="s">
        <v>1076</v>
      </c>
      <c r="F217" s="118" t="s">
        <v>1077</v>
      </c>
      <c r="G217" s="118" t="s">
        <v>238</v>
      </c>
      <c r="H217" s="118" t="s">
        <v>15</v>
      </c>
      <c r="I217" s="118" t="s">
        <v>230</v>
      </c>
      <c r="J217" s="118" t="s">
        <v>1075</v>
      </c>
      <c r="K217" s="118" t="s">
        <v>1078</v>
      </c>
      <c r="L217" s="118"/>
      <c r="M217" s="118"/>
      <c r="N217" s="42"/>
      <c r="O217" s="42" t="s">
        <v>193</v>
      </c>
      <c r="P217" s="42" t="s">
        <v>194</v>
      </c>
      <c r="Q217" s="42"/>
      <c r="R217" s="42"/>
      <c r="S217" s="3"/>
      <c r="T217" s="119"/>
      <c r="U217" s="119"/>
      <c r="V217" s="119"/>
      <c r="W217" s="119"/>
      <c r="X217" s="119"/>
      <c r="Y217" s="119"/>
      <c r="Z217" s="119"/>
      <c r="AA217" s="119"/>
      <c r="AB217" s="119"/>
      <c r="AC217" s="119"/>
      <c r="AD217" s="119"/>
      <c r="AE217" s="119"/>
      <c r="AF217" s="119"/>
      <c r="AG217" s="119"/>
      <c r="AH217" s="119"/>
      <c r="AI217" s="119"/>
      <c r="AJ217" s="119"/>
      <c r="AK217" s="119"/>
      <c r="AL217" s="119"/>
    </row>
    <row r="218" spans="1:38" ht="14.25" customHeight="1" x14ac:dyDescent="0.2">
      <c r="A218" s="118" t="s">
        <v>1079</v>
      </c>
      <c r="B218" s="118" t="s">
        <v>1080</v>
      </c>
      <c r="C218" s="118">
        <v>2023</v>
      </c>
      <c r="D218" s="118" t="s">
        <v>1081</v>
      </c>
      <c r="E218" s="118" t="s">
        <v>1083</v>
      </c>
      <c r="F218" s="118" t="s">
        <v>1084</v>
      </c>
      <c r="G218" s="118" t="s">
        <v>1086</v>
      </c>
      <c r="H218" s="118" t="s">
        <v>15</v>
      </c>
      <c r="I218" s="118" t="s">
        <v>253</v>
      </c>
      <c r="J218" s="118" t="s">
        <v>1082</v>
      </c>
      <c r="K218" s="118" t="s">
        <v>1085</v>
      </c>
      <c r="L218" s="118"/>
      <c r="M218" s="118"/>
      <c r="N218" s="42"/>
      <c r="O218" s="42" t="s">
        <v>193</v>
      </c>
      <c r="P218" s="42" t="s">
        <v>194</v>
      </c>
      <c r="Q218" s="42"/>
      <c r="R218" s="42"/>
      <c r="S218" s="3"/>
      <c r="T218" s="119"/>
      <c r="U218" s="119"/>
      <c r="V218" s="119"/>
      <c r="W218" s="119"/>
      <c r="X218" s="119"/>
      <c r="Y218" s="119"/>
      <c r="Z218" s="119"/>
      <c r="AA218" s="119"/>
      <c r="AB218" s="119"/>
      <c r="AC218" s="119"/>
      <c r="AD218" s="119"/>
      <c r="AE218" s="119"/>
      <c r="AF218" s="119"/>
      <c r="AG218" s="119"/>
      <c r="AH218" s="119"/>
      <c r="AI218" s="119"/>
      <c r="AJ218" s="119"/>
      <c r="AK218" s="119"/>
      <c r="AL218" s="119"/>
    </row>
    <row r="219" spans="1:38" ht="14.25" customHeight="1" x14ac:dyDescent="0.2">
      <c r="A219" s="118" t="s">
        <v>744</v>
      </c>
      <c r="B219" s="118" t="s">
        <v>1087</v>
      </c>
      <c r="C219" s="118">
        <v>2022</v>
      </c>
      <c r="D219" s="118" t="s">
        <v>1088</v>
      </c>
      <c r="E219" s="118" t="s">
        <v>1090</v>
      </c>
      <c r="F219" s="118" t="s">
        <v>1091</v>
      </c>
      <c r="G219" s="118" t="s">
        <v>473</v>
      </c>
      <c r="H219" s="118" t="s">
        <v>15</v>
      </c>
      <c r="I219" s="118" t="s">
        <v>230</v>
      </c>
      <c r="J219" s="118" t="s">
        <v>1089</v>
      </c>
      <c r="K219" s="118">
        <v>0</v>
      </c>
      <c r="L219" s="118"/>
      <c r="M219" s="118"/>
      <c r="N219" s="42"/>
      <c r="O219" s="42" t="s">
        <v>193</v>
      </c>
      <c r="P219" s="42" t="s">
        <v>194</v>
      </c>
      <c r="Q219" s="42"/>
      <c r="R219" s="42"/>
      <c r="S219" s="3"/>
      <c r="T219" s="119"/>
      <c r="U219" s="119"/>
      <c r="V219" s="119"/>
      <c r="W219" s="119"/>
      <c r="X219" s="119"/>
      <c r="Y219" s="119"/>
      <c r="Z219" s="119"/>
      <c r="AA219" s="119"/>
      <c r="AB219" s="119"/>
      <c r="AC219" s="119"/>
      <c r="AD219" s="119"/>
      <c r="AE219" s="119"/>
      <c r="AF219" s="119"/>
      <c r="AG219" s="119"/>
      <c r="AH219" s="119"/>
      <c r="AI219" s="119"/>
      <c r="AJ219" s="119"/>
      <c r="AK219" s="119"/>
      <c r="AL219" s="119"/>
    </row>
    <row r="220" spans="1:38" ht="14.25" customHeight="1" x14ac:dyDescent="0.2">
      <c r="A220" s="118" t="s">
        <v>1092</v>
      </c>
      <c r="B220" s="118" t="s">
        <v>1093</v>
      </c>
      <c r="C220" s="118">
        <v>2024</v>
      </c>
      <c r="D220" s="118" t="s">
        <v>233</v>
      </c>
      <c r="E220" s="118" t="s">
        <v>1095</v>
      </c>
      <c r="F220" s="118" t="s">
        <v>1096</v>
      </c>
      <c r="G220" s="118" t="s">
        <v>238</v>
      </c>
      <c r="H220" s="118" t="s">
        <v>15</v>
      </c>
      <c r="I220" s="118" t="s">
        <v>230</v>
      </c>
      <c r="J220" s="118" t="s">
        <v>1094</v>
      </c>
      <c r="K220" s="118" t="s">
        <v>1097</v>
      </c>
      <c r="L220" s="118"/>
      <c r="M220" s="118"/>
      <c r="N220" s="42"/>
      <c r="O220" s="42" t="s">
        <v>193</v>
      </c>
      <c r="P220" s="42" t="s">
        <v>194</v>
      </c>
      <c r="Q220" s="42"/>
      <c r="R220" s="42"/>
      <c r="S220" s="3"/>
      <c r="T220" s="119"/>
      <c r="U220" s="119"/>
      <c r="V220" s="119"/>
      <c r="W220" s="119"/>
      <c r="X220" s="119"/>
      <c r="Y220" s="119"/>
      <c r="Z220" s="119"/>
      <c r="AA220" s="119"/>
      <c r="AB220" s="119"/>
      <c r="AC220" s="119"/>
      <c r="AD220" s="119"/>
      <c r="AE220" s="119"/>
      <c r="AF220" s="119"/>
      <c r="AG220" s="119"/>
      <c r="AH220" s="119"/>
      <c r="AI220" s="119"/>
      <c r="AJ220" s="119"/>
      <c r="AK220" s="119"/>
      <c r="AL220" s="119"/>
    </row>
    <row r="221" spans="1:38" ht="14.25" customHeight="1" x14ac:dyDescent="0.2">
      <c r="A221" s="118" t="s">
        <v>1098</v>
      </c>
      <c r="B221" s="118" t="s">
        <v>1099</v>
      </c>
      <c r="C221" s="118">
        <v>2025</v>
      </c>
      <c r="D221" s="118" t="s">
        <v>233</v>
      </c>
      <c r="E221" s="118" t="s">
        <v>1101</v>
      </c>
      <c r="F221" s="118" t="s">
        <v>1102</v>
      </c>
      <c r="G221" s="118" t="s">
        <v>238</v>
      </c>
      <c r="H221" s="118" t="s">
        <v>15</v>
      </c>
      <c r="I221" s="118" t="s">
        <v>230</v>
      </c>
      <c r="J221" s="118" t="s">
        <v>1100</v>
      </c>
      <c r="K221" s="118" t="s">
        <v>1103</v>
      </c>
      <c r="L221" s="118"/>
      <c r="M221" s="118"/>
      <c r="N221" s="42"/>
      <c r="O221" s="42" t="s">
        <v>193</v>
      </c>
      <c r="P221" s="42" t="s">
        <v>194</v>
      </c>
      <c r="Q221" s="42"/>
      <c r="R221" s="42"/>
      <c r="S221" s="3"/>
      <c r="T221" s="119"/>
      <c r="U221" s="119"/>
      <c r="V221" s="119"/>
      <c r="W221" s="119"/>
      <c r="X221" s="119"/>
      <c r="Y221" s="119"/>
      <c r="Z221" s="119"/>
      <c r="AA221" s="119"/>
      <c r="AB221" s="119"/>
      <c r="AC221" s="119"/>
      <c r="AD221" s="119"/>
      <c r="AE221" s="119"/>
      <c r="AF221" s="119"/>
      <c r="AG221" s="119"/>
      <c r="AH221" s="119"/>
      <c r="AI221" s="119"/>
      <c r="AJ221" s="119"/>
      <c r="AK221" s="119"/>
      <c r="AL221" s="119"/>
    </row>
    <row r="222" spans="1:38" ht="14.25" customHeight="1" x14ac:dyDescent="0.2">
      <c r="A222" s="118" t="s">
        <v>1104</v>
      </c>
      <c r="B222" s="118" t="s">
        <v>1105</v>
      </c>
      <c r="C222" s="118">
        <v>2025</v>
      </c>
      <c r="D222" s="118" t="s">
        <v>233</v>
      </c>
      <c r="E222" s="118" t="s">
        <v>1107</v>
      </c>
      <c r="F222" s="118" t="s">
        <v>1108</v>
      </c>
      <c r="G222" s="118" t="s">
        <v>238</v>
      </c>
      <c r="H222" s="118" t="s">
        <v>15</v>
      </c>
      <c r="I222" s="118" t="s">
        <v>230</v>
      </c>
      <c r="J222" s="118" t="s">
        <v>1106</v>
      </c>
      <c r="K222" s="118" t="s">
        <v>1109</v>
      </c>
      <c r="L222" s="118"/>
      <c r="M222" s="118"/>
      <c r="N222" s="42"/>
      <c r="O222" s="42" t="s">
        <v>193</v>
      </c>
      <c r="P222" s="42" t="s">
        <v>194</v>
      </c>
      <c r="Q222" s="42"/>
      <c r="R222" s="42"/>
      <c r="S222" s="3"/>
      <c r="T222" s="119"/>
      <c r="U222" s="119"/>
      <c r="V222" s="119"/>
      <c r="W222" s="119"/>
      <c r="X222" s="119"/>
      <c r="Y222" s="119"/>
      <c r="Z222" s="119"/>
      <c r="AA222" s="119"/>
      <c r="AB222" s="119"/>
      <c r="AC222" s="119"/>
      <c r="AD222" s="119"/>
      <c r="AE222" s="119"/>
      <c r="AF222" s="119"/>
      <c r="AG222" s="119"/>
      <c r="AH222" s="119"/>
      <c r="AI222" s="119"/>
      <c r="AJ222" s="119"/>
      <c r="AK222" s="119"/>
      <c r="AL222" s="119"/>
    </row>
    <row r="223" spans="1:38" ht="14.25" customHeight="1" x14ac:dyDescent="0.2">
      <c r="A223" s="118" t="s">
        <v>1110</v>
      </c>
      <c r="B223" s="118" t="s">
        <v>1111</v>
      </c>
      <c r="C223" s="118">
        <v>2024</v>
      </c>
      <c r="D223" s="118" t="s">
        <v>233</v>
      </c>
      <c r="E223" s="118" t="s">
        <v>1113</v>
      </c>
      <c r="F223" s="118" t="s">
        <v>1114</v>
      </c>
      <c r="G223" s="118" t="s">
        <v>238</v>
      </c>
      <c r="H223" s="118" t="s">
        <v>15</v>
      </c>
      <c r="I223" s="118" t="s">
        <v>230</v>
      </c>
      <c r="J223" s="118" t="s">
        <v>1112</v>
      </c>
      <c r="K223" s="118" t="s">
        <v>1115</v>
      </c>
      <c r="L223" s="118"/>
      <c r="M223" s="118"/>
      <c r="N223" s="42"/>
      <c r="O223" s="42" t="s">
        <v>193</v>
      </c>
      <c r="P223" s="42" t="s">
        <v>194</v>
      </c>
      <c r="Q223" s="42"/>
      <c r="R223" s="42"/>
      <c r="S223" s="3"/>
      <c r="T223" s="119"/>
      <c r="U223" s="119"/>
      <c r="V223" s="119"/>
      <c r="W223" s="119"/>
      <c r="X223" s="119"/>
      <c r="Y223" s="119"/>
      <c r="Z223" s="119"/>
      <c r="AA223" s="119"/>
      <c r="AB223" s="119"/>
      <c r="AC223" s="119"/>
      <c r="AD223" s="119"/>
      <c r="AE223" s="119"/>
      <c r="AF223" s="119"/>
      <c r="AG223" s="119"/>
      <c r="AH223" s="119"/>
      <c r="AI223" s="119"/>
      <c r="AJ223" s="119"/>
      <c r="AK223" s="119"/>
      <c r="AL223" s="119"/>
    </row>
    <row r="224" spans="1:38" ht="14.25" customHeight="1" x14ac:dyDescent="0.2">
      <c r="A224" s="118" t="s">
        <v>1116</v>
      </c>
      <c r="B224" s="118" t="s">
        <v>1117</v>
      </c>
      <c r="C224" s="118">
        <v>2025</v>
      </c>
      <c r="D224" s="118" t="s">
        <v>1118</v>
      </c>
      <c r="E224" s="118" t="s">
        <v>1120</v>
      </c>
      <c r="F224" s="118" t="s">
        <v>1121</v>
      </c>
      <c r="G224" s="118" t="s">
        <v>473</v>
      </c>
      <c r="H224" s="118" t="s">
        <v>15</v>
      </c>
      <c r="I224" s="118" t="s">
        <v>230</v>
      </c>
      <c r="J224" s="118" t="s">
        <v>1119</v>
      </c>
      <c r="K224" s="118">
        <v>0</v>
      </c>
      <c r="L224" s="118"/>
      <c r="M224" s="118"/>
      <c r="N224" s="42"/>
      <c r="O224" s="42" t="s">
        <v>193</v>
      </c>
      <c r="P224" s="42" t="s">
        <v>194</v>
      </c>
      <c r="Q224" s="42"/>
      <c r="R224" s="42"/>
      <c r="S224" s="3"/>
      <c r="T224" s="119"/>
      <c r="U224" s="119"/>
      <c r="V224" s="119"/>
      <c r="W224" s="119"/>
      <c r="X224" s="119"/>
      <c r="Y224" s="119"/>
      <c r="Z224" s="119"/>
      <c r="AA224" s="119"/>
      <c r="AB224" s="119"/>
      <c r="AC224" s="119"/>
      <c r="AD224" s="119"/>
      <c r="AE224" s="119"/>
      <c r="AF224" s="119"/>
      <c r="AG224" s="119"/>
      <c r="AH224" s="119"/>
      <c r="AI224" s="119"/>
      <c r="AJ224" s="119"/>
      <c r="AK224" s="119"/>
      <c r="AL224" s="119"/>
    </row>
    <row r="225" spans="1:38" ht="14.25" customHeight="1" x14ac:dyDescent="0.2">
      <c r="A225" s="118" t="s">
        <v>1122</v>
      </c>
      <c r="B225" s="118" t="s">
        <v>1123</v>
      </c>
      <c r="C225" s="118">
        <v>2026</v>
      </c>
      <c r="D225" s="118" t="s">
        <v>1124</v>
      </c>
      <c r="E225" s="118" t="s">
        <v>1126</v>
      </c>
      <c r="F225" s="118" t="s">
        <v>1127</v>
      </c>
      <c r="G225" s="118" t="s">
        <v>260</v>
      </c>
      <c r="H225" s="118" t="s">
        <v>15</v>
      </c>
      <c r="I225" s="118" t="s">
        <v>253</v>
      </c>
      <c r="J225" s="118" t="s">
        <v>1125</v>
      </c>
      <c r="K225" s="118" t="s">
        <v>1128</v>
      </c>
      <c r="L225" s="118"/>
      <c r="M225" s="118"/>
      <c r="N225" s="42"/>
      <c r="O225" s="42" t="s">
        <v>193</v>
      </c>
      <c r="P225" s="42" t="s">
        <v>194</v>
      </c>
      <c r="Q225" s="42"/>
      <c r="R225" s="42"/>
      <c r="S225" s="3"/>
      <c r="T225" s="119"/>
      <c r="U225" s="119"/>
      <c r="V225" s="119"/>
      <c r="W225" s="119"/>
      <c r="X225" s="119"/>
      <c r="Y225" s="119"/>
      <c r="Z225" s="119"/>
      <c r="AA225" s="119"/>
      <c r="AB225" s="119"/>
      <c r="AC225" s="119"/>
      <c r="AD225" s="119"/>
      <c r="AE225" s="119"/>
      <c r="AF225" s="119"/>
      <c r="AG225" s="119"/>
      <c r="AH225" s="119"/>
      <c r="AI225" s="119"/>
      <c r="AJ225" s="119"/>
      <c r="AK225" s="119"/>
      <c r="AL225" s="119"/>
    </row>
    <row r="226" spans="1:38" ht="14.25" customHeight="1" x14ac:dyDescent="0.2">
      <c r="A226" s="118" t="s">
        <v>1129</v>
      </c>
      <c r="B226" s="118" t="s">
        <v>1130</v>
      </c>
      <c r="C226" s="118">
        <v>2025</v>
      </c>
      <c r="D226" s="118" t="s">
        <v>233</v>
      </c>
      <c r="E226" s="118" t="s">
        <v>1132</v>
      </c>
      <c r="F226" s="118" t="s">
        <v>1133</v>
      </c>
      <c r="G226" s="118" t="s">
        <v>238</v>
      </c>
      <c r="H226" s="118" t="s">
        <v>15</v>
      </c>
      <c r="I226" s="118" t="s">
        <v>230</v>
      </c>
      <c r="J226" s="118" t="s">
        <v>1131</v>
      </c>
      <c r="K226" s="118">
        <v>0</v>
      </c>
      <c r="L226" s="118"/>
      <c r="M226" s="118"/>
      <c r="N226" s="42"/>
      <c r="O226" s="42" t="s">
        <v>193</v>
      </c>
      <c r="P226" s="42" t="s">
        <v>194</v>
      </c>
      <c r="Q226" s="42"/>
      <c r="R226" s="42"/>
      <c r="S226" s="3"/>
      <c r="T226" s="119"/>
      <c r="U226" s="119"/>
      <c r="V226" s="119"/>
      <c r="W226" s="119"/>
      <c r="X226" s="119"/>
      <c r="Y226" s="119"/>
      <c r="Z226" s="119"/>
      <c r="AA226" s="119"/>
      <c r="AB226" s="119"/>
      <c r="AC226" s="119"/>
      <c r="AD226" s="119"/>
      <c r="AE226" s="119"/>
      <c r="AF226" s="119"/>
      <c r="AG226" s="119"/>
      <c r="AH226" s="119"/>
      <c r="AI226" s="119"/>
      <c r="AJ226" s="119"/>
      <c r="AK226" s="119"/>
      <c r="AL226" s="119"/>
    </row>
    <row r="227" spans="1:38" ht="14.25" customHeight="1" x14ac:dyDescent="0.2">
      <c r="A227" s="118" t="s">
        <v>1134</v>
      </c>
      <c r="B227" s="118" t="s">
        <v>1135</v>
      </c>
      <c r="C227" s="118">
        <v>2025</v>
      </c>
      <c r="D227" s="118" t="s">
        <v>331</v>
      </c>
      <c r="E227" s="118" t="s">
        <v>1137</v>
      </c>
      <c r="F227" s="118" t="s">
        <v>1138</v>
      </c>
      <c r="G227" s="118" t="s">
        <v>336</v>
      </c>
      <c r="H227" s="118" t="s">
        <v>15</v>
      </c>
      <c r="I227" s="118" t="s">
        <v>302</v>
      </c>
      <c r="J227" s="118" t="s">
        <v>1136</v>
      </c>
      <c r="K227" s="118" t="s">
        <v>1139</v>
      </c>
      <c r="L227" s="118"/>
      <c r="M227" s="118"/>
      <c r="N227" s="42"/>
      <c r="O227" s="42" t="s">
        <v>193</v>
      </c>
      <c r="P227" s="42" t="s">
        <v>194</v>
      </c>
      <c r="Q227" s="42"/>
      <c r="R227" s="42"/>
      <c r="S227" s="3"/>
      <c r="T227" s="119"/>
      <c r="U227" s="119"/>
      <c r="V227" s="119"/>
      <c r="W227" s="119"/>
      <c r="X227" s="119"/>
      <c r="Y227" s="119"/>
      <c r="Z227" s="119"/>
      <c r="AA227" s="119"/>
      <c r="AB227" s="119"/>
      <c r="AC227" s="119"/>
      <c r="AD227" s="119"/>
      <c r="AE227" s="119"/>
      <c r="AF227" s="119"/>
      <c r="AG227" s="119"/>
      <c r="AH227" s="119"/>
      <c r="AI227" s="119"/>
      <c r="AJ227" s="119"/>
      <c r="AK227" s="119"/>
      <c r="AL227" s="119"/>
    </row>
    <row r="228" spans="1:38" ht="14.25" customHeight="1" x14ac:dyDescent="0.2">
      <c r="A228" s="118" t="s">
        <v>1140</v>
      </c>
      <c r="B228" s="118" t="s">
        <v>1141</v>
      </c>
      <c r="C228" s="118">
        <v>2022</v>
      </c>
      <c r="D228" s="118" t="s">
        <v>1142</v>
      </c>
      <c r="E228" s="118" t="s">
        <v>1144</v>
      </c>
      <c r="F228" s="118" t="s">
        <v>1145</v>
      </c>
      <c r="G228" s="118" t="s">
        <v>238</v>
      </c>
      <c r="H228" s="118" t="s">
        <v>15</v>
      </c>
      <c r="I228" s="118" t="s">
        <v>253</v>
      </c>
      <c r="J228" s="118" t="s">
        <v>1143</v>
      </c>
      <c r="K228" s="118" t="s">
        <v>1146</v>
      </c>
      <c r="L228" s="118"/>
      <c r="M228" s="118"/>
      <c r="N228" s="42"/>
      <c r="O228" s="42" t="s">
        <v>193</v>
      </c>
      <c r="P228" s="42" t="s">
        <v>194</v>
      </c>
      <c r="Q228" s="42"/>
      <c r="R228" s="42"/>
      <c r="S228" s="3"/>
      <c r="T228" s="119"/>
      <c r="U228" s="119"/>
      <c r="V228" s="119"/>
      <c r="W228" s="119"/>
      <c r="X228" s="119"/>
      <c r="Y228" s="119"/>
      <c r="Z228" s="119"/>
      <c r="AA228" s="119"/>
      <c r="AB228" s="119"/>
      <c r="AC228" s="119"/>
      <c r="AD228" s="119"/>
      <c r="AE228" s="119"/>
      <c r="AF228" s="119"/>
      <c r="AG228" s="119"/>
      <c r="AH228" s="119"/>
      <c r="AI228" s="119"/>
      <c r="AJ228" s="119"/>
      <c r="AK228" s="119"/>
      <c r="AL228" s="119"/>
    </row>
    <row r="229" spans="1:38" ht="14.25" customHeight="1" x14ac:dyDescent="0.2">
      <c r="A229" s="118" t="s">
        <v>1147</v>
      </c>
      <c r="B229" s="118" t="s">
        <v>1148</v>
      </c>
      <c r="C229" s="118">
        <v>2021</v>
      </c>
      <c r="D229" s="118" t="s">
        <v>1149</v>
      </c>
      <c r="E229" s="118" t="s">
        <v>1151</v>
      </c>
      <c r="F229" s="118" t="s">
        <v>1152</v>
      </c>
      <c r="G229" s="118" t="s">
        <v>274</v>
      </c>
      <c r="H229" s="118" t="s">
        <v>15</v>
      </c>
      <c r="I229" s="118" t="s">
        <v>253</v>
      </c>
      <c r="J229" s="118" t="s">
        <v>1150</v>
      </c>
      <c r="K229" s="118" t="s">
        <v>1153</v>
      </c>
      <c r="L229" s="118"/>
      <c r="M229" s="118"/>
      <c r="N229" s="42"/>
      <c r="O229" s="42" t="s">
        <v>193</v>
      </c>
      <c r="P229" s="42" t="s">
        <v>194</v>
      </c>
      <c r="Q229" s="42"/>
      <c r="R229" s="42"/>
      <c r="S229" s="3"/>
      <c r="T229" s="3"/>
      <c r="U229" s="3"/>
      <c r="V229" s="3"/>
      <c r="W229" s="3"/>
      <c r="X229" s="3"/>
      <c r="Y229" s="3"/>
      <c r="Z229" s="3"/>
      <c r="AA229" s="3"/>
      <c r="AB229" s="3"/>
      <c r="AC229" s="3"/>
      <c r="AD229" s="3"/>
      <c r="AE229" s="3"/>
      <c r="AF229" s="3"/>
      <c r="AG229" s="3"/>
      <c r="AH229" s="3"/>
      <c r="AI229" s="3"/>
      <c r="AJ229" s="3"/>
      <c r="AK229" s="3"/>
      <c r="AL229" s="3"/>
    </row>
    <row r="230" spans="1:38" ht="14.25" customHeight="1" x14ac:dyDescent="0.2">
      <c r="A230" s="118" t="s">
        <v>1154</v>
      </c>
      <c r="B230" s="118" t="s">
        <v>1155</v>
      </c>
      <c r="C230" s="118">
        <v>2023</v>
      </c>
      <c r="D230" s="118" t="s">
        <v>233</v>
      </c>
      <c r="E230" s="118" t="s">
        <v>1157</v>
      </c>
      <c r="F230" s="118" t="s">
        <v>1158</v>
      </c>
      <c r="G230" s="118" t="s">
        <v>238</v>
      </c>
      <c r="H230" s="118" t="s">
        <v>15</v>
      </c>
      <c r="I230" s="118" t="s">
        <v>230</v>
      </c>
      <c r="J230" s="118" t="s">
        <v>1156</v>
      </c>
      <c r="K230" s="118" t="s">
        <v>1159</v>
      </c>
      <c r="L230" s="118"/>
      <c r="M230" s="118"/>
      <c r="N230" s="42"/>
      <c r="O230" s="42" t="s">
        <v>193</v>
      </c>
      <c r="P230" s="42" t="s">
        <v>194</v>
      </c>
      <c r="Q230" s="42"/>
      <c r="R230" s="42"/>
      <c r="S230" s="3"/>
      <c r="T230" s="3"/>
      <c r="U230" s="3"/>
      <c r="V230" s="3"/>
      <c r="W230" s="3"/>
      <c r="X230" s="3"/>
      <c r="Y230" s="3"/>
      <c r="Z230" s="3"/>
      <c r="AA230" s="3"/>
      <c r="AB230" s="3"/>
      <c r="AC230" s="3"/>
      <c r="AD230" s="3"/>
      <c r="AE230" s="3"/>
      <c r="AF230" s="3"/>
      <c r="AG230" s="3"/>
      <c r="AH230" s="3"/>
      <c r="AI230" s="3"/>
      <c r="AJ230" s="3"/>
      <c r="AK230" s="3"/>
      <c r="AL230" s="3"/>
    </row>
    <row r="231" spans="1:38" ht="14.25" customHeight="1" x14ac:dyDescent="0.2">
      <c r="A231" s="118" t="s">
        <v>1160</v>
      </c>
      <c r="B231" s="118" t="s">
        <v>1161</v>
      </c>
      <c r="C231" s="118">
        <v>2024</v>
      </c>
      <c r="D231" s="118" t="s">
        <v>233</v>
      </c>
      <c r="E231" s="118" t="s">
        <v>1163</v>
      </c>
      <c r="F231" s="118" t="s">
        <v>1164</v>
      </c>
      <c r="G231" s="118" t="s">
        <v>238</v>
      </c>
      <c r="H231" s="118" t="s">
        <v>15</v>
      </c>
      <c r="I231" s="118" t="s">
        <v>230</v>
      </c>
      <c r="J231" s="118" t="s">
        <v>1162</v>
      </c>
      <c r="K231" s="118" t="s">
        <v>1165</v>
      </c>
      <c r="L231" s="118"/>
      <c r="M231" s="118"/>
      <c r="N231" s="42"/>
      <c r="O231" s="42" t="s">
        <v>193</v>
      </c>
      <c r="P231" s="42" t="s">
        <v>194</v>
      </c>
      <c r="Q231" s="42"/>
      <c r="R231" s="42"/>
      <c r="S231" s="3"/>
      <c r="T231" s="3"/>
      <c r="U231" s="3"/>
      <c r="V231" s="3"/>
      <c r="W231" s="3"/>
      <c r="X231" s="3"/>
      <c r="Y231" s="3"/>
      <c r="Z231" s="3"/>
      <c r="AA231" s="3"/>
      <c r="AB231" s="3"/>
      <c r="AC231" s="3"/>
      <c r="AD231" s="3"/>
      <c r="AE231" s="3"/>
      <c r="AF231" s="3"/>
      <c r="AG231" s="3"/>
      <c r="AH231" s="3"/>
      <c r="AI231" s="3"/>
      <c r="AJ231" s="3"/>
      <c r="AK231" s="3"/>
      <c r="AL231" s="3"/>
    </row>
    <row r="232" spans="1:38" ht="14.25" customHeight="1" x14ac:dyDescent="0.2">
      <c r="A232" s="118" t="s">
        <v>1166</v>
      </c>
      <c r="B232" s="118" t="s">
        <v>1167</v>
      </c>
      <c r="C232" s="118">
        <v>2024</v>
      </c>
      <c r="D232" s="118" t="s">
        <v>233</v>
      </c>
      <c r="E232" s="118" t="s">
        <v>1169</v>
      </c>
      <c r="F232" s="118" t="s">
        <v>1170</v>
      </c>
      <c r="G232" s="118" t="s">
        <v>238</v>
      </c>
      <c r="H232" s="118" t="s">
        <v>15</v>
      </c>
      <c r="I232" s="118" t="s">
        <v>230</v>
      </c>
      <c r="J232" s="118" t="s">
        <v>1168</v>
      </c>
      <c r="K232" s="118" t="s">
        <v>1171</v>
      </c>
      <c r="L232" s="118"/>
      <c r="M232" s="118"/>
      <c r="N232" s="42"/>
      <c r="O232" s="42" t="s">
        <v>193</v>
      </c>
      <c r="P232" s="42" t="s">
        <v>194</v>
      </c>
      <c r="Q232" s="42"/>
      <c r="R232" s="42"/>
      <c r="S232" s="3"/>
      <c r="T232" s="3"/>
      <c r="U232" s="3"/>
      <c r="V232" s="3"/>
      <c r="W232" s="3"/>
      <c r="X232" s="3"/>
      <c r="Y232" s="3"/>
      <c r="Z232" s="3"/>
      <c r="AA232" s="3"/>
      <c r="AB232" s="3"/>
      <c r="AC232" s="3"/>
      <c r="AD232" s="3"/>
      <c r="AE232" s="3"/>
      <c r="AF232" s="3"/>
      <c r="AG232" s="3"/>
      <c r="AH232" s="3"/>
      <c r="AI232" s="3"/>
      <c r="AJ232" s="3"/>
      <c r="AK232" s="3"/>
      <c r="AL232" s="3"/>
    </row>
    <row r="233" spans="1:38" ht="14.25" customHeight="1" x14ac:dyDescent="0.2">
      <c r="A233" s="118" t="s">
        <v>1172</v>
      </c>
      <c r="B233" s="118" t="s">
        <v>1173</v>
      </c>
      <c r="C233" s="118">
        <v>2023</v>
      </c>
      <c r="D233" s="118" t="s">
        <v>233</v>
      </c>
      <c r="E233" s="118" t="s">
        <v>1175</v>
      </c>
      <c r="F233" s="118" t="s">
        <v>1176</v>
      </c>
      <c r="G233" s="118" t="s">
        <v>238</v>
      </c>
      <c r="H233" s="118" t="s">
        <v>15</v>
      </c>
      <c r="I233" s="118" t="s">
        <v>230</v>
      </c>
      <c r="J233" s="118" t="s">
        <v>1174</v>
      </c>
      <c r="K233" s="118" t="s">
        <v>1177</v>
      </c>
      <c r="L233" s="118"/>
      <c r="M233" s="118"/>
      <c r="N233" s="42"/>
      <c r="O233" s="42" t="s">
        <v>193</v>
      </c>
      <c r="P233" s="42" t="s">
        <v>194</v>
      </c>
      <c r="Q233" s="42"/>
      <c r="R233" s="42"/>
      <c r="S233" s="3"/>
      <c r="T233" s="3"/>
      <c r="U233" s="3"/>
      <c r="V233" s="3"/>
      <c r="W233" s="3"/>
      <c r="X233" s="3"/>
      <c r="Y233" s="3"/>
      <c r="Z233" s="3"/>
      <c r="AA233" s="3"/>
      <c r="AB233" s="3"/>
      <c r="AC233" s="3"/>
      <c r="AD233" s="3"/>
      <c r="AE233" s="3"/>
      <c r="AF233" s="3"/>
      <c r="AG233" s="3"/>
      <c r="AH233" s="3"/>
      <c r="AI233" s="3"/>
      <c r="AJ233" s="3"/>
      <c r="AK233" s="3"/>
      <c r="AL233" s="3"/>
    </row>
    <row r="234" spans="1:38" ht="14.25" customHeight="1" x14ac:dyDescent="0.2">
      <c r="A234" s="118" t="s">
        <v>1178</v>
      </c>
      <c r="B234" s="118" t="s">
        <v>1179</v>
      </c>
      <c r="C234" s="118">
        <v>2024</v>
      </c>
      <c r="D234" s="118" t="s">
        <v>233</v>
      </c>
      <c r="E234" s="118" t="s">
        <v>1181</v>
      </c>
      <c r="F234" s="118" t="s">
        <v>1182</v>
      </c>
      <c r="G234" s="118" t="s">
        <v>238</v>
      </c>
      <c r="H234" s="118" t="s">
        <v>15</v>
      </c>
      <c r="I234" s="118" t="s">
        <v>230</v>
      </c>
      <c r="J234" s="118" t="s">
        <v>1180</v>
      </c>
      <c r="K234" s="118" t="s">
        <v>1183</v>
      </c>
      <c r="L234" s="118"/>
      <c r="M234" s="118"/>
      <c r="N234" s="42"/>
      <c r="O234" s="42" t="s">
        <v>193</v>
      </c>
      <c r="P234" s="42" t="s">
        <v>194</v>
      </c>
      <c r="Q234" s="42"/>
      <c r="R234" s="42"/>
      <c r="S234" s="3"/>
      <c r="T234" s="3"/>
      <c r="U234" s="3"/>
      <c r="V234" s="3"/>
      <c r="W234" s="3"/>
      <c r="X234" s="3"/>
      <c r="Y234" s="3"/>
      <c r="Z234" s="3"/>
      <c r="AA234" s="3"/>
      <c r="AB234" s="3"/>
      <c r="AC234" s="3"/>
      <c r="AD234" s="3"/>
      <c r="AE234" s="3"/>
      <c r="AF234" s="3"/>
      <c r="AG234" s="3"/>
      <c r="AH234" s="3"/>
      <c r="AI234" s="3"/>
      <c r="AJ234" s="3"/>
      <c r="AK234" s="3"/>
      <c r="AL234" s="3"/>
    </row>
    <row r="235" spans="1:38" ht="14.25" customHeight="1" x14ac:dyDescent="0.2">
      <c r="A235" s="118" t="s">
        <v>1184</v>
      </c>
      <c r="B235" s="118" t="s">
        <v>1185</v>
      </c>
      <c r="C235" s="118">
        <v>2024</v>
      </c>
      <c r="D235" s="118" t="s">
        <v>233</v>
      </c>
      <c r="E235" s="118" t="s">
        <v>1187</v>
      </c>
      <c r="F235" s="118" t="s">
        <v>1188</v>
      </c>
      <c r="G235" s="118" t="s">
        <v>238</v>
      </c>
      <c r="H235" s="118" t="s">
        <v>15</v>
      </c>
      <c r="I235" s="118" t="s">
        <v>230</v>
      </c>
      <c r="J235" s="118" t="s">
        <v>1186</v>
      </c>
      <c r="K235" s="118" t="s">
        <v>1189</v>
      </c>
      <c r="L235" s="118"/>
      <c r="M235" s="118"/>
      <c r="N235" s="42"/>
      <c r="O235" s="42" t="s">
        <v>193</v>
      </c>
      <c r="P235" s="42" t="s">
        <v>194</v>
      </c>
      <c r="Q235" s="42"/>
      <c r="R235" s="42"/>
      <c r="S235" s="3"/>
      <c r="T235" s="3"/>
      <c r="U235" s="3"/>
      <c r="V235" s="3"/>
      <c r="W235" s="3"/>
      <c r="X235" s="3"/>
      <c r="Y235" s="3"/>
      <c r="Z235" s="3"/>
      <c r="AA235" s="3"/>
      <c r="AB235" s="3"/>
      <c r="AC235" s="3"/>
      <c r="AD235" s="3"/>
      <c r="AE235" s="3"/>
      <c r="AF235" s="3"/>
      <c r="AG235" s="3"/>
      <c r="AH235" s="3"/>
      <c r="AI235" s="3"/>
      <c r="AJ235" s="3"/>
      <c r="AK235" s="3"/>
      <c r="AL235" s="3"/>
    </row>
    <row r="236" spans="1:38" ht="14.25" customHeight="1" x14ac:dyDescent="0.2">
      <c r="A236" s="118" t="s">
        <v>1190</v>
      </c>
      <c r="B236" s="118" t="s">
        <v>1191</v>
      </c>
      <c r="C236" s="118">
        <v>2022</v>
      </c>
      <c r="D236" s="118" t="s">
        <v>233</v>
      </c>
      <c r="E236" s="118" t="s">
        <v>1193</v>
      </c>
      <c r="F236" s="118" t="s">
        <v>1194</v>
      </c>
      <c r="G236" s="118" t="s">
        <v>238</v>
      </c>
      <c r="H236" s="118" t="s">
        <v>15</v>
      </c>
      <c r="I236" s="118" t="s">
        <v>230</v>
      </c>
      <c r="J236" s="118" t="s">
        <v>1192</v>
      </c>
      <c r="K236" s="118" t="s">
        <v>1195</v>
      </c>
      <c r="L236" s="118"/>
      <c r="M236" s="118"/>
      <c r="N236" s="42"/>
      <c r="O236" s="42" t="s">
        <v>193</v>
      </c>
      <c r="P236" s="42" t="s">
        <v>194</v>
      </c>
      <c r="Q236" s="42"/>
      <c r="R236" s="42"/>
      <c r="S236" s="3"/>
      <c r="T236" s="3"/>
      <c r="U236" s="3"/>
      <c r="V236" s="3"/>
      <c r="W236" s="3"/>
      <c r="X236" s="3"/>
      <c r="Y236" s="3"/>
      <c r="Z236" s="3"/>
      <c r="AA236" s="3"/>
      <c r="AB236" s="3"/>
      <c r="AC236" s="3"/>
      <c r="AD236" s="3"/>
      <c r="AE236" s="3"/>
      <c r="AF236" s="3"/>
      <c r="AG236" s="3"/>
      <c r="AH236" s="3"/>
      <c r="AI236" s="3"/>
      <c r="AJ236" s="3"/>
      <c r="AK236" s="3"/>
      <c r="AL236" s="3"/>
    </row>
    <row r="237" spans="1:38" ht="14.25" customHeight="1" x14ac:dyDescent="0.2">
      <c r="A237" s="118" t="s">
        <v>1196</v>
      </c>
      <c r="B237" s="118" t="s">
        <v>1197</v>
      </c>
      <c r="C237" s="118">
        <v>2025</v>
      </c>
      <c r="D237" s="118" t="s">
        <v>1198</v>
      </c>
      <c r="E237" s="118" t="s">
        <v>1200</v>
      </c>
      <c r="F237" s="118" t="s">
        <v>1201</v>
      </c>
      <c r="G237" s="118" t="s">
        <v>1203</v>
      </c>
      <c r="H237" s="118" t="s">
        <v>15</v>
      </c>
      <c r="I237" s="118" t="s">
        <v>230</v>
      </c>
      <c r="J237" s="118" t="s">
        <v>1199</v>
      </c>
      <c r="K237" s="118" t="s">
        <v>1202</v>
      </c>
      <c r="L237" s="118"/>
      <c r="M237" s="118"/>
      <c r="N237" s="42"/>
      <c r="O237" s="42" t="s">
        <v>193</v>
      </c>
      <c r="P237" s="42" t="s">
        <v>194</v>
      </c>
      <c r="Q237" s="42"/>
      <c r="R237" s="42"/>
      <c r="S237" s="3"/>
      <c r="T237" s="3"/>
      <c r="U237" s="3"/>
      <c r="V237" s="3"/>
      <c r="W237" s="3"/>
      <c r="X237" s="3"/>
      <c r="Y237" s="3"/>
      <c r="Z237" s="3"/>
      <c r="AA237" s="3"/>
      <c r="AB237" s="3"/>
      <c r="AC237" s="3"/>
      <c r="AD237" s="3"/>
      <c r="AE237" s="3"/>
      <c r="AF237" s="3"/>
      <c r="AG237" s="3"/>
      <c r="AH237" s="3"/>
      <c r="AI237" s="3"/>
      <c r="AJ237" s="3"/>
      <c r="AK237" s="3"/>
      <c r="AL237" s="3"/>
    </row>
    <row r="238" spans="1:38" ht="14.25" customHeight="1" x14ac:dyDescent="0.2">
      <c r="A238" s="118" t="s">
        <v>1204</v>
      </c>
      <c r="B238" s="118" t="s">
        <v>1205</v>
      </c>
      <c r="C238" s="118">
        <v>2023</v>
      </c>
      <c r="D238" s="118" t="s">
        <v>1206</v>
      </c>
      <c r="E238" s="118" t="s">
        <v>1208</v>
      </c>
      <c r="F238" s="118" t="s">
        <v>1209</v>
      </c>
      <c r="G238" s="118" t="s">
        <v>1210</v>
      </c>
      <c r="H238" s="118" t="s">
        <v>1211</v>
      </c>
      <c r="I238" s="118" t="s">
        <v>253</v>
      </c>
      <c r="J238" s="118" t="s">
        <v>1207</v>
      </c>
      <c r="K238" s="118">
        <v>0</v>
      </c>
      <c r="L238" s="118"/>
      <c r="M238" s="118"/>
      <c r="N238" s="42"/>
      <c r="O238" s="42" t="s">
        <v>193</v>
      </c>
      <c r="P238" s="42" t="s">
        <v>194</v>
      </c>
      <c r="Q238" s="42"/>
      <c r="R238" s="42"/>
      <c r="S238" s="3"/>
      <c r="T238" s="3"/>
      <c r="U238" s="3"/>
      <c r="V238" s="3"/>
      <c r="W238" s="3"/>
      <c r="X238" s="3"/>
      <c r="Y238" s="3"/>
      <c r="Z238" s="3"/>
      <c r="AA238" s="3"/>
      <c r="AB238" s="3"/>
      <c r="AC238" s="3"/>
      <c r="AD238" s="3"/>
      <c r="AE238" s="3"/>
      <c r="AF238" s="3"/>
      <c r="AG238" s="3"/>
      <c r="AH238" s="3"/>
      <c r="AI238" s="3"/>
      <c r="AJ238" s="3"/>
      <c r="AK238" s="3"/>
      <c r="AL238" s="3"/>
    </row>
    <row r="239" spans="1:38" ht="14.25" customHeight="1" x14ac:dyDescent="0.2">
      <c r="A239" s="118" t="s">
        <v>1212</v>
      </c>
      <c r="B239" s="118" t="s">
        <v>1213</v>
      </c>
      <c r="C239" s="118">
        <v>2025</v>
      </c>
      <c r="D239" s="118" t="s">
        <v>277</v>
      </c>
      <c r="E239" s="118" t="s">
        <v>1215</v>
      </c>
      <c r="F239" s="118" t="s">
        <v>1216</v>
      </c>
      <c r="G239" s="118" t="s">
        <v>282</v>
      </c>
      <c r="H239" s="118" t="s">
        <v>15</v>
      </c>
      <c r="I239" s="118" t="s">
        <v>253</v>
      </c>
      <c r="J239" s="118" t="s">
        <v>1214</v>
      </c>
      <c r="K239" s="118" t="s">
        <v>1217</v>
      </c>
      <c r="L239" s="118"/>
      <c r="M239" s="118"/>
      <c r="N239" s="42"/>
      <c r="O239" s="42" t="s">
        <v>193</v>
      </c>
      <c r="P239" s="42" t="s">
        <v>194</v>
      </c>
      <c r="Q239" s="42"/>
      <c r="R239" s="42"/>
      <c r="S239" s="3"/>
      <c r="T239" s="3"/>
      <c r="U239" s="3"/>
      <c r="V239" s="3"/>
      <c r="W239" s="3"/>
      <c r="X239" s="3"/>
      <c r="Y239" s="3"/>
      <c r="Z239" s="3"/>
      <c r="AA239" s="3"/>
      <c r="AB239" s="3"/>
      <c r="AC239" s="3"/>
      <c r="AD239" s="3"/>
      <c r="AE239" s="3"/>
      <c r="AF239" s="3"/>
      <c r="AG239" s="3"/>
      <c r="AH239" s="3"/>
      <c r="AI239" s="3"/>
      <c r="AJ239" s="3"/>
      <c r="AK239" s="3"/>
      <c r="AL239" s="3"/>
    </row>
    <row r="240" spans="1:38" ht="14.25" customHeight="1" x14ac:dyDescent="0.2">
      <c r="A240" s="118" t="s">
        <v>1218</v>
      </c>
      <c r="B240" s="118" t="s">
        <v>1219</v>
      </c>
      <c r="C240" s="118">
        <v>2023</v>
      </c>
      <c r="D240" s="118" t="s">
        <v>394</v>
      </c>
      <c r="E240" s="118" t="s">
        <v>1221</v>
      </c>
      <c r="F240" s="118" t="s">
        <v>1222</v>
      </c>
      <c r="G240" s="118" t="s">
        <v>274</v>
      </c>
      <c r="H240" s="118" t="s">
        <v>15</v>
      </c>
      <c r="I240" s="118" t="s">
        <v>253</v>
      </c>
      <c r="J240" s="118" t="s">
        <v>1220</v>
      </c>
      <c r="K240" s="118" t="s">
        <v>1223</v>
      </c>
      <c r="L240" s="118"/>
      <c r="M240" s="118"/>
      <c r="N240" s="42"/>
      <c r="O240" s="42" t="s">
        <v>193</v>
      </c>
      <c r="P240" s="42" t="s">
        <v>194</v>
      </c>
      <c r="Q240" s="42"/>
      <c r="R240" s="42"/>
      <c r="S240" s="3"/>
      <c r="T240" s="3"/>
      <c r="U240" s="3"/>
      <c r="V240" s="3"/>
      <c r="W240" s="3"/>
      <c r="X240" s="3"/>
      <c r="Y240" s="3"/>
      <c r="Z240" s="3"/>
      <c r="AA240" s="3"/>
      <c r="AB240" s="3"/>
      <c r="AC240" s="3"/>
      <c r="AD240" s="3"/>
      <c r="AE240" s="3"/>
      <c r="AF240" s="3"/>
      <c r="AG240" s="3"/>
      <c r="AH240" s="3"/>
      <c r="AI240" s="3"/>
      <c r="AJ240" s="3"/>
      <c r="AK240" s="3"/>
      <c r="AL240" s="3"/>
    </row>
    <row r="241" spans="1:38" ht="14.25" customHeight="1" x14ac:dyDescent="0.2">
      <c r="A241" s="118" t="s">
        <v>1224</v>
      </c>
      <c r="B241" s="118" t="s">
        <v>1225</v>
      </c>
      <c r="C241" s="118">
        <v>2023</v>
      </c>
      <c r="D241" s="118" t="s">
        <v>331</v>
      </c>
      <c r="E241" s="118" t="s">
        <v>1227</v>
      </c>
      <c r="F241" s="118" t="s">
        <v>1228</v>
      </c>
      <c r="G241" s="118" t="s">
        <v>336</v>
      </c>
      <c r="H241" s="118" t="s">
        <v>15</v>
      </c>
      <c r="I241" s="118" t="s">
        <v>253</v>
      </c>
      <c r="J241" s="118" t="s">
        <v>1226</v>
      </c>
      <c r="K241" s="118" t="s">
        <v>505</v>
      </c>
      <c r="L241" s="118"/>
      <c r="M241" s="118"/>
      <c r="N241" s="42"/>
      <c r="O241" s="42" t="s">
        <v>193</v>
      </c>
      <c r="P241" s="42" t="s">
        <v>194</v>
      </c>
      <c r="Q241" s="42"/>
      <c r="R241" s="42"/>
      <c r="S241" s="3"/>
      <c r="T241" s="3"/>
      <c r="U241" s="3"/>
      <c r="V241" s="3"/>
      <c r="W241" s="3"/>
      <c r="X241" s="3"/>
      <c r="Y241" s="3"/>
      <c r="Z241" s="3"/>
      <c r="AA241" s="3"/>
      <c r="AB241" s="3"/>
      <c r="AC241" s="3"/>
      <c r="AD241" s="3"/>
      <c r="AE241" s="3"/>
      <c r="AF241" s="3"/>
      <c r="AG241" s="3"/>
      <c r="AH241" s="3"/>
      <c r="AI241" s="3"/>
      <c r="AJ241" s="3"/>
      <c r="AK241" s="3"/>
      <c r="AL241" s="3"/>
    </row>
    <row r="242" spans="1:38" ht="14.25" customHeight="1" x14ac:dyDescent="0.2">
      <c r="A242" s="118" t="s">
        <v>1229</v>
      </c>
      <c r="B242" s="118" t="s">
        <v>1230</v>
      </c>
      <c r="C242" s="118">
        <v>2022</v>
      </c>
      <c r="D242" s="118" t="s">
        <v>1231</v>
      </c>
      <c r="E242" s="118" t="s">
        <v>1233</v>
      </c>
      <c r="F242" s="118" t="s">
        <v>1234</v>
      </c>
      <c r="G242" s="118" t="s">
        <v>473</v>
      </c>
      <c r="H242" s="118" t="s">
        <v>15</v>
      </c>
      <c r="I242" s="118" t="s">
        <v>230</v>
      </c>
      <c r="J242" s="118" t="s">
        <v>1232</v>
      </c>
      <c r="K242" s="118">
        <v>0</v>
      </c>
      <c r="L242" s="118"/>
      <c r="M242" s="118"/>
      <c r="N242" s="42"/>
      <c r="O242" s="42" t="s">
        <v>193</v>
      </c>
      <c r="P242" s="42" t="s">
        <v>194</v>
      </c>
      <c r="Q242" s="42"/>
      <c r="R242" s="42"/>
      <c r="S242" s="3"/>
      <c r="T242" s="3"/>
      <c r="U242" s="3"/>
      <c r="V242" s="3"/>
      <c r="W242" s="3"/>
      <c r="X242" s="3"/>
      <c r="Y242" s="3"/>
      <c r="Z242" s="3"/>
      <c r="AA242" s="3"/>
      <c r="AB242" s="3"/>
      <c r="AC242" s="3"/>
      <c r="AD242" s="3"/>
      <c r="AE242" s="3"/>
      <c r="AF242" s="3"/>
      <c r="AG242" s="3"/>
      <c r="AH242" s="3"/>
      <c r="AI242" s="3"/>
      <c r="AJ242" s="3"/>
      <c r="AK242" s="3"/>
      <c r="AL242" s="3"/>
    </row>
    <row r="243" spans="1:38" ht="14.25" customHeight="1" x14ac:dyDescent="0.2">
      <c r="A243" s="118" t="s">
        <v>1235</v>
      </c>
      <c r="B243" s="118" t="s">
        <v>1236</v>
      </c>
      <c r="C243" s="118">
        <v>2025</v>
      </c>
      <c r="D243" s="118" t="s">
        <v>317</v>
      </c>
      <c r="E243" s="118" t="s">
        <v>1238</v>
      </c>
      <c r="F243" s="118" t="s">
        <v>1239</v>
      </c>
      <c r="G243" s="118" t="s">
        <v>322</v>
      </c>
      <c r="H243" s="118" t="s">
        <v>15</v>
      </c>
      <c r="I243" s="118" t="s">
        <v>253</v>
      </c>
      <c r="J243" s="118" t="s">
        <v>1237</v>
      </c>
      <c r="K243" s="118" t="s">
        <v>1240</v>
      </c>
      <c r="L243" s="118"/>
      <c r="M243" s="118"/>
      <c r="N243" s="42"/>
      <c r="O243" s="42" t="s">
        <v>193</v>
      </c>
      <c r="P243" s="42" t="s">
        <v>194</v>
      </c>
      <c r="Q243" s="42"/>
      <c r="R243" s="42"/>
      <c r="S243" s="3"/>
      <c r="T243" s="3"/>
      <c r="U243" s="3"/>
      <c r="V243" s="3"/>
      <c r="W243" s="3"/>
      <c r="X243" s="3"/>
      <c r="Y243" s="3"/>
      <c r="Z243" s="3"/>
      <c r="AA243" s="3"/>
      <c r="AB243" s="3"/>
      <c r="AC243" s="3"/>
      <c r="AD243" s="3"/>
      <c r="AE243" s="3"/>
      <c r="AF243" s="3"/>
      <c r="AG243" s="3"/>
      <c r="AH243" s="3"/>
      <c r="AI243" s="3"/>
      <c r="AJ243" s="3"/>
      <c r="AK243" s="3"/>
      <c r="AL243" s="3"/>
    </row>
    <row r="244" spans="1:38" ht="14.25" customHeight="1" x14ac:dyDescent="0.2">
      <c r="A244" s="118" t="s">
        <v>1241</v>
      </c>
      <c r="B244" s="118" t="s">
        <v>1242</v>
      </c>
      <c r="C244" s="118">
        <v>2025</v>
      </c>
      <c r="D244" s="118" t="s">
        <v>1003</v>
      </c>
      <c r="E244" s="118" t="s">
        <v>1244</v>
      </c>
      <c r="F244" s="118" t="s">
        <v>1245</v>
      </c>
      <c r="G244" s="118" t="s">
        <v>350</v>
      </c>
      <c r="H244" s="118" t="s">
        <v>15</v>
      </c>
      <c r="I244" s="118" t="s">
        <v>230</v>
      </c>
      <c r="J244" s="118" t="s">
        <v>1243</v>
      </c>
      <c r="K244" s="118" t="s">
        <v>1246</v>
      </c>
      <c r="L244" s="118"/>
      <c r="M244" s="118"/>
      <c r="N244" s="42"/>
      <c r="O244" s="42" t="s">
        <v>193</v>
      </c>
      <c r="P244" s="42" t="s">
        <v>194</v>
      </c>
      <c r="Q244" s="42"/>
      <c r="R244" s="42"/>
      <c r="S244" s="3"/>
      <c r="T244" s="3"/>
      <c r="U244" s="3"/>
      <c r="V244" s="3"/>
      <c r="W244" s="3"/>
      <c r="X244" s="3"/>
      <c r="Y244" s="3"/>
      <c r="Z244" s="3"/>
      <c r="AA244" s="3"/>
      <c r="AB244" s="3"/>
      <c r="AC244" s="3"/>
      <c r="AD244" s="3"/>
      <c r="AE244" s="3"/>
      <c r="AF244" s="3"/>
      <c r="AG244" s="3"/>
      <c r="AH244" s="3"/>
      <c r="AI244" s="3"/>
      <c r="AJ244" s="3"/>
      <c r="AK244" s="3"/>
      <c r="AL244" s="3"/>
    </row>
    <row r="245" spans="1:38" ht="14.25" customHeight="1" x14ac:dyDescent="0.2">
      <c r="A245" s="118" t="s">
        <v>1247</v>
      </c>
      <c r="B245" s="118" t="s">
        <v>1248</v>
      </c>
      <c r="C245" s="118">
        <v>2022</v>
      </c>
      <c r="D245" s="118" t="s">
        <v>233</v>
      </c>
      <c r="E245" s="118" t="s">
        <v>1250</v>
      </c>
      <c r="F245" s="118" t="s">
        <v>1251</v>
      </c>
      <c r="G245" s="118" t="s">
        <v>238</v>
      </c>
      <c r="H245" s="118" t="s">
        <v>15</v>
      </c>
      <c r="I245" s="118" t="s">
        <v>230</v>
      </c>
      <c r="J245" s="118" t="s">
        <v>1249</v>
      </c>
      <c r="K245" s="118" t="s">
        <v>1252</v>
      </c>
      <c r="L245" s="118"/>
      <c r="M245" s="118"/>
      <c r="N245" s="42"/>
      <c r="O245" s="42" t="s">
        <v>193</v>
      </c>
      <c r="P245" s="42" t="s">
        <v>194</v>
      </c>
      <c r="Q245" s="42"/>
      <c r="R245" s="42"/>
      <c r="S245" s="3"/>
      <c r="T245" s="3"/>
      <c r="U245" s="3"/>
      <c r="V245" s="3"/>
      <c r="W245" s="3"/>
      <c r="X245" s="3"/>
      <c r="Y245" s="3"/>
      <c r="Z245" s="3"/>
      <c r="AA245" s="3"/>
      <c r="AB245" s="3"/>
      <c r="AC245" s="3"/>
      <c r="AD245" s="3"/>
      <c r="AE245" s="3"/>
      <c r="AF245" s="3"/>
      <c r="AG245" s="3"/>
      <c r="AH245" s="3"/>
      <c r="AI245" s="3"/>
      <c r="AJ245" s="3"/>
      <c r="AK245" s="3"/>
      <c r="AL245" s="3"/>
    </row>
    <row r="246" spans="1:38" ht="14.25" customHeight="1" x14ac:dyDescent="0.2">
      <c r="A246" s="118" t="s">
        <v>1253</v>
      </c>
      <c r="B246" s="118" t="s">
        <v>1254</v>
      </c>
      <c r="C246" s="118">
        <v>2025</v>
      </c>
      <c r="D246" s="118" t="s">
        <v>233</v>
      </c>
      <c r="E246" s="118" t="s">
        <v>1256</v>
      </c>
      <c r="F246" s="118" t="s">
        <v>1257</v>
      </c>
      <c r="G246" s="118" t="s">
        <v>238</v>
      </c>
      <c r="H246" s="118" t="s">
        <v>15</v>
      </c>
      <c r="I246" s="118" t="s">
        <v>230</v>
      </c>
      <c r="J246" s="118" t="s">
        <v>1255</v>
      </c>
      <c r="K246" s="118" t="s">
        <v>1258</v>
      </c>
      <c r="L246" s="118"/>
      <c r="M246" s="118"/>
      <c r="N246" s="42"/>
      <c r="O246" s="42" t="s">
        <v>193</v>
      </c>
      <c r="P246" s="42" t="s">
        <v>194</v>
      </c>
      <c r="Q246" s="42"/>
      <c r="R246" s="42"/>
      <c r="S246" s="3"/>
      <c r="T246" s="3"/>
      <c r="U246" s="3"/>
      <c r="V246" s="3"/>
      <c r="W246" s="3"/>
      <c r="X246" s="3"/>
      <c r="Y246" s="3"/>
      <c r="Z246" s="3"/>
      <c r="AA246" s="3"/>
      <c r="AB246" s="3"/>
      <c r="AC246" s="3"/>
      <c r="AD246" s="3"/>
      <c r="AE246" s="3"/>
      <c r="AF246" s="3"/>
      <c r="AG246" s="3"/>
      <c r="AH246" s="3"/>
      <c r="AI246" s="3"/>
      <c r="AJ246" s="3"/>
      <c r="AK246" s="3"/>
      <c r="AL246" s="3"/>
    </row>
    <row r="247" spans="1:38" ht="14.25" customHeight="1" x14ac:dyDescent="0.2">
      <c r="A247" s="118" t="s">
        <v>1259</v>
      </c>
      <c r="B247" s="118" t="s">
        <v>1260</v>
      </c>
      <c r="C247" s="118">
        <v>2025</v>
      </c>
      <c r="D247" s="118" t="s">
        <v>1261</v>
      </c>
      <c r="E247" s="118" t="s">
        <v>1263</v>
      </c>
      <c r="F247" s="118" t="s">
        <v>1264</v>
      </c>
      <c r="G247" s="118" t="s">
        <v>238</v>
      </c>
      <c r="H247" s="118" t="s">
        <v>15</v>
      </c>
      <c r="I247" s="118" t="s">
        <v>230</v>
      </c>
      <c r="J247" s="118" t="s">
        <v>1262</v>
      </c>
      <c r="K247" s="118">
        <v>0</v>
      </c>
      <c r="L247" s="118"/>
      <c r="M247" s="118"/>
      <c r="N247" s="42"/>
      <c r="O247" s="42" t="s">
        <v>193</v>
      </c>
      <c r="P247" s="42" t="s">
        <v>194</v>
      </c>
      <c r="Q247" s="42"/>
      <c r="R247" s="42"/>
      <c r="S247" s="3"/>
      <c r="T247" s="3"/>
      <c r="U247" s="3"/>
      <c r="V247" s="3"/>
      <c r="W247" s="3"/>
      <c r="X247" s="3"/>
      <c r="Y247" s="3"/>
      <c r="Z247" s="3"/>
      <c r="AA247" s="3"/>
      <c r="AB247" s="3"/>
      <c r="AC247" s="3"/>
      <c r="AD247" s="3"/>
      <c r="AE247" s="3"/>
      <c r="AF247" s="3"/>
      <c r="AG247" s="3"/>
      <c r="AH247" s="3"/>
      <c r="AI247" s="3"/>
      <c r="AJ247" s="3"/>
      <c r="AK247" s="3"/>
      <c r="AL247" s="3"/>
    </row>
    <row r="248" spans="1:38" ht="14.25" customHeight="1" x14ac:dyDescent="0.2">
      <c r="A248" s="118" t="s">
        <v>1265</v>
      </c>
      <c r="B248" s="118" t="s">
        <v>1266</v>
      </c>
      <c r="C248" s="118">
        <v>2022</v>
      </c>
      <c r="D248" s="118" t="s">
        <v>1081</v>
      </c>
      <c r="E248" s="118" t="s">
        <v>1268</v>
      </c>
      <c r="F248" s="118" t="s">
        <v>1269</v>
      </c>
      <c r="G248" s="118" t="s">
        <v>1086</v>
      </c>
      <c r="H248" s="118" t="s">
        <v>15</v>
      </c>
      <c r="I248" s="118" t="s">
        <v>253</v>
      </c>
      <c r="J248" s="118" t="s">
        <v>1267</v>
      </c>
      <c r="K248" s="118" t="s">
        <v>1270</v>
      </c>
      <c r="L248" s="118"/>
      <c r="M248" s="118"/>
      <c r="N248" s="42"/>
      <c r="O248" s="42" t="s">
        <v>193</v>
      </c>
      <c r="P248" s="42" t="s">
        <v>194</v>
      </c>
      <c r="Q248" s="42"/>
      <c r="R248" s="42"/>
      <c r="S248" s="3"/>
      <c r="T248" s="3"/>
      <c r="U248" s="3"/>
      <c r="V248" s="3"/>
      <c r="W248" s="3"/>
      <c r="X248" s="3"/>
      <c r="Y248" s="3"/>
      <c r="Z248" s="3"/>
      <c r="AA248" s="3"/>
      <c r="AB248" s="3"/>
      <c r="AC248" s="3"/>
      <c r="AD248" s="3"/>
      <c r="AE248" s="3"/>
      <c r="AF248" s="3"/>
      <c r="AG248" s="3"/>
      <c r="AH248" s="3"/>
      <c r="AI248" s="3"/>
      <c r="AJ248" s="3"/>
      <c r="AK248" s="3"/>
      <c r="AL248" s="3"/>
    </row>
    <row r="249" spans="1:38" ht="14.25" customHeight="1" x14ac:dyDescent="0.2">
      <c r="A249" s="118" t="s">
        <v>1271</v>
      </c>
      <c r="B249" s="118" t="s">
        <v>1272</v>
      </c>
      <c r="C249" s="118">
        <v>2023</v>
      </c>
      <c r="D249" s="118" t="s">
        <v>927</v>
      </c>
      <c r="E249" s="118" t="s">
        <v>1274</v>
      </c>
      <c r="F249" s="118" t="s">
        <v>1275</v>
      </c>
      <c r="G249" s="118">
        <v>0</v>
      </c>
      <c r="H249" s="118" t="s">
        <v>15</v>
      </c>
      <c r="I249" s="118" t="s">
        <v>253</v>
      </c>
      <c r="J249" s="118" t="s">
        <v>1273</v>
      </c>
      <c r="K249" s="118">
        <v>0</v>
      </c>
      <c r="L249" s="118"/>
      <c r="M249" s="118"/>
      <c r="N249" s="42"/>
      <c r="O249" s="42" t="s">
        <v>193</v>
      </c>
      <c r="P249" s="42" t="s">
        <v>194</v>
      </c>
      <c r="Q249" s="42"/>
      <c r="R249" s="42"/>
      <c r="S249" s="3"/>
      <c r="T249" s="3"/>
      <c r="U249" s="3"/>
      <c r="V249" s="3"/>
      <c r="W249" s="3"/>
      <c r="X249" s="3"/>
      <c r="Y249" s="3"/>
      <c r="Z249" s="3"/>
      <c r="AA249" s="3"/>
      <c r="AB249" s="3"/>
      <c r="AC249" s="3"/>
      <c r="AD249" s="3"/>
      <c r="AE249" s="3"/>
      <c r="AF249" s="3"/>
      <c r="AG249" s="3"/>
      <c r="AH249" s="3"/>
      <c r="AI249" s="3"/>
      <c r="AJ249" s="3"/>
      <c r="AK249" s="3"/>
      <c r="AL249" s="3"/>
    </row>
    <row r="250" spans="1:38" ht="14.25" customHeight="1" x14ac:dyDescent="0.2">
      <c r="A250" s="118" t="s">
        <v>1276</v>
      </c>
      <c r="B250" s="118" t="s">
        <v>1277</v>
      </c>
      <c r="C250" s="118">
        <v>2022</v>
      </c>
      <c r="D250" s="118" t="s">
        <v>233</v>
      </c>
      <c r="E250" s="118" t="s">
        <v>1279</v>
      </c>
      <c r="F250" s="118" t="s">
        <v>1280</v>
      </c>
      <c r="G250" s="118" t="s">
        <v>238</v>
      </c>
      <c r="H250" s="118" t="s">
        <v>15</v>
      </c>
      <c r="I250" s="118" t="s">
        <v>230</v>
      </c>
      <c r="J250" s="118" t="s">
        <v>1278</v>
      </c>
      <c r="K250" s="118" t="s">
        <v>1281</v>
      </c>
      <c r="L250" s="118"/>
      <c r="M250" s="118"/>
      <c r="N250" s="42"/>
      <c r="O250" s="42" t="s">
        <v>193</v>
      </c>
      <c r="P250" s="42" t="s">
        <v>194</v>
      </c>
      <c r="Q250" s="42"/>
      <c r="R250" s="42"/>
      <c r="S250" s="3"/>
      <c r="T250" s="3"/>
      <c r="U250" s="3"/>
      <c r="V250" s="3"/>
      <c r="W250" s="3"/>
      <c r="X250" s="3"/>
      <c r="Y250" s="3"/>
      <c r="Z250" s="3"/>
      <c r="AA250" s="3"/>
      <c r="AB250" s="3"/>
      <c r="AC250" s="3"/>
      <c r="AD250" s="3"/>
      <c r="AE250" s="3"/>
      <c r="AF250" s="3"/>
      <c r="AG250" s="3"/>
      <c r="AH250" s="3"/>
      <c r="AI250" s="3"/>
      <c r="AJ250" s="3"/>
      <c r="AK250" s="3"/>
      <c r="AL250" s="3"/>
    </row>
    <row r="251" spans="1:38" ht="14.25" customHeight="1" x14ac:dyDescent="0.2">
      <c r="A251" s="118" t="s">
        <v>1282</v>
      </c>
      <c r="B251" s="118" t="s">
        <v>1283</v>
      </c>
      <c r="C251" s="118">
        <v>2022</v>
      </c>
      <c r="D251" s="118" t="s">
        <v>233</v>
      </c>
      <c r="E251" s="118" t="s">
        <v>1285</v>
      </c>
      <c r="F251" s="118" t="s">
        <v>1286</v>
      </c>
      <c r="G251" s="118" t="s">
        <v>238</v>
      </c>
      <c r="H251" s="118" t="s">
        <v>15</v>
      </c>
      <c r="I251" s="118" t="s">
        <v>230</v>
      </c>
      <c r="J251" s="118" t="s">
        <v>1284</v>
      </c>
      <c r="K251" s="118" t="s">
        <v>1287</v>
      </c>
      <c r="L251" s="118"/>
      <c r="M251" s="118"/>
      <c r="N251" s="42"/>
      <c r="O251" s="42" t="s">
        <v>193</v>
      </c>
      <c r="P251" s="42" t="s">
        <v>194</v>
      </c>
      <c r="Q251" s="42"/>
      <c r="R251" s="42"/>
      <c r="S251" s="3"/>
      <c r="T251" s="3"/>
      <c r="U251" s="3"/>
      <c r="V251" s="3"/>
      <c r="W251" s="3"/>
      <c r="X251" s="3"/>
      <c r="Y251" s="3"/>
      <c r="Z251" s="3"/>
      <c r="AA251" s="3"/>
      <c r="AB251" s="3"/>
      <c r="AC251" s="3"/>
      <c r="AD251" s="3"/>
      <c r="AE251" s="3"/>
      <c r="AF251" s="3"/>
      <c r="AG251" s="3"/>
      <c r="AH251" s="3"/>
      <c r="AI251" s="3"/>
      <c r="AJ251" s="3"/>
      <c r="AK251" s="3"/>
      <c r="AL251" s="3"/>
    </row>
    <row r="252" spans="1:38" ht="14.25" customHeight="1" x14ac:dyDescent="0.2">
      <c r="A252" s="118" t="s">
        <v>1288</v>
      </c>
      <c r="B252" s="118" t="s">
        <v>1289</v>
      </c>
      <c r="C252" s="118">
        <v>2023</v>
      </c>
      <c r="D252" s="118" t="s">
        <v>1290</v>
      </c>
      <c r="E252" s="118" t="s">
        <v>1291</v>
      </c>
      <c r="F252" s="118" t="s">
        <v>1292</v>
      </c>
      <c r="G252" s="118" t="s">
        <v>1293</v>
      </c>
      <c r="H252" s="118" t="s">
        <v>15</v>
      </c>
      <c r="I252" s="118" t="s">
        <v>230</v>
      </c>
      <c r="J252" s="118">
        <v>0</v>
      </c>
      <c r="K252" s="118">
        <v>0</v>
      </c>
      <c r="L252" s="118"/>
      <c r="M252" s="118"/>
      <c r="N252" s="42"/>
      <c r="O252" s="42" t="s">
        <v>193</v>
      </c>
      <c r="P252" s="42" t="s">
        <v>194</v>
      </c>
      <c r="Q252" s="42"/>
      <c r="R252" s="42"/>
      <c r="S252" s="3"/>
      <c r="T252" s="3"/>
      <c r="U252" s="3"/>
      <c r="V252" s="3"/>
      <c r="W252" s="3"/>
      <c r="X252" s="3"/>
      <c r="Y252" s="3"/>
      <c r="Z252" s="3"/>
      <c r="AA252" s="3"/>
      <c r="AB252" s="3"/>
      <c r="AC252" s="3"/>
      <c r="AD252" s="3"/>
      <c r="AE252" s="3"/>
      <c r="AF252" s="3"/>
      <c r="AG252" s="3"/>
      <c r="AH252" s="3"/>
      <c r="AI252" s="3"/>
      <c r="AJ252" s="3"/>
      <c r="AK252" s="3"/>
      <c r="AL252" s="3"/>
    </row>
    <row r="253" spans="1:38" ht="14.25" customHeight="1" x14ac:dyDescent="0.2">
      <c r="A253" s="118" t="s">
        <v>1294</v>
      </c>
      <c r="B253" s="118" t="s">
        <v>1295</v>
      </c>
      <c r="C253" s="118">
        <v>2025</v>
      </c>
      <c r="D253" s="118" t="s">
        <v>331</v>
      </c>
      <c r="E253" s="118" t="s">
        <v>1297</v>
      </c>
      <c r="F253" s="118" t="s">
        <v>1298</v>
      </c>
      <c r="G253" s="118" t="s">
        <v>336</v>
      </c>
      <c r="H253" s="118" t="s">
        <v>15</v>
      </c>
      <c r="I253" s="118" t="s">
        <v>253</v>
      </c>
      <c r="J253" s="118" t="s">
        <v>1296</v>
      </c>
      <c r="K253" s="118" t="s">
        <v>1299</v>
      </c>
      <c r="L253" s="118"/>
      <c r="M253" s="118"/>
      <c r="N253" s="42"/>
      <c r="O253" s="42" t="s">
        <v>193</v>
      </c>
      <c r="P253" s="42" t="s">
        <v>194</v>
      </c>
      <c r="Q253" s="42"/>
      <c r="R253" s="42"/>
      <c r="S253" s="3"/>
      <c r="T253" s="3"/>
      <c r="U253" s="3"/>
      <c r="V253" s="3"/>
      <c r="W253" s="3"/>
      <c r="X253" s="3"/>
      <c r="Y253" s="3"/>
      <c r="Z253" s="3"/>
      <c r="AA253" s="3"/>
      <c r="AB253" s="3"/>
      <c r="AC253" s="3"/>
      <c r="AD253" s="3"/>
      <c r="AE253" s="3"/>
      <c r="AF253" s="3"/>
      <c r="AG253" s="3"/>
      <c r="AH253" s="3"/>
      <c r="AI253" s="3"/>
      <c r="AJ253" s="3"/>
      <c r="AK253" s="3"/>
      <c r="AL253" s="3"/>
    </row>
    <row r="254" spans="1:38" ht="14.25" customHeight="1" x14ac:dyDescent="0.2">
      <c r="A254" s="118" t="s">
        <v>1300</v>
      </c>
      <c r="B254" s="118" t="s">
        <v>1301</v>
      </c>
      <c r="C254" s="118">
        <v>2026</v>
      </c>
      <c r="D254" s="118" t="s">
        <v>1302</v>
      </c>
      <c r="E254" s="118" t="s">
        <v>1304</v>
      </c>
      <c r="F254" s="118" t="s">
        <v>1305</v>
      </c>
      <c r="G254" s="118" t="s">
        <v>1307</v>
      </c>
      <c r="H254" s="118" t="s">
        <v>15</v>
      </c>
      <c r="I254" s="118" t="s">
        <v>253</v>
      </c>
      <c r="J254" s="118" t="s">
        <v>1303</v>
      </c>
      <c r="K254" s="118" t="s">
        <v>1306</v>
      </c>
      <c r="L254" s="118"/>
      <c r="M254" s="118"/>
      <c r="N254" s="42"/>
      <c r="O254" s="42" t="s">
        <v>193</v>
      </c>
      <c r="P254" s="42" t="s">
        <v>194</v>
      </c>
      <c r="Q254" s="42"/>
      <c r="R254" s="42"/>
      <c r="S254" s="3"/>
      <c r="T254" s="3"/>
      <c r="U254" s="3"/>
      <c r="V254" s="3"/>
      <c r="W254" s="3"/>
      <c r="X254" s="3"/>
      <c r="Y254" s="3"/>
      <c r="Z254" s="3"/>
      <c r="AA254" s="3"/>
      <c r="AB254" s="3"/>
      <c r="AC254" s="3"/>
      <c r="AD254" s="3"/>
      <c r="AE254" s="3"/>
      <c r="AF254" s="3"/>
      <c r="AG254" s="3"/>
      <c r="AH254" s="3"/>
      <c r="AI254" s="3"/>
      <c r="AJ254" s="3"/>
      <c r="AK254" s="3"/>
      <c r="AL254" s="3"/>
    </row>
    <row r="255" spans="1:38" ht="14.25" customHeight="1" x14ac:dyDescent="0.2">
      <c r="A255" s="118" t="s">
        <v>1308</v>
      </c>
      <c r="B255" s="118" t="s">
        <v>1309</v>
      </c>
      <c r="C255" s="118">
        <v>2023</v>
      </c>
      <c r="D255" s="118" t="s">
        <v>233</v>
      </c>
      <c r="E255" s="118" t="s">
        <v>1311</v>
      </c>
      <c r="F255" s="118" t="s">
        <v>1312</v>
      </c>
      <c r="G255" s="118" t="s">
        <v>238</v>
      </c>
      <c r="H255" s="118" t="s">
        <v>15</v>
      </c>
      <c r="I255" s="118" t="s">
        <v>230</v>
      </c>
      <c r="J255" s="118" t="s">
        <v>1310</v>
      </c>
      <c r="K255" s="118" t="s">
        <v>1313</v>
      </c>
      <c r="L255" s="118"/>
      <c r="M255" s="118"/>
      <c r="N255" s="42"/>
      <c r="O255" s="42" t="s">
        <v>193</v>
      </c>
      <c r="P255" s="42" t="s">
        <v>194</v>
      </c>
      <c r="Q255" s="42"/>
      <c r="R255" s="42"/>
      <c r="S255" s="3"/>
      <c r="T255" s="3"/>
      <c r="U255" s="3"/>
      <c r="V255" s="3"/>
      <c r="W255" s="3"/>
      <c r="X255" s="3"/>
      <c r="Y255" s="3"/>
      <c r="Z255" s="3"/>
      <c r="AA255" s="3"/>
      <c r="AB255" s="3"/>
      <c r="AC255" s="3"/>
      <c r="AD255" s="3"/>
      <c r="AE255" s="3"/>
      <c r="AF255" s="3"/>
      <c r="AG255" s="3"/>
      <c r="AH255" s="3"/>
      <c r="AI255" s="3"/>
      <c r="AJ255" s="3"/>
      <c r="AK255" s="3"/>
      <c r="AL255" s="3"/>
    </row>
    <row r="256" spans="1:38" ht="14.25" customHeight="1" x14ac:dyDescent="0.2">
      <c r="A256" s="118" t="s">
        <v>1314</v>
      </c>
      <c r="B256" s="118" t="s">
        <v>1315</v>
      </c>
      <c r="C256" s="118">
        <v>2025</v>
      </c>
      <c r="D256" s="118" t="s">
        <v>233</v>
      </c>
      <c r="E256" s="118" t="s">
        <v>1317</v>
      </c>
      <c r="F256" s="118" t="s">
        <v>1318</v>
      </c>
      <c r="G256" s="118" t="s">
        <v>238</v>
      </c>
      <c r="H256" s="118" t="s">
        <v>15</v>
      </c>
      <c r="I256" s="118" t="s">
        <v>230</v>
      </c>
      <c r="J256" s="118" t="s">
        <v>1316</v>
      </c>
      <c r="K256" s="118" t="s">
        <v>1319</v>
      </c>
      <c r="L256" s="118"/>
      <c r="M256" s="118"/>
      <c r="N256" s="42"/>
      <c r="O256" s="42" t="s">
        <v>193</v>
      </c>
      <c r="P256" s="42" t="s">
        <v>194</v>
      </c>
      <c r="Q256" s="42"/>
      <c r="R256" s="42"/>
      <c r="S256" s="3"/>
      <c r="T256" s="3"/>
      <c r="U256" s="3"/>
      <c r="V256" s="3"/>
      <c r="W256" s="3"/>
      <c r="X256" s="3"/>
      <c r="Y256" s="3"/>
      <c r="Z256" s="3"/>
      <c r="AA256" s="3"/>
      <c r="AB256" s="3"/>
      <c r="AC256" s="3"/>
      <c r="AD256" s="3"/>
      <c r="AE256" s="3"/>
      <c r="AF256" s="3"/>
      <c r="AG256" s="3"/>
      <c r="AH256" s="3"/>
      <c r="AI256" s="3"/>
      <c r="AJ256" s="3"/>
      <c r="AK256" s="3"/>
      <c r="AL256" s="3"/>
    </row>
    <row r="257" spans="1:38" ht="14.25" customHeight="1" x14ac:dyDescent="0.2">
      <c r="A257" s="118" t="s">
        <v>1320</v>
      </c>
      <c r="B257" s="118" t="s">
        <v>1321</v>
      </c>
      <c r="C257" s="118">
        <v>2026</v>
      </c>
      <c r="D257" s="118" t="s">
        <v>1322</v>
      </c>
      <c r="E257" s="118" t="s">
        <v>1324</v>
      </c>
      <c r="F257" s="118" t="s">
        <v>1325</v>
      </c>
      <c r="G257" s="118" t="s">
        <v>282</v>
      </c>
      <c r="H257" s="118" t="s">
        <v>15</v>
      </c>
      <c r="I257" s="118" t="s">
        <v>253</v>
      </c>
      <c r="J257" s="118" t="s">
        <v>1323</v>
      </c>
      <c r="K257" s="118" t="s">
        <v>1326</v>
      </c>
      <c r="L257" s="118"/>
      <c r="M257" s="118"/>
      <c r="N257" s="42"/>
      <c r="O257" s="42" t="s">
        <v>193</v>
      </c>
      <c r="P257" s="42" t="s">
        <v>194</v>
      </c>
      <c r="Q257" s="42"/>
      <c r="R257" s="42"/>
      <c r="S257" s="3"/>
      <c r="T257" s="3"/>
      <c r="U257" s="3"/>
      <c r="V257" s="3"/>
      <c r="W257" s="3"/>
      <c r="X257" s="3"/>
      <c r="Y257" s="3"/>
      <c r="Z257" s="3"/>
      <c r="AA257" s="3"/>
      <c r="AB257" s="3"/>
      <c r="AC257" s="3"/>
      <c r="AD257" s="3"/>
      <c r="AE257" s="3"/>
      <c r="AF257" s="3"/>
      <c r="AG257" s="3"/>
      <c r="AH257" s="3"/>
      <c r="AI257" s="3"/>
      <c r="AJ257" s="3"/>
      <c r="AK257" s="3"/>
      <c r="AL257" s="3"/>
    </row>
    <row r="258" spans="1:38" ht="14.25" customHeight="1" x14ac:dyDescent="0.2">
      <c r="A258" s="118" t="s">
        <v>1327</v>
      </c>
      <c r="B258" s="118" t="s">
        <v>1328</v>
      </c>
      <c r="C258" s="118">
        <v>2022</v>
      </c>
      <c r="D258" s="118" t="s">
        <v>331</v>
      </c>
      <c r="E258" s="118" t="s">
        <v>1330</v>
      </c>
      <c r="F258" s="118" t="s">
        <v>1331</v>
      </c>
      <c r="G258" s="118" t="s">
        <v>1333</v>
      </c>
      <c r="H258" s="118" t="s">
        <v>15</v>
      </c>
      <c r="I258" s="118" t="s">
        <v>253</v>
      </c>
      <c r="J258" s="118" t="s">
        <v>1329</v>
      </c>
      <c r="K258" s="118" t="s">
        <v>1332</v>
      </c>
      <c r="L258" s="118"/>
      <c r="M258" s="118"/>
      <c r="N258" s="42"/>
      <c r="O258" s="42" t="s">
        <v>193</v>
      </c>
      <c r="P258" s="42" t="s">
        <v>194</v>
      </c>
      <c r="Q258" s="42"/>
      <c r="R258" s="42"/>
      <c r="S258" s="3"/>
      <c r="T258" s="3"/>
      <c r="U258" s="3"/>
      <c r="V258" s="3"/>
      <c r="W258" s="3"/>
      <c r="X258" s="3"/>
      <c r="Y258" s="3"/>
      <c r="Z258" s="3"/>
      <c r="AA258" s="3"/>
      <c r="AB258" s="3"/>
      <c r="AC258" s="3"/>
      <c r="AD258" s="3"/>
      <c r="AE258" s="3"/>
      <c r="AF258" s="3"/>
      <c r="AG258" s="3"/>
      <c r="AH258" s="3"/>
      <c r="AI258" s="3"/>
      <c r="AJ258" s="3"/>
      <c r="AK258" s="3"/>
      <c r="AL258" s="3"/>
    </row>
    <row r="259" spans="1:38" ht="14.25" customHeight="1" x14ac:dyDescent="0.2">
      <c r="A259" s="118" t="s">
        <v>1334</v>
      </c>
      <c r="B259" s="118" t="s">
        <v>1335</v>
      </c>
      <c r="C259" s="118">
        <v>2023</v>
      </c>
      <c r="D259" s="118" t="s">
        <v>233</v>
      </c>
      <c r="E259" s="118" t="s">
        <v>1337</v>
      </c>
      <c r="F259" s="118" t="s">
        <v>1338</v>
      </c>
      <c r="G259" s="118" t="s">
        <v>238</v>
      </c>
      <c r="H259" s="118" t="s">
        <v>15</v>
      </c>
      <c r="I259" s="118" t="s">
        <v>230</v>
      </c>
      <c r="J259" s="118" t="s">
        <v>1336</v>
      </c>
      <c r="K259" s="118" t="s">
        <v>1339</v>
      </c>
      <c r="L259" s="118"/>
      <c r="M259" s="118"/>
      <c r="N259" s="42"/>
      <c r="O259" s="42" t="s">
        <v>193</v>
      </c>
      <c r="P259" s="42" t="s">
        <v>194</v>
      </c>
      <c r="Q259" s="42"/>
      <c r="R259" s="42"/>
      <c r="S259" s="3"/>
      <c r="T259" s="3"/>
      <c r="U259" s="3"/>
      <c r="V259" s="3"/>
      <c r="W259" s="3"/>
      <c r="X259" s="3"/>
      <c r="Y259" s="3"/>
      <c r="Z259" s="3"/>
      <c r="AA259" s="3"/>
      <c r="AB259" s="3"/>
      <c r="AC259" s="3"/>
      <c r="AD259" s="3"/>
      <c r="AE259" s="3"/>
      <c r="AF259" s="3"/>
      <c r="AG259" s="3"/>
      <c r="AH259" s="3"/>
      <c r="AI259" s="3"/>
      <c r="AJ259" s="3"/>
      <c r="AK259" s="3"/>
      <c r="AL259" s="3"/>
    </row>
    <row r="260" spans="1:38" ht="14.25" customHeight="1" x14ac:dyDescent="0.2">
      <c r="A260" s="118" t="s">
        <v>1340</v>
      </c>
      <c r="B260" s="118" t="s">
        <v>1341</v>
      </c>
      <c r="C260" s="118">
        <v>2023</v>
      </c>
      <c r="D260" s="118" t="s">
        <v>1342</v>
      </c>
      <c r="E260" s="118" t="s">
        <v>1344</v>
      </c>
      <c r="F260" s="118" t="s">
        <v>1345</v>
      </c>
      <c r="G260" s="118" t="s">
        <v>473</v>
      </c>
      <c r="H260" s="118" t="s">
        <v>15</v>
      </c>
      <c r="I260" s="118" t="s">
        <v>230</v>
      </c>
      <c r="J260" s="118" t="s">
        <v>1343</v>
      </c>
      <c r="K260" s="118">
        <v>0</v>
      </c>
      <c r="L260" s="118"/>
      <c r="M260" s="118"/>
      <c r="N260" s="42"/>
      <c r="O260" s="42" t="s">
        <v>193</v>
      </c>
      <c r="P260" s="42" t="s">
        <v>194</v>
      </c>
      <c r="Q260" s="42"/>
      <c r="R260" s="42"/>
      <c r="S260" s="3"/>
      <c r="T260" s="3"/>
      <c r="U260" s="3"/>
      <c r="V260" s="3"/>
      <c r="W260" s="3"/>
      <c r="X260" s="3"/>
      <c r="Y260" s="3"/>
      <c r="Z260" s="3"/>
      <c r="AA260" s="3"/>
      <c r="AB260" s="3"/>
      <c r="AC260" s="3"/>
      <c r="AD260" s="3"/>
      <c r="AE260" s="3"/>
      <c r="AF260" s="3"/>
      <c r="AG260" s="3"/>
      <c r="AH260" s="3"/>
      <c r="AI260" s="3"/>
      <c r="AJ260" s="3"/>
      <c r="AK260" s="3"/>
      <c r="AL260" s="3"/>
    </row>
    <row r="261" spans="1:38" ht="14.25" customHeight="1" x14ac:dyDescent="0.2">
      <c r="A261" s="118" t="s">
        <v>1346</v>
      </c>
      <c r="B261" s="118" t="s">
        <v>1347</v>
      </c>
      <c r="C261" s="118">
        <v>2023</v>
      </c>
      <c r="D261" s="118" t="s">
        <v>233</v>
      </c>
      <c r="E261" s="118" t="s">
        <v>1349</v>
      </c>
      <c r="F261" s="118" t="s">
        <v>1350</v>
      </c>
      <c r="G261" s="118" t="s">
        <v>238</v>
      </c>
      <c r="H261" s="118" t="s">
        <v>15</v>
      </c>
      <c r="I261" s="118" t="s">
        <v>230</v>
      </c>
      <c r="J261" s="118" t="s">
        <v>1348</v>
      </c>
      <c r="K261" s="118" t="s">
        <v>1351</v>
      </c>
      <c r="L261" s="118"/>
      <c r="M261" s="118"/>
      <c r="N261" s="42"/>
      <c r="O261" s="42" t="s">
        <v>193</v>
      </c>
      <c r="P261" s="42" t="s">
        <v>194</v>
      </c>
      <c r="Q261" s="42"/>
      <c r="R261" s="42"/>
      <c r="S261" s="3"/>
      <c r="T261" s="3"/>
      <c r="U261" s="3"/>
      <c r="V261" s="3"/>
      <c r="W261" s="3"/>
      <c r="X261" s="3"/>
      <c r="Y261" s="3"/>
      <c r="Z261" s="3"/>
      <c r="AA261" s="3"/>
      <c r="AB261" s="3"/>
      <c r="AC261" s="3"/>
      <c r="AD261" s="3"/>
      <c r="AE261" s="3"/>
      <c r="AF261" s="3"/>
      <c r="AG261" s="3"/>
      <c r="AH261" s="3"/>
      <c r="AI261" s="3"/>
      <c r="AJ261" s="3"/>
      <c r="AK261" s="3"/>
      <c r="AL261" s="3"/>
    </row>
    <row r="262" spans="1:38" ht="14.25" customHeight="1" x14ac:dyDescent="0.2">
      <c r="A262" s="118" t="s">
        <v>1352</v>
      </c>
      <c r="B262" s="118" t="s">
        <v>1353</v>
      </c>
      <c r="C262" s="118">
        <v>2025</v>
      </c>
      <c r="D262" s="118" t="s">
        <v>1354</v>
      </c>
      <c r="E262" s="118" t="s">
        <v>1356</v>
      </c>
      <c r="F262" s="118" t="s">
        <v>1357</v>
      </c>
      <c r="G262" s="118" t="s">
        <v>473</v>
      </c>
      <c r="H262" s="118" t="s">
        <v>15</v>
      </c>
      <c r="I262" s="118" t="s">
        <v>230</v>
      </c>
      <c r="J262" s="118" t="s">
        <v>1355</v>
      </c>
      <c r="K262" s="118">
        <v>0</v>
      </c>
      <c r="L262" s="118"/>
      <c r="M262" s="118"/>
      <c r="N262" s="42"/>
      <c r="O262" s="42" t="s">
        <v>193</v>
      </c>
      <c r="P262" s="42" t="s">
        <v>194</v>
      </c>
      <c r="Q262" s="42"/>
      <c r="R262" s="42"/>
      <c r="S262" s="3"/>
      <c r="T262" s="3"/>
      <c r="U262" s="3"/>
      <c r="V262" s="3"/>
      <c r="W262" s="3"/>
      <c r="X262" s="3"/>
      <c r="Y262" s="3"/>
      <c r="Z262" s="3"/>
      <c r="AA262" s="3"/>
      <c r="AB262" s="3"/>
      <c r="AC262" s="3"/>
      <c r="AD262" s="3"/>
      <c r="AE262" s="3"/>
      <c r="AF262" s="3"/>
      <c r="AG262" s="3"/>
      <c r="AH262" s="3"/>
      <c r="AI262" s="3"/>
      <c r="AJ262" s="3"/>
      <c r="AK262" s="3"/>
      <c r="AL262" s="3"/>
    </row>
    <row r="263" spans="1:38" ht="14.25" customHeight="1" x14ac:dyDescent="0.2">
      <c r="A263" s="118" t="s">
        <v>1358</v>
      </c>
      <c r="B263" s="118" t="s">
        <v>1359</v>
      </c>
      <c r="C263" s="118">
        <v>2024</v>
      </c>
      <c r="D263" s="118" t="s">
        <v>1360</v>
      </c>
      <c r="E263" s="118" t="s">
        <v>1362</v>
      </c>
      <c r="F263" s="118" t="s">
        <v>1363</v>
      </c>
      <c r="G263" s="118" t="s">
        <v>1365</v>
      </c>
      <c r="H263" s="118" t="s">
        <v>15</v>
      </c>
      <c r="I263" s="118" t="s">
        <v>302</v>
      </c>
      <c r="J263" s="118" t="s">
        <v>1361</v>
      </c>
      <c r="K263" s="118" t="s">
        <v>1364</v>
      </c>
      <c r="L263" s="118"/>
      <c r="M263" s="118"/>
      <c r="N263" s="42"/>
      <c r="O263" s="42" t="s">
        <v>193</v>
      </c>
      <c r="P263" s="42" t="s">
        <v>194</v>
      </c>
      <c r="Q263" s="42"/>
      <c r="R263" s="42"/>
      <c r="S263" s="3"/>
      <c r="T263" s="3"/>
      <c r="U263" s="3"/>
      <c r="V263" s="3"/>
      <c r="W263" s="3"/>
      <c r="X263" s="3"/>
      <c r="Y263" s="3"/>
      <c r="Z263" s="3"/>
      <c r="AA263" s="3"/>
      <c r="AB263" s="3"/>
      <c r="AC263" s="3"/>
      <c r="AD263" s="3"/>
      <c r="AE263" s="3"/>
      <c r="AF263" s="3"/>
      <c r="AG263" s="3"/>
      <c r="AH263" s="3"/>
      <c r="AI263" s="3"/>
      <c r="AJ263" s="3"/>
      <c r="AK263" s="3"/>
      <c r="AL263" s="3"/>
    </row>
    <row r="264" spans="1:38" ht="14.25" customHeight="1" x14ac:dyDescent="0.2">
      <c r="A264" s="118" t="s">
        <v>1366</v>
      </c>
      <c r="B264" s="118" t="s">
        <v>1367</v>
      </c>
      <c r="C264" s="118">
        <v>2025</v>
      </c>
      <c r="D264" s="118" t="s">
        <v>394</v>
      </c>
      <c r="E264" s="118" t="s">
        <v>1369</v>
      </c>
      <c r="F264" s="118" t="s">
        <v>1370</v>
      </c>
      <c r="G264" s="118" t="s">
        <v>274</v>
      </c>
      <c r="H264" s="118" t="s">
        <v>15</v>
      </c>
      <c r="I264" s="118" t="s">
        <v>253</v>
      </c>
      <c r="J264" s="118" t="s">
        <v>1368</v>
      </c>
      <c r="K264" s="118" t="s">
        <v>1371</v>
      </c>
      <c r="L264" s="118"/>
      <c r="M264" s="118"/>
      <c r="N264" s="42"/>
      <c r="O264" s="42" t="s">
        <v>193</v>
      </c>
      <c r="P264" s="42" t="s">
        <v>194</v>
      </c>
      <c r="Q264" s="42"/>
      <c r="R264" s="42"/>
      <c r="S264" s="3"/>
      <c r="T264" s="3"/>
      <c r="U264" s="3"/>
      <c r="V264" s="3"/>
      <c r="W264" s="3"/>
      <c r="X264" s="3"/>
      <c r="Y264" s="3"/>
      <c r="Z264" s="3"/>
      <c r="AA264" s="3"/>
      <c r="AB264" s="3"/>
      <c r="AC264" s="3"/>
      <c r="AD264" s="3"/>
      <c r="AE264" s="3"/>
      <c r="AF264" s="3"/>
      <c r="AG264" s="3"/>
      <c r="AH264" s="3"/>
      <c r="AI264" s="3"/>
      <c r="AJ264" s="3"/>
      <c r="AK264" s="3"/>
      <c r="AL264" s="3"/>
    </row>
    <row r="265" spans="1:38" ht="14.25" customHeight="1" x14ac:dyDescent="0.2">
      <c r="A265" s="118" t="s">
        <v>1372</v>
      </c>
      <c r="B265" s="118" t="s">
        <v>1373</v>
      </c>
      <c r="C265" s="118">
        <v>2024</v>
      </c>
      <c r="D265" s="118" t="s">
        <v>1360</v>
      </c>
      <c r="E265" s="118" t="s">
        <v>1375</v>
      </c>
      <c r="F265" s="118" t="s">
        <v>1376</v>
      </c>
      <c r="G265" s="118" t="s">
        <v>1365</v>
      </c>
      <c r="H265" s="118" t="s">
        <v>15</v>
      </c>
      <c r="I265" s="118" t="s">
        <v>302</v>
      </c>
      <c r="J265" s="118" t="s">
        <v>1374</v>
      </c>
      <c r="K265" s="118" t="s">
        <v>1377</v>
      </c>
      <c r="L265" s="118"/>
      <c r="M265" s="118"/>
      <c r="N265" s="42"/>
      <c r="O265" s="42" t="s">
        <v>193</v>
      </c>
      <c r="P265" s="42" t="s">
        <v>194</v>
      </c>
      <c r="Q265" s="42"/>
      <c r="R265" s="42"/>
      <c r="S265" s="3"/>
      <c r="T265" s="3"/>
      <c r="U265" s="3"/>
      <c r="V265" s="3"/>
      <c r="W265" s="3"/>
      <c r="X265" s="3"/>
      <c r="Y265" s="3"/>
      <c r="Z265" s="3"/>
      <c r="AA265" s="3"/>
      <c r="AB265" s="3"/>
      <c r="AC265" s="3"/>
      <c r="AD265" s="3"/>
      <c r="AE265" s="3"/>
      <c r="AF265" s="3"/>
      <c r="AG265" s="3"/>
      <c r="AH265" s="3"/>
      <c r="AI265" s="3"/>
      <c r="AJ265" s="3"/>
      <c r="AK265" s="3"/>
      <c r="AL265" s="3"/>
    </row>
    <row r="266" spans="1:38" ht="14.25" customHeight="1" x14ac:dyDescent="0.2">
      <c r="A266" s="118" t="s">
        <v>1378</v>
      </c>
      <c r="B266" s="118" t="s">
        <v>1379</v>
      </c>
      <c r="C266" s="118">
        <v>2024</v>
      </c>
      <c r="D266" s="118" t="s">
        <v>233</v>
      </c>
      <c r="E266" s="118" t="s">
        <v>1381</v>
      </c>
      <c r="F266" s="118" t="s">
        <v>1382</v>
      </c>
      <c r="G266" s="118" t="s">
        <v>238</v>
      </c>
      <c r="H266" s="118" t="s">
        <v>15</v>
      </c>
      <c r="I266" s="118" t="s">
        <v>230</v>
      </c>
      <c r="J266" s="118" t="s">
        <v>1380</v>
      </c>
      <c r="K266" s="118" t="s">
        <v>1383</v>
      </c>
      <c r="L266" s="118"/>
      <c r="M266" s="118"/>
      <c r="N266" s="42"/>
      <c r="O266" s="42" t="s">
        <v>193</v>
      </c>
      <c r="P266" s="42" t="s">
        <v>194</v>
      </c>
      <c r="Q266" s="42"/>
      <c r="R266" s="42"/>
      <c r="S266" s="3"/>
      <c r="T266" s="3"/>
      <c r="U266" s="3"/>
      <c r="V266" s="3"/>
      <c r="W266" s="3"/>
      <c r="X266" s="3"/>
      <c r="Y266" s="3"/>
      <c r="Z266" s="3"/>
      <c r="AA266" s="3"/>
      <c r="AB266" s="3"/>
      <c r="AC266" s="3"/>
      <c r="AD266" s="3"/>
      <c r="AE266" s="3"/>
      <c r="AF266" s="3"/>
      <c r="AG266" s="3"/>
      <c r="AH266" s="3"/>
      <c r="AI266" s="3"/>
      <c r="AJ266" s="3"/>
      <c r="AK266" s="3"/>
      <c r="AL266" s="3"/>
    </row>
    <row r="267" spans="1:38" ht="14.25" customHeight="1" x14ac:dyDescent="0.2">
      <c r="A267" s="118" t="s">
        <v>1384</v>
      </c>
      <c r="B267" s="118" t="s">
        <v>1385</v>
      </c>
      <c r="C267" s="118">
        <v>2025</v>
      </c>
      <c r="D267" s="118" t="s">
        <v>233</v>
      </c>
      <c r="E267" s="118" t="s">
        <v>1387</v>
      </c>
      <c r="F267" s="118" t="s">
        <v>1388</v>
      </c>
      <c r="G267" s="118" t="s">
        <v>238</v>
      </c>
      <c r="H267" s="118" t="s">
        <v>15</v>
      </c>
      <c r="I267" s="118" t="s">
        <v>230</v>
      </c>
      <c r="J267" s="118" t="s">
        <v>1386</v>
      </c>
      <c r="K267" s="118" t="s">
        <v>697</v>
      </c>
      <c r="L267" s="118"/>
      <c r="M267" s="118"/>
      <c r="N267" s="42"/>
      <c r="O267" s="42" t="s">
        <v>193</v>
      </c>
      <c r="P267" s="42" t="s">
        <v>194</v>
      </c>
      <c r="Q267" s="42"/>
      <c r="R267" s="42"/>
      <c r="S267" s="3"/>
      <c r="T267" s="3"/>
      <c r="U267" s="3"/>
      <c r="V267" s="3"/>
      <c r="W267" s="3"/>
      <c r="X267" s="3"/>
      <c r="Y267" s="3"/>
      <c r="Z267" s="3"/>
      <c r="AA267" s="3"/>
      <c r="AB267" s="3"/>
      <c r="AC267" s="3"/>
      <c r="AD267" s="3"/>
      <c r="AE267" s="3"/>
      <c r="AF267" s="3"/>
      <c r="AG267" s="3"/>
      <c r="AH267" s="3"/>
      <c r="AI267" s="3"/>
      <c r="AJ267" s="3"/>
      <c r="AK267" s="3"/>
      <c r="AL267" s="3"/>
    </row>
    <row r="268" spans="1:38" ht="14.25" customHeight="1" x14ac:dyDescent="0.2">
      <c r="A268" s="118" t="s">
        <v>1389</v>
      </c>
      <c r="B268" s="118" t="s">
        <v>1390</v>
      </c>
      <c r="C268" s="118">
        <v>2025</v>
      </c>
      <c r="D268" s="118" t="s">
        <v>1391</v>
      </c>
      <c r="E268" s="118" t="s">
        <v>1393</v>
      </c>
      <c r="F268" s="118" t="s">
        <v>1394</v>
      </c>
      <c r="G268" s="118" t="s">
        <v>1395</v>
      </c>
      <c r="H268" s="118" t="s">
        <v>15</v>
      </c>
      <c r="I268" s="118" t="s">
        <v>253</v>
      </c>
      <c r="J268" s="118" t="s">
        <v>1392</v>
      </c>
      <c r="K268" s="118" t="s">
        <v>1821</v>
      </c>
      <c r="L268" s="118"/>
      <c r="M268" s="118"/>
      <c r="N268" s="42"/>
      <c r="O268" s="42" t="s">
        <v>193</v>
      </c>
      <c r="P268" s="42" t="s">
        <v>194</v>
      </c>
      <c r="Q268" s="42"/>
      <c r="R268" s="42"/>
      <c r="S268" s="3"/>
      <c r="T268" s="3"/>
      <c r="U268" s="3"/>
      <c r="V268" s="3"/>
      <c r="W268" s="3"/>
      <c r="X268" s="3"/>
      <c r="Y268" s="3"/>
      <c r="Z268" s="3"/>
      <c r="AA268" s="3"/>
      <c r="AB268" s="3"/>
      <c r="AC268" s="3"/>
      <c r="AD268" s="3"/>
      <c r="AE268" s="3"/>
      <c r="AF268" s="3"/>
      <c r="AG268" s="3"/>
      <c r="AH268" s="3"/>
      <c r="AI268" s="3"/>
      <c r="AJ268" s="3"/>
      <c r="AK268" s="3"/>
      <c r="AL268" s="3"/>
    </row>
    <row r="269" spans="1:38" ht="14.25" customHeight="1" x14ac:dyDescent="0.2">
      <c r="A269" s="118" t="s">
        <v>1396</v>
      </c>
      <c r="B269" s="118" t="s">
        <v>1397</v>
      </c>
      <c r="C269" s="118">
        <v>2024</v>
      </c>
      <c r="D269" s="118" t="s">
        <v>233</v>
      </c>
      <c r="E269" s="118" t="s">
        <v>1399</v>
      </c>
      <c r="F269" s="118" t="s">
        <v>1400</v>
      </c>
      <c r="G269" s="118" t="s">
        <v>238</v>
      </c>
      <c r="H269" s="118" t="s">
        <v>15</v>
      </c>
      <c r="I269" s="118" t="s">
        <v>230</v>
      </c>
      <c r="J269" s="118" t="s">
        <v>1398</v>
      </c>
      <c r="K269" s="118" t="s">
        <v>1401</v>
      </c>
      <c r="L269" s="118"/>
      <c r="M269" s="118"/>
      <c r="N269" s="42"/>
      <c r="O269" s="42" t="s">
        <v>193</v>
      </c>
      <c r="P269" s="42" t="s">
        <v>194</v>
      </c>
      <c r="Q269" s="42"/>
      <c r="R269" s="42"/>
      <c r="S269" s="3"/>
      <c r="T269" s="3"/>
      <c r="U269" s="3"/>
      <c r="V269" s="3"/>
      <c r="W269" s="3"/>
      <c r="X269" s="3"/>
      <c r="Y269" s="3"/>
      <c r="Z269" s="3"/>
      <c r="AA269" s="3"/>
      <c r="AB269" s="3"/>
      <c r="AC269" s="3"/>
      <c r="AD269" s="3"/>
      <c r="AE269" s="3"/>
      <c r="AF269" s="3"/>
      <c r="AG269" s="3"/>
      <c r="AH269" s="3"/>
      <c r="AI269" s="3"/>
      <c r="AJ269" s="3"/>
      <c r="AK269" s="3"/>
      <c r="AL269" s="3"/>
    </row>
    <row r="270" spans="1:38" ht="14.25" customHeight="1" x14ac:dyDescent="0.2">
      <c r="A270" s="118" t="s">
        <v>1402</v>
      </c>
      <c r="B270" s="118" t="s">
        <v>1403</v>
      </c>
      <c r="C270" s="118">
        <v>2025</v>
      </c>
      <c r="D270" s="118" t="s">
        <v>233</v>
      </c>
      <c r="E270" s="118" t="s">
        <v>1405</v>
      </c>
      <c r="F270" s="118" t="s">
        <v>1406</v>
      </c>
      <c r="G270" s="118" t="s">
        <v>238</v>
      </c>
      <c r="H270" s="118" t="s">
        <v>15</v>
      </c>
      <c r="I270" s="118" t="s">
        <v>230</v>
      </c>
      <c r="J270" s="118" t="s">
        <v>1404</v>
      </c>
      <c r="K270" s="118" t="s">
        <v>1407</v>
      </c>
      <c r="L270" s="118"/>
      <c r="M270" s="118"/>
      <c r="N270" s="42"/>
      <c r="O270" s="42" t="s">
        <v>193</v>
      </c>
      <c r="P270" s="42" t="s">
        <v>194</v>
      </c>
      <c r="Q270" s="42"/>
      <c r="R270" s="42"/>
      <c r="S270" s="3"/>
      <c r="T270" s="3"/>
      <c r="U270" s="3"/>
      <c r="V270" s="3"/>
      <c r="W270" s="3"/>
      <c r="X270" s="3"/>
      <c r="Y270" s="3"/>
      <c r="Z270" s="3"/>
      <c r="AA270" s="3"/>
      <c r="AB270" s="3"/>
      <c r="AC270" s="3"/>
      <c r="AD270" s="3"/>
      <c r="AE270" s="3"/>
      <c r="AF270" s="3"/>
      <c r="AG270" s="3"/>
      <c r="AH270" s="3"/>
      <c r="AI270" s="3"/>
      <c r="AJ270" s="3"/>
      <c r="AK270" s="3"/>
      <c r="AL270" s="3"/>
    </row>
    <row r="271" spans="1:38" ht="14.25" customHeight="1" x14ac:dyDescent="0.2">
      <c r="A271" s="118">
        <v>0</v>
      </c>
      <c r="B271" s="118" t="s">
        <v>994</v>
      </c>
      <c r="C271" s="118">
        <v>2024</v>
      </c>
      <c r="D271" s="118" t="s">
        <v>523</v>
      </c>
      <c r="E271" s="118" t="s">
        <v>1408</v>
      </c>
      <c r="F271" s="118">
        <v>0</v>
      </c>
      <c r="G271" s="118" t="s">
        <v>228</v>
      </c>
      <c r="H271" s="118" t="s">
        <v>15</v>
      </c>
      <c r="I271" s="118" t="s">
        <v>391</v>
      </c>
      <c r="J271" s="118">
        <v>0</v>
      </c>
      <c r="K271" s="118">
        <v>0</v>
      </c>
      <c r="L271" s="118"/>
      <c r="M271" s="118"/>
      <c r="N271" s="42"/>
      <c r="O271" s="42" t="s">
        <v>193</v>
      </c>
      <c r="P271" s="42" t="s">
        <v>194</v>
      </c>
      <c r="Q271" s="42"/>
      <c r="R271" s="42"/>
      <c r="S271" s="3"/>
      <c r="T271" s="3"/>
      <c r="U271" s="3"/>
      <c r="V271" s="3"/>
      <c r="W271" s="3"/>
      <c r="X271" s="3"/>
      <c r="Y271" s="3"/>
      <c r="Z271" s="3"/>
      <c r="AA271" s="3"/>
      <c r="AB271" s="3"/>
      <c r="AC271" s="3"/>
      <c r="AD271" s="3"/>
      <c r="AE271" s="3"/>
      <c r="AF271" s="3"/>
      <c r="AG271" s="3"/>
      <c r="AH271" s="3"/>
      <c r="AI271" s="3"/>
      <c r="AJ271" s="3"/>
      <c r="AK271" s="3"/>
      <c r="AL271" s="3"/>
    </row>
    <row r="272" spans="1:38" ht="14.25" customHeight="1" x14ac:dyDescent="0.2">
      <c r="A272" s="118" t="s">
        <v>1409</v>
      </c>
      <c r="B272" s="118" t="s">
        <v>1410</v>
      </c>
      <c r="C272" s="118">
        <v>2025</v>
      </c>
      <c r="D272" s="118" t="s">
        <v>233</v>
      </c>
      <c r="E272" s="118" t="s">
        <v>1412</v>
      </c>
      <c r="F272" s="118" t="s">
        <v>1413</v>
      </c>
      <c r="G272" s="118" t="s">
        <v>238</v>
      </c>
      <c r="H272" s="118" t="s">
        <v>15</v>
      </c>
      <c r="I272" s="118" t="s">
        <v>230</v>
      </c>
      <c r="J272" s="118" t="s">
        <v>1411</v>
      </c>
      <c r="K272" s="118" t="s">
        <v>1414</v>
      </c>
      <c r="L272" s="118"/>
      <c r="M272" s="118"/>
      <c r="N272" s="42"/>
      <c r="O272" s="42" t="s">
        <v>193</v>
      </c>
      <c r="P272" s="42" t="s">
        <v>194</v>
      </c>
      <c r="Q272" s="42"/>
      <c r="R272" s="42"/>
      <c r="S272" s="3"/>
      <c r="T272" s="3"/>
      <c r="U272" s="3"/>
      <c r="V272" s="3"/>
      <c r="W272" s="3"/>
      <c r="X272" s="3"/>
      <c r="Y272" s="3"/>
      <c r="Z272" s="3"/>
      <c r="AA272" s="3"/>
      <c r="AB272" s="3"/>
      <c r="AC272" s="3"/>
      <c r="AD272" s="3"/>
      <c r="AE272" s="3"/>
      <c r="AF272" s="3"/>
      <c r="AG272" s="3"/>
      <c r="AH272" s="3"/>
      <c r="AI272" s="3"/>
      <c r="AJ272" s="3"/>
      <c r="AK272" s="3"/>
      <c r="AL272" s="3"/>
    </row>
    <row r="273" spans="1:38" ht="14.25" customHeight="1" x14ac:dyDescent="0.2">
      <c r="A273" s="118" t="s">
        <v>1415</v>
      </c>
      <c r="B273" s="118" t="s">
        <v>1416</v>
      </c>
      <c r="C273" s="118">
        <v>2024</v>
      </c>
      <c r="D273" s="118" t="s">
        <v>233</v>
      </c>
      <c r="E273" s="118" t="s">
        <v>1418</v>
      </c>
      <c r="F273" s="118" t="s">
        <v>1419</v>
      </c>
      <c r="G273" s="118" t="s">
        <v>238</v>
      </c>
      <c r="H273" s="118" t="s">
        <v>15</v>
      </c>
      <c r="I273" s="118" t="s">
        <v>230</v>
      </c>
      <c r="J273" s="118" t="s">
        <v>1417</v>
      </c>
      <c r="K273" s="118" t="s">
        <v>1420</v>
      </c>
      <c r="L273" s="118"/>
      <c r="M273" s="118"/>
      <c r="N273" s="42"/>
      <c r="O273" s="42" t="s">
        <v>193</v>
      </c>
      <c r="P273" s="42" t="s">
        <v>194</v>
      </c>
      <c r="Q273" s="42"/>
      <c r="R273" s="42"/>
      <c r="S273" s="3"/>
      <c r="T273" s="3"/>
      <c r="U273" s="3"/>
      <c r="V273" s="3"/>
      <c r="W273" s="3"/>
      <c r="X273" s="3"/>
      <c r="Y273" s="3"/>
      <c r="Z273" s="3"/>
      <c r="AA273" s="3"/>
      <c r="AB273" s="3"/>
      <c r="AC273" s="3"/>
      <c r="AD273" s="3"/>
      <c r="AE273" s="3"/>
      <c r="AF273" s="3"/>
      <c r="AG273" s="3"/>
      <c r="AH273" s="3"/>
      <c r="AI273" s="3"/>
      <c r="AJ273" s="3"/>
      <c r="AK273" s="3"/>
      <c r="AL273" s="3"/>
    </row>
    <row r="274" spans="1:38" ht="14.25" customHeight="1" x14ac:dyDescent="0.2">
      <c r="A274" s="118" t="s">
        <v>1421</v>
      </c>
      <c r="B274" s="118" t="s">
        <v>1422</v>
      </c>
      <c r="C274" s="118">
        <v>2023</v>
      </c>
      <c r="D274" s="118" t="s">
        <v>277</v>
      </c>
      <c r="E274" s="118" t="s">
        <v>1424</v>
      </c>
      <c r="F274" s="118" t="s">
        <v>1425</v>
      </c>
      <c r="G274" s="118" t="s">
        <v>586</v>
      </c>
      <c r="H274" s="118" t="s">
        <v>15</v>
      </c>
      <c r="I274" s="118" t="s">
        <v>253</v>
      </c>
      <c r="J274" s="118" t="s">
        <v>1423</v>
      </c>
      <c r="K274" s="118" t="s">
        <v>1822</v>
      </c>
      <c r="L274" s="118"/>
      <c r="M274" s="118"/>
      <c r="N274" s="42"/>
      <c r="O274" s="42" t="s">
        <v>193</v>
      </c>
      <c r="P274" s="42" t="s">
        <v>194</v>
      </c>
      <c r="Q274" s="42"/>
      <c r="R274" s="42"/>
      <c r="S274" s="3"/>
      <c r="T274" s="3"/>
      <c r="U274" s="3"/>
      <c r="V274" s="3"/>
      <c r="W274" s="3"/>
      <c r="X274" s="3"/>
      <c r="Y274" s="3"/>
      <c r="Z274" s="3"/>
      <c r="AA274" s="3"/>
      <c r="AB274" s="3"/>
      <c r="AC274" s="3"/>
      <c r="AD274" s="3"/>
      <c r="AE274" s="3"/>
      <c r="AF274" s="3"/>
      <c r="AG274" s="3"/>
      <c r="AH274" s="3"/>
      <c r="AI274" s="3"/>
      <c r="AJ274" s="3"/>
      <c r="AK274" s="3"/>
      <c r="AL274" s="3"/>
    </row>
    <row r="275" spans="1:38" ht="14.25" customHeight="1" x14ac:dyDescent="0.2">
      <c r="A275" s="118">
        <v>0</v>
      </c>
      <c r="B275" s="118" t="s">
        <v>1426</v>
      </c>
      <c r="C275" s="118">
        <v>2022</v>
      </c>
      <c r="D275" s="118" t="s">
        <v>607</v>
      </c>
      <c r="E275" s="118" t="s">
        <v>1427</v>
      </c>
      <c r="F275" s="118">
        <v>0</v>
      </c>
      <c r="G275" s="118" t="s">
        <v>610</v>
      </c>
      <c r="H275" s="118" t="s">
        <v>15</v>
      </c>
      <c r="I275" s="118" t="s">
        <v>391</v>
      </c>
      <c r="J275" s="118">
        <v>0</v>
      </c>
      <c r="K275" s="118">
        <v>0</v>
      </c>
      <c r="L275" s="118"/>
      <c r="M275" s="118"/>
      <c r="N275" s="42"/>
      <c r="O275" s="42" t="s">
        <v>193</v>
      </c>
      <c r="P275" s="42" t="s">
        <v>194</v>
      </c>
      <c r="Q275" s="42"/>
      <c r="R275" s="42"/>
      <c r="S275" s="3"/>
      <c r="T275" s="3"/>
      <c r="U275" s="3"/>
      <c r="V275" s="3"/>
      <c r="W275" s="3"/>
      <c r="X275" s="3"/>
      <c r="Y275" s="3"/>
      <c r="Z275" s="3"/>
      <c r="AA275" s="3"/>
      <c r="AB275" s="3"/>
      <c r="AC275" s="3"/>
      <c r="AD275" s="3"/>
      <c r="AE275" s="3"/>
      <c r="AF275" s="3"/>
      <c r="AG275" s="3"/>
      <c r="AH275" s="3"/>
      <c r="AI275" s="3"/>
      <c r="AJ275" s="3"/>
      <c r="AK275" s="3"/>
      <c r="AL275" s="3"/>
    </row>
    <row r="276" spans="1:38" ht="14.25" customHeight="1" x14ac:dyDescent="0.2">
      <c r="A276" s="118" t="s">
        <v>1428</v>
      </c>
      <c r="B276" s="118" t="s">
        <v>1429</v>
      </c>
      <c r="C276" s="118">
        <v>2024</v>
      </c>
      <c r="D276" s="118" t="s">
        <v>509</v>
      </c>
      <c r="E276" s="118" t="s">
        <v>1431</v>
      </c>
      <c r="F276" s="118" t="s">
        <v>1432</v>
      </c>
      <c r="G276" s="118" t="s">
        <v>228</v>
      </c>
      <c r="H276" s="118" t="s">
        <v>15</v>
      </c>
      <c r="I276" s="118" t="s">
        <v>230</v>
      </c>
      <c r="J276" s="118" t="s">
        <v>1430</v>
      </c>
      <c r="K276" s="118" t="s">
        <v>1433</v>
      </c>
      <c r="L276" s="118"/>
      <c r="M276" s="118"/>
      <c r="N276" s="42"/>
      <c r="O276" s="42" t="s">
        <v>193</v>
      </c>
      <c r="P276" s="42" t="s">
        <v>194</v>
      </c>
      <c r="Q276" s="42"/>
      <c r="R276" s="42"/>
      <c r="S276" s="3"/>
      <c r="T276" s="3"/>
      <c r="U276" s="3"/>
      <c r="V276" s="3"/>
      <c r="W276" s="3"/>
      <c r="X276" s="3"/>
      <c r="Y276" s="3"/>
      <c r="Z276" s="3"/>
      <c r="AA276" s="3"/>
      <c r="AB276" s="3"/>
      <c r="AC276" s="3"/>
      <c r="AD276" s="3"/>
      <c r="AE276" s="3"/>
      <c r="AF276" s="3"/>
      <c r="AG276" s="3"/>
      <c r="AH276" s="3"/>
      <c r="AI276" s="3"/>
      <c r="AJ276" s="3"/>
      <c r="AK276" s="3"/>
      <c r="AL276" s="3"/>
    </row>
    <row r="277" spans="1:38" ht="14.25" customHeight="1" x14ac:dyDescent="0.2">
      <c r="A277" s="118" t="s">
        <v>1434</v>
      </c>
      <c r="B277" s="118" t="s">
        <v>1435</v>
      </c>
      <c r="C277" s="118">
        <v>2023</v>
      </c>
      <c r="D277" s="118" t="s">
        <v>233</v>
      </c>
      <c r="E277" s="118" t="s">
        <v>1437</v>
      </c>
      <c r="F277" s="118" t="s">
        <v>1438</v>
      </c>
      <c r="G277" s="118" t="s">
        <v>238</v>
      </c>
      <c r="H277" s="118" t="s">
        <v>15</v>
      </c>
      <c r="I277" s="118" t="s">
        <v>230</v>
      </c>
      <c r="J277" s="118" t="s">
        <v>1436</v>
      </c>
      <c r="K277" s="118" t="s">
        <v>1439</v>
      </c>
      <c r="L277" s="118"/>
      <c r="M277" s="118"/>
      <c r="N277" s="42"/>
      <c r="O277" s="42" t="s">
        <v>193</v>
      </c>
      <c r="P277" s="42" t="s">
        <v>194</v>
      </c>
      <c r="Q277" s="42"/>
      <c r="R277" s="42"/>
      <c r="S277" s="3"/>
      <c r="T277" s="3"/>
      <c r="U277" s="3"/>
      <c r="V277" s="3"/>
      <c r="W277" s="3"/>
      <c r="X277" s="3"/>
      <c r="Y277" s="3"/>
      <c r="Z277" s="3"/>
      <c r="AA277" s="3"/>
      <c r="AB277" s="3"/>
      <c r="AC277" s="3"/>
      <c r="AD277" s="3"/>
      <c r="AE277" s="3"/>
      <c r="AF277" s="3"/>
      <c r="AG277" s="3"/>
      <c r="AH277" s="3"/>
      <c r="AI277" s="3"/>
      <c r="AJ277" s="3"/>
      <c r="AK277" s="3"/>
      <c r="AL277" s="3"/>
    </row>
    <row r="278" spans="1:38" ht="14.25" customHeight="1" x14ac:dyDescent="0.2">
      <c r="A278" s="118" t="s">
        <v>1440</v>
      </c>
      <c r="B278" s="118" t="s">
        <v>1441</v>
      </c>
      <c r="C278" s="118">
        <v>2023</v>
      </c>
      <c r="D278" s="118" t="s">
        <v>233</v>
      </c>
      <c r="E278" s="118" t="s">
        <v>1443</v>
      </c>
      <c r="F278" s="118" t="s">
        <v>1444</v>
      </c>
      <c r="G278" s="118" t="s">
        <v>238</v>
      </c>
      <c r="H278" s="118" t="s">
        <v>15</v>
      </c>
      <c r="I278" s="118" t="s">
        <v>230</v>
      </c>
      <c r="J278" s="118" t="s">
        <v>1442</v>
      </c>
      <c r="K278" s="118" t="s">
        <v>1445</v>
      </c>
      <c r="L278" s="118"/>
      <c r="M278" s="118"/>
      <c r="N278" s="42"/>
      <c r="O278" s="42" t="s">
        <v>193</v>
      </c>
      <c r="P278" s="42" t="s">
        <v>194</v>
      </c>
      <c r="Q278" s="42"/>
      <c r="R278" s="42"/>
      <c r="S278" s="3"/>
      <c r="T278" s="3"/>
      <c r="U278" s="3"/>
      <c r="V278" s="3"/>
      <c r="W278" s="3"/>
      <c r="X278" s="3"/>
      <c r="Y278" s="3"/>
      <c r="Z278" s="3"/>
      <c r="AA278" s="3"/>
      <c r="AB278" s="3"/>
      <c r="AC278" s="3"/>
      <c r="AD278" s="3"/>
      <c r="AE278" s="3"/>
      <c r="AF278" s="3"/>
      <c r="AG278" s="3"/>
      <c r="AH278" s="3"/>
      <c r="AI278" s="3"/>
      <c r="AJ278" s="3"/>
      <c r="AK278" s="3"/>
      <c r="AL278" s="3"/>
    </row>
    <row r="279" spans="1:38" ht="14.25" customHeight="1" x14ac:dyDescent="0.2">
      <c r="A279" s="118" t="s">
        <v>1446</v>
      </c>
      <c r="B279" s="118" t="s">
        <v>1447</v>
      </c>
      <c r="C279" s="118">
        <v>2024</v>
      </c>
      <c r="D279" s="118" t="s">
        <v>233</v>
      </c>
      <c r="E279" s="118" t="s">
        <v>1449</v>
      </c>
      <c r="F279" s="118" t="s">
        <v>1450</v>
      </c>
      <c r="G279" s="118" t="s">
        <v>238</v>
      </c>
      <c r="H279" s="118" t="s">
        <v>15</v>
      </c>
      <c r="I279" s="118" t="s">
        <v>230</v>
      </c>
      <c r="J279" s="118" t="s">
        <v>1448</v>
      </c>
      <c r="K279" s="118" t="s">
        <v>1451</v>
      </c>
      <c r="L279" s="118"/>
      <c r="M279" s="118"/>
      <c r="N279" s="42"/>
      <c r="O279" s="42" t="s">
        <v>193</v>
      </c>
      <c r="P279" s="42" t="s">
        <v>194</v>
      </c>
      <c r="Q279" s="42"/>
      <c r="R279" s="42"/>
      <c r="S279" s="3"/>
      <c r="T279" s="3"/>
      <c r="U279" s="3"/>
      <c r="V279" s="3"/>
      <c r="W279" s="3"/>
      <c r="X279" s="3"/>
      <c r="Y279" s="3"/>
      <c r="Z279" s="3"/>
      <c r="AA279" s="3"/>
      <c r="AB279" s="3"/>
      <c r="AC279" s="3"/>
      <c r="AD279" s="3"/>
      <c r="AE279" s="3"/>
      <c r="AF279" s="3"/>
      <c r="AG279" s="3"/>
      <c r="AH279" s="3"/>
      <c r="AI279" s="3"/>
      <c r="AJ279" s="3"/>
      <c r="AK279" s="3"/>
      <c r="AL279" s="3"/>
    </row>
    <row r="280" spans="1:38" ht="14.25" customHeight="1" x14ac:dyDescent="0.2">
      <c r="A280" s="118" t="s">
        <v>1452</v>
      </c>
      <c r="B280" s="118" t="s">
        <v>1453</v>
      </c>
      <c r="C280" s="118">
        <v>2024</v>
      </c>
      <c r="D280" s="118" t="s">
        <v>233</v>
      </c>
      <c r="E280" s="118" t="s">
        <v>1455</v>
      </c>
      <c r="F280" s="118" t="s">
        <v>1456</v>
      </c>
      <c r="G280" s="118" t="s">
        <v>238</v>
      </c>
      <c r="H280" s="118" t="s">
        <v>15</v>
      </c>
      <c r="I280" s="118" t="s">
        <v>230</v>
      </c>
      <c r="J280" s="118" t="s">
        <v>1454</v>
      </c>
      <c r="K280" s="118" t="s">
        <v>1457</v>
      </c>
      <c r="L280" s="118"/>
      <c r="M280" s="118"/>
      <c r="N280" s="42"/>
      <c r="O280" s="42" t="s">
        <v>193</v>
      </c>
      <c r="P280" s="42" t="s">
        <v>194</v>
      </c>
      <c r="Q280" s="42"/>
      <c r="R280" s="42"/>
      <c r="S280" s="3"/>
      <c r="T280" s="3"/>
      <c r="U280" s="3"/>
      <c r="V280" s="3"/>
      <c r="W280" s="3"/>
      <c r="X280" s="3"/>
      <c r="Y280" s="3"/>
      <c r="Z280" s="3"/>
      <c r="AA280" s="3"/>
      <c r="AB280" s="3"/>
      <c r="AC280" s="3"/>
      <c r="AD280" s="3"/>
      <c r="AE280" s="3"/>
      <c r="AF280" s="3"/>
      <c r="AG280" s="3"/>
      <c r="AH280" s="3"/>
      <c r="AI280" s="3"/>
      <c r="AJ280" s="3"/>
      <c r="AK280" s="3"/>
      <c r="AL280" s="3"/>
    </row>
    <row r="281" spans="1:38" ht="14.25" customHeight="1" x14ac:dyDescent="0.2">
      <c r="A281" s="118" t="s">
        <v>744</v>
      </c>
      <c r="B281" s="118" t="s">
        <v>1458</v>
      </c>
      <c r="C281" s="118">
        <v>2022</v>
      </c>
      <c r="D281" s="118" t="s">
        <v>1459</v>
      </c>
      <c r="E281" s="118" t="s">
        <v>1461</v>
      </c>
      <c r="F281" s="118" t="s">
        <v>1462</v>
      </c>
      <c r="G281" s="118" t="s">
        <v>473</v>
      </c>
      <c r="H281" s="118" t="s">
        <v>15</v>
      </c>
      <c r="I281" s="118" t="s">
        <v>230</v>
      </c>
      <c r="J281" s="118" t="s">
        <v>1460</v>
      </c>
      <c r="K281" s="118">
        <v>0</v>
      </c>
      <c r="L281" s="118"/>
      <c r="M281" s="118"/>
      <c r="N281" s="42"/>
      <c r="O281" s="42" t="s">
        <v>193</v>
      </c>
      <c r="P281" s="42" t="s">
        <v>194</v>
      </c>
      <c r="Q281" s="42"/>
      <c r="R281" s="42"/>
      <c r="S281" s="3"/>
      <c r="T281" s="3"/>
      <c r="U281" s="3"/>
      <c r="V281" s="3"/>
      <c r="W281" s="3"/>
      <c r="X281" s="3"/>
      <c r="Y281" s="3"/>
      <c r="Z281" s="3"/>
      <c r="AA281" s="3"/>
      <c r="AB281" s="3"/>
      <c r="AC281" s="3"/>
      <c r="AD281" s="3"/>
      <c r="AE281" s="3"/>
      <c r="AF281" s="3"/>
      <c r="AG281" s="3"/>
      <c r="AH281" s="3"/>
      <c r="AI281" s="3"/>
      <c r="AJ281" s="3"/>
      <c r="AK281" s="3"/>
      <c r="AL281" s="3"/>
    </row>
    <row r="282" spans="1:38" ht="14.25" customHeight="1" x14ac:dyDescent="0.2">
      <c r="A282" s="118" t="s">
        <v>1463</v>
      </c>
      <c r="B282" s="118" t="s">
        <v>1464</v>
      </c>
      <c r="C282" s="118">
        <v>2022</v>
      </c>
      <c r="D282" s="118" t="s">
        <v>297</v>
      </c>
      <c r="E282" s="118" t="s">
        <v>1466</v>
      </c>
      <c r="F282" s="118" t="s">
        <v>1467</v>
      </c>
      <c r="G282" s="118" t="s">
        <v>586</v>
      </c>
      <c r="H282" s="118" t="s">
        <v>15</v>
      </c>
      <c r="I282" s="118" t="s">
        <v>253</v>
      </c>
      <c r="J282" s="118" t="s">
        <v>1465</v>
      </c>
      <c r="K282" s="118" t="s">
        <v>1468</v>
      </c>
      <c r="L282" s="118"/>
      <c r="M282" s="118"/>
      <c r="N282" s="42"/>
      <c r="O282" s="42" t="s">
        <v>193</v>
      </c>
      <c r="P282" s="42" t="s">
        <v>194</v>
      </c>
      <c r="Q282" s="42"/>
      <c r="R282" s="42"/>
      <c r="S282" s="3"/>
      <c r="T282" s="3"/>
      <c r="U282" s="3"/>
      <c r="V282" s="3"/>
      <c r="W282" s="3"/>
      <c r="X282" s="3"/>
      <c r="Y282" s="3"/>
      <c r="Z282" s="3"/>
      <c r="AA282" s="3"/>
      <c r="AB282" s="3"/>
      <c r="AC282" s="3"/>
      <c r="AD282" s="3"/>
      <c r="AE282" s="3"/>
      <c r="AF282" s="3"/>
      <c r="AG282" s="3"/>
      <c r="AH282" s="3"/>
      <c r="AI282" s="3"/>
      <c r="AJ282" s="3"/>
      <c r="AK282" s="3"/>
      <c r="AL282" s="3"/>
    </row>
    <row r="283" spans="1:38" ht="14.25" customHeight="1" x14ac:dyDescent="0.2">
      <c r="A283" s="118" t="s">
        <v>1469</v>
      </c>
      <c r="B283" s="118" t="s">
        <v>1470</v>
      </c>
      <c r="C283" s="118">
        <v>2025</v>
      </c>
      <c r="D283" s="118" t="s">
        <v>1003</v>
      </c>
      <c r="E283" s="118" t="s">
        <v>1472</v>
      </c>
      <c r="F283" s="118" t="s">
        <v>1473</v>
      </c>
      <c r="G283" s="118" t="s">
        <v>350</v>
      </c>
      <c r="H283" s="118" t="s">
        <v>15</v>
      </c>
      <c r="I283" s="118" t="s">
        <v>230</v>
      </c>
      <c r="J283" s="118" t="s">
        <v>1471</v>
      </c>
      <c r="K283" s="118" t="s">
        <v>1474</v>
      </c>
      <c r="L283" s="118"/>
      <c r="M283" s="118"/>
      <c r="N283" s="42"/>
      <c r="O283" s="42" t="s">
        <v>193</v>
      </c>
      <c r="P283" s="42" t="s">
        <v>194</v>
      </c>
      <c r="Q283" s="42"/>
      <c r="R283" s="42"/>
      <c r="S283" s="3"/>
      <c r="T283" s="3"/>
      <c r="U283" s="3"/>
      <c r="V283" s="3"/>
      <c r="W283" s="3"/>
      <c r="X283" s="3"/>
      <c r="Y283" s="3"/>
      <c r="Z283" s="3"/>
      <c r="AA283" s="3"/>
      <c r="AB283" s="3"/>
      <c r="AC283" s="3"/>
      <c r="AD283" s="3"/>
      <c r="AE283" s="3"/>
      <c r="AF283" s="3"/>
      <c r="AG283" s="3"/>
      <c r="AH283" s="3"/>
      <c r="AI283" s="3"/>
      <c r="AJ283" s="3"/>
      <c r="AK283" s="3"/>
      <c r="AL283" s="3"/>
    </row>
    <row r="284" spans="1:38" ht="14.25" customHeight="1" x14ac:dyDescent="0.2">
      <c r="A284" s="118" t="s">
        <v>1475</v>
      </c>
      <c r="B284" s="118" t="s">
        <v>1476</v>
      </c>
      <c r="C284" s="118">
        <v>2025</v>
      </c>
      <c r="D284" s="118" t="s">
        <v>233</v>
      </c>
      <c r="E284" s="118" t="s">
        <v>1478</v>
      </c>
      <c r="F284" s="118" t="s">
        <v>1479</v>
      </c>
      <c r="G284" s="118" t="s">
        <v>238</v>
      </c>
      <c r="H284" s="118" t="s">
        <v>15</v>
      </c>
      <c r="I284" s="118" t="s">
        <v>230</v>
      </c>
      <c r="J284" s="118" t="s">
        <v>1477</v>
      </c>
      <c r="K284" s="118" t="s">
        <v>1480</v>
      </c>
      <c r="L284" s="118"/>
      <c r="M284" s="118"/>
      <c r="N284" s="42"/>
      <c r="O284" s="42" t="s">
        <v>193</v>
      </c>
      <c r="P284" s="42" t="s">
        <v>194</v>
      </c>
      <c r="Q284" s="42"/>
      <c r="R284" s="42"/>
      <c r="S284" s="3"/>
      <c r="T284" s="3"/>
      <c r="U284" s="3"/>
      <c r="V284" s="3"/>
      <c r="W284" s="3"/>
      <c r="X284" s="3"/>
      <c r="Y284" s="3"/>
      <c r="Z284" s="3"/>
      <c r="AA284" s="3"/>
      <c r="AB284" s="3"/>
      <c r="AC284" s="3"/>
      <c r="AD284" s="3"/>
      <c r="AE284" s="3"/>
      <c r="AF284" s="3"/>
      <c r="AG284" s="3"/>
      <c r="AH284" s="3"/>
      <c r="AI284" s="3"/>
      <c r="AJ284" s="3"/>
      <c r="AK284" s="3"/>
      <c r="AL284" s="3"/>
    </row>
    <row r="285" spans="1:38" ht="14.25" customHeight="1" x14ac:dyDescent="0.2">
      <c r="A285" s="118" t="s">
        <v>1481</v>
      </c>
      <c r="B285" s="118" t="s">
        <v>1482</v>
      </c>
      <c r="C285" s="118">
        <v>2024</v>
      </c>
      <c r="D285" s="118" t="s">
        <v>233</v>
      </c>
      <c r="E285" s="118" t="s">
        <v>1484</v>
      </c>
      <c r="F285" s="118" t="s">
        <v>1485</v>
      </c>
      <c r="G285" s="118" t="s">
        <v>238</v>
      </c>
      <c r="H285" s="118" t="s">
        <v>15</v>
      </c>
      <c r="I285" s="118" t="s">
        <v>230</v>
      </c>
      <c r="J285" s="118" t="s">
        <v>1483</v>
      </c>
      <c r="K285" s="118" t="s">
        <v>1486</v>
      </c>
      <c r="L285" s="118"/>
      <c r="M285" s="118"/>
      <c r="N285" s="42"/>
      <c r="O285" s="42" t="s">
        <v>193</v>
      </c>
      <c r="P285" s="42" t="s">
        <v>194</v>
      </c>
      <c r="Q285" s="42"/>
      <c r="R285" s="42"/>
      <c r="S285" s="3"/>
      <c r="T285" s="3"/>
      <c r="U285" s="3"/>
      <c r="V285" s="3"/>
      <c r="W285" s="3"/>
      <c r="X285" s="3"/>
      <c r="Y285" s="3"/>
      <c r="Z285" s="3"/>
      <c r="AA285" s="3"/>
      <c r="AB285" s="3"/>
      <c r="AC285" s="3"/>
      <c r="AD285" s="3"/>
      <c r="AE285" s="3"/>
      <c r="AF285" s="3"/>
      <c r="AG285" s="3"/>
      <c r="AH285" s="3"/>
      <c r="AI285" s="3"/>
      <c r="AJ285" s="3"/>
      <c r="AK285" s="3"/>
      <c r="AL285" s="3"/>
    </row>
    <row r="286" spans="1:38" ht="14.25" customHeight="1" x14ac:dyDescent="0.2">
      <c r="A286" s="118" t="s">
        <v>1487</v>
      </c>
      <c r="B286" s="118" t="s">
        <v>1488</v>
      </c>
      <c r="C286" s="118">
        <v>2025</v>
      </c>
      <c r="D286" s="118" t="s">
        <v>233</v>
      </c>
      <c r="E286" s="118" t="s">
        <v>1490</v>
      </c>
      <c r="F286" s="118" t="s">
        <v>1491</v>
      </c>
      <c r="G286" s="118" t="s">
        <v>238</v>
      </c>
      <c r="H286" s="118" t="s">
        <v>15</v>
      </c>
      <c r="I286" s="118" t="s">
        <v>230</v>
      </c>
      <c r="J286" s="118" t="s">
        <v>1489</v>
      </c>
      <c r="K286" s="118" t="s">
        <v>1492</v>
      </c>
      <c r="L286" s="118"/>
      <c r="M286" s="118"/>
      <c r="N286" s="42"/>
      <c r="O286" s="42" t="s">
        <v>193</v>
      </c>
      <c r="P286" s="42" t="s">
        <v>194</v>
      </c>
      <c r="Q286" s="42"/>
      <c r="R286" s="42"/>
      <c r="S286" s="3"/>
      <c r="T286" s="3"/>
      <c r="U286" s="3"/>
      <c r="V286" s="3"/>
      <c r="W286" s="3"/>
      <c r="X286" s="3"/>
      <c r="Y286" s="3"/>
      <c r="Z286" s="3"/>
      <c r="AA286" s="3"/>
      <c r="AB286" s="3"/>
      <c r="AC286" s="3"/>
      <c r="AD286" s="3"/>
      <c r="AE286" s="3"/>
      <c r="AF286" s="3"/>
      <c r="AG286" s="3"/>
      <c r="AH286" s="3"/>
      <c r="AI286" s="3"/>
      <c r="AJ286" s="3"/>
      <c r="AK286" s="3"/>
      <c r="AL286" s="3"/>
    </row>
    <row r="287" spans="1:38" ht="14.25" customHeight="1" x14ac:dyDescent="0.2">
      <c r="A287" s="118" t="s">
        <v>1493</v>
      </c>
      <c r="B287" s="118" t="s">
        <v>1494</v>
      </c>
      <c r="C287" s="118">
        <v>2024</v>
      </c>
      <c r="D287" s="118" t="s">
        <v>223</v>
      </c>
      <c r="E287" s="118" t="s">
        <v>1496</v>
      </c>
      <c r="F287" s="118" t="s">
        <v>1497</v>
      </c>
      <c r="G287" s="118" t="s">
        <v>228</v>
      </c>
      <c r="H287" s="118" t="s">
        <v>15</v>
      </c>
      <c r="I287" s="118" t="s">
        <v>230</v>
      </c>
      <c r="J287" s="118" t="s">
        <v>1495</v>
      </c>
      <c r="K287" s="118" t="s">
        <v>1498</v>
      </c>
      <c r="L287" s="118"/>
      <c r="M287" s="118"/>
      <c r="N287" s="42"/>
      <c r="O287" s="42" t="s">
        <v>193</v>
      </c>
      <c r="P287" s="42" t="s">
        <v>194</v>
      </c>
      <c r="Q287" s="42"/>
      <c r="R287" s="42"/>
      <c r="S287" s="3"/>
      <c r="T287" s="3"/>
      <c r="U287" s="3"/>
      <c r="V287" s="3"/>
      <c r="W287" s="3"/>
      <c r="X287" s="3"/>
      <c r="Y287" s="3"/>
      <c r="Z287" s="3"/>
      <c r="AA287" s="3"/>
      <c r="AB287" s="3"/>
      <c r="AC287" s="3"/>
      <c r="AD287" s="3"/>
      <c r="AE287" s="3"/>
      <c r="AF287" s="3"/>
      <c r="AG287" s="3"/>
      <c r="AH287" s="3"/>
      <c r="AI287" s="3"/>
      <c r="AJ287" s="3"/>
      <c r="AK287" s="3"/>
      <c r="AL287" s="3"/>
    </row>
    <row r="288" spans="1:38" ht="14.25" customHeight="1" x14ac:dyDescent="0.2">
      <c r="A288" s="118" t="s">
        <v>1499</v>
      </c>
      <c r="B288" s="118" t="s">
        <v>1500</v>
      </c>
      <c r="C288" s="118">
        <v>2025</v>
      </c>
      <c r="D288" s="118" t="s">
        <v>1501</v>
      </c>
      <c r="E288" s="118" t="s">
        <v>1823</v>
      </c>
      <c r="F288" s="118" t="s">
        <v>1503</v>
      </c>
      <c r="G288" s="118" t="s">
        <v>987</v>
      </c>
      <c r="H288" s="118" t="s">
        <v>15</v>
      </c>
      <c r="I288" s="118" t="s">
        <v>253</v>
      </c>
      <c r="J288" s="118" t="s">
        <v>1502</v>
      </c>
      <c r="K288" s="118">
        <v>0</v>
      </c>
      <c r="L288" s="118"/>
      <c r="M288" s="118"/>
      <c r="N288" s="42"/>
      <c r="O288" s="42" t="s">
        <v>193</v>
      </c>
      <c r="P288" s="42" t="s">
        <v>194</v>
      </c>
      <c r="Q288" s="42"/>
      <c r="R288" s="42"/>
      <c r="S288" s="3"/>
      <c r="T288" s="3"/>
      <c r="U288" s="3"/>
      <c r="V288" s="3"/>
      <c r="W288" s="3"/>
      <c r="X288" s="3"/>
      <c r="Y288" s="3"/>
      <c r="Z288" s="3"/>
      <c r="AA288" s="3"/>
      <c r="AB288" s="3"/>
      <c r="AC288" s="3"/>
      <c r="AD288" s="3"/>
      <c r="AE288" s="3"/>
      <c r="AF288" s="3"/>
      <c r="AG288" s="3"/>
      <c r="AH288" s="3"/>
      <c r="AI288" s="3"/>
      <c r="AJ288" s="3"/>
      <c r="AK288" s="3"/>
      <c r="AL288" s="3"/>
    </row>
    <row r="289" spans="1:38" ht="14.25" customHeight="1" x14ac:dyDescent="0.2">
      <c r="A289" s="118" t="s">
        <v>1504</v>
      </c>
      <c r="B289" s="118" t="s">
        <v>1505</v>
      </c>
      <c r="C289" s="118">
        <v>2025</v>
      </c>
      <c r="D289" s="118" t="s">
        <v>233</v>
      </c>
      <c r="E289" s="118" t="s">
        <v>1507</v>
      </c>
      <c r="F289" s="118" t="s">
        <v>1508</v>
      </c>
      <c r="G289" s="118" t="s">
        <v>238</v>
      </c>
      <c r="H289" s="118" t="s">
        <v>15</v>
      </c>
      <c r="I289" s="118" t="s">
        <v>230</v>
      </c>
      <c r="J289" s="118" t="s">
        <v>1506</v>
      </c>
      <c r="K289" s="118" t="s">
        <v>1509</v>
      </c>
      <c r="L289" s="118"/>
      <c r="M289" s="118"/>
      <c r="N289" s="42"/>
      <c r="O289" s="42" t="s">
        <v>193</v>
      </c>
      <c r="P289" s="42" t="s">
        <v>194</v>
      </c>
      <c r="Q289" s="42"/>
      <c r="R289" s="42"/>
      <c r="S289" s="3"/>
      <c r="T289" s="3"/>
      <c r="U289" s="3"/>
      <c r="V289" s="3"/>
      <c r="W289" s="3"/>
      <c r="X289" s="3"/>
      <c r="Y289" s="3"/>
      <c r="Z289" s="3"/>
      <c r="AA289" s="3"/>
      <c r="AB289" s="3"/>
      <c r="AC289" s="3"/>
      <c r="AD289" s="3"/>
      <c r="AE289" s="3"/>
      <c r="AF289" s="3"/>
      <c r="AG289" s="3"/>
      <c r="AH289" s="3"/>
      <c r="AI289" s="3"/>
      <c r="AJ289" s="3"/>
      <c r="AK289" s="3"/>
      <c r="AL289" s="3"/>
    </row>
    <row r="290" spans="1:38" ht="14.25" customHeight="1" x14ac:dyDescent="0.2">
      <c r="A290" s="118" t="s">
        <v>1510</v>
      </c>
      <c r="B290" s="118" t="s">
        <v>1511</v>
      </c>
      <c r="C290" s="118">
        <v>2025</v>
      </c>
      <c r="D290" s="118" t="s">
        <v>1512</v>
      </c>
      <c r="E290" s="118" t="s">
        <v>1514</v>
      </c>
      <c r="F290" s="118" t="s">
        <v>1515</v>
      </c>
      <c r="G290" s="118" t="s">
        <v>473</v>
      </c>
      <c r="H290" s="118" t="s">
        <v>15</v>
      </c>
      <c r="I290" s="118" t="s">
        <v>230</v>
      </c>
      <c r="J290" s="118" t="s">
        <v>1513</v>
      </c>
      <c r="K290" s="118">
        <v>0</v>
      </c>
      <c r="L290" s="118"/>
      <c r="M290" s="118"/>
      <c r="N290" s="42"/>
      <c r="O290" s="42" t="s">
        <v>193</v>
      </c>
      <c r="P290" s="42" t="s">
        <v>194</v>
      </c>
      <c r="Q290" s="42"/>
      <c r="R290" s="42"/>
      <c r="S290" s="3"/>
      <c r="T290" s="3"/>
      <c r="U290" s="3"/>
      <c r="V290" s="3"/>
      <c r="W290" s="3"/>
      <c r="X290" s="3"/>
      <c r="Y290" s="3"/>
      <c r="Z290" s="3"/>
      <c r="AA290" s="3"/>
      <c r="AB290" s="3"/>
      <c r="AC290" s="3"/>
      <c r="AD290" s="3"/>
      <c r="AE290" s="3"/>
      <c r="AF290" s="3"/>
      <c r="AG290" s="3"/>
      <c r="AH290" s="3"/>
      <c r="AI290" s="3"/>
      <c r="AJ290" s="3"/>
      <c r="AK290" s="3"/>
      <c r="AL290" s="3"/>
    </row>
    <row r="291" spans="1:38" ht="14.25" customHeight="1" x14ac:dyDescent="0.2">
      <c r="A291" s="118" t="s">
        <v>1516</v>
      </c>
      <c r="B291" s="118" t="s">
        <v>1517</v>
      </c>
      <c r="C291" s="118">
        <v>2023</v>
      </c>
      <c r="D291" s="118" t="s">
        <v>297</v>
      </c>
      <c r="E291" s="118" t="s">
        <v>1519</v>
      </c>
      <c r="F291" s="118" t="s">
        <v>1520</v>
      </c>
      <c r="G291" s="118" t="s">
        <v>282</v>
      </c>
      <c r="H291" s="118" t="s">
        <v>15</v>
      </c>
      <c r="I291" s="118" t="s">
        <v>253</v>
      </c>
      <c r="J291" s="118" t="s">
        <v>1518</v>
      </c>
      <c r="K291" s="118" t="s">
        <v>1521</v>
      </c>
      <c r="L291" s="118"/>
      <c r="M291" s="118"/>
      <c r="N291" s="42"/>
      <c r="O291" s="42" t="s">
        <v>193</v>
      </c>
      <c r="P291" s="42" t="s">
        <v>194</v>
      </c>
      <c r="Q291" s="42"/>
      <c r="R291" s="42"/>
      <c r="S291" s="3"/>
      <c r="T291" s="3"/>
      <c r="U291" s="3"/>
      <c r="V291" s="3"/>
      <c r="W291" s="3"/>
      <c r="X291" s="3"/>
      <c r="Y291" s="3"/>
      <c r="Z291" s="3"/>
      <c r="AA291" s="3"/>
      <c r="AB291" s="3"/>
      <c r="AC291" s="3"/>
      <c r="AD291" s="3"/>
      <c r="AE291" s="3"/>
      <c r="AF291" s="3"/>
      <c r="AG291" s="3"/>
      <c r="AH291" s="3"/>
      <c r="AI291" s="3"/>
      <c r="AJ291" s="3"/>
      <c r="AK291" s="3"/>
      <c r="AL291" s="3"/>
    </row>
    <row r="292" spans="1:38" ht="14.25" customHeight="1" x14ac:dyDescent="0.2">
      <c r="A292" s="118" t="s">
        <v>1522</v>
      </c>
      <c r="B292" s="118" t="s">
        <v>1523</v>
      </c>
      <c r="C292" s="118">
        <v>2023</v>
      </c>
      <c r="D292" s="118" t="s">
        <v>476</v>
      </c>
      <c r="E292" s="118" t="s">
        <v>1525</v>
      </c>
      <c r="F292" s="118" t="s">
        <v>1526</v>
      </c>
      <c r="G292" s="118" t="s">
        <v>228</v>
      </c>
      <c r="H292" s="118" t="s">
        <v>15</v>
      </c>
      <c r="I292" s="118" t="s">
        <v>230</v>
      </c>
      <c r="J292" s="118" t="s">
        <v>1524</v>
      </c>
      <c r="K292" s="118" t="s">
        <v>1527</v>
      </c>
      <c r="L292" s="118"/>
      <c r="M292" s="118"/>
      <c r="N292" s="42"/>
      <c r="O292" s="42" t="s">
        <v>193</v>
      </c>
      <c r="P292" s="42" t="s">
        <v>194</v>
      </c>
      <c r="Q292" s="42"/>
      <c r="R292" s="42"/>
      <c r="S292" s="3"/>
      <c r="T292" s="3"/>
      <c r="U292" s="3"/>
      <c r="V292" s="3"/>
      <c r="W292" s="3"/>
      <c r="X292" s="3"/>
      <c r="Y292" s="3"/>
      <c r="Z292" s="3"/>
      <c r="AA292" s="3"/>
      <c r="AB292" s="3"/>
      <c r="AC292" s="3"/>
      <c r="AD292" s="3"/>
      <c r="AE292" s="3"/>
      <c r="AF292" s="3"/>
      <c r="AG292" s="3"/>
      <c r="AH292" s="3"/>
      <c r="AI292" s="3"/>
      <c r="AJ292" s="3"/>
      <c r="AK292" s="3"/>
      <c r="AL292" s="3"/>
    </row>
    <row r="293" spans="1:38" ht="14.25" customHeight="1" x14ac:dyDescent="0.2">
      <c r="A293" s="118" t="s">
        <v>1346</v>
      </c>
      <c r="B293" s="118" t="s">
        <v>1528</v>
      </c>
      <c r="C293" s="118">
        <v>2023</v>
      </c>
      <c r="D293" s="118" t="s">
        <v>233</v>
      </c>
      <c r="E293" s="118" t="s">
        <v>1530</v>
      </c>
      <c r="F293" s="118" t="s">
        <v>1531</v>
      </c>
      <c r="G293" s="118" t="s">
        <v>238</v>
      </c>
      <c r="H293" s="118" t="s">
        <v>15</v>
      </c>
      <c r="I293" s="118" t="s">
        <v>230</v>
      </c>
      <c r="J293" s="118" t="s">
        <v>1529</v>
      </c>
      <c r="K293" s="118" t="s">
        <v>1532</v>
      </c>
      <c r="L293" s="118"/>
      <c r="M293" s="118"/>
      <c r="N293" s="42"/>
      <c r="O293" s="42" t="s">
        <v>193</v>
      </c>
      <c r="P293" s="42" t="s">
        <v>194</v>
      </c>
      <c r="Q293" s="42"/>
      <c r="R293" s="42"/>
      <c r="S293" s="3"/>
      <c r="T293" s="3"/>
      <c r="U293" s="3"/>
      <c r="V293" s="3"/>
      <c r="W293" s="3"/>
      <c r="X293" s="3"/>
      <c r="Y293" s="3"/>
      <c r="Z293" s="3"/>
      <c r="AA293" s="3"/>
      <c r="AB293" s="3"/>
      <c r="AC293" s="3"/>
      <c r="AD293" s="3"/>
      <c r="AE293" s="3"/>
      <c r="AF293" s="3"/>
      <c r="AG293" s="3"/>
      <c r="AH293" s="3"/>
      <c r="AI293" s="3"/>
      <c r="AJ293" s="3"/>
      <c r="AK293" s="3"/>
      <c r="AL293" s="3"/>
    </row>
    <row r="294" spans="1:38" ht="14.25" customHeight="1" x14ac:dyDescent="0.2">
      <c r="A294" s="118" t="s">
        <v>1533</v>
      </c>
      <c r="B294" s="118" t="s">
        <v>1534</v>
      </c>
      <c r="C294" s="118">
        <v>2024</v>
      </c>
      <c r="D294" s="118" t="s">
        <v>233</v>
      </c>
      <c r="E294" s="118" t="s">
        <v>1536</v>
      </c>
      <c r="F294" s="118" t="s">
        <v>1537</v>
      </c>
      <c r="G294" s="118" t="s">
        <v>238</v>
      </c>
      <c r="H294" s="118" t="s">
        <v>15</v>
      </c>
      <c r="I294" s="118" t="s">
        <v>230</v>
      </c>
      <c r="J294" s="118" t="s">
        <v>1535</v>
      </c>
      <c r="K294" s="118" t="s">
        <v>1538</v>
      </c>
      <c r="L294" s="118"/>
      <c r="M294" s="118"/>
      <c r="N294" s="42"/>
      <c r="O294" s="42" t="s">
        <v>193</v>
      </c>
      <c r="P294" s="42" t="s">
        <v>194</v>
      </c>
      <c r="Q294" s="42"/>
      <c r="R294" s="42"/>
      <c r="S294" s="3"/>
      <c r="T294" s="3"/>
      <c r="U294" s="3"/>
      <c r="V294" s="3"/>
      <c r="W294" s="3"/>
      <c r="X294" s="3"/>
      <c r="Y294" s="3"/>
      <c r="Z294" s="3"/>
      <c r="AA294" s="3"/>
      <c r="AB294" s="3"/>
      <c r="AC294" s="3"/>
      <c r="AD294" s="3"/>
      <c r="AE294" s="3"/>
      <c r="AF294" s="3"/>
      <c r="AG294" s="3"/>
      <c r="AH294" s="3"/>
      <c r="AI294" s="3"/>
      <c r="AJ294" s="3"/>
      <c r="AK294" s="3"/>
      <c r="AL294" s="3"/>
    </row>
    <row r="295" spans="1:38" ht="14.25" customHeight="1" x14ac:dyDescent="0.2">
      <c r="A295" s="118" t="s">
        <v>1539</v>
      </c>
      <c r="B295" s="118" t="s">
        <v>1540</v>
      </c>
      <c r="C295" s="118">
        <v>2025</v>
      </c>
      <c r="D295" s="118" t="s">
        <v>223</v>
      </c>
      <c r="E295" s="118" t="s">
        <v>1542</v>
      </c>
      <c r="F295" s="118" t="s">
        <v>1543</v>
      </c>
      <c r="G295" s="118" t="s">
        <v>228</v>
      </c>
      <c r="H295" s="118" t="s">
        <v>15</v>
      </c>
      <c r="I295" s="118" t="s">
        <v>230</v>
      </c>
      <c r="J295" s="118" t="s">
        <v>1541</v>
      </c>
      <c r="K295" s="118" t="s">
        <v>1826</v>
      </c>
      <c r="L295" s="118"/>
      <c r="M295" s="118"/>
      <c r="N295" s="42"/>
      <c r="O295" s="42" t="s">
        <v>193</v>
      </c>
      <c r="P295" s="42" t="s">
        <v>194</v>
      </c>
      <c r="Q295" s="42"/>
      <c r="R295" s="42"/>
      <c r="S295" s="3"/>
      <c r="T295" s="3"/>
      <c r="U295" s="3"/>
      <c r="V295" s="3"/>
      <c r="W295" s="3"/>
      <c r="X295" s="3"/>
      <c r="Y295" s="3"/>
      <c r="Z295" s="3"/>
      <c r="AA295" s="3"/>
      <c r="AB295" s="3"/>
      <c r="AC295" s="3"/>
      <c r="AD295" s="3"/>
      <c r="AE295" s="3"/>
      <c r="AF295" s="3"/>
      <c r="AG295" s="3"/>
      <c r="AH295" s="3"/>
      <c r="AI295" s="3"/>
      <c r="AJ295" s="3"/>
      <c r="AK295" s="3"/>
      <c r="AL295" s="3"/>
    </row>
    <row r="296" spans="1:38" ht="14.25" customHeight="1" x14ac:dyDescent="0.2">
      <c r="A296" s="118" t="s">
        <v>1544</v>
      </c>
      <c r="B296" s="118" t="s">
        <v>1545</v>
      </c>
      <c r="C296" s="118">
        <v>2023</v>
      </c>
      <c r="D296" s="118" t="s">
        <v>1290</v>
      </c>
      <c r="E296" s="118" t="s">
        <v>1546</v>
      </c>
      <c r="F296" s="118" t="s">
        <v>1547</v>
      </c>
      <c r="G296" s="118" t="s">
        <v>1293</v>
      </c>
      <c r="H296" s="118" t="s">
        <v>15</v>
      </c>
      <c r="I296" s="118" t="s">
        <v>230</v>
      </c>
      <c r="J296" s="118">
        <v>0</v>
      </c>
      <c r="K296" s="118">
        <v>0</v>
      </c>
      <c r="L296" s="118"/>
      <c r="M296" s="118"/>
      <c r="N296" s="42"/>
      <c r="O296" s="42" t="s">
        <v>193</v>
      </c>
      <c r="P296" s="42" t="s">
        <v>194</v>
      </c>
      <c r="Q296" s="42"/>
      <c r="R296" s="42"/>
      <c r="S296" s="3"/>
      <c r="T296" s="3"/>
      <c r="U296" s="3"/>
      <c r="V296" s="3"/>
      <c r="W296" s="3"/>
      <c r="X296" s="3"/>
      <c r="Y296" s="3"/>
      <c r="Z296" s="3"/>
      <c r="AA296" s="3"/>
      <c r="AB296" s="3"/>
      <c r="AC296" s="3"/>
      <c r="AD296" s="3"/>
      <c r="AE296" s="3"/>
      <c r="AF296" s="3"/>
      <c r="AG296" s="3"/>
      <c r="AH296" s="3"/>
      <c r="AI296" s="3"/>
      <c r="AJ296" s="3"/>
      <c r="AK296" s="3"/>
      <c r="AL296" s="3"/>
    </row>
    <row r="297" spans="1:38" ht="14.25" customHeight="1" x14ac:dyDescent="0.2">
      <c r="A297" s="118" t="s">
        <v>1548</v>
      </c>
      <c r="B297" s="118" t="s">
        <v>1549</v>
      </c>
      <c r="C297" s="118">
        <v>2025</v>
      </c>
      <c r="D297" s="118" t="s">
        <v>607</v>
      </c>
      <c r="E297" s="118" t="s">
        <v>1550</v>
      </c>
      <c r="F297" s="118" t="s">
        <v>1551</v>
      </c>
      <c r="G297" s="118" t="s">
        <v>610</v>
      </c>
      <c r="H297" s="118" t="s">
        <v>15</v>
      </c>
      <c r="I297" s="118" t="s">
        <v>230</v>
      </c>
      <c r="J297" s="118">
        <v>0</v>
      </c>
      <c r="K297" s="118" t="s">
        <v>1552</v>
      </c>
      <c r="L297" s="118"/>
      <c r="M297" s="118"/>
      <c r="N297" s="42"/>
      <c r="O297" s="42" t="s">
        <v>193</v>
      </c>
      <c r="P297" s="42" t="s">
        <v>194</v>
      </c>
      <c r="Q297" s="42"/>
      <c r="R297" s="42"/>
      <c r="S297" s="3"/>
      <c r="T297" s="3"/>
      <c r="U297" s="3"/>
      <c r="V297" s="3"/>
      <c r="W297" s="3"/>
      <c r="X297" s="3"/>
      <c r="Y297" s="3"/>
      <c r="Z297" s="3"/>
      <c r="AA297" s="3"/>
      <c r="AB297" s="3"/>
      <c r="AC297" s="3"/>
      <c r="AD297" s="3"/>
      <c r="AE297" s="3"/>
      <c r="AF297" s="3"/>
      <c r="AG297" s="3"/>
      <c r="AH297" s="3"/>
      <c r="AI297" s="3"/>
      <c r="AJ297" s="3"/>
      <c r="AK297" s="3"/>
      <c r="AL297" s="3"/>
    </row>
    <row r="298" spans="1:38" ht="14.25" customHeight="1" x14ac:dyDescent="0.2">
      <c r="A298" s="118" t="s">
        <v>1553</v>
      </c>
      <c r="B298" s="118" t="s">
        <v>1554</v>
      </c>
      <c r="C298" s="118">
        <v>2024</v>
      </c>
      <c r="D298" s="118" t="s">
        <v>1555</v>
      </c>
      <c r="E298" s="118" t="s">
        <v>1557</v>
      </c>
      <c r="F298" s="118" t="s">
        <v>1558</v>
      </c>
      <c r="G298" s="118" t="s">
        <v>473</v>
      </c>
      <c r="H298" s="118" t="s">
        <v>15</v>
      </c>
      <c r="I298" s="118" t="s">
        <v>230</v>
      </c>
      <c r="J298" s="118" t="s">
        <v>1556</v>
      </c>
      <c r="K298" s="118" t="s">
        <v>1559</v>
      </c>
      <c r="L298" s="118"/>
      <c r="M298" s="118"/>
      <c r="N298" s="42"/>
      <c r="O298" s="42" t="s">
        <v>193</v>
      </c>
      <c r="P298" s="42" t="s">
        <v>194</v>
      </c>
      <c r="Q298" s="42"/>
      <c r="R298" s="42"/>
      <c r="S298" s="3"/>
      <c r="T298" s="3"/>
      <c r="U298" s="3"/>
      <c r="V298" s="3"/>
      <c r="W298" s="3"/>
      <c r="X298" s="3"/>
      <c r="Y298" s="3"/>
      <c r="Z298" s="3"/>
      <c r="AA298" s="3"/>
      <c r="AB298" s="3"/>
      <c r="AC298" s="3"/>
      <c r="AD298" s="3"/>
      <c r="AE298" s="3"/>
      <c r="AF298" s="3"/>
      <c r="AG298" s="3"/>
      <c r="AH298" s="3"/>
      <c r="AI298" s="3"/>
      <c r="AJ298" s="3"/>
      <c r="AK298" s="3"/>
      <c r="AL298" s="3"/>
    </row>
    <row r="299" spans="1:38" ht="14.25" customHeight="1" x14ac:dyDescent="0.2">
      <c r="A299" s="118" t="s">
        <v>405</v>
      </c>
      <c r="B299" s="118" t="s">
        <v>1560</v>
      </c>
      <c r="C299" s="118">
        <v>2023</v>
      </c>
      <c r="D299" s="118" t="s">
        <v>233</v>
      </c>
      <c r="E299" s="118" t="s">
        <v>1562</v>
      </c>
      <c r="F299" s="118" t="s">
        <v>409</v>
      </c>
      <c r="G299" s="118" t="s">
        <v>238</v>
      </c>
      <c r="H299" s="118" t="s">
        <v>15</v>
      </c>
      <c r="I299" s="118" t="s">
        <v>230</v>
      </c>
      <c r="J299" s="118" t="s">
        <v>1561</v>
      </c>
      <c r="K299" s="118" t="s">
        <v>237</v>
      </c>
      <c r="L299" s="118"/>
      <c r="M299" s="118"/>
      <c r="N299" s="42"/>
      <c r="O299" s="42" t="s">
        <v>193</v>
      </c>
      <c r="P299" s="42" t="s">
        <v>194</v>
      </c>
      <c r="Q299" s="42"/>
      <c r="R299" s="42"/>
      <c r="S299" s="3"/>
      <c r="T299" s="3"/>
      <c r="U299" s="3"/>
      <c r="V299" s="3"/>
      <c r="W299" s="3"/>
      <c r="X299" s="3"/>
      <c r="Y299" s="3"/>
      <c r="Z299" s="3"/>
      <c r="AA299" s="3"/>
      <c r="AB299" s="3"/>
      <c r="AC299" s="3"/>
      <c r="AD299" s="3"/>
      <c r="AE299" s="3"/>
      <c r="AF299" s="3"/>
      <c r="AG299" s="3"/>
      <c r="AH299" s="3"/>
      <c r="AI299" s="3"/>
      <c r="AJ299" s="3"/>
      <c r="AK299" s="3"/>
      <c r="AL299" s="3"/>
    </row>
    <row r="300" spans="1:38" ht="14.25" customHeight="1" x14ac:dyDescent="0.2">
      <c r="A300" s="118" t="s">
        <v>1563</v>
      </c>
      <c r="B300" s="118" t="s">
        <v>1564</v>
      </c>
      <c r="C300" s="118">
        <v>2022</v>
      </c>
      <c r="D300" s="118" t="s">
        <v>1565</v>
      </c>
      <c r="E300" s="118" t="s">
        <v>1567</v>
      </c>
      <c r="F300" s="118" t="s">
        <v>1568</v>
      </c>
      <c r="G300" s="118" t="s">
        <v>987</v>
      </c>
      <c r="H300" s="118" t="s">
        <v>15</v>
      </c>
      <c r="I300" s="118" t="s">
        <v>230</v>
      </c>
      <c r="J300" s="118" t="s">
        <v>1566</v>
      </c>
      <c r="K300" s="118">
        <v>0</v>
      </c>
      <c r="L300" s="118"/>
      <c r="M300" s="118"/>
      <c r="N300" s="42"/>
      <c r="O300" s="42" t="s">
        <v>193</v>
      </c>
      <c r="P300" s="42" t="s">
        <v>194</v>
      </c>
      <c r="Q300" s="42"/>
      <c r="R300" s="42"/>
      <c r="S300" s="3"/>
      <c r="T300" s="3"/>
      <c r="U300" s="3"/>
      <c r="V300" s="3"/>
      <c r="W300" s="3"/>
      <c r="X300" s="3"/>
      <c r="Y300" s="3"/>
      <c r="Z300" s="3"/>
      <c r="AA300" s="3"/>
      <c r="AB300" s="3"/>
      <c r="AC300" s="3"/>
      <c r="AD300" s="3"/>
      <c r="AE300" s="3"/>
      <c r="AF300" s="3"/>
      <c r="AG300" s="3"/>
      <c r="AH300" s="3"/>
      <c r="AI300" s="3"/>
      <c r="AJ300" s="3"/>
      <c r="AK300" s="3"/>
      <c r="AL300" s="3"/>
    </row>
    <row r="301" spans="1:38" ht="14.25" customHeight="1" x14ac:dyDescent="0.2">
      <c r="A301" s="118" t="s">
        <v>1569</v>
      </c>
      <c r="B301" s="118" t="s">
        <v>1570</v>
      </c>
      <c r="C301" s="118">
        <v>2024</v>
      </c>
      <c r="D301" s="118" t="s">
        <v>1322</v>
      </c>
      <c r="E301" s="118" t="s">
        <v>1572</v>
      </c>
      <c r="F301" s="118" t="s">
        <v>1573</v>
      </c>
      <c r="G301" s="118" t="s">
        <v>282</v>
      </c>
      <c r="H301" s="118" t="s">
        <v>15</v>
      </c>
      <c r="I301" s="118" t="s">
        <v>253</v>
      </c>
      <c r="J301" s="118" t="s">
        <v>1571</v>
      </c>
      <c r="K301" s="118" t="s">
        <v>1574</v>
      </c>
      <c r="L301" s="118"/>
      <c r="M301" s="118"/>
      <c r="N301" s="42"/>
      <c r="O301" s="42" t="s">
        <v>193</v>
      </c>
      <c r="P301" s="42" t="s">
        <v>194</v>
      </c>
      <c r="Q301" s="42"/>
      <c r="R301" s="42"/>
      <c r="S301" s="3"/>
      <c r="T301" s="3"/>
      <c r="U301" s="3"/>
      <c r="V301" s="3"/>
      <c r="W301" s="3"/>
      <c r="X301" s="3"/>
      <c r="Y301" s="3"/>
      <c r="Z301" s="3"/>
      <c r="AA301" s="3"/>
      <c r="AB301" s="3"/>
      <c r="AC301" s="3"/>
      <c r="AD301" s="3"/>
      <c r="AE301" s="3"/>
      <c r="AF301" s="3"/>
      <c r="AG301" s="3"/>
      <c r="AH301" s="3"/>
      <c r="AI301" s="3"/>
      <c r="AJ301" s="3"/>
      <c r="AK301" s="3"/>
      <c r="AL301" s="3"/>
    </row>
    <row r="302" spans="1:38" ht="14.25" customHeight="1" x14ac:dyDescent="0.2">
      <c r="A302" s="118" t="s">
        <v>1575</v>
      </c>
      <c r="B302" s="118" t="s">
        <v>1576</v>
      </c>
      <c r="C302" s="118">
        <v>2025</v>
      </c>
      <c r="D302" s="118" t="s">
        <v>1577</v>
      </c>
      <c r="E302" s="118" t="s">
        <v>1579</v>
      </c>
      <c r="F302" s="118" t="s">
        <v>1580</v>
      </c>
      <c r="G302" s="118" t="s">
        <v>473</v>
      </c>
      <c r="H302" s="118" t="s">
        <v>15</v>
      </c>
      <c r="I302" s="118" t="s">
        <v>230</v>
      </c>
      <c r="J302" s="118" t="s">
        <v>1578</v>
      </c>
      <c r="K302" s="118" t="s">
        <v>1581</v>
      </c>
      <c r="L302" s="118"/>
      <c r="M302" s="118"/>
      <c r="N302" s="42"/>
      <c r="O302" s="42" t="s">
        <v>193</v>
      </c>
      <c r="P302" s="42" t="s">
        <v>194</v>
      </c>
      <c r="Q302" s="42"/>
      <c r="R302" s="42"/>
      <c r="S302" s="3"/>
      <c r="T302" s="3"/>
      <c r="U302" s="3"/>
      <c r="V302" s="3"/>
      <c r="W302" s="3"/>
      <c r="X302" s="3"/>
      <c r="Y302" s="3"/>
      <c r="Z302" s="3"/>
      <c r="AA302" s="3"/>
      <c r="AB302" s="3"/>
      <c r="AC302" s="3"/>
      <c r="AD302" s="3"/>
      <c r="AE302" s="3"/>
      <c r="AF302" s="3"/>
      <c r="AG302" s="3"/>
      <c r="AH302" s="3"/>
      <c r="AI302" s="3"/>
      <c r="AJ302" s="3"/>
      <c r="AK302" s="3"/>
      <c r="AL302" s="3"/>
    </row>
    <row r="303" spans="1:38" ht="14.25" customHeight="1" x14ac:dyDescent="0.2">
      <c r="A303" s="118" t="s">
        <v>1582</v>
      </c>
      <c r="B303" s="118" t="s">
        <v>1583</v>
      </c>
      <c r="C303" s="118">
        <v>2024</v>
      </c>
      <c r="D303" s="118" t="s">
        <v>819</v>
      </c>
      <c r="E303" s="118" t="s">
        <v>1585</v>
      </c>
      <c r="F303" s="118" t="s">
        <v>1586</v>
      </c>
      <c r="G303" s="118" t="s">
        <v>823</v>
      </c>
      <c r="H303" s="118" t="s">
        <v>15</v>
      </c>
      <c r="I303" s="118" t="s">
        <v>230</v>
      </c>
      <c r="J303" s="118" t="s">
        <v>1584</v>
      </c>
      <c r="K303" s="118">
        <v>0</v>
      </c>
      <c r="L303" s="118"/>
      <c r="M303" s="118"/>
      <c r="N303" s="42"/>
      <c r="O303" s="42" t="s">
        <v>193</v>
      </c>
      <c r="P303" s="42" t="s">
        <v>194</v>
      </c>
      <c r="Q303" s="42"/>
      <c r="R303" s="42"/>
      <c r="S303" s="3"/>
      <c r="T303" s="3"/>
      <c r="U303" s="3"/>
      <c r="V303" s="3"/>
      <c r="W303" s="3"/>
      <c r="X303" s="3"/>
      <c r="Y303" s="3"/>
      <c r="Z303" s="3"/>
      <c r="AA303" s="3"/>
      <c r="AB303" s="3"/>
      <c r="AC303" s="3"/>
      <c r="AD303" s="3"/>
      <c r="AE303" s="3"/>
      <c r="AF303" s="3"/>
      <c r="AG303" s="3"/>
      <c r="AH303" s="3"/>
      <c r="AI303" s="3"/>
      <c r="AJ303" s="3"/>
      <c r="AK303" s="3"/>
      <c r="AL303" s="3"/>
    </row>
    <row r="304" spans="1:38" ht="14.25" customHeight="1" x14ac:dyDescent="0.2">
      <c r="A304" s="118" t="s">
        <v>1587</v>
      </c>
      <c r="B304" s="118" t="s">
        <v>1588</v>
      </c>
      <c r="C304" s="118">
        <v>2022</v>
      </c>
      <c r="D304" s="118" t="s">
        <v>233</v>
      </c>
      <c r="E304" s="118" t="s">
        <v>1590</v>
      </c>
      <c r="F304" s="118" t="s">
        <v>1591</v>
      </c>
      <c r="G304" s="118" t="s">
        <v>238</v>
      </c>
      <c r="H304" s="118" t="s">
        <v>15</v>
      </c>
      <c r="I304" s="118" t="s">
        <v>230</v>
      </c>
      <c r="J304" s="118" t="s">
        <v>1589</v>
      </c>
      <c r="K304" s="118" t="s">
        <v>1592</v>
      </c>
      <c r="L304" s="118"/>
      <c r="M304" s="118"/>
      <c r="N304" s="42"/>
      <c r="O304" s="42" t="s">
        <v>193</v>
      </c>
      <c r="P304" s="42" t="s">
        <v>194</v>
      </c>
      <c r="Q304" s="42"/>
      <c r="R304" s="42"/>
      <c r="S304" s="3"/>
      <c r="T304" s="3"/>
      <c r="U304" s="3"/>
      <c r="V304" s="3"/>
      <c r="W304" s="3"/>
      <c r="X304" s="3"/>
      <c r="Y304" s="3"/>
      <c r="Z304" s="3"/>
      <c r="AA304" s="3"/>
      <c r="AB304" s="3"/>
      <c r="AC304" s="3"/>
      <c r="AD304" s="3"/>
      <c r="AE304" s="3"/>
      <c r="AF304" s="3"/>
      <c r="AG304" s="3"/>
      <c r="AH304" s="3"/>
      <c r="AI304" s="3"/>
      <c r="AJ304" s="3"/>
      <c r="AK304" s="3"/>
      <c r="AL304" s="3"/>
    </row>
    <row r="305" spans="1:38" ht="14.25" customHeight="1" x14ac:dyDescent="0.2">
      <c r="A305" s="118" t="s">
        <v>1593</v>
      </c>
      <c r="B305" s="118" t="s">
        <v>1594</v>
      </c>
      <c r="C305" s="118">
        <v>2024</v>
      </c>
      <c r="D305" s="118" t="s">
        <v>1595</v>
      </c>
      <c r="E305" s="118" t="s">
        <v>1597</v>
      </c>
      <c r="F305" s="118" t="s">
        <v>1598</v>
      </c>
      <c r="G305" s="118" t="s">
        <v>336</v>
      </c>
      <c r="H305" s="118" t="s">
        <v>15</v>
      </c>
      <c r="I305" s="118" t="s">
        <v>253</v>
      </c>
      <c r="J305" s="118" t="s">
        <v>1596</v>
      </c>
      <c r="K305" s="118" t="s">
        <v>1599</v>
      </c>
      <c r="L305" s="118"/>
      <c r="M305" s="118"/>
      <c r="N305" s="42"/>
      <c r="O305" s="42" t="s">
        <v>193</v>
      </c>
      <c r="P305" s="42" t="s">
        <v>194</v>
      </c>
      <c r="Q305" s="42"/>
      <c r="R305" s="42"/>
      <c r="S305" s="3"/>
      <c r="T305" s="3"/>
      <c r="U305" s="3"/>
      <c r="V305" s="3"/>
      <c r="W305" s="3"/>
      <c r="X305" s="3"/>
      <c r="Y305" s="3"/>
      <c r="Z305" s="3"/>
      <c r="AA305" s="3"/>
      <c r="AB305" s="3"/>
      <c r="AC305" s="3"/>
      <c r="AD305" s="3"/>
      <c r="AE305" s="3"/>
      <c r="AF305" s="3"/>
      <c r="AG305" s="3"/>
      <c r="AH305" s="3"/>
      <c r="AI305" s="3"/>
      <c r="AJ305" s="3"/>
      <c r="AK305" s="3"/>
      <c r="AL305" s="3"/>
    </row>
    <row r="306" spans="1:38" ht="14.25" customHeight="1" x14ac:dyDescent="0.2">
      <c r="A306" s="118" t="s">
        <v>1600</v>
      </c>
      <c r="B306" s="118" t="s">
        <v>1601</v>
      </c>
      <c r="C306" s="118">
        <v>2025</v>
      </c>
      <c r="D306" s="118" t="s">
        <v>1602</v>
      </c>
      <c r="E306" s="118" t="s">
        <v>1604</v>
      </c>
      <c r="F306" s="118" t="s">
        <v>1605</v>
      </c>
      <c r="G306" s="118" t="s">
        <v>1606</v>
      </c>
      <c r="H306" s="118" t="s">
        <v>15</v>
      </c>
      <c r="I306" s="118" t="s">
        <v>230</v>
      </c>
      <c r="J306" s="118" t="s">
        <v>1603</v>
      </c>
      <c r="K306" s="118">
        <v>0</v>
      </c>
      <c r="L306" s="118"/>
      <c r="M306" s="118"/>
      <c r="N306" s="42"/>
      <c r="O306" s="42" t="s">
        <v>193</v>
      </c>
      <c r="P306" s="42" t="s">
        <v>194</v>
      </c>
      <c r="Q306" s="42"/>
      <c r="R306" s="42"/>
      <c r="S306" s="3"/>
      <c r="T306" s="3"/>
      <c r="U306" s="3"/>
      <c r="V306" s="3"/>
      <c r="W306" s="3"/>
      <c r="X306" s="3"/>
      <c r="Y306" s="3"/>
      <c r="Z306" s="3"/>
      <c r="AA306" s="3"/>
      <c r="AB306" s="3"/>
      <c r="AC306" s="3"/>
      <c r="AD306" s="3"/>
      <c r="AE306" s="3"/>
      <c r="AF306" s="3"/>
      <c r="AG306" s="3"/>
      <c r="AH306" s="3"/>
      <c r="AI306" s="3"/>
      <c r="AJ306" s="3"/>
      <c r="AK306" s="3"/>
      <c r="AL306" s="3"/>
    </row>
    <row r="307" spans="1:38" ht="14.25" customHeight="1" x14ac:dyDescent="0.2">
      <c r="A307" s="118" t="s">
        <v>1607</v>
      </c>
      <c r="B307" s="118" t="s">
        <v>1608</v>
      </c>
      <c r="C307" s="118">
        <v>2022</v>
      </c>
      <c r="D307" s="118" t="s">
        <v>233</v>
      </c>
      <c r="E307" s="118" t="s">
        <v>1610</v>
      </c>
      <c r="F307" s="118" t="s">
        <v>1611</v>
      </c>
      <c r="G307" s="118" t="s">
        <v>238</v>
      </c>
      <c r="H307" s="118" t="s">
        <v>15</v>
      </c>
      <c r="I307" s="118" t="s">
        <v>230</v>
      </c>
      <c r="J307" s="118" t="s">
        <v>1609</v>
      </c>
      <c r="K307" s="118" t="s">
        <v>1612</v>
      </c>
      <c r="L307" s="118"/>
      <c r="M307" s="118"/>
      <c r="N307" s="42"/>
      <c r="O307" s="42" t="s">
        <v>193</v>
      </c>
      <c r="P307" s="42" t="s">
        <v>194</v>
      </c>
      <c r="Q307" s="42"/>
      <c r="R307" s="42"/>
      <c r="S307" s="3"/>
      <c r="T307" s="3"/>
      <c r="U307" s="3"/>
      <c r="V307" s="3"/>
      <c r="W307" s="3"/>
      <c r="X307" s="3"/>
      <c r="Y307" s="3"/>
      <c r="Z307" s="3"/>
      <c r="AA307" s="3"/>
      <c r="AB307" s="3"/>
      <c r="AC307" s="3"/>
      <c r="AD307" s="3"/>
      <c r="AE307" s="3"/>
      <c r="AF307" s="3"/>
      <c r="AG307" s="3"/>
      <c r="AH307" s="3"/>
      <c r="AI307" s="3"/>
      <c r="AJ307" s="3"/>
      <c r="AK307" s="3"/>
      <c r="AL307" s="3"/>
    </row>
    <row r="308" spans="1:38" ht="14.25" customHeight="1" x14ac:dyDescent="0.2">
      <c r="A308" s="118" t="s">
        <v>1613</v>
      </c>
      <c r="B308" s="118" t="s">
        <v>1614</v>
      </c>
      <c r="C308" s="118">
        <v>2022</v>
      </c>
      <c r="D308" s="118" t="s">
        <v>1615</v>
      </c>
      <c r="E308" s="118" t="s">
        <v>1617</v>
      </c>
      <c r="F308" s="118" t="s">
        <v>1618</v>
      </c>
      <c r="G308" s="118" t="s">
        <v>473</v>
      </c>
      <c r="H308" s="118" t="s">
        <v>15</v>
      </c>
      <c r="I308" s="118" t="s">
        <v>230</v>
      </c>
      <c r="J308" s="118" t="s">
        <v>1616</v>
      </c>
      <c r="K308" s="118" t="s">
        <v>1619</v>
      </c>
      <c r="L308" s="118"/>
      <c r="M308" s="118"/>
      <c r="N308" s="42"/>
      <c r="O308" s="42" t="s">
        <v>193</v>
      </c>
      <c r="P308" s="42" t="s">
        <v>194</v>
      </c>
      <c r="Q308" s="42"/>
      <c r="R308" s="42"/>
      <c r="S308" s="3"/>
      <c r="T308" s="3"/>
      <c r="U308" s="3"/>
      <c r="V308" s="3"/>
      <c r="W308" s="3"/>
      <c r="X308" s="3"/>
      <c r="Y308" s="3"/>
      <c r="Z308" s="3"/>
      <c r="AA308" s="3"/>
      <c r="AB308" s="3"/>
      <c r="AC308" s="3"/>
      <c r="AD308" s="3"/>
      <c r="AE308" s="3"/>
      <c r="AF308" s="3"/>
      <c r="AG308" s="3"/>
      <c r="AH308" s="3"/>
      <c r="AI308" s="3"/>
      <c r="AJ308" s="3"/>
      <c r="AK308" s="3"/>
      <c r="AL308" s="3"/>
    </row>
    <row r="309" spans="1:38" ht="14.25" customHeight="1" x14ac:dyDescent="0.2">
      <c r="A309" s="118" t="s">
        <v>1620</v>
      </c>
      <c r="B309" s="118" t="s">
        <v>1621</v>
      </c>
      <c r="C309" s="118">
        <v>2025</v>
      </c>
      <c r="D309" s="118" t="s">
        <v>1622</v>
      </c>
      <c r="E309" s="118" t="s">
        <v>1624</v>
      </c>
      <c r="F309" s="118" t="s">
        <v>1625</v>
      </c>
      <c r="G309" s="118" t="s">
        <v>1626</v>
      </c>
      <c r="H309" s="118" t="s">
        <v>15</v>
      </c>
      <c r="I309" s="118" t="s">
        <v>253</v>
      </c>
      <c r="J309" s="118" t="s">
        <v>1623</v>
      </c>
      <c r="K309" s="118" t="s">
        <v>1825</v>
      </c>
      <c r="L309" s="118"/>
      <c r="M309" s="118"/>
      <c r="N309" s="42"/>
      <c r="O309" s="42" t="s">
        <v>193</v>
      </c>
      <c r="P309" s="42" t="s">
        <v>194</v>
      </c>
      <c r="Q309" s="42"/>
      <c r="R309" s="42"/>
      <c r="S309" s="3"/>
      <c r="T309" s="3"/>
      <c r="U309" s="3"/>
      <c r="V309" s="3"/>
      <c r="W309" s="3"/>
      <c r="X309" s="3"/>
      <c r="Y309" s="3"/>
      <c r="Z309" s="3"/>
      <c r="AA309" s="3"/>
      <c r="AB309" s="3"/>
      <c r="AC309" s="3"/>
      <c r="AD309" s="3"/>
      <c r="AE309" s="3"/>
      <c r="AF309" s="3"/>
      <c r="AG309" s="3"/>
      <c r="AH309" s="3"/>
      <c r="AI309" s="3"/>
      <c r="AJ309" s="3"/>
      <c r="AK309" s="3"/>
      <c r="AL309" s="3"/>
    </row>
    <row r="310" spans="1:38" ht="14.25" customHeight="1" x14ac:dyDescent="0.2">
      <c r="A310" s="118" t="s">
        <v>1627</v>
      </c>
      <c r="B310" s="118" t="s">
        <v>1628</v>
      </c>
      <c r="C310" s="118">
        <v>2025</v>
      </c>
      <c r="D310" s="118" t="s">
        <v>1629</v>
      </c>
      <c r="E310" s="118" t="s">
        <v>1631</v>
      </c>
      <c r="F310" s="118" t="s">
        <v>1632</v>
      </c>
      <c r="G310" s="118" t="s">
        <v>1606</v>
      </c>
      <c r="H310" s="118" t="s">
        <v>15</v>
      </c>
      <c r="I310" s="118" t="s">
        <v>230</v>
      </c>
      <c r="J310" s="118" t="s">
        <v>1630</v>
      </c>
      <c r="K310" s="118">
        <v>0</v>
      </c>
      <c r="L310" s="118"/>
      <c r="M310" s="118"/>
      <c r="N310" s="42"/>
      <c r="O310" s="42" t="s">
        <v>193</v>
      </c>
      <c r="P310" s="42" t="s">
        <v>194</v>
      </c>
      <c r="Q310" s="42"/>
      <c r="R310" s="42"/>
      <c r="S310" s="3"/>
      <c r="T310" s="3"/>
      <c r="U310" s="3"/>
      <c r="V310" s="3"/>
      <c r="W310" s="3"/>
      <c r="X310" s="3"/>
      <c r="Y310" s="3"/>
      <c r="Z310" s="3"/>
      <c r="AA310" s="3"/>
      <c r="AB310" s="3"/>
      <c r="AC310" s="3"/>
      <c r="AD310" s="3"/>
      <c r="AE310" s="3"/>
      <c r="AF310" s="3"/>
      <c r="AG310" s="3"/>
      <c r="AH310" s="3"/>
      <c r="AI310" s="3"/>
      <c r="AJ310" s="3"/>
      <c r="AK310" s="3"/>
      <c r="AL310" s="3"/>
    </row>
    <row r="311" spans="1:38" ht="14.25" customHeight="1" x14ac:dyDescent="0.2">
      <c r="A311" s="118" t="s">
        <v>1633</v>
      </c>
      <c r="B311" s="118" t="s">
        <v>1634</v>
      </c>
      <c r="C311" s="118">
        <v>2026</v>
      </c>
      <c r="D311" s="118" t="s">
        <v>1635</v>
      </c>
      <c r="E311" s="118" t="s">
        <v>1637</v>
      </c>
      <c r="F311" s="118" t="s">
        <v>1638</v>
      </c>
      <c r="G311" s="118" t="s">
        <v>1639</v>
      </c>
      <c r="H311" s="118" t="s">
        <v>15</v>
      </c>
      <c r="I311" s="118" t="s">
        <v>545</v>
      </c>
      <c r="J311" s="118" t="s">
        <v>1636</v>
      </c>
      <c r="K311" s="118">
        <v>0</v>
      </c>
      <c r="L311" s="118"/>
      <c r="M311" s="118"/>
      <c r="N311" s="42"/>
      <c r="O311" s="42" t="s">
        <v>193</v>
      </c>
      <c r="P311" s="42" t="s">
        <v>194</v>
      </c>
      <c r="Q311" s="42"/>
      <c r="R311" s="42"/>
      <c r="S311" s="3"/>
      <c r="T311" s="3"/>
      <c r="U311" s="3"/>
      <c r="V311" s="3"/>
      <c r="W311" s="3"/>
      <c r="X311" s="3"/>
      <c r="Y311" s="3"/>
      <c r="Z311" s="3"/>
      <c r="AA311" s="3"/>
      <c r="AB311" s="3"/>
      <c r="AC311" s="3"/>
      <c r="AD311" s="3"/>
      <c r="AE311" s="3"/>
      <c r="AF311" s="3"/>
      <c r="AG311" s="3"/>
      <c r="AH311" s="3"/>
      <c r="AI311" s="3"/>
      <c r="AJ311" s="3"/>
      <c r="AK311" s="3"/>
      <c r="AL311" s="3"/>
    </row>
    <row r="312" spans="1:38" ht="14.25" customHeight="1" x14ac:dyDescent="0.2">
      <c r="A312" s="118" t="s">
        <v>1640</v>
      </c>
      <c r="B312" s="118" t="s">
        <v>1641</v>
      </c>
      <c r="C312" s="118">
        <v>2025</v>
      </c>
      <c r="D312" s="118" t="s">
        <v>1003</v>
      </c>
      <c r="E312" s="118" t="s">
        <v>1643</v>
      </c>
      <c r="F312" s="118" t="s">
        <v>1644</v>
      </c>
      <c r="G312" s="118" t="s">
        <v>350</v>
      </c>
      <c r="H312" s="118" t="s">
        <v>15</v>
      </c>
      <c r="I312" s="118" t="s">
        <v>230</v>
      </c>
      <c r="J312" s="118" t="s">
        <v>1642</v>
      </c>
      <c r="K312" s="118" t="s">
        <v>1645</v>
      </c>
      <c r="L312" s="118"/>
      <c r="M312" s="118"/>
      <c r="N312" s="42"/>
      <c r="O312" s="42" t="s">
        <v>193</v>
      </c>
      <c r="P312" s="42" t="s">
        <v>194</v>
      </c>
      <c r="Q312" s="42"/>
      <c r="R312" s="42"/>
      <c r="S312" s="3"/>
      <c r="T312" s="3"/>
      <c r="U312" s="3"/>
      <c r="V312" s="3"/>
      <c r="W312" s="3"/>
      <c r="X312" s="3"/>
      <c r="Y312" s="3"/>
      <c r="Z312" s="3"/>
      <c r="AA312" s="3"/>
      <c r="AB312" s="3"/>
      <c r="AC312" s="3"/>
      <c r="AD312" s="3"/>
      <c r="AE312" s="3"/>
      <c r="AF312" s="3"/>
      <c r="AG312" s="3"/>
      <c r="AH312" s="3"/>
      <c r="AI312" s="3"/>
      <c r="AJ312" s="3"/>
      <c r="AK312" s="3"/>
      <c r="AL312" s="3"/>
    </row>
    <row r="313" spans="1:38" ht="14.25" customHeight="1" x14ac:dyDescent="0.2">
      <c r="A313" s="118" t="s">
        <v>1646</v>
      </c>
      <c r="B313" s="118" t="s">
        <v>1647</v>
      </c>
      <c r="C313" s="118">
        <v>2024</v>
      </c>
      <c r="D313" s="118" t="s">
        <v>233</v>
      </c>
      <c r="E313" s="118" t="s">
        <v>1649</v>
      </c>
      <c r="F313" s="118" t="s">
        <v>1650</v>
      </c>
      <c r="G313" s="118" t="s">
        <v>238</v>
      </c>
      <c r="H313" s="118" t="s">
        <v>15</v>
      </c>
      <c r="I313" s="118" t="s">
        <v>230</v>
      </c>
      <c r="J313" s="118" t="s">
        <v>1648</v>
      </c>
      <c r="K313" s="118" t="s">
        <v>1651</v>
      </c>
      <c r="L313" s="118"/>
      <c r="M313" s="118"/>
      <c r="N313" s="42"/>
      <c r="O313" s="42" t="s">
        <v>193</v>
      </c>
      <c r="P313" s="42" t="s">
        <v>194</v>
      </c>
      <c r="Q313" s="42"/>
      <c r="R313" s="42"/>
      <c r="S313" s="3"/>
      <c r="T313" s="3"/>
      <c r="U313" s="3"/>
      <c r="V313" s="3"/>
      <c r="W313" s="3"/>
      <c r="X313" s="3"/>
      <c r="Y313" s="3"/>
      <c r="Z313" s="3"/>
      <c r="AA313" s="3"/>
      <c r="AB313" s="3"/>
      <c r="AC313" s="3"/>
      <c r="AD313" s="3"/>
      <c r="AE313" s="3"/>
      <c r="AF313" s="3"/>
      <c r="AG313" s="3"/>
      <c r="AH313" s="3"/>
      <c r="AI313" s="3"/>
      <c r="AJ313" s="3"/>
      <c r="AK313" s="3"/>
      <c r="AL313" s="3"/>
    </row>
    <row r="314" spans="1:38" ht="14.25" customHeight="1" x14ac:dyDescent="0.2">
      <c r="A314" s="118" t="s">
        <v>1652</v>
      </c>
      <c r="B314" s="118" t="s">
        <v>1653</v>
      </c>
      <c r="C314" s="118">
        <v>2025</v>
      </c>
      <c r="D314" s="118" t="s">
        <v>1654</v>
      </c>
      <c r="E314" s="118" t="s">
        <v>1656</v>
      </c>
      <c r="F314" s="118" t="s">
        <v>1657</v>
      </c>
      <c r="G314" s="118" t="s">
        <v>473</v>
      </c>
      <c r="H314" s="118" t="s">
        <v>15</v>
      </c>
      <c r="I314" s="118" t="s">
        <v>230</v>
      </c>
      <c r="J314" s="118" t="s">
        <v>1655</v>
      </c>
      <c r="K314" s="118" t="s">
        <v>1658</v>
      </c>
      <c r="L314" s="118"/>
      <c r="M314" s="118"/>
      <c r="N314" s="42"/>
      <c r="O314" s="42" t="s">
        <v>193</v>
      </c>
      <c r="P314" s="42" t="s">
        <v>194</v>
      </c>
      <c r="Q314" s="42"/>
      <c r="R314" s="42"/>
      <c r="S314" s="3"/>
      <c r="T314" s="3"/>
      <c r="U314" s="3"/>
      <c r="V314" s="3"/>
      <c r="W314" s="3"/>
      <c r="X314" s="3"/>
      <c r="Y314" s="3"/>
      <c r="Z314" s="3"/>
      <c r="AA314" s="3"/>
      <c r="AB314" s="3"/>
      <c r="AC314" s="3"/>
      <c r="AD314" s="3"/>
      <c r="AE314" s="3"/>
      <c r="AF314" s="3"/>
      <c r="AG314" s="3"/>
      <c r="AH314" s="3"/>
      <c r="AI314" s="3"/>
      <c r="AJ314" s="3"/>
      <c r="AK314" s="3"/>
      <c r="AL314" s="3"/>
    </row>
    <row r="315" spans="1:38" ht="14.25" customHeight="1" x14ac:dyDescent="0.2">
      <c r="A315" s="118" t="s">
        <v>744</v>
      </c>
      <c r="B315" s="118" t="s">
        <v>1659</v>
      </c>
      <c r="C315" s="118">
        <v>2023</v>
      </c>
      <c r="D315" s="118" t="s">
        <v>1660</v>
      </c>
      <c r="E315" s="118" t="s">
        <v>1662</v>
      </c>
      <c r="F315" s="118" t="s">
        <v>1663</v>
      </c>
      <c r="G315" s="118" t="s">
        <v>473</v>
      </c>
      <c r="H315" s="118" t="s">
        <v>15</v>
      </c>
      <c r="I315" s="118" t="s">
        <v>230</v>
      </c>
      <c r="J315" s="118" t="s">
        <v>1661</v>
      </c>
      <c r="K315" s="118">
        <v>0</v>
      </c>
      <c r="L315" s="118"/>
      <c r="M315" s="118"/>
      <c r="N315" s="42"/>
      <c r="O315" s="42" t="s">
        <v>193</v>
      </c>
      <c r="P315" s="42" t="s">
        <v>194</v>
      </c>
      <c r="Q315" s="42"/>
      <c r="R315" s="42"/>
      <c r="S315" s="3"/>
      <c r="T315" s="3"/>
      <c r="U315" s="3"/>
      <c r="V315" s="3"/>
      <c r="W315" s="3"/>
      <c r="X315" s="3"/>
      <c r="Y315" s="3"/>
      <c r="Z315" s="3"/>
      <c r="AA315" s="3"/>
      <c r="AB315" s="3"/>
      <c r="AC315" s="3"/>
      <c r="AD315" s="3"/>
      <c r="AE315" s="3"/>
      <c r="AF315" s="3"/>
      <c r="AG315" s="3"/>
      <c r="AH315" s="3"/>
      <c r="AI315" s="3"/>
      <c r="AJ315" s="3"/>
      <c r="AK315" s="3"/>
      <c r="AL315" s="3"/>
    </row>
    <row r="316" spans="1:38" ht="14.25" customHeight="1" x14ac:dyDescent="0.2">
      <c r="A316" s="118" t="s">
        <v>1247</v>
      </c>
      <c r="B316" s="118" t="s">
        <v>1664</v>
      </c>
      <c r="C316" s="118">
        <v>2022</v>
      </c>
      <c r="D316" s="118" t="s">
        <v>233</v>
      </c>
      <c r="E316" s="118" t="s">
        <v>1666</v>
      </c>
      <c r="F316" s="118" t="s">
        <v>1251</v>
      </c>
      <c r="G316" s="118" t="s">
        <v>238</v>
      </c>
      <c r="H316" s="118" t="s">
        <v>15</v>
      </c>
      <c r="I316" s="118" t="s">
        <v>230</v>
      </c>
      <c r="J316" s="118" t="s">
        <v>1665</v>
      </c>
      <c r="K316" s="118" t="s">
        <v>1667</v>
      </c>
      <c r="L316" s="118"/>
      <c r="M316" s="118"/>
      <c r="N316" s="42"/>
      <c r="O316" s="42" t="s">
        <v>193</v>
      </c>
      <c r="P316" s="42" t="s">
        <v>194</v>
      </c>
      <c r="Q316" s="42"/>
      <c r="R316" s="42"/>
      <c r="S316" s="3"/>
      <c r="T316" s="3"/>
      <c r="U316" s="3"/>
      <c r="V316" s="3"/>
      <c r="W316" s="3"/>
      <c r="X316" s="3"/>
      <c r="Y316" s="3"/>
      <c r="Z316" s="3"/>
      <c r="AA316" s="3"/>
      <c r="AB316" s="3"/>
      <c r="AC316" s="3"/>
      <c r="AD316" s="3"/>
      <c r="AE316" s="3"/>
      <c r="AF316" s="3"/>
      <c r="AG316" s="3"/>
      <c r="AH316" s="3"/>
      <c r="AI316" s="3"/>
      <c r="AJ316" s="3"/>
      <c r="AK316" s="3"/>
      <c r="AL316" s="3"/>
    </row>
    <row r="317" spans="1:38" ht="14.25" customHeight="1" x14ac:dyDescent="0.2">
      <c r="A317" s="118" t="s">
        <v>1668</v>
      </c>
      <c r="B317" s="118" t="s">
        <v>1669</v>
      </c>
      <c r="C317" s="118">
        <v>2024</v>
      </c>
      <c r="D317" s="118" t="s">
        <v>233</v>
      </c>
      <c r="E317" s="118" t="s">
        <v>1671</v>
      </c>
      <c r="F317" s="118" t="s">
        <v>1672</v>
      </c>
      <c r="G317" s="118" t="s">
        <v>238</v>
      </c>
      <c r="H317" s="118" t="s">
        <v>15</v>
      </c>
      <c r="I317" s="118" t="s">
        <v>230</v>
      </c>
      <c r="J317" s="118" t="s">
        <v>1670</v>
      </c>
      <c r="K317" s="118">
        <v>0</v>
      </c>
      <c r="L317" s="118"/>
      <c r="M317" s="118"/>
      <c r="N317" s="42"/>
      <c r="O317" s="42" t="s">
        <v>193</v>
      </c>
      <c r="P317" s="42" t="s">
        <v>194</v>
      </c>
      <c r="Q317" s="42"/>
      <c r="R317" s="42"/>
      <c r="S317" s="3"/>
      <c r="T317" s="3"/>
      <c r="U317" s="3"/>
      <c r="V317" s="3"/>
      <c r="W317" s="3"/>
      <c r="X317" s="3"/>
      <c r="Y317" s="3"/>
      <c r="Z317" s="3"/>
      <c r="AA317" s="3"/>
      <c r="AB317" s="3"/>
      <c r="AC317" s="3"/>
      <c r="AD317" s="3"/>
      <c r="AE317" s="3"/>
      <c r="AF317" s="3"/>
      <c r="AG317" s="3"/>
      <c r="AH317" s="3"/>
      <c r="AI317" s="3"/>
      <c r="AJ317" s="3"/>
      <c r="AK317" s="3"/>
      <c r="AL317" s="3"/>
    </row>
    <row r="318" spans="1:38" ht="14.25" customHeight="1" x14ac:dyDescent="0.2">
      <c r="A318" s="118" t="s">
        <v>1673</v>
      </c>
      <c r="B318" s="118" t="s">
        <v>1674</v>
      </c>
      <c r="C318" s="118">
        <v>2025</v>
      </c>
      <c r="D318" s="118" t="s">
        <v>233</v>
      </c>
      <c r="E318" s="118" t="s">
        <v>1676</v>
      </c>
      <c r="F318" s="118" t="s">
        <v>1677</v>
      </c>
      <c r="G318" s="118" t="s">
        <v>238</v>
      </c>
      <c r="H318" s="118" t="s">
        <v>15</v>
      </c>
      <c r="I318" s="118" t="s">
        <v>230</v>
      </c>
      <c r="J318" s="118" t="s">
        <v>1675</v>
      </c>
      <c r="K318" s="118" t="s">
        <v>1678</v>
      </c>
      <c r="L318" s="118"/>
      <c r="M318" s="118"/>
      <c r="N318" s="42"/>
      <c r="O318" s="42" t="s">
        <v>193</v>
      </c>
      <c r="P318" s="42" t="s">
        <v>194</v>
      </c>
      <c r="Q318" s="42"/>
      <c r="R318" s="42"/>
      <c r="S318" s="3"/>
      <c r="T318" s="3"/>
      <c r="U318" s="3"/>
      <c r="V318" s="3"/>
      <c r="W318" s="3"/>
      <c r="X318" s="3"/>
      <c r="Y318" s="3"/>
      <c r="Z318" s="3"/>
      <c r="AA318" s="3"/>
      <c r="AB318" s="3"/>
      <c r="AC318" s="3"/>
      <c r="AD318" s="3"/>
      <c r="AE318" s="3"/>
      <c r="AF318" s="3"/>
      <c r="AG318" s="3"/>
      <c r="AH318" s="3"/>
      <c r="AI318" s="3"/>
      <c r="AJ318" s="3"/>
      <c r="AK318" s="3"/>
      <c r="AL318" s="3"/>
    </row>
    <row r="319" spans="1:38" ht="14.25" customHeight="1" x14ac:dyDescent="0.2">
      <c r="A319" s="118" t="s">
        <v>1679</v>
      </c>
      <c r="B319" s="118" t="s">
        <v>1680</v>
      </c>
      <c r="C319" s="118">
        <v>2025</v>
      </c>
      <c r="D319" s="118" t="s">
        <v>1681</v>
      </c>
      <c r="E319" s="118" t="s">
        <v>1683</v>
      </c>
      <c r="F319" s="118" t="s">
        <v>1684</v>
      </c>
      <c r="G319" s="118" t="s">
        <v>473</v>
      </c>
      <c r="H319" s="118" t="s">
        <v>15</v>
      </c>
      <c r="I319" s="118" t="s">
        <v>230</v>
      </c>
      <c r="J319" s="118" t="s">
        <v>1682</v>
      </c>
      <c r="K319" s="118" t="s">
        <v>1685</v>
      </c>
      <c r="L319" s="118"/>
      <c r="M319" s="118"/>
      <c r="N319" s="42"/>
      <c r="O319" s="42" t="s">
        <v>193</v>
      </c>
      <c r="P319" s="42" t="s">
        <v>194</v>
      </c>
      <c r="Q319" s="42"/>
      <c r="R319" s="42"/>
      <c r="S319" s="3"/>
      <c r="T319" s="3"/>
      <c r="U319" s="3"/>
      <c r="V319" s="3"/>
      <c r="W319" s="3"/>
      <c r="X319" s="3"/>
      <c r="Y319" s="3"/>
      <c r="Z319" s="3"/>
      <c r="AA319" s="3"/>
      <c r="AB319" s="3"/>
      <c r="AC319" s="3"/>
      <c r="AD319" s="3"/>
      <c r="AE319" s="3"/>
      <c r="AF319" s="3"/>
      <c r="AG319" s="3"/>
      <c r="AH319" s="3"/>
      <c r="AI319" s="3"/>
      <c r="AJ319" s="3"/>
      <c r="AK319" s="3"/>
      <c r="AL319" s="3"/>
    </row>
    <row r="320" spans="1:38" ht="14.25" customHeight="1" x14ac:dyDescent="0.2">
      <c r="A320" s="118" t="s">
        <v>1686</v>
      </c>
      <c r="B320" s="118" t="s">
        <v>1687</v>
      </c>
      <c r="C320" s="118">
        <v>2025</v>
      </c>
      <c r="D320" s="118" t="s">
        <v>233</v>
      </c>
      <c r="E320" s="118" t="s">
        <v>1689</v>
      </c>
      <c r="F320" s="118" t="s">
        <v>1690</v>
      </c>
      <c r="G320" s="118" t="s">
        <v>238</v>
      </c>
      <c r="H320" s="118" t="s">
        <v>15</v>
      </c>
      <c r="I320" s="118" t="s">
        <v>230</v>
      </c>
      <c r="J320" s="118" t="s">
        <v>1688</v>
      </c>
      <c r="K320" s="118" t="s">
        <v>1691</v>
      </c>
      <c r="L320" s="118"/>
      <c r="M320" s="118"/>
      <c r="N320" s="42"/>
      <c r="O320" s="42" t="s">
        <v>193</v>
      </c>
      <c r="P320" s="42" t="s">
        <v>194</v>
      </c>
      <c r="Q320" s="42"/>
      <c r="R320" s="42"/>
      <c r="S320" s="3"/>
      <c r="T320" s="3"/>
      <c r="U320" s="3"/>
      <c r="V320" s="3"/>
      <c r="W320" s="3"/>
      <c r="X320" s="3"/>
      <c r="Y320" s="3"/>
      <c r="Z320" s="3"/>
      <c r="AA320" s="3"/>
      <c r="AB320" s="3"/>
      <c r="AC320" s="3"/>
      <c r="AD320" s="3"/>
      <c r="AE320" s="3"/>
      <c r="AF320" s="3"/>
      <c r="AG320" s="3"/>
      <c r="AH320" s="3"/>
      <c r="AI320" s="3"/>
      <c r="AJ320" s="3"/>
      <c r="AK320" s="3"/>
      <c r="AL320" s="3"/>
    </row>
    <row r="321" spans="1:38" ht="14.25" customHeight="1" x14ac:dyDescent="0.2">
      <c r="A321" s="118" t="s">
        <v>1692</v>
      </c>
      <c r="B321" s="118" t="s">
        <v>1693</v>
      </c>
      <c r="C321" s="118">
        <v>2022</v>
      </c>
      <c r="D321" s="118" t="s">
        <v>233</v>
      </c>
      <c r="E321" s="118" t="s">
        <v>1695</v>
      </c>
      <c r="F321" s="118" t="s">
        <v>1696</v>
      </c>
      <c r="G321" s="118" t="s">
        <v>238</v>
      </c>
      <c r="H321" s="118" t="s">
        <v>15</v>
      </c>
      <c r="I321" s="118" t="s">
        <v>230</v>
      </c>
      <c r="J321" s="118" t="s">
        <v>1694</v>
      </c>
      <c r="K321" s="118" t="s">
        <v>1697</v>
      </c>
      <c r="L321" s="118"/>
      <c r="M321" s="118"/>
      <c r="N321" s="42"/>
      <c r="O321" s="42" t="s">
        <v>193</v>
      </c>
      <c r="P321" s="42" t="s">
        <v>194</v>
      </c>
      <c r="Q321" s="42"/>
      <c r="R321" s="42"/>
      <c r="S321" s="3"/>
      <c r="T321" s="3"/>
      <c r="U321" s="3"/>
      <c r="V321" s="3"/>
      <c r="W321" s="3"/>
      <c r="X321" s="3"/>
      <c r="Y321" s="3"/>
      <c r="Z321" s="3"/>
      <c r="AA321" s="3"/>
      <c r="AB321" s="3"/>
      <c r="AC321" s="3"/>
      <c r="AD321" s="3"/>
      <c r="AE321" s="3"/>
      <c r="AF321" s="3"/>
      <c r="AG321" s="3"/>
      <c r="AH321" s="3"/>
      <c r="AI321" s="3"/>
      <c r="AJ321" s="3"/>
      <c r="AK321" s="3"/>
      <c r="AL321" s="3"/>
    </row>
    <row r="322" spans="1:38" ht="14.25" customHeight="1" x14ac:dyDescent="0.2">
      <c r="A322" s="118" t="s">
        <v>1698</v>
      </c>
      <c r="B322" s="118" t="s">
        <v>1699</v>
      </c>
      <c r="C322" s="118">
        <v>2023</v>
      </c>
      <c r="D322" s="118" t="s">
        <v>233</v>
      </c>
      <c r="E322" s="118" t="s">
        <v>1701</v>
      </c>
      <c r="F322" s="118" t="s">
        <v>1702</v>
      </c>
      <c r="G322" s="118" t="s">
        <v>238</v>
      </c>
      <c r="H322" s="118" t="s">
        <v>15</v>
      </c>
      <c r="I322" s="118" t="s">
        <v>230</v>
      </c>
      <c r="J322" s="118" t="s">
        <v>1700</v>
      </c>
      <c r="K322" s="118" t="s">
        <v>1703</v>
      </c>
      <c r="L322" s="118"/>
      <c r="M322" s="118"/>
      <c r="N322" s="42"/>
      <c r="O322" s="42" t="s">
        <v>193</v>
      </c>
      <c r="P322" s="42" t="s">
        <v>194</v>
      </c>
      <c r="Q322" s="42"/>
      <c r="R322" s="42"/>
      <c r="S322" s="3"/>
      <c r="T322" s="3"/>
      <c r="U322" s="3"/>
      <c r="V322" s="3"/>
      <c r="W322" s="3"/>
      <c r="X322" s="3"/>
      <c r="Y322" s="3"/>
      <c r="Z322" s="3"/>
      <c r="AA322" s="3"/>
      <c r="AB322" s="3"/>
      <c r="AC322" s="3"/>
      <c r="AD322" s="3"/>
      <c r="AE322" s="3"/>
      <c r="AF322" s="3"/>
      <c r="AG322" s="3"/>
      <c r="AH322" s="3"/>
      <c r="AI322" s="3"/>
      <c r="AJ322" s="3"/>
      <c r="AK322" s="3"/>
      <c r="AL322" s="3"/>
    </row>
    <row r="323" spans="1:38" ht="14.25" customHeight="1" x14ac:dyDescent="0.2">
      <c r="A323" s="118" t="s">
        <v>1704</v>
      </c>
      <c r="B323" s="118" t="s">
        <v>1705</v>
      </c>
      <c r="C323" s="118">
        <v>2022</v>
      </c>
      <c r="D323" s="118" t="s">
        <v>607</v>
      </c>
      <c r="E323" s="118" t="s">
        <v>1706</v>
      </c>
      <c r="F323" s="118" t="s">
        <v>1707</v>
      </c>
      <c r="G323" s="118" t="s">
        <v>610</v>
      </c>
      <c r="H323" s="118" t="s">
        <v>15</v>
      </c>
      <c r="I323" s="118" t="s">
        <v>230</v>
      </c>
      <c r="J323" s="118">
        <v>0</v>
      </c>
      <c r="K323" s="118" t="s">
        <v>1708</v>
      </c>
      <c r="L323" s="118"/>
      <c r="M323" s="118"/>
      <c r="N323" s="42"/>
      <c r="O323" s="42" t="s">
        <v>193</v>
      </c>
      <c r="P323" s="42" t="s">
        <v>194</v>
      </c>
      <c r="Q323" s="42"/>
      <c r="R323" s="42"/>
      <c r="S323" s="3"/>
      <c r="T323" s="3"/>
      <c r="U323" s="3"/>
      <c r="V323" s="3"/>
      <c r="W323" s="3"/>
      <c r="X323" s="3"/>
      <c r="Y323" s="3"/>
      <c r="Z323" s="3"/>
      <c r="AA323" s="3"/>
      <c r="AB323" s="3"/>
      <c r="AC323" s="3"/>
      <c r="AD323" s="3"/>
      <c r="AE323" s="3"/>
      <c r="AF323" s="3"/>
      <c r="AG323" s="3"/>
      <c r="AH323" s="3"/>
      <c r="AI323" s="3"/>
      <c r="AJ323" s="3"/>
      <c r="AK323" s="3"/>
      <c r="AL323" s="3"/>
    </row>
    <row r="324" spans="1:38" ht="14.25" customHeight="1" x14ac:dyDescent="0.2">
      <c r="A324" s="118" t="s">
        <v>1709</v>
      </c>
      <c r="B324" s="118" t="s">
        <v>1710</v>
      </c>
      <c r="C324" s="118">
        <v>2022</v>
      </c>
      <c r="D324" s="118" t="s">
        <v>1711</v>
      </c>
      <c r="E324" s="118" t="s">
        <v>1713</v>
      </c>
      <c r="F324" s="118" t="s">
        <v>1714</v>
      </c>
      <c r="G324" s="118" t="s">
        <v>473</v>
      </c>
      <c r="H324" s="118" t="s">
        <v>15</v>
      </c>
      <c r="I324" s="118" t="s">
        <v>230</v>
      </c>
      <c r="J324" s="118" t="s">
        <v>1712</v>
      </c>
      <c r="K324" s="118">
        <v>0</v>
      </c>
      <c r="L324" s="118"/>
      <c r="M324" s="118"/>
      <c r="N324" s="42"/>
      <c r="O324" s="42" t="s">
        <v>193</v>
      </c>
      <c r="P324" s="42" t="s">
        <v>194</v>
      </c>
      <c r="Q324" s="42"/>
      <c r="R324" s="42"/>
      <c r="S324" s="3"/>
      <c r="T324" s="3"/>
      <c r="U324" s="3"/>
      <c r="V324" s="3"/>
      <c r="W324" s="3"/>
      <c r="X324" s="3"/>
      <c r="Y324" s="3"/>
      <c r="Z324" s="3"/>
      <c r="AA324" s="3"/>
      <c r="AB324" s="3"/>
      <c r="AC324" s="3"/>
      <c r="AD324" s="3"/>
      <c r="AE324" s="3"/>
      <c r="AF324" s="3"/>
      <c r="AG324" s="3"/>
      <c r="AH324" s="3"/>
      <c r="AI324" s="3"/>
      <c r="AJ324" s="3"/>
      <c r="AK324" s="3"/>
      <c r="AL324" s="3"/>
    </row>
    <row r="325" spans="1:38" ht="14.25" customHeight="1" x14ac:dyDescent="0.2">
      <c r="A325" s="118" t="s">
        <v>1715</v>
      </c>
      <c r="B325" s="118" t="s">
        <v>1716</v>
      </c>
      <c r="C325" s="118">
        <v>2025</v>
      </c>
      <c r="D325" s="118" t="s">
        <v>1717</v>
      </c>
      <c r="E325" s="118" t="s">
        <v>1719</v>
      </c>
      <c r="F325" s="118" t="s">
        <v>1720</v>
      </c>
      <c r="G325" s="118" t="s">
        <v>1722</v>
      </c>
      <c r="H325" s="118" t="s">
        <v>15</v>
      </c>
      <c r="I325" s="118" t="s">
        <v>253</v>
      </c>
      <c r="J325" s="118" t="s">
        <v>1718</v>
      </c>
      <c r="K325" s="118" t="s">
        <v>1721</v>
      </c>
      <c r="L325" s="118"/>
      <c r="M325" s="118"/>
      <c r="N325" s="42"/>
      <c r="O325" s="42" t="s">
        <v>193</v>
      </c>
      <c r="P325" s="42" t="s">
        <v>194</v>
      </c>
      <c r="Q325" s="42"/>
      <c r="R325" s="42"/>
      <c r="S325" s="3"/>
      <c r="T325" s="3"/>
      <c r="U325" s="3"/>
      <c r="V325" s="3"/>
      <c r="W325" s="3"/>
      <c r="X325" s="3"/>
      <c r="Y325" s="3"/>
      <c r="Z325" s="3"/>
      <c r="AA325" s="3"/>
      <c r="AB325" s="3"/>
      <c r="AC325" s="3"/>
      <c r="AD325" s="3"/>
      <c r="AE325" s="3"/>
      <c r="AF325" s="3"/>
      <c r="AG325" s="3"/>
      <c r="AH325" s="3"/>
      <c r="AI325" s="3"/>
      <c r="AJ325" s="3"/>
      <c r="AK325" s="3"/>
      <c r="AL325" s="3"/>
    </row>
    <row r="326" spans="1:38" ht="14.25" customHeight="1" x14ac:dyDescent="0.2">
      <c r="A326" s="118" t="s">
        <v>1723</v>
      </c>
      <c r="B326" s="118" t="s">
        <v>1724</v>
      </c>
      <c r="C326" s="118">
        <v>2022</v>
      </c>
      <c r="D326" s="118" t="s">
        <v>233</v>
      </c>
      <c r="E326" s="118" t="s">
        <v>1726</v>
      </c>
      <c r="F326" s="118" t="s">
        <v>1727</v>
      </c>
      <c r="G326" s="118" t="s">
        <v>238</v>
      </c>
      <c r="H326" s="118" t="s">
        <v>15</v>
      </c>
      <c r="I326" s="118" t="s">
        <v>230</v>
      </c>
      <c r="J326" s="118" t="s">
        <v>1725</v>
      </c>
      <c r="K326" s="118" t="s">
        <v>1728</v>
      </c>
      <c r="L326" s="118"/>
      <c r="M326" s="118"/>
      <c r="N326" s="42"/>
      <c r="O326" s="42" t="s">
        <v>193</v>
      </c>
      <c r="P326" s="42" t="s">
        <v>194</v>
      </c>
      <c r="Q326" s="42"/>
      <c r="R326" s="42"/>
      <c r="S326" s="3"/>
      <c r="T326" s="3"/>
      <c r="U326" s="3"/>
      <c r="V326" s="3"/>
      <c r="W326" s="3"/>
      <c r="X326" s="3"/>
      <c r="Y326" s="3"/>
      <c r="Z326" s="3"/>
      <c r="AA326" s="3"/>
      <c r="AB326" s="3"/>
      <c r="AC326" s="3"/>
      <c r="AD326" s="3"/>
      <c r="AE326" s="3"/>
      <c r="AF326" s="3"/>
      <c r="AG326" s="3"/>
      <c r="AH326" s="3"/>
      <c r="AI326" s="3"/>
      <c r="AJ326" s="3"/>
      <c r="AK326" s="3"/>
      <c r="AL326" s="3"/>
    </row>
    <row r="327" spans="1:38" ht="14.25" customHeight="1" x14ac:dyDescent="0.2">
      <c r="A327" s="118" t="s">
        <v>1729</v>
      </c>
      <c r="B327" s="118" t="s">
        <v>1730</v>
      </c>
      <c r="C327" s="118">
        <v>2024</v>
      </c>
      <c r="D327" s="118" t="s">
        <v>256</v>
      </c>
      <c r="E327" s="118" t="s">
        <v>1732</v>
      </c>
      <c r="F327" s="118" t="s">
        <v>1733</v>
      </c>
      <c r="G327" s="118" t="s">
        <v>260</v>
      </c>
      <c r="H327" s="118" t="s">
        <v>15</v>
      </c>
      <c r="I327" s="118" t="s">
        <v>253</v>
      </c>
      <c r="J327" s="118" t="s">
        <v>1731</v>
      </c>
      <c r="K327" s="118" t="s">
        <v>1734</v>
      </c>
      <c r="L327" s="118"/>
      <c r="M327" s="118"/>
      <c r="N327" s="42"/>
      <c r="O327" s="42" t="s">
        <v>193</v>
      </c>
      <c r="P327" s="42" t="s">
        <v>194</v>
      </c>
      <c r="Q327" s="42"/>
      <c r="R327" s="42"/>
      <c r="S327" s="3"/>
      <c r="T327" s="3"/>
      <c r="U327" s="3"/>
      <c r="V327" s="3"/>
      <c r="W327" s="3"/>
      <c r="X327" s="3"/>
      <c r="Y327" s="3"/>
      <c r="Z327" s="3"/>
      <c r="AA327" s="3"/>
      <c r="AB327" s="3"/>
      <c r="AC327" s="3"/>
      <c r="AD327" s="3"/>
      <c r="AE327" s="3"/>
      <c r="AF327" s="3"/>
      <c r="AG327" s="3"/>
      <c r="AH327" s="3"/>
      <c r="AI327" s="3"/>
      <c r="AJ327" s="3"/>
      <c r="AK327" s="3"/>
      <c r="AL327" s="3"/>
    </row>
    <row r="328" spans="1:38" ht="14.25" customHeight="1" x14ac:dyDescent="0.2">
      <c r="A328" s="118" t="s">
        <v>1735</v>
      </c>
      <c r="B328" s="118" t="s">
        <v>1736</v>
      </c>
      <c r="C328" s="118">
        <v>2025</v>
      </c>
      <c r="D328" s="118" t="s">
        <v>1737</v>
      </c>
      <c r="E328" s="118" t="s">
        <v>1739</v>
      </c>
      <c r="F328" s="118" t="s">
        <v>1740</v>
      </c>
      <c r="G328" s="118" t="s">
        <v>473</v>
      </c>
      <c r="H328" s="118" t="s">
        <v>15</v>
      </c>
      <c r="I328" s="118" t="s">
        <v>230</v>
      </c>
      <c r="J328" s="118" t="s">
        <v>1738</v>
      </c>
      <c r="K328" s="118" t="s">
        <v>1827</v>
      </c>
      <c r="L328" s="118"/>
      <c r="M328" s="118"/>
      <c r="N328" s="42"/>
      <c r="O328" s="42" t="s">
        <v>193</v>
      </c>
      <c r="P328" s="42" t="s">
        <v>194</v>
      </c>
      <c r="Q328" s="42"/>
      <c r="R328" s="42"/>
      <c r="S328" s="3"/>
      <c r="T328" s="3"/>
      <c r="U328" s="3"/>
      <c r="V328" s="3"/>
      <c r="W328" s="3"/>
      <c r="X328" s="3"/>
      <c r="Y328" s="3"/>
      <c r="Z328" s="3"/>
      <c r="AA328" s="3"/>
      <c r="AB328" s="3"/>
      <c r="AC328" s="3"/>
      <c r="AD328" s="3"/>
      <c r="AE328" s="3"/>
      <c r="AF328" s="3"/>
      <c r="AG328" s="3"/>
      <c r="AH328" s="3"/>
      <c r="AI328" s="3"/>
      <c r="AJ328" s="3"/>
      <c r="AK328" s="3"/>
      <c r="AL328" s="3"/>
    </row>
    <row r="329" spans="1:38" ht="14.25" customHeight="1" x14ac:dyDescent="0.2">
      <c r="A329" s="118" t="s">
        <v>1741</v>
      </c>
      <c r="B329" s="118" t="s">
        <v>1742</v>
      </c>
      <c r="C329" s="118">
        <v>2025</v>
      </c>
      <c r="D329" s="118" t="s">
        <v>1743</v>
      </c>
      <c r="E329" s="118" t="s">
        <v>1745</v>
      </c>
      <c r="F329" s="118" t="s">
        <v>1746</v>
      </c>
      <c r="G329" s="118" t="s">
        <v>473</v>
      </c>
      <c r="H329" s="118" t="s">
        <v>15</v>
      </c>
      <c r="I329" s="118" t="s">
        <v>230</v>
      </c>
      <c r="J329" s="118" t="s">
        <v>1744</v>
      </c>
      <c r="K329" s="118">
        <v>0</v>
      </c>
      <c r="L329" s="118"/>
      <c r="M329" s="118"/>
      <c r="N329" s="42"/>
      <c r="O329" s="42" t="s">
        <v>193</v>
      </c>
      <c r="P329" s="42" t="s">
        <v>194</v>
      </c>
      <c r="Q329" s="42"/>
      <c r="R329" s="42"/>
      <c r="S329" s="3"/>
      <c r="T329" s="3"/>
      <c r="U329" s="3"/>
      <c r="V329" s="3"/>
      <c r="W329" s="3"/>
      <c r="X329" s="3"/>
      <c r="Y329" s="3"/>
      <c r="Z329" s="3"/>
      <c r="AA329" s="3"/>
      <c r="AB329" s="3"/>
      <c r="AC329" s="3"/>
      <c r="AD329" s="3"/>
      <c r="AE329" s="3"/>
      <c r="AF329" s="3"/>
      <c r="AG329" s="3"/>
      <c r="AH329" s="3"/>
      <c r="AI329" s="3"/>
      <c r="AJ329" s="3"/>
      <c r="AK329" s="3"/>
      <c r="AL329" s="3"/>
    </row>
    <row r="330" spans="1:38" ht="14.25" customHeight="1" x14ac:dyDescent="0.2">
      <c r="A330" s="118" t="s">
        <v>1747</v>
      </c>
      <c r="B330" s="118" t="s">
        <v>1748</v>
      </c>
      <c r="C330" s="118">
        <v>2025</v>
      </c>
      <c r="D330" s="118" t="s">
        <v>460</v>
      </c>
      <c r="E330" s="118" t="s">
        <v>1750</v>
      </c>
      <c r="F330" s="118" t="s">
        <v>1751</v>
      </c>
      <c r="G330" s="118" t="s">
        <v>465</v>
      </c>
      <c r="H330" s="118" t="s">
        <v>15</v>
      </c>
      <c r="I330" s="118" t="s">
        <v>253</v>
      </c>
      <c r="J330" s="118" t="s">
        <v>1749</v>
      </c>
      <c r="K330" s="118" t="s">
        <v>1752</v>
      </c>
      <c r="L330" s="118"/>
      <c r="M330" s="118"/>
      <c r="N330" s="42"/>
      <c r="O330" s="42" t="s">
        <v>193</v>
      </c>
      <c r="P330" s="42" t="s">
        <v>194</v>
      </c>
      <c r="Q330" s="42"/>
      <c r="R330" s="42"/>
      <c r="S330" s="3"/>
      <c r="T330" s="3"/>
      <c r="U330" s="3"/>
      <c r="V330" s="3"/>
      <c r="W330" s="3"/>
      <c r="X330" s="3"/>
      <c r="Y330" s="3"/>
      <c r="Z330" s="3"/>
      <c r="AA330" s="3"/>
      <c r="AB330" s="3"/>
      <c r="AC330" s="3"/>
      <c r="AD330" s="3"/>
      <c r="AE330" s="3"/>
      <c r="AF330" s="3"/>
      <c r="AG330" s="3"/>
      <c r="AH330" s="3"/>
      <c r="AI330" s="3"/>
      <c r="AJ330" s="3"/>
      <c r="AK330" s="3"/>
      <c r="AL330" s="3"/>
    </row>
    <row r="331" spans="1:38" ht="14.25" customHeight="1" x14ac:dyDescent="0.2">
      <c r="A331" s="118" t="s">
        <v>1753</v>
      </c>
      <c r="B331" s="118" t="s">
        <v>1754</v>
      </c>
      <c r="C331" s="118">
        <v>2023</v>
      </c>
      <c r="D331" s="118" t="s">
        <v>233</v>
      </c>
      <c r="E331" s="118" t="s">
        <v>1756</v>
      </c>
      <c r="F331" s="118" t="s">
        <v>1757</v>
      </c>
      <c r="G331" s="118" t="s">
        <v>238</v>
      </c>
      <c r="H331" s="118" t="s">
        <v>15</v>
      </c>
      <c r="I331" s="118" t="s">
        <v>230</v>
      </c>
      <c r="J331" s="118" t="s">
        <v>1755</v>
      </c>
      <c r="K331" s="118" t="s">
        <v>1758</v>
      </c>
      <c r="L331" s="118"/>
      <c r="M331" s="118"/>
      <c r="N331" s="42"/>
      <c r="O331" s="42" t="s">
        <v>193</v>
      </c>
      <c r="P331" s="42" t="s">
        <v>194</v>
      </c>
      <c r="Q331" s="42"/>
      <c r="R331" s="42"/>
      <c r="S331" s="3"/>
      <c r="T331" s="3"/>
      <c r="U331" s="3"/>
      <c r="V331" s="3"/>
      <c r="W331" s="3"/>
      <c r="X331" s="3"/>
      <c r="Y331" s="3"/>
      <c r="Z331" s="3"/>
      <c r="AA331" s="3"/>
      <c r="AB331" s="3"/>
      <c r="AC331" s="3"/>
      <c r="AD331" s="3"/>
      <c r="AE331" s="3"/>
      <c r="AF331" s="3"/>
      <c r="AG331" s="3"/>
      <c r="AH331" s="3"/>
      <c r="AI331" s="3"/>
      <c r="AJ331" s="3"/>
      <c r="AK331" s="3"/>
      <c r="AL331" s="3"/>
    </row>
    <row r="332" spans="1:38" ht="14.25" customHeight="1" x14ac:dyDescent="0.2">
      <c r="A332" s="118"/>
      <c r="B332" s="118"/>
      <c r="C332" s="118"/>
      <c r="D332" s="118"/>
      <c r="E332" s="118"/>
      <c r="F332" s="118"/>
      <c r="G332" s="118"/>
      <c r="H332" s="118"/>
      <c r="I332" s="118"/>
      <c r="J332" s="118"/>
      <c r="K332" s="118"/>
      <c r="L332" s="118"/>
      <c r="M332" s="118"/>
      <c r="N332" s="42"/>
      <c r="O332" s="42"/>
      <c r="P332" s="42"/>
      <c r="Q332" s="42"/>
      <c r="R332" s="42"/>
      <c r="S332" s="3"/>
      <c r="T332" s="3"/>
      <c r="U332" s="3"/>
      <c r="V332" s="3"/>
      <c r="W332" s="3"/>
      <c r="X332" s="3"/>
      <c r="Y332" s="3"/>
      <c r="Z332" s="3"/>
      <c r="AA332" s="3"/>
      <c r="AB332" s="3"/>
      <c r="AC332" s="3"/>
      <c r="AD332" s="3"/>
      <c r="AE332" s="3"/>
      <c r="AF332" s="3"/>
      <c r="AG332" s="3"/>
      <c r="AH332" s="3"/>
      <c r="AI332" s="3"/>
      <c r="AJ332" s="3"/>
      <c r="AK332" s="3"/>
      <c r="AL332" s="3"/>
    </row>
    <row r="333" spans="1:38" ht="14.25" customHeight="1" x14ac:dyDescent="0.2">
      <c r="A333" s="118"/>
      <c r="B333" s="118"/>
      <c r="C333" s="118"/>
      <c r="D333" s="118"/>
      <c r="E333" s="118"/>
      <c r="F333" s="118"/>
      <c r="G333" s="118"/>
      <c r="H333" s="118"/>
      <c r="I333" s="118"/>
      <c r="J333" s="118"/>
      <c r="K333" s="118"/>
      <c r="L333" s="118"/>
      <c r="M333" s="118"/>
      <c r="N333" s="42"/>
      <c r="O333" s="42"/>
      <c r="P333" s="42"/>
      <c r="Q333" s="42"/>
      <c r="R333" s="42"/>
      <c r="S333" s="3"/>
      <c r="T333" s="3"/>
      <c r="U333" s="3"/>
      <c r="V333" s="3"/>
      <c r="W333" s="3"/>
      <c r="X333" s="3"/>
      <c r="Y333" s="3"/>
      <c r="Z333" s="3"/>
      <c r="AA333" s="3"/>
      <c r="AB333" s="3"/>
      <c r="AC333" s="3"/>
      <c r="AD333" s="3"/>
      <c r="AE333" s="3"/>
      <c r="AF333" s="3"/>
      <c r="AG333" s="3"/>
      <c r="AH333" s="3"/>
      <c r="AI333" s="3"/>
      <c r="AJ333" s="3"/>
      <c r="AK333" s="3"/>
      <c r="AL333" s="3"/>
    </row>
    <row r="334" spans="1:38" ht="14.25" customHeight="1" x14ac:dyDescent="0.2">
      <c r="A334" s="118"/>
      <c r="B334" s="118"/>
      <c r="C334" s="118"/>
      <c r="D334" s="118"/>
      <c r="E334" s="118"/>
      <c r="F334" s="118"/>
      <c r="G334" s="118"/>
      <c r="H334" s="118"/>
      <c r="I334" s="118"/>
      <c r="J334" s="118"/>
      <c r="K334" s="118"/>
      <c r="L334" s="118"/>
      <c r="M334" s="118"/>
      <c r="N334" s="42"/>
      <c r="O334" s="42"/>
      <c r="P334" s="42"/>
      <c r="Q334" s="42"/>
      <c r="R334" s="42"/>
      <c r="S334" s="3"/>
      <c r="T334" s="3"/>
      <c r="U334" s="3"/>
      <c r="V334" s="3"/>
      <c r="W334" s="3"/>
      <c r="X334" s="3"/>
      <c r="Y334" s="3"/>
      <c r="Z334" s="3"/>
      <c r="AA334" s="3"/>
      <c r="AB334" s="3"/>
      <c r="AC334" s="3"/>
      <c r="AD334" s="3"/>
      <c r="AE334" s="3"/>
      <c r="AF334" s="3"/>
      <c r="AG334" s="3"/>
      <c r="AH334" s="3"/>
      <c r="AI334" s="3"/>
      <c r="AJ334" s="3"/>
      <c r="AK334" s="3"/>
      <c r="AL334" s="3"/>
    </row>
    <row r="335" spans="1:38" ht="14.25" customHeight="1" x14ac:dyDescent="0.2">
      <c r="A335" s="118"/>
      <c r="B335" s="118"/>
      <c r="C335" s="118"/>
      <c r="D335" s="118"/>
      <c r="E335" s="118"/>
      <c r="F335" s="118"/>
      <c r="G335" s="118"/>
      <c r="H335" s="118"/>
      <c r="I335" s="118"/>
      <c r="J335" s="118"/>
      <c r="K335" s="118"/>
      <c r="L335" s="118"/>
      <c r="M335" s="118"/>
      <c r="N335" s="42"/>
      <c r="O335" s="42"/>
      <c r="P335" s="42"/>
      <c r="Q335" s="42"/>
      <c r="R335" s="42"/>
      <c r="S335" s="3"/>
      <c r="T335" s="3"/>
      <c r="U335" s="3"/>
      <c r="V335" s="3"/>
      <c r="W335" s="3"/>
      <c r="X335" s="3"/>
      <c r="Y335" s="3"/>
      <c r="Z335" s="3"/>
      <c r="AA335" s="3"/>
      <c r="AB335" s="3"/>
      <c r="AC335" s="3"/>
      <c r="AD335" s="3"/>
      <c r="AE335" s="3"/>
      <c r="AF335" s="3"/>
      <c r="AG335" s="3"/>
      <c r="AH335" s="3"/>
      <c r="AI335" s="3"/>
      <c r="AJ335" s="3"/>
      <c r="AK335" s="3"/>
      <c r="AL335" s="3"/>
    </row>
    <row r="336" spans="1:38" ht="14.25" customHeight="1" x14ac:dyDescent="0.2">
      <c r="A336" s="118"/>
      <c r="B336" s="118"/>
      <c r="C336" s="118"/>
      <c r="D336" s="118"/>
      <c r="E336" s="118"/>
      <c r="F336" s="118"/>
      <c r="G336" s="118"/>
      <c r="H336" s="118"/>
      <c r="I336" s="118"/>
      <c r="J336" s="118"/>
      <c r="K336" s="118"/>
      <c r="L336" s="118"/>
      <c r="M336" s="118"/>
      <c r="N336" s="42"/>
      <c r="O336" s="42"/>
      <c r="P336" s="42"/>
      <c r="Q336" s="42"/>
      <c r="R336" s="42"/>
      <c r="S336" s="3"/>
      <c r="T336" s="3"/>
      <c r="U336" s="3"/>
      <c r="V336" s="3"/>
      <c r="W336" s="3"/>
      <c r="X336" s="3"/>
      <c r="Y336" s="3"/>
      <c r="Z336" s="3"/>
      <c r="AA336" s="3"/>
      <c r="AB336" s="3"/>
      <c r="AC336" s="3"/>
      <c r="AD336" s="3"/>
      <c r="AE336" s="3"/>
      <c r="AF336" s="3"/>
      <c r="AG336" s="3"/>
      <c r="AH336" s="3"/>
      <c r="AI336" s="3"/>
      <c r="AJ336" s="3"/>
      <c r="AK336" s="3"/>
      <c r="AL336" s="3"/>
    </row>
    <row r="337" spans="1:38" ht="14.25" customHeight="1" x14ac:dyDescent="0.2">
      <c r="A337" s="118"/>
      <c r="B337" s="118"/>
      <c r="C337" s="118"/>
      <c r="D337" s="118"/>
      <c r="E337" s="118"/>
      <c r="F337" s="118"/>
      <c r="G337" s="118"/>
      <c r="H337" s="118"/>
      <c r="I337" s="118"/>
      <c r="J337" s="118"/>
      <c r="K337" s="118"/>
      <c r="L337" s="118"/>
      <c r="M337" s="118"/>
      <c r="N337" s="42"/>
      <c r="O337" s="42"/>
      <c r="P337" s="42"/>
      <c r="Q337" s="42"/>
      <c r="R337" s="42"/>
      <c r="S337" s="3"/>
      <c r="T337" s="3"/>
      <c r="U337" s="3"/>
      <c r="V337" s="3"/>
      <c r="W337" s="3"/>
      <c r="X337" s="3"/>
      <c r="Y337" s="3"/>
      <c r="Z337" s="3"/>
      <c r="AA337" s="3"/>
      <c r="AB337" s="3"/>
      <c r="AC337" s="3"/>
      <c r="AD337" s="3"/>
      <c r="AE337" s="3"/>
      <c r="AF337" s="3"/>
      <c r="AG337" s="3"/>
      <c r="AH337" s="3"/>
      <c r="AI337" s="3"/>
      <c r="AJ337" s="3"/>
      <c r="AK337" s="3"/>
      <c r="AL337" s="3"/>
    </row>
    <row r="338" spans="1:38" ht="14.25" customHeight="1" x14ac:dyDescent="0.2">
      <c r="A338" s="118"/>
      <c r="B338" s="118"/>
      <c r="C338" s="118"/>
      <c r="D338" s="118"/>
      <c r="E338" s="118"/>
      <c r="F338" s="118"/>
      <c r="G338" s="118"/>
      <c r="H338" s="118"/>
      <c r="I338" s="118"/>
      <c r="J338" s="118"/>
      <c r="K338" s="118"/>
      <c r="L338" s="118"/>
      <c r="M338" s="118"/>
      <c r="N338" s="42"/>
      <c r="O338" s="42"/>
      <c r="P338" s="42"/>
      <c r="Q338" s="42"/>
      <c r="R338" s="42"/>
      <c r="S338" s="3"/>
      <c r="T338" s="3"/>
      <c r="U338" s="3"/>
      <c r="V338" s="3"/>
      <c r="W338" s="3"/>
      <c r="X338" s="3"/>
      <c r="Y338" s="3"/>
      <c r="Z338" s="3"/>
      <c r="AA338" s="3"/>
      <c r="AB338" s="3"/>
      <c r="AC338" s="3"/>
      <c r="AD338" s="3"/>
      <c r="AE338" s="3"/>
      <c r="AF338" s="3"/>
      <c r="AG338" s="3"/>
      <c r="AH338" s="3"/>
      <c r="AI338" s="3"/>
      <c r="AJ338" s="3"/>
      <c r="AK338" s="3"/>
      <c r="AL338" s="3"/>
    </row>
    <row r="339" spans="1:38" ht="14.25" customHeight="1" x14ac:dyDescent="0.2">
      <c r="A339" s="118"/>
      <c r="B339" s="118"/>
      <c r="C339" s="118"/>
      <c r="D339" s="118"/>
      <c r="E339" s="118"/>
      <c r="F339" s="118"/>
      <c r="G339" s="118"/>
      <c r="H339" s="118"/>
      <c r="I339" s="118"/>
      <c r="J339" s="118"/>
      <c r="K339" s="118"/>
      <c r="L339" s="118"/>
      <c r="M339" s="118"/>
      <c r="N339" s="42"/>
      <c r="O339" s="42"/>
      <c r="P339" s="42"/>
      <c r="Q339" s="42"/>
      <c r="R339" s="42"/>
      <c r="S339" s="3"/>
      <c r="T339" s="3"/>
      <c r="U339" s="3"/>
      <c r="V339" s="3"/>
      <c r="W339" s="3"/>
      <c r="X339" s="3"/>
      <c r="Y339" s="3"/>
      <c r="Z339" s="3"/>
      <c r="AA339" s="3"/>
      <c r="AB339" s="3"/>
      <c r="AC339" s="3"/>
      <c r="AD339" s="3"/>
      <c r="AE339" s="3"/>
      <c r="AF339" s="3"/>
      <c r="AG339" s="3"/>
      <c r="AH339" s="3"/>
      <c r="AI339" s="3"/>
      <c r="AJ339" s="3"/>
      <c r="AK339" s="3"/>
      <c r="AL339" s="3"/>
    </row>
    <row r="340" spans="1:38" ht="14.25" customHeight="1" x14ac:dyDescent="0.2">
      <c r="A340" s="118"/>
      <c r="B340" s="118"/>
      <c r="C340" s="118"/>
      <c r="D340" s="118"/>
      <c r="E340" s="118"/>
      <c r="F340" s="118"/>
      <c r="G340" s="118"/>
      <c r="H340" s="118"/>
      <c r="I340" s="118"/>
      <c r="J340" s="118"/>
      <c r="K340" s="118"/>
      <c r="L340" s="118"/>
      <c r="M340" s="118"/>
      <c r="N340" s="42"/>
      <c r="O340" s="42"/>
      <c r="P340" s="42"/>
      <c r="Q340" s="42"/>
      <c r="R340" s="42"/>
      <c r="S340" s="3"/>
      <c r="T340" s="3"/>
      <c r="U340" s="3"/>
      <c r="V340" s="3"/>
      <c r="W340" s="3"/>
      <c r="X340" s="3"/>
      <c r="Y340" s="3"/>
      <c r="Z340" s="3"/>
      <c r="AA340" s="3"/>
      <c r="AB340" s="3"/>
      <c r="AC340" s="3"/>
      <c r="AD340" s="3"/>
      <c r="AE340" s="3"/>
      <c r="AF340" s="3"/>
      <c r="AG340" s="3"/>
      <c r="AH340" s="3"/>
      <c r="AI340" s="3"/>
      <c r="AJ340" s="3"/>
      <c r="AK340" s="3"/>
      <c r="AL340" s="3"/>
    </row>
    <row r="341" spans="1:38" ht="14.25" customHeight="1" x14ac:dyDescent="0.2">
      <c r="A341" s="118"/>
      <c r="B341" s="118"/>
      <c r="C341" s="118"/>
      <c r="D341" s="118"/>
      <c r="E341" s="118"/>
      <c r="F341" s="118"/>
      <c r="G341" s="118"/>
      <c r="H341" s="118"/>
      <c r="I341" s="118"/>
      <c r="J341" s="118"/>
      <c r="K341" s="118"/>
      <c r="L341" s="118"/>
      <c r="M341" s="118"/>
      <c r="N341" s="42"/>
      <c r="O341" s="42"/>
      <c r="P341" s="42"/>
      <c r="Q341" s="42"/>
      <c r="R341" s="42"/>
      <c r="S341" s="3"/>
      <c r="T341" s="3"/>
      <c r="U341" s="3"/>
      <c r="V341" s="3"/>
      <c r="W341" s="3"/>
      <c r="X341" s="3"/>
      <c r="Y341" s="3"/>
      <c r="Z341" s="3"/>
      <c r="AA341" s="3"/>
      <c r="AB341" s="3"/>
      <c r="AC341" s="3"/>
      <c r="AD341" s="3"/>
      <c r="AE341" s="3"/>
      <c r="AF341" s="3"/>
      <c r="AG341" s="3"/>
      <c r="AH341" s="3"/>
      <c r="AI341" s="3"/>
      <c r="AJ341" s="3"/>
      <c r="AK341" s="3"/>
      <c r="AL341" s="3"/>
    </row>
    <row r="342" spans="1:38" ht="14.25" customHeight="1" x14ac:dyDescent="0.2">
      <c r="A342" s="118"/>
      <c r="B342" s="118"/>
      <c r="C342" s="118"/>
      <c r="D342" s="118"/>
      <c r="E342" s="118"/>
      <c r="F342" s="118"/>
      <c r="G342" s="118"/>
      <c r="H342" s="118"/>
      <c r="I342" s="118"/>
      <c r="J342" s="118"/>
      <c r="K342" s="118"/>
      <c r="L342" s="118"/>
      <c r="M342" s="118"/>
      <c r="N342" s="42"/>
      <c r="O342" s="42"/>
      <c r="P342" s="42"/>
      <c r="Q342" s="42"/>
      <c r="R342" s="42"/>
      <c r="S342" s="3"/>
      <c r="T342" s="3"/>
      <c r="U342" s="3"/>
      <c r="V342" s="3"/>
      <c r="W342" s="3"/>
      <c r="X342" s="3"/>
      <c r="Y342" s="3"/>
      <c r="Z342" s="3"/>
      <c r="AA342" s="3"/>
      <c r="AB342" s="3"/>
      <c r="AC342" s="3"/>
      <c r="AD342" s="3"/>
      <c r="AE342" s="3"/>
      <c r="AF342" s="3"/>
      <c r="AG342" s="3"/>
      <c r="AH342" s="3"/>
      <c r="AI342" s="3"/>
      <c r="AJ342" s="3"/>
      <c r="AK342" s="3"/>
      <c r="AL342" s="3"/>
    </row>
    <row r="343" spans="1:38" ht="14.25" customHeight="1" x14ac:dyDescent="0.2">
      <c r="A343" s="118"/>
      <c r="B343" s="118"/>
      <c r="C343" s="118"/>
      <c r="D343" s="118"/>
      <c r="E343" s="118"/>
      <c r="F343" s="118"/>
      <c r="G343" s="118"/>
      <c r="H343" s="118"/>
      <c r="I343" s="118"/>
      <c r="J343" s="118"/>
      <c r="K343" s="118"/>
      <c r="L343" s="118"/>
      <c r="M343" s="118"/>
      <c r="N343" s="42"/>
      <c r="O343" s="42"/>
      <c r="P343" s="42"/>
      <c r="Q343" s="42"/>
      <c r="R343" s="42"/>
      <c r="S343" s="3"/>
      <c r="T343" s="3"/>
      <c r="U343" s="3"/>
      <c r="V343" s="3"/>
      <c r="W343" s="3"/>
      <c r="X343" s="3"/>
      <c r="Y343" s="3"/>
      <c r="Z343" s="3"/>
      <c r="AA343" s="3"/>
      <c r="AB343" s="3"/>
      <c r="AC343" s="3"/>
      <c r="AD343" s="3"/>
      <c r="AE343" s="3"/>
      <c r="AF343" s="3"/>
      <c r="AG343" s="3"/>
      <c r="AH343" s="3"/>
      <c r="AI343" s="3"/>
      <c r="AJ343" s="3"/>
      <c r="AK343" s="3"/>
      <c r="AL343" s="3"/>
    </row>
    <row r="344" spans="1:38" ht="14.25" customHeight="1" x14ac:dyDescent="0.2">
      <c r="A344" s="118"/>
      <c r="B344" s="118"/>
      <c r="C344" s="118"/>
      <c r="D344" s="118"/>
      <c r="E344" s="118"/>
      <c r="F344" s="118"/>
      <c r="G344" s="118"/>
      <c r="H344" s="118"/>
      <c r="I344" s="118"/>
      <c r="J344" s="118"/>
      <c r="K344" s="118"/>
      <c r="L344" s="118"/>
      <c r="M344" s="118"/>
      <c r="N344" s="42"/>
      <c r="O344" s="42"/>
      <c r="P344" s="42"/>
      <c r="Q344" s="42"/>
      <c r="R344" s="42"/>
      <c r="S344" s="3"/>
      <c r="T344" s="3"/>
      <c r="U344" s="3"/>
      <c r="V344" s="3"/>
      <c r="W344" s="3"/>
      <c r="X344" s="3"/>
      <c r="Y344" s="3"/>
      <c r="Z344" s="3"/>
      <c r="AA344" s="3"/>
      <c r="AB344" s="3"/>
      <c r="AC344" s="3"/>
      <c r="AD344" s="3"/>
      <c r="AE344" s="3"/>
      <c r="AF344" s="3"/>
      <c r="AG344" s="3"/>
      <c r="AH344" s="3"/>
      <c r="AI344" s="3"/>
      <c r="AJ344" s="3"/>
      <c r="AK344" s="3"/>
      <c r="AL344" s="3"/>
    </row>
    <row r="345" spans="1:38" ht="14.25" customHeight="1" x14ac:dyDescent="0.2">
      <c r="A345" s="118"/>
      <c r="B345" s="118"/>
      <c r="C345" s="118"/>
      <c r="D345" s="118"/>
      <c r="E345" s="118"/>
      <c r="F345" s="118"/>
      <c r="G345" s="118"/>
      <c r="H345" s="118"/>
      <c r="I345" s="118"/>
      <c r="J345" s="118"/>
      <c r="K345" s="118"/>
      <c r="L345" s="118"/>
      <c r="M345" s="118"/>
      <c r="N345" s="42"/>
      <c r="O345" s="42"/>
      <c r="P345" s="42"/>
      <c r="Q345" s="42"/>
      <c r="R345" s="42"/>
      <c r="S345" s="3"/>
      <c r="T345" s="3"/>
      <c r="U345" s="3"/>
      <c r="V345" s="3"/>
      <c r="W345" s="3"/>
      <c r="X345" s="3"/>
      <c r="Y345" s="3"/>
      <c r="Z345" s="3"/>
      <c r="AA345" s="3"/>
      <c r="AB345" s="3"/>
      <c r="AC345" s="3"/>
      <c r="AD345" s="3"/>
      <c r="AE345" s="3"/>
      <c r="AF345" s="3"/>
      <c r="AG345" s="3"/>
      <c r="AH345" s="3"/>
      <c r="AI345" s="3"/>
      <c r="AJ345" s="3"/>
      <c r="AK345" s="3"/>
      <c r="AL345" s="3"/>
    </row>
    <row r="346" spans="1:38" ht="14.25" customHeight="1" x14ac:dyDescent="0.2">
      <c r="A346" s="118"/>
      <c r="B346" s="118"/>
      <c r="C346" s="118"/>
      <c r="D346" s="118"/>
      <c r="E346" s="118"/>
      <c r="F346" s="118"/>
      <c r="G346" s="118"/>
      <c r="H346" s="118"/>
      <c r="I346" s="118"/>
      <c r="J346" s="118"/>
      <c r="K346" s="118"/>
      <c r="L346" s="118"/>
      <c r="M346" s="118"/>
      <c r="N346" s="42"/>
      <c r="O346" s="42"/>
      <c r="P346" s="42"/>
      <c r="Q346" s="42"/>
      <c r="R346" s="42"/>
      <c r="S346" s="3"/>
      <c r="T346" s="3"/>
      <c r="U346" s="3"/>
      <c r="V346" s="3"/>
      <c r="W346" s="3"/>
      <c r="X346" s="3"/>
      <c r="Y346" s="3"/>
      <c r="Z346" s="3"/>
      <c r="AA346" s="3"/>
      <c r="AB346" s="3"/>
      <c r="AC346" s="3"/>
      <c r="AD346" s="3"/>
      <c r="AE346" s="3"/>
      <c r="AF346" s="3"/>
      <c r="AG346" s="3"/>
      <c r="AH346" s="3"/>
      <c r="AI346" s="3"/>
      <c r="AJ346" s="3"/>
      <c r="AK346" s="3"/>
      <c r="AL346" s="3"/>
    </row>
    <row r="347" spans="1:38" ht="14.25" customHeight="1" x14ac:dyDescent="0.2">
      <c r="A347" s="118"/>
      <c r="B347" s="118"/>
      <c r="C347" s="118"/>
      <c r="D347" s="118"/>
      <c r="E347" s="118"/>
      <c r="F347" s="118"/>
      <c r="G347" s="118"/>
      <c r="H347" s="118"/>
      <c r="I347" s="118"/>
      <c r="J347" s="118"/>
      <c r="K347" s="118"/>
      <c r="L347" s="118"/>
      <c r="M347" s="118"/>
      <c r="N347" s="42"/>
      <c r="O347" s="42"/>
      <c r="P347" s="42"/>
      <c r="Q347" s="42"/>
      <c r="R347" s="42"/>
      <c r="S347" s="3"/>
      <c r="T347" s="3"/>
      <c r="U347" s="3"/>
      <c r="V347" s="3"/>
      <c r="W347" s="3"/>
      <c r="X347" s="3"/>
      <c r="Y347" s="3"/>
      <c r="Z347" s="3"/>
      <c r="AA347" s="3"/>
      <c r="AB347" s="3"/>
      <c r="AC347" s="3"/>
      <c r="AD347" s="3"/>
      <c r="AE347" s="3"/>
      <c r="AF347" s="3"/>
      <c r="AG347" s="3"/>
      <c r="AH347" s="3"/>
      <c r="AI347" s="3"/>
      <c r="AJ347" s="3"/>
      <c r="AK347" s="3"/>
      <c r="AL347" s="3"/>
    </row>
    <row r="348" spans="1:38" ht="14.25" customHeight="1" x14ac:dyDescent="0.2">
      <c r="A348" s="118"/>
      <c r="B348" s="118"/>
      <c r="C348" s="118"/>
      <c r="D348" s="118"/>
      <c r="E348" s="118"/>
      <c r="F348" s="118"/>
      <c r="G348" s="118"/>
      <c r="H348" s="118"/>
      <c r="I348" s="118"/>
      <c r="J348" s="118"/>
      <c r="K348" s="118"/>
      <c r="L348" s="118"/>
      <c r="M348" s="118"/>
      <c r="N348" s="42"/>
      <c r="O348" s="42"/>
      <c r="P348" s="42"/>
      <c r="Q348" s="42"/>
      <c r="R348" s="42"/>
      <c r="S348" s="3"/>
      <c r="T348" s="3"/>
      <c r="U348" s="3"/>
      <c r="V348" s="3"/>
      <c r="W348" s="3"/>
      <c r="X348" s="3"/>
      <c r="Y348" s="3"/>
      <c r="Z348" s="3"/>
      <c r="AA348" s="3"/>
      <c r="AB348" s="3"/>
      <c r="AC348" s="3"/>
      <c r="AD348" s="3"/>
      <c r="AE348" s="3"/>
      <c r="AF348" s="3"/>
      <c r="AG348" s="3"/>
      <c r="AH348" s="3"/>
      <c r="AI348" s="3"/>
      <c r="AJ348" s="3"/>
      <c r="AK348" s="3"/>
      <c r="AL348" s="3"/>
    </row>
    <row r="349" spans="1:38" ht="14.25" customHeight="1" x14ac:dyDescent="0.2">
      <c r="A349" s="118"/>
      <c r="B349" s="118"/>
      <c r="C349" s="118"/>
      <c r="D349" s="118"/>
      <c r="E349" s="118"/>
      <c r="F349" s="118"/>
      <c r="G349" s="118"/>
      <c r="H349" s="118"/>
      <c r="I349" s="118"/>
      <c r="J349" s="118"/>
      <c r="K349" s="118"/>
      <c r="L349" s="118"/>
      <c r="M349" s="118"/>
      <c r="N349" s="42"/>
      <c r="O349" s="42"/>
      <c r="P349" s="42"/>
      <c r="Q349" s="42"/>
      <c r="R349" s="42"/>
      <c r="S349" s="3"/>
      <c r="T349" s="3"/>
      <c r="U349" s="3"/>
      <c r="V349" s="3"/>
      <c r="W349" s="3"/>
      <c r="X349" s="3"/>
      <c r="Y349" s="3"/>
      <c r="Z349" s="3"/>
      <c r="AA349" s="3"/>
      <c r="AB349" s="3"/>
      <c r="AC349" s="3"/>
      <c r="AD349" s="3"/>
      <c r="AE349" s="3"/>
      <c r="AF349" s="3"/>
      <c r="AG349" s="3"/>
      <c r="AH349" s="3"/>
      <c r="AI349" s="3"/>
      <c r="AJ349" s="3"/>
      <c r="AK349" s="3"/>
      <c r="AL349" s="3"/>
    </row>
    <row r="350" spans="1:38" ht="14.25" customHeight="1" x14ac:dyDescent="0.2">
      <c r="A350" s="118"/>
      <c r="B350" s="118"/>
      <c r="C350" s="118"/>
      <c r="D350" s="118"/>
      <c r="E350" s="118"/>
      <c r="F350" s="118"/>
      <c r="G350" s="118"/>
      <c r="H350" s="118"/>
      <c r="I350" s="118"/>
      <c r="J350" s="118"/>
      <c r="K350" s="118"/>
      <c r="L350" s="118"/>
      <c r="M350" s="118"/>
      <c r="N350" s="42"/>
      <c r="O350" s="42"/>
      <c r="P350" s="42"/>
      <c r="Q350" s="42"/>
      <c r="R350" s="42"/>
      <c r="S350" s="3"/>
      <c r="T350" s="3"/>
      <c r="U350" s="3"/>
      <c r="V350" s="3"/>
      <c r="W350" s="3"/>
      <c r="X350" s="3"/>
      <c r="Y350" s="3"/>
      <c r="Z350" s="3"/>
      <c r="AA350" s="3"/>
      <c r="AB350" s="3"/>
      <c r="AC350" s="3"/>
      <c r="AD350" s="3"/>
      <c r="AE350" s="3"/>
      <c r="AF350" s="3"/>
      <c r="AG350" s="3"/>
      <c r="AH350" s="3"/>
      <c r="AI350" s="3"/>
      <c r="AJ350" s="3"/>
      <c r="AK350" s="3"/>
      <c r="AL350" s="3"/>
    </row>
    <row r="351" spans="1:38" ht="14.25" customHeight="1" x14ac:dyDescent="0.2">
      <c r="A351" s="118"/>
      <c r="B351" s="118"/>
      <c r="C351" s="118"/>
      <c r="D351" s="118"/>
      <c r="E351" s="118"/>
      <c r="F351" s="118"/>
      <c r="G351" s="118"/>
      <c r="H351" s="118"/>
      <c r="I351" s="118"/>
      <c r="J351" s="118"/>
      <c r="K351" s="118"/>
      <c r="L351" s="118"/>
      <c r="M351" s="118"/>
      <c r="N351" s="42"/>
      <c r="O351" s="42"/>
      <c r="P351" s="42"/>
      <c r="Q351" s="42"/>
      <c r="R351" s="42"/>
      <c r="S351" s="3"/>
      <c r="T351" s="3"/>
      <c r="U351" s="3"/>
      <c r="V351" s="3"/>
      <c r="W351" s="3"/>
      <c r="X351" s="3"/>
      <c r="Y351" s="3"/>
      <c r="Z351" s="3"/>
      <c r="AA351" s="3"/>
      <c r="AB351" s="3"/>
      <c r="AC351" s="3"/>
      <c r="AD351" s="3"/>
      <c r="AE351" s="3"/>
      <c r="AF351" s="3"/>
      <c r="AG351" s="3"/>
      <c r="AH351" s="3"/>
      <c r="AI351" s="3"/>
      <c r="AJ351" s="3"/>
      <c r="AK351" s="3"/>
      <c r="AL351" s="3"/>
    </row>
    <row r="352" spans="1:38" ht="14.25" customHeight="1" x14ac:dyDescent="0.2">
      <c r="A352" s="118"/>
      <c r="B352" s="118"/>
      <c r="C352" s="118"/>
      <c r="D352" s="118"/>
      <c r="E352" s="118"/>
      <c r="F352" s="118"/>
      <c r="G352" s="118"/>
      <c r="H352" s="118"/>
      <c r="I352" s="118"/>
      <c r="J352" s="118"/>
      <c r="K352" s="118"/>
      <c r="L352" s="118"/>
      <c r="M352" s="118"/>
      <c r="N352" s="42"/>
      <c r="O352" s="42"/>
      <c r="P352" s="42"/>
      <c r="Q352" s="42"/>
      <c r="R352" s="42"/>
      <c r="S352" s="3"/>
      <c r="T352" s="3"/>
      <c r="U352" s="3"/>
      <c r="V352" s="3"/>
      <c r="W352" s="3"/>
      <c r="X352" s="3"/>
      <c r="Y352" s="3"/>
      <c r="Z352" s="3"/>
      <c r="AA352" s="3"/>
      <c r="AB352" s="3"/>
      <c r="AC352" s="3"/>
      <c r="AD352" s="3"/>
      <c r="AE352" s="3"/>
      <c r="AF352" s="3"/>
      <c r="AG352" s="3"/>
      <c r="AH352" s="3"/>
      <c r="AI352" s="3"/>
      <c r="AJ352" s="3"/>
      <c r="AK352" s="3"/>
      <c r="AL352" s="3"/>
    </row>
    <row r="353" spans="1:38" ht="14.25" customHeight="1" x14ac:dyDescent="0.2">
      <c r="A353" s="118"/>
      <c r="B353" s="118"/>
      <c r="C353" s="118"/>
      <c r="D353" s="118"/>
      <c r="E353" s="118"/>
      <c r="F353" s="118"/>
      <c r="G353" s="118"/>
      <c r="H353" s="118"/>
      <c r="I353" s="118"/>
      <c r="J353" s="118"/>
      <c r="K353" s="118"/>
      <c r="L353" s="118"/>
      <c r="M353" s="118"/>
      <c r="N353" s="42"/>
      <c r="O353" s="42"/>
      <c r="P353" s="42"/>
      <c r="Q353" s="42"/>
      <c r="R353" s="42"/>
      <c r="S353" s="3"/>
      <c r="T353" s="3"/>
      <c r="U353" s="3"/>
      <c r="V353" s="3"/>
      <c r="W353" s="3"/>
      <c r="X353" s="3"/>
      <c r="Y353" s="3"/>
      <c r="Z353" s="3"/>
      <c r="AA353" s="3"/>
      <c r="AB353" s="3"/>
      <c r="AC353" s="3"/>
      <c r="AD353" s="3"/>
      <c r="AE353" s="3"/>
      <c r="AF353" s="3"/>
      <c r="AG353" s="3"/>
      <c r="AH353" s="3"/>
      <c r="AI353" s="3"/>
      <c r="AJ353" s="3"/>
      <c r="AK353" s="3"/>
      <c r="AL353" s="3"/>
    </row>
    <row r="354" spans="1:38" ht="14.25" customHeight="1" x14ac:dyDescent="0.2">
      <c r="A354" s="118"/>
      <c r="B354" s="118"/>
      <c r="C354" s="118"/>
      <c r="D354" s="118"/>
      <c r="E354" s="118"/>
      <c r="F354" s="118"/>
      <c r="G354" s="118"/>
      <c r="H354" s="118"/>
      <c r="I354" s="118"/>
      <c r="J354" s="118"/>
      <c r="K354" s="118"/>
      <c r="L354" s="118"/>
      <c r="M354" s="118"/>
      <c r="N354" s="42"/>
      <c r="O354" s="42"/>
      <c r="P354" s="42"/>
      <c r="Q354" s="42"/>
      <c r="R354" s="42"/>
      <c r="S354" s="3"/>
      <c r="T354" s="3"/>
      <c r="U354" s="3"/>
      <c r="V354" s="3"/>
      <c r="W354" s="3"/>
      <c r="X354" s="3"/>
      <c r="Y354" s="3"/>
      <c r="Z354" s="3"/>
      <c r="AA354" s="3"/>
      <c r="AB354" s="3"/>
      <c r="AC354" s="3"/>
      <c r="AD354" s="3"/>
      <c r="AE354" s="3"/>
      <c r="AF354" s="3"/>
      <c r="AG354" s="3"/>
      <c r="AH354" s="3"/>
      <c r="AI354" s="3"/>
      <c r="AJ354" s="3"/>
      <c r="AK354" s="3"/>
      <c r="AL354" s="3"/>
    </row>
    <row r="355" spans="1:38" ht="14.25" customHeight="1" x14ac:dyDescent="0.2">
      <c r="A355" s="118"/>
      <c r="B355" s="118"/>
      <c r="C355" s="118"/>
      <c r="D355" s="118"/>
      <c r="E355" s="118"/>
      <c r="F355" s="118"/>
      <c r="G355" s="118"/>
      <c r="H355" s="118"/>
      <c r="I355" s="118"/>
      <c r="J355" s="118"/>
      <c r="K355" s="118"/>
      <c r="L355" s="118"/>
      <c r="M355" s="118"/>
      <c r="N355" s="42"/>
      <c r="O355" s="42"/>
      <c r="P355" s="42"/>
      <c r="Q355" s="42"/>
      <c r="R355" s="42"/>
      <c r="S355" s="3"/>
      <c r="T355" s="3"/>
      <c r="U355" s="3"/>
      <c r="V355" s="3"/>
      <c r="W355" s="3"/>
      <c r="X355" s="3"/>
      <c r="Y355" s="3"/>
      <c r="Z355" s="3"/>
      <c r="AA355" s="3"/>
      <c r="AB355" s="3"/>
      <c r="AC355" s="3"/>
      <c r="AD355" s="3"/>
      <c r="AE355" s="3"/>
      <c r="AF355" s="3"/>
      <c r="AG355" s="3"/>
      <c r="AH355" s="3"/>
      <c r="AI355" s="3"/>
      <c r="AJ355" s="3"/>
      <c r="AK355" s="3"/>
      <c r="AL355" s="3"/>
    </row>
    <row r="356" spans="1:38" ht="14.25" customHeight="1" x14ac:dyDescent="0.2">
      <c r="A356" s="118"/>
      <c r="B356" s="118"/>
      <c r="C356" s="118"/>
      <c r="D356" s="118"/>
      <c r="E356" s="118"/>
      <c r="F356" s="118"/>
      <c r="G356" s="118"/>
      <c r="H356" s="118"/>
      <c r="I356" s="118"/>
      <c r="J356" s="118"/>
      <c r="K356" s="118"/>
      <c r="L356" s="118"/>
      <c r="M356" s="118"/>
      <c r="N356" s="42"/>
      <c r="O356" s="42"/>
      <c r="P356" s="42"/>
      <c r="Q356" s="42"/>
      <c r="R356" s="42"/>
      <c r="S356" s="3"/>
      <c r="T356" s="3"/>
      <c r="U356" s="3"/>
      <c r="V356" s="3"/>
      <c r="W356" s="3"/>
      <c r="X356" s="3"/>
      <c r="Y356" s="3"/>
      <c r="Z356" s="3"/>
      <c r="AA356" s="3"/>
      <c r="AB356" s="3"/>
      <c r="AC356" s="3"/>
      <c r="AD356" s="3"/>
      <c r="AE356" s="3"/>
      <c r="AF356" s="3"/>
      <c r="AG356" s="3"/>
      <c r="AH356" s="3"/>
      <c r="AI356" s="3"/>
      <c r="AJ356" s="3"/>
      <c r="AK356" s="3"/>
      <c r="AL356" s="3"/>
    </row>
    <row r="357" spans="1:38" ht="14.25" customHeight="1" x14ac:dyDescent="0.2">
      <c r="A357" s="118"/>
      <c r="B357" s="118"/>
      <c r="C357" s="118"/>
      <c r="D357" s="118"/>
      <c r="E357" s="118"/>
      <c r="F357" s="118"/>
      <c r="G357" s="118"/>
      <c r="H357" s="118"/>
      <c r="I357" s="118"/>
      <c r="J357" s="118"/>
      <c r="K357" s="118"/>
      <c r="L357" s="118"/>
      <c r="M357" s="118"/>
      <c r="N357" s="42"/>
      <c r="O357" s="42"/>
      <c r="P357" s="42"/>
      <c r="Q357" s="42"/>
      <c r="R357" s="42"/>
      <c r="S357" s="3"/>
      <c r="T357" s="3"/>
      <c r="U357" s="3"/>
      <c r="V357" s="3"/>
      <c r="W357" s="3"/>
      <c r="X357" s="3"/>
      <c r="Y357" s="3"/>
      <c r="Z357" s="3"/>
      <c r="AA357" s="3"/>
      <c r="AB357" s="3"/>
      <c r="AC357" s="3"/>
      <c r="AD357" s="3"/>
      <c r="AE357" s="3"/>
      <c r="AF357" s="3"/>
      <c r="AG357" s="3"/>
      <c r="AH357" s="3"/>
      <c r="AI357" s="3"/>
      <c r="AJ357" s="3"/>
      <c r="AK357" s="3"/>
      <c r="AL357" s="3"/>
    </row>
    <row r="358" spans="1:38" ht="14.25" customHeight="1" x14ac:dyDescent="0.2">
      <c r="A358" s="118"/>
      <c r="B358" s="118"/>
      <c r="C358" s="118"/>
      <c r="D358" s="118"/>
      <c r="E358" s="118"/>
      <c r="F358" s="118"/>
      <c r="G358" s="118"/>
      <c r="H358" s="118"/>
      <c r="I358" s="118"/>
      <c r="J358" s="118"/>
      <c r="K358" s="118"/>
      <c r="L358" s="118"/>
      <c r="M358" s="118"/>
      <c r="N358" s="42"/>
      <c r="O358" s="42"/>
      <c r="P358" s="42"/>
      <c r="Q358" s="42"/>
      <c r="R358" s="42"/>
      <c r="S358" s="3"/>
      <c r="T358" s="3"/>
      <c r="U358" s="3"/>
      <c r="V358" s="3"/>
      <c r="W358" s="3"/>
      <c r="X358" s="3"/>
      <c r="Y358" s="3"/>
      <c r="Z358" s="3"/>
      <c r="AA358" s="3"/>
      <c r="AB358" s="3"/>
      <c r="AC358" s="3"/>
      <c r="AD358" s="3"/>
      <c r="AE358" s="3"/>
      <c r="AF358" s="3"/>
      <c r="AG358" s="3"/>
      <c r="AH358" s="3"/>
      <c r="AI358" s="3"/>
      <c r="AJ358" s="3"/>
      <c r="AK358" s="3"/>
      <c r="AL358" s="3"/>
    </row>
    <row r="359" spans="1:38" ht="14.25" customHeight="1" x14ac:dyDescent="0.2">
      <c r="A359" s="118"/>
      <c r="B359" s="118"/>
      <c r="C359" s="118"/>
      <c r="D359" s="118"/>
      <c r="E359" s="118"/>
      <c r="F359" s="118"/>
      <c r="G359" s="118"/>
      <c r="H359" s="118"/>
      <c r="I359" s="118"/>
      <c r="J359" s="118"/>
      <c r="K359" s="118"/>
      <c r="L359" s="118"/>
      <c r="M359" s="118"/>
      <c r="N359" s="42"/>
      <c r="O359" s="42"/>
      <c r="P359" s="42"/>
      <c r="Q359" s="42"/>
      <c r="R359" s="42"/>
      <c r="S359" s="3"/>
      <c r="T359" s="3"/>
      <c r="U359" s="3"/>
      <c r="V359" s="3"/>
      <c r="W359" s="3"/>
      <c r="X359" s="3"/>
      <c r="Y359" s="3"/>
      <c r="Z359" s="3"/>
      <c r="AA359" s="3"/>
      <c r="AB359" s="3"/>
      <c r="AC359" s="3"/>
      <c r="AD359" s="3"/>
      <c r="AE359" s="3"/>
      <c r="AF359" s="3"/>
      <c r="AG359" s="3"/>
      <c r="AH359" s="3"/>
      <c r="AI359" s="3"/>
      <c r="AJ359" s="3"/>
      <c r="AK359" s="3"/>
      <c r="AL359" s="3"/>
    </row>
    <row r="360" spans="1:38" ht="14.25" customHeight="1" x14ac:dyDescent="0.2">
      <c r="A360" s="118"/>
      <c r="B360" s="118"/>
      <c r="C360" s="118"/>
      <c r="D360" s="118"/>
      <c r="E360" s="118"/>
      <c r="F360" s="118"/>
      <c r="G360" s="118"/>
      <c r="H360" s="118"/>
      <c r="I360" s="118"/>
      <c r="J360" s="118"/>
      <c r="K360" s="118"/>
      <c r="L360" s="118"/>
      <c r="M360" s="118"/>
      <c r="N360" s="42"/>
      <c r="O360" s="42"/>
      <c r="P360" s="42"/>
      <c r="Q360" s="42"/>
      <c r="R360" s="42"/>
      <c r="S360" s="3"/>
      <c r="T360" s="3"/>
      <c r="U360" s="3"/>
      <c r="V360" s="3"/>
      <c r="W360" s="3"/>
      <c r="X360" s="3"/>
      <c r="Y360" s="3"/>
      <c r="Z360" s="3"/>
      <c r="AA360" s="3"/>
      <c r="AB360" s="3"/>
      <c r="AC360" s="3"/>
      <c r="AD360" s="3"/>
      <c r="AE360" s="3"/>
      <c r="AF360" s="3"/>
      <c r="AG360" s="3"/>
      <c r="AH360" s="3"/>
      <c r="AI360" s="3"/>
      <c r="AJ360" s="3"/>
      <c r="AK360" s="3"/>
      <c r="AL360" s="3"/>
    </row>
    <row r="361" spans="1:38" ht="14.25" customHeight="1" x14ac:dyDescent="0.2">
      <c r="A361" s="118"/>
      <c r="B361" s="118"/>
      <c r="C361" s="118"/>
      <c r="D361" s="118"/>
      <c r="E361" s="118"/>
      <c r="F361" s="118"/>
      <c r="G361" s="118"/>
      <c r="H361" s="118"/>
      <c r="I361" s="118"/>
      <c r="J361" s="118"/>
      <c r="K361" s="118"/>
      <c r="L361" s="118"/>
      <c r="M361" s="118"/>
      <c r="N361" s="42"/>
      <c r="O361" s="42"/>
      <c r="P361" s="42"/>
      <c r="Q361" s="42"/>
      <c r="R361" s="42"/>
      <c r="S361" s="3"/>
      <c r="T361" s="3"/>
      <c r="U361" s="3"/>
      <c r="V361" s="3"/>
      <c r="W361" s="3"/>
      <c r="X361" s="3"/>
      <c r="Y361" s="3"/>
      <c r="Z361" s="3"/>
      <c r="AA361" s="3"/>
      <c r="AB361" s="3"/>
      <c r="AC361" s="3"/>
      <c r="AD361" s="3"/>
      <c r="AE361" s="3"/>
      <c r="AF361" s="3"/>
      <c r="AG361" s="3"/>
      <c r="AH361" s="3"/>
      <c r="AI361" s="3"/>
      <c r="AJ361" s="3"/>
      <c r="AK361" s="3"/>
      <c r="AL361" s="3"/>
    </row>
    <row r="362" spans="1:38" ht="14.25" customHeight="1" x14ac:dyDescent="0.2">
      <c r="A362" s="118"/>
      <c r="B362" s="118"/>
      <c r="C362" s="118"/>
      <c r="D362" s="118"/>
      <c r="E362" s="118"/>
      <c r="F362" s="118"/>
      <c r="G362" s="118"/>
      <c r="H362" s="118"/>
      <c r="I362" s="118"/>
      <c r="J362" s="118"/>
      <c r="K362" s="118"/>
      <c r="L362" s="118"/>
      <c r="M362" s="118"/>
      <c r="N362" s="42"/>
      <c r="O362" s="42"/>
      <c r="P362" s="42"/>
      <c r="Q362" s="42"/>
      <c r="R362" s="42"/>
      <c r="S362" s="3"/>
      <c r="T362" s="3"/>
      <c r="U362" s="3"/>
      <c r="V362" s="3"/>
      <c r="W362" s="3"/>
      <c r="X362" s="3"/>
      <c r="Y362" s="3"/>
      <c r="Z362" s="3"/>
      <c r="AA362" s="3"/>
      <c r="AB362" s="3"/>
      <c r="AC362" s="3"/>
      <c r="AD362" s="3"/>
      <c r="AE362" s="3"/>
      <c r="AF362" s="3"/>
      <c r="AG362" s="3"/>
      <c r="AH362" s="3"/>
      <c r="AI362" s="3"/>
      <c r="AJ362" s="3"/>
      <c r="AK362" s="3"/>
      <c r="AL362" s="3"/>
    </row>
    <row r="363" spans="1:38" ht="14.25" customHeight="1" x14ac:dyDescent="0.2">
      <c r="A363" s="118"/>
      <c r="B363" s="118"/>
      <c r="C363" s="118"/>
      <c r="D363" s="118"/>
      <c r="E363" s="118"/>
      <c r="F363" s="118"/>
      <c r="G363" s="118"/>
      <c r="H363" s="118"/>
      <c r="I363" s="118"/>
      <c r="J363" s="118"/>
      <c r="K363" s="118"/>
      <c r="L363" s="118"/>
      <c r="M363" s="118"/>
      <c r="N363" s="42"/>
      <c r="O363" s="42"/>
      <c r="P363" s="42"/>
      <c r="Q363" s="42"/>
      <c r="R363" s="42"/>
      <c r="S363" s="3"/>
      <c r="T363" s="3"/>
      <c r="U363" s="3"/>
      <c r="V363" s="3"/>
      <c r="W363" s="3"/>
      <c r="X363" s="3"/>
      <c r="Y363" s="3"/>
      <c r="Z363" s="3"/>
      <c r="AA363" s="3"/>
      <c r="AB363" s="3"/>
      <c r="AC363" s="3"/>
      <c r="AD363" s="3"/>
      <c r="AE363" s="3"/>
      <c r="AF363" s="3"/>
      <c r="AG363" s="3"/>
      <c r="AH363" s="3"/>
      <c r="AI363" s="3"/>
      <c r="AJ363" s="3"/>
      <c r="AK363" s="3"/>
      <c r="AL363" s="3"/>
    </row>
    <row r="364" spans="1:38" ht="14.25" customHeight="1" x14ac:dyDescent="0.2">
      <c r="A364" s="118"/>
      <c r="B364" s="118"/>
      <c r="C364" s="118"/>
      <c r="D364" s="118"/>
      <c r="E364" s="118"/>
      <c r="F364" s="118"/>
      <c r="G364" s="118"/>
      <c r="H364" s="118"/>
      <c r="I364" s="118"/>
      <c r="J364" s="118"/>
      <c r="K364" s="118"/>
      <c r="L364" s="118"/>
      <c r="M364" s="118"/>
      <c r="N364" s="42"/>
      <c r="O364" s="42"/>
      <c r="P364" s="42"/>
      <c r="Q364" s="42"/>
      <c r="R364" s="42"/>
      <c r="S364" s="3"/>
      <c r="T364" s="3"/>
      <c r="U364" s="3"/>
      <c r="V364" s="3"/>
      <c r="W364" s="3"/>
      <c r="X364" s="3"/>
      <c r="Y364" s="3"/>
      <c r="Z364" s="3"/>
      <c r="AA364" s="3"/>
      <c r="AB364" s="3"/>
      <c r="AC364" s="3"/>
      <c r="AD364" s="3"/>
      <c r="AE364" s="3"/>
      <c r="AF364" s="3"/>
      <c r="AG364" s="3"/>
      <c r="AH364" s="3"/>
      <c r="AI364" s="3"/>
      <c r="AJ364" s="3"/>
      <c r="AK364" s="3"/>
      <c r="AL364" s="3"/>
    </row>
    <row r="365" spans="1:38" ht="14.25" customHeight="1" x14ac:dyDescent="0.2">
      <c r="A365" s="118"/>
      <c r="B365" s="118"/>
      <c r="C365" s="118"/>
      <c r="D365" s="118"/>
      <c r="E365" s="118"/>
      <c r="F365" s="118"/>
      <c r="G365" s="118"/>
      <c r="H365" s="118"/>
      <c r="I365" s="118"/>
      <c r="J365" s="118"/>
      <c r="K365" s="118"/>
      <c r="L365" s="118"/>
      <c r="M365" s="118"/>
      <c r="N365" s="42"/>
      <c r="O365" s="42"/>
      <c r="P365" s="42"/>
      <c r="Q365" s="42"/>
      <c r="R365" s="42"/>
      <c r="S365" s="3"/>
      <c r="T365" s="3"/>
      <c r="U365" s="3"/>
      <c r="V365" s="3"/>
      <c r="W365" s="3"/>
      <c r="X365" s="3"/>
      <c r="Y365" s="3"/>
      <c r="Z365" s="3"/>
      <c r="AA365" s="3"/>
      <c r="AB365" s="3"/>
      <c r="AC365" s="3"/>
      <c r="AD365" s="3"/>
      <c r="AE365" s="3"/>
      <c r="AF365" s="3"/>
      <c r="AG365" s="3"/>
      <c r="AH365" s="3"/>
      <c r="AI365" s="3"/>
      <c r="AJ365" s="3"/>
      <c r="AK365" s="3"/>
      <c r="AL365" s="3"/>
    </row>
    <row r="366" spans="1:38" ht="14.25" customHeight="1" x14ac:dyDescent="0.2">
      <c r="A366" s="118"/>
      <c r="B366" s="118"/>
      <c r="C366" s="118"/>
      <c r="D366" s="118"/>
      <c r="E366" s="118"/>
      <c r="F366" s="118"/>
      <c r="G366" s="118"/>
      <c r="H366" s="118"/>
      <c r="I366" s="118"/>
      <c r="J366" s="118"/>
      <c r="K366" s="118"/>
      <c r="L366" s="118"/>
      <c r="M366" s="118"/>
      <c r="N366" s="42"/>
      <c r="O366" s="42"/>
      <c r="P366" s="42"/>
      <c r="Q366" s="42"/>
      <c r="R366" s="42"/>
      <c r="S366" s="3"/>
      <c r="T366" s="3"/>
      <c r="U366" s="3"/>
      <c r="V366" s="3"/>
      <c r="W366" s="3"/>
      <c r="X366" s="3"/>
      <c r="Y366" s="3"/>
      <c r="Z366" s="3"/>
      <c r="AA366" s="3"/>
      <c r="AB366" s="3"/>
      <c r="AC366" s="3"/>
      <c r="AD366" s="3"/>
      <c r="AE366" s="3"/>
      <c r="AF366" s="3"/>
      <c r="AG366" s="3"/>
      <c r="AH366" s="3"/>
      <c r="AI366" s="3"/>
      <c r="AJ366" s="3"/>
      <c r="AK366" s="3"/>
      <c r="AL366" s="3"/>
    </row>
    <row r="367" spans="1:38" ht="14.25" customHeight="1" x14ac:dyDescent="0.2">
      <c r="A367" s="118"/>
      <c r="B367" s="118"/>
      <c r="C367" s="118"/>
      <c r="D367" s="118"/>
      <c r="E367" s="118"/>
      <c r="F367" s="118"/>
      <c r="G367" s="118"/>
      <c r="H367" s="118"/>
      <c r="I367" s="118"/>
      <c r="J367" s="118"/>
      <c r="K367" s="118"/>
      <c r="L367" s="118"/>
      <c r="M367" s="118"/>
      <c r="N367" s="42"/>
      <c r="O367" s="42"/>
      <c r="P367" s="42"/>
      <c r="Q367" s="42"/>
      <c r="R367" s="42"/>
      <c r="S367" s="3"/>
      <c r="T367" s="3"/>
      <c r="U367" s="3"/>
      <c r="V367" s="3"/>
      <c r="W367" s="3"/>
      <c r="X367" s="3"/>
      <c r="Y367" s="3"/>
      <c r="Z367" s="3"/>
      <c r="AA367" s="3"/>
      <c r="AB367" s="3"/>
      <c r="AC367" s="3"/>
      <c r="AD367" s="3"/>
      <c r="AE367" s="3"/>
      <c r="AF367" s="3"/>
      <c r="AG367" s="3"/>
      <c r="AH367" s="3"/>
      <c r="AI367" s="3"/>
      <c r="AJ367" s="3"/>
      <c r="AK367" s="3"/>
      <c r="AL367" s="3"/>
    </row>
    <row r="368" spans="1:38" ht="14.25" customHeight="1" x14ac:dyDescent="0.2">
      <c r="A368" s="118"/>
      <c r="B368" s="118"/>
      <c r="C368" s="118"/>
      <c r="D368" s="118"/>
      <c r="E368" s="118"/>
      <c r="F368" s="118"/>
      <c r="G368" s="118"/>
      <c r="H368" s="118"/>
      <c r="I368" s="118"/>
      <c r="J368" s="118"/>
      <c r="K368" s="118"/>
      <c r="L368" s="118"/>
      <c r="M368" s="118"/>
      <c r="N368" s="42"/>
      <c r="O368" s="42"/>
      <c r="P368" s="42"/>
      <c r="Q368" s="42"/>
      <c r="R368" s="42"/>
      <c r="S368" s="3"/>
      <c r="T368" s="3"/>
      <c r="U368" s="3"/>
      <c r="V368" s="3"/>
      <c r="W368" s="3"/>
      <c r="X368" s="3"/>
      <c r="Y368" s="3"/>
      <c r="Z368" s="3"/>
      <c r="AA368" s="3"/>
      <c r="AB368" s="3"/>
      <c r="AC368" s="3"/>
      <c r="AD368" s="3"/>
      <c r="AE368" s="3"/>
      <c r="AF368" s="3"/>
      <c r="AG368" s="3"/>
      <c r="AH368" s="3"/>
      <c r="AI368" s="3"/>
      <c r="AJ368" s="3"/>
      <c r="AK368" s="3"/>
      <c r="AL368" s="3"/>
    </row>
    <row r="369" spans="1:38" ht="14.25" customHeight="1" x14ac:dyDescent="0.2">
      <c r="A369" s="118"/>
      <c r="B369" s="118"/>
      <c r="C369" s="118"/>
      <c r="D369" s="118"/>
      <c r="E369" s="118"/>
      <c r="F369" s="118"/>
      <c r="G369" s="118"/>
      <c r="H369" s="118"/>
      <c r="I369" s="118"/>
      <c r="J369" s="118"/>
      <c r="K369" s="118"/>
      <c r="L369" s="118"/>
      <c r="M369" s="118"/>
      <c r="N369" s="42"/>
      <c r="O369" s="42"/>
      <c r="P369" s="42"/>
      <c r="Q369" s="42"/>
      <c r="R369" s="42"/>
      <c r="S369" s="3"/>
      <c r="T369" s="3"/>
      <c r="U369" s="3"/>
      <c r="V369" s="3"/>
      <c r="W369" s="3"/>
      <c r="X369" s="3"/>
      <c r="Y369" s="3"/>
      <c r="Z369" s="3"/>
      <c r="AA369" s="3"/>
      <c r="AB369" s="3"/>
      <c r="AC369" s="3"/>
      <c r="AD369" s="3"/>
      <c r="AE369" s="3"/>
      <c r="AF369" s="3"/>
      <c r="AG369" s="3"/>
      <c r="AH369" s="3"/>
      <c r="AI369" s="3"/>
      <c r="AJ369" s="3"/>
      <c r="AK369" s="3"/>
      <c r="AL369" s="3"/>
    </row>
    <row r="370" spans="1:38" ht="14.25" customHeight="1" x14ac:dyDescent="0.2">
      <c r="A370" s="118"/>
      <c r="B370" s="118"/>
      <c r="C370" s="118"/>
      <c r="D370" s="118"/>
      <c r="E370" s="118"/>
      <c r="F370" s="118"/>
      <c r="G370" s="118"/>
      <c r="H370" s="118"/>
      <c r="I370" s="118"/>
      <c r="J370" s="118"/>
      <c r="K370" s="118"/>
      <c r="L370" s="118"/>
      <c r="M370" s="118"/>
      <c r="N370" s="42"/>
      <c r="O370" s="42"/>
      <c r="P370" s="42"/>
      <c r="Q370" s="42"/>
      <c r="R370" s="42"/>
      <c r="S370" s="3"/>
      <c r="T370" s="3"/>
      <c r="U370" s="3"/>
      <c r="V370" s="3"/>
      <c r="W370" s="3"/>
      <c r="X370" s="3"/>
      <c r="Y370" s="3"/>
      <c r="Z370" s="3"/>
      <c r="AA370" s="3"/>
      <c r="AB370" s="3"/>
      <c r="AC370" s="3"/>
      <c r="AD370" s="3"/>
      <c r="AE370" s="3"/>
      <c r="AF370" s="3"/>
      <c r="AG370" s="3"/>
      <c r="AH370" s="3"/>
      <c r="AI370" s="3"/>
      <c r="AJ370" s="3"/>
      <c r="AK370" s="3"/>
      <c r="AL370" s="3"/>
    </row>
    <row r="371" spans="1:38" ht="14.25" customHeight="1" x14ac:dyDescent="0.2">
      <c r="A371" s="118"/>
      <c r="B371" s="118"/>
      <c r="C371" s="118"/>
      <c r="D371" s="118"/>
      <c r="E371" s="118"/>
      <c r="F371" s="118"/>
      <c r="G371" s="118"/>
      <c r="H371" s="118"/>
      <c r="I371" s="118"/>
      <c r="J371" s="118"/>
      <c r="K371" s="118"/>
      <c r="L371" s="118"/>
      <c r="M371" s="118"/>
      <c r="N371" s="42"/>
      <c r="O371" s="42"/>
      <c r="P371" s="42"/>
      <c r="Q371" s="42"/>
      <c r="R371" s="42"/>
      <c r="S371" s="3"/>
      <c r="T371" s="3"/>
      <c r="U371" s="3"/>
      <c r="V371" s="3"/>
      <c r="W371" s="3"/>
      <c r="X371" s="3"/>
      <c r="Y371" s="3"/>
      <c r="Z371" s="3"/>
      <c r="AA371" s="3"/>
      <c r="AB371" s="3"/>
      <c r="AC371" s="3"/>
      <c r="AD371" s="3"/>
      <c r="AE371" s="3"/>
      <c r="AF371" s="3"/>
      <c r="AG371" s="3"/>
      <c r="AH371" s="3"/>
      <c r="AI371" s="3"/>
      <c r="AJ371" s="3"/>
      <c r="AK371" s="3"/>
      <c r="AL371" s="3"/>
    </row>
    <row r="372" spans="1:38" ht="14.25" customHeight="1" x14ac:dyDescent="0.2">
      <c r="A372" s="118"/>
      <c r="B372" s="118"/>
      <c r="C372" s="118"/>
      <c r="D372" s="118"/>
      <c r="E372" s="118"/>
      <c r="F372" s="118"/>
      <c r="G372" s="118"/>
      <c r="H372" s="118"/>
      <c r="I372" s="118"/>
      <c r="J372" s="118"/>
      <c r="K372" s="118"/>
      <c r="L372" s="118"/>
      <c r="M372" s="118"/>
      <c r="N372" s="42"/>
      <c r="O372" s="42"/>
      <c r="P372" s="42"/>
      <c r="Q372" s="42"/>
      <c r="R372" s="42"/>
      <c r="S372" s="3"/>
      <c r="T372" s="3"/>
      <c r="U372" s="3"/>
      <c r="V372" s="3"/>
      <c r="W372" s="3"/>
      <c r="X372" s="3"/>
      <c r="Y372" s="3"/>
      <c r="Z372" s="3"/>
      <c r="AA372" s="3"/>
      <c r="AB372" s="3"/>
      <c r="AC372" s="3"/>
      <c r="AD372" s="3"/>
      <c r="AE372" s="3"/>
      <c r="AF372" s="3"/>
      <c r="AG372" s="3"/>
      <c r="AH372" s="3"/>
      <c r="AI372" s="3"/>
      <c r="AJ372" s="3"/>
      <c r="AK372" s="3"/>
      <c r="AL372" s="3"/>
    </row>
    <row r="373" spans="1:38" ht="14.25" customHeight="1" x14ac:dyDescent="0.2">
      <c r="A373" s="118"/>
      <c r="B373" s="118"/>
      <c r="C373" s="118"/>
      <c r="D373" s="118"/>
      <c r="E373" s="118"/>
      <c r="F373" s="118"/>
      <c r="G373" s="118"/>
      <c r="H373" s="118"/>
      <c r="I373" s="118"/>
      <c r="J373" s="118"/>
      <c r="K373" s="118"/>
      <c r="L373" s="118"/>
      <c r="M373" s="118"/>
      <c r="N373" s="42"/>
      <c r="O373" s="42"/>
      <c r="P373" s="42"/>
      <c r="Q373" s="42"/>
      <c r="R373" s="42"/>
      <c r="S373" s="3"/>
      <c r="T373" s="3"/>
      <c r="U373" s="3"/>
      <c r="V373" s="3"/>
      <c r="W373" s="3"/>
      <c r="X373" s="3"/>
      <c r="Y373" s="3"/>
      <c r="Z373" s="3"/>
      <c r="AA373" s="3"/>
      <c r="AB373" s="3"/>
      <c r="AC373" s="3"/>
      <c r="AD373" s="3"/>
      <c r="AE373" s="3"/>
      <c r="AF373" s="3"/>
      <c r="AG373" s="3"/>
      <c r="AH373" s="3"/>
      <c r="AI373" s="3"/>
      <c r="AJ373" s="3"/>
      <c r="AK373" s="3"/>
      <c r="AL373" s="3"/>
    </row>
    <row r="374" spans="1:38" ht="14.25" customHeight="1" x14ac:dyDescent="0.2">
      <c r="A374" s="118"/>
      <c r="B374" s="118"/>
      <c r="C374" s="118"/>
      <c r="D374" s="118"/>
      <c r="E374" s="118"/>
      <c r="F374" s="118"/>
      <c r="G374" s="118"/>
      <c r="H374" s="118"/>
      <c r="I374" s="118"/>
      <c r="J374" s="118"/>
      <c r="K374" s="118"/>
      <c r="L374" s="118"/>
      <c r="M374" s="118"/>
      <c r="N374" s="42"/>
      <c r="O374" s="42"/>
      <c r="P374" s="42"/>
      <c r="Q374" s="42"/>
      <c r="R374" s="42"/>
      <c r="S374" s="3"/>
      <c r="T374" s="3"/>
      <c r="U374" s="3"/>
      <c r="V374" s="3"/>
      <c r="W374" s="3"/>
      <c r="X374" s="3"/>
      <c r="Y374" s="3"/>
      <c r="Z374" s="3"/>
      <c r="AA374" s="3"/>
      <c r="AB374" s="3"/>
      <c r="AC374" s="3"/>
      <c r="AD374" s="3"/>
      <c r="AE374" s="3"/>
      <c r="AF374" s="3"/>
      <c r="AG374" s="3"/>
      <c r="AH374" s="3"/>
      <c r="AI374" s="3"/>
      <c r="AJ374" s="3"/>
      <c r="AK374" s="3"/>
      <c r="AL374" s="3"/>
    </row>
    <row r="375" spans="1:38" ht="14.25" customHeight="1" x14ac:dyDescent="0.2">
      <c r="A375" s="118"/>
      <c r="B375" s="118"/>
      <c r="C375" s="118"/>
      <c r="D375" s="118"/>
      <c r="E375" s="118"/>
      <c r="F375" s="118"/>
      <c r="G375" s="118"/>
      <c r="H375" s="118"/>
      <c r="I375" s="118"/>
      <c r="J375" s="118"/>
      <c r="K375" s="118"/>
      <c r="L375" s="118"/>
      <c r="M375" s="118"/>
      <c r="N375" s="42"/>
      <c r="O375" s="42"/>
      <c r="P375" s="42"/>
      <c r="Q375" s="42"/>
      <c r="R375" s="42"/>
      <c r="S375" s="3"/>
      <c r="T375" s="3"/>
      <c r="U375" s="3"/>
      <c r="V375" s="3"/>
      <c r="W375" s="3"/>
      <c r="X375" s="3"/>
      <c r="Y375" s="3"/>
      <c r="Z375" s="3"/>
      <c r="AA375" s="3"/>
      <c r="AB375" s="3"/>
      <c r="AC375" s="3"/>
      <c r="AD375" s="3"/>
      <c r="AE375" s="3"/>
      <c r="AF375" s="3"/>
      <c r="AG375" s="3"/>
      <c r="AH375" s="3"/>
      <c r="AI375" s="3"/>
      <c r="AJ375" s="3"/>
      <c r="AK375" s="3"/>
      <c r="AL375" s="3"/>
    </row>
    <row r="376" spans="1:38" ht="14.25" customHeight="1" x14ac:dyDescent="0.2">
      <c r="A376" s="118"/>
      <c r="B376" s="118"/>
      <c r="C376" s="118"/>
      <c r="D376" s="118"/>
      <c r="E376" s="118"/>
      <c r="F376" s="118"/>
      <c r="G376" s="118"/>
      <c r="H376" s="118"/>
      <c r="I376" s="118"/>
      <c r="J376" s="118"/>
      <c r="K376" s="118"/>
      <c r="L376" s="118"/>
      <c r="M376" s="118"/>
      <c r="N376" s="42"/>
      <c r="O376" s="42"/>
      <c r="P376" s="42"/>
      <c r="Q376" s="42"/>
      <c r="R376" s="42"/>
      <c r="S376" s="3"/>
      <c r="T376" s="3"/>
      <c r="U376" s="3"/>
      <c r="V376" s="3"/>
      <c r="W376" s="3"/>
      <c r="X376" s="3"/>
      <c r="Y376" s="3"/>
      <c r="Z376" s="3"/>
      <c r="AA376" s="3"/>
      <c r="AB376" s="3"/>
      <c r="AC376" s="3"/>
      <c r="AD376" s="3"/>
      <c r="AE376" s="3"/>
      <c r="AF376" s="3"/>
      <c r="AG376" s="3"/>
      <c r="AH376" s="3"/>
      <c r="AI376" s="3"/>
      <c r="AJ376" s="3"/>
      <c r="AK376" s="3"/>
      <c r="AL376" s="3"/>
    </row>
    <row r="377" spans="1:38" ht="14.25" customHeight="1" x14ac:dyDescent="0.2">
      <c r="A377" s="118"/>
      <c r="B377" s="118"/>
      <c r="C377" s="118"/>
      <c r="D377" s="118"/>
      <c r="E377" s="118"/>
      <c r="F377" s="118"/>
      <c r="G377" s="118"/>
      <c r="H377" s="118"/>
      <c r="I377" s="118"/>
      <c r="J377" s="118"/>
      <c r="K377" s="118"/>
      <c r="L377" s="118"/>
      <c r="M377" s="118"/>
      <c r="N377" s="42"/>
      <c r="O377" s="42"/>
      <c r="P377" s="42"/>
      <c r="Q377" s="42"/>
      <c r="R377" s="42"/>
      <c r="S377" s="3"/>
      <c r="T377" s="3"/>
      <c r="U377" s="3"/>
      <c r="V377" s="3"/>
      <c r="W377" s="3"/>
      <c r="X377" s="3"/>
      <c r="Y377" s="3"/>
      <c r="Z377" s="3"/>
      <c r="AA377" s="3"/>
      <c r="AB377" s="3"/>
      <c r="AC377" s="3"/>
      <c r="AD377" s="3"/>
      <c r="AE377" s="3"/>
      <c r="AF377" s="3"/>
      <c r="AG377" s="3"/>
      <c r="AH377" s="3"/>
      <c r="AI377" s="3"/>
      <c r="AJ377" s="3"/>
      <c r="AK377" s="3"/>
      <c r="AL377" s="3"/>
    </row>
    <row r="378" spans="1:38" ht="14.25" customHeight="1" x14ac:dyDescent="0.2">
      <c r="A378" s="118"/>
      <c r="B378" s="118"/>
      <c r="C378" s="118"/>
      <c r="D378" s="118"/>
      <c r="E378" s="118"/>
      <c r="F378" s="118"/>
      <c r="G378" s="118"/>
      <c r="H378" s="118"/>
      <c r="I378" s="118"/>
      <c r="J378" s="118"/>
      <c r="K378" s="118"/>
      <c r="L378" s="118"/>
      <c r="M378" s="118"/>
      <c r="N378" s="42"/>
      <c r="O378" s="42"/>
      <c r="P378" s="42"/>
      <c r="Q378" s="42"/>
      <c r="R378" s="42"/>
      <c r="S378" s="3"/>
      <c r="T378" s="3"/>
      <c r="U378" s="3"/>
      <c r="V378" s="3"/>
      <c r="W378" s="3"/>
      <c r="X378" s="3"/>
      <c r="Y378" s="3"/>
      <c r="Z378" s="3"/>
      <c r="AA378" s="3"/>
      <c r="AB378" s="3"/>
      <c r="AC378" s="3"/>
      <c r="AD378" s="3"/>
      <c r="AE378" s="3"/>
      <c r="AF378" s="3"/>
      <c r="AG378" s="3"/>
      <c r="AH378" s="3"/>
      <c r="AI378" s="3"/>
      <c r="AJ378" s="3"/>
      <c r="AK378" s="3"/>
      <c r="AL378" s="3"/>
    </row>
    <row r="379" spans="1:38" ht="14.25" customHeight="1" x14ac:dyDescent="0.2">
      <c r="A379" s="118"/>
      <c r="B379" s="118"/>
      <c r="C379" s="118"/>
      <c r="D379" s="118"/>
      <c r="E379" s="118"/>
      <c r="F379" s="118"/>
      <c r="G379" s="118"/>
      <c r="H379" s="118"/>
      <c r="I379" s="118"/>
      <c r="J379" s="118"/>
      <c r="K379" s="118"/>
      <c r="L379" s="118"/>
      <c r="M379" s="118"/>
      <c r="N379" s="42"/>
      <c r="O379" s="42"/>
      <c r="P379" s="42"/>
      <c r="Q379" s="42"/>
      <c r="R379" s="42"/>
      <c r="S379" s="3"/>
      <c r="T379" s="3"/>
      <c r="U379" s="3"/>
      <c r="V379" s="3"/>
      <c r="W379" s="3"/>
      <c r="X379" s="3"/>
      <c r="Y379" s="3"/>
      <c r="Z379" s="3"/>
      <c r="AA379" s="3"/>
      <c r="AB379" s="3"/>
      <c r="AC379" s="3"/>
      <c r="AD379" s="3"/>
      <c r="AE379" s="3"/>
      <c r="AF379" s="3"/>
      <c r="AG379" s="3"/>
      <c r="AH379" s="3"/>
      <c r="AI379" s="3"/>
      <c r="AJ379" s="3"/>
      <c r="AK379" s="3"/>
      <c r="AL379" s="3"/>
    </row>
    <row r="380" spans="1:38" ht="14.25" customHeight="1" x14ac:dyDescent="0.2">
      <c r="A380" s="118"/>
      <c r="B380" s="118"/>
      <c r="C380" s="118"/>
      <c r="D380" s="118"/>
      <c r="E380" s="118"/>
      <c r="F380" s="118"/>
      <c r="G380" s="118"/>
      <c r="H380" s="118"/>
      <c r="I380" s="118"/>
      <c r="J380" s="118"/>
      <c r="K380" s="118"/>
      <c r="L380" s="118"/>
      <c r="M380" s="118"/>
      <c r="N380" s="42"/>
      <c r="O380" s="42"/>
      <c r="P380" s="42"/>
      <c r="Q380" s="42"/>
      <c r="R380" s="42"/>
      <c r="S380" s="3"/>
      <c r="T380" s="3"/>
      <c r="U380" s="3"/>
      <c r="V380" s="3"/>
      <c r="W380" s="3"/>
      <c r="X380" s="3"/>
      <c r="Y380" s="3"/>
      <c r="Z380" s="3"/>
      <c r="AA380" s="3"/>
      <c r="AB380" s="3"/>
      <c r="AC380" s="3"/>
      <c r="AD380" s="3"/>
      <c r="AE380" s="3"/>
      <c r="AF380" s="3"/>
      <c r="AG380" s="3"/>
      <c r="AH380" s="3"/>
      <c r="AI380" s="3"/>
      <c r="AJ380" s="3"/>
      <c r="AK380" s="3"/>
      <c r="AL380" s="3"/>
    </row>
    <row r="381" spans="1:38" ht="14.25" customHeight="1" x14ac:dyDescent="0.2">
      <c r="A381" s="118"/>
      <c r="B381" s="118"/>
      <c r="C381" s="118"/>
      <c r="D381" s="118"/>
      <c r="E381" s="118"/>
      <c r="F381" s="118"/>
      <c r="G381" s="118"/>
      <c r="H381" s="118"/>
      <c r="I381" s="118"/>
      <c r="J381" s="118"/>
      <c r="K381" s="118"/>
      <c r="L381" s="118"/>
      <c r="M381" s="118"/>
      <c r="N381" s="42"/>
      <c r="O381" s="42"/>
      <c r="P381" s="42"/>
      <c r="Q381" s="42"/>
      <c r="R381" s="42"/>
      <c r="S381" s="3"/>
      <c r="T381" s="3"/>
      <c r="U381" s="3"/>
      <c r="V381" s="3"/>
      <c r="W381" s="3"/>
      <c r="X381" s="3"/>
      <c r="Y381" s="3"/>
      <c r="Z381" s="3"/>
      <c r="AA381" s="3"/>
      <c r="AB381" s="3"/>
      <c r="AC381" s="3"/>
      <c r="AD381" s="3"/>
      <c r="AE381" s="3"/>
      <c r="AF381" s="3"/>
      <c r="AG381" s="3"/>
      <c r="AH381" s="3"/>
      <c r="AI381" s="3"/>
      <c r="AJ381" s="3"/>
      <c r="AK381" s="3"/>
      <c r="AL381" s="3"/>
    </row>
    <row r="382" spans="1:38" ht="14.25" customHeight="1" x14ac:dyDescent="0.2">
      <c r="A382" s="118"/>
      <c r="B382" s="118"/>
      <c r="C382" s="118"/>
      <c r="D382" s="118"/>
      <c r="E382" s="118"/>
      <c r="F382" s="118"/>
      <c r="G382" s="118"/>
      <c r="H382" s="118"/>
      <c r="I382" s="118"/>
      <c r="J382" s="118"/>
      <c r="K382" s="118"/>
      <c r="L382" s="118"/>
      <c r="M382" s="118"/>
      <c r="N382" s="42"/>
      <c r="O382" s="42"/>
      <c r="P382" s="42"/>
      <c r="Q382" s="42"/>
      <c r="R382" s="42"/>
      <c r="S382" s="3"/>
      <c r="T382" s="3"/>
      <c r="U382" s="3"/>
      <c r="V382" s="3"/>
      <c r="W382" s="3"/>
      <c r="X382" s="3"/>
      <c r="Y382" s="3"/>
      <c r="Z382" s="3"/>
      <c r="AA382" s="3"/>
      <c r="AB382" s="3"/>
      <c r="AC382" s="3"/>
      <c r="AD382" s="3"/>
      <c r="AE382" s="3"/>
      <c r="AF382" s="3"/>
      <c r="AG382" s="3"/>
      <c r="AH382" s="3"/>
      <c r="AI382" s="3"/>
      <c r="AJ382" s="3"/>
      <c r="AK382" s="3"/>
      <c r="AL382" s="3"/>
    </row>
    <row r="383" spans="1:38" ht="14.25" customHeight="1" x14ac:dyDescent="0.2">
      <c r="A383" s="118"/>
      <c r="B383" s="118"/>
      <c r="C383" s="118"/>
      <c r="D383" s="118"/>
      <c r="E383" s="118"/>
      <c r="F383" s="118"/>
      <c r="G383" s="118"/>
      <c r="H383" s="118"/>
      <c r="I383" s="118"/>
      <c r="J383" s="118"/>
      <c r="K383" s="118"/>
      <c r="L383" s="118"/>
      <c r="M383" s="118"/>
      <c r="N383" s="42"/>
      <c r="O383" s="42"/>
      <c r="P383" s="42"/>
      <c r="Q383" s="42"/>
      <c r="R383" s="42"/>
      <c r="S383" s="3"/>
      <c r="T383" s="3"/>
      <c r="U383" s="3"/>
      <c r="V383" s="3"/>
      <c r="W383" s="3"/>
      <c r="X383" s="3"/>
      <c r="Y383" s="3"/>
      <c r="Z383" s="3"/>
      <c r="AA383" s="3"/>
      <c r="AB383" s="3"/>
      <c r="AC383" s="3"/>
      <c r="AD383" s="3"/>
      <c r="AE383" s="3"/>
      <c r="AF383" s="3"/>
      <c r="AG383" s="3"/>
      <c r="AH383" s="3"/>
      <c r="AI383" s="3"/>
      <c r="AJ383" s="3"/>
      <c r="AK383" s="3"/>
      <c r="AL383" s="3"/>
    </row>
    <row r="384" spans="1:38" ht="14.25" customHeight="1" x14ac:dyDescent="0.2">
      <c r="A384" s="118"/>
      <c r="B384" s="118"/>
      <c r="C384" s="118"/>
      <c r="D384" s="118"/>
      <c r="E384" s="118"/>
      <c r="F384" s="118"/>
      <c r="G384" s="118"/>
      <c r="H384" s="118"/>
      <c r="I384" s="118"/>
      <c r="J384" s="118"/>
      <c r="K384" s="118"/>
      <c r="L384" s="118"/>
      <c r="M384" s="118"/>
      <c r="N384" s="42"/>
      <c r="O384" s="42"/>
      <c r="P384" s="42"/>
      <c r="Q384" s="42"/>
      <c r="R384" s="42"/>
      <c r="S384" s="3"/>
      <c r="T384" s="3"/>
      <c r="U384" s="3"/>
      <c r="V384" s="3"/>
      <c r="W384" s="3"/>
      <c r="X384" s="3"/>
      <c r="Y384" s="3"/>
      <c r="Z384" s="3"/>
      <c r="AA384" s="3"/>
      <c r="AB384" s="3"/>
      <c r="AC384" s="3"/>
      <c r="AD384" s="3"/>
      <c r="AE384" s="3"/>
      <c r="AF384" s="3"/>
      <c r="AG384" s="3"/>
      <c r="AH384" s="3"/>
      <c r="AI384" s="3"/>
      <c r="AJ384" s="3"/>
      <c r="AK384" s="3"/>
      <c r="AL384" s="3"/>
    </row>
    <row r="385" spans="1:38" ht="14.25" customHeight="1" x14ac:dyDescent="0.2">
      <c r="A385" s="118"/>
      <c r="B385" s="118"/>
      <c r="C385" s="118"/>
      <c r="D385" s="118"/>
      <c r="E385" s="118"/>
      <c r="F385" s="118"/>
      <c r="G385" s="118"/>
      <c r="H385" s="118"/>
      <c r="I385" s="118"/>
      <c r="J385" s="118"/>
      <c r="K385" s="118"/>
      <c r="L385" s="118"/>
      <c r="M385" s="118"/>
      <c r="N385" s="42"/>
      <c r="O385" s="42"/>
      <c r="P385" s="42"/>
      <c r="Q385" s="42"/>
      <c r="R385" s="42"/>
      <c r="S385" s="3"/>
      <c r="T385" s="3"/>
      <c r="U385" s="3"/>
      <c r="V385" s="3"/>
      <c r="W385" s="3"/>
      <c r="X385" s="3"/>
      <c r="Y385" s="3"/>
      <c r="Z385" s="3"/>
      <c r="AA385" s="3"/>
      <c r="AB385" s="3"/>
      <c r="AC385" s="3"/>
      <c r="AD385" s="3"/>
      <c r="AE385" s="3"/>
      <c r="AF385" s="3"/>
      <c r="AG385" s="3"/>
      <c r="AH385" s="3"/>
      <c r="AI385" s="3"/>
      <c r="AJ385" s="3"/>
      <c r="AK385" s="3"/>
      <c r="AL385" s="3"/>
    </row>
    <row r="386" spans="1:38" ht="14.25" customHeight="1" x14ac:dyDescent="0.2">
      <c r="A386" s="118"/>
      <c r="B386" s="118"/>
      <c r="C386" s="118"/>
      <c r="D386" s="118"/>
      <c r="E386" s="118"/>
      <c r="F386" s="118"/>
      <c r="G386" s="118"/>
      <c r="H386" s="118"/>
      <c r="I386" s="118"/>
      <c r="J386" s="118"/>
      <c r="K386" s="118"/>
      <c r="L386" s="118"/>
      <c r="M386" s="118"/>
      <c r="N386" s="42"/>
      <c r="O386" s="42"/>
      <c r="P386" s="42"/>
      <c r="Q386" s="42"/>
      <c r="R386" s="42"/>
      <c r="S386" s="3"/>
      <c r="T386" s="3"/>
      <c r="U386" s="3"/>
      <c r="V386" s="3"/>
      <c r="W386" s="3"/>
      <c r="X386" s="3"/>
      <c r="Y386" s="3"/>
      <c r="Z386" s="3"/>
      <c r="AA386" s="3"/>
      <c r="AB386" s="3"/>
      <c r="AC386" s="3"/>
      <c r="AD386" s="3"/>
      <c r="AE386" s="3"/>
      <c r="AF386" s="3"/>
      <c r="AG386" s="3"/>
      <c r="AH386" s="3"/>
      <c r="AI386" s="3"/>
      <c r="AJ386" s="3"/>
      <c r="AK386" s="3"/>
      <c r="AL386" s="3"/>
    </row>
    <row r="387" spans="1:38" ht="14.25" customHeight="1" x14ac:dyDescent="0.2">
      <c r="A387" s="118"/>
      <c r="B387" s="118"/>
      <c r="C387" s="118"/>
      <c r="D387" s="118"/>
      <c r="E387" s="118"/>
      <c r="F387" s="118"/>
      <c r="G387" s="118"/>
      <c r="H387" s="118"/>
      <c r="I387" s="118"/>
      <c r="J387" s="118"/>
      <c r="K387" s="118"/>
      <c r="L387" s="118"/>
      <c r="M387" s="118"/>
      <c r="N387" s="42"/>
      <c r="O387" s="42"/>
      <c r="P387" s="42"/>
      <c r="Q387" s="42"/>
      <c r="R387" s="42"/>
      <c r="S387" s="3"/>
      <c r="T387" s="3"/>
      <c r="U387" s="3"/>
      <c r="V387" s="3"/>
      <c r="W387" s="3"/>
      <c r="X387" s="3"/>
      <c r="Y387" s="3"/>
      <c r="Z387" s="3"/>
      <c r="AA387" s="3"/>
      <c r="AB387" s="3"/>
      <c r="AC387" s="3"/>
      <c r="AD387" s="3"/>
      <c r="AE387" s="3"/>
      <c r="AF387" s="3"/>
      <c r="AG387" s="3"/>
      <c r="AH387" s="3"/>
      <c r="AI387" s="3"/>
      <c r="AJ387" s="3"/>
      <c r="AK387" s="3"/>
      <c r="AL387" s="3"/>
    </row>
    <row r="388" spans="1:38" ht="14.25" customHeight="1" x14ac:dyDescent="0.2">
      <c r="A388" s="118"/>
      <c r="B388" s="118"/>
      <c r="C388" s="118"/>
      <c r="D388" s="118"/>
      <c r="E388" s="118"/>
      <c r="F388" s="118"/>
      <c r="G388" s="118"/>
      <c r="H388" s="118"/>
      <c r="I388" s="118"/>
      <c r="J388" s="118"/>
      <c r="K388" s="118"/>
      <c r="L388" s="118"/>
      <c r="M388" s="118"/>
      <c r="N388" s="42"/>
      <c r="O388" s="42"/>
      <c r="P388" s="42"/>
      <c r="Q388" s="42"/>
      <c r="R388" s="42"/>
      <c r="S388" s="3"/>
      <c r="T388" s="3"/>
      <c r="U388" s="3"/>
      <c r="V388" s="3"/>
      <c r="W388" s="3"/>
      <c r="X388" s="3"/>
      <c r="Y388" s="3"/>
      <c r="Z388" s="3"/>
      <c r="AA388" s="3"/>
      <c r="AB388" s="3"/>
      <c r="AC388" s="3"/>
      <c r="AD388" s="3"/>
      <c r="AE388" s="3"/>
      <c r="AF388" s="3"/>
      <c r="AG388" s="3"/>
      <c r="AH388" s="3"/>
      <c r="AI388" s="3"/>
      <c r="AJ388" s="3"/>
      <c r="AK388" s="3"/>
      <c r="AL388" s="3"/>
    </row>
    <row r="389" spans="1:38" ht="14.25" customHeight="1" x14ac:dyDescent="0.2">
      <c r="A389" s="118"/>
      <c r="B389" s="118"/>
      <c r="C389" s="118"/>
      <c r="D389" s="118"/>
      <c r="E389" s="118"/>
      <c r="F389" s="118"/>
      <c r="G389" s="118"/>
      <c r="H389" s="118"/>
      <c r="I389" s="118"/>
      <c r="J389" s="118"/>
      <c r="K389" s="118"/>
      <c r="L389" s="118"/>
      <c r="M389" s="118"/>
      <c r="N389" s="42"/>
      <c r="O389" s="42"/>
      <c r="P389" s="42"/>
      <c r="Q389" s="42"/>
      <c r="R389" s="42"/>
      <c r="S389" s="3"/>
      <c r="T389" s="3"/>
      <c r="U389" s="3"/>
      <c r="V389" s="3"/>
      <c r="W389" s="3"/>
      <c r="X389" s="3"/>
      <c r="Y389" s="3"/>
      <c r="Z389" s="3"/>
      <c r="AA389" s="3"/>
      <c r="AB389" s="3"/>
      <c r="AC389" s="3"/>
      <c r="AD389" s="3"/>
      <c r="AE389" s="3"/>
      <c r="AF389" s="3"/>
      <c r="AG389" s="3"/>
      <c r="AH389" s="3"/>
      <c r="AI389" s="3"/>
      <c r="AJ389" s="3"/>
      <c r="AK389" s="3"/>
      <c r="AL389" s="3"/>
    </row>
    <row r="390" spans="1:38" ht="14.25" customHeight="1" x14ac:dyDescent="0.2">
      <c r="A390" s="118"/>
      <c r="B390" s="118"/>
      <c r="C390" s="118"/>
      <c r="D390" s="118"/>
      <c r="E390" s="118"/>
      <c r="F390" s="118"/>
      <c r="G390" s="118"/>
      <c r="H390" s="118"/>
      <c r="I390" s="118"/>
      <c r="J390" s="118"/>
      <c r="K390" s="118"/>
      <c r="L390" s="118"/>
      <c r="M390" s="118"/>
      <c r="N390" s="42"/>
      <c r="O390" s="42"/>
      <c r="P390" s="42"/>
      <c r="Q390" s="42"/>
      <c r="R390" s="42"/>
      <c r="S390" s="3"/>
      <c r="T390" s="3"/>
      <c r="U390" s="3"/>
      <c r="V390" s="3"/>
      <c r="W390" s="3"/>
      <c r="X390" s="3"/>
      <c r="Y390" s="3"/>
      <c r="Z390" s="3"/>
      <c r="AA390" s="3"/>
      <c r="AB390" s="3"/>
      <c r="AC390" s="3"/>
      <c r="AD390" s="3"/>
      <c r="AE390" s="3"/>
      <c r="AF390" s="3"/>
      <c r="AG390" s="3"/>
      <c r="AH390" s="3"/>
      <c r="AI390" s="3"/>
      <c r="AJ390" s="3"/>
      <c r="AK390" s="3"/>
      <c r="AL390" s="3"/>
    </row>
    <row r="391" spans="1:38" ht="14.25" customHeight="1" x14ac:dyDescent="0.2">
      <c r="A391" s="118"/>
      <c r="B391" s="118"/>
      <c r="C391" s="118"/>
      <c r="D391" s="118"/>
      <c r="E391" s="118"/>
      <c r="F391" s="118"/>
      <c r="G391" s="118"/>
      <c r="H391" s="118"/>
      <c r="I391" s="118"/>
      <c r="J391" s="118"/>
      <c r="K391" s="118"/>
      <c r="L391" s="118"/>
      <c r="M391" s="118"/>
      <c r="N391" s="42"/>
      <c r="O391" s="42"/>
      <c r="P391" s="42"/>
      <c r="Q391" s="42"/>
      <c r="R391" s="42"/>
      <c r="S391" s="3"/>
      <c r="T391" s="3"/>
      <c r="U391" s="3"/>
      <c r="V391" s="3"/>
      <c r="W391" s="3"/>
      <c r="X391" s="3"/>
      <c r="Y391" s="3"/>
      <c r="Z391" s="3"/>
      <c r="AA391" s="3"/>
      <c r="AB391" s="3"/>
      <c r="AC391" s="3"/>
      <c r="AD391" s="3"/>
      <c r="AE391" s="3"/>
      <c r="AF391" s="3"/>
      <c r="AG391" s="3"/>
      <c r="AH391" s="3"/>
      <c r="AI391" s="3"/>
      <c r="AJ391" s="3"/>
      <c r="AK391" s="3"/>
      <c r="AL391" s="3"/>
    </row>
    <row r="392" spans="1:38" ht="14.25" customHeight="1" x14ac:dyDescent="0.2">
      <c r="A392" s="118"/>
      <c r="B392" s="118"/>
      <c r="C392" s="118"/>
      <c r="D392" s="118"/>
      <c r="E392" s="118"/>
      <c r="F392" s="118"/>
      <c r="G392" s="118"/>
      <c r="H392" s="118"/>
      <c r="I392" s="118"/>
      <c r="J392" s="118"/>
      <c r="K392" s="118"/>
      <c r="L392" s="118"/>
      <c r="M392" s="118"/>
      <c r="N392" s="42"/>
      <c r="O392" s="42"/>
      <c r="P392" s="42"/>
      <c r="Q392" s="42"/>
      <c r="R392" s="42"/>
      <c r="S392" s="3"/>
      <c r="T392" s="3"/>
      <c r="U392" s="3"/>
      <c r="V392" s="3"/>
      <c r="W392" s="3"/>
      <c r="X392" s="3"/>
      <c r="Y392" s="3"/>
      <c r="Z392" s="3"/>
      <c r="AA392" s="3"/>
      <c r="AB392" s="3"/>
      <c r="AC392" s="3"/>
      <c r="AD392" s="3"/>
      <c r="AE392" s="3"/>
      <c r="AF392" s="3"/>
      <c r="AG392" s="3"/>
      <c r="AH392" s="3"/>
      <c r="AI392" s="3"/>
      <c r="AJ392" s="3"/>
      <c r="AK392" s="3"/>
      <c r="AL392" s="3"/>
    </row>
    <row r="393" spans="1:38" ht="14.25" customHeight="1" x14ac:dyDescent="0.2">
      <c r="A393" s="118"/>
      <c r="B393" s="118"/>
      <c r="C393" s="118"/>
      <c r="D393" s="118"/>
      <c r="E393" s="118"/>
      <c r="F393" s="118"/>
      <c r="G393" s="118"/>
      <c r="H393" s="118"/>
      <c r="I393" s="118"/>
      <c r="J393" s="118"/>
      <c r="K393" s="118"/>
      <c r="L393" s="118"/>
      <c r="M393" s="118"/>
      <c r="N393" s="42"/>
      <c r="O393" s="42"/>
      <c r="P393" s="42"/>
      <c r="Q393" s="42"/>
      <c r="R393" s="42"/>
      <c r="S393" s="3"/>
      <c r="T393" s="3"/>
      <c r="U393" s="3"/>
      <c r="V393" s="3"/>
      <c r="W393" s="3"/>
      <c r="X393" s="3"/>
      <c r="Y393" s="3"/>
      <c r="Z393" s="3"/>
      <c r="AA393" s="3"/>
      <c r="AB393" s="3"/>
      <c r="AC393" s="3"/>
      <c r="AD393" s="3"/>
      <c r="AE393" s="3"/>
      <c r="AF393" s="3"/>
      <c r="AG393" s="3"/>
      <c r="AH393" s="3"/>
      <c r="AI393" s="3"/>
      <c r="AJ393" s="3"/>
      <c r="AK393" s="3"/>
      <c r="AL393" s="3"/>
    </row>
    <row r="394" spans="1:38" ht="14.25" customHeight="1" x14ac:dyDescent="0.2">
      <c r="A394" s="118"/>
      <c r="B394" s="118"/>
      <c r="C394" s="118"/>
      <c r="D394" s="118"/>
      <c r="E394" s="118"/>
      <c r="F394" s="118"/>
      <c r="G394" s="118"/>
      <c r="H394" s="118"/>
      <c r="I394" s="118"/>
      <c r="J394" s="118"/>
      <c r="K394" s="118"/>
      <c r="L394" s="118"/>
      <c r="M394" s="118"/>
      <c r="N394" s="42"/>
      <c r="O394" s="42"/>
      <c r="P394" s="42"/>
      <c r="Q394" s="42"/>
      <c r="R394" s="42"/>
      <c r="S394" s="3"/>
      <c r="T394" s="3"/>
      <c r="U394" s="3"/>
      <c r="V394" s="3"/>
      <c r="W394" s="3"/>
      <c r="X394" s="3"/>
      <c r="Y394" s="3"/>
      <c r="Z394" s="3"/>
      <c r="AA394" s="3"/>
      <c r="AB394" s="3"/>
      <c r="AC394" s="3"/>
      <c r="AD394" s="3"/>
      <c r="AE394" s="3"/>
      <c r="AF394" s="3"/>
      <c r="AG394" s="3"/>
      <c r="AH394" s="3"/>
      <c r="AI394" s="3"/>
      <c r="AJ394" s="3"/>
      <c r="AK394" s="3"/>
      <c r="AL394" s="3"/>
    </row>
    <row r="395" spans="1:38" ht="14.25" customHeight="1" x14ac:dyDescent="0.2">
      <c r="A395" s="118"/>
      <c r="B395" s="118"/>
      <c r="C395" s="118"/>
      <c r="D395" s="118"/>
      <c r="E395" s="118"/>
      <c r="F395" s="118"/>
      <c r="G395" s="118"/>
      <c r="H395" s="118"/>
      <c r="I395" s="118"/>
      <c r="J395" s="118"/>
      <c r="K395" s="118"/>
      <c r="L395" s="118"/>
      <c r="M395" s="118"/>
      <c r="N395" s="42"/>
      <c r="O395" s="42"/>
      <c r="P395" s="42"/>
      <c r="Q395" s="42"/>
      <c r="R395" s="42"/>
      <c r="S395" s="3"/>
      <c r="T395" s="3"/>
      <c r="U395" s="3"/>
      <c r="V395" s="3"/>
      <c r="W395" s="3"/>
      <c r="X395" s="3"/>
      <c r="Y395" s="3"/>
      <c r="Z395" s="3"/>
      <c r="AA395" s="3"/>
      <c r="AB395" s="3"/>
      <c r="AC395" s="3"/>
      <c r="AD395" s="3"/>
      <c r="AE395" s="3"/>
      <c r="AF395" s="3"/>
      <c r="AG395" s="3"/>
      <c r="AH395" s="3"/>
      <c r="AI395" s="3"/>
      <c r="AJ395" s="3"/>
      <c r="AK395" s="3"/>
      <c r="AL395" s="3"/>
    </row>
    <row r="396" spans="1:38" ht="14.25" customHeight="1" x14ac:dyDescent="0.2">
      <c r="A396" s="118"/>
      <c r="B396" s="118"/>
      <c r="C396" s="118"/>
      <c r="D396" s="118"/>
      <c r="E396" s="118"/>
      <c r="F396" s="118"/>
      <c r="G396" s="118"/>
      <c r="H396" s="118"/>
      <c r="I396" s="118"/>
      <c r="J396" s="118"/>
      <c r="K396" s="118"/>
      <c r="L396" s="118"/>
      <c r="M396" s="118"/>
      <c r="N396" s="42"/>
      <c r="O396" s="42"/>
      <c r="P396" s="42"/>
      <c r="Q396" s="42"/>
      <c r="R396" s="42"/>
      <c r="S396" s="3"/>
      <c r="T396" s="3"/>
      <c r="U396" s="3"/>
      <c r="V396" s="3"/>
      <c r="W396" s="3"/>
      <c r="X396" s="3"/>
      <c r="Y396" s="3"/>
      <c r="Z396" s="3"/>
      <c r="AA396" s="3"/>
      <c r="AB396" s="3"/>
      <c r="AC396" s="3"/>
      <c r="AD396" s="3"/>
      <c r="AE396" s="3"/>
      <c r="AF396" s="3"/>
      <c r="AG396" s="3"/>
      <c r="AH396" s="3"/>
      <c r="AI396" s="3"/>
      <c r="AJ396" s="3"/>
      <c r="AK396" s="3"/>
      <c r="AL396" s="3"/>
    </row>
    <row r="397" spans="1:38" ht="14.25" customHeight="1" x14ac:dyDescent="0.2">
      <c r="A397" s="118"/>
      <c r="B397" s="118"/>
      <c r="C397" s="118"/>
      <c r="D397" s="118"/>
      <c r="E397" s="118"/>
      <c r="F397" s="118"/>
      <c r="G397" s="118"/>
      <c r="H397" s="118"/>
      <c r="I397" s="118"/>
      <c r="J397" s="118"/>
      <c r="K397" s="118"/>
      <c r="L397" s="118"/>
      <c r="M397" s="118"/>
      <c r="N397" s="42"/>
      <c r="O397" s="42"/>
      <c r="P397" s="42"/>
      <c r="Q397" s="42"/>
      <c r="R397" s="42"/>
      <c r="S397" s="3"/>
      <c r="T397" s="3"/>
      <c r="U397" s="3"/>
      <c r="V397" s="3"/>
      <c r="W397" s="3"/>
      <c r="X397" s="3"/>
      <c r="Y397" s="3"/>
      <c r="Z397" s="3"/>
      <c r="AA397" s="3"/>
      <c r="AB397" s="3"/>
      <c r="AC397" s="3"/>
      <c r="AD397" s="3"/>
      <c r="AE397" s="3"/>
      <c r="AF397" s="3"/>
      <c r="AG397" s="3"/>
      <c r="AH397" s="3"/>
      <c r="AI397" s="3"/>
      <c r="AJ397" s="3"/>
      <c r="AK397" s="3"/>
      <c r="AL397" s="3"/>
    </row>
    <row r="398" spans="1:38" ht="14.25" customHeight="1" x14ac:dyDescent="0.2">
      <c r="A398" s="118"/>
      <c r="B398" s="118"/>
      <c r="C398" s="118"/>
      <c r="D398" s="118"/>
      <c r="E398" s="118"/>
      <c r="F398" s="118"/>
      <c r="G398" s="118"/>
      <c r="H398" s="118"/>
      <c r="I398" s="118"/>
      <c r="J398" s="118"/>
      <c r="K398" s="118"/>
      <c r="L398" s="118"/>
      <c r="M398" s="118"/>
      <c r="N398" s="42"/>
      <c r="O398" s="42"/>
      <c r="P398" s="42"/>
      <c r="Q398" s="42"/>
      <c r="R398" s="42"/>
      <c r="S398" s="3"/>
      <c r="T398" s="3"/>
      <c r="U398" s="3"/>
      <c r="V398" s="3"/>
      <c r="W398" s="3"/>
      <c r="X398" s="3"/>
      <c r="Y398" s="3"/>
      <c r="Z398" s="3"/>
      <c r="AA398" s="3"/>
      <c r="AB398" s="3"/>
      <c r="AC398" s="3"/>
      <c r="AD398" s="3"/>
      <c r="AE398" s="3"/>
      <c r="AF398" s="3"/>
      <c r="AG398" s="3"/>
      <c r="AH398" s="3"/>
      <c r="AI398" s="3"/>
      <c r="AJ398" s="3"/>
      <c r="AK398" s="3"/>
      <c r="AL398" s="3"/>
    </row>
    <row r="399" spans="1:38" ht="14.25" customHeight="1" x14ac:dyDescent="0.2">
      <c r="A399" s="118"/>
      <c r="B399" s="118"/>
      <c r="C399" s="118"/>
      <c r="D399" s="118"/>
      <c r="E399" s="118"/>
      <c r="F399" s="118"/>
      <c r="G399" s="118"/>
      <c r="H399" s="118"/>
      <c r="I399" s="118"/>
      <c r="J399" s="118"/>
      <c r="K399" s="118"/>
      <c r="L399" s="118"/>
      <c r="M399" s="118"/>
      <c r="N399" s="42"/>
      <c r="O399" s="42"/>
      <c r="P399" s="42"/>
      <c r="Q399" s="42"/>
      <c r="R399" s="42"/>
      <c r="S399" s="3"/>
      <c r="T399" s="3"/>
      <c r="U399" s="3"/>
      <c r="V399" s="3"/>
      <c r="W399" s="3"/>
      <c r="X399" s="3"/>
      <c r="Y399" s="3"/>
      <c r="Z399" s="3"/>
      <c r="AA399" s="3"/>
      <c r="AB399" s="3"/>
      <c r="AC399" s="3"/>
      <c r="AD399" s="3"/>
      <c r="AE399" s="3"/>
      <c r="AF399" s="3"/>
      <c r="AG399" s="3"/>
      <c r="AH399" s="3"/>
      <c r="AI399" s="3"/>
      <c r="AJ399" s="3"/>
      <c r="AK399" s="3"/>
      <c r="AL399" s="3"/>
    </row>
    <row r="400" spans="1:38" ht="14.25" customHeight="1" x14ac:dyDescent="0.2">
      <c r="A400" s="118"/>
      <c r="B400" s="118"/>
      <c r="C400" s="118"/>
      <c r="D400" s="118"/>
      <c r="E400" s="118"/>
      <c r="F400" s="118"/>
      <c r="G400" s="118"/>
      <c r="H400" s="118"/>
      <c r="I400" s="118"/>
      <c r="J400" s="118"/>
      <c r="K400" s="118"/>
      <c r="L400" s="118"/>
      <c r="M400" s="118"/>
      <c r="N400" s="42"/>
      <c r="O400" s="42"/>
      <c r="P400" s="42"/>
      <c r="Q400" s="42"/>
      <c r="R400" s="42"/>
      <c r="S400" s="3"/>
      <c r="T400" s="3"/>
      <c r="U400" s="3"/>
      <c r="V400" s="3"/>
      <c r="W400" s="3"/>
      <c r="X400" s="3"/>
      <c r="Y400" s="3"/>
      <c r="Z400" s="3"/>
      <c r="AA400" s="3"/>
      <c r="AB400" s="3"/>
      <c r="AC400" s="3"/>
      <c r="AD400" s="3"/>
      <c r="AE400" s="3"/>
      <c r="AF400" s="3"/>
      <c r="AG400" s="3"/>
      <c r="AH400" s="3"/>
      <c r="AI400" s="3"/>
      <c r="AJ400" s="3"/>
      <c r="AK400" s="3"/>
      <c r="AL400" s="3"/>
    </row>
    <row r="401" spans="1:38" ht="14.25" customHeight="1" x14ac:dyDescent="0.2">
      <c r="A401" s="118"/>
      <c r="B401" s="118"/>
      <c r="C401" s="118"/>
      <c r="D401" s="118"/>
      <c r="E401" s="118"/>
      <c r="F401" s="118"/>
      <c r="G401" s="118"/>
      <c r="H401" s="118"/>
      <c r="I401" s="118"/>
      <c r="J401" s="118"/>
      <c r="K401" s="118"/>
      <c r="L401" s="118"/>
      <c r="M401" s="118"/>
      <c r="N401" s="42"/>
      <c r="O401" s="42"/>
      <c r="P401" s="42"/>
      <c r="Q401" s="42"/>
      <c r="R401" s="42"/>
      <c r="S401" s="3"/>
      <c r="T401" s="3"/>
      <c r="U401" s="3"/>
      <c r="V401" s="3"/>
      <c r="W401" s="3"/>
      <c r="X401" s="3"/>
      <c r="Y401" s="3"/>
      <c r="Z401" s="3"/>
      <c r="AA401" s="3"/>
      <c r="AB401" s="3"/>
      <c r="AC401" s="3"/>
      <c r="AD401" s="3"/>
      <c r="AE401" s="3"/>
      <c r="AF401" s="3"/>
      <c r="AG401" s="3"/>
      <c r="AH401" s="3"/>
      <c r="AI401" s="3"/>
      <c r="AJ401" s="3"/>
      <c r="AK401" s="3"/>
      <c r="AL401" s="3"/>
    </row>
    <row r="402" spans="1:38" ht="14.25" customHeight="1" x14ac:dyDescent="0.2">
      <c r="A402" s="118"/>
      <c r="B402" s="118"/>
      <c r="C402" s="118"/>
      <c r="D402" s="118"/>
      <c r="E402" s="118"/>
      <c r="F402" s="118"/>
      <c r="G402" s="118"/>
      <c r="H402" s="118"/>
      <c r="I402" s="118"/>
      <c r="J402" s="118"/>
      <c r="K402" s="118"/>
      <c r="L402" s="118"/>
      <c r="M402" s="118"/>
      <c r="N402" s="42"/>
      <c r="O402" s="42"/>
      <c r="P402" s="42"/>
      <c r="Q402" s="42"/>
      <c r="R402" s="42"/>
      <c r="S402" s="3"/>
      <c r="T402" s="3"/>
      <c r="U402" s="3"/>
      <c r="V402" s="3"/>
      <c r="W402" s="3"/>
      <c r="X402" s="3"/>
      <c r="Y402" s="3"/>
      <c r="Z402" s="3"/>
      <c r="AA402" s="3"/>
      <c r="AB402" s="3"/>
      <c r="AC402" s="3"/>
      <c r="AD402" s="3"/>
      <c r="AE402" s="3"/>
      <c r="AF402" s="3"/>
      <c r="AG402" s="3"/>
      <c r="AH402" s="3"/>
      <c r="AI402" s="3"/>
      <c r="AJ402" s="3"/>
      <c r="AK402" s="3"/>
      <c r="AL402" s="3"/>
    </row>
    <row r="403" spans="1:38" ht="14.25" customHeight="1" x14ac:dyDescent="0.2">
      <c r="A403" s="118"/>
      <c r="B403" s="118"/>
      <c r="C403" s="118"/>
      <c r="D403" s="118"/>
      <c r="E403" s="118"/>
      <c r="F403" s="118"/>
      <c r="G403" s="118"/>
      <c r="H403" s="118"/>
      <c r="I403" s="118"/>
      <c r="J403" s="118"/>
      <c r="K403" s="118"/>
      <c r="L403" s="118"/>
      <c r="M403" s="118"/>
      <c r="N403" s="42"/>
      <c r="O403" s="42"/>
      <c r="P403" s="42"/>
      <c r="Q403" s="42"/>
      <c r="R403" s="42"/>
      <c r="S403" s="3"/>
      <c r="T403" s="3"/>
      <c r="U403" s="3"/>
      <c r="V403" s="3"/>
      <c r="W403" s="3"/>
      <c r="X403" s="3"/>
      <c r="Y403" s="3"/>
      <c r="Z403" s="3"/>
      <c r="AA403" s="3"/>
      <c r="AB403" s="3"/>
      <c r="AC403" s="3"/>
      <c r="AD403" s="3"/>
      <c r="AE403" s="3"/>
      <c r="AF403" s="3"/>
      <c r="AG403" s="3"/>
      <c r="AH403" s="3"/>
      <c r="AI403" s="3"/>
      <c r="AJ403" s="3"/>
      <c r="AK403" s="3"/>
      <c r="AL403" s="3"/>
    </row>
    <row r="404" spans="1:38" ht="14.25" customHeight="1" x14ac:dyDescent="0.2">
      <c r="A404" s="118"/>
      <c r="B404" s="118"/>
      <c r="C404" s="118"/>
      <c r="D404" s="118"/>
      <c r="E404" s="118"/>
      <c r="F404" s="118"/>
      <c r="G404" s="118"/>
      <c r="H404" s="118"/>
      <c r="I404" s="118"/>
      <c r="J404" s="118"/>
      <c r="K404" s="118"/>
      <c r="L404" s="118"/>
      <c r="M404" s="118"/>
      <c r="N404" s="42"/>
      <c r="O404" s="42"/>
      <c r="P404" s="42"/>
      <c r="Q404" s="42"/>
      <c r="R404" s="42"/>
      <c r="S404" s="3"/>
      <c r="T404" s="3"/>
      <c r="U404" s="3"/>
      <c r="V404" s="3"/>
      <c r="W404" s="3"/>
      <c r="X404" s="3"/>
      <c r="Y404" s="3"/>
      <c r="Z404" s="3"/>
      <c r="AA404" s="3"/>
      <c r="AB404" s="3"/>
      <c r="AC404" s="3"/>
      <c r="AD404" s="3"/>
      <c r="AE404" s="3"/>
      <c r="AF404" s="3"/>
      <c r="AG404" s="3"/>
      <c r="AH404" s="3"/>
      <c r="AI404" s="3"/>
      <c r="AJ404" s="3"/>
      <c r="AK404" s="3"/>
      <c r="AL404" s="3"/>
    </row>
    <row r="405" spans="1:38" ht="14.25" customHeight="1" x14ac:dyDescent="0.2">
      <c r="A405" s="118"/>
      <c r="B405" s="118"/>
      <c r="C405" s="118"/>
      <c r="D405" s="118"/>
      <c r="E405" s="118"/>
      <c r="F405" s="118"/>
      <c r="G405" s="118"/>
      <c r="H405" s="118"/>
      <c r="I405" s="118"/>
      <c r="J405" s="118"/>
      <c r="K405" s="118"/>
      <c r="L405" s="118"/>
      <c r="M405" s="118"/>
      <c r="N405" s="42"/>
      <c r="O405" s="42"/>
      <c r="P405" s="42"/>
      <c r="Q405" s="42"/>
      <c r="R405" s="42"/>
      <c r="S405" s="3"/>
      <c r="T405" s="3"/>
      <c r="U405" s="3"/>
      <c r="V405" s="3"/>
      <c r="W405" s="3"/>
      <c r="X405" s="3"/>
      <c r="Y405" s="3"/>
      <c r="Z405" s="3"/>
      <c r="AA405" s="3"/>
      <c r="AB405" s="3"/>
      <c r="AC405" s="3"/>
      <c r="AD405" s="3"/>
      <c r="AE405" s="3"/>
      <c r="AF405" s="3"/>
      <c r="AG405" s="3"/>
      <c r="AH405" s="3"/>
      <c r="AI405" s="3"/>
      <c r="AJ405" s="3"/>
      <c r="AK405" s="3"/>
      <c r="AL405" s="3"/>
    </row>
    <row r="406" spans="1:38" ht="14.25" customHeight="1" x14ac:dyDescent="0.2">
      <c r="A406" s="118"/>
      <c r="B406" s="118"/>
      <c r="C406" s="118"/>
      <c r="D406" s="118"/>
      <c r="E406" s="118"/>
      <c r="F406" s="118"/>
      <c r="G406" s="118"/>
      <c r="H406" s="118"/>
      <c r="I406" s="118"/>
      <c r="J406" s="118"/>
      <c r="K406" s="118"/>
      <c r="L406" s="118"/>
      <c r="M406" s="118"/>
      <c r="N406" s="42"/>
      <c r="O406" s="42"/>
      <c r="P406" s="42"/>
      <c r="Q406" s="42"/>
      <c r="R406" s="42"/>
      <c r="S406" s="3"/>
      <c r="T406" s="3"/>
      <c r="U406" s="3"/>
      <c r="V406" s="3"/>
      <c r="W406" s="3"/>
      <c r="X406" s="3"/>
      <c r="Y406" s="3"/>
      <c r="Z406" s="3"/>
      <c r="AA406" s="3"/>
      <c r="AB406" s="3"/>
      <c r="AC406" s="3"/>
      <c r="AD406" s="3"/>
      <c r="AE406" s="3"/>
      <c r="AF406" s="3"/>
      <c r="AG406" s="3"/>
      <c r="AH406" s="3"/>
      <c r="AI406" s="3"/>
      <c r="AJ406" s="3"/>
      <c r="AK406" s="3"/>
      <c r="AL406" s="3"/>
    </row>
    <row r="407" spans="1:38" ht="14.25" customHeight="1" x14ac:dyDescent="0.2">
      <c r="A407" s="118"/>
      <c r="B407" s="118"/>
      <c r="C407" s="118"/>
      <c r="D407" s="118"/>
      <c r="E407" s="118"/>
      <c r="F407" s="118"/>
      <c r="G407" s="118"/>
      <c r="H407" s="118"/>
      <c r="I407" s="118"/>
      <c r="J407" s="118"/>
      <c r="K407" s="118"/>
      <c r="L407" s="118"/>
      <c r="M407" s="118"/>
      <c r="N407" s="42"/>
      <c r="O407" s="42"/>
      <c r="P407" s="42"/>
      <c r="Q407" s="42"/>
      <c r="R407" s="42"/>
      <c r="S407" s="3"/>
      <c r="T407" s="3"/>
      <c r="U407" s="3"/>
      <c r="V407" s="3"/>
      <c r="W407" s="3"/>
      <c r="X407" s="3"/>
      <c r="Y407" s="3"/>
      <c r="Z407" s="3"/>
      <c r="AA407" s="3"/>
      <c r="AB407" s="3"/>
      <c r="AC407" s="3"/>
      <c r="AD407" s="3"/>
      <c r="AE407" s="3"/>
      <c r="AF407" s="3"/>
      <c r="AG407" s="3"/>
      <c r="AH407" s="3"/>
      <c r="AI407" s="3"/>
      <c r="AJ407" s="3"/>
      <c r="AK407" s="3"/>
      <c r="AL407" s="3"/>
    </row>
    <row r="408" spans="1:38" ht="14.25" customHeight="1" x14ac:dyDescent="0.2">
      <c r="A408" s="118"/>
      <c r="B408" s="118"/>
      <c r="C408" s="118"/>
      <c r="D408" s="118"/>
      <c r="E408" s="118"/>
      <c r="F408" s="118"/>
      <c r="G408" s="118"/>
      <c r="H408" s="118"/>
      <c r="I408" s="118"/>
      <c r="J408" s="118"/>
      <c r="K408" s="118"/>
      <c r="L408" s="118"/>
      <c r="M408" s="118"/>
      <c r="N408" s="42"/>
      <c r="O408" s="42"/>
      <c r="P408" s="42"/>
      <c r="Q408" s="42"/>
      <c r="R408" s="42"/>
      <c r="S408" s="3"/>
      <c r="T408" s="3"/>
      <c r="U408" s="3"/>
      <c r="V408" s="3"/>
      <c r="W408" s="3"/>
      <c r="X408" s="3"/>
      <c r="Y408" s="3"/>
      <c r="Z408" s="3"/>
      <c r="AA408" s="3"/>
      <c r="AB408" s="3"/>
      <c r="AC408" s="3"/>
      <c r="AD408" s="3"/>
      <c r="AE408" s="3"/>
      <c r="AF408" s="3"/>
      <c r="AG408" s="3"/>
      <c r="AH408" s="3"/>
      <c r="AI408" s="3"/>
      <c r="AJ408" s="3"/>
      <c r="AK408" s="3"/>
      <c r="AL408" s="3"/>
    </row>
    <row r="409" spans="1:38" ht="14.25" customHeight="1" x14ac:dyDescent="0.2">
      <c r="A409" s="118"/>
      <c r="B409" s="118"/>
      <c r="C409" s="118"/>
      <c r="D409" s="118"/>
      <c r="E409" s="118"/>
      <c r="F409" s="118"/>
      <c r="G409" s="118"/>
      <c r="H409" s="118"/>
      <c r="I409" s="118"/>
      <c r="J409" s="118"/>
      <c r="K409" s="118"/>
      <c r="L409" s="118"/>
      <c r="M409" s="118"/>
      <c r="N409" s="42"/>
      <c r="O409" s="42"/>
      <c r="P409" s="42"/>
      <c r="Q409" s="42"/>
      <c r="R409" s="42"/>
      <c r="S409" s="3"/>
      <c r="T409" s="3"/>
      <c r="U409" s="3"/>
      <c r="V409" s="3"/>
      <c r="W409" s="3"/>
      <c r="X409" s="3"/>
      <c r="Y409" s="3"/>
      <c r="Z409" s="3"/>
      <c r="AA409" s="3"/>
      <c r="AB409" s="3"/>
      <c r="AC409" s="3"/>
      <c r="AD409" s="3"/>
      <c r="AE409" s="3"/>
      <c r="AF409" s="3"/>
      <c r="AG409" s="3"/>
      <c r="AH409" s="3"/>
      <c r="AI409" s="3"/>
      <c r="AJ409" s="3"/>
      <c r="AK409" s="3"/>
      <c r="AL409" s="3"/>
    </row>
    <row r="410" spans="1:38" ht="14.25" customHeight="1" x14ac:dyDescent="0.2">
      <c r="A410" s="118"/>
      <c r="B410" s="118"/>
      <c r="C410" s="118"/>
      <c r="D410" s="118"/>
      <c r="E410" s="118"/>
      <c r="F410" s="118"/>
      <c r="G410" s="118"/>
      <c r="H410" s="118"/>
      <c r="I410" s="118"/>
      <c r="J410" s="118"/>
      <c r="K410" s="118"/>
      <c r="L410" s="118"/>
      <c r="M410" s="118"/>
      <c r="N410" s="42"/>
      <c r="O410" s="42"/>
      <c r="P410" s="42"/>
      <c r="Q410" s="42"/>
      <c r="R410" s="42"/>
      <c r="S410" s="3"/>
      <c r="T410" s="3"/>
      <c r="U410" s="3"/>
      <c r="V410" s="3"/>
      <c r="W410" s="3"/>
      <c r="X410" s="3"/>
      <c r="Y410" s="3"/>
      <c r="Z410" s="3"/>
      <c r="AA410" s="3"/>
      <c r="AB410" s="3"/>
      <c r="AC410" s="3"/>
      <c r="AD410" s="3"/>
      <c r="AE410" s="3"/>
      <c r="AF410" s="3"/>
      <c r="AG410" s="3"/>
      <c r="AH410" s="3"/>
      <c r="AI410" s="3"/>
      <c r="AJ410" s="3"/>
      <c r="AK410" s="3"/>
      <c r="AL410" s="3"/>
    </row>
    <row r="411" spans="1:38" ht="14.25" customHeight="1" x14ac:dyDescent="0.2">
      <c r="A411" s="118"/>
      <c r="B411" s="118"/>
      <c r="C411" s="118"/>
      <c r="D411" s="118"/>
      <c r="E411" s="118"/>
      <c r="F411" s="118"/>
      <c r="G411" s="118"/>
      <c r="H411" s="118"/>
      <c r="I411" s="118"/>
      <c r="J411" s="118"/>
      <c r="K411" s="118"/>
      <c r="L411" s="118"/>
      <c r="M411" s="118"/>
      <c r="N411" s="42"/>
      <c r="O411" s="42"/>
      <c r="P411" s="42"/>
      <c r="Q411" s="42"/>
      <c r="R411" s="42"/>
      <c r="S411" s="3"/>
      <c r="T411" s="3"/>
      <c r="U411" s="3"/>
      <c r="V411" s="3"/>
      <c r="W411" s="3"/>
      <c r="X411" s="3"/>
      <c r="Y411" s="3"/>
      <c r="Z411" s="3"/>
      <c r="AA411" s="3"/>
      <c r="AB411" s="3"/>
      <c r="AC411" s="3"/>
      <c r="AD411" s="3"/>
      <c r="AE411" s="3"/>
      <c r="AF411" s="3"/>
      <c r="AG411" s="3"/>
      <c r="AH411" s="3"/>
      <c r="AI411" s="3"/>
      <c r="AJ411" s="3"/>
      <c r="AK411" s="3"/>
      <c r="AL411" s="3"/>
    </row>
    <row r="412" spans="1:38" ht="14.25" customHeight="1" x14ac:dyDescent="0.2">
      <c r="A412" s="118"/>
      <c r="B412" s="118"/>
      <c r="C412" s="118"/>
      <c r="D412" s="118"/>
      <c r="E412" s="118"/>
      <c r="F412" s="118"/>
      <c r="G412" s="118"/>
      <c r="H412" s="118"/>
      <c r="I412" s="118"/>
      <c r="J412" s="118"/>
      <c r="K412" s="118"/>
      <c r="L412" s="118"/>
      <c r="M412" s="118"/>
      <c r="N412" s="42"/>
      <c r="O412" s="42"/>
      <c r="P412" s="42"/>
      <c r="Q412" s="42"/>
      <c r="R412" s="42"/>
      <c r="S412" s="3"/>
      <c r="T412" s="3"/>
      <c r="U412" s="3"/>
      <c r="V412" s="3"/>
      <c r="W412" s="3"/>
      <c r="X412" s="3"/>
      <c r="Y412" s="3"/>
      <c r="Z412" s="3"/>
      <c r="AA412" s="3"/>
      <c r="AB412" s="3"/>
      <c r="AC412" s="3"/>
      <c r="AD412" s="3"/>
      <c r="AE412" s="3"/>
      <c r="AF412" s="3"/>
      <c r="AG412" s="3"/>
      <c r="AH412" s="3"/>
      <c r="AI412" s="3"/>
      <c r="AJ412" s="3"/>
      <c r="AK412" s="3"/>
      <c r="AL412" s="3"/>
    </row>
    <row r="413" spans="1:38" ht="14.25" customHeight="1" x14ac:dyDescent="0.2">
      <c r="A413" s="118"/>
      <c r="B413" s="118"/>
      <c r="C413" s="118"/>
      <c r="D413" s="118"/>
      <c r="E413" s="118"/>
      <c r="F413" s="118"/>
      <c r="G413" s="118"/>
      <c r="H413" s="118"/>
      <c r="I413" s="118"/>
      <c r="J413" s="118"/>
      <c r="K413" s="118"/>
      <c r="L413" s="118"/>
      <c r="M413" s="118"/>
      <c r="N413" s="42"/>
      <c r="O413" s="42"/>
      <c r="P413" s="42"/>
      <c r="Q413" s="42"/>
      <c r="R413" s="42"/>
      <c r="S413" s="3"/>
      <c r="T413" s="3"/>
      <c r="U413" s="3"/>
      <c r="V413" s="3"/>
      <c r="W413" s="3"/>
      <c r="X413" s="3"/>
      <c r="Y413" s="3"/>
      <c r="Z413" s="3"/>
      <c r="AA413" s="3"/>
      <c r="AB413" s="3"/>
      <c r="AC413" s="3"/>
      <c r="AD413" s="3"/>
      <c r="AE413" s="3"/>
      <c r="AF413" s="3"/>
      <c r="AG413" s="3"/>
      <c r="AH413" s="3"/>
      <c r="AI413" s="3"/>
      <c r="AJ413" s="3"/>
      <c r="AK413" s="3"/>
      <c r="AL413" s="3"/>
    </row>
    <row r="414" spans="1:38" ht="14.25" customHeight="1" x14ac:dyDescent="0.2">
      <c r="A414" s="118"/>
      <c r="B414" s="118"/>
      <c r="C414" s="118"/>
      <c r="D414" s="118"/>
      <c r="E414" s="118"/>
      <c r="F414" s="118"/>
      <c r="G414" s="118"/>
      <c r="H414" s="118"/>
      <c r="I414" s="118"/>
      <c r="J414" s="118"/>
      <c r="K414" s="118"/>
      <c r="L414" s="118"/>
      <c r="M414" s="118"/>
      <c r="N414" s="42"/>
      <c r="O414" s="42"/>
      <c r="P414" s="42"/>
      <c r="Q414" s="42"/>
      <c r="R414" s="42"/>
      <c r="S414" s="3"/>
      <c r="T414" s="3"/>
      <c r="U414" s="3"/>
      <c r="V414" s="3"/>
      <c r="W414" s="3"/>
      <c r="X414" s="3"/>
      <c r="Y414" s="3"/>
      <c r="Z414" s="3"/>
      <c r="AA414" s="3"/>
      <c r="AB414" s="3"/>
      <c r="AC414" s="3"/>
      <c r="AD414" s="3"/>
      <c r="AE414" s="3"/>
      <c r="AF414" s="3"/>
      <c r="AG414" s="3"/>
      <c r="AH414" s="3"/>
      <c r="AI414" s="3"/>
      <c r="AJ414" s="3"/>
      <c r="AK414" s="3"/>
      <c r="AL414" s="3"/>
    </row>
    <row r="415" spans="1:38" ht="14.25" customHeight="1" x14ac:dyDescent="0.2">
      <c r="A415" s="118"/>
      <c r="B415" s="118"/>
      <c r="C415" s="118"/>
      <c r="D415" s="118"/>
      <c r="E415" s="118"/>
      <c r="F415" s="118"/>
      <c r="G415" s="118"/>
      <c r="H415" s="118"/>
      <c r="I415" s="118"/>
      <c r="J415" s="118"/>
      <c r="K415" s="118"/>
      <c r="L415" s="118"/>
      <c r="M415" s="118"/>
      <c r="N415" s="42"/>
      <c r="O415" s="42"/>
      <c r="P415" s="42"/>
      <c r="Q415" s="42"/>
      <c r="R415" s="42"/>
      <c r="S415" s="3"/>
      <c r="T415" s="3"/>
      <c r="U415" s="3"/>
      <c r="V415" s="3"/>
      <c r="W415" s="3"/>
      <c r="X415" s="3"/>
      <c r="Y415" s="3"/>
      <c r="Z415" s="3"/>
      <c r="AA415" s="3"/>
      <c r="AB415" s="3"/>
      <c r="AC415" s="3"/>
      <c r="AD415" s="3"/>
      <c r="AE415" s="3"/>
      <c r="AF415" s="3"/>
      <c r="AG415" s="3"/>
      <c r="AH415" s="3"/>
      <c r="AI415" s="3"/>
      <c r="AJ415" s="3"/>
      <c r="AK415" s="3"/>
      <c r="AL415" s="3"/>
    </row>
    <row r="416" spans="1:38" ht="14.25" customHeight="1" x14ac:dyDescent="0.2">
      <c r="A416" s="118"/>
      <c r="B416" s="118"/>
      <c r="C416" s="118"/>
      <c r="D416" s="118"/>
      <c r="E416" s="118"/>
      <c r="F416" s="118"/>
      <c r="G416" s="118"/>
      <c r="H416" s="118"/>
      <c r="I416" s="118"/>
      <c r="J416" s="118"/>
      <c r="K416" s="118"/>
      <c r="L416" s="118"/>
      <c r="M416" s="118"/>
      <c r="N416" s="42"/>
      <c r="O416" s="42"/>
      <c r="P416" s="42"/>
      <c r="Q416" s="42"/>
      <c r="R416" s="42"/>
      <c r="S416" s="3"/>
      <c r="T416" s="3"/>
      <c r="U416" s="3"/>
      <c r="V416" s="3"/>
      <c r="W416" s="3"/>
      <c r="X416" s="3"/>
      <c r="Y416" s="3"/>
      <c r="Z416" s="3"/>
      <c r="AA416" s="3"/>
      <c r="AB416" s="3"/>
      <c r="AC416" s="3"/>
      <c r="AD416" s="3"/>
      <c r="AE416" s="3"/>
      <c r="AF416" s="3"/>
      <c r="AG416" s="3"/>
      <c r="AH416" s="3"/>
      <c r="AI416" s="3"/>
      <c r="AJ416" s="3"/>
      <c r="AK416" s="3"/>
      <c r="AL416" s="3"/>
    </row>
    <row r="417" spans="1:38" ht="14.25" customHeight="1" x14ac:dyDescent="0.2">
      <c r="A417" s="118"/>
      <c r="B417" s="118"/>
      <c r="C417" s="118"/>
      <c r="D417" s="118"/>
      <c r="E417" s="118"/>
      <c r="F417" s="118"/>
      <c r="G417" s="118"/>
      <c r="H417" s="118"/>
      <c r="I417" s="118"/>
      <c r="J417" s="118"/>
      <c r="K417" s="118"/>
      <c r="L417" s="118"/>
      <c r="M417" s="118"/>
      <c r="N417" s="42"/>
      <c r="O417" s="42"/>
      <c r="P417" s="42"/>
      <c r="Q417" s="42"/>
      <c r="R417" s="42"/>
      <c r="S417" s="3"/>
      <c r="T417" s="3"/>
      <c r="U417" s="3"/>
      <c r="V417" s="3"/>
      <c r="W417" s="3"/>
      <c r="X417" s="3"/>
      <c r="Y417" s="3"/>
      <c r="Z417" s="3"/>
      <c r="AA417" s="3"/>
      <c r="AB417" s="3"/>
      <c r="AC417" s="3"/>
      <c r="AD417" s="3"/>
      <c r="AE417" s="3"/>
      <c r="AF417" s="3"/>
      <c r="AG417" s="3"/>
      <c r="AH417" s="3"/>
      <c r="AI417" s="3"/>
      <c r="AJ417" s="3"/>
      <c r="AK417" s="3"/>
      <c r="AL417" s="3"/>
    </row>
    <row r="418" spans="1:38" ht="14.25" customHeight="1" x14ac:dyDescent="0.2">
      <c r="A418" s="118"/>
      <c r="B418" s="118"/>
      <c r="C418" s="118"/>
      <c r="D418" s="118"/>
      <c r="E418" s="118"/>
      <c r="F418" s="118"/>
      <c r="G418" s="118"/>
      <c r="H418" s="118"/>
      <c r="I418" s="118"/>
      <c r="J418" s="118"/>
      <c r="K418" s="118"/>
      <c r="L418" s="118"/>
      <c r="M418" s="118"/>
      <c r="N418" s="42"/>
      <c r="O418" s="42"/>
      <c r="P418" s="42"/>
      <c r="Q418" s="42"/>
      <c r="R418" s="42"/>
      <c r="S418" s="3"/>
      <c r="T418" s="3"/>
      <c r="U418" s="3"/>
      <c r="V418" s="3"/>
      <c r="W418" s="3"/>
      <c r="X418" s="3"/>
      <c r="Y418" s="3"/>
      <c r="Z418" s="3"/>
      <c r="AA418" s="3"/>
      <c r="AB418" s="3"/>
      <c r="AC418" s="3"/>
      <c r="AD418" s="3"/>
      <c r="AE418" s="3"/>
      <c r="AF418" s="3"/>
      <c r="AG418" s="3"/>
      <c r="AH418" s="3"/>
      <c r="AI418" s="3"/>
      <c r="AJ418" s="3"/>
      <c r="AK418" s="3"/>
      <c r="AL418" s="3"/>
    </row>
    <row r="419" spans="1:38" ht="14.25" customHeight="1" x14ac:dyDescent="0.2">
      <c r="A419" s="118"/>
      <c r="B419" s="118"/>
      <c r="C419" s="118"/>
      <c r="D419" s="118"/>
      <c r="E419" s="118"/>
      <c r="F419" s="118"/>
      <c r="G419" s="118"/>
      <c r="H419" s="118"/>
      <c r="I419" s="118"/>
      <c r="J419" s="118"/>
      <c r="K419" s="118"/>
      <c r="L419" s="118"/>
      <c r="M419" s="118"/>
      <c r="N419" s="42"/>
      <c r="O419" s="42"/>
      <c r="P419" s="42"/>
      <c r="Q419" s="42"/>
      <c r="R419" s="42"/>
      <c r="S419" s="3"/>
      <c r="T419" s="3"/>
      <c r="U419" s="3"/>
      <c r="V419" s="3"/>
      <c r="W419" s="3"/>
      <c r="X419" s="3"/>
      <c r="Y419" s="3"/>
      <c r="Z419" s="3"/>
      <c r="AA419" s="3"/>
      <c r="AB419" s="3"/>
      <c r="AC419" s="3"/>
      <c r="AD419" s="3"/>
      <c r="AE419" s="3"/>
      <c r="AF419" s="3"/>
      <c r="AG419" s="3"/>
      <c r="AH419" s="3"/>
      <c r="AI419" s="3"/>
      <c r="AJ419" s="3"/>
      <c r="AK419" s="3"/>
      <c r="AL419" s="3"/>
    </row>
    <row r="420" spans="1:38" ht="14.25" customHeight="1" x14ac:dyDescent="0.2">
      <c r="A420" s="118"/>
      <c r="B420" s="118"/>
      <c r="C420" s="118"/>
      <c r="D420" s="118"/>
      <c r="E420" s="118"/>
      <c r="F420" s="118"/>
      <c r="G420" s="118"/>
      <c r="H420" s="118"/>
      <c r="I420" s="118"/>
      <c r="J420" s="118"/>
      <c r="K420" s="118"/>
      <c r="L420" s="118"/>
      <c r="M420" s="118"/>
      <c r="N420" s="42"/>
      <c r="O420" s="42"/>
      <c r="P420" s="42"/>
      <c r="Q420" s="42"/>
      <c r="R420" s="42"/>
      <c r="S420" s="3"/>
      <c r="T420" s="3"/>
      <c r="U420" s="3"/>
      <c r="V420" s="3"/>
      <c r="W420" s="3"/>
      <c r="X420" s="3"/>
      <c r="Y420" s="3"/>
      <c r="Z420" s="3"/>
      <c r="AA420" s="3"/>
      <c r="AB420" s="3"/>
      <c r="AC420" s="3"/>
      <c r="AD420" s="3"/>
      <c r="AE420" s="3"/>
      <c r="AF420" s="3"/>
      <c r="AG420" s="3"/>
      <c r="AH420" s="3"/>
      <c r="AI420" s="3"/>
      <c r="AJ420" s="3"/>
      <c r="AK420" s="3"/>
      <c r="AL420" s="3"/>
    </row>
    <row r="421" spans="1:38" ht="14.25" customHeight="1" x14ac:dyDescent="0.2">
      <c r="A421" s="118"/>
      <c r="B421" s="118"/>
      <c r="C421" s="118"/>
      <c r="D421" s="118"/>
      <c r="E421" s="118"/>
      <c r="F421" s="118"/>
      <c r="G421" s="118"/>
      <c r="H421" s="118"/>
      <c r="I421" s="118"/>
      <c r="J421" s="118"/>
      <c r="K421" s="118"/>
      <c r="L421" s="118"/>
      <c r="M421" s="118"/>
      <c r="N421" s="42"/>
      <c r="O421" s="42"/>
      <c r="P421" s="42"/>
      <c r="Q421" s="42"/>
      <c r="R421" s="42"/>
      <c r="S421" s="3"/>
      <c r="T421" s="3"/>
      <c r="U421" s="3"/>
      <c r="V421" s="3"/>
      <c r="W421" s="3"/>
      <c r="X421" s="3"/>
      <c r="Y421" s="3"/>
      <c r="Z421" s="3"/>
      <c r="AA421" s="3"/>
      <c r="AB421" s="3"/>
      <c r="AC421" s="3"/>
      <c r="AD421" s="3"/>
      <c r="AE421" s="3"/>
      <c r="AF421" s="3"/>
      <c r="AG421" s="3"/>
      <c r="AH421" s="3"/>
      <c r="AI421" s="3"/>
      <c r="AJ421" s="3"/>
      <c r="AK421" s="3"/>
      <c r="AL421" s="3"/>
    </row>
    <row r="422" spans="1:38" ht="14.25" customHeight="1" x14ac:dyDescent="0.2">
      <c r="A422" s="118"/>
      <c r="B422" s="118"/>
      <c r="C422" s="118"/>
      <c r="D422" s="118"/>
      <c r="E422" s="118"/>
      <c r="F422" s="118"/>
      <c r="G422" s="118"/>
      <c r="H422" s="118"/>
      <c r="I422" s="118"/>
      <c r="J422" s="118"/>
      <c r="K422" s="118"/>
      <c r="L422" s="118"/>
      <c r="M422" s="118"/>
      <c r="N422" s="42"/>
      <c r="O422" s="42"/>
      <c r="P422" s="42"/>
      <c r="Q422" s="42"/>
      <c r="R422" s="42"/>
      <c r="S422" s="3"/>
      <c r="T422" s="3"/>
      <c r="U422" s="3"/>
      <c r="V422" s="3"/>
      <c r="W422" s="3"/>
      <c r="X422" s="3"/>
      <c r="Y422" s="3"/>
      <c r="Z422" s="3"/>
      <c r="AA422" s="3"/>
      <c r="AB422" s="3"/>
      <c r="AC422" s="3"/>
      <c r="AD422" s="3"/>
      <c r="AE422" s="3"/>
      <c r="AF422" s="3"/>
      <c r="AG422" s="3"/>
      <c r="AH422" s="3"/>
      <c r="AI422" s="3"/>
      <c r="AJ422" s="3"/>
      <c r="AK422" s="3"/>
      <c r="AL422" s="3"/>
    </row>
    <row r="423" spans="1:38" ht="14.25" customHeight="1" x14ac:dyDescent="0.2">
      <c r="A423" s="118"/>
      <c r="B423" s="118"/>
      <c r="C423" s="118"/>
      <c r="D423" s="118"/>
      <c r="E423" s="118"/>
      <c r="F423" s="118"/>
      <c r="G423" s="118"/>
      <c r="H423" s="118"/>
      <c r="I423" s="118"/>
      <c r="J423" s="118"/>
      <c r="K423" s="118"/>
      <c r="L423" s="118"/>
      <c r="M423" s="118"/>
      <c r="N423" s="42"/>
      <c r="O423" s="42"/>
      <c r="P423" s="42"/>
      <c r="Q423" s="42"/>
      <c r="R423" s="42"/>
      <c r="S423" s="3"/>
      <c r="T423" s="3"/>
      <c r="U423" s="3"/>
      <c r="V423" s="3"/>
      <c r="W423" s="3"/>
      <c r="X423" s="3"/>
      <c r="Y423" s="3"/>
      <c r="Z423" s="3"/>
      <c r="AA423" s="3"/>
      <c r="AB423" s="3"/>
      <c r="AC423" s="3"/>
      <c r="AD423" s="3"/>
      <c r="AE423" s="3"/>
      <c r="AF423" s="3"/>
      <c r="AG423" s="3"/>
      <c r="AH423" s="3"/>
      <c r="AI423" s="3"/>
      <c r="AJ423" s="3"/>
      <c r="AK423" s="3"/>
      <c r="AL423" s="3"/>
    </row>
    <row r="424" spans="1:38" ht="14.25" customHeight="1" x14ac:dyDescent="0.2">
      <c r="A424" s="118"/>
      <c r="B424" s="118"/>
      <c r="C424" s="118"/>
      <c r="D424" s="118"/>
      <c r="E424" s="118"/>
      <c r="F424" s="118"/>
      <c r="G424" s="118"/>
      <c r="H424" s="118"/>
      <c r="I424" s="118"/>
      <c r="J424" s="118"/>
      <c r="K424" s="118"/>
      <c r="L424" s="118"/>
      <c r="M424" s="118"/>
      <c r="N424" s="42"/>
      <c r="O424" s="42"/>
      <c r="P424" s="42"/>
      <c r="Q424" s="42"/>
      <c r="R424" s="42"/>
      <c r="S424" s="3"/>
      <c r="T424" s="3"/>
      <c r="U424" s="3"/>
      <c r="V424" s="3"/>
      <c r="W424" s="3"/>
      <c r="X424" s="3"/>
      <c r="Y424" s="3"/>
      <c r="Z424" s="3"/>
      <c r="AA424" s="3"/>
      <c r="AB424" s="3"/>
      <c r="AC424" s="3"/>
      <c r="AD424" s="3"/>
      <c r="AE424" s="3"/>
      <c r="AF424" s="3"/>
      <c r="AG424" s="3"/>
      <c r="AH424" s="3"/>
      <c r="AI424" s="3"/>
      <c r="AJ424" s="3"/>
      <c r="AK424" s="3"/>
      <c r="AL424" s="3"/>
    </row>
    <row r="425" spans="1:38" ht="14.25" customHeight="1" x14ac:dyDescent="0.2">
      <c r="A425" s="118"/>
      <c r="B425" s="118"/>
      <c r="C425" s="118"/>
      <c r="D425" s="118"/>
      <c r="E425" s="118"/>
      <c r="F425" s="118"/>
      <c r="G425" s="118"/>
      <c r="H425" s="118"/>
      <c r="I425" s="118"/>
      <c r="J425" s="118"/>
      <c r="K425" s="118"/>
      <c r="L425" s="118"/>
      <c r="M425" s="118"/>
      <c r="N425" s="42"/>
      <c r="O425" s="42"/>
      <c r="P425" s="42"/>
      <c r="Q425" s="42"/>
      <c r="R425" s="42"/>
      <c r="S425" s="3"/>
      <c r="T425" s="3"/>
      <c r="U425" s="3"/>
      <c r="V425" s="3"/>
      <c r="W425" s="3"/>
      <c r="X425" s="3"/>
      <c r="Y425" s="3"/>
      <c r="Z425" s="3"/>
      <c r="AA425" s="3"/>
      <c r="AB425" s="3"/>
      <c r="AC425" s="3"/>
      <c r="AD425" s="3"/>
      <c r="AE425" s="3"/>
      <c r="AF425" s="3"/>
      <c r="AG425" s="3"/>
      <c r="AH425" s="3"/>
      <c r="AI425" s="3"/>
      <c r="AJ425" s="3"/>
      <c r="AK425" s="3"/>
      <c r="AL425" s="3"/>
    </row>
    <row r="426" spans="1:38" ht="14.25" customHeight="1" x14ac:dyDescent="0.2">
      <c r="A426" s="118"/>
      <c r="B426" s="118"/>
      <c r="C426" s="118"/>
      <c r="D426" s="118"/>
      <c r="E426" s="118"/>
      <c r="F426" s="118"/>
      <c r="G426" s="118"/>
      <c r="H426" s="118"/>
      <c r="I426" s="118"/>
      <c r="J426" s="118"/>
      <c r="K426" s="118"/>
      <c r="L426" s="118"/>
      <c r="M426" s="118"/>
      <c r="N426" s="42"/>
      <c r="O426" s="42"/>
      <c r="P426" s="42"/>
      <c r="Q426" s="42"/>
      <c r="R426" s="42"/>
      <c r="S426" s="3"/>
      <c r="T426" s="3"/>
      <c r="U426" s="3"/>
      <c r="V426" s="3"/>
      <c r="W426" s="3"/>
      <c r="X426" s="3"/>
      <c r="Y426" s="3"/>
      <c r="Z426" s="3"/>
      <c r="AA426" s="3"/>
      <c r="AB426" s="3"/>
      <c r="AC426" s="3"/>
      <c r="AD426" s="3"/>
      <c r="AE426" s="3"/>
      <c r="AF426" s="3"/>
      <c r="AG426" s="3"/>
      <c r="AH426" s="3"/>
      <c r="AI426" s="3"/>
      <c r="AJ426" s="3"/>
      <c r="AK426" s="3"/>
      <c r="AL426" s="3"/>
    </row>
    <row r="427" spans="1:38" ht="14.25" customHeight="1" x14ac:dyDescent="0.2">
      <c r="A427" s="118"/>
      <c r="B427" s="118"/>
      <c r="C427" s="118"/>
      <c r="D427" s="118"/>
      <c r="E427" s="118"/>
      <c r="F427" s="118"/>
      <c r="G427" s="118"/>
      <c r="H427" s="118"/>
      <c r="I427" s="118"/>
      <c r="J427" s="118"/>
      <c r="K427" s="118"/>
      <c r="L427" s="118"/>
      <c r="M427" s="118"/>
      <c r="N427" s="42"/>
      <c r="O427" s="42"/>
      <c r="P427" s="42"/>
      <c r="Q427" s="42"/>
      <c r="R427" s="42"/>
      <c r="S427" s="3"/>
      <c r="T427" s="3"/>
      <c r="U427" s="3"/>
      <c r="V427" s="3"/>
      <c r="W427" s="3"/>
      <c r="X427" s="3"/>
      <c r="Y427" s="3"/>
      <c r="Z427" s="3"/>
      <c r="AA427" s="3"/>
      <c r="AB427" s="3"/>
      <c r="AC427" s="3"/>
      <c r="AD427" s="3"/>
      <c r="AE427" s="3"/>
      <c r="AF427" s="3"/>
      <c r="AG427" s="3"/>
      <c r="AH427" s="3"/>
      <c r="AI427" s="3"/>
      <c r="AJ427" s="3"/>
      <c r="AK427" s="3"/>
      <c r="AL427" s="3"/>
    </row>
    <row r="428" spans="1:38" ht="14.25" customHeight="1" x14ac:dyDescent="0.2">
      <c r="A428" s="118"/>
      <c r="B428" s="118"/>
      <c r="C428" s="118"/>
      <c r="D428" s="118"/>
      <c r="E428" s="118"/>
      <c r="F428" s="118"/>
      <c r="G428" s="118"/>
      <c r="H428" s="118"/>
      <c r="I428" s="118"/>
      <c r="J428" s="118"/>
      <c r="K428" s="118"/>
      <c r="L428" s="118"/>
      <c r="M428" s="118"/>
      <c r="N428" s="42"/>
      <c r="O428" s="42"/>
      <c r="P428" s="42"/>
      <c r="Q428" s="42"/>
      <c r="R428" s="42"/>
      <c r="S428" s="3"/>
      <c r="T428" s="3"/>
      <c r="U428" s="3"/>
      <c r="V428" s="3"/>
      <c r="W428" s="3"/>
      <c r="X428" s="3"/>
      <c r="Y428" s="3"/>
      <c r="Z428" s="3"/>
      <c r="AA428" s="3"/>
      <c r="AB428" s="3"/>
      <c r="AC428" s="3"/>
      <c r="AD428" s="3"/>
      <c r="AE428" s="3"/>
      <c r="AF428" s="3"/>
      <c r="AG428" s="3"/>
      <c r="AH428" s="3"/>
      <c r="AI428" s="3"/>
      <c r="AJ428" s="3"/>
      <c r="AK428" s="3"/>
      <c r="AL428" s="3"/>
    </row>
    <row r="429" spans="1:38" ht="14.25" customHeight="1" x14ac:dyDescent="0.2">
      <c r="A429" s="118"/>
      <c r="B429" s="118"/>
      <c r="C429" s="118"/>
      <c r="D429" s="118"/>
      <c r="E429" s="118"/>
      <c r="F429" s="118"/>
      <c r="G429" s="118"/>
      <c r="H429" s="118"/>
      <c r="I429" s="118"/>
      <c r="J429" s="118"/>
      <c r="K429" s="118"/>
      <c r="L429" s="118"/>
      <c r="M429" s="118"/>
      <c r="N429" s="42"/>
      <c r="O429" s="42"/>
      <c r="P429" s="42"/>
      <c r="Q429" s="42"/>
      <c r="R429" s="42"/>
      <c r="S429" s="3"/>
      <c r="T429" s="3"/>
      <c r="U429" s="3"/>
      <c r="V429" s="3"/>
      <c r="W429" s="3"/>
      <c r="X429" s="3"/>
      <c r="Y429" s="3"/>
      <c r="Z429" s="3"/>
      <c r="AA429" s="3"/>
      <c r="AB429" s="3"/>
      <c r="AC429" s="3"/>
      <c r="AD429" s="3"/>
      <c r="AE429" s="3"/>
      <c r="AF429" s="3"/>
      <c r="AG429" s="3"/>
      <c r="AH429" s="3"/>
      <c r="AI429" s="3"/>
      <c r="AJ429" s="3"/>
      <c r="AK429" s="3"/>
      <c r="AL429" s="3"/>
    </row>
    <row r="430" spans="1:38" ht="14.25" customHeight="1" x14ac:dyDescent="0.2">
      <c r="A430" s="118"/>
      <c r="B430" s="118"/>
      <c r="C430" s="118"/>
      <c r="D430" s="118"/>
      <c r="E430" s="118"/>
      <c r="F430" s="118"/>
      <c r="G430" s="118"/>
      <c r="H430" s="118"/>
      <c r="I430" s="118"/>
      <c r="J430" s="118"/>
      <c r="K430" s="118"/>
      <c r="L430" s="118"/>
      <c r="M430" s="118"/>
      <c r="N430" s="42"/>
      <c r="O430" s="42"/>
      <c r="P430" s="42"/>
      <c r="Q430" s="42"/>
      <c r="R430" s="42"/>
      <c r="S430" s="3"/>
      <c r="T430" s="3"/>
      <c r="U430" s="3"/>
      <c r="V430" s="3"/>
      <c r="W430" s="3"/>
      <c r="X430" s="3"/>
      <c r="Y430" s="3"/>
      <c r="Z430" s="3"/>
      <c r="AA430" s="3"/>
      <c r="AB430" s="3"/>
      <c r="AC430" s="3"/>
      <c r="AD430" s="3"/>
      <c r="AE430" s="3"/>
      <c r="AF430" s="3"/>
      <c r="AG430" s="3"/>
      <c r="AH430" s="3"/>
      <c r="AI430" s="3"/>
      <c r="AJ430" s="3"/>
      <c r="AK430" s="3"/>
      <c r="AL430" s="3"/>
    </row>
    <row r="431" spans="1:38" ht="14.25" customHeight="1" x14ac:dyDescent="0.2">
      <c r="A431" s="118"/>
      <c r="B431" s="118"/>
      <c r="C431" s="118"/>
      <c r="D431" s="118"/>
      <c r="E431" s="118"/>
      <c r="F431" s="118"/>
      <c r="G431" s="118"/>
      <c r="H431" s="118"/>
      <c r="I431" s="118"/>
      <c r="J431" s="118"/>
      <c r="K431" s="118"/>
      <c r="L431" s="118"/>
      <c r="M431" s="118"/>
      <c r="N431" s="42"/>
      <c r="O431" s="42"/>
      <c r="P431" s="42"/>
      <c r="Q431" s="42"/>
      <c r="R431" s="42"/>
      <c r="S431" s="3"/>
      <c r="T431" s="3"/>
      <c r="U431" s="3"/>
      <c r="V431" s="3"/>
      <c r="W431" s="3"/>
      <c r="X431" s="3"/>
      <c r="Y431" s="3"/>
      <c r="Z431" s="3"/>
      <c r="AA431" s="3"/>
      <c r="AB431" s="3"/>
      <c r="AC431" s="3"/>
      <c r="AD431" s="3"/>
      <c r="AE431" s="3"/>
      <c r="AF431" s="3"/>
      <c r="AG431" s="3"/>
      <c r="AH431" s="3"/>
      <c r="AI431" s="3"/>
      <c r="AJ431" s="3"/>
      <c r="AK431" s="3"/>
      <c r="AL431" s="3"/>
    </row>
    <row r="432" spans="1:38" ht="14.25" customHeight="1" x14ac:dyDescent="0.2">
      <c r="A432" s="118"/>
      <c r="B432" s="118"/>
      <c r="C432" s="118"/>
      <c r="D432" s="118"/>
      <c r="E432" s="118"/>
      <c r="F432" s="118"/>
      <c r="G432" s="118"/>
      <c r="H432" s="118"/>
      <c r="I432" s="118"/>
      <c r="J432" s="118"/>
      <c r="K432" s="118"/>
      <c r="L432" s="118"/>
      <c r="M432" s="118"/>
      <c r="N432" s="42"/>
      <c r="O432" s="42"/>
      <c r="P432" s="42"/>
      <c r="Q432" s="42"/>
      <c r="R432" s="42"/>
      <c r="S432" s="3"/>
      <c r="T432" s="3"/>
      <c r="U432" s="3"/>
      <c r="V432" s="3"/>
      <c r="W432" s="3"/>
      <c r="X432" s="3"/>
      <c r="Y432" s="3"/>
      <c r="Z432" s="3"/>
      <c r="AA432" s="3"/>
      <c r="AB432" s="3"/>
      <c r="AC432" s="3"/>
      <c r="AD432" s="3"/>
      <c r="AE432" s="3"/>
      <c r="AF432" s="3"/>
      <c r="AG432" s="3"/>
      <c r="AH432" s="3"/>
      <c r="AI432" s="3"/>
      <c r="AJ432" s="3"/>
      <c r="AK432" s="3"/>
      <c r="AL432" s="3"/>
    </row>
    <row r="433" spans="1:38" ht="14.25" customHeight="1" x14ac:dyDescent="0.2">
      <c r="A433" s="118"/>
      <c r="B433" s="118"/>
      <c r="C433" s="118"/>
      <c r="D433" s="118"/>
      <c r="E433" s="118"/>
      <c r="F433" s="118"/>
      <c r="G433" s="118"/>
      <c r="H433" s="118"/>
      <c r="I433" s="118"/>
      <c r="J433" s="118"/>
      <c r="K433" s="118"/>
      <c r="L433" s="118"/>
      <c r="M433" s="118"/>
      <c r="N433" s="42"/>
      <c r="O433" s="42"/>
      <c r="P433" s="42"/>
      <c r="Q433" s="42"/>
      <c r="R433" s="42"/>
      <c r="S433" s="3"/>
      <c r="T433" s="3"/>
      <c r="U433" s="3"/>
      <c r="V433" s="3"/>
      <c r="W433" s="3"/>
      <c r="X433" s="3"/>
      <c r="Y433" s="3"/>
      <c r="Z433" s="3"/>
      <c r="AA433" s="3"/>
      <c r="AB433" s="3"/>
      <c r="AC433" s="3"/>
      <c r="AD433" s="3"/>
      <c r="AE433" s="3"/>
      <c r="AF433" s="3"/>
      <c r="AG433" s="3"/>
      <c r="AH433" s="3"/>
      <c r="AI433" s="3"/>
      <c r="AJ433" s="3"/>
      <c r="AK433" s="3"/>
      <c r="AL433" s="3"/>
    </row>
    <row r="434" spans="1:38" ht="14.25" customHeight="1" x14ac:dyDescent="0.2">
      <c r="A434" s="118"/>
      <c r="B434" s="118"/>
      <c r="C434" s="118"/>
      <c r="D434" s="118"/>
      <c r="E434" s="118"/>
      <c r="F434" s="118"/>
      <c r="G434" s="118"/>
      <c r="H434" s="118"/>
      <c r="I434" s="118"/>
      <c r="J434" s="118"/>
      <c r="K434" s="118"/>
      <c r="L434" s="118"/>
      <c r="M434" s="118"/>
      <c r="N434" s="42"/>
      <c r="O434" s="42"/>
      <c r="P434" s="42"/>
      <c r="Q434" s="42"/>
      <c r="R434" s="42"/>
      <c r="S434" s="3"/>
      <c r="T434" s="3"/>
      <c r="U434" s="3"/>
      <c r="V434" s="3"/>
      <c r="W434" s="3"/>
      <c r="X434" s="3"/>
      <c r="Y434" s="3"/>
      <c r="Z434" s="3"/>
      <c r="AA434" s="3"/>
      <c r="AB434" s="3"/>
      <c r="AC434" s="3"/>
      <c r="AD434" s="3"/>
      <c r="AE434" s="3"/>
      <c r="AF434" s="3"/>
      <c r="AG434" s="3"/>
      <c r="AH434" s="3"/>
      <c r="AI434" s="3"/>
      <c r="AJ434" s="3"/>
      <c r="AK434" s="3"/>
      <c r="AL434" s="3"/>
    </row>
    <row r="435" spans="1:38" ht="14.25" customHeight="1" x14ac:dyDescent="0.2">
      <c r="A435" s="118"/>
      <c r="B435" s="118"/>
      <c r="C435" s="118"/>
      <c r="D435" s="118"/>
      <c r="E435" s="118"/>
      <c r="F435" s="118"/>
      <c r="G435" s="118"/>
      <c r="H435" s="118"/>
      <c r="I435" s="118"/>
      <c r="J435" s="118"/>
      <c r="K435" s="118"/>
      <c r="L435" s="118"/>
      <c r="M435" s="118"/>
      <c r="N435" s="42"/>
      <c r="O435" s="42"/>
      <c r="P435" s="42"/>
      <c r="Q435" s="42"/>
      <c r="R435" s="42"/>
      <c r="S435" s="3"/>
      <c r="T435" s="3"/>
      <c r="U435" s="3"/>
      <c r="V435" s="3"/>
      <c r="W435" s="3"/>
      <c r="X435" s="3"/>
      <c r="Y435" s="3"/>
      <c r="Z435" s="3"/>
      <c r="AA435" s="3"/>
      <c r="AB435" s="3"/>
      <c r="AC435" s="3"/>
      <c r="AD435" s="3"/>
      <c r="AE435" s="3"/>
      <c r="AF435" s="3"/>
      <c r="AG435" s="3"/>
      <c r="AH435" s="3"/>
      <c r="AI435" s="3"/>
      <c r="AJ435" s="3"/>
      <c r="AK435" s="3"/>
      <c r="AL435" s="3"/>
    </row>
    <row r="436" spans="1:38" ht="14.25" customHeight="1" x14ac:dyDescent="0.2">
      <c r="A436" s="118"/>
      <c r="B436" s="118"/>
      <c r="C436" s="118"/>
      <c r="D436" s="118"/>
      <c r="E436" s="118"/>
      <c r="F436" s="118"/>
      <c r="G436" s="118"/>
      <c r="H436" s="118"/>
      <c r="I436" s="118"/>
      <c r="J436" s="118"/>
      <c r="K436" s="118"/>
      <c r="L436" s="118"/>
      <c r="M436" s="118"/>
      <c r="N436" s="42"/>
      <c r="O436" s="42"/>
      <c r="P436" s="42"/>
      <c r="Q436" s="42"/>
      <c r="R436" s="42"/>
      <c r="S436" s="3"/>
      <c r="T436" s="3"/>
      <c r="U436" s="3"/>
      <c r="V436" s="3"/>
      <c r="W436" s="3"/>
      <c r="X436" s="3"/>
      <c r="Y436" s="3"/>
      <c r="Z436" s="3"/>
      <c r="AA436" s="3"/>
      <c r="AB436" s="3"/>
      <c r="AC436" s="3"/>
      <c r="AD436" s="3"/>
      <c r="AE436" s="3"/>
      <c r="AF436" s="3"/>
      <c r="AG436" s="3"/>
      <c r="AH436" s="3"/>
      <c r="AI436" s="3"/>
      <c r="AJ436" s="3"/>
      <c r="AK436" s="3"/>
      <c r="AL436" s="3"/>
    </row>
    <row r="437" spans="1:38" ht="14.25" customHeight="1" x14ac:dyDescent="0.2">
      <c r="A437" s="118"/>
      <c r="B437" s="118"/>
      <c r="C437" s="118"/>
      <c r="D437" s="118"/>
      <c r="E437" s="118"/>
      <c r="F437" s="118"/>
      <c r="G437" s="118"/>
      <c r="H437" s="118"/>
      <c r="I437" s="118"/>
      <c r="J437" s="118"/>
      <c r="K437" s="118"/>
      <c r="L437" s="118"/>
      <c r="M437" s="118"/>
      <c r="N437" s="42"/>
      <c r="O437" s="42"/>
      <c r="P437" s="42"/>
      <c r="Q437" s="42"/>
      <c r="R437" s="42"/>
      <c r="S437" s="3"/>
      <c r="T437" s="3"/>
      <c r="U437" s="3"/>
      <c r="V437" s="3"/>
      <c r="W437" s="3"/>
      <c r="X437" s="3"/>
      <c r="Y437" s="3"/>
      <c r="Z437" s="3"/>
      <c r="AA437" s="3"/>
      <c r="AB437" s="3"/>
      <c r="AC437" s="3"/>
      <c r="AD437" s="3"/>
      <c r="AE437" s="3"/>
      <c r="AF437" s="3"/>
      <c r="AG437" s="3"/>
      <c r="AH437" s="3"/>
      <c r="AI437" s="3"/>
      <c r="AJ437" s="3"/>
      <c r="AK437" s="3"/>
      <c r="AL437" s="3"/>
    </row>
    <row r="438" spans="1:38" ht="14.25" customHeight="1" x14ac:dyDescent="0.2">
      <c r="A438" s="118"/>
      <c r="B438" s="118"/>
      <c r="C438" s="118"/>
      <c r="D438" s="118"/>
      <c r="E438" s="118"/>
      <c r="F438" s="118"/>
      <c r="G438" s="118"/>
      <c r="H438" s="118"/>
      <c r="I438" s="118"/>
      <c r="J438" s="118"/>
      <c r="K438" s="118"/>
      <c r="L438" s="118"/>
      <c r="M438" s="118"/>
      <c r="N438" s="42"/>
      <c r="O438" s="42"/>
      <c r="P438" s="42"/>
      <c r="Q438" s="42"/>
      <c r="R438" s="42"/>
      <c r="S438" s="3"/>
      <c r="T438" s="3"/>
      <c r="U438" s="3"/>
      <c r="V438" s="3"/>
      <c r="W438" s="3"/>
      <c r="X438" s="3"/>
      <c r="Y438" s="3"/>
      <c r="Z438" s="3"/>
      <c r="AA438" s="3"/>
      <c r="AB438" s="3"/>
      <c r="AC438" s="3"/>
      <c r="AD438" s="3"/>
      <c r="AE438" s="3"/>
      <c r="AF438" s="3"/>
      <c r="AG438" s="3"/>
      <c r="AH438" s="3"/>
      <c r="AI438" s="3"/>
      <c r="AJ438" s="3"/>
      <c r="AK438" s="3"/>
      <c r="AL438" s="3"/>
    </row>
    <row r="439" spans="1:38" ht="14.25" customHeight="1" x14ac:dyDescent="0.2">
      <c r="A439" s="118"/>
      <c r="B439" s="118"/>
      <c r="C439" s="118"/>
      <c r="D439" s="118"/>
      <c r="E439" s="118"/>
      <c r="F439" s="118"/>
      <c r="G439" s="118"/>
      <c r="H439" s="118"/>
      <c r="I439" s="118"/>
      <c r="J439" s="118"/>
      <c r="K439" s="118"/>
      <c r="L439" s="118"/>
      <c r="M439" s="118"/>
      <c r="N439" s="42"/>
      <c r="O439" s="42"/>
      <c r="P439" s="42"/>
      <c r="Q439" s="42"/>
      <c r="R439" s="42"/>
      <c r="S439" s="3"/>
      <c r="T439" s="3"/>
      <c r="U439" s="3"/>
      <c r="V439" s="3"/>
      <c r="W439" s="3"/>
      <c r="X439" s="3"/>
      <c r="Y439" s="3"/>
      <c r="Z439" s="3"/>
      <c r="AA439" s="3"/>
      <c r="AB439" s="3"/>
      <c r="AC439" s="3"/>
      <c r="AD439" s="3"/>
      <c r="AE439" s="3"/>
      <c r="AF439" s="3"/>
      <c r="AG439" s="3"/>
      <c r="AH439" s="3"/>
      <c r="AI439" s="3"/>
      <c r="AJ439" s="3"/>
      <c r="AK439" s="3"/>
      <c r="AL439" s="3"/>
    </row>
    <row r="440" spans="1:38" ht="14.25" customHeight="1" x14ac:dyDescent="0.2">
      <c r="A440" s="118"/>
      <c r="B440" s="118"/>
      <c r="C440" s="118"/>
      <c r="D440" s="118"/>
      <c r="E440" s="118"/>
      <c r="F440" s="118"/>
      <c r="G440" s="118"/>
      <c r="H440" s="118"/>
      <c r="I440" s="118"/>
      <c r="J440" s="118"/>
      <c r="K440" s="118"/>
      <c r="L440" s="118"/>
      <c r="M440" s="118"/>
      <c r="N440" s="42"/>
      <c r="O440" s="42"/>
      <c r="P440" s="42"/>
      <c r="Q440" s="42"/>
      <c r="R440" s="42"/>
      <c r="S440" s="3"/>
      <c r="T440" s="3"/>
      <c r="U440" s="3"/>
      <c r="V440" s="3"/>
      <c r="W440" s="3"/>
      <c r="X440" s="3"/>
      <c r="Y440" s="3"/>
      <c r="Z440" s="3"/>
      <c r="AA440" s="3"/>
      <c r="AB440" s="3"/>
      <c r="AC440" s="3"/>
      <c r="AD440" s="3"/>
      <c r="AE440" s="3"/>
      <c r="AF440" s="3"/>
      <c r="AG440" s="3"/>
      <c r="AH440" s="3"/>
      <c r="AI440" s="3"/>
      <c r="AJ440" s="3"/>
      <c r="AK440" s="3"/>
      <c r="AL440" s="3"/>
    </row>
    <row r="441" spans="1:38" ht="14.25" customHeight="1" x14ac:dyDescent="0.2">
      <c r="A441" s="118"/>
      <c r="B441" s="118"/>
      <c r="C441" s="118"/>
      <c r="D441" s="118"/>
      <c r="E441" s="118"/>
      <c r="F441" s="118"/>
      <c r="G441" s="118"/>
      <c r="H441" s="118"/>
      <c r="I441" s="118"/>
      <c r="J441" s="118"/>
      <c r="K441" s="118"/>
      <c r="L441" s="118"/>
      <c r="M441" s="118"/>
      <c r="N441" s="42"/>
      <c r="O441" s="42"/>
      <c r="P441" s="42"/>
      <c r="Q441" s="42"/>
      <c r="R441" s="42"/>
      <c r="S441" s="3"/>
      <c r="T441" s="3"/>
      <c r="U441" s="3"/>
      <c r="V441" s="3"/>
      <c r="W441" s="3"/>
      <c r="X441" s="3"/>
      <c r="Y441" s="3"/>
      <c r="Z441" s="3"/>
      <c r="AA441" s="3"/>
      <c r="AB441" s="3"/>
      <c r="AC441" s="3"/>
      <c r="AD441" s="3"/>
      <c r="AE441" s="3"/>
      <c r="AF441" s="3"/>
      <c r="AG441" s="3"/>
      <c r="AH441" s="3"/>
      <c r="AI441" s="3"/>
      <c r="AJ441" s="3"/>
      <c r="AK441" s="3"/>
      <c r="AL441" s="3"/>
    </row>
    <row r="442" spans="1:38" ht="14.25" customHeight="1" x14ac:dyDescent="0.2">
      <c r="A442" s="118"/>
      <c r="B442" s="118"/>
      <c r="C442" s="118"/>
      <c r="D442" s="118"/>
      <c r="E442" s="118"/>
      <c r="F442" s="118"/>
      <c r="G442" s="118"/>
      <c r="H442" s="118"/>
      <c r="I442" s="118"/>
      <c r="J442" s="118"/>
      <c r="K442" s="118"/>
      <c r="L442" s="118"/>
      <c r="M442" s="118"/>
      <c r="N442" s="42"/>
      <c r="O442" s="42"/>
      <c r="P442" s="42"/>
      <c r="Q442" s="42"/>
      <c r="R442" s="42"/>
      <c r="S442" s="3"/>
      <c r="T442" s="3"/>
      <c r="U442" s="3"/>
      <c r="V442" s="3"/>
      <c r="W442" s="3"/>
      <c r="X442" s="3"/>
      <c r="Y442" s="3"/>
      <c r="Z442" s="3"/>
      <c r="AA442" s="3"/>
      <c r="AB442" s="3"/>
      <c r="AC442" s="3"/>
      <c r="AD442" s="3"/>
      <c r="AE442" s="3"/>
      <c r="AF442" s="3"/>
      <c r="AG442" s="3"/>
      <c r="AH442" s="3"/>
      <c r="AI442" s="3"/>
      <c r="AJ442" s="3"/>
      <c r="AK442" s="3"/>
      <c r="AL442" s="3"/>
    </row>
    <row r="443" spans="1:38" ht="14.25" customHeight="1" x14ac:dyDescent="0.2">
      <c r="A443" s="118"/>
      <c r="B443" s="118"/>
      <c r="C443" s="118"/>
      <c r="D443" s="118"/>
      <c r="E443" s="118"/>
      <c r="F443" s="118"/>
      <c r="G443" s="118"/>
      <c r="H443" s="118"/>
      <c r="I443" s="118"/>
      <c r="J443" s="118"/>
      <c r="K443" s="118"/>
      <c r="L443" s="118"/>
      <c r="M443" s="118"/>
      <c r="N443" s="42"/>
      <c r="O443" s="42"/>
      <c r="P443" s="42"/>
      <c r="Q443" s="42"/>
      <c r="R443" s="42"/>
      <c r="S443" s="3"/>
      <c r="T443" s="3"/>
      <c r="U443" s="3"/>
      <c r="V443" s="3"/>
      <c r="W443" s="3"/>
      <c r="X443" s="3"/>
      <c r="Y443" s="3"/>
      <c r="Z443" s="3"/>
      <c r="AA443" s="3"/>
      <c r="AB443" s="3"/>
      <c r="AC443" s="3"/>
      <c r="AD443" s="3"/>
      <c r="AE443" s="3"/>
      <c r="AF443" s="3"/>
      <c r="AG443" s="3"/>
      <c r="AH443" s="3"/>
      <c r="AI443" s="3"/>
      <c r="AJ443" s="3"/>
      <c r="AK443" s="3"/>
      <c r="AL443" s="3"/>
    </row>
    <row r="444" spans="1:38" ht="14.25" customHeight="1" x14ac:dyDescent="0.2">
      <c r="A444" s="118"/>
      <c r="B444" s="118"/>
      <c r="C444" s="118"/>
      <c r="D444" s="118"/>
      <c r="E444" s="118"/>
      <c r="F444" s="118"/>
      <c r="G444" s="118"/>
      <c r="H444" s="118"/>
      <c r="I444" s="118"/>
      <c r="J444" s="118"/>
      <c r="K444" s="118"/>
      <c r="L444" s="118"/>
      <c r="M444" s="118"/>
      <c r="N444" s="42"/>
      <c r="O444" s="42"/>
      <c r="P444" s="42"/>
      <c r="Q444" s="42"/>
      <c r="R444" s="42"/>
      <c r="S444" s="3"/>
      <c r="T444" s="3"/>
      <c r="U444" s="3"/>
      <c r="V444" s="3"/>
      <c r="W444" s="3"/>
      <c r="X444" s="3"/>
      <c r="Y444" s="3"/>
      <c r="Z444" s="3"/>
      <c r="AA444" s="3"/>
      <c r="AB444" s="3"/>
      <c r="AC444" s="3"/>
      <c r="AD444" s="3"/>
      <c r="AE444" s="3"/>
      <c r="AF444" s="3"/>
      <c r="AG444" s="3"/>
      <c r="AH444" s="3"/>
      <c r="AI444" s="3"/>
      <c r="AJ444" s="3"/>
      <c r="AK444" s="3"/>
      <c r="AL444" s="3"/>
    </row>
    <row r="445" spans="1:38" ht="14.25" customHeight="1" x14ac:dyDescent="0.2">
      <c r="A445" s="118"/>
      <c r="B445" s="118"/>
      <c r="C445" s="118"/>
      <c r="D445" s="118"/>
      <c r="E445" s="118"/>
      <c r="F445" s="118"/>
      <c r="G445" s="118"/>
      <c r="H445" s="118"/>
      <c r="I445" s="118"/>
      <c r="J445" s="118"/>
      <c r="K445" s="118"/>
      <c r="L445" s="118"/>
      <c r="M445" s="118"/>
      <c r="N445" s="42"/>
      <c r="O445" s="42"/>
      <c r="P445" s="42"/>
      <c r="Q445" s="42"/>
      <c r="R445" s="42"/>
      <c r="S445" s="3"/>
      <c r="T445" s="3"/>
      <c r="U445" s="3"/>
      <c r="V445" s="3"/>
      <c r="W445" s="3"/>
      <c r="X445" s="3"/>
      <c r="Y445" s="3"/>
      <c r="Z445" s="3"/>
      <c r="AA445" s="3"/>
      <c r="AB445" s="3"/>
      <c r="AC445" s="3"/>
      <c r="AD445" s="3"/>
      <c r="AE445" s="3"/>
      <c r="AF445" s="3"/>
      <c r="AG445" s="3"/>
      <c r="AH445" s="3"/>
      <c r="AI445" s="3"/>
      <c r="AJ445" s="3"/>
      <c r="AK445" s="3"/>
      <c r="AL445" s="3"/>
    </row>
    <row r="446" spans="1:38" ht="14.25" customHeight="1" x14ac:dyDescent="0.2">
      <c r="A446" s="118"/>
      <c r="B446" s="118"/>
      <c r="C446" s="118"/>
      <c r="D446" s="118"/>
      <c r="E446" s="118"/>
      <c r="F446" s="118"/>
      <c r="G446" s="118"/>
      <c r="H446" s="118"/>
      <c r="I446" s="118"/>
      <c r="J446" s="118"/>
      <c r="K446" s="118"/>
      <c r="L446" s="118"/>
      <c r="M446" s="118"/>
      <c r="N446" s="42"/>
      <c r="O446" s="42"/>
      <c r="P446" s="42"/>
      <c r="Q446" s="42"/>
      <c r="R446" s="42"/>
      <c r="S446" s="3"/>
      <c r="T446" s="3"/>
      <c r="U446" s="3"/>
      <c r="V446" s="3"/>
      <c r="W446" s="3"/>
      <c r="X446" s="3"/>
      <c r="Y446" s="3"/>
      <c r="Z446" s="3"/>
      <c r="AA446" s="3"/>
      <c r="AB446" s="3"/>
      <c r="AC446" s="3"/>
      <c r="AD446" s="3"/>
      <c r="AE446" s="3"/>
      <c r="AF446" s="3"/>
      <c r="AG446" s="3"/>
      <c r="AH446" s="3"/>
      <c r="AI446" s="3"/>
      <c r="AJ446" s="3"/>
      <c r="AK446" s="3"/>
      <c r="AL446" s="3"/>
    </row>
    <row r="447" spans="1:38" ht="14.25" customHeight="1" x14ac:dyDescent="0.2">
      <c r="A447" s="118"/>
      <c r="B447" s="118"/>
      <c r="C447" s="118"/>
      <c r="D447" s="118"/>
      <c r="E447" s="118"/>
      <c r="F447" s="118"/>
      <c r="G447" s="118"/>
      <c r="H447" s="118"/>
      <c r="I447" s="118"/>
      <c r="J447" s="118"/>
      <c r="K447" s="118"/>
      <c r="L447" s="118"/>
      <c r="M447" s="118"/>
      <c r="N447" s="42"/>
      <c r="O447" s="42"/>
      <c r="P447" s="42"/>
      <c r="Q447" s="42"/>
      <c r="R447" s="42"/>
      <c r="S447" s="3"/>
      <c r="T447" s="3"/>
      <c r="U447" s="3"/>
      <c r="V447" s="3"/>
      <c r="W447" s="3"/>
      <c r="X447" s="3"/>
      <c r="Y447" s="3"/>
      <c r="Z447" s="3"/>
      <c r="AA447" s="3"/>
      <c r="AB447" s="3"/>
      <c r="AC447" s="3"/>
      <c r="AD447" s="3"/>
      <c r="AE447" s="3"/>
      <c r="AF447" s="3"/>
      <c r="AG447" s="3"/>
      <c r="AH447" s="3"/>
      <c r="AI447" s="3"/>
      <c r="AJ447" s="3"/>
      <c r="AK447" s="3"/>
      <c r="AL447" s="3"/>
    </row>
    <row r="448" spans="1:38" ht="14.25" customHeight="1" x14ac:dyDescent="0.2">
      <c r="A448" s="118"/>
      <c r="B448" s="118"/>
      <c r="C448" s="118"/>
      <c r="D448" s="118"/>
      <c r="E448" s="118"/>
      <c r="F448" s="118"/>
      <c r="G448" s="118"/>
      <c r="H448" s="118"/>
      <c r="I448" s="118"/>
      <c r="J448" s="118"/>
      <c r="K448" s="118"/>
      <c r="L448" s="118"/>
      <c r="M448" s="118"/>
      <c r="N448" s="42"/>
      <c r="O448" s="42"/>
      <c r="P448" s="42"/>
      <c r="Q448" s="42"/>
      <c r="R448" s="42"/>
      <c r="S448" s="3"/>
      <c r="T448" s="3"/>
      <c r="U448" s="3"/>
      <c r="V448" s="3"/>
      <c r="W448" s="3"/>
      <c r="X448" s="3"/>
      <c r="Y448" s="3"/>
      <c r="Z448" s="3"/>
      <c r="AA448" s="3"/>
      <c r="AB448" s="3"/>
      <c r="AC448" s="3"/>
      <c r="AD448" s="3"/>
      <c r="AE448" s="3"/>
      <c r="AF448" s="3"/>
      <c r="AG448" s="3"/>
      <c r="AH448" s="3"/>
      <c r="AI448" s="3"/>
      <c r="AJ448" s="3"/>
      <c r="AK448" s="3"/>
      <c r="AL448" s="3"/>
    </row>
    <row r="449" spans="1:38" ht="14.25" customHeight="1" x14ac:dyDescent="0.2">
      <c r="A449" s="118"/>
      <c r="B449" s="118"/>
      <c r="C449" s="118"/>
      <c r="D449" s="118"/>
      <c r="E449" s="118"/>
      <c r="F449" s="118"/>
      <c r="G449" s="118"/>
      <c r="H449" s="118"/>
      <c r="I449" s="118"/>
      <c r="J449" s="118"/>
      <c r="K449" s="118"/>
      <c r="L449" s="118"/>
      <c r="M449" s="118"/>
      <c r="N449" s="42"/>
      <c r="O449" s="42"/>
      <c r="P449" s="42"/>
      <c r="Q449" s="42"/>
      <c r="R449" s="42"/>
      <c r="S449" s="3"/>
      <c r="T449" s="3"/>
      <c r="U449" s="3"/>
      <c r="V449" s="3"/>
      <c r="W449" s="3"/>
      <c r="X449" s="3"/>
      <c r="Y449" s="3"/>
      <c r="Z449" s="3"/>
      <c r="AA449" s="3"/>
      <c r="AB449" s="3"/>
      <c r="AC449" s="3"/>
      <c r="AD449" s="3"/>
      <c r="AE449" s="3"/>
      <c r="AF449" s="3"/>
      <c r="AG449" s="3"/>
      <c r="AH449" s="3"/>
      <c r="AI449" s="3"/>
      <c r="AJ449" s="3"/>
      <c r="AK449" s="3"/>
      <c r="AL449" s="3"/>
    </row>
    <row r="450" spans="1:38" ht="14.25" customHeight="1" x14ac:dyDescent="0.2">
      <c r="A450" s="118"/>
      <c r="B450" s="118"/>
      <c r="C450" s="118"/>
      <c r="D450" s="118"/>
      <c r="E450" s="118"/>
      <c r="F450" s="118"/>
      <c r="G450" s="118"/>
      <c r="H450" s="118"/>
      <c r="I450" s="118"/>
      <c r="J450" s="118"/>
      <c r="K450" s="118"/>
      <c r="L450" s="118"/>
      <c r="M450" s="118"/>
      <c r="N450" s="42"/>
      <c r="O450" s="42"/>
      <c r="P450" s="42"/>
      <c r="Q450" s="42"/>
      <c r="R450" s="42"/>
      <c r="S450" s="3"/>
      <c r="T450" s="3"/>
      <c r="U450" s="3"/>
      <c r="V450" s="3"/>
      <c r="W450" s="3"/>
      <c r="X450" s="3"/>
      <c r="Y450" s="3"/>
      <c r="Z450" s="3"/>
      <c r="AA450" s="3"/>
      <c r="AB450" s="3"/>
      <c r="AC450" s="3"/>
      <c r="AD450" s="3"/>
      <c r="AE450" s="3"/>
      <c r="AF450" s="3"/>
      <c r="AG450" s="3"/>
      <c r="AH450" s="3"/>
      <c r="AI450" s="3"/>
      <c r="AJ450" s="3"/>
      <c r="AK450" s="3"/>
      <c r="AL450" s="3"/>
    </row>
    <row r="451" spans="1:38" ht="14.25" customHeight="1" x14ac:dyDescent="0.2">
      <c r="A451" s="118"/>
      <c r="B451" s="118"/>
      <c r="C451" s="118"/>
      <c r="D451" s="118"/>
      <c r="E451" s="118"/>
      <c r="F451" s="118"/>
      <c r="G451" s="118"/>
      <c r="H451" s="118"/>
      <c r="I451" s="118"/>
      <c r="J451" s="118"/>
      <c r="K451" s="118"/>
      <c r="L451" s="118"/>
      <c r="M451" s="118"/>
      <c r="N451" s="42"/>
      <c r="O451" s="42"/>
      <c r="P451" s="42"/>
      <c r="Q451" s="42"/>
      <c r="R451" s="42"/>
      <c r="S451" s="3"/>
      <c r="T451" s="3"/>
      <c r="U451" s="3"/>
      <c r="V451" s="3"/>
      <c r="W451" s="3"/>
      <c r="X451" s="3"/>
      <c r="Y451" s="3"/>
      <c r="Z451" s="3"/>
      <c r="AA451" s="3"/>
      <c r="AB451" s="3"/>
      <c r="AC451" s="3"/>
      <c r="AD451" s="3"/>
      <c r="AE451" s="3"/>
      <c r="AF451" s="3"/>
      <c r="AG451" s="3"/>
      <c r="AH451" s="3"/>
      <c r="AI451" s="3"/>
      <c r="AJ451" s="3"/>
      <c r="AK451" s="3"/>
      <c r="AL451" s="3"/>
    </row>
    <row r="452" spans="1:38" ht="14.25" customHeight="1" x14ac:dyDescent="0.2">
      <c r="A452" s="118"/>
      <c r="B452" s="118"/>
      <c r="C452" s="118"/>
      <c r="D452" s="118"/>
      <c r="E452" s="118"/>
      <c r="F452" s="118"/>
      <c r="G452" s="118"/>
      <c r="H452" s="118"/>
      <c r="I452" s="118"/>
      <c r="J452" s="118"/>
      <c r="K452" s="118"/>
      <c r="L452" s="118"/>
      <c r="M452" s="118"/>
      <c r="N452" s="42"/>
      <c r="O452" s="42"/>
      <c r="P452" s="42"/>
      <c r="Q452" s="42"/>
      <c r="R452" s="42"/>
      <c r="S452" s="3"/>
      <c r="T452" s="3"/>
      <c r="U452" s="3"/>
      <c r="V452" s="3"/>
      <c r="W452" s="3"/>
      <c r="X452" s="3"/>
      <c r="Y452" s="3"/>
      <c r="Z452" s="3"/>
      <c r="AA452" s="3"/>
      <c r="AB452" s="3"/>
      <c r="AC452" s="3"/>
      <c r="AD452" s="3"/>
      <c r="AE452" s="3"/>
      <c r="AF452" s="3"/>
      <c r="AG452" s="3"/>
      <c r="AH452" s="3"/>
      <c r="AI452" s="3"/>
      <c r="AJ452" s="3"/>
      <c r="AK452" s="3"/>
      <c r="AL452" s="3"/>
    </row>
    <row r="453" spans="1:38" ht="14.25" customHeight="1" x14ac:dyDescent="0.2">
      <c r="A453" s="118"/>
      <c r="B453" s="118"/>
      <c r="C453" s="118"/>
      <c r="D453" s="118"/>
      <c r="E453" s="118"/>
      <c r="F453" s="118"/>
      <c r="G453" s="118"/>
      <c r="H453" s="118"/>
      <c r="I453" s="118"/>
      <c r="J453" s="118"/>
      <c r="K453" s="118"/>
      <c r="L453" s="118"/>
      <c r="M453" s="118"/>
      <c r="N453" s="42"/>
      <c r="O453" s="42"/>
      <c r="P453" s="42"/>
      <c r="Q453" s="42"/>
      <c r="R453" s="42"/>
      <c r="S453" s="3"/>
      <c r="T453" s="3"/>
      <c r="U453" s="3"/>
      <c r="V453" s="3"/>
      <c r="W453" s="3"/>
      <c r="X453" s="3"/>
      <c r="Y453" s="3"/>
      <c r="Z453" s="3"/>
      <c r="AA453" s="3"/>
      <c r="AB453" s="3"/>
      <c r="AC453" s="3"/>
      <c r="AD453" s="3"/>
      <c r="AE453" s="3"/>
      <c r="AF453" s="3"/>
      <c r="AG453" s="3"/>
      <c r="AH453" s="3"/>
      <c r="AI453" s="3"/>
      <c r="AJ453" s="3"/>
      <c r="AK453" s="3"/>
      <c r="AL453" s="3"/>
    </row>
    <row r="454" spans="1:38" ht="14.25" customHeight="1" x14ac:dyDescent="0.2">
      <c r="A454" s="118"/>
      <c r="B454" s="118"/>
      <c r="C454" s="118"/>
      <c r="D454" s="118"/>
      <c r="E454" s="118"/>
      <c r="F454" s="118"/>
      <c r="G454" s="118"/>
      <c r="H454" s="118"/>
      <c r="I454" s="118"/>
      <c r="J454" s="118"/>
      <c r="K454" s="118"/>
      <c r="L454" s="118"/>
      <c r="M454" s="118"/>
      <c r="N454" s="42"/>
      <c r="O454" s="42"/>
      <c r="P454" s="42"/>
      <c r="Q454" s="42"/>
      <c r="R454" s="42"/>
      <c r="S454" s="3"/>
      <c r="T454" s="3"/>
      <c r="U454" s="3"/>
      <c r="V454" s="3"/>
      <c r="W454" s="3"/>
      <c r="X454" s="3"/>
      <c r="Y454" s="3"/>
      <c r="Z454" s="3"/>
      <c r="AA454" s="3"/>
      <c r="AB454" s="3"/>
      <c r="AC454" s="3"/>
      <c r="AD454" s="3"/>
      <c r="AE454" s="3"/>
      <c r="AF454" s="3"/>
      <c r="AG454" s="3"/>
      <c r="AH454" s="3"/>
      <c r="AI454" s="3"/>
      <c r="AJ454" s="3"/>
      <c r="AK454" s="3"/>
      <c r="AL454" s="3"/>
    </row>
    <row r="455" spans="1:38" ht="14.25" customHeight="1" x14ac:dyDescent="0.2">
      <c r="A455" s="118"/>
      <c r="B455" s="118"/>
      <c r="C455" s="118"/>
      <c r="D455" s="118"/>
      <c r="E455" s="118"/>
      <c r="F455" s="118"/>
      <c r="G455" s="118"/>
      <c r="H455" s="118"/>
      <c r="I455" s="118"/>
      <c r="J455" s="118"/>
      <c r="K455" s="118"/>
      <c r="L455" s="118"/>
      <c r="M455" s="118"/>
      <c r="N455" s="42"/>
      <c r="O455" s="42"/>
      <c r="P455" s="42"/>
      <c r="Q455" s="42"/>
      <c r="R455" s="42"/>
      <c r="S455" s="3"/>
      <c r="T455" s="3"/>
      <c r="U455" s="3"/>
      <c r="V455" s="3"/>
      <c r="W455" s="3"/>
      <c r="X455" s="3"/>
      <c r="Y455" s="3"/>
      <c r="Z455" s="3"/>
      <c r="AA455" s="3"/>
      <c r="AB455" s="3"/>
      <c r="AC455" s="3"/>
      <c r="AD455" s="3"/>
      <c r="AE455" s="3"/>
      <c r="AF455" s="3"/>
      <c r="AG455" s="3"/>
      <c r="AH455" s="3"/>
      <c r="AI455" s="3"/>
      <c r="AJ455" s="3"/>
      <c r="AK455" s="3"/>
      <c r="AL455" s="3"/>
    </row>
    <row r="456" spans="1:38" ht="14.25" customHeight="1" x14ac:dyDescent="0.2">
      <c r="A456" s="118"/>
      <c r="B456" s="118"/>
      <c r="C456" s="118"/>
      <c r="D456" s="118"/>
      <c r="E456" s="118"/>
      <c r="F456" s="118"/>
      <c r="G456" s="118"/>
      <c r="H456" s="118"/>
      <c r="I456" s="118"/>
      <c r="J456" s="118"/>
      <c r="K456" s="118"/>
      <c r="L456" s="118"/>
      <c r="M456" s="118"/>
      <c r="N456" s="42"/>
      <c r="O456" s="42"/>
      <c r="P456" s="42"/>
      <c r="Q456" s="42"/>
      <c r="R456" s="42"/>
      <c r="S456" s="3"/>
      <c r="T456" s="3"/>
      <c r="U456" s="3"/>
      <c r="V456" s="3"/>
      <c r="W456" s="3"/>
      <c r="X456" s="3"/>
      <c r="Y456" s="3"/>
      <c r="Z456" s="3"/>
      <c r="AA456" s="3"/>
      <c r="AB456" s="3"/>
      <c r="AC456" s="3"/>
      <c r="AD456" s="3"/>
      <c r="AE456" s="3"/>
      <c r="AF456" s="3"/>
      <c r="AG456" s="3"/>
      <c r="AH456" s="3"/>
      <c r="AI456" s="3"/>
      <c r="AJ456" s="3"/>
      <c r="AK456" s="3"/>
      <c r="AL456" s="3"/>
    </row>
    <row r="457" spans="1:38" ht="14.25" customHeight="1" x14ac:dyDescent="0.2">
      <c r="A457" s="118"/>
      <c r="B457" s="118"/>
      <c r="C457" s="118"/>
      <c r="D457" s="118"/>
      <c r="E457" s="118"/>
      <c r="F457" s="118"/>
      <c r="G457" s="118"/>
      <c r="H457" s="118"/>
      <c r="I457" s="118"/>
      <c r="J457" s="118"/>
      <c r="K457" s="118"/>
      <c r="L457" s="118"/>
      <c r="M457" s="118"/>
      <c r="N457" s="42"/>
      <c r="O457" s="42"/>
      <c r="P457" s="42"/>
      <c r="Q457" s="42"/>
      <c r="R457" s="42"/>
      <c r="S457" s="3"/>
      <c r="T457" s="3"/>
      <c r="U457" s="3"/>
      <c r="V457" s="3"/>
      <c r="W457" s="3"/>
      <c r="X457" s="3"/>
      <c r="Y457" s="3"/>
      <c r="Z457" s="3"/>
      <c r="AA457" s="3"/>
      <c r="AB457" s="3"/>
      <c r="AC457" s="3"/>
      <c r="AD457" s="3"/>
      <c r="AE457" s="3"/>
      <c r="AF457" s="3"/>
      <c r="AG457" s="3"/>
      <c r="AH457" s="3"/>
      <c r="AI457" s="3"/>
      <c r="AJ457" s="3"/>
      <c r="AK457" s="3"/>
      <c r="AL457" s="3"/>
    </row>
    <row r="458" spans="1:38" ht="14.25" customHeight="1" x14ac:dyDescent="0.2">
      <c r="A458" s="118"/>
      <c r="B458" s="118"/>
      <c r="C458" s="118"/>
      <c r="D458" s="118"/>
      <c r="E458" s="118"/>
      <c r="F458" s="118"/>
      <c r="G458" s="118"/>
      <c r="H458" s="118"/>
      <c r="I458" s="118"/>
      <c r="J458" s="118"/>
      <c r="K458" s="118"/>
      <c r="L458" s="118"/>
      <c r="M458" s="118"/>
      <c r="N458" s="42"/>
      <c r="O458" s="42"/>
      <c r="P458" s="42"/>
      <c r="Q458" s="42"/>
      <c r="R458" s="42"/>
      <c r="S458" s="3"/>
      <c r="T458" s="3"/>
      <c r="U458" s="3"/>
      <c r="V458" s="3"/>
      <c r="W458" s="3"/>
      <c r="X458" s="3"/>
      <c r="Y458" s="3"/>
      <c r="Z458" s="3"/>
      <c r="AA458" s="3"/>
      <c r="AB458" s="3"/>
      <c r="AC458" s="3"/>
      <c r="AD458" s="3"/>
      <c r="AE458" s="3"/>
      <c r="AF458" s="3"/>
      <c r="AG458" s="3"/>
      <c r="AH458" s="3"/>
      <c r="AI458" s="3"/>
      <c r="AJ458" s="3"/>
      <c r="AK458" s="3"/>
      <c r="AL458" s="3"/>
    </row>
    <row r="459" spans="1:38" ht="14.25" customHeight="1" x14ac:dyDescent="0.2">
      <c r="A459" s="118"/>
      <c r="B459" s="118"/>
      <c r="C459" s="118"/>
      <c r="D459" s="118"/>
      <c r="E459" s="118"/>
      <c r="F459" s="118"/>
      <c r="G459" s="118"/>
      <c r="H459" s="118"/>
      <c r="I459" s="118"/>
      <c r="J459" s="118"/>
      <c r="K459" s="118"/>
      <c r="L459" s="118"/>
      <c r="M459" s="118"/>
      <c r="N459" s="42"/>
      <c r="O459" s="42"/>
      <c r="P459" s="42"/>
      <c r="Q459" s="42"/>
      <c r="R459" s="42"/>
      <c r="S459" s="3"/>
      <c r="T459" s="3"/>
      <c r="U459" s="3"/>
      <c r="V459" s="3"/>
      <c r="W459" s="3"/>
      <c r="X459" s="3"/>
      <c r="Y459" s="3"/>
      <c r="Z459" s="3"/>
      <c r="AA459" s="3"/>
      <c r="AB459" s="3"/>
      <c r="AC459" s="3"/>
      <c r="AD459" s="3"/>
      <c r="AE459" s="3"/>
      <c r="AF459" s="3"/>
      <c r="AG459" s="3"/>
      <c r="AH459" s="3"/>
      <c r="AI459" s="3"/>
      <c r="AJ459" s="3"/>
      <c r="AK459" s="3"/>
      <c r="AL459" s="3"/>
    </row>
    <row r="460" spans="1:38" ht="14.25" customHeight="1" x14ac:dyDescent="0.2">
      <c r="A460" s="118"/>
      <c r="B460" s="118"/>
      <c r="C460" s="118"/>
      <c r="D460" s="118"/>
      <c r="E460" s="118"/>
      <c r="F460" s="118"/>
      <c r="G460" s="118"/>
      <c r="H460" s="118"/>
      <c r="I460" s="118"/>
      <c r="J460" s="118"/>
      <c r="K460" s="118"/>
      <c r="L460" s="118"/>
      <c r="M460" s="118"/>
      <c r="N460" s="42"/>
      <c r="O460" s="42"/>
      <c r="P460" s="42"/>
      <c r="Q460" s="42"/>
      <c r="R460" s="42"/>
      <c r="S460" s="3"/>
      <c r="T460" s="3"/>
      <c r="U460" s="3"/>
      <c r="V460" s="3"/>
      <c r="W460" s="3"/>
      <c r="X460" s="3"/>
      <c r="Y460" s="3"/>
      <c r="Z460" s="3"/>
      <c r="AA460" s="3"/>
      <c r="AB460" s="3"/>
      <c r="AC460" s="3"/>
      <c r="AD460" s="3"/>
      <c r="AE460" s="3"/>
      <c r="AF460" s="3"/>
      <c r="AG460" s="3"/>
      <c r="AH460" s="3"/>
      <c r="AI460" s="3"/>
      <c r="AJ460" s="3"/>
      <c r="AK460" s="3"/>
      <c r="AL460" s="3"/>
    </row>
    <row r="461" spans="1:38" ht="14.25" customHeight="1" x14ac:dyDescent="0.2">
      <c r="A461" s="118"/>
      <c r="B461" s="118"/>
      <c r="C461" s="118"/>
      <c r="D461" s="118"/>
      <c r="E461" s="118"/>
      <c r="F461" s="118"/>
      <c r="G461" s="118"/>
      <c r="H461" s="118"/>
      <c r="I461" s="118"/>
      <c r="J461" s="118"/>
      <c r="K461" s="118"/>
      <c r="L461" s="118"/>
      <c r="M461" s="118"/>
      <c r="N461" s="42"/>
      <c r="O461" s="42"/>
      <c r="P461" s="42"/>
      <c r="Q461" s="42"/>
      <c r="R461" s="42"/>
      <c r="S461" s="3"/>
      <c r="T461" s="3"/>
      <c r="U461" s="3"/>
      <c r="V461" s="3"/>
      <c r="W461" s="3"/>
      <c r="X461" s="3"/>
      <c r="Y461" s="3"/>
      <c r="Z461" s="3"/>
      <c r="AA461" s="3"/>
      <c r="AB461" s="3"/>
      <c r="AC461" s="3"/>
      <c r="AD461" s="3"/>
      <c r="AE461" s="3"/>
      <c r="AF461" s="3"/>
      <c r="AG461" s="3"/>
      <c r="AH461" s="3"/>
      <c r="AI461" s="3"/>
      <c r="AJ461" s="3"/>
      <c r="AK461" s="3"/>
      <c r="AL461" s="3"/>
    </row>
    <row r="462" spans="1:38" ht="14.25" customHeight="1" x14ac:dyDescent="0.2">
      <c r="A462" s="118"/>
      <c r="B462" s="118"/>
      <c r="C462" s="118"/>
      <c r="D462" s="118"/>
      <c r="E462" s="118"/>
      <c r="F462" s="118"/>
      <c r="G462" s="118"/>
      <c r="H462" s="118"/>
      <c r="I462" s="118"/>
      <c r="J462" s="118"/>
      <c r="K462" s="118"/>
      <c r="L462" s="118"/>
      <c r="M462" s="118"/>
      <c r="N462" s="42"/>
      <c r="O462" s="42"/>
      <c r="P462" s="42"/>
      <c r="Q462" s="42"/>
      <c r="R462" s="42"/>
      <c r="S462" s="3"/>
      <c r="T462" s="3"/>
      <c r="U462" s="3"/>
      <c r="V462" s="3"/>
      <c r="W462" s="3"/>
      <c r="X462" s="3"/>
      <c r="Y462" s="3"/>
      <c r="Z462" s="3"/>
      <c r="AA462" s="3"/>
      <c r="AB462" s="3"/>
      <c r="AC462" s="3"/>
      <c r="AD462" s="3"/>
      <c r="AE462" s="3"/>
      <c r="AF462" s="3"/>
      <c r="AG462" s="3"/>
      <c r="AH462" s="3"/>
      <c r="AI462" s="3"/>
      <c r="AJ462" s="3"/>
      <c r="AK462" s="3"/>
      <c r="AL462" s="3"/>
    </row>
    <row r="463" spans="1:38" ht="14.25" customHeight="1" x14ac:dyDescent="0.2">
      <c r="A463" s="118"/>
      <c r="B463" s="118"/>
      <c r="C463" s="118"/>
      <c r="D463" s="118"/>
      <c r="E463" s="118"/>
      <c r="F463" s="118"/>
      <c r="G463" s="118"/>
      <c r="H463" s="118"/>
      <c r="I463" s="118"/>
      <c r="J463" s="118"/>
      <c r="K463" s="118"/>
      <c r="L463" s="118"/>
      <c r="M463" s="118"/>
      <c r="N463" s="42"/>
      <c r="O463" s="42"/>
      <c r="P463" s="42"/>
      <c r="Q463" s="42"/>
      <c r="R463" s="42"/>
      <c r="S463" s="3"/>
      <c r="T463" s="3"/>
      <c r="U463" s="3"/>
      <c r="V463" s="3"/>
      <c r="W463" s="3"/>
      <c r="X463" s="3"/>
      <c r="Y463" s="3"/>
      <c r="Z463" s="3"/>
      <c r="AA463" s="3"/>
      <c r="AB463" s="3"/>
      <c r="AC463" s="3"/>
      <c r="AD463" s="3"/>
      <c r="AE463" s="3"/>
      <c r="AF463" s="3"/>
      <c r="AG463" s="3"/>
      <c r="AH463" s="3"/>
      <c r="AI463" s="3"/>
      <c r="AJ463" s="3"/>
      <c r="AK463" s="3"/>
      <c r="AL463" s="3"/>
    </row>
    <row r="464" spans="1:38" ht="14.25" customHeight="1" x14ac:dyDescent="0.2">
      <c r="A464" s="118"/>
      <c r="B464" s="118"/>
      <c r="C464" s="118"/>
      <c r="D464" s="118"/>
      <c r="E464" s="118"/>
      <c r="F464" s="118"/>
      <c r="G464" s="118"/>
      <c r="H464" s="118"/>
      <c r="I464" s="118"/>
      <c r="J464" s="118"/>
      <c r="K464" s="118"/>
      <c r="L464" s="118"/>
      <c r="M464" s="118"/>
      <c r="N464" s="42"/>
      <c r="O464" s="42"/>
      <c r="P464" s="42"/>
      <c r="Q464" s="42"/>
      <c r="R464" s="42"/>
      <c r="S464" s="3"/>
      <c r="T464" s="3"/>
      <c r="U464" s="3"/>
      <c r="V464" s="3"/>
      <c r="W464" s="3"/>
      <c r="X464" s="3"/>
      <c r="Y464" s="3"/>
      <c r="Z464" s="3"/>
      <c r="AA464" s="3"/>
      <c r="AB464" s="3"/>
      <c r="AC464" s="3"/>
      <c r="AD464" s="3"/>
      <c r="AE464" s="3"/>
      <c r="AF464" s="3"/>
      <c r="AG464" s="3"/>
      <c r="AH464" s="3"/>
      <c r="AI464" s="3"/>
      <c r="AJ464" s="3"/>
      <c r="AK464" s="3"/>
      <c r="AL464" s="3"/>
    </row>
    <row r="465" spans="1:38" ht="14.25" customHeight="1" x14ac:dyDescent="0.2">
      <c r="A465" s="118"/>
      <c r="B465" s="118"/>
      <c r="C465" s="118"/>
      <c r="D465" s="118"/>
      <c r="E465" s="118"/>
      <c r="F465" s="118"/>
      <c r="G465" s="118"/>
      <c r="H465" s="118"/>
      <c r="I465" s="118"/>
      <c r="J465" s="118"/>
      <c r="K465" s="118"/>
      <c r="L465" s="118"/>
      <c r="M465" s="118"/>
      <c r="N465" s="42"/>
      <c r="O465" s="42"/>
      <c r="P465" s="42"/>
      <c r="Q465" s="42"/>
      <c r="R465" s="42"/>
      <c r="S465" s="3"/>
      <c r="T465" s="3"/>
      <c r="U465" s="3"/>
      <c r="V465" s="3"/>
      <c r="W465" s="3"/>
      <c r="X465" s="3"/>
      <c r="Y465" s="3"/>
      <c r="Z465" s="3"/>
      <c r="AA465" s="3"/>
      <c r="AB465" s="3"/>
      <c r="AC465" s="3"/>
      <c r="AD465" s="3"/>
      <c r="AE465" s="3"/>
      <c r="AF465" s="3"/>
      <c r="AG465" s="3"/>
      <c r="AH465" s="3"/>
      <c r="AI465" s="3"/>
      <c r="AJ465" s="3"/>
      <c r="AK465" s="3"/>
      <c r="AL465" s="3"/>
    </row>
    <row r="466" spans="1:38" ht="14.25" customHeight="1" x14ac:dyDescent="0.2">
      <c r="A466" s="118"/>
      <c r="B466" s="118"/>
      <c r="C466" s="118"/>
      <c r="D466" s="118"/>
      <c r="E466" s="118"/>
      <c r="F466" s="118"/>
      <c r="G466" s="118"/>
      <c r="H466" s="118"/>
      <c r="I466" s="118"/>
      <c r="J466" s="118"/>
      <c r="K466" s="118"/>
      <c r="L466" s="118"/>
      <c r="M466" s="118"/>
      <c r="N466" s="42"/>
      <c r="O466" s="42"/>
      <c r="P466" s="42"/>
      <c r="Q466" s="42"/>
      <c r="R466" s="42"/>
      <c r="S466" s="3"/>
      <c r="T466" s="3"/>
      <c r="U466" s="3"/>
      <c r="V466" s="3"/>
      <c r="W466" s="3"/>
      <c r="X466" s="3"/>
      <c r="Y466" s="3"/>
      <c r="Z466" s="3"/>
      <c r="AA466" s="3"/>
      <c r="AB466" s="3"/>
      <c r="AC466" s="3"/>
      <c r="AD466" s="3"/>
      <c r="AE466" s="3"/>
      <c r="AF466" s="3"/>
      <c r="AG466" s="3"/>
      <c r="AH466" s="3"/>
      <c r="AI466" s="3"/>
      <c r="AJ466" s="3"/>
      <c r="AK466" s="3"/>
      <c r="AL466" s="3"/>
    </row>
    <row r="467" spans="1:38" ht="14.25" customHeight="1" x14ac:dyDescent="0.2">
      <c r="A467" s="118"/>
      <c r="B467" s="118"/>
      <c r="C467" s="118"/>
      <c r="D467" s="118"/>
      <c r="E467" s="118"/>
      <c r="F467" s="118"/>
      <c r="G467" s="118"/>
      <c r="H467" s="118"/>
      <c r="I467" s="118"/>
      <c r="J467" s="118"/>
      <c r="K467" s="118"/>
      <c r="L467" s="118"/>
      <c r="M467" s="118"/>
      <c r="N467" s="42"/>
      <c r="O467" s="42"/>
      <c r="P467" s="42"/>
      <c r="Q467" s="42"/>
      <c r="R467" s="42"/>
      <c r="S467" s="3"/>
      <c r="T467" s="3"/>
      <c r="U467" s="3"/>
      <c r="V467" s="3"/>
      <c r="W467" s="3"/>
      <c r="X467" s="3"/>
      <c r="Y467" s="3"/>
      <c r="Z467" s="3"/>
      <c r="AA467" s="3"/>
      <c r="AB467" s="3"/>
      <c r="AC467" s="3"/>
      <c r="AD467" s="3"/>
      <c r="AE467" s="3"/>
      <c r="AF467" s="3"/>
      <c r="AG467" s="3"/>
      <c r="AH467" s="3"/>
      <c r="AI467" s="3"/>
      <c r="AJ467" s="3"/>
      <c r="AK467" s="3"/>
      <c r="AL467" s="3"/>
    </row>
    <row r="468" spans="1:38" ht="14.25" customHeight="1" x14ac:dyDescent="0.2">
      <c r="A468" s="118"/>
      <c r="B468" s="118"/>
      <c r="C468" s="118"/>
      <c r="D468" s="118"/>
      <c r="E468" s="118"/>
      <c r="F468" s="118"/>
      <c r="G468" s="118"/>
      <c r="H468" s="118"/>
      <c r="I468" s="118"/>
      <c r="J468" s="118"/>
      <c r="K468" s="118"/>
      <c r="L468" s="118"/>
      <c r="M468" s="118"/>
      <c r="N468" s="42"/>
      <c r="O468" s="42"/>
      <c r="P468" s="42"/>
      <c r="Q468" s="42"/>
      <c r="R468" s="42"/>
      <c r="S468" s="3"/>
      <c r="T468" s="3"/>
      <c r="U468" s="3"/>
      <c r="V468" s="3"/>
      <c r="W468" s="3"/>
      <c r="X468" s="3"/>
      <c r="Y468" s="3"/>
      <c r="Z468" s="3"/>
      <c r="AA468" s="3"/>
      <c r="AB468" s="3"/>
      <c r="AC468" s="3"/>
      <c r="AD468" s="3"/>
      <c r="AE468" s="3"/>
      <c r="AF468" s="3"/>
      <c r="AG468" s="3"/>
      <c r="AH468" s="3"/>
      <c r="AI468" s="3"/>
      <c r="AJ468" s="3"/>
      <c r="AK468" s="3"/>
      <c r="AL468" s="3"/>
    </row>
    <row r="469" spans="1:38" ht="14.25" customHeight="1" x14ac:dyDescent="0.2">
      <c r="A469" s="118"/>
      <c r="B469" s="118"/>
      <c r="C469" s="118"/>
      <c r="D469" s="118"/>
      <c r="E469" s="118"/>
      <c r="F469" s="118"/>
      <c r="G469" s="118"/>
      <c r="H469" s="118"/>
      <c r="I469" s="118"/>
      <c r="J469" s="118"/>
      <c r="K469" s="118"/>
      <c r="L469" s="118"/>
      <c r="M469" s="118"/>
      <c r="N469" s="42"/>
      <c r="O469" s="42"/>
      <c r="P469" s="42"/>
      <c r="Q469" s="42"/>
      <c r="R469" s="42"/>
      <c r="S469" s="3"/>
      <c r="T469" s="3"/>
      <c r="U469" s="3"/>
      <c r="V469" s="3"/>
      <c r="W469" s="3"/>
      <c r="X469" s="3"/>
      <c r="Y469" s="3"/>
      <c r="Z469" s="3"/>
      <c r="AA469" s="3"/>
      <c r="AB469" s="3"/>
      <c r="AC469" s="3"/>
      <c r="AD469" s="3"/>
      <c r="AE469" s="3"/>
      <c r="AF469" s="3"/>
      <c r="AG469" s="3"/>
      <c r="AH469" s="3"/>
      <c r="AI469" s="3"/>
      <c r="AJ469" s="3"/>
      <c r="AK469" s="3"/>
      <c r="AL469" s="3"/>
    </row>
    <row r="470" spans="1:38" ht="14.25" customHeight="1" x14ac:dyDescent="0.2">
      <c r="A470" s="118"/>
      <c r="B470" s="118"/>
      <c r="C470" s="118"/>
      <c r="D470" s="118"/>
      <c r="E470" s="118"/>
      <c r="F470" s="118"/>
      <c r="G470" s="118"/>
      <c r="H470" s="118"/>
      <c r="I470" s="118"/>
      <c r="J470" s="118"/>
      <c r="K470" s="118"/>
      <c r="L470" s="118"/>
      <c r="M470" s="118"/>
      <c r="N470" s="42"/>
      <c r="O470" s="42"/>
      <c r="P470" s="42"/>
      <c r="Q470" s="42"/>
      <c r="R470" s="42"/>
      <c r="S470" s="3"/>
      <c r="T470" s="3"/>
      <c r="U470" s="3"/>
      <c r="V470" s="3"/>
      <c r="W470" s="3"/>
      <c r="X470" s="3"/>
      <c r="Y470" s="3"/>
      <c r="Z470" s="3"/>
      <c r="AA470" s="3"/>
      <c r="AB470" s="3"/>
      <c r="AC470" s="3"/>
      <c r="AD470" s="3"/>
      <c r="AE470" s="3"/>
      <c r="AF470" s="3"/>
      <c r="AG470" s="3"/>
      <c r="AH470" s="3"/>
      <c r="AI470" s="3"/>
      <c r="AJ470" s="3"/>
      <c r="AK470" s="3"/>
      <c r="AL470" s="3"/>
    </row>
    <row r="471" spans="1:38" ht="14.25" customHeight="1" x14ac:dyDescent="0.2">
      <c r="A471" s="118"/>
      <c r="B471" s="118"/>
      <c r="C471" s="118"/>
      <c r="D471" s="118"/>
      <c r="E471" s="118"/>
      <c r="F471" s="118"/>
      <c r="G471" s="118"/>
      <c r="H471" s="118"/>
      <c r="I471" s="118"/>
      <c r="J471" s="118"/>
      <c r="K471" s="118"/>
      <c r="L471" s="118"/>
      <c r="M471" s="118"/>
      <c r="N471" s="42"/>
      <c r="O471" s="42"/>
      <c r="P471" s="42"/>
      <c r="Q471" s="42"/>
      <c r="R471" s="42"/>
      <c r="S471" s="3"/>
      <c r="T471" s="3"/>
      <c r="U471" s="3"/>
      <c r="V471" s="3"/>
      <c r="W471" s="3"/>
      <c r="X471" s="3"/>
      <c r="Y471" s="3"/>
      <c r="Z471" s="3"/>
      <c r="AA471" s="3"/>
      <c r="AB471" s="3"/>
      <c r="AC471" s="3"/>
      <c r="AD471" s="3"/>
      <c r="AE471" s="3"/>
      <c r="AF471" s="3"/>
      <c r="AG471" s="3"/>
      <c r="AH471" s="3"/>
      <c r="AI471" s="3"/>
      <c r="AJ471" s="3"/>
      <c r="AK471" s="3"/>
      <c r="AL471" s="3"/>
    </row>
    <row r="472" spans="1:38" ht="14.25" customHeight="1" x14ac:dyDescent="0.2">
      <c r="A472" s="118"/>
      <c r="B472" s="118"/>
      <c r="C472" s="118"/>
      <c r="D472" s="118"/>
      <c r="E472" s="118"/>
      <c r="F472" s="118"/>
      <c r="G472" s="118"/>
      <c r="H472" s="118"/>
      <c r="I472" s="118"/>
      <c r="J472" s="118"/>
      <c r="K472" s="118"/>
      <c r="L472" s="118"/>
      <c r="M472" s="118"/>
      <c r="N472" s="42"/>
      <c r="O472" s="42"/>
      <c r="P472" s="42"/>
      <c r="Q472" s="42"/>
      <c r="R472" s="42"/>
      <c r="S472" s="3"/>
      <c r="T472" s="3"/>
      <c r="U472" s="3"/>
      <c r="V472" s="3"/>
      <c r="W472" s="3"/>
      <c r="X472" s="3"/>
      <c r="Y472" s="3"/>
      <c r="Z472" s="3"/>
      <c r="AA472" s="3"/>
      <c r="AB472" s="3"/>
      <c r="AC472" s="3"/>
      <c r="AD472" s="3"/>
      <c r="AE472" s="3"/>
      <c r="AF472" s="3"/>
      <c r="AG472" s="3"/>
      <c r="AH472" s="3"/>
      <c r="AI472" s="3"/>
      <c r="AJ472" s="3"/>
      <c r="AK472" s="3"/>
      <c r="AL472" s="3"/>
    </row>
    <row r="473" spans="1:38" ht="14.25" customHeight="1" x14ac:dyDescent="0.2">
      <c r="A473" s="118"/>
      <c r="B473" s="118"/>
      <c r="C473" s="118"/>
      <c r="D473" s="118"/>
      <c r="E473" s="118"/>
      <c r="F473" s="118"/>
      <c r="G473" s="118"/>
      <c r="H473" s="118"/>
      <c r="I473" s="118"/>
      <c r="J473" s="118"/>
      <c r="K473" s="118"/>
      <c r="L473" s="118"/>
      <c r="M473" s="118"/>
      <c r="N473" s="42"/>
      <c r="O473" s="42"/>
      <c r="P473" s="42"/>
      <c r="Q473" s="42"/>
      <c r="R473" s="42"/>
      <c r="S473" s="3"/>
      <c r="T473" s="3"/>
      <c r="U473" s="3"/>
      <c r="V473" s="3"/>
      <c r="W473" s="3"/>
      <c r="X473" s="3"/>
      <c r="Y473" s="3"/>
      <c r="Z473" s="3"/>
      <c r="AA473" s="3"/>
      <c r="AB473" s="3"/>
      <c r="AC473" s="3"/>
      <c r="AD473" s="3"/>
      <c r="AE473" s="3"/>
      <c r="AF473" s="3"/>
      <c r="AG473" s="3"/>
      <c r="AH473" s="3"/>
      <c r="AI473" s="3"/>
      <c r="AJ473" s="3"/>
      <c r="AK473" s="3"/>
      <c r="AL473" s="3"/>
    </row>
    <row r="474" spans="1:38" ht="14.25" customHeight="1" x14ac:dyDescent="0.2">
      <c r="A474" s="118"/>
      <c r="B474" s="118"/>
      <c r="C474" s="118"/>
      <c r="D474" s="118"/>
      <c r="E474" s="118"/>
      <c r="F474" s="118"/>
      <c r="G474" s="118"/>
      <c r="H474" s="118"/>
      <c r="I474" s="118"/>
      <c r="J474" s="118"/>
      <c r="K474" s="118"/>
      <c r="L474" s="118"/>
      <c r="M474" s="118"/>
      <c r="N474" s="42"/>
      <c r="O474" s="42"/>
      <c r="P474" s="42"/>
      <c r="Q474" s="42"/>
      <c r="R474" s="42"/>
      <c r="S474" s="3"/>
      <c r="T474" s="3"/>
      <c r="U474" s="3"/>
      <c r="V474" s="3"/>
      <c r="W474" s="3"/>
      <c r="X474" s="3"/>
      <c r="Y474" s="3"/>
      <c r="Z474" s="3"/>
      <c r="AA474" s="3"/>
      <c r="AB474" s="3"/>
      <c r="AC474" s="3"/>
      <c r="AD474" s="3"/>
      <c r="AE474" s="3"/>
      <c r="AF474" s="3"/>
      <c r="AG474" s="3"/>
      <c r="AH474" s="3"/>
      <c r="AI474" s="3"/>
      <c r="AJ474" s="3"/>
      <c r="AK474" s="3"/>
      <c r="AL474" s="3"/>
    </row>
    <row r="475" spans="1:38" ht="14.25" customHeight="1" x14ac:dyDescent="0.2">
      <c r="A475" s="118"/>
      <c r="B475" s="118"/>
      <c r="C475" s="118"/>
      <c r="D475" s="118"/>
      <c r="E475" s="118"/>
      <c r="F475" s="118"/>
      <c r="G475" s="118"/>
      <c r="H475" s="118"/>
      <c r="I475" s="118"/>
      <c r="J475" s="118"/>
      <c r="K475" s="118"/>
      <c r="L475" s="118"/>
      <c r="M475" s="118"/>
      <c r="N475" s="42"/>
      <c r="O475" s="42"/>
      <c r="P475" s="42"/>
      <c r="Q475" s="42"/>
      <c r="R475" s="42"/>
      <c r="S475" s="3"/>
      <c r="T475" s="3"/>
      <c r="U475" s="3"/>
      <c r="V475" s="3"/>
      <c r="W475" s="3"/>
      <c r="X475" s="3"/>
      <c r="Y475" s="3"/>
      <c r="Z475" s="3"/>
      <c r="AA475" s="3"/>
      <c r="AB475" s="3"/>
      <c r="AC475" s="3"/>
      <c r="AD475" s="3"/>
      <c r="AE475" s="3"/>
      <c r="AF475" s="3"/>
      <c r="AG475" s="3"/>
      <c r="AH475" s="3"/>
      <c r="AI475" s="3"/>
      <c r="AJ475" s="3"/>
      <c r="AK475" s="3"/>
      <c r="AL475" s="3"/>
    </row>
    <row r="476" spans="1:38" ht="14.25" customHeight="1" x14ac:dyDescent="0.2">
      <c r="A476" s="118"/>
      <c r="B476" s="118"/>
      <c r="C476" s="118"/>
      <c r="D476" s="118"/>
      <c r="E476" s="118"/>
      <c r="F476" s="118"/>
      <c r="G476" s="118"/>
      <c r="H476" s="118"/>
      <c r="I476" s="118"/>
      <c r="J476" s="118"/>
      <c r="K476" s="118"/>
      <c r="L476" s="118"/>
      <c r="M476" s="118"/>
      <c r="N476" s="42"/>
      <c r="O476" s="42"/>
      <c r="P476" s="42"/>
      <c r="Q476" s="42"/>
      <c r="R476" s="42"/>
      <c r="S476" s="3"/>
      <c r="T476" s="3"/>
      <c r="U476" s="3"/>
      <c r="V476" s="3"/>
      <c r="W476" s="3"/>
      <c r="X476" s="3"/>
      <c r="Y476" s="3"/>
      <c r="Z476" s="3"/>
      <c r="AA476" s="3"/>
      <c r="AB476" s="3"/>
      <c r="AC476" s="3"/>
      <c r="AD476" s="3"/>
      <c r="AE476" s="3"/>
      <c r="AF476" s="3"/>
      <c r="AG476" s="3"/>
      <c r="AH476" s="3"/>
      <c r="AI476" s="3"/>
      <c r="AJ476" s="3"/>
      <c r="AK476" s="3"/>
      <c r="AL476" s="3"/>
    </row>
    <row r="477" spans="1:38" ht="14.25" customHeight="1" x14ac:dyDescent="0.2">
      <c r="A477" s="118"/>
      <c r="B477" s="118"/>
      <c r="C477" s="118"/>
      <c r="D477" s="118"/>
      <c r="E477" s="118"/>
      <c r="F477" s="118"/>
      <c r="G477" s="118"/>
      <c r="H477" s="118"/>
      <c r="I477" s="118"/>
      <c r="J477" s="118"/>
      <c r="K477" s="118"/>
      <c r="L477" s="118"/>
      <c r="M477" s="118"/>
      <c r="N477" s="42"/>
      <c r="O477" s="42"/>
      <c r="P477" s="42"/>
      <c r="Q477" s="42"/>
      <c r="R477" s="42"/>
      <c r="S477" s="3"/>
      <c r="T477" s="3"/>
      <c r="U477" s="3"/>
      <c r="V477" s="3"/>
      <c r="W477" s="3"/>
      <c r="X477" s="3"/>
      <c r="Y477" s="3"/>
      <c r="Z477" s="3"/>
      <c r="AA477" s="3"/>
      <c r="AB477" s="3"/>
      <c r="AC477" s="3"/>
      <c r="AD477" s="3"/>
      <c r="AE477" s="3"/>
      <c r="AF477" s="3"/>
      <c r="AG477" s="3"/>
      <c r="AH477" s="3"/>
      <c r="AI477" s="3"/>
      <c r="AJ477" s="3"/>
      <c r="AK477" s="3"/>
      <c r="AL477" s="3"/>
    </row>
    <row r="478" spans="1:38" ht="14.25" customHeight="1" x14ac:dyDescent="0.2">
      <c r="A478" s="118"/>
      <c r="B478" s="118"/>
      <c r="C478" s="118"/>
      <c r="D478" s="118"/>
      <c r="E478" s="118"/>
      <c r="F478" s="118"/>
      <c r="G478" s="118"/>
      <c r="H478" s="118"/>
      <c r="I478" s="118"/>
      <c r="J478" s="118"/>
      <c r="K478" s="118"/>
      <c r="L478" s="118"/>
      <c r="M478" s="118"/>
      <c r="N478" s="42"/>
      <c r="O478" s="42"/>
      <c r="P478" s="42"/>
      <c r="Q478" s="42"/>
      <c r="R478" s="42"/>
      <c r="S478" s="3"/>
      <c r="T478" s="3"/>
      <c r="U478" s="3"/>
      <c r="V478" s="3"/>
      <c r="W478" s="3"/>
      <c r="X478" s="3"/>
      <c r="Y478" s="3"/>
      <c r="Z478" s="3"/>
      <c r="AA478" s="3"/>
      <c r="AB478" s="3"/>
      <c r="AC478" s="3"/>
      <c r="AD478" s="3"/>
      <c r="AE478" s="3"/>
      <c r="AF478" s="3"/>
      <c r="AG478" s="3"/>
      <c r="AH478" s="3"/>
      <c r="AI478" s="3"/>
      <c r="AJ478" s="3"/>
      <c r="AK478" s="3"/>
      <c r="AL478" s="3"/>
    </row>
    <row r="479" spans="1:38" ht="14.25" customHeight="1" x14ac:dyDescent="0.2">
      <c r="A479" s="118"/>
      <c r="B479" s="118"/>
      <c r="C479" s="118"/>
      <c r="D479" s="118"/>
      <c r="E479" s="118"/>
      <c r="F479" s="118"/>
      <c r="G479" s="118"/>
      <c r="H479" s="118"/>
      <c r="I479" s="118"/>
      <c r="J479" s="118"/>
      <c r="K479" s="118"/>
      <c r="L479" s="118"/>
      <c r="M479" s="118"/>
      <c r="N479" s="42"/>
      <c r="O479" s="42"/>
      <c r="P479" s="42"/>
      <c r="Q479" s="42"/>
      <c r="R479" s="42"/>
      <c r="S479" s="3"/>
      <c r="T479" s="3"/>
      <c r="U479" s="3"/>
      <c r="V479" s="3"/>
      <c r="W479" s="3"/>
      <c r="X479" s="3"/>
      <c r="Y479" s="3"/>
      <c r="Z479" s="3"/>
      <c r="AA479" s="3"/>
      <c r="AB479" s="3"/>
      <c r="AC479" s="3"/>
      <c r="AD479" s="3"/>
      <c r="AE479" s="3"/>
      <c r="AF479" s="3"/>
      <c r="AG479" s="3"/>
      <c r="AH479" s="3"/>
      <c r="AI479" s="3"/>
      <c r="AJ479" s="3"/>
      <c r="AK479" s="3"/>
      <c r="AL479" s="3"/>
    </row>
    <row r="480" spans="1:38" ht="14.25" customHeight="1" x14ac:dyDescent="0.2">
      <c r="A480" s="118"/>
      <c r="B480" s="118"/>
      <c r="C480" s="118"/>
      <c r="D480" s="118"/>
      <c r="E480" s="118"/>
      <c r="F480" s="118"/>
      <c r="G480" s="118"/>
      <c r="H480" s="118"/>
      <c r="I480" s="118"/>
      <c r="J480" s="118"/>
      <c r="K480" s="118"/>
      <c r="L480" s="118"/>
      <c r="M480" s="118"/>
      <c r="N480" s="42"/>
      <c r="O480" s="42"/>
      <c r="P480" s="42"/>
      <c r="Q480" s="42"/>
      <c r="R480" s="42"/>
      <c r="S480" s="3"/>
      <c r="T480" s="3"/>
      <c r="U480" s="3"/>
      <c r="V480" s="3"/>
      <c r="W480" s="3"/>
      <c r="X480" s="3"/>
      <c r="Y480" s="3"/>
      <c r="Z480" s="3"/>
      <c r="AA480" s="3"/>
      <c r="AB480" s="3"/>
      <c r="AC480" s="3"/>
      <c r="AD480" s="3"/>
      <c r="AE480" s="3"/>
      <c r="AF480" s="3"/>
      <c r="AG480" s="3"/>
      <c r="AH480" s="3"/>
      <c r="AI480" s="3"/>
      <c r="AJ480" s="3"/>
      <c r="AK480" s="3"/>
      <c r="AL480" s="3"/>
    </row>
    <row r="481" spans="1:38" ht="14.25" customHeight="1" x14ac:dyDescent="0.2">
      <c r="A481" s="118"/>
      <c r="B481" s="118"/>
      <c r="C481" s="118"/>
      <c r="D481" s="118"/>
      <c r="E481" s="118"/>
      <c r="F481" s="118"/>
      <c r="G481" s="118"/>
      <c r="H481" s="118"/>
      <c r="I481" s="118"/>
      <c r="J481" s="118"/>
      <c r="K481" s="118"/>
      <c r="L481" s="118"/>
      <c r="M481" s="118"/>
      <c r="N481" s="42"/>
      <c r="O481" s="42"/>
      <c r="P481" s="42"/>
      <c r="Q481" s="42"/>
      <c r="R481" s="42"/>
      <c r="S481" s="3"/>
      <c r="T481" s="3"/>
      <c r="U481" s="3"/>
      <c r="V481" s="3"/>
      <c r="W481" s="3"/>
      <c r="X481" s="3"/>
      <c r="Y481" s="3"/>
      <c r="Z481" s="3"/>
      <c r="AA481" s="3"/>
      <c r="AB481" s="3"/>
      <c r="AC481" s="3"/>
      <c r="AD481" s="3"/>
      <c r="AE481" s="3"/>
      <c r="AF481" s="3"/>
      <c r="AG481" s="3"/>
      <c r="AH481" s="3"/>
      <c r="AI481" s="3"/>
      <c r="AJ481" s="3"/>
      <c r="AK481" s="3"/>
      <c r="AL481" s="3"/>
    </row>
    <row r="482" spans="1:38" ht="14.25" customHeight="1" x14ac:dyDescent="0.2">
      <c r="A482" s="118"/>
      <c r="B482" s="118"/>
      <c r="C482" s="118"/>
      <c r="D482" s="118"/>
      <c r="E482" s="118"/>
      <c r="F482" s="118"/>
      <c r="G482" s="118"/>
      <c r="H482" s="118"/>
      <c r="I482" s="118"/>
      <c r="J482" s="118"/>
      <c r="K482" s="118"/>
      <c r="L482" s="118"/>
      <c r="M482" s="118"/>
      <c r="N482" s="42"/>
      <c r="O482" s="42"/>
      <c r="P482" s="42"/>
      <c r="Q482" s="42"/>
      <c r="R482" s="42"/>
      <c r="S482" s="3"/>
      <c r="T482" s="3"/>
      <c r="U482" s="3"/>
      <c r="V482" s="3"/>
      <c r="W482" s="3"/>
      <c r="X482" s="3"/>
      <c r="Y482" s="3"/>
      <c r="Z482" s="3"/>
      <c r="AA482" s="3"/>
      <c r="AB482" s="3"/>
      <c r="AC482" s="3"/>
      <c r="AD482" s="3"/>
      <c r="AE482" s="3"/>
      <c r="AF482" s="3"/>
      <c r="AG482" s="3"/>
      <c r="AH482" s="3"/>
      <c r="AI482" s="3"/>
      <c r="AJ482" s="3"/>
      <c r="AK482" s="3"/>
      <c r="AL482" s="3"/>
    </row>
    <row r="483" spans="1:38" ht="14.25" customHeight="1" x14ac:dyDescent="0.2">
      <c r="A483" s="118"/>
      <c r="B483" s="118"/>
      <c r="C483" s="118"/>
      <c r="D483" s="118"/>
      <c r="E483" s="118"/>
      <c r="F483" s="118"/>
      <c r="G483" s="118"/>
      <c r="H483" s="118"/>
      <c r="I483" s="118"/>
      <c r="J483" s="118"/>
      <c r="K483" s="118"/>
      <c r="L483" s="118"/>
      <c r="M483" s="118"/>
      <c r="N483" s="42"/>
      <c r="O483" s="42"/>
      <c r="P483" s="42"/>
      <c r="Q483" s="42"/>
      <c r="R483" s="42"/>
      <c r="S483" s="3"/>
      <c r="T483" s="3"/>
      <c r="U483" s="3"/>
      <c r="V483" s="3"/>
      <c r="W483" s="3"/>
      <c r="X483" s="3"/>
      <c r="Y483" s="3"/>
      <c r="Z483" s="3"/>
      <c r="AA483" s="3"/>
      <c r="AB483" s="3"/>
      <c r="AC483" s="3"/>
      <c r="AD483" s="3"/>
      <c r="AE483" s="3"/>
      <c r="AF483" s="3"/>
      <c r="AG483" s="3"/>
      <c r="AH483" s="3"/>
      <c r="AI483" s="3"/>
      <c r="AJ483" s="3"/>
      <c r="AK483" s="3"/>
      <c r="AL483" s="3"/>
    </row>
    <row r="484" spans="1:38" ht="14.25" customHeight="1" x14ac:dyDescent="0.2">
      <c r="A484" s="118"/>
      <c r="B484" s="118"/>
      <c r="C484" s="118"/>
      <c r="D484" s="118"/>
      <c r="E484" s="118"/>
      <c r="F484" s="118"/>
      <c r="G484" s="118"/>
      <c r="H484" s="118"/>
      <c r="I484" s="118"/>
      <c r="J484" s="118"/>
      <c r="K484" s="118"/>
      <c r="L484" s="118"/>
      <c r="M484" s="118"/>
      <c r="N484" s="42"/>
      <c r="O484" s="42"/>
      <c r="P484" s="42"/>
      <c r="Q484" s="42"/>
      <c r="R484" s="42"/>
      <c r="S484" s="3"/>
      <c r="T484" s="3"/>
      <c r="U484" s="3"/>
      <c r="V484" s="3"/>
      <c r="W484" s="3"/>
      <c r="X484" s="3"/>
      <c r="Y484" s="3"/>
      <c r="Z484" s="3"/>
      <c r="AA484" s="3"/>
      <c r="AB484" s="3"/>
      <c r="AC484" s="3"/>
      <c r="AD484" s="3"/>
      <c r="AE484" s="3"/>
      <c r="AF484" s="3"/>
      <c r="AG484" s="3"/>
      <c r="AH484" s="3"/>
      <c r="AI484" s="3"/>
      <c r="AJ484" s="3"/>
      <c r="AK484" s="3"/>
      <c r="AL484" s="3"/>
    </row>
    <row r="485" spans="1:38" ht="14.25" customHeight="1" x14ac:dyDescent="0.2">
      <c r="A485" s="118"/>
      <c r="B485" s="118"/>
      <c r="C485" s="118"/>
      <c r="D485" s="118"/>
      <c r="E485" s="118"/>
      <c r="F485" s="118"/>
      <c r="G485" s="118"/>
      <c r="H485" s="118"/>
      <c r="I485" s="118"/>
      <c r="J485" s="118"/>
      <c r="K485" s="118"/>
      <c r="L485" s="118"/>
      <c r="M485" s="118"/>
      <c r="N485" s="42"/>
      <c r="O485" s="42"/>
      <c r="P485" s="42"/>
      <c r="Q485" s="42"/>
      <c r="R485" s="42"/>
      <c r="S485" s="3"/>
      <c r="T485" s="3"/>
      <c r="U485" s="3"/>
      <c r="V485" s="3"/>
      <c r="W485" s="3"/>
      <c r="X485" s="3"/>
      <c r="Y485" s="3"/>
      <c r="Z485" s="3"/>
      <c r="AA485" s="3"/>
      <c r="AB485" s="3"/>
      <c r="AC485" s="3"/>
      <c r="AD485" s="3"/>
      <c r="AE485" s="3"/>
      <c r="AF485" s="3"/>
      <c r="AG485" s="3"/>
      <c r="AH485" s="3"/>
      <c r="AI485" s="3"/>
      <c r="AJ485" s="3"/>
      <c r="AK485" s="3"/>
      <c r="AL485" s="3"/>
    </row>
    <row r="486" spans="1:38" ht="14.25" customHeight="1" x14ac:dyDescent="0.2">
      <c r="A486" s="118"/>
      <c r="B486" s="118"/>
      <c r="C486" s="118"/>
      <c r="D486" s="118"/>
      <c r="E486" s="118"/>
      <c r="F486" s="118"/>
      <c r="G486" s="118"/>
      <c r="H486" s="118"/>
      <c r="I486" s="118"/>
      <c r="J486" s="118"/>
      <c r="K486" s="118"/>
      <c r="L486" s="118"/>
      <c r="M486" s="118"/>
      <c r="N486" s="42"/>
      <c r="O486" s="42"/>
      <c r="P486" s="42"/>
      <c r="Q486" s="42"/>
      <c r="R486" s="42"/>
      <c r="S486" s="3"/>
      <c r="T486" s="3"/>
      <c r="U486" s="3"/>
      <c r="V486" s="3"/>
      <c r="W486" s="3"/>
      <c r="X486" s="3"/>
      <c r="Y486" s="3"/>
      <c r="Z486" s="3"/>
      <c r="AA486" s="3"/>
      <c r="AB486" s="3"/>
      <c r="AC486" s="3"/>
      <c r="AD486" s="3"/>
      <c r="AE486" s="3"/>
      <c r="AF486" s="3"/>
      <c r="AG486" s="3"/>
      <c r="AH486" s="3"/>
      <c r="AI486" s="3"/>
      <c r="AJ486" s="3"/>
      <c r="AK486" s="3"/>
      <c r="AL486" s="3"/>
    </row>
    <row r="487" spans="1:38" ht="14.25" customHeight="1" x14ac:dyDescent="0.2">
      <c r="A487" s="118"/>
      <c r="B487" s="118"/>
      <c r="C487" s="118"/>
      <c r="D487" s="118"/>
      <c r="E487" s="118"/>
      <c r="F487" s="118"/>
      <c r="G487" s="118"/>
      <c r="H487" s="118"/>
      <c r="I487" s="118"/>
      <c r="J487" s="118"/>
      <c r="K487" s="118"/>
      <c r="L487" s="118"/>
      <c r="M487" s="118"/>
      <c r="N487" s="42"/>
      <c r="O487" s="42"/>
      <c r="P487" s="42"/>
      <c r="Q487" s="42"/>
      <c r="R487" s="42"/>
      <c r="S487" s="3"/>
      <c r="T487" s="3"/>
      <c r="U487" s="3"/>
      <c r="V487" s="3"/>
      <c r="W487" s="3"/>
      <c r="X487" s="3"/>
      <c r="Y487" s="3"/>
      <c r="Z487" s="3"/>
      <c r="AA487" s="3"/>
      <c r="AB487" s="3"/>
      <c r="AC487" s="3"/>
      <c r="AD487" s="3"/>
      <c r="AE487" s="3"/>
      <c r="AF487" s="3"/>
      <c r="AG487" s="3"/>
      <c r="AH487" s="3"/>
      <c r="AI487" s="3"/>
      <c r="AJ487" s="3"/>
      <c r="AK487" s="3"/>
      <c r="AL487" s="3"/>
    </row>
    <row r="488" spans="1:38" ht="14.25" customHeight="1" x14ac:dyDescent="0.2">
      <c r="A488" s="118"/>
      <c r="B488" s="118"/>
      <c r="C488" s="118"/>
      <c r="D488" s="118"/>
      <c r="E488" s="118"/>
      <c r="F488" s="118"/>
      <c r="G488" s="118"/>
      <c r="H488" s="118"/>
      <c r="I488" s="118"/>
      <c r="J488" s="118"/>
      <c r="K488" s="118"/>
      <c r="L488" s="118"/>
      <c r="M488" s="118"/>
      <c r="N488" s="42"/>
      <c r="O488" s="42"/>
      <c r="P488" s="42"/>
      <c r="Q488" s="42"/>
      <c r="R488" s="42"/>
      <c r="S488" s="3"/>
      <c r="T488" s="3"/>
      <c r="U488" s="3"/>
      <c r="V488" s="3"/>
      <c r="W488" s="3"/>
      <c r="X488" s="3"/>
      <c r="Y488" s="3"/>
      <c r="Z488" s="3"/>
      <c r="AA488" s="3"/>
      <c r="AB488" s="3"/>
      <c r="AC488" s="3"/>
      <c r="AD488" s="3"/>
      <c r="AE488" s="3"/>
      <c r="AF488" s="3"/>
      <c r="AG488" s="3"/>
      <c r="AH488" s="3"/>
      <c r="AI488" s="3"/>
      <c r="AJ488" s="3"/>
      <c r="AK488" s="3"/>
      <c r="AL488" s="3"/>
    </row>
    <row r="489" spans="1:38" ht="14.25" customHeight="1" x14ac:dyDescent="0.2">
      <c r="A489" s="118"/>
      <c r="B489" s="118"/>
      <c r="C489" s="118"/>
      <c r="D489" s="118"/>
      <c r="E489" s="118"/>
      <c r="F489" s="118"/>
      <c r="G489" s="118"/>
      <c r="H489" s="118"/>
      <c r="I489" s="118"/>
      <c r="J489" s="118"/>
      <c r="K489" s="118"/>
      <c r="L489" s="118"/>
      <c r="M489" s="118"/>
      <c r="N489" s="42"/>
      <c r="O489" s="42"/>
      <c r="P489" s="42"/>
      <c r="Q489" s="42"/>
      <c r="R489" s="42"/>
      <c r="S489" s="3"/>
      <c r="T489" s="3"/>
      <c r="U489" s="3"/>
      <c r="V489" s="3"/>
      <c r="W489" s="3"/>
      <c r="X489" s="3"/>
      <c r="Y489" s="3"/>
      <c r="Z489" s="3"/>
      <c r="AA489" s="3"/>
      <c r="AB489" s="3"/>
      <c r="AC489" s="3"/>
      <c r="AD489" s="3"/>
      <c r="AE489" s="3"/>
      <c r="AF489" s="3"/>
      <c r="AG489" s="3"/>
      <c r="AH489" s="3"/>
      <c r="AI489" s="3"/>
      <c r="AJ489" s="3"/>
      <c r="AK489" s="3"/>
      <c r="AL489" s="3"/>
    </row>
    <row r="490" spans="1:38" ht="14.25" customHeight="1" x14ac:dyDescent="0.2">
      <c r="A490" s="118"/>
      <c r="B490" s="118"/>
      <c r="C490" s="118"/>
      <c r="D490" s="118"/>
      <c r="E490" s="118"/>
      <c r="F490" s="118"/>
      <c r="G490" s="118"/>
      <c r="H490" s="118"/>
      <c r="I490" s="118"/>
      <c r="J490" s="118"/>
      <c r="K490" s="118"/>
      <c r="L490" s="118"/>
      <c r="M490" s="118"/>
      <c r="N490" s="42"/>
      <c r="O490" s="42"/>
      <c r="P490" s="42"/>
      <c r="Q490" s="42"/>
      <c r="R490" s="42"/>
      <c r="S490" s="3"/>
      <c r="T490" s="3"/>
      <c r="U490" s="3"/>
      <c r="V490" s="3"/>
      <c r="W490" s="3"/>
      <c r="X490" s="3"/>
      <c r="Y490" s="3"/>
      <c r="Z490" s="3"/>
      <c r="AA490" s="3"/>
      <c r="AB490" s="3"/>
      <c r="AC490" s="3"/>
      <c r="AD490" s="3"/>
      <c r="AE490" s="3"/>
      <c r="AF490" s="3"/>
      <c r="AG490" s="3"/>
      <c r="AH490" s="3"/>
      <c r="AI490" s="3"/>
      <c r="AJ490" s="3"/>
      <c r="AK490" s="3"/>
      <c r="AL490" s="3"/>
    </row>
    <row r="491" spans="1:38" ht="14.25" customHeight="1" x14ac:dyDescent="0.2">
      <c r="A491" s="118"/>
      <c r="B491" s="118"/>
      <c r="C491" s="118"/>
      <c r="D491" s="118"/>
      <c r="E491" s="118"/>
      <c r="F491" s="118"/>
      <c r="G491" s="118"/>
      <c r="H491" s="118"/>
      <c r="I491" s="118"/>
      <c r="J491" s="118"/>
      <c r="K491" s="118"/>
      <c r="L491" s="118"/>
      <c r="M491" s="118"/>
      <c r="N491" s="42"/>
      <c r="O491" s="42"/>
      <c r="P491" s="42"/>
      <c r="Q491" s="42"/>
      <c r="R491" s="42"/>
      <c r="S491" s="3"/>
      <c r="T491" s="3"/>
      <c r="U491" s="3"/>
      <c r="V491" s="3"/>
      <c r="W491" s="3"/>
      <c r="X491" s="3"/>
      <c r="Y491" s="3"/>
      <c r="Z491" s="3"/>
      <c r="AA491" s="3"/>
      <c r="AB491" s="3"/>
      <c r="AC491" s="3"/>
      <c r="AD491" s="3"/>
      <c r="AE491" s="3"/>
      <c r="AF491" s="3"/>
      <c r="AG491" s="3"/>
      <c r="AH491" s="3"/>
      <c r="AI491" s="3"/>
      <c r="AJ491" s="3"/>
      <c r="AK491" s="3"/>
      <c r="AL491" s="3"/>
    </row>
    <row r="492" spans="1:38" ht="14.25" customHeight="1" x14ac:dyDescent="0.2">
      <c r="A492" s="118"/>
      <c r="B492" s="118"/>
      <c r="C492" s="118"/>
      <c r="D492" s="118"/>
      <c r="E492" s="118"/>
      <c r="F492" s="118"/>
      <c r="G492" s="118"/>
      <c r="H492" s="118"/>
      <c r="I492" s="118"/>
      <c r="J492" s="118"/>
      <c r="K492" s="118"/>
      <c r="L492" s="118"/>
      <c r="M492" s="118"/>
      <c r="N492" s="42"/>
      <c r="O492" s="42"/>
      <c r="P492" s="42"/>
      <c r="Q492" s="42"/>
      <c r="R492" s="42"/>
      <c r="S492" s="3"/>
      <c r="T492" s="3"/>
      <c r="U492" s="3"/>
      <c r="V492" s="3"/>
      <c r="W492" s="3"/>
      <c r="X492" s="3"/>
      <c r="Y492" s="3"/>
      <c r="Z492" s="3"/>
      <c r="AA492" s="3"/>
      <c r="AB492" s="3"/>
      <c r="AC492" s="3"/>
      <c r="AD492" s="3"/>
      <c r="AE492" s="3"/>
      <c r="AF492" s="3"/>
      <c r="AG492" s="3"/>
      <c r="AH492" s="3"/>
      <c r="AI492" s="3"/>
      <c r="AJ492" s="3"/>
      <c r="AK492" s="3"/>
      <c r="AL492" s="3"/>
    </row>
    <row r="493" spans="1:38" ht="14.25" customHeight="1" x14ac:dyDescent="0.2">
      <c r="A493" s="118"/>
      <c r="B493" s="118"/>
      <c r="C493" s="118"/>
      <c r="D493" s="118"/>
      <c r="E493" s="118"/>
      <c r="F493" s="118"/>
      <c r="G493" s="118"/>
      <c r="H493" s="118"/>
      <c r="I493" s="118"/>
      <c r="J493" s="118"/>
      <c r="K493" s="118"/>
      <c r="L493" s="118"/>
      <c r="M493" s="118"/>
      <c r="N493" s="42"/>
      <c r="O493" s="42"/>
      <c r="P493" s="42"/>
      <c r="Q493" s="42"/>
      <c r="R493" s="42"/>
      <c r="S493" s="3"/>
      <c r="T493" s="3"/>
      <c r="U493" s="3"/>
      <c r="V493" s="3"/>
      <c r="W493" s="3"/>
      <c r="X493" s="3"/>
      <c r="Y493" s="3"/>
      <c r="Z493" s="3"/>
      <c r="AA493" s="3"/>
      <c r="AB493" s="3"/>
      <c r="AC493" s="3"/>
      <c r="AD493" s="3"/>
      <c r="AE493" s="3"/>
      <c r="AF493" s="3"/>
      <c r="AG493" s="3"/>
      <c r="AH493" s="3"/>
      <c r="AI493" s="3"/>
      <c r="AJ493" s="3"/>
      <c r="AK493" s="3"/>
      <c r="AL493" s="3"/>
    </row>
    <row r="494" spans="1:38" ht="14.25" customHeight="1" x14ac:dyDescent="0.2">
      <c r="A494" s="118"/>
      <c r="B494" s="118"/>
      <c r="C494" s="118"/>
      <c r="D494" s="118"/>
      <c r="E494" s="118"/>
      <c r="F494" s="118"/>
      <c r="G494" s="118"/>
      <c r="H494" s="118"/>
      <c r="I494" s="118"/>
      <c r="J494" s="118"/>
      <c r="K494" s="118"/>
      <c r="L494" s="118"/>
      <c r="M494" s="118"/>
      <c r="N494" s="42"/>
      <c r="O494" s="42"/>
      <c r="P494" s="42"/>
      <c r="Q494" s="42"/>
      <c r="R494" s="42"/>
      <c r="S494" s="3"/>
      <c r="T494" s="3"/>
      <c r="U494" s="3"/>
      <c r="V494" s="3"/>
      <c r="W494" s="3"/>
      <c r="X494" s="3"/>
      <c r="Y494" s="3"/>
      <c r="Z494" s="3"/>
      <c r="AA494" s="3"/>
      <c r="AB494" s="3"/>
      <c r="AC494" s="3"/>
      <c r="AD494" s="3"/>
      <c r="AE494" s="3"/>
      <c r="AF494" s="3"/>
      <c r="AG494" s="3"/>
      <c r="AH494" s="3"/>
      <c r="AI494" s="3"/>
      <c r="AJ494" s="3"/>
      <c r="AK494" s="3"/>
      <c r="AL494" s="3"/>
    </row>
    <row r="495" spans="1:38" ht="14.25" customHeight="1" x14ac:dyDescent="0.2">
      <c r="A495" s="118"/>
      <c r="B495" s="118"/>
      <c r="C495" s="118"/>
      <c r="D495" s="118"/>
      <c r="E495" s="118"/>
      <c r="F495" s="118"/>
      <c r="G495" s="118"/>
      <c r="H495" s="118"/>
      <c r="I495" s="118"/>
      <c r="J495" s="118"/>
      <c r="K495" s="118"/>
      <c r="L495" s="118"/>
      <c r="M495" s="118"/>
      <c r="N495" s="42"/>
      <c r="O495" s="42"/>
      <c r="P495" s="42"/>
      <c r="Q495" s="42"/>
      <c r="R495" s="42"/>
      <c r="S495" s="3"/>
      <c r="T495" s="3"/>
      <c r="U495" s="3"/>
      <c r="V495" s="3"/>
      <c r="W495" s="3"/>
      <c r="X495" s="3"/>
      <c r="Y495" s="3"/>
      <c r="Z495" s="3"/>
      <c r="AA495" s="3"/>
      <c r="AB495" s="3"/>
      <c r="AC495" s="3"/>
      <c r="AD495" s="3"/>
      <c r="AE495" s="3"/>
      <c r="AF495" s="3"/>
      <c r="AG495" s="3"/>
      <c r="AH495" s="3"/>
      <c r="AI495" s="3"/>
      <c r="AJ495" s="3"/>
      <c r="AK495" s="3"/>
      <c r="AL495" s="3"/>
    </row>
    <row r="496" spans="1:38" ht="14.25" customHeight="1" x14ac:dyDescent="0.2">
      <c r="A496" s="118"/>
      <c r="B496" s="118"/>
      <c r="C496" s="118"/>
      <c r="D496" s="118"/>
      <c r="E496" s="118"/>
      <c r="F496" s="118"/>
      <c r="G496" s="118"/>
      <c r="H496" s="118"/>
      <c r="I496" s="118"/>
      <c r="J496" s="118"/>
      <c r="K496" s="118"/>
      <c r="L496" s="118"/>
      <c r="M496" s="118"/>
      <c r="N496" s="42"/>
      <c r="O496" s="42"/>
      <c r="P496" s="42"/>
      <c r="Q496" s="42"/>
      <c r="R496" s="42"/>
      <c r="S496" s="3"/>
      <c r="T496" s="3"/>
      <c r="U496" s="3"/>
      <c r="V496" s="3"/>
      <c r="W496" s="3"/>
      <c r="X496" s="3"/>
      <c r="Y496" s="3"/>
      <c r="Z496" s="3"/>
      <c r="AA496" s="3"/>
      <c r="AB496" s="3"/>
      <c r="AC496" s="3"/>
      <c r="AD496" s="3"/>
      <c r="AE496" s="3"/>
      <c r="AF496" s="3"/>
      <c r="AG496" s="3"/>
      <c r="AH496" s="3"/>
      <c r="AI496" s="3"/>
      <c r="AJ496" s="3"/>
      <c r="AK496" s="3"/>
      <c r="AL496" s="3"/>
    </row>
    <row r="497" spans="1:38" ht="14.25" customHeight="1" x14ac:dyDescent="0.2">
      <c r="A497" s="118"/>
      <c r="B497" s="118"/>
      <c r="C497" s="118"/>
      <c r="D497" s="118"/>
      <c r="E497" s="118"/>
      <c r="F497" s="118"/>
      <c r="G497" s="118"/>
      <c r="H497" s="118"/>
      <c r="I497" s="118"/>
      <c r="J497" s="118"/>
      <c r="K497" s="118"/>
      <c r="L497" s="118"/>
      <c r="M497" s="118"/>
      <c r="N497" s="42"/>
      <c r="O497" s="42"/>
      <c r="P497" s="42"/>
      <c r="Q497" s="42"/>
      <c r="R497" s="42"/>
      <c r="S497" s="3"/>
      <c r="T497" s="3"/>
      <c r="U497" s="3"/>
      <c r="V497" s="3"/>
      <c r="W497" s="3"/>
      <c r="X497" s="3"/>
      <c r="Y497" s="3"/>
      <c r="Z497" s="3"/>
      <c r="AA497" s="3"/>
      <c r="AB497" s="3"/>
      <c r="AC497" s="3"/>
      <c r="AD497" s="3"/>
      <c r="AE497" s="3"/>
      <c r="AF497" s="3"/>
      <c r="AG497" s="3"/>
      <c r="AH497" s="3"/>
      <c r="AI497" s="3"/>
      <c r="AJ497" s="3"/>
      <c r="AK497" s="3"/>
      <c r="AL497" s="3"/>
    </row>
    <row r="498" spans="1:38" ht="14.25" customHeight="1" x14ac:dyDescent="0.2">
      <c r="A498" s="118"/>
      <c r="B498" s="118"/>
      <c r="C498" s="118"/>
      <c r="D498" s="118"/>
      <c r="E498" s="118"/>
      <c r="F498" s="118"/>
      <c r="G498" s="118"/>
      <c r="H498" s="118"/>
      <c r="I498" s="118"/>
      <c r="J498" s="118"/>
      <c r="K498" s="118"/>
      <c r="L498" s="118"/>
      <c r="M498" s="118"/>
      <c r="N498" s="42"/>
      <c r="O498" s="42"/>
      <c r="P498" s="42"/>
      <c r="Q498" s="42"/>
      <c r="R498" s="42"/>
      <c r="S498" s="3"/>
      <c r="T498" s="3"/>
      <c r="U498" s="3"/>
      <c r="V498" s="3"/>
      <c r="W498" s="3"/>
      <c r="X498" s="3"/>
      <c r="Y498" s="3"/>
      <c r="Z498" s="3"/>
      <c r="AA498" s="3"/>
      <c r="AB498" s="3"/>
      <c r="AC498" s="3"/>
      <c r="AD498" s="3"/>
      <c r="AE498" s="3"/>
      <c r="AF498" s="3"/>
      <c r="AG498" s="3"/>
      <c r="AH498" s="3"/>
      <c r="AI498" s="3"/>
      <c r="AJ498" s="3"/>
      <c r="AK498" s="3"/>
      <c r="AL498" s="3"/>
    </row>
    <row r="499" spans="1:38" ht="14.25" customHeight="1" x14ac:dyDescent="0.2">
      <c r="A499" s="118"/>
      <c r="B499" s="118"/>
      <c r="C499" s="118"/>
      <c r="D499" s="118"/>
      <c r="E499" s="118"/>
      <c r="F499" s="118"/>
      <c r="G499" s="118"/>
      <c r="H499" s="118"/>
      <c r="I499" s="118"/>
      <c r="J499" s="118"/>
      <c r="K499" s="118"/>
      <c r="L499" s="118"/>
      <c r="M499" s="118"/>
      <c r="N499" s="42"/>
      <c r="O499" s="42"/>
      <c r="P499" s="42"/>
      <c r="Q499" s="42"/>
      <c r="R499" s="42"/>
      <c r="S499" s="3"/>
      <c r="T499" s="3"/>
      <c r="U499" s="3"/>
      <c r="V499" s="3"/>
      <c r="W499" s="3"/>
      <c r="X499" s="3"/>
      <c r="Y499" s="3"/>
      <c r="Z499" s="3"/>
      <c r="AA499" s="3"/>
      <c r="AB499" s="3"/>
      <c r="AC499" s="3"/>
      <c r="AD499" s="3"/>
      <c r="AE499" s="3"/>
      <c r="AF499" s="3"/>
      <c r="AG499" s="3"/>
      <c r="AH499" s="3"/>
      <c r="AI499" s="3"/>
      <c r="AJ499" s="3"/>
      <c r="AK499" s="3"/>
      <c r="AL499" s="3"/>
    </row>
    <row r="500" spans="1:38" ht="14.25" customHeight="1" x14ac:dyDescent="0.2">
      <c r="A500" s="118"/>
      <c r="B500" s="118"/>
      <c r="C500" s="118"/>
      <c r="D500" s="118"/>
      <c r="E500" s="118"/>
      <c r="F500" s="118"/>
      <c r="G500" s="118"/>
      <c r="H500" s="118"/>
      <c r="I500" s="118"/>
      <c r="J500" s="118"/>
      <c r="K500" s="118"/>
      <c r="L500" s="118"/>
      <c r="M500" s="118"/>
      <c r="N500" s="42"/>
      <c r="O500" s="42"/>
      <c r="P500" s="42"/>
      <c r="Q500" s="42"/>
      <c r="R500" s="42"/>
      <c r="S500" s="3"/>
      <c r="T500" s="3"/>
      <c r="U500" s="3"/>
      <c r="V500" s="3"/>
      <c r="W500" s="3"/>
      <c r="X500" s="3"/>
      <c r="Y500" s="3"/>
      <c r="Z500" s="3"/>
      <c r="AA500" s="3"/>
      <c r="AB500" s="3"/>
      <c r="AC500" s="3"/>
      <c r="AD500" s="3"/>
      <c r="AE500" s="3"/>
      <c r="AF500" s="3"/>
      <c r="AG500" s="3"/>
      <c r="AH500" s="3"/>
      <c r="AI500" s="3"/>
      <c r="AJ500" s="3"/>
      <c r="AK500" s="3"/>
      <c r="AL500" s="3"/>
    </row>
    <row r="501" spans="1:38" ht="14.25" customHeight="1" x14ac:dyDescent="0.2">
      <c r="A501" s="118"/>
      <c r="B501" s="118"/>
      <c r="C501" s="118"/>
      <c r="D501" s="118"/>
      <c r="E501" s="118"/>
      <c r="F501" s="118"/>
      <c r="G501" s="118"/>
      <c r="H501" s="118"/>
      <c r="I501" s="118"/>
      <c r="J501" s="118"/>
      <c r="K501" s="118"/>
      <c r="L501" s="118"/>
      <c r="M501" s="118"/>
      <c r="N501" s="42"/>
      <c r="O501" s="42"/>
      <c r="P501" s="42"/>
      <c r="Q501" s="42"/>
      <c r="R501" s="42"/>
      <c r="S501" s="3"/>
      <c r="T501" s="3"/>
      <c r="U501" s="3"/>
      <c r="V501" s="3"/>
      <c r="W501" s="3"/>
      <c r="X501" s="3"/>
      <c r="Y501" s="3"/>
      <c r="Z501" s="3"/>
      <c r="AA501" s="3"/>
      <c r="AB501" s="3"/>
      <c r="AC501" s="3"/>
      <c r="AD501" s="3"/>
      <c r="AE501" s="3"/>
      <c r="AF501" s="3"/>
      <c r="AG501" s="3"/>
      <c r="AH501" s="3"/>
      <c r="AI501" s="3"/>
      <c r="AJ501" s="3"/>
      <c r="AK501" s="3"/>
      <c r="AL501" s="3"/>
    </row>
    <row r="502" spans="1:38" ht="14.25" customHeight="1" x14ac:dyDescent="0.2">
      <c r="A502" s="118"/>
      <c r="B502" s="118"/>
      <c r="C502" s="118"/>
      <c r="D502" s="118"/>
      <c r="E502" s="118"/>
      <c r="F502" s="118"/>
      <c r="G502" s="118"/>
      <c r="H502" s="118"/>
      <c r="I502" s="118"/>
      <c r="J502" s="118"/>
      <c r="K502" s="118"/>
      <c r="L502" s="118"/>
      <c r="M502" s="118"/>
      <c r="N502" s="42"/>
      <c r="O502" s="42"/>
      <c r="P502" s="42"/>
      <c r="Q502" s="42"/>
      <c r="R502" s="42"/>
      <c r="S502" s="3"/>
      <c r="T502" s="3"/>
      <c r="U502" s="3"/>
      <c r="V502" s="3"/>
      <c r="W502" s="3"/>
      <c r="X502" s="3"/>
      <c r="Y502" s="3"/>
      <c r="Z502" s="3"/>
      <c r="AA502" s="3"/>
      <c r="AB502" s="3"/>
      <c r="AC502" s="3"/>
      <c r="AD502" s="3"/>
      <c r="AE502" s="3"/>
      <c r="AF502" s="3"/>
      <c r="AG502" s="3"/>
      <c r="AH502" s="3"/>
      <c r="AI502" s="3"/>
      <c r="AJ502" s="3"/>
      <c r="AK502" s="3"/>
      <c r="AL502" s="3"/>
    </row>
    <row r="503" spans="1:38" ht="14.25" customHeight="1" x14ac:dyDescent="0.2">
      <c r="A503" s="118"/>
      <c r="B503" s="118"/>
      <c r="C503" s="118"/>
      <c r="D503" s="118"/>
      <c r="E503" s="118"/>
      <c r="F503" s="118"/>
      <c r="G503" s="118"/>
      <c r="H503" s="118"/>
      <c r="I503" s="118"/>
      <c r="J503" s="118"/>
      <c r="K503" s="118"/>
      <c r="L503" s="118"/>
      <c r="M503" s="118"/>
      <c r="N503" s="42"/>
      <c r="O503" s="42"/>
      <c r="P503" s="42"/>
      <c r="Q503" s="42"/>
      <c r="R503" s="42"/>
      <c r="S503" s="3"/>
      <c r="T503" s="3"/>
      <c r="U503" s="3"/>
      <c r="V503" s="3"/>
      <c r="W503" s="3"/>
      <c r="X503" s="3"/>
      <c r="Y503" s="3"/>
      <c r="Z503" s="3"/>
      <c r="AA503" s="3"/>
      <c r="AB503" s="3"/>
      <c r="AC503" s="3"/>
      <c r="AD503" s="3"/>
      <c r="AE503" s="3"/>
      <c r="AF503" s="3"/>
      <c r="AG503" s="3"/>
      <c r="AH503" s="3"/>
      <c r="AI503" s="3"/>
      <c r="AJ503" s="3"/>
      <c r="AK503" s="3"/>
      <c r="AL503" s="3"/>
    </row>
    <row r="504" spans="1:38" ht="14.25" customHeight="1" x14ac:dyDescent="0.2">
      <c r="A504" s="118"/>
      <c r="B504" s="118"/>
      <c r="C504" s="118"/>
      <c r="D504" s="118"/>
      <c r="E504" s="118"/>
      <c r="F504" s="118"/>
      <c r="G504" s="118"/>
      <c r="H504" s="118"/>
      <c r="I504" s="118"/>
      <c r="J504" s="118"/>
      <c r="K504" s="118"/>
      <c r="L504" s="118"/>
      <c r="M504" s="118"/>
      <c r="N504" s="42"/>
      <c r="O504" s="42"/>
      <c r="P504" s="42"/>
      <c r="Q504" s="42"/>
      <c r="R504" s="42"/>
      <c r="S504" s="3"/>
      <c r="T504" s="3"/>
      <c r="U504" s="3"/>
      <c r="V504" s="3"/>
      <c r="W504" s="3"/>
      <c r="X504" s="3"/>
      <c r="Y504" s="3"/>
      <c r="Z504" s="3"/>
      <c r="AA504" s="3"/>
      <c r="AB504" s="3"/>
      <c r="AC504" s="3"/>
      <c r="AD504" s="3"/>
      <c r="AE504" s="3"/>
      <c r="AF504" s="3"/>
      <c r="AG504" s="3"/>
      <c r="AH504" s="3"/>
      <c r="AI504" s="3"/>
      <c r="AJ504" s="3"/>
      <c r="AK504" s="3"/>
      <c r="AL504" s="3"/>
    </row>
    <row r="505" spans="1:38" ht="14.25" customHeight="1" x14ac:dyDescent="0.2">
      <c r="A505" s="118"/>
      <c r="B505" s="118"/>
      <c r="C505" s="118"/>
      <c r="D505" s="118"/>
      <c r="E505" s="118"/>
      <c r="F505" s="118"/>
      <c r="G505" s="118"/>
      <c r="H505" s="118"/>
      <c r="I505" s="118"/>
      <c r="J505" s="118"/>
      <c r="K505" s="118"/>
      <c r="L505" s="118"/>
      <c r="M505" s="118"/>
      <c r="N505" s="42"/>
      <c r="O505" s="42"/>
      <c r="P505" s="42"/>
      <c r="Q505" s="42"/>
      <c r="R505" s="42"/>
      <c r="S505" s="3"/>
      <c r="T505" s="3"/>
      <c r="U505" s="3"/>
      <c r="V505" s="3"/>
      <c r="W505" s="3"/>
      <c r="X505" s="3"/>
      <c r="Y505" s="3"/>
      <c r="Z505" s="3"/>
      <c r="AA505" s="3"/>
      <c r="AB505" s="3"/>
      <c r="AC505" s="3"/>
      <c r="AD505" s="3"/>
      <c r="AE505" s="3"/>
      <c r="AF505" s="3"/>
      <c r="AG505" s="3"/>
      <c r="AH505" s="3"/>
      <c r="AI505" s="3"/>
      <c r="AJ505" s="3"/>
      <c r="AK505" s="3"/>
      <c r="AL505" s="3"/>
    </row>
    <row r="506" spans="1:38" ht="14.25" customHeight="1" x14ac:dyDescent="0.2">
      <c r="A506" s="118"/>
      <c r="B506" s="118"/>
      <c r="C506" s="118"/>
      <c r="D506" s="118"/>
      <c r="E506" s="118"/>
      <c r="F506" s="118"/>
      <c r="G506" s="118"/>
      <c r="H506" s="118"/>
      <c r="I506" s="118"/>
      <c r="J506" s="118"/>
      <c r="K506" s="118"/>
      <c r="L506" s="118"/>
      <c r="M506" s="118"/>
      <c r="N506" s="42"/>
      <c r="O506" s="42"/>
      <c r="P506" s="42"/>
      <c r="Q506" s="42"/>
      <c r="R506" s="42"/>
      <c r="S506" s="3"/>
      <c r="T506" s="3"/>
      <c r="U506" s="3"/>
      <c r="V506" s="3"/>
      <c r="W506" s="3"/>
      <c r="X506" s="3"/>
      <c r="Y506" s="3"/>
      <c r="Z506" s="3"/>
      <c r="AA506" s="3"/>
      <c r="AB506" s="3"/>
      <c r="AC506" s="3"/>
      <c r="AD506" s="3"/>
      <c r="AE506" s="3"/>
      <c r="AF506" s="3"/>
      <c r="AG506" s="3"/>
      <c r="AH506" s="3"/>
      <c r="AI506" s="3"/>
      <c r="AJ506" s="3"/>
      <c r="AK506" s="3"/>
      <c r="AL506" s="3"/>
    </row>
    <row r="507" spans="1:38" ht="14.25" customHeight="1" x14ac:dyDescent="0.2">
      <c r="A507" s="118"/>
      <c r="B507" s="118"/>
      <c r="C507" s="118"/>
      <c r="D507" s="118"/>
      <c r="E507" s="118"/>
      <c r="F507" s="118"/>
      <c r="G507" s="118"/>
      <c r="H507" s="118"/>
      <c r="I507" s="118"/>
      <c r="J507" s="118"/>
      <c r="K507" s="118"/>
      <c r="L507" s="118"/>
      <c r="M507" s="118"/>
      <c r="N507" s="42"/>
      <c r="O507" s="42"/>
      <c r="P507" s="42"/>
      <c r="Q507" s="42"/>
      <c r="R507" s="42"/>
      <c r="S507" s="3"/>
      <c r="T507" s="3"/>
      <c r="U507" s="3"/>
      <c r="V507" s="3"/>
      <c r="W507" s="3"/>
      <c r="X507" s="3"/>
      <c r="Y507" s="3"/>
      <c r="Z507" s="3"/>
      <c r="AA507" s="3"/>
      <c r="AB507" s="3"/>
      <c r="AC507" s="3"/>
      <c r="AD507" s="3"/>
      <c r="AE507" s="3"/>
      <c r="AF507" s="3"/>
      <c r="AG507" s="3"/>
      <c r="AH507" s="3"/>
      <c r="AI507" s="3"/>
      <c r="AJ507" s="3"/>
      <c r="AK507" s="3"/>
      <c r="AL507" s="3"/>
    </row>
    <row r="508" spans="1:38" ht="14.25" customHeight="1" x14ac:dyDescent="0.2">
      <c r="A508" s="118"/>
      <c r="B508" s="118"/>
      <c r="C508" s="118"/>
      <c r="D508" s="118"/>
      <c r="E508" s="118"/>
      <c r="F508" s="118"/>
      <c r="G508" s="118"/>
      <c r="H508" s="118"/>
      <c r="I508" s="118"/>
      <c r="J508" s="118"/>
      <c r="K508" s="118"/>
      <c r="L508" s="118"/>
      <c r="M508" s="118"/>
      <c r="N508" s="42"/>
      <c r="O508" s="42"/>
      <c r="P508" s="42"/>
      <c r="Q508" s="42"/>
      <c r="R508" s="42"/>
      <c r="S508" s="3"/>
      <c r="T508" s="3"/>
      <c r="U508" s="3"/>
      <c r="V508" s="3"/>
      <c r="W508" s="3"/>
      <c r="X508" s="3"/>
      <c r="Y508" s="3"/>
      <c r="Z508" s="3"/>
      <c r="AA508" s="3"/>
      <c r="AB508" s="3"/>
      <c r="AC508" s="3"/>
      <c r="AD508" s="3"/>
      <c r="AE508" s="3"/>
      <c r="AF508" s="3"/>
      <c r="AG508" s="3"/>
      <c r="AH508" s="3"/>
      <c r="AI508" s="3"/>
      <c r="AJ508" s="3"/>
      <c r="AK508" s="3"/>
      <c r="AL508" s="3"/>
    </row>
    <row r="509" spans="1:38" ht="14.25" customHeight="1" x14ac:dyDescent="0.2">
      <c r="A509" s="118"/>
      <c r="B509" s="118"/>
      <c r="C509" s="118"/>
      <c r="D509" s="118"/>
      <c r="E509" s="118"/>
      <c r="F509" s="118"/>
      <c r="G509" s="118"/>
      <c r="H509" s="118"/>
      <c r="I509" s="118"/>
      <c r="J509" s="118"/>
      <c r="K509" s="118"/>
      <c r="L509" s="118"/>
      <c r="M509" s="118"/>
      <c r="N509" s="42"/>
      <c r="O509" s="42"/>
      <c r="P509" s="42"/>
      <c r="Q509" s="42"/>
      <c r="R509" s="42"/>
      <c r="S509" s="3"/>
      <c r="T509" s="3"/>
      <c r="U509" s="3"/>
      <c r="V509" s="3"/>
      <c r="W509" s="3"/>
      <c r="X509" s="3"/>
      <c r="Y509" s="3"/>
      <c r="Z509" s="3"/>
      <c r="AA509" s="3"/>
      <c r="AB509" s="3"/>
      <c r="AC509" s="3"/>
      <c r="AD509" s="3"/>
      <c r="AE509" s="3"/>
      <c r="AF509" s="3"/>
      <c r="AG509" s="3"/>
      <c r="AH509" s="3"/>
      <c r="AI509" s="3"/>
      <c r="AJ509" s="3"/>
      <c r="AK509" s="3"/>
      <c r="AL509" s="3"/>
    </row>
    <row r="510" spans="1:38" ht="14.25" customHeight="1" x14ac:dyDescent="0.2">
      <c r="A510" s="118"/>
      <c r="B510" s="118"/>
      <c r="C510" s="118"/>
      <c r="D510" s="118"/>
      <c r="E510" s="118"/>
      <c r="F510" s="118"/>
      <c r="G510" s="118"/>
      <c r="H510" s="118"/>
      <c r="I510" s="118"/>
      <c r="J510" s="118"/>
      <c r="K510" s="118"/>
      <c r="L510" s="118"/>
      <c r="M510" s="118"/>
      <c r="N510" s="42"/>
      <c r="O510" s="42"/>
      <c r="P510" s="42"/>
      <c r="Q510" s="42"/>
      <c r="R510" s="42"/>
      <c r="S510" s="3"/>
      <c r="T510" s="3"/>
      <c r="U510" s="3"/>
      <c r="V510" s="3"/>
      <c r="W510" s="3"/>
      <c r="X510" s="3"/>
      <c r="Y510" s="3"/>
      <c r="Z510" s="3"/>
      <c r="AA510" s="3"/>
      <c r="AB510" s="3"/>
      <c r="AC510" s="3"/>
      <c r="AD510" s="3"/>
      <c r="AE510" s="3"/>
      <c r="AF510" s="3"/>
      <c r="AG510" s="3"/>
      <c r="AH510" s="3"/>
      <c r="AI510" s="3"/>
      <c r="AJ510" s="3"/>
      <c r="AK510" s="3"/>
      <c r="AL510" s="3"/>
    </row>
    <row r="511" spans="1:38" ht="14.25" customHeight="1" x14ac:dyDescent="0.2">
      <c r="A511" s="118"/>
      <c r="B511" s="118"/>
      <c r="C511" s="118"/>
      <c r="D511" s="118"/>
      <c r="E511" s="118"/>
      <c r="F511" s="118"/>
      <c r="G511" s="118"/>
      <c r="H511" s="118"/>
      <c r="I511" s="118"/>
      <c r="J511" s="118"/>
      <c r="K511" s="118"/>
      <c r="L511" s="118"/>
      <c r="M511" s="118"/>
      <c r="N511" s="42"/>
      <c r="O511" s="42"/>
      <c r="P511" s="42"/>
      <c r="Q511" s="42"/>
      <c r="R511" s="42"/>
      <c r="S511" s="3"/>
      <c r="T511" s="3"/>
      <c r="U511" s="3"/>
      <c r="V511" s="3"/>
      <c r="W511" s="3"/>
      <c r="X511" s="3"/>
      <c r="Y511" s="3"/>
      <c r="Z511" s="3"/>
      <c r="AA511" s="3"/>
      <c r="AB511" s="3"/>
      <c r="AC511" s="3"/>
      <c r="AD511" s="3"/>
      <c r="AE511" s="3"/>
      <c r="AF511" s="3"/>
      <c r="AG511" s="3"/>
      <c r="AH511" s="3"/>
      <c r="AI511" s="3"/>
      <c r="AJ511" s="3"/>
      <c r="AK511" s="3"/>
      <c r="AL511" s="3"/>
    </row>
    <row r="512" spans="1:38" ht="14.25" customHeight="1" x14ac:dyDescent="0.2">
      <c r="A512" s="118"/>
      <c r="B512" s="118"/>
      <c r="C512" s="118"/>
      <c r="D512" s="118"/>
      <c r="E512" s="118"/>
      <c r="F512" s="118"/>
      <c r="G512" s="118"/>
      <c r="H512" s="118"/>
      <c r="I512" s="118"/>
      <c r="J512" s="118"/>
      <c r="K512" s="118"/>
      <c r="L512" s="118"/>
      <c r="M512" s="118"/>
      <c r="N512" s="42"/>
      <c r="O512" s="42"/>
      <c r="P512" s="42"/>
      <c r="Q512" s="42"/>
      <c r="R512" s="42"/>
      <c r="S512" s="3"/>
      <c r="T512" s="3"/>
      <c r="U512" s="3"/>
      <c r="V512" s="3"/>
      <c r="W512" s="3"/>
      <c r="X512" s="3"/>
      <c r="Y512" s="3"/>
      <c r="Z512" s="3"/>
      <c r="AA512" s="3"/>
      <c r="AB512" s="3"/>
      <c r="AC512" s="3"/>
      <c r="AD512" s="3"/>
      <c r="AE512" s="3"/>
      <c r="AF512" s="3"/>
      <c r="AG512" s="3"/>
      <c r="AH512" s="3"/>
      <c r="AI512" s="3"/>
      <c r="AJ512" s="3"/>
      <c r="AK512" s="3"/>
      <c r="AL512" s="3"/>
    </row>
    <row r="513" spans="1:38" ht="14.25" customHeight="1" x14ac:dyDescent="0.2">
      <c r="A513" s="118"/>
      <c r="B513" s="118"/>
      <c r="C513" s="118"/>
      <c r="D513" s="118"/>
      <c r="E513" s="118"/>
      <c r="F513" s="118"/>
      <c r="G513" s="118"/>
      <c r="H513" s="118"/>
      <c r="I513" s="118"/>
      <c r="J513" s="118"/>
      <c r="K513" s="118"/>
      <c r="L513" s="118"/>
      <c r="M513" s="118"/>
      <c r="N513" s="42"/>
      <c r="O513" s="42"/>
      <c r="P513" s="42"/>
      <c r="Q513" s="42"/>
      <c r="R513" s="42"/>
      <c r="S513" s="3"/>
      <c r="T513" s="3"/>
      <c r="U513" s="3"/>
      <c r="V513" s="3"/>
      <c r="W513" s="3"/>
      <c r="X513" s="3"/>
      <c r="Y513" s="3"/>
      <c r="Z513" s="3"/>
      <c r="AA513" s="3"/>
      <c r="AB513" s="3"/>
      <c r="AC513" s="3"/>
      <c r="AD513" s="3"/>
      <c r="AE513" s="3"/>
      <c r="AF513" s="3"/>
      <c r="AG513" s="3"/>
      <c r="AH513" s="3"/>
      <c r="AI513" s="3"/>
      <c r="AJ513" s="3"/>
      <c r="AK513" s="3"/>
      <c r="AL513" s="3"/>
    </row>
    <row r="514" spans="1:38" ht="14.25" customHeight="1" x14ac:dyDescent="0.2">
      <c r="A514" s="118"/>
      <c r="B514" s="118"/>
      <c r="C514" s="118"/>
      <c r="D514" s="118"/>
      <c r="E514" s="118"/>
      <c r="F514" s="118"/>
      <c r="G514" s="118"/>
      <c r="H514" s="118"/>
      <c r="I514" s="118"/>
      <c r="J514" s="118"/>
      <c r="K514" s="118"/>
      <c r="L514" s="118"/>
      <c r="M514" s="118"/>
      <c r="N514" s="42"/>
      <c r="O514" s="42"/>
      <c r="P514" s="42"/>
      <c r="Q514" s="42"/>
      <c r="R514" s="42"/>
      <c r="S514" s="3"/>
      <c r="T514" s="3"/>
      <c r="U514" s="3"/>
      <c r="V514" s="3"/>
      <c r="W514" s="3"/>
      <c r="X514" s="3"/>
      <c r="Y514" s="3"/>
      <c r="Z514" s="3"/>
      <c r="AA514" s="3"/>
      <c r="AB514" s="3"/>
      <c r="AC514" s="3"/>
      <c r="AD514" s="3"/>
      <c r="AE514" s="3"/>
      <c r="AF514" s="3"/>
      <c r="AG514" s="3"/>
      <c r="AH514" s="3"/>
      <c r="AI514" s="3"/>
      <c r="AJ514" s="3"/>
      <c r="AK514" s="3"/>
      <c r="AL514" s="3"/>
    </row>
    <row r="515" spans="1:38" ht="14.25" customHeight="1" x14ac:dyDescent="0.2">
      <c r="A515" s="118"/>
      <c r="B515" s="118"/>
      <c r="C515" s="118"/>
      <c r="D515" s="118"/>
      <c r="E515" s="118"/>
      <c r="F515" s="118"/>
      <c r="G515" s="118"/>
      <c r="H515" s="118"/>
      <c r="I515" s="118"/>
      <c r="J515" s="118"/>
      <c r="K515" s="118"/>
      <c r="L515" s="118"/>
      <c r="M515" s="118"/>
      <c r="N515" s="42"/>
      <c r="O515" s="42"/>
      <c r="P515" s="42"/>
      <c r="Q515" s="42"/>
      <c r="R515" s="42"/>
      <c r="S515" s="3"/>
      <c r="T515" s="3"/>
      <c r="U515" s="3"/>
      <c r="V515" s="3"/>
      <c r="W515" s="3"/>
      <c r="X515" s="3"/>
      <c r="Y515" s="3"/>
      <c r="Z515" s="3"/>
      <c r="AA515" s="3"/>
      <c r="AB515" s="3"/>
      <c r="AC515" s="3"/>
      <c r="AD515" s="3"/>
      <c r="AE515" s="3"/>
      <c r="AF515" s="3"/>
      <c r="AG515" s="3"/>
      <c r="AH515" s="3"/>
      <c r="AI515" s="3"/>
      <c r="AJ515" s="3"/>
      <c r="AK515" s="3"/>
      <c r="AL515" s="3"/>
    </row>
    <row r="516" spans="1:38" ht="14.25" customHeight="1" x14ac:dyDescent="0.2">
      <c r="A516" s="118"/>
      <c r="B516" s="118"/>
      <c r="C516" s="118"/>
      <c r="D516" s="118"/>
      <c r="E516" s="118"/>
      <c r="F516" s="118"/>
      <c r="G516" s="118"/>
      <c r="H516" s="118"/>
      <c r="I516" s="118"/>
      <c r="J516" s="118"/>
      <c r="K516" s="118"/>
      <c r="L516" s="118"/>
      <c r="M516" s="118"/>
      <c r="N516" s="42"/>
      <c r="O516" s="42"/>
      <c r="P516" s="42"/>
      <c r="Q516" s="42"/>
      <c r="R516" s="42"/>
      <c r="S516" s="3"/>
      <c r="T516" s="3"/>
      <c r="U516" s="3"/>
      <c r="V516" s="3"/>
      <c r="W516" s="3"/>
      <c r="X516" s="3"/>
      <c r="Y516" s="3"/>
      <c r="Z516" s="3"/>
      <c r="AA516" s="3"/>
      <c r="AB516" s="3"/>
      <c r="AC516" s="3"/>
      <c r="AD516" s="3"/>
      <c r="AE516" s="3"/>
      <c r="AF516" s="3"/>
      <c r="AG516" s="3"/>
      <c r="AH516" s="3"/>
      <c r="AI516" s="3"/>
      <c r="AJ516" s="3"/>
      <c r="AK516" s="3"/>
      <c r="AL516" s="3"/>
    </row>
    <row r="517" spans="1:38" ht="14.25" customHeight="1" x14ac:dyDescent="0.2">
      <c r="A517" s="118"/>
      <c r="B517" s="118"/>
      <c r="C517" s="118"/>
      <c r="D517" s="118"/>
      <c r="E517" s="118"/>
      <c r="F517" s="118"/>
      <c r="G517" s="118"/>
      <c r="H517" s="118"/>
      <c r="I517" s="118"/>
      <c r="J517" s="118"/>
      <c r="K517" s="118"/>
      <c r="L517" s="118"/>
      <c r="M517" s="118"/>
      <c r="N517" s="42"/>
      <c r="O517" s="42"/>
      <c r="P517" s="42"/>
      <c r="Q517" s="42"/>
      <c r="R517" s="42"/>
      <c r="S517" s="3"/>
      <c r="T517" s="3"/>
      <c r="U517" s="3"/>
      <c r="V517" s="3"/>
      <c r="W517" s="3"/>
      <c r="X517" s="3"/>
      <c r="Y517" s="3"/>
      <c r="Z517" s="3"/>
      <c r="AA517" s="3"/>
      <c r="AB517" s="3"/>
      <c r="AC517" s="3"/>
      <c r="AD517" s="3"/>
      <c r="AE517" s="3"/>
      <c r="AF517" s="3"/>
      <c r="AG517" s="3"/>
      <c r="AH517" s="3"/>
      <c r="AI517" s="3"/>
      <c r="AJ517" s="3"/>
      <c r="AK517" s="3"/>
      <c r="AL517" s="3"/>
    </row>
    <row r="518" spans="1:38" ht="14.25" customHeight="1" x14ac:dyDescent="0.2">
      <c r="A518" s="118"/>
      <c r="B518" s="118"/>
      <c r="C518" s="118"/>
      <c r="D518" s="118"/>
      <c r="E518" s="118"/>
      <c r="F518" s="118"/>
      <c r="G518" s="118"/>
      <c r="H518" s="118"/>
      <c r="I518" s="118"/>
      <c r="J518" s="118"/>
      <c r="K518" s="118"/>
      <c r="L518" s="118"/>
      <c r="M518" s="118"/>
      <c r="N518" s="42"/>
      <c r="O518" s="42"/>
      <c r="P518" s="42"/>
      <c r="Q518" s="42"/>
      <c r="R518" s="42"/>
      <c r="S518" s="3"/>
      <c r="T518" s="3"/>
      <c r="U518" s="3"/>
      <c r="V518" s="3"/>
      <c r="W518" s="3"/>
      <c r="X518" s="3"/>
      <c r="Y518" s="3"/>
      <c r="Z518" s="3"/>
      <c r="AA518" s="3"/>
      <c r="AB518" s="3"/>
      <c r="AC518" s="3"/>
      <c r="AD518" s="3"/>
      <c r="AE518" s="3"/>
      <c r="AF518" s="3"/>
      <c r="AG518" s="3"/>
      <c r="AH518" s="3"/>
      <c r="AI518" s="3"/>
      <c r="AJ518" s="3"/>
      <c r="AK518" s="3"/>
      <c r="AL518" s="3"/>
    </row>
    <row r="519" spans="1:38" ht="14.25" customHeight="1" x14ac:dyDescent="0.2">
      <c r="A519" s="118"/>
      <c r="B519" s="118"/>
      <c r="C519" s="118"/>
      <c r="D519" s="118"/>
      <c r="E519" s="118"/>
      <c r="F519" s="118"/>
      <c r="G519" s="118"/>
      <c r="H519" s="118"/>
      <c r="I519" s="118"/>
      <c r="J519" s="118"/>
      <c r="K519" s="118"/>
      <c r="L519" s="118"/>
      <c r="M519" s="118"/>
      <c r="N519" s="42"/>
      <c r="O519" s="42"/>
      <c r="P519" s="42"/>
      <c r="Q519" s="42"/>
      <c r="R519" s="42"/>
      <c r="S519" s="3"/>
      <c r="T519" s="3"/>
      <c r="U519" s="3"/>
      <c r="V519" s="3"/>
      <c r="W519" s="3"/>
      <c r="X519" s="3"/>
      <c r="Y519" s="3"/>
      <c r="Z519" s="3"/>
      <c r="AA519" s="3"/>
      <c r="AB519" s="3"/>
      <c r="AC519" s="3"/>
      <c r="AD519" s="3"/>
      <c r="AE519" s="3"/>
      <c r="AF519" s="3"/>
      <c r="AG519" s="3"/>
      <c r="AH519" s="3"/>
      <c r="AI519" s="3"/>
      <c r="AJ519" s="3"/>
      <c r="AK519" s="3"/>
      <c r="AL519" s="3"/>
    </row>
    <row r="520" spans="1:38" ht="14.25" customHeight="1" x14ac:dyDescent="0.2">
      <c r="A520" s="118"/>
      <c r="B520" s="118"/>
      <c r="C520" s="118"/>
      <c r="D520" s="118"/>
      <c r="E520" s="118"/>
      <c r="F520" s="118"/>
      <c r="G520" s="118"/>
      <c r="H520" s="118"/>
      <c r="I520" s="118"/>
      <c r="J520" s="118"/>
      <c r="K520" s="118"/>
      <c r="L520" s="118"/>
      <c r="M520" s="118"/>
      <c r="N520" s="42"/>
      <c r="O520" s="42"/>
      <c r="P520" s="42"/>
      <c r="Q520" s="42"/>
      <c r="R520" s="42"/>
      <c r="S520" s="3"/>
      <c r="T520" s="3"/>
      <c r="U520" s="3"/>
      <c r="V520" s="3"/>
      <c r="W520" s="3"/>
      <c r="X520" s="3"/>
      <c r="Y520" s="3"/>
      <c r="Z520" s="3"/>
      <c r="AA520" s="3"/>
      <c r="AB520" s="3"/>
      <c r="AC520" s="3"/>
      <c r="AD520" s="3"/>
      <c r="AE520" s="3"/>
      <c r="AF520" s="3"/>
      <c r="AG520" s="3"/>
      <c r="AH520" s="3"/>
      <c r="AI520" s="3"/>
      <c r="AJ520" s="3"/>
      <c r="AK520" s="3"/>
      <c r="AL520" s="3"/>
    </row>
    <row r="521" spans="1:38" ht="14.25" customHeight="1" x14ac:dyDescent="0.2">
      <c r="A521" s="118"/>
      <c r="B521" s="118"/>
      <c r="C521" s="118"/>
      <c r="D521" s="118"/>
      <c r="E521" s="118"/>
      <c r="F521" s="118"/>
      <c r="G521" s="118"/>
      <c r="H521" s="118"/>
      <c r="I521" s="118"/>
      <c r="J521" s="118"/>
      <c r="K521" s="118"/>
      <c r="L521" s="118"/>
      <c r="M521" s="118"/>
      <c r="N521" s="42"/>
      <c r="O521" s="42"/>
      <c r="P521" s="42"/>
      <c r="Q521" s="42"/>
      <c r="R521" s="42"/>
      <c r="S521" s="3"/>
      <c r="T521" s="3"/>
      <c r="U521" s="3"/>
      <c r="V521" s="3"/>
      <c r="W521" s="3"/>
      <c r="X521" s="3"/>
      <c r="Y521" s="3"/>
      <c r="Z521" s="3"/>
      <c r="AA521" s="3"/>
      <c r="AB521" s="3"/>
      <c r="AC521" s="3"/>
      <c r="AD521" s="3"/>
      <c r="AE521" s="3"/>
      <c r="AF521" s="3"/>
      <c r="AG521" s="3"/>
      <c r="AH521" s="3"/>
      <c r="AI521" s="3"/>
      <c r="AJ521" s="3"/>
      <c r="AK521" s="3"/>
      <c r="AL521" s="3"/>
    </row>
    <row r="522" spans="1:38" ht="14.25" customHeight="1" x14ac:dyDescent="0.2">
      <c r="A522" s="118"/>
      <c r="B522" s="118"/>
      <c r="C522" s="118"/>
      <c r="D522" s="118"/>
      <c r="E522" s="118"/>
      <c r="F522" s="118"/>
      <c r="G522" s="118"/>
      <c r="H522" s="118"/>
      <c r="I522" s="118"/>
      <c r="J522" s="118"/>
      <c r="K522" s="118"/>
      <c r="L522" s="118"/>
      <c r="M522" s="118"/>
      <c r="N522" s="42"/>
      <c r="O522" s="42"/>
      <c r="P522" s="42"/>
      <c r="Q522" s="42"/>
      <c r="R522" s="42"/>
      <c r="S522" s="3"/>
      <c r="T522" s="3"/>
      <c r="U522" s="3"/>
      <c r="V522" s="3"/>
      <c r="W522" s="3"/>
      <c r="X522" s="3"/>
      <c r="Y522" s="3"/>
      <c r="Z522" s="3"/>
      <c r="AA522" s="3"/>
      <c r="AB522" s="3"/>
      <c r="AC522" s="3"/>
      <c r="AD522" s="3"/>
      <c r="AE522" s="3"/>
      <c r="AF522" s="3"/>
      <c r="AG522" s="3"/>
      <c r="AH522" s="3"/>
      <c r="AI522" s="3"/>
      <c r="AJ522" s="3"/>
      <c r="AK522" s="3"/>
      <c r="AL522" s="3"/>
    </row>
    <row r="523" spans="1:38" ht="14.25" customHeight="1" x14ac:dyDescent="0.2">
      <c r="A523" s="118"/>
      <c r="B523" s="118"/>
      <c r="C523" s="118"/>
      <c r="D523" s="118"/>
      <c r="E523" s="118"/>
      <c r="F523" s="118"/>
      <c r="G523" s="118"/>
      <c r="H523" s="118"/>
      <c r="I523" s="118"/>
      <c r="J523" s="118"/>
      <c r="K523" s="118"/>
      <c r="L523" s="118"/>
      <c r="M523" s="118"/>
      <c r="N523" s="42"/>
      <c r="O523" s="42"/>
      <c r="P523" s="42"/>
      <c r="Q523" s="42"/>
      <c r="R523" s="42"/>
      <c r="S523" s="3"/>
      <c r="T523" s="3"/>
      <c r="U523" s="3"/>
      <c r="V523" s="3"/>
      <c r="W523" s="3"/>
      <c r="X523" s="3"/>
      <c r="Y523" s="3"/>
      <c r="Z523" s="3"/>
      <c r="AA523" s="3"/>
      <c r="AB523" s="3"/>
      <c r="AC523" s="3"/>
      <c r="AD523" s="3"/>
      <c r="AE523" s="3"/>
      <c r="AF523" s="3"/>
      <c r="AG523" s="3"/>
      <c r="AH523" s="3"/>
      <c r="AI523" s="3"/>
      <c r="AJ523" s="3"/>
      <c r="AK523" s="3"/>
      <c r="AL523" s="3"/>
    </row>
    <row r="524" spans="1:38" ht="14.25" customHeight="1" x14ac:dyDescent="0.2">
      <c r="A524" s="118"/>
      <c r="B524" s="118"/>
      <c r="C524" s="118"/>
      <c r="D524" s="118"/>
      <c r="E524" s="118"/>
      <c r="F524" s="118"/>
      <c r="G524" s="118"/>
      <c r="H524" s="118"/>
      <c r="I524" s="118"/>
      <c r="J524" s="118"/>
      <c r="K524" s="118"/>
      <c r="L524" s="118"/>
      <c r="M524" s="118"/>
      <c r="N524" s="42"/>
      <c r="O524" s="42"/>
      <c r="P524" s="42"/>
      <c r="Q524" s="42"/>
      <c r="R524" s="42"/>
      <c r="S524" s="3"/>
      <c r="T524" s="3"/>
      <c r="U524" s="3"/>
      <c r="V524" s="3"/>
      <c r="W524" s="3"/>
      <c r="X524" s="3"/>
      <c r="Y524" s="3"/>
      <c r="Z524" s="3"/>
      <c r="AA524" s="3"/>
      <c r="AB524" s="3"/>
      <c r="AC524" s="3"/>
      <c r="AD524" s="3"/>
      <c r="AE524" s="3"/>
      <c r="AF524" s="3"/>
      <c r="AG524" s="3"/>
      <c r="AH524" s="3"/>
      <c r="AI524" s="3"/>
      <c r="AJ524" s="3"/>
      <c r="AK524" s="3"/>
      <c r="AL524" s="3"/>
    </row>
    <row r="525" spans="1:38" ht="14.25" customHeight="1" x14ac:dyDescent="0.2">
      <c r="A525" s="118"/>
      <c r="B525" s="118"/>
      <c r="C525" s="118"/>
      <c r="D525" s="118"/>
      <c r="E525" s="118"/>
      <c r="F525" s="118"/>
      <c r="G525" s="118"/>
      <c r="H525" s="118"/>
      <c r="I525" s="118"/>
      <c r="J525" s="118"/>
      <c r="K525" s="118"/>
      <c r="L525" s="118"/>
      <c r="M525" s="118"/>
      <c r="N525" s="42"/>
      <c r="O525" s="42"/>
      <c r="P525" s="42"/>
      <c r="Q525" s="42"/>
      <c r="R525" s="42"/>
      <c r="S525" s="3"/>
      <c r="T525" s="3"/>
      <c r="U525" s="3"/>
      <c r="V525" s="3"/>
      <c r="W525" s="3"/>
      <c r="X525" s="3"/>
      <c r="Y525" s="3"/>
      <c r="Z525" s="3"/>
      <c r="AA525" s="3"/>
      <c r="AB525" s="3"/>
      <c r="AC525" s="3"/>
      <c r="AD525" s="3"/>
      <c r="AE525" s="3"/>
      <c r="AF525" s="3"/>
      <c r="AG525" s="3"/>
      <c r="AH525" s="3"/>
      <c r="AI525" s="3"/>
      <c r="AJ525" s="3"/>
      <c r="AK525" s="3"/>
      <c r="AL525" s="3"/>
    </row>
    <row r="526" spans="1:38" ht="14.25" customHeight="1" x14ac:dyDescent="0.2">
      <c r="A526" s="118"/>
      <c r="B526" s="118"/>
      <c r="C526" s="118"/>
      <c r="D526" s="118"/>
      <c r="E526" s="118"/>
      <c r="F526" s="118"/>
      <c r="G526" s="118"/>
      <c r="H526" s="118"/>
      <c r="I526" s="118"/>
      <c r="J526" s="118"/>
      <c r="K526" s="118"/>
      <c r="L526" s="118"/>
      <c r="M526" s="118"/>
      <c r="N526" s="42"/>
      <c r="O526" s="42"/>
      <c r="P526" s="42"/>
      <c r="Q526" s="42"/>
      <c r="R526" s="42"/>
      <c r="S526" s="3"/>
      <c r="T526" s="3"/>
      <c r="U526" s="3"/>
      <c r="V526" s="3"/>
      <c r="W526" s="3"/>
      <c r="X526" s="3"/>
      <c r="Y526" s="3"/>
      <c r="Z526" s="3"/>
      <c r="AA526" s="3"/>
      <c r="AB526" s="3"/>
      <c r="AC526" s="3"/>
      <c r="AD526" s="3"/>
      <c r="AE526" s="3"/>
      <c r="AF526" s="3"/>
      <c r="AG526" s="3"/>
      <c r="AH526" s="3"/>
      <c r="AI526" s="3"/>
      <c r="AJ526" s="3"/>
      <c r="AK526" s="3"/>
      <c r="AL526" s="3"/>
    </row>
    <row r="527" spans="1:38" ht="14.25" customHeight="1" x14ac:dyDescent="0.2">
      <c r="A527" s="118"/>
      <c r="B527" s="118"/>
      <c r="C527" s="118"/>
      <c r="D527" s="118"/>
      <c r="E527" s="118"/>
      <c r="F527" s="118"/>
      <c r="G527" s="118"/>
      <c r="H527" s="118"/>
      <c r="I527" s="118"/>
      <c r="J527" s="118"/>
      <c r="K527" s="118"/>
      <c r="L527" s="118"/>
      <c r="M527" s="118"/>
      <c r="N527" s="42"/>
      <c r="O527" s="42"/>
      <c r="P527" s="42"/>
      <c r="Q527" s="42"/>
      <c r="R527" s="42"/>
      <c r="S527" s="3"/>
      <c r="T527" s="3"/>
      <c r="U527" s="3"/>
      <c r="V527" s="3"/>
      <c r="W527" s="3"/>
      <c r="X527" s="3"/>
      <c r="Y527" s="3"/>
      <c r="Z527" s="3"/>
      <c r="AA527" s="3"/>
      <c r="AB527" s="3"/>
      <c r="AC527" s="3"/>
      <c r="AD527" s="3"/>
      <c r="AE527" s="3"/>
      <c r="AF527" s="3"/>
      <c r="AG527" s="3"/>
      <c r="AH527" s="3"/>
      <c r="AI527" s="3"/>
      <c r="AJ527" s="3"/>
      <c r="AK527" s="3"/>
      <c r="AL527" s="3"/>
    </row>
    <row r="528" spans="1:38" ht="14.25" customHeight="1" x14ac:dyDescent="0.2">
      <c r="A528" s="118"/>
      <c r="B528" s="118"/>
      <c r="C528" s="118"/>
      <c r="D528" s="118"/>
      <c r="E528" s="118"/>
      <c r="F528" s="118"/>
      <c r="G528" s="118"/>
      <c r="H528" s="118"/>
      <c r="I528" s="118"/>
      <c r="J528" s="118"/>
      <c r="K528" s="118"/>
      <c r="L528" s="118"/>
      <c r="M528" s="118"/>
      <c r="N528" s="42"/>
      <c r="O528" s="42"/>
      <c r="P528" s="42"/>
      <c r="Q528" s="42"/>
      <c r="R528" s="42"/>
      <c r="S528" s="3"/>
      <c r="T528" s="3"/>
      <c r="U528" s="3"/>
      <c r="V528" s="3"/>
      <c r="W528" s="3"/>
      <c r="X528" s="3"/>
      <c r="Y528" s="3"/>
      <c r="Z528" s="3"/>
      <c r="AA528" s="3"/>
      <c r="AB528" s="3"/>
      <c r="AC528" s="3"/>
      <c r="AD528" s="3"/>
      <c r="AE528" s="3"/>
      <c r="AF528" s="3"/>
      <c r="AG528" s="3"/>
      <c r="AH528" s="3"/>
      <c r="AI528" s="3"/>
      <c r="AJ528" s="3"/>
      <c r="AK528" s="3"/>
      <c r="AL528" s="3"/>
    </row>
    <row r="529" spans="1:38" ht="14.25" customHeight="1" x14ac:dyDescent="0.2">
      <c r="A529" s="118"/>
      <c r="B529" s="118"/>
      <c r="C529" s="118"/>
      <c r="D529" s="118"/>
      <c r="E529" s="118"/>
      <c r="F529" s="118"/>
      <c r="G529" s="118"/>
      <c r="H529" s="118"/>
      <c r="I529" s="118"/>
      <c r="J529" s="118"/>
      <c r="K529" s="118"/>
      <c r="L529" s="118"/>
      <c r="M529" s="118"/>
      <c r="N529" s="42"/>
      <c r="O529" s="42"/>
      <c r="P529" s="42"/>
      <c r="Q529" s="42"/>
      <c r="R529" s="42"/>
      <c r="S529" s="3"/>
      <c r="T529" s="3"/>
      <c r="U529" s="3"/>
      <c r="V529" s="3"/>
      <c r="W529" s="3"/>
      <c r="X529" s="3"/>
      <c r="Y529" s="3"/>
      <c r="Z529" s="3"/>
      <c r="AA529" s="3"/>
      <c r="AB529" s="3"/>
      <c r="AC529" s="3"/>
      <c r="AD529" s="3"/>
      <c r="AE529" s="3"/>
      <c r="AF529" s="3"/>
      <c r="AG529" s="3"/>
      <c r="AH529" s="3"/>
      <c r="AI529" s="3"/>
      <c r="AJ529" s="3"/>
      <c r="AK529" s="3"/>
      <c r="AL529" s="3"/>
    </row>
    <row r="530" spans="1:38" ht="14.25" customHeight="1" x14ac:dyDescent="0.2">
      <c r="A530" s="118"/>
      <c r="B530" s="118"/>
      <c r="C530" s="118"/>
      <c r="D530" s="118"/>
      <c r="E530" s="118"/>
      <c r="F530" s="118"/>
      <c r="G530" s="118"/>
      <c r="H530" s="118"/>
      <c r="I530" s="118"/>
      <c r="J530" s="118"/>
      <c r="K530" s="118"/>
      <c r="L530" s="118"/>
      <c r="M530" s="118"/>
      <c r="N530" s="42"/>
      <c r="O530" s="42"/>
      <c r="P530" s="42"/>
      <c r="Q530" s="42"/>
      <c r="R530" s="42"/>
      <c r="S530" s="3"/>
      <c r="T530" s="3"/>
      <c r="U530" s="3"/>
      <c r="V530" s="3"/>
      <c r="W530" s="3"/>
      <c r="X530" s="3"/>
      <c r="Y530" s="3"/>
      <c r="Z530" s="3"/>
      <c r="AA530" s="3"/>
      <c r="AB530" s="3"/>
      <c r="AC530" s="3"/>
      <c r="AD530" s="3"/>
      <c r="AE530" s="3"/>
      <c r="AF530" s="3"/>
      <c r="AG530" s="3"/>
      <c r="AH530" s="3"/>
      <c r="AI530" s="3"/>
      <c r="AJ530" s="3"/>
      <c r="AK530" s="3"/>
      <c r="AL530" s="3"/>
    </row>
    <row r="531" spans="1:38" ht="14.25" customHeight="1" x14ac:dyDescent="0.2">
      <c r="A531" s="118"/>
      <c r="B531" s="118"/>
      <c r="C531" s="118"/>
      <c r="D531" s="118"/>
      <c r="E531" s="118"/>
      <c r="F531" s="118"/>
      <c r="G531" s="118"/>
      <c r="H531" s="118"/>
      <c r="I531" s="118"/>
      <c r="J531" s="118"/>
      <c r="K531" s="118"/>
      <c r="L531" s="118"/>
      <c r="M531" s="118"/>
      <c r="N531" s="42"/>
      <c r="O531" s="42"/>
      <c r="P531" s="42"/>
      <c r="Q531" s="42"/>
      <c r="R531" s="42"/>
      <c r="S531" s="3"/>
      <c r="T531" s="3"/>
      <c r="U531" s="3"/>
      <c r="V531" s="3"/>
      <c r="W531" s="3"/>
      <c r="X531" s="3"/>
      <c r="Y531" s="3"/>
      <c r="Z531" s="3"/>
      <c r="AA531" s="3"/>
      <c r="AB531" s="3"/>
      <c r="AC531" s="3"/>
      <c r="AD531" s="3"/>
      <c r="AE531" s="3"/>
      <c r="AF531" s="3"/>
      <c r="AG531" s="3"/>
      <c r="AH531" s="3"/>
      <c r="AI531" s="3"/>
      <c r="AJ531" s="3"/>
      <c r="AK531" s="3"/>
      <c r="AL531" s="3"/>
    </row>
    <row r="532" spans="1:38" ht="14.25" customHeight="1" x14ac:dyDescent="0.2">
      <c r="A532" s="118"/>
      <c r="B532" s="118"/>
      <c r="C532" s="118"/>
      <c r="D532" s="118"/>
      <c r="E532" s="118"/>
      <c r="F532" s="118"/>
      <c r="G532" s="118"/>
      <c r="H532" s="118"/>
      <c r="I532" s="118"/>
      <c r="J532" s="118"/>
      <c r="K532" s="118"/>
      <c r="L532" s="118"/>
      <c r="M532" s="118"/>
      <c r="N532" s="42"/>
      <c r="O532" s="42"/>
      <c r="P532" s="42"/>
      <c r="Q532" s="42"/>
      <c r="R532" s="42"/>
      <c r="S532" s="3"/>
      <c r="T532" s="3"/>
      <c r="U532" s="3"/>
      <c r="V532" s="3"/>
      <c r="W532" s="3"/>
      <c r="X532" s="3"/>
      <c r="Y532" s="3"/>
      <c r="Z532" s="3"/>
      <c r="AA532" s="3"/>
      <c r="AB532" s="3"/>
      <c r="AC532" s="3"/>
      <c r="AD532" s="3"/>
      <c r="AE532" s="3"/>
      <c r="AF532" s="3"/>
      <c r="AG532" s="3"/>
      <c r="AH532" s="3"/>
      <c r="AI532" s="3"/>
      <c r="AJ532" s="3"/>
      <c r="AK532" s="3"/>
      <c r="AL532" s="3"/>
    </row>
    <row r="533" spans="1:38" ht="14.25" customHeight="1" x14ac:dyDescent="0.2">
      <c r="A533" s="118"/>
      <c r="B533" s="118"/>
      <c r="C533" s="118"/>
      <c r="D533" s="118"/>
      <c r="E533" s="118"/>
      <c r="F533" s="118"/>
      <c r="G533" s="118"/>
      <c r="H533" s="118"/>
      <c r="I533" s="118"/>
      <c r="J533" s="118"/>
      <c r="K533" s="118"/>
      <c r="L533" s="118"/>
      <c r="M533" s="118"/>
      <c r="N533" s="42"/>
      <c r="O533" s="42"/>
      <c r="P533" s="42"/>
      <c r="Q533" s="42"/>
      <c r="R533" s="42"/>
      <c r="S533" s="3"/>
      <c r="T533" s="3"/>
      <c r="U533" s="3"/>
      <c r="V533" s="3"/>
      <c r="W533" s="3"/>
      <c r="X533" s="3"/>
      <c r="Y533" s="3"/>
      <c r="Z533" s="3"/>
      <c r="AA533" s="3"/>
      <c r="AB533" s="3"/>
      <c r="AC533" s="3"/>
      <c r="AD533" s="3"/>
      <c r="AE533" s="3"/>
      <c r="AF533" s="3"/>
      <c r="AG533" s="3"/>
      <c r="AH533" s="3"/>
      <c r="AI533" s="3"/>
      <c r="AJ533" s="3"/>
      <c r="AK533" s="3"/>
      <c r="AL533" s="3"/>
    </row>
    <row r="534" spans="1:38" ht="14.25" customHeight="1" x14ac:dyDescent="0.2">
      <c r="A534" s="118"/>
      <c r="B534" s="118"/>
      <c r="C534" s="118"/>
      <c r="D534" s="118"/>
      <c r="E534" s="118"/>
      <c r="F534" s="118"/>
      <c r="G534" s="118"/>
      <c r="H534" s="118"/>
      <c r="I534" s="118"/>
      <c r="J534" s="118"/>
      <c r="K534" s="118"/>
      <c r="L534" s="118"/>
      <c r="M534" s="118"/>
      <c r="N534" s="42"/>
      <c r="O534" s="42"/>
      <c r="P534" s="42"/>
      <c r="Q534" s="42"/>
      <c r="R534" s="42"/>
      <c r="S534" s="3"/>
      <c r="T534" s="3"/>
      <c r="U534" s="3"/>
      <c r="V534" s="3"/>
      <c r="W534" s="3"/>
      <c r="X534" s="3"/>
      <c r="Y534" s="3"/>
      <c r="Z534" s="3"/>
      <c r="AA534" s="3"/>
      <c r="AB534" s="3"/>
      <c r="AC534" s="3"/>
      <c r="AD534" s="3"/>
      <c r="AE534" s="3"/>
      <c r="AF534" s="3"/>
      <c r="AG534" s="3"/>
      <c r="AH534" s="3"/>
      <c r="AI534" s="3"/>
      <c r="AJ534" s="3"/>
      <c r="AK534" s="3"/>
      <c r="AL534" s="3"/>
    </row>
    <row r="535" spans="1:38" ht="14.25" customHeight="1" x14ac:dyDescent="0.2">
      <c r="A535" s="118"/>
      <c r="B535" s="118"/>
      <c r="C535" s="118"/>
      <c r="D535" s="118"/>
      <c r="E535" s="118"/>
      <c r="F535" s="118"/>
      <c r="G535" s="118"/>
      <c r="H535" s="118"/>
      <c r="I535" s="118"/>
      <c r="J535" s="118"/>
      <c r="K535" s="118"/>
      <c r="L535" s="118"/>
      <c r="M535" s="118"/>
      <c r="N535" s="42"/>
      <c r="O535" s="42"/>
      <c r="P535" s="42"/>
      <c r="Q535" s="42"/>
      <c r="R535" s="42"/>
      <c r="S535" s="3"/>
      <c r="T535" s="3"/>
      <c r="U535" s="3"/>
      <c r="V535" s="3"/>
      <c r="W535" s="3"/>
      <c r="X535" s="3"/>
      <c r="Y535" s="3"/>
      <c r="Z535" s="3"/>
      <c r="AA535" s="3"/>
      <c r="AB535" s="3"/>
      <c r="AC535" s="3"/>
      <c r="AD535" s="3"/>
      <c r="AE535" s="3"/>
      <c r="AF535" s="3"/>
      <c r="AG535" s="3"/>
      <c r="AH535" s="3"/>
      <c r="AI535" s="3"/>
      <c r="AJ535" s="3"/>
      <c r="AK535" s="3"/>
      <c r="AL535" s="3"/>
    </row>
    <row r="536" spans="1:38" ht="14.25" customHeight="1" x14ac:dyDescent="0.2">
      <c r="A536" s="118"/>
      <c r="B536" s="118"/>
      <c r="C536" s="118"/>
      <c r="D536" s="118"/>
      <c r="E536" s="118"/>
      <c r="F536" s="118"/>
      <c r="G536" s="118"/>
      <c r="H536" s="118"/>
      <c r="I536" s="118"/>
      <c r="J536" s="118"/>
      <c r="K536" s="118"/>
      <c r="L536" s="118"/>
      <c r="M536" s="118"/>
      <c r="N536" s="42"/>
      <c r="O536" s="42"/>
      <c r="P536" s="42"/>
      <c r="Q536" s="42"/>
      <c r="R536" s="42"/>
      <c r="S536" s="3"/>
      <c r="T536" s="3"/>
      <c r="U536" s="3"/>
      <c r="V536" s="3"/>
      <c r="W536" s="3"/>
      <c r="X536" s="3"/>
      <c r="Y536" s="3"/>
      <c r="Z536" s="3"/>
      <c r="AA536" s="3"/>
      <c r="AB536" s="3"/>
      <c r="AC536" s="3"/>
      <c r="AD536" s="3"/>
      <c r="AE536" s="3"/>
      <c r="AF536" s="3"/>
      <c r="AG536" s="3"/>
      <c r="AH536" s="3"/>
      <c r="AI536" s="3"/>
      <c r="AJ536" s="3"/>
      <c r="AK536" s="3"/>
      <c r="AL536" s="3"/>
    </row>
    <row r="537" spans="1:38" ht="14.25" customHeight="1" x14ac:dyDescent="0.2">
      <c r="A537" s="118"/>
      <c r="B537" s="118"/>
      <c r="C537" s="118"/>
      <c r="D537" s="118"/>
      <c r="E537" s="118"/>
      <c r="F537" s="118"/>
      <c r="G537" s="118"/>
      <c r="H537" s="118"/>
      <c r="I537" s="118"/>
      <c r="J537" s="118"/>
      <c r="K537" s="118"/>
      <c r="L537" s="118"/>
      <c r="M537" s="118"/>
      <c r="N537" s="42"/>
      <c r="O537" s="42"/>
      <c r="P537" s="42"/>
      <c r="Q537" s="42"/>
      <c r="R537" s="42"/>
      <c r="S537" s="3"/>
      <c r="T537" s="3"/>
      <c r="U537" s="3"/>
      <c r="V537" s="3"/>
      <c r="W537" s="3"/>
      <c r="X537" s="3"/>
      <c r="Y537" s="3"/>
      <c r="Z537" s="3"/>
      <c r="AA537" s="3"/>
      <c r="AB537" s="3"/>
      <c r="AC537" s="3"/>
      <c r="AD537" s="3"/>
      <c r="AE537" s="3"/>
      <c r="AF537" s="3"/>
      <c r="AG537" s="3"/>
      <c r="AH537" s="3"/>
      <c r="AI537" s="3"/>
      <c r="AJ537" s="3"/>
      <c r="AK537" s="3"/>
      <c r="AL537" s="3"/>
    </row>
    <row r="538" spans="1:38" ht="14.25" customHeight="1" x14ac:dyDescent="0.2">
      <c r="A538" s="118"/>
      <c r="B538" s="118"/>
      <c r="C538" s="118"/>
      <c r="D538" s="118"/>
      <c r="E538" s="118"/>
      <c r="F538" s="118"/>
      <c r="G538" s="118"/>
      <c r="H538" s="118"/>
      <c r="I538" s="118"/>
      <c r="J538" s="118"/>
      <c r="K538" s="118"/>
      <c r="L538" s="118"/>
      <c r="M538" s="118"/>
      <c r="N538" s="42"/>
      <c r="O538" s="42"/>
      <c r="P538" s="42"/>
      <c r="Q538" s="42"/>
      <c r="R538" s="42"/>
      <c r="S538" s="3"/>
      <c r="T538" s="3"/>
      <c r="U538" s="3"/>
      <c r="V538" s="3"/>
      <c r="W538" s="3"/>
      <c r="X538" s="3"/>
      <c r="Y538" s="3"/>
      <c r="Z538" s="3"/>
      <c r="AA538" s="3"/>
      <c r="AB538" s="3"/>
      <c r="AC538" s="3"/>
      <c r="AD538" s="3"/>
      <c r="AE538" s="3"/>
      <c r="AF538" s="3"/>
      <c r="AG538" s="3"/>
      <c r="AH538" s="3"/>
      <c r="AI538" s="3"/>
      <c r="AJ538" s="3"/>
      <c r="AK538" s="3"/>
      <c r="AL538" s="3"/>
    </row>
    <row r="539" spans="1:38" ht="14.25" customHeight="1" x14ac:dyDescent="0.2">
      <c r="A539" s="118"/>
      <c r="B539" s="118"/>
      <c r="C539" s="118"/>
      <c r="D539" s="118"/>
      <c r="E539" s="118"/>
      <c r="F539" s="118"/>
      <c r="G539" s="118"/>
      <c r="H539" s="118"/>
      <c r="I539" s="118"/>
      <c r="J539" s="118"/>
      <c r="K539" s="118"/>
      <c r="L539" s="118"/>
      <c r="M539" s="118"/>
      <c r="N539" s="42"/>
      <c r="O539" s="42"/>
      <c r="P539" s="42"/>
      <c r="Q539" s="42"/>
      <c r="R539" s="42"/>
      <c r="S539" s="3"/>
      <c r="T539" s="3"/>
      <c r="U539" s="3"/>
      <c r="V539" s="3"/>
      <c r="W539" s="3"/>
      <c r="X539" s="3"/>
      <c r="Y539" s="3"/>
      <c r="Z539" s="3"/>
      <c r="AA539" s="3"/>
      <c r="AB539" s="3"/>
      <c r="AC539" s="3"/>
      <c r="AD539" s="3"/>
      <c r="AE539" s="3"/>
      <c r="AF539" s="3"/>
      <c r="AG539" s="3"/>
      <c r="AH539" s="3"/>
      <c r="AI539" s="3"/>
      <c r="AJ539" s="3"/>
      <c r="AK539" s="3"/>
      <c r="AL539" s="3"/>
    </row>
    <row r="540" spans="1:38" ht="14.25" customHeight="1" x14ac:dyDescent="0.2">
      <c r="A540" s="118"/>
      <c r="B540" s="118"/>
      <c r="C540" s="118"/>
      <c r="D540" s="118"/>
      <c r="E540" s="118"/>
      <c r="F540" s="118"/>
      <c r="G540" s="118"/>
      <c r="H540" s="118"/>
      <c r="I540" s="118"/>
      <c r="J540" s="118"/>
      <c r="K540" s="118"/>
      <c r="L540" s="118"/>
      <c r="M540" s="118"/>
      <c r="N540" s="42"/>
      <c r="O540" s="42"/>
      <c r="P540" s="42"/>
      <c r="Q540" s="42"/>
      <c r="R540" s="42"/>
      <c r="S540" s="3"/>
      <c r="T540" s="3"/>
      <c r="U540" s="3"/>
      <c r="V540" s="3"/>
      <c r="W540" s="3"/>
      <c r="X540" s="3"/>
      <c r="Y540" s="3"/>
      <c r="Z540" s="3"/>
      <c r="AA540" s="3"/>
      <c r="AB540" s="3"/>
      <c r="AC540" s="3"/>
      <c r="AD540" s="3"/>
      <c r="AE540" s="3"/>
      <c r="AF540" s="3"/>
      <c r="AG540" s="3"/>
      <c r="AH540" s="3"/>
      <c r="AI540" s="3"/>
      <c r="AJ540" s="3"/>
      <c r="AK540" s="3"/>
      <c r="AL540" s="3"/>
    </row>
    <row r="541" spans="1:38" ht="14.25" customHeight="1" x14ac:dyDescent="0.2">
      <c r="A541" s="118"/>
      <c r="B541" s="118"/>
      <c r="C541" s="118"/>
      <c r="D541" s="118"/>
      <c r="E541" s="118"/>
      <c r="F541" s="118"/>
      <c r="G541" s="118"/>
      <c r="H541" s="118"/>
      <c r="I541" s="118"/>
      <c r="J541" s="118"/>
      <c r="K541" s="118"/>
      <c r="L541" s="118"/>
      <c r="M541" s="118"/>
      <c r="N541" s="42"/>
      <c r="O541" s="42"/>
      <c r="P541" s="42"/>
      <c r="Q541" s="42"/>
      <c r="R541" s="42"/>
      <c r="S541" s="3"/>
      <c r="T541" s="3"/>
      <c r="U541" s="3"/>
      <c r="V541" s="3"/>
      <c r="W541" s="3"/>
      <c r="X541" s="3"/>
      <c r="Y541" s="3"/>
      <c r="Z541" s="3"/>
      <c r="AA541" s="3"/>
      <c r="AB541" s="3"/>
      <c r="AC541" s="3"/>
      <c r="AD541" s="3"/>
      <c r="AE541" s="3"/>
      <c r="AF541" s="3"/>
      <c r="AG541" s="3"/>
      <c r="AH541" s="3"/>
      <c r="AI541" s="3"/>
      <c r="AJ541" s="3"/>
      <c r="AK541" s="3"/>
      <c r="AL541" s="3"/>
    </row>
    <row r="542" spans="1:38" ht="14.25" customHeight="1" x14ac:dyDescent="0.2">
      <c r="A542" s="118"/>
      <c r="B542" s="118"/>
      <c r="C542" s="118"/>
      <c r="D542" s="118"/>
      <c r="E542" s="118"/>
      <c r="F542" s="118"/>
      <c r="G542" s="118"/>
      <c r="H542" s="118"/>
      <c r="I542" s="118"/>
      <c r="J542" s="118"/>
      <c r="K542" s="118"/>
      <c r="L542" s="118"/>
      <c r="M542" s="118"/>
      <c r="N542" s="42"/>
      <c r="O542" s="42"/>
      <c r="P542" s="42"/>
      <c r="Q542" s="42"/>
      <c r="R542" s="42"/>
      <c r="S542" s="3"/>
      <c r="T542" s="3"/>
      <c r="U542" s="3"/>
      <c r="V542" s="3"/>
      <c r="W542" s="3"/>
      <c r="X542" s="3"/>
      <c r="Y542" s="3"/>
      <c r="Z542" s="3"/>
      <c r="AA542" s="3"/>
      <c r="AB542" s="3"/>
      <c r="AC542" s="3"/>
      <c r="AD542" s="3"/>
      <c r="AE542" s="3"/>
      <c r="AF542" s="3"/>
      <c r="AG542" s="3"/>
      <c r="AH542" s="3"/>
      <c r="AI542" s="3"/>
      <c r="AJ542" s="3"/>
      <c r="AK542" s="3"/>
      <c r="AL542" s="3"/>
    </row>
    <row r="543" spans="1:38" ht="14.25" customHeight="1" x14ac:dyDescent="0.2">
      <c r="A543" s="118"/>
      <c r="B543" s="118"/>
      <c r="C543" s="118"/>
      <c r="D543" s="118"/>
      <c r="E543" s="118"/>
      <c r="F543" s="118"/>
      <c r="G543" s="118"/>
      <c r="H543" s="118"/>
      <c r="I543" s="118"/>
      <c r="J543" s="118"/>
      <c r="K543" s="118"/>
      <c r="L543" s="118"/>
      <c r="M543" s="118"/>
      <c r="N543" s="42"/>
      <c r="O543" s="42"/>
      <c r="P543" s="42"/>
      <c r="Q543" s="42"/>
      <c r="R543" s="42"/>
      <c r="S543" s="3"/>
      <c r="T543" s="3"/>
      <c r="U543" s="3"/>
      <c r="V543" s="3"/>
      <c r="W543" s="3"/>
      <c r="X543" s="3"/>
      <c r="Y543" s="3"/>
      <c r="Z543" s="3"/>
      <c r="AA543" s="3"/>
      <c r="AB543" s="3"/>
      <c r="AC543" s="3"/>
      <c r="AD543" s="3"/>
      <c r="AE543" s="3"/>
      <c r="AF543" s="3"/>
      <c r="AG543" s="3"/>
      <c r="AH543" s="3"/>
      <c r="AI543" s="3"/>
      <c r="AJ543" s="3"/>
      <c r="AK543" s="3"/>
      <c r="AL543" s="3"/>
    </row>
    <row r="544" spans="1:38" ht="14.25" customHeight="1" x14ac:dyDescent="0.2">
      <c r="A544" s="118"/>
      <c r="B544" s="118"/>
      <c r="C544" s="118"/>
      <c r="D544" s="118"/>
      <c r="E544" s="118"/>
      <c r="F544" s="118"/>
      <c r="G544" s="118"/>
      <c r="H544" s="118"/>
      <c r="I544" s="118"/>
      <c r="J544" s="118"/>
      <c r="K544" s="118"/>
      <c r="L544" s="118"/>
      <c r="M544" s="118"/>
      <c r="N544" s="42"/>
      <c r="O544" s="42"/>
      <c r="P544" s="42"/>
      <c r="Q544" s="42"/>
      <c r="R544" s="42"/>
      <c r="S544" s="3"/>
      <c r="T544" s="3"/>
      <c r="U544" s="3"/>
      <c r="V544" s="3"/>
      <c r="W544" s="3"/>
      <c r="X544" s="3"/>
      <c r="Y544" s="3"/>
      <c r="Z544" s="3"/>
      <c r="AA544" s="3"/>
      <c r="AB544" s="3"/>
      <c r="AC544" s="3"/>
      <c r="AD544" s="3"/>
      <c r="AE544" s="3"/>
      <c r="AF544" s="3"/>
      <c r="AG544" s="3"/>
      <c r="AH544" s="3"/>
      <c r="AI544" s="3"/>
      <c r="AJ544" s="3"/>
      <c r="AK544" s="3"/>
      <c r="AL544" s="3"/>
    </row>
    <row r="545" spans="1:38" ht="14.25" customHeight="1" x14ac:dyDescent="0.2">
      <c r="A545" s="118"/>
      <c r="B545" s="118"/>
      <c r="C545" s="118"/>
      <c r="D545" s="118"/>
      <c r="E545" s="118"/>
      <c r="F545" s="118"/>
      <c r="G545" s="118"/>
      <c r="H545" s="118"/>
      <c r="I545" s="118"/>
      <c r="J545" s="118"/>
      <c r="K545" s="118"/>
      <c r="L545" s="118"/>
      <c r="M545" s="118"/>
      <c r="N545" s="42"/>
      <c r="O545" s="42"/>
      <c r="P545" s="42"/>
      <c r="Q545" s="42"/>
      <c r="R545" s="42"/>
      <c r="S545" s="3"/>
      <c r="T545" s="3"/>
      <c r="U545" s="3"/>
      <c r="V545" s="3"/>
      <c r="W545" s="3"/>
      <c r="X545" s="3"/>
      <c r="Y545" s="3"/>
      <c r="Z545" s="3"/>
      <c r="AA545" s="3"/>
      <c r="AB545" s="3"/>
      <c r="AC545" s="3"/>
      <c r="AD545" s="3"/>
      <c r="AE545" s="3"/>
      <c r="AF545" s="3"/>
      <c r="AG545" s="3"/>
      <c r="AH545" s="3"/>
      <c r="AI545" s="3"/>
      <c r="AJ545" s="3"/>
      <c r="AK545" s="3"/>
      <c r="AL545" s="3"/>
    </row>
    <row r="546" spans="1:38" ht="14.25" customHeight="1" x14ac:dyDescent="0.2">
      <c r="A546" s="118"/>
      <c r="B546" s="118"/>
      <c r="C546" s="118"/>
      <c r="D546" s="118"/>
      <c r="E546" s="118"/>
      <c r="F546" s="118"/>
      <c r="G546" s="118"/>
      <c r="H546" s="118"/>
      <c r="I546" s="118"/>
      <c r="J546" s="118"/>
      <c r="K546" s="118"/>
      <c r="L546" s="118"/>
      <c r="M546" s="118"/>
      <c r="N546" s="42"/>
      <c r="O546" s="42"/>
      <c r="P546" s="42"/>
      <c r="Q546" s="42"/>
      <c r="R546" s="42"/>
      <c r="S546" s="3"/>
      <c r="T546" s="3"/>
      <c r="U546" s="3"/>
      <c r="V546" s="3"/>
      <c r="W546" s="3"/>
      <c r="X546" s="3"/>
      <c r="Y546" s="3"/>
      <c r="Z546" s="3"/>
      <c r="AA546" s="3"/>
      <c r="AB546" s="3"/>
      <c r="AC546" s="3"/>
      <c r="AD546" s="3"/>
      <c r="AE546" s="3"/>
      <c r="AF546" s="3"/>
      <c r="AG546" s="3"/>
      <c r="AH546" s="3"/>
      <c r="AI546" s="3"/>
      <c r="AJ546" s="3"/>
      <c r="AK546" s="3"/>
      <c r="AL546" s="3"/>
    </row>
    <row r="547" spans="1:38" ht="14.25" customHeight="1" x14ac:dyDescent="0.2">
      <c r="A547" s="118"/>
      <c r="B547" s="118"/>
      <c r="C547" s="118"/>
      <c r="D547" s="118"/>
      <c r="E547" s="118"/>
      <c r="F547" s="118"/>
      <c r="G547" s="118"/>
      <c r="H547" s="118"/>
      <c r="I547" s="118"/>
      <c r="J547" s="118"/>
      <c r="K547" s="118"/>
      <c r="L547" s="118"/>
      <c r="M547" s="118"/>
      <c r="N547" s="42"/>
      <c r="O547" s="42"/>
      <c r="P547" s="42"/>
      <c r="Q547" s="42"/>
      <c r="R547" s="42"/>
      <c r="S547" s="3"/>
      <c r="T547" s="3"/>
      <c r="U547" s="3"/>
      <c r="V547" s="3"/>
      <c r="W547" s="3"/>
      <c r="X547" s="3"/>
      <c r="Y547" s="3"/>
      <c r="Z547" s="3"/>
      <c r="AA547" s="3"/>
      <c r="AB547" s="3"/>
      <c r="AC547" s="3"/>
      <c r="AD547" s="3"/>
      <c r="AE547" s="3"/>
      <c r="AF547" s="3"/>
      <c r="AG547" s="3"/>
      <c r="AH547" s="3"/>
      <c r="AI547" s="3"/>
      <c r="AJ547" s="3"/>
      <c r="AK547" s="3"/>
      <c r="AL547" s="3"/>
    </row>
    <row r="548" spans="1:38" ht="14.25" customHeight="1" x14ac:dyDescent="0.2">
      <c r="A548" s="118"/>
      <c r="B548" s="118"/>
      <c r="C548" s="118"/>
      <c r="D548" s="118"/>
      <c r="E548" s="118"/>
      <c r="F548" s="118"/>
      <c r="G548" s="118"/>
      <c r="H548" s="118"/>
      <c r="I548" s="118"/>
      <c r="J548" s="118"/>
      <c r="K548" s="118"/>
      <c r="L548" s="118"/>
      <c r="M548" s="118"/>
      <c r="N548" s="42"/>
      <c r="O548" s="42"/>
      <c r="P548" s="42"/>
      <c r="Q548" s="42"/>
      <c r="R548" s="42"/>
      <c r="S548" s="3"/>
      <c r="T548" s="3"/>
      <c r="U548" s="3"/>
      <c r="V548" s="3"/>
      <c r="W548" s="3"/>
      <c r="X548" s="3"/>
      <c r="Y548" s="3"/>
      <c r="Z548" s="3"/>
      <c r="AA548" s="3"/>
      <c r="AB548" s="3"/>
      <c r="AC548" s="3"/>
      <c r="AD548" s="3"/>
      <c r="AE548" s="3"/>
      <c r="AF548" s="3"/>
      <c r="AG548" s="3"/>
      <c r="AH548" s="3"/>
      <c r="AI548" s="3"/>
      <c r="AJ548" s="3"/>
      <c r="AK548" s="3"/>
      <c r="AL548" s="3"/>
    </row>
    <row r="549" spans="1:38" ht="14.25" customHeight="1" x14ac:dyDescent="0.2">
      <c r="A549" s="118"/>
      <c r="B549" s="118"/>
      <c r="C549" s="118"/>
      <c r="D549" s="118"/>
      <c r="E549" s="118"/>
      <c r="F549" s="118"/>
      <c r="G549" s="118"/>
      <c r="H549" s="118"/>
      <c r="I549" s="118"/>
      <c r="J549" s="118"/>
      <c r="K549" s="118"/>
      <c r="L549" s="118"/>
      <c r="M549" s="118"/>
      <c r="N549" s="42"/>
      <c r="O549" s="42"/>
      <c r="P549" s="42"/>
      <c r="Q549" s="42"/>
      <c r="R549" s="42"/>
      <c r="S549" s="3"/>
      <c r="T549" s="3"/>
      <c r="U549" s="3"/>
      <c r="V549" s="3"/>
      <c r="W549" s="3"/>
      <c r="X549" s="3"/>
      <c r="Y549" s="3"/>
      <c r="Z549" s="3"/>
      <c r="AA549" s="3"/>
      <c r="AB549" s="3"/>
      <c r="AC549" s="3"/>
      <c r="AD549" s="3"/>
      <c r="AE549" s="3"/>
      <c r="AF549" s="3"/>
      <c r="AG549" s="3"/>
      <c r="AH549" s="3"/>
      <c r="AI549" s="3"/>
      <c r="AJ549" s="3"/>
      <c r="AK549" s="3"/>
      <c r="AL549" s="3"/>
    </row>
    <row r="550" spans="1:38" ht="14.25" customHeight="1" x14ac:dyDescent="0.2">
      <c r="A550" s="118"/>
      <c r="B550" s="118"/>
      <c r="C550" s="118"/>
      <c r="D550" s="118"/>
      <c r="E550" s="118"/>
      <c r="F550" s="118"/>
      <c r="G550" s="118"/>
      <c r="H550" s="118"/>
      <c r="I550" s="118"/>
      <c r="J550" s="118"/>
      <c r="K550" s="118"/>
      <c r="L550" s="118"/>
      <c r="M550" s="118"/>
      <c r="N550" s="42"/>
      <c r="O550" s="42"/>
      <c r="P550" s="42"/>
      <c r="Q550" s="42"/>
      <c r="R550" s="42"/>
      <c r="S550" s="3"/>
      <c r="T550" s="3"/>
      <c r="U550" s="3"/>
      <c r="V550" s="3"/>
      <c r="W550" s="3"/>
      <c r="X550" s="3"/>
      <c r="Y550" s="3"/>
      <c r="Z550" s="3"/>
      <c r="AA550" s="3"/>
      <c r="AB550" s="3"/>
      <c r="AC550" s="3"/>
      <c r="AD550" s="3"/>
      <c r="AE550" s="3"/>
      <c r="AF550" s="3"/>
      <c r="AG550" s="3"/>
      <c r="AH550" s="3"/>
      <c r="AI550" s="3"/>
      <c r="AJ550" s="3"/>
      <c r="AK550" s="3"/>
      <c r="AL550" s="3"/>
    </row>
    <row r="551" spans="1:38" ht="14.25" customHeight="1" x14ac:dyDescent="0.2">
      <c r="A551" s="118"/>
      <c r="B551" s="118"/>
      <c r="C551" s="118"/>
      <c r="D551" s="118"/>
      <c r="E551" s="118"/>
      <c r="F551" s="118"/>
      <c r="G551" s="118"/>
      <c r="H551" s="118"/>
      <c r="I551" s="118"/>
      <c r="J551" s="118"/>
      <c r="K551" s="118"/>
      <c r="L551" s="118"/>
      <c r="M551" s="118"/>
      <c r="N551" s="42"/>
      <c r="O551" s="42"/>
      <c r="P551" s="42"/>
      <c r="Q551" s="42"/>
      <c r="R551" s="42"/>
      <c r="S551" s="3"/>
      <c r="T551" s="3"/>
      <c r="U551" s="3"/>
      <c r="V551" s="3"/>
      <c r="W551" s="3"/>
      <c r="X551" s="3"/>
      <c r="Y551" s="3"/>
      <c r="Z551" s="3"/>
      <c r="AA551" s="3"/>
      <c r="AB551" s="3"/>
      <c r="AC551" s="3"/>
      <c r="AD551" s="3"/>
      <c r="AE551" s="3"/>
      <c r="AF551" s="3"/>
      <c r="AG551" s="3"/>
      <c r="AH551" s="3"/>
      <c r="AI551" s="3"/>
      <c r="AJ551" s="3"/>
      <c r="AK551" s="3"/>
      <c r="AL551" s="3"/>
    </row>
    <row r="552" spans="1:38" ht="14.25" customHeight="1" x14ac:dyDescent="0.2">
      <c r="A552" s="118"/>
      <c r="B552" s="118"/>
      <c r="C552" s="118"/>
      <c r="D552" s="118"/>
      <c r="E552" s="118"/>
      <c r="F552" s="118"/>
      <c r="G552" s="118"/>
      <c r="H552" s="118"/>
      <c r="I552" s="118"/>
      <c r="J552" s="118"/>
      <c r="K552" s="118"/>
      <c r="L552" s="118"/>
      <c r="M552" s="118"/>
      <c r="N552" s="42"/>
      <c r="O552" s="42"/>
      <c r="P552" s="42"/>
      <c r="Q552" s="42"/>
      <c r="R552" s="42"/>
      <c r="S552" s="3"/>
      <c r="T552" s="3"/>
      <c r="U552" s="3"/>
      <c r="V552" s="3"/>
      <c r="W552" s="3"/>
      <c r="X552" s="3"/>
      <c r="Y552" s="3"/>
      <c r="Z552" s="3"/>
      <c r="AA552" s="3"/>
      <c r="AB552" s="3"/>
      <c r="AC552" s="3"/>
      <c r="AD552" s="3"/>
      <c r="AE552" s="3"/>
      <c r="AF552" s="3"/>
      <c r="AG552" s="3"/>
      <c r="AH552" s="3"/>
      <c r="AI552" s="3"/>
      <c r="AJ552" s="3"/>
      <c r="AK552" s="3"/>
      <c r="AL552" s="3"/>
    </row>
    <row r="553" spans="1:38" ht="14.25" customHeight="1" x14ac:dyDescent="0.2">
      <c r="A553" s="118"/>
      <c r="B553" s="118"/>
      <c r="C553" s="118"/>
      <c r="D553" s="118"/>
      <c r="E553" s="118"/>
      <c r="F553" s="118"/>
      <c r="G553" s="118"/>
      <c r="H553" s="118"/>
      <c r="I553" s="118"/>
      <c r="J553" s="118"/>
      <c r="K553" s="118"/>
      <c r="L553" s="118"/>
      <c r="M553" s="118"/>
      <c r="N553" s="42"/>
      <c r="O553" s="42"/>
      <c r="P553" s="42"/>
      <c r="Q553" s="42"/>
      <c r="R553" s="42"/>
      <c r="S553" s="3"/>
      <c r="T553" s="3"/>
      <c r="U553" s="3"/>
      <c r="V553" s="3"/>
      <c r="W553" s="3"/>
      <c r="X553" s="3"/>
      <c r="Y553" s="3"/>
      <c r="Z553" s="3"/>
      <c r="AA553" s="3"/>
      <c r="AB553" s="3"/>
      <c r="AC553" s="3"/>
      <c r="AD553" s="3"/>
      <c r="AE553" s="3"/>
      <c r="AF553" s="3"/>
      <c r="AG553" s="3"/>
      <c r="AH553" s="3"/>
      <c r="AI553" s="3"/>
      <c r="AJ553" s="3"/>
      <c r="AK553" s="3"/>
      <c r="AL553" s="3"/>
    </row>
    <row r="554" spans="1:38" ht="14.25" customHeight="1" x14ac:dyDescent="0.2">
      <c r="A554" s="118"/>
      <c r="B554" s="118"/>
      <c r="C554" s="118"/>
      <c r="D554" s="118"/>
      <c r="E554" s="118"/>
      <c r="F554" s="118"/>
      <c r="G554" s="118"/>
      <c r="H554" s="118"/>
      <c r="I554" s="118"/>
      <c r="J554" s="118"/>
      <c r="K554" s="118"/>
      <c r="L554" s="118"/>
      <c r="M554" s="118"/>
      <c r="N554" s="42"/>
      <c r="O554" s="42"/>
      <c r="P554" s="42"/>
      <c r="Q554" s="42"/>
      <c r="R554" s="42"/>
      <c r="S554" s="3"/>
      <c r="T554" s="3"/>
      <c r="U554" s="3"/>
      <c r="V554" s="3"/>
      <c r="W554" s="3"/>
      <c r="X554" s="3"/>
      <c r="Y554" s="3"/>
      <c r="Z554" s="3"/>
      <c r="AA554" s="3"/>
      <c r="AB554" s="3"/>
      <c r="AC554" s="3"/>
      <c r="AD554" s="3"/>
      <c r="AE554" s="3"/>
      <c r="AF554" s="3"/>
      <c r="AG554" s="3"/>
      <c r="AH554" s="3"/>
      <c r="AI554" s="3"/>
      <c r="AJ554" s="3"/>
      <c r="AK554" s="3"/>
      <c r="AL554" s="3"/>
    </row>
    <row r="555" spans="1:38" ht="14.25" customHeight="1" x14ac:dyDescent="0.2">
      <c r="A555" s="118"/>
      <c r="B555" s="118"/>
      <c r="C555" s="118"/>
      <c r="D555" s="118"/>
      <c r="E555" s="118"/>
      <c r="F555" s="118"/>
      <c r="G555" s="118"/>
      <c r="H555" s="118"/>
      <c r="I555" s="118"/>
      <c r="J555" s="118"/>
      <c r="K555" s="118"/>
      <c r="L555" s="118"/>
      <c r="M555" s="118"/>
      <c r="N555" s="42"/>
      <c r="O555" s="42"/>
      <c r="P555" s="42"/>
      <c r="Q555" s="42"/>
      <c r="R555" s="42"/>
      <c r="S555" s="3"/>
      <c r="T555" s="3"/>
      <c r="U555" s="3"/>
      <c r="V555" s="3"/>
      <c r="W555" s="3"/>
      <c r="X555" s="3"/>
      <c r="Y555" s="3"/>
      <c r="Z555" s="3"/>
      <c r="AA555" s="3"/>
      <c r="AB555" s="3"/>
      <c r="AC555" s="3"/>
      <c r="AD555" s="3"/>
      <c r="AE555" s="3"/>
      <c r="AF555" s="3"/>
      <c r="AG555" s="3"/>
      <c r="AH555" s="3"/>
      <c r="AI555" s="3"/>
      <c r="AJ555" s="3"/>
      <c r="AK555" s="3"/>
      <c r="AL555" s="3"/>
    </row>
    <row r="556" spans="1:38" ht="14.25" customHeight="1" x14ac:dyDescent="0.2">
      <c r="A556" s="118"/>
      <c r="B556" s="118"/>
      <c r="C556" s="118"/>
      <c r="D556" s="118"/>
      <c r="E556" s="118"/>
      <c r="F556" s="118"/>
      <c r="G556" s="118"/>
      <c r="H556" s="118"/>
      <c r="I556" s="118"/>
      <c r="J556" s="118"/>
      <c r="K556" s="118"/>
      <c r="L556" s="118"/>
      <c r="M556" s="118"/>
      <c r="N556" s="42"/>
      <c r="O556" s="42"/>
      <c r="P556" s="42"/>
      <c r="Q556" s="42"/>
      <c r="R556" s="42"/>
      <c r="S556" s="3"/>
      <c r="T556" s="3"/>
      <c r="U556" s="3"/>
      <c r="V556" s="3"/>
      <c r="W556" s="3"/>
      <c r="X556" s="3"/>
      <c r="Y556" s="3"/>
      <c r="Z556" s="3"/>
      <c r="AA556" s="3"/>
      <c r="AB556" s="3"/>
      <c r="AC556" s="3"/>
      <c r="AD556" s="3"/>
      <c r="AE556" s="3"/>
      <c r="AF556" s="3"/>
      <c r="AG556" s="3"/>
      <c r="AH556" s="3"/>
      <c r="AI556" s="3"/>
      <c r="AJ556" s="3"/>
      <c r="AK556" s="3"/>
      <c r="AL556" s="3"/>
    </row>
    <row r="557" spans="1:38" ht="14.25" customHeight="1" x14ac:dyDescent="0.2">
      <c r="A557" s="118"/>
      <c r="B557" s="118"/>
      <c r="C557" s="118"/>
      <c r="D557" s="118"/>
      <c r="E557" s="118"/>
      <c r="F557" s="118"/>
      <c r="G557" s="118"/>
      <c r="H557" s="118"/>
      <c r="I557" s="118"/>
      <c r="J557" s="118"/>
      <c r="K557" s="118"/>
      <c r="L557" s="118"/>
      <c r="M557" s="118"/>
      <c r="N557" s="42"/>
      <c r="O557" s="42"/>
      <c r="P557" s="42"/>
      <c r="Q557" s="42"/>
      <c r="R557" s="42"/>
      <c r="S557" s="3"/>
      <c r="T557" s="3"/>
      <c r="U557" s="3"/>
      <c r="V557" s="3"/>
      <c r="W557" s="3"/>
      <c r="X557" s="3"/>
      <c r="Y557" s="3"/>
      <c r="Z557" s="3"/>
      <c r="AA557" s="3"/>
      <c r="AB557" s="3"/>
      <c r="AC557" s="3"/>
      <c r="AD557" s="3"/>
      <c r="AE557" s="3"/>
      <c r="AF557" s="3"/>
      <c r="AG557" s="3"/>
      <c r="AH557" s="3"/>
      <c r="AI557" s="3"/>
      <c r="AJ557" s="3"/>
      <c r="AK557" s="3"/>
      <c r="AL557" s="3"/>
    </row>
    <row r="558" spans="1:38" ht="14.25" customHeight="1" x14ac:dyDescent="0.2">
      <c r="A558" s="118"/>
      <c r="B558" s="118"/>
      <c r="C558" s="118"/>
      <c r="D558" s="118"/>
      <c r="E558" s="118"/>
      <c r="F558" s="118"/>
      <c r="G558" s="118"/>
      <c r="H558" s="118"/>
      <c r="I558" s="118"/>
      <c r="J558" s="118"/>
      <c r="K558" s="118"/>
      <c r="L558" s="118"/>
      <c r="M558" s="118"/>
      <c r="N558" s="42"/>
      <c r="O558" s="42"/>
      <c r="P558" s="42"/>
      <c r="Q558" s="42"/>
      <c r="R558" s="42"/>
      <c r="S558" s="3"/>
      <c r="T558" s="3"/>
      <c r="U558" s="3"/>
      <c r="V558" s="3"/>
      <c r="W558" s="3"/>
      <c r="X558" s="3"/>
      <c r="Y558" s="3"/>
      <c r="Z558" s="3"/>
      <c r="AA558" s="3"/>
      <c r="AB558" s="3"/>
      <c r="AC558" s="3"/>
      <c r="AD558" s="3"/>
      <c r="AE558" s="3"/>
      <c r="AF558" s="3"/>
      <c r="AG558" s="3"/>
      <c r="AH558" s="3"/>
      <c r="AI558" s="3"/>
      <c r="AJ558" s="3"/>
      <c r="AK558" s="3"/>
      <c r="AL558" s="3"/>
    </row>
    <row r="559" spans="1:38" ht="14.25" customHeight="1" x14ac:dyDescent="0.2">
      <c r="A559" s="118"/>
      <c r="B559" s="118"/>
      <c r="C559" s="118"/>
      <c r="D559" s="118"/>
      <c r="E559" s="118"/>
      <c r="F559" s="118"/>
      <c r="G559" s="118"/>
      <c r="H559" s="118"/>
      <c r="I559" s="118"/>
      <c r="J559" s="118"/>
      <c r="K559" s="118"/>
      <c r="L559" s="118"/>
      <c r="M559" s="118"/>
      <c r="N559" s="42"/>
      <c r="O559" s="42"/>
      <c r="P559" s="42"/>
      <c r="Q559" s="42"/>
      <c r="R559" s="42"/>
      <c r="S559" s="3"/>
      <c r="T559" s="3"/>
      <c r="U559" s="3"/>
      <c r="V559" s="3"/>
      <c r="W559" s="3"/>
      <c r="X559" s="3"/>
      <c r="Y559" s="3"/>
      <c r="Z559" s="3"/>
      <c r="AA559" s="3"/>
      <c r="AB559" s="3"/>
      <c r="AC559" s="3"/>
      <c r="AD559" s="3"/>
      <c r="AE559" s="3"/>
      <c r="AF559" s="3"/>
      <c r="AG559" s="3"/>
      <c r="AH559" s="3"/>
      <c r="AI559" s="3"/>
      <c r="AJ559" s="3"/>
      <c r="AK559" s="3"/>
      <c r="AL559" s="3"/>
    </row>
    <row r="560" spans="1:38" ht="14.25" customHeight="1" x14ac:dyDescent="0.2">
      <c r="A560" s="118"/>
      <c r="B560" s="118"/>
      <c r="C560" s="118"/>
      <c r="D560" s="118"/>
      <c r="E560" s="118"/>
      <c r="F560" s="118"/>
      <c r="G560" s="118"/>
      <c r="H560" s="118"/>
      <c r="I560" s="118"/>
      <c r="J560" s="118"/>
      <c r="K560" s="118"/>
      <c r="L560" s="118"/>
      <c r="M560" s="118"/>
      <c r="N560" s="42"/>
      <c r="O560" s="42"/>
      <c r="P560" s="42"/>
      <c r="Q560" s="42"/>
      <c r="R560" s="42"/>
      <c r="S560" s="3"/>
      <c r="T560" s="3"/>
      <c r="U560" s="3"/>
      <c r="V560" s="3"/>
      <c r="W560" s="3"/>
      <c r="X560" s="3"/>
      <c r="Y560" s="3"/>
      <c r="Z560" s="3"/>
      <c r="AA560" s="3"/>
      <c r="AB560" s="3"/>
      <c r="AC560" s="3"/>
      <c r="AD560" s="3"/>
      <c r="AE560" s="3"/>
      <c r="AF560" s="3"/>
      <c r="AG560" s="3"/>
      <c r="AH560" s="3"/>
      <c r="AI560" s="3"/>
      <c r="AJ560" s="3"/>
      <c r="AK560" s="3"/>
      <c r="AL560" s="3"/>
    </row>
    <row r="561" spans="1:38" ht="14.25" customHeight="1" x14ac:dyDescent="0.2">
      <c r="A561" s="118"/>
      <c r="B561" s="118"/>
      <c r="C561" s="118"/>
      <c r="D561" s="118"/>
      <c r="E561" s="118"/>
      <c r="F561" s="118"/>
      <c r="G561" s="118"/>
      <c r="H561" s="118"/>
      <c r="I561" s="118"/>
      <c r="J561" s="118"/>
      <c r="K561" s="118"/>
      <c r="L561" s="118"/>
      <c r="M561" s="118"/>
      <c r="N561" s="42"/>
      <c r="O561" s="42"/>
      <c r="P561" s="42"/>
      <c r="Q561" s="42"/>
      <c r="R561" s="42"/>
      <c r="S561" s="3"/>
      <c r="T561" s="3"/>
      <c r="U561" s="3"/>
      <c r="V561" s="3"/>
      <c r="W561" s="3"/>
      <c r="X561" s="3"/>
      <c r="Y561" s="3"/>
      <c r="Z561" s="3"/>
      <c r="AA561" s="3"/>
      <c r="AB561" s="3"/>
      <c r="AC561" s="3"/>
      <c r="AD561" s="3"/>
      <c r="AE561" s="3"/>
      <c r="AF561" s="3"/>
      <c r="AG561" s="3"/>
      <c r="AH561" s="3"/>
      <c r="AI561" s="3"/>
      <c r="AJ561" s="3"/>
      <c r="AK561" s="3"/>
      <c r="AL561" s="3"/>
    </row>
    <row r="562" spans="1:38" ht="14.25" customHeight="1" x14ac:dyDescent="0.2">
      <c r="A562" s="118"/>
      <c r="B562" s="118"/>
      <c r="C562" s="118"/>
      <c r="D562" s="118"/>
      <c r="E562" s="118"/>
      <c r="F562" s="118"/>
      <c r="G562" s="118"/>
      <c r="H562" s="118"/>
      <c r="I562" s="118"/>
      <c r="J562" s="118"/>
      <c r="K562" s="118"/>
      <c r="L562" s="118"/>
      <c r="M562" s="118"/>
      <c r="N562" s="42"/>
      <c r="O562" s="42"/>
      <c r="P562" s="42"/>
      <c r="Q562" s="42"/>
      <c r="R562" s="42"/>
      <c r="S562" s="3"/>
      <c r="T562" s="3"/>
      <c r="U562" s="3"/>
      <c r="V562" s="3"/>
      <c r="W562" s="3"/>
      <c r="X562" s="3"/>
      <c r="Y562" s="3"/>
      <c r="Z562" s="3"/>
      <c r="AA562" s="3"/>
      <c r="AB562" s="3"/>
      <c r="AC562" s="3"/>
      <c r="AD562" s="3"/>
      <c r="AE562" s="3"/>
      <c r="AF562" s="3"/>
      <c r="AG562" s="3"/>
      <c r="AH562" s="3"/>
      <c r="AI562" s="3"/>
      <c r="AJ562" s="3"/>
      <c r="AK562" s="3"/>
      <c r="AL562" s="3"/>
    </row>
    <row r="563" spans="1:38" ht="14.25" customHeight="1" x14ac:dyDescent="0.2">
      <c r="A563" s="118"/>
      <c r="B563" s="118"/>
      <c r="C563" s="118"/>
      <c r="D563" s="118"/>
      <c r="E563" s="118"/>
      <c r="F563" s="118"/>
      <c r="G563" s="118"/>
      <c r="H563" s="118"/>
      <c r="I563" s="118"/>
      <c r="J563" s="118"/>
      <c r="K563" s="118"/>
      <c r="L563" s="118"/>
      <c r="M563" s="118"/>
      <c r="N563" s="42"/>
      <c r="O563" s="42"/>
      <c r="P563" s="42"/>
      <c r="Q563" s="42"/>
      <c r="R563" s="42"/>
      <c r="S563" s="3"/>
      <c r="T563" s="3"/>
      <c r="U563" s="3"/>
      <c r="V563" s="3"/>
      <c r="W563" s="3"/>
      <c r="X563" s="3"/>
      <c r="Y563" s="3"/>
      <c r="Z563" s="3"/>
      <c r="AA563" s="3"/>
      <c r="AB563" s="3"/>
      <c r="AC563" s="3"/>
      <c r="AD563" s="3"/>
      <c r="AE563" s="3"/>
      <c r="AF563" s="3"/>
      <c r="AG563" s="3"/>
      <c r="AH563" s="3"/>
      <c r="AI563" s="3"/>
      <c r="AJ563" s="3"/>
      <c r="AK563" s="3"/>
      <c r="AL563" s="3"/>
    </row>
    <row r="564" spans="1:38" ht="14.25" customHeight="1" x14ac:dyDescent="0.2">
      <c r="A564" s="118"/>
      <c r="B564" s="118"/>
      <c r="C564" s="118"/>
      <c r="D564" s="118"/>
      <c r="E564" s="118"/>
      <c r="F564" s="118"/>
      <c r="G564" s="118"/>
      <c r="H564" s="118"/>
      <c r="I564" s="118"/>
      <c r="J564" s="118"/>
      <c r="K564" s="118"/>
      <c r="L564" s="118"/>
      <c r="M564" s="118"/>
      <c r="N564" s="42"/>
      <c r="O564" s="42"/>
      <c r="P564" s="42"/>
      <c r="Q564" s="42"/>
      <c r="R564" s="42"/>
      <c r="S564" s="3"/>
      <c r="T564" s="3"/>
      <c r="U564" s="3"/>
      <c r="V564" s="3"/>
      <c r="W564" s="3"/>
      <c r="X564" s="3"/>
      <c r="Y564" s="3"/>
      <c r="Z564" s="3"/>
      <c r="AA564" s="3"/>
      <c r="AB564" s="3"/>
      <c r="AC564" s="3"/>
      <c r="AD564" s="3"/>
      <c r="AE564" s="3"/>
      <c r="AF564" s="3"/>
      <c r="AG564" s="3"/>
      <c r="AH564" s="3"/>
      <c r="AI564" s="3"/>
      <c r="AJ564" s="3"/>
      <c r="AK564" s="3"/>
      <c r="AL564" s="3"/>
    </row>
    <row r="565" spans="1:38" ht="14.25" customHeight="1" x14ac:dyDescent="0.2">
      <c r="A565" s="118"/>
      <c r="B565" s="118"/>
      <c r="C565" s="118"/>
      <c r="D565" s="118"/>
      <c r="E565" s="118"/>
      <c r="F565" s="118"/>
      <c r="G565" s="118"/>
      <c r="H565" s="118"/>
      <c r="I565" s="118"/>
      <c r="J565" s="118"/>
      <c r="K565" s="118"/>
      <c r="L565" s="118"/>
      <c r="M565" s="118"/>
      <c r="N565" s="42"/>
      <c r="O565" s="42"/>
      <c r="P565" s="42"/>
      <c r="Q565" s="42"/>
      <c r="R565" s="42"/>
      <c r="S565" s="3"/>
      <c r="T565" s="3"/>
      <c r="U565" s="3"/>
      <c r="V565" s="3"/>
      <c r="W565" s="3"/>
      <c r="X565" s="3"/>
      <c r="Y565" s="3"/>
      <c r="Z565" s="3"/>
      <c r="AA565" s="3"/>
      <c r="AB565" s="3"/>
      <c r="AC565" s="3"/>
      <c r="AD565" s="3"/>
      <c r="AE565" s="3"/>
      <c r="AF565" s="3"/>
      <c r="AG565" s="3"/>
      <c r="AH565" s="3"/>
      <c r="AI565" s="3"/>
      <c r="AJ565" s="3"/>
      <c r="AK565" s="3"/>
      <c r="AL565" s="3"/>
    </row>
    <row r="566" spans="1:38" ht="14.25" customHeight="1" x14ac:dyDescent="0.2">
      <c r="A566" s="118"/>
      <c r="B566" s="118"/>
      <c r="C566" s="118"/>
      <c r="D566" s="118"/>
      <c r="E566" s="118"/>
      <c r="F566" s="118"/>
      <c r="G566" s="118"/>
      <c r="H566" s="118"/>
      <c r="I566" s="118"/>
      <c r="J566" s="118"/>
      <c r="K566" s="118"/>
      <c r="L566" s="118"/>
      <c r="M566" s="118"/>
      <c r="N566" s="42"/>
      <c r="O566" s="42"/>
      <c r="P566" s="42"/>
      <c r="Q566" s="42"/>
      <c r="R566" s="42"/>
      <c r="S566" s="3"/>
      <c r="T566" s="3"/>
      <c r="U566" s="3"/>
      <c r="V566" s="3"/>
      <c r="W566" s="3"/>
      <c r="X566" s="3"/>
      <c r="Y566" s="3"/>
      <c r="Z566" s="3"/>
      <c r="AA566" s="3"/>
      <c r="AB566" s="3"/>
      <c r="AC566" s="3"/>
      <c r="AD566" s="3"/>
      <c r="AE566" s="3"/>
      <c r="AF566" s="3"/>
      <c r="AG566" s="3"/>
      <c r="AH566" s="3"/>
      <c r="AI566" s="3"/>
      <c r="AJ566" s="3"/>
      <c r="AK566" s="3"/>
      <c r="AL566" s="3"/>
    </row>
    <row r="567" spans="1:38" ht="14.25" customHeight="1" x14ac:dyDescent="0.2">
      <c r="A567" s="118"/>
      <c r="B567" s="118"/>
      <c r="C567" s="118"/>
      <c r="D567" s="118"/>
      <c r="E567" s="118"/>
      <c r="F567" s="118"/>
      <c r="G567" s="118"/>
      <c r="H567" s="118"/>
      <c r="I567" s="118"/>
      <c r="J567" s="118"/>
      <c r="K567" s="118"/>
      <c r="L567" s="118"/>
      <c r="M567" s="118"/>
      <c r="N567" s="42"/>
      <c r="O567" s="42"/>
      <c r="P567" s="42"/>
      <c r="Q567" s="42"/>
      <c r="R567" s="42"/>
      <c r="S567" s="3"/>
      <c r="T567" s="3"/>
      <c r="U567" s="3"/>
      <c r="V567" s="3"/>
      <c r="W567" s="3"/>
      <c r="X567" s="3"/>
      <c r="Y567" s="3"/>
      <c r="Z567" s="3"/>
      <c r="AA567" s="3"/>
      <c r="AB567" s="3"/>
      <c r="AC567" s="3"/>
      <c r="AD567" s="3"/>
      <c r="AE567" s="3"/>
      <c r="AF567" s="3"/>
      <c r="AG567" s="3"/>
      <c r="AH567" s="3"/>
      <c r="AI567" s="3"/>
      <c r="AJ567" s="3"/>
      <c r="AK567" s="3"/>
      <c r="AL567" s="3"/>
    </row>
    <row r="568" spans="1:38" ht="14.25" customHeight="1" x14ac:dyDescent="0.2">
      <c r="A568" s="118"/>
      <c r="B568" s="118"/>
      <c r="C568" s="118"/>
      <c r="D568" s="118"/>
      <c r="E568" s="118"/>
      <c r="F568" s="118"/>
      <c r="G568" s="118"/>
      <c r="H568" s="118"/>
      <c r="I568" s="118"/>
      <c r="J568" s="118"/>
      <c r="K568" s="118"/>
      <c r="L568" s="118"/>
      <c r="M568" s="118"/>
      <c r="N568" s="42"/>
      <c r="O568" s="42"/>
      <c r="P568" s="42"/>
      <c r="Q568" s="42"/>
      <c r="R568" s="42"/>
      <c r="S568" s="3"/>
      <c r="T568" s="3"/>
      <c r="U568" s="3"/>
      <c r="V568" s="3"/>
      <c r="W568" s="3"/>
      <c r="X568" s="3"/>
      <c r="Y568" s="3"/>
      <c r="Z568" s="3"/>
      <c r="AA568" s="3"/>
      <c r="AB568" s="3"/>
      <c r="AC568" s="3"/>
      <c r="AD568" s="3"/>
      <c r="AE568" s="3"/>
      <c r="AF568" s="3"/>
      <c r="AG568" s="3"/>
      <c r="AH568" s="3"/>
      <c r="AI568" s="3"/>
      <c r="AJ568" s="3"/>
      <c r="AK568" s="3"/>
      <c r="AL568" s="3"/>
    </row>
    <row r="569" spans="1:38" ht="14.25" customHeight="1" x14ac:dyDescent="0.2">
      <c r="A569" s="118"/>
      <c r="B569" s="118"/>
      <c r="C569" s="118"/>
      <c r="D569" s="118"/>
      <c r="E569" s="118"/>
      <c r="F569" s="118"/>
      <c r="G569" s="118"/>
      <c r="H569" s="118"/>
      <c r="I569" s="118"/>
      <c r="J569" s="118"/>
      <c r="K569" s="118"/>
      <c r="L569" s="118"/>
      <c r="M569" s="118"/>
      <c r="N569" s="42"/>
      <c r="O569" s="42"/>
      <c r="P569" s="42"/>
      <c r="Q569" s="42"/>
      <c r="R569" s="42"/>
      <c r="S569" s="3"/>
      <c r="T569" s="3"/>
      <c r="U569" s="3"/>
      <c r="V569" s="3"/>
      <c r="W569" s="3"/>
      <c r="X569" s="3"/>
      <c r="Y569" s="3"/>
      <c r="Z569" s="3"/>
      <c r="AA569" s="3"/>
      <c r="AB569" s="3"/>
      <c r="AC569" s="3"/>
      <c r="AD569" s="3"/>
      <c r="AE569" s="3"/>
      <c r="AF569" s="3"/>
      <c r="AG569" s="3"/>
      <c r="AH569" s="3"/>
      <c r="AI569" s="3"/>
      <c r="AJ569" s="3"/>
      <c r="AK569" s="3"/>
      <c r="AL569" s="3"/>
    </row>
    <row r="570" spans="1:38" ht="14.25" customHeight="1" x14ac:dyDescent="0.2">
      <c r="A570" s="118"/>
      <c r="B570" s="118"/>
      <c r="C570" s="118"/>
      <c r="D570" s="118"/>
      <c r="E570" s="118"/>
      <c r="F570" s="118"/>
      <c r="G570" s="118"/>
      <c r="H570" s="118"/>
      <c r="I570" s="118"/>
      <c r="J570" s="118"/>
      <c r="K570" s="118"/>
      <c r="L570" s="118"/>
      <c r="M570" s="118"/>
      <c r="N570" s="42"/>
      <c r="O570" s="42"/>
      <c r="P570" s="42"/>
      <c r="Q570" s="42"/>
      <c r="R570" s="42"/>
      <c r="S570" s="3"/>
      <c r="T570" s="3"/>
      <c r="U570" s="3"/>
      <c r="V570" s="3"/>
      <c r="W570" s="3"/>
      <c r="X570" s="3"/>
      <c r="Y570" s="3"/>
      <c r="Z570" s="3"/>
      <c r="AA570" s="3"/>
      <c r="AB570" s="3"/>
      <c r="AC570" s="3"/>
      <c r="AD570" s="3"/>
      <c r="AE570" s="3"/>
      <c r="AF570" s="3"/>
      <c r="AG570" s="3"/>
      <c r="AH570" s="3"/>
      <c r="AI570" s="3"/>
      <c r="AJ570" s="3"/>
      <c r="AK570" s="3"/>
      <c r="AL570" s="3"/>
    </row>
    <row r="571" spans="1:38" ht="14.25" customHeight="1" x14ac:dyDescent="0.2">
      <c r="A571" s="118"/>
      <c r="B571" s="118"/>
      <c r="C571" s="118"/>
      <c r="D571" s="118"/>
      <c r="E571" s="118"/>
      <c r="F571" s="118"/>
      <c r="G571" s="118"/>
      <c r="H571" s="118"/>
      <c r="I571" s="118"/>
      <c r="J571" s="118"/>
      <c r="K571" s="118"/>
      <c r="L571" s="118"/>
      <c r="M571" s="118"/>
      <c r="N571" s="42"/>
      <c r="O571" s="42"/>
      <c r="P571" s="42"/>
      <c r="Q571" s="42"/>
      <c r="R571" s="42"/>
      <c r="S571" s="3"/>
      <c r="T571" s="3"/>
      <c r="U571" s="3"/>
      <c r="V571" s="3"/>
      <c r="W571" s="3"/>
      <c r="X571" s="3"/>
      <c r="Y571" s="3"/>
      <c r="Z571" s="3"/>
      <c r="AA571" s="3"/>
      <c r="AB571" s="3"/>
      <c r="AC571" s="3"/>
      <c r="AD571" s="3"/>
      <c r="AE571" s="3"/>
      <c r="AF571" s="3"/>
      <c r="AG571" s="3"/>
      <c r="AH571" s="3"/>
      <c r="AI571" s="3"/>
      <c r="AJ571" s="3"/>
      <c r="AK571" s="3"/>
      <c r="AL571" s="3"/>
    </row>
    <row r="572" spans="1:38" ht="14.25" customHeight="1" x14ac:dyDescent="0.2">
      <c r="A572" s="118"/>
      <c r="B572" s="118"/>
      <c r="C572" s="118"/>
      <c r="D572" s="118"/>
      <c r="E572" s="118"/>
      <c r="F572" s="118"/>
      <c r="G572" s="118"/>
      <c r="H572" s="118"/>
      <c r="I572" s="118"/>
      <c r="J572" s="118"/>
      <c r="K572" s="118"/>
      <c r="L572" s="118"/>
      <c r="M572" s="118"/>
      <c r="N572" s="42"/>
      <c r="O572" s="42"/>
      <c r="P572" s="42"/>
      <c r="Q572" s="42"/>
      <c r="R572" s="42"/>
      <c r="S572" s="3"/>
      <c r="T572" s="3"/>
      <c r="U572" s="3"/>
      <c r="V572" s="3"/>
      <c r="W572" s="3"/>
      <c r="X572" s="3"/>
      <c r="Y572" s="3"/>
      <c r="Z572" s="3"/>
      <c r="AA572" s="3"/>
      <c r="AB572" s="3"/>
      <c r="AC572" s="3"/>
      <c r="AD572" s="3"/>
      <c r="AE572" s="3"/>
      <c r="AF572" s="3"/>
      <c r="AG572" s="3"/>
      <c r="AH572" s="3"/>
      <c r="AI572" s="3"/>
      <c r="AJ572" s="3"/>
      <c r="AK572" s="3"/>
      <c r="AL572" s="3"/>
    </row>
    <row r="573" spans="1:38" ht="14.25" customHeight="1" x14ac:dyDescent="0.2">
      <c r="A573" s="118"/>
      <c r="B573" s="118"/>
      <c r="C573" s="118"/>
      <c r="D573" s="118"/>
      <c r="E573" s="118"/>
      <c r="F573" s="118"/>
      <c r="G573" s="118"/>
      <c r="H573" s="118"/>
      <c r="I573" s="118"/>
      <c r="J573" s="118"/>
      <c r="K573" s="118"/>
      <c r="L573" s="118"/>
      <c r="M573" s="118"/>
      <c r="N573" s="42"/>
      <c r="O573" s="42"/>
      <c r="P573" s="42"/>
      <c r="Q573" s="42"/>
      <c r="R573" s="42"/>
      <c r="S573" s="3"/>
      <c r="T573" s="3"/>
      <c r="U573" s="3"/>
      <c r="V573" s="3"/>
      <c r="W573" s="3"/>
      <c r="X573" s="3"/>
      <c r="Y573" s="3"/>
      <c r="Z573" s="3"/>
      <c r="AA573" s="3"/>
      <c r="AB573" s="3"/>
      <c r="AC573" s="3"/>
      <c r="AD573" s="3"/>
      <c r="AE573" s="3"/>
      <c r="AF573" s="3"/>
      <c r="AG573" s="3"/>
      <c r="AH573" s="3"/>
      <c r="AI573" s="3"/>
      <c r="AJ573" s="3"/>
      <c r="AK573" s="3"/>
      <c r="AL573" s="3"/>
    </row>
    <row r="574" spans="1:38" ht="14.25" customHeight="1" x14ac:dyDescent="0.2">
      <c r="A574" s="118"/>
      <c r="B574" s="118"/>
      <c r="C574" s="118"/>
      <c r="D574" s="118"/>
      <c r="E574" s="118"/>
      <c r="F574" s="118"/>
      <c r="G574" s="118"/>
      <c r="H574" s="118"/>
      <c r="I574" s="118"/>
      <c r="J574" s="118"/>
      <c r="K574" s="118"/>
      <c r="L574" s="118"/>
      <c r="M574" s="118"/>
      <c r="N574" s="42"/>
      <c r="O574" s="42"/>
      <c r="P574" s="42"/>
      <c r="Q574" s="42"/>
      <c r="R574" s="42"/>
      <c r="S574" s="3"/>
      <c r="T574" s="3"/>
      <c r="U574" s="3"/>
      <c r="V574" s="3"/>
      <c r="W574" s="3"/>
      <c r="X574" s="3"/>
      <c r="Y574" s="3"/>
      <c r="Z574" s="3"/>
      <c r="AA574" s="3"/>
      <c r="AB574" s="3"/>
      <c r="AC574" s="3"/>
      <c r="AD574" s="3"/>
      <c r="AE574" s="3"/>
      <c r="AF574" s="3"/>
      <c r="AG574" s="3"/>
      <c r="AH574" s="3"/>
      <c r="AI574" s="3"/>
      <c r="AJ574" s="3"/>
      <c r="AK574" s="3"/>
      <c r="AL574" s="3"/>
    </row>
    <row r="575" spans="1:38" ht="14.25" customHeight="1" x14ac:dyDescent="0.2">
      <c r="A575" s="118"/>
      <c r="B575" s="118"/>
      <c r="C575" s="118"/>
      <c r="D575" s="118"/>
      <c r="E575" s="118"/>
      <c r="F575" s="118"/>
      <c r="G575" s="118"/>
      <c r="H575" s="118"/>
      <c r="I575" s="118"/>
      <c r="J575" s="118"/>
      <c r="K575" s="118"/>
      <c r="L575" s="118"/>
      <c r="M575" s="118"/>
      <c r="N575" s="42"/>
      <c r="O575" s="42"/>
      <c r="P575" s="42"/>
      <c r="Q575" s="42"/>
      <c r="R575" s="42"/>
      <c r="S575" s="3"/>
      <c r="T575" s="3"/>
      <c r="U575" s="3"/>
      <c r="V575" s="3"/>
      <c r="W575" s="3"/>
      <c r="X575" s="3"/>
      <c r="Y575" s="3"/>
      <c r="Z575" s="3"/>
      <c r="AA575" s="3"/>
      <c r="AB575" s="3"/>
      <c r="AC575" s="3"/>
      <c r="AD575" s="3"/>
      <c r="AE575" s="3"/>
      <c r="AF575" s="3"/>
      <c r="AG575" s="3"/>
      <c r="AH575" s="3"/>
      <c r="AI575" s="3"/>
      <c r="AJ575" s="3"/>
      <c r="AK575" s="3"/>
      <c r="AL575" s="3"/>
    </row>
    <row r="576" spans="1:38" ht="14.25" customHeight="1" x14ac:dyDescent="0.2">
      <c r="A576" s="118"/>
      <c r="B576" s="118"/>
      <c r="C576" s="118"/>
      <c r="D576" s="118"/>
      <c r="E576" s="118"/>
      <c r="F576" s="118"/>
      <c r="G576" s="118"/>
      <c r="H576" s="118"/>
      <c r="I576" s="118"/>
      <c r="J576" s="118"/>
      <c r="K576" s="118"/>
      <c r="L576" s="118"/>
      <c r="M576" s="118"/>
      <c r="N576" s="42"/>
      <c r="O576" s="42"/>
      <c r="P576" s="42"/>
      <c r="Q576" s="42"/>
      <c r="R576" s="42"/>
      <c r="S576" s="3"/>
      <c r="T576" s="3"/>
      <c r="U576" s="3"/>
      <c r="V576" s="3"/>
      <c r="W576" s="3"/>
      <c r="X576" s="3"/>
      <c r="Y576" s="3"/>
      <c r="Z576" s="3"/>
      <c r="AA576" s="3"/>
      <c r="AB576" s="3"/>
      <c r="AC576" s="3"/>
      <c r="AD576" s="3"/>
      <c r="AE576" s="3"/>
      <c r="AF576" s="3"/>
      <c r="AG576" s="3"/>
      <c r="AH576" s="3"/>
      <c r="AI576" s="3"/>
      <c r="AJ576" s="3"/>
      <c r="AK576" s="3"/>
      <c r="AL576" s="3"/>
    </row>
    <row r="577" spans="1:38" ht="14.25" customHeight="1" x14ac:dyDescent="0.2">
      <c r="A577" s="118"/>
      <c r="B577" s="118"/>
      <c r="C577" s="118"/>
      <c r="D577" s="118"/>
      <c r="E577" s="118"/>
      <c r="F577" s="118"/>
      <c r="G577" s="118"/>
      <c r="H577" s="118"/>
      <c r="I577" s="118"/>
      <c r="J577" s="118"/>
      <c r="K577" s="118"/>
      <c r="L577" s="118"/>
      <c r="M577" s="118"/>
      <c r="N577" s="42"/>
      <c r="O577" s="42"/>
      <c r="P577" s="42"/>
      <c r="Q577" s="42"/>
      <c r="R577" s="42"/>
      <c r="S577" s="3"/>
      <c r="T577" s="3"/>
      <c r="U577" s="3"/>
      <c r="V577" s="3"/>
      <c r="W577" s="3"/>
      <c r="X577" s="3"/>
      <c r="Y577" s="3"/>
      <c r="Z577" s="3"/>
      <c r="AA577" s="3"/>
      <c r="AB577" s="3"/>
      <c r="AC577" s="3"/>
      <c r="AD577" s="3"/>
      <c r="AE577" s="3"/>
      <c r="AF577" s="3"/>
      <c r="AG577" s="3"/>
      <c r="AH577" s="3"/>
      <c r="AI577" s="3"/>
      <c r="AJ577" s="3"/>
      <c r="AK577" s="3"/>
      <c r="AL577" s="3"/>
    </row>
    <row r="578" spans="1:38" ht="14.25" customHeight="1" x14ac:dyDescent="0.2">
      <c r="A578" s="118"/>
      <c r="B578" s="118"/>
      <c r="C578" s="118"/>
      <c r="D578" s="118"/>
      <c r="E578" s="118"/>
      <c r="F578" s="118"/>
      <c r="G578" s="118"/>
      <c r="H578" s="118"/>
      <c r="I578" s="118"/>
      <c r="J578" s="118"/>
      <c r="K578" s="118"/>
      <c r="L578" s="118"/>
      <c r="M578" s="118"/>
      <c r="N578" s="42"/>
      <c r="O578" s="42"/>
      <c r="P578" s="42"/>
      <c r="Q578" s="42"/>
      <c r="R578" s="42"/>
      <c r="S578" s="3"/>
      <c r="T578" s="3"/>
      <c r="U578" s="3"/>
      <c r="V578" s="3"/>
      <c r="W578" s="3"/>
      <c r="X578" s="3"/>
      <c r="Y578" s="3"/>
      <c r="Z578" s="3"/>
      <c r="AA578" s="3"/>
      <c r="AB578" s="3"/>
      <c r="AC578" s="3"/>
      <c r="AD578" s="3"/>
      <c r="AE578" s="3"/>
      <c r="AF578" s="3"/>
      <c r="AG578" s="3"/>
      <c r="AH578" s="3"/>
      <c r="AI578" s="3"/>
      <c r="AJ578" s="3"/>
      <c r="AK578" s="3"/>
      <c r="AL578" s="3"/>
    </row>
    <row r="579" spans="1:38" ht="14.25" customHeight="1" x14ac:dyDescent="0.2">
      <c r="A579" s="118"/>
      <c r="B579" s="118"/>
      <c r="C579" s="118"/>
      <c r="D579" s="118"/>
      <c r="E579" s="118"/>
      <c r="F579" s="118"/>
      <c r="G579" s="118"/>
      <c r="H579" s="118"/>
      <c r="I579" s="118"/>
      <c r="J579" s="118"/>
      <c r="K579" s="118"/>
      <c r="L579" s="118"/>
      <c r="M579" s="118"/>
      <c r="N579" s="42"/>
      <c r="O579" s="42"/>
      <c r="P579" s="42"/>
      <c r="Q579" s="42"/>
      <c r="R579" s="42"/>
      <c r="S579" s="3"/>
      <c r="T579" s="3"/>
      <c r="U579" s="3"/>
      <c r="V579" s="3"/>
      <c r="W579" s="3"/>
      <c r="X579" s="3"/>
      <c r="Y579" s="3"/>
      <c r="Z579" s="3"/>
      <c r="AA579" s="3"/>
      <c r="AB579" s="3"/>
      <c r="AC579" s="3"/>
      <c r="AD579" s="3"/>
      <c r="AE579" s="3"/>
      <c r="AF579" s="3"/>
      <c r="AG579" s="3"/>
      <c r="AH579" s="3"/>
      <c r="AI579" s="3"/>
      <c r="AJ579" s="3"/>
      <c r="AK579" s="3"/>
      <c r="AL579" s="3"/>
    </row>
    <row r="580" spans="1:38" ht="14.25" customHeight="1" x14ac:dyDescent="0.2">
      <c r="A580" s="118"/>
      <c r="B580" s="118"/>
      <c r="C580" s="118"/>
      <c r="D580" s="118"/>
      <c r="E580" s="118"/>
      <c r="F580" s="118"/>
      <c r="G580" s="118"/>
      <c r="H580" s="118"/>
      <c r="I580" s="118"/>
      <c r="J580" s="118"/>
      <c r="K580" s="118"/>
      <c r="L580" s="118"/>
      <c r="M580" s="118"/>
      <c r="N580" s="42"/>
      <c r="O580" s="42"/>
      <c r="P580" s="42"/>
      <c r="Q580" s="42"/>
      <c r="R580" s="42"/>
      <c r="S580" s="3"/>
      <c r="T580" s="3"/>
      <c r="U580" s="3"/>
      <c r="V580" s="3"/>
      <c r="W580" s="3"/>
      <c r="X580" s="3"/>
      <c r="Y580" s="3"/>
      <c r="Z580" s="3"/>
      <c r="AA580" s="3"/>
      <c r="AB580" s="3"/>
      <c r="AC580" s="3"/>
      <c r="AD580" s="3"/>
      <c r="AE580" s="3"/>
      <c r="AF580" s="3"/>
      <c r="AG580" s="3"/>
      <c r="AH580" s="3"/>
      <c r="AI580" s="3"/>
      <c r="AJ580" s="3"/>
      <c r="AK580" s="3"/>
      <c r="AL580" s="3"/>
    </row>
    <row r="581" spans="1:38" ht="14.25" customHeight="1" x14ac:dyDescent="0.2">
      <c r="A581" s="118"/>
      <c r="B581" s="118"/>
      <c r="C581" s="118"/>
      <c r="D581" s="118"/>
      <c r="E581" s="118"/>
      <c r="F581" s="118"/>
      <c r="G581" s="118"/>
      <c r="H581" s="118"/>
      <c r="I581" s="118"/>
      <c r="J581" s="118"/>
      <c r="K581" s="118"/>
      <c r="L581" s="118"/>
      <c r="M581" s="118"/>
      <c r="N581" s="42"/>
      <c r="O581" s="42"/>
      <c r="P581" s="42"/>
      <c r="Q581" s="42"/>
      <c r="R581" s="42"/>
      <c r="S581" s="3"/>
      <c r="T581" s="3"/>
      <c r="U581" s="3"/>
      <c r="V581" s="3"/>
      <c r="W581" s="3"/>
      <c r="X581" s="3"/>
      <c r="Y581" s="3"/>
      <c r="Z581" s="3"/>
      <c r="AA581" s="3"/>
      <c r="AB581" s="3"/>
      <c r="AC581" s="3"/>
      <c r="AD581" s="3"/>
      <c r="AE581" s="3"/>
      <c r="AF581" s="3"/>
      <c r="AG581" s="3"/>
      <c r="AH581" s="3"/>
      <c r="AI581" s="3"/>
      <c r="AJ581" s="3"/>
      <c r="AK581" s="3"/>
      <c r="AL581" s="3"/>
    </row>
    <row r="582" spans="1:38" ht="14.25" customHeight="1" x14ac:dyDescent="0.2">
      <c r="A582" s="118"/>
      <c r="B582" s="118"/>
      <c r="C582" s="118"/>
      <c r="D582" s="118"/>
      <c r="E582" s="118"/>
      <c r="F582" s="118"/>
      <c r="G582" s="118"/>
      <c r="H582" s="118"/>
      <c r="I582" s="118"/>
      <c r="J582" s="118"/>
      <c r="K582" s="118"/>
      <c r="L582" s="118"/>
      <c r="M582" s="118"/>
      <c r="N582" s="42"/>
      <c r="O582" s="42"/>
      <c r="P582" s="42"/>
      <c r="Q582" s="42"/>
      <c r="R582" s="42"/>
      <c r="S582" s="3"/>
      <c r="T582" s="3"/>
      <c r="U582" s="3"/>
      <c r="V582" s="3"/>
      <c r="W582" s="3"/>
      <c r="X582" s="3"/>
      <c r="Y582" s="3"/>
      <c r="Z582" s="3"/>
      <c r="AA582" s="3"/>
      <c r="AB582" s="3"/>
      <c r="AC582" s="3"/>
      <c r="AD582" s="3"/>
      <c r="AE582" s="3"/>
      <c r="AF582" s="3"/>
      <c r="AG582" s="3"/>
      <c r="AH582" s="3"/>
      <c r="AI582" s="3"/>
      <c r="AJ582" s="3"/>
      <c r="AK582" s="3"/>
      <c r="AL582" s="3"/>
    </row>
    <row r="583" spans="1:38" ht="14.25" customHeight="1" x14ac:dyDescent="0.2">
      <c r="A583" s="118"/>
      <c r="B583" s="118"/>
      <c r="C583" s="118"/>
      <c r="D583" s="118"/>
      <c r="E583" s="118"/>
      <c r="F583" s="118"/>
      <c r="G583" s="118"/>
      <c r="H583" s="118"/>
      <c r="I583" s="118"/>
      <c r="J583" s="118"/>
      <c r="K583" s="118"/>
      <c r="L583" s="118"/>
      <c r="M583" s="118"/>
      <c r="N583" s="42"/>
      <c r="O583" s="42"/>
      <c r="P583" s="42"/>
      <c r="Q583" s="42"/>
      <c r="R583" s="42"/>
      <c r="S583" s="3"/>
      <c r="T583" s="3"/>
      <c r="U583" s="3"/>
      <c r="V583" s="3"/>
      <c r="W583" s="3"/>
      <c r="X583" s="3"/>
      <c r="Y583" s="3"/>
      <c r="Z583" s="3"/>
      <c r="AA583" s="3"/>
      <c r="AB583" s="3"/>
      <c r="AC583" s="3"/>
      <c r="AD583" s="3"/>
      <c r="AE583" s="3"/>
      <c r="AF583" s="3"/>
      <c r="AG583" s="3"/>
      <c r="AH583" s="3"/>
      <c r="AI583" s="3"/>
      <c r="AJ583" s="3"/>
      <c r="AK583" s="3"/>
      <c r="AL583" s="3"/>
    </row>
    <row r="584" spans="1:38" ht="14.25" customHeight="1" x14ac:dyDescent="0.2">
      <c r="A584" s="118"/>
      <c r="B584" s="118"/>
      <c r="C584" s="118"/>
      <c r="D584" s="118"/>
      <c r="E584" s="118"/>
      <c r="F584" s="118"/>
      <c r="G584" s="118"/>
      <c r="H584" s="118"/>
      <c r="I584" s="118"/>
      <c r="J584" s="118"/>
      <c r="K584" s="118"/>
      <c r="L584" s="118"/>
      <c r="M584" s="118"/>
      <c r="N584" s="42"/>
      <c r="O584" s="42"/>
      <c r="P584" s="42"/>
      <c r="Q584" s="42"/>
      <c r="R584" s="42"/>
      <c r="S584" s="3"/>
      <c r="T584" s="3"/>
      <c r="U584" s="3"/>
      <c r="V584" s="3"/>
      <c r="W584" s="3"/>
      <c r="X584" s="3"/>
      <c r="Y584" s="3"/>
      <c r="Z584" s="3"/>
      <c r="AA584" s="3"/>
      <c r="AB584" s="3"/>
      <c r="AC584" s="3"/>
      <c r="AD584" s="3"/>
      <c r="AE584" s="3"/>
      <c r="AF584" s="3"/>
      <c r="AG584" s="3"/>
      <c r="AH584" s="3"/>
      <c r="AI584" s="3"/>
      <c r="AJ584" s="3"/>
      <c r="AK584" s="3"/>
      <c r="AL584" s="3"/>
    </row>
    <row r="585" spans="1:38" ht="14.25" customHeight="1" x14ac:dyDescent="0.2">
      <c r="A585" s="118"/>
      <c r="B585" s="118"/>
      <c r="C585" s="118"/>
      <c r="D585" s="118"/>
      <c r="E585" s="118"/>
      <c r="F585" s="118"/>
      <c r="G585" s="118"/>
      <c r="H585" s="118"/>
      <c r="I585" s="118"/>
      <c r="J585" s="118"/>
      <c r="K585" s="118"/>
      <c r="L585" s="118"/>
      <c r="M585" s="118"/>
      <c r="N585" s="42"/>
      <c r="O585" s="42"/>
      <c r="P585" s="42"/>
      <c r="Q585" s="42"/>
      <c r="R585" s="42"/>
      <c r="S585" s="3"/>
      <c r="T585" s="3"/>
      <c r="U585" s="3"/>
      <c r="V585" s="3"/>
      <c r="W585" s="3"/>
      <c r="X585" s="3"/>
      <c r="Y585" s="3"/>
      <c r="Z585" s="3"/>
      <c r="AA585" s="3"/>
      <c r="AB585" s="3"/>
      <c r="AC585" s="3"/>
      <c r="AD585" s="3"/>
      <c r="AE585" s="3"/>
      <c r="AF585" s="3"/>
      <c r="AG585" s="3"/>
      <c r="AH585" s="3"/>
      <c r="AI585" s="3"/>
      <c r="AJ585" s="3"/>
      <c r="AK585" s="3"/>
      <c r="AL585" s="3"/>
    </row>
    <row r="586" spans="1:38" ht="14.25" customHeight="1" x14ac:dyDescent="0.2">
      <c r="A586" s="118"/>
      <c r="B586" s="118"/>
      <c r="C586" s="118"/>
      <c r="D586" s="118"/>
      <c r="E586" s="118"/>
      <c r="F586" s="118"/>
      <c r="G586" s="118"/>
      <c r="H586" s="118"/>
      <c r="I586" s="118"/>
      <c r="J586" s="118"/>
      <c r="K586" s="118"/>
      <c r="L586" s="118"/>
      <c r="M586" s="118"/>
      <c r="N586" s="42"/>
      <c r="O586" s="42"/>
      <c r="P586" s="42"/>
      <c r="Q586" s="42"/>
      <c r="R586" s="42"/>
      <c r="S586" s="3"/>
      <c r="T586" s="3"/>
      <c r="U586" s="3"/>
      <c r="V586" s="3"/>
      <c r="W586" s="3"/>
      <c r="X586" s="3"/>
      <c r="Y586" s="3"/>
      <c r="Z586" s="3"/>
      <c r="AA586" s="3"/>
      <c r="AB586" s="3"/>
      <c r="AC586" s="3"/>
      <c r="AD586" s="3"/>
      <c r="AE586" s="3"/>
      <c r="AF586" s="3"/>
      <c r="AG586" s="3"/>
      <c r="AH586" s="3"/>
      <c r="AI586" s="3"/>
      <c r="AJ586" s="3"/>
      <c r="AK586" s="3"/>
      <c r="AL586" s="3"/>
    </row>
    <row r="587" spans="1:38" ht="14.25" customHeight="1" x14ac:dyDescent="0.2">
      <c r="A587" s="118"/>
      <c r="B587" s="118"/>
      <c r="C587" s="118"/>
      <c r="D587" s="118"/>
      <c r="E587" s="118"/>
      <c r="F587" s="118"/>
      <c r="G587" s="118"/>
      <c r="H587" s="118"/>
      <c r="I587" s="118"/>
      <c r="J587" s="118"/>
      <c r="K587" s="118"/>
      <c r="L587" s="118"/>
      <c r="M587" s="118"/>
      <c r="N587" s="42"/>
      <c r="O587" s="42"/>
      <c r="P587" s="42"/>
      <c r="Q587" s="42"/>
      <c r="R587" s="42"/>
      <c r="S587" s="3"/>
      <c r="T587" s="3"/>
      <c r="U587" s="3"/>
      <c r="V587" s="3"/>
      <c r="W587" s="3"/>
      <c r="X587" s="3"/>
      <c r="Y587" s="3"/>
      <c r="Z587" s="3"/>
      <c r="AA587" s="3"/>
      <c r="AB587" s="3"/>
      <c r="AC587" s="3"/>
      <c r="AD587" s="3"/>
      <c r="AE587" s="3"/>
      <c r="AF587" s="3"/>
      <c r="AG587" s="3"/>
      <c r="AH587" s="3"/>
      <c r="AI587" s="3"/>
      <c r="AJ587" s="3"/>
      <c r="AK587" s="3"/>
      <c r="AL587" s="3"/>
    </row>
    <row r="588" spans="1:38" ht="14.25" customHeight="1" x14ac:dyDescent="0.2">
      <c r="A588" s="118"/>
      <c r="B588" s="118"/>
      <c r="C588" s="118"/>
      <c r="D588" s="118"/>
      <c r="E588" s="118"/>
      <c r="F588" s="118"/>
      <c r="G588" s="118"/>
      <c r="H588" s="118"/>
      <c r="I588" s="118"/>
      <c r="J588" s="118"/>
      <c r="K588" s="118"/>
      <c r="L588" s="118"/>
      <c r="M588" s="118"/>
      <c r="N588" s="42"/>
      <c r="O588" s="42"/>
      <c r="P588" s="42"/>
      <c r="Q588" s="42"/>
      <c r="R588" s="42"/>
      <c r="S588" s="3"/>
      <c r="T588" s="3"/>
      <c r="U588" s="3"/>
      <c r="V588" s="3"/>
      <c r="W588" s="3"/>
      <c r="X588" s="3"/>
      <c r="Y588" s="3"/>
      <c r="Z588" s="3"/>
      <c r="AA588" s="3"/>
      <c r="AB588" s="3"/>
      <c r="AC588" s="3"/>
      <c r="AD588" s="3"/>
      <c r="AE588" s="3"/>
      <c r="AF588" s="3"/>
      <c r="AG588" s="3"/>
      <c r="AH588" s="3"/>
      <c r="AI588" s="3"/>
      <c r="AJ588" s="3"/>
      <c r="AK588" s="3"/>
      <c r="AL588" s="3"/>
    </row>
    <row r="589" spans="1:38" ht="14.25" customHeight="1" x14ac:dyDescent="0.2">
      <c r="A589" s="118"/>
      <c r="B589" s="118"/>
      <c r="C589" s="118"/>
      <c r="D589" s="118"/>
      <c r="E589" s="118"/>
      <c r="F589" s="118"/>
      <c r="G589" s="118"/>
      <c r="H589" s="118"/>
      <c r="I589" s="118"/>
      <c r="J589" s="118"/>
      <c r="K589" s="118"/>
      <c r="L589" s="118"/>
      <c r="M589" s="118"/>
      <c r="N589" s="42"/>
      <c r="O589" s="42"/>
      <c r="P589" s="42"/>
      <c r="Q589" s="42"/>
      <c r="R589" s="42"/>
      <c r="S589" s="3"/>
      <c r="T589" s="3"/>
      <c r="U589" s="3"/>
      <c r="V589" s="3"/>
      <c r="W589" s="3"/>
      <c r="X589" s="3"/>
      <c r="Y589" s="3"/>
      <c r="Z589" s="3"/>
      <c r="AA589" s="3"/>
      <c r="AB589" s="3"/>
      <c r="AC589" s="3"/>
      <c r="AD589" s="3"/>
      <c r="AE589" s="3"/>
      <c r="AF589" s="3"/>
      <c r="AG589" s="3"/>
      <c r="AH589" s="3"/>
      <c r="AI589" s="3"/>
      <c r="AJ589" s="3"/>
      <c r="AK589" s="3"/>
      <c r="AL589" s="3"/>
    </row>
    <row r="590" spans="1:38" ht="14.25" customHeight="1" x14ac:dyDescent="0.2">
      <c r="A590" s="118"/>
      <c r="B590" s="118"/>
      <c r="C590" s="118"/>
      <c r="D590" s="118"/>
      <c r="E590" s="118"/>
      <c r="F590" s="118"/>
      <c r="G590" s="118"/>
      <c r="H590" s="118"/>
      <c r="I590" s="118"/>
      <c r="J590" s="118"/>
      <c r="K590" s="118"/>
      <c r="L590" s="118"/>
      <c r="M590" s="118"/>
      <c r="N590" s="42"/>
      <c r="O590" s="42"/>
      <c r="P590" s="42"/>
      <c r="Q590" s="42"/>
      <c r="R590" s="42"/>
      <c r="S590" s="3"/>
      <c r="T590" s="3"/>
      <c r="U590" s="3"/>
      <c r="V590" s="3"/>
      <c r="W590" s="3"/>
      <c r="X590" s="3"/>
      <c r="Y590" s="3"/>
      <c r="Z590" s="3"/>
      <c r="AA590" s="3"/>
      <c r="AB590" s="3"/>
      <c r="AC590" s="3"/>
      <c r="AD590" s="3"/>
      <c r="AE590" s="3"/>
      <c r="AF590" s="3"/>
      <c r="AG590" s="3"/>
      <c r="AH590" s="3"/>
      <c r="AI590" s="3"/>
      <c r="AJ590" s="3"/>
      <c r="AK590" s="3"/>
      <c r="AL590" s="3"/>
    </row>
    <row r="591" spans="1:38" ht="14.25" customHeight="1" x14ac:dyDescent="0.2">
      <c r="A591" s="118"/>
      <c r="B591" s="118"/>
      <c r="C591" s="118"/>
      <c r="D591" s="118"/>
      <c r="E591" s="118"/>
      <c r="F591" s="118"/>
      <c r="G591" s="118"/>
      <c r="H591" s="118"/>
      <c r="I591" s="118"/>
      <c r="J591" s="118"/>
      <c r="K591" s="118"/>
      <c r="L591" s="118"/>
      <c r="M591" s="118"/>
      <c r="N591" s="42"/>
      <c r="O591" s="42"/>
      <c r="P591" s="42"/>
      <c r="Q591" s="42"/>
      <c r="R591" s="42"/>
      <c r="S591" s="3"/>
      <c r="T591" s="3"/>
      <c r="U591" s="3"/>
      <c r="V591" s="3"/>
      <c r="W591" s="3"/>
      <c r="X591" s="3"/>
      <c r="Y591" s="3"/>
      <c r="Z591" s="3"/>
      <c r="AA591" s="3"/>
      <c r="AB591" s="3"/>
      <c r="AC591" s="3"/>
      <c r="AD591" s="3"/>
      <c r="AE591" s="3"/>
      <c r="AF591" s="3"/>
      <c r="AG591" s="3"/>
      <c r="AH591" s="3"/>
      <c r="AI591" s="3"/>
      <c r="AJ591" s="3"/>
      <c r="AK591" s="3"/>
      <c r="AL591" s="3"/>
    </row>
    <row r="592" spans="1:38" ht="14.25" customHeight="1" x14ac:dyDescent="0.2">
      <c r="A592" s="118"/>
      <c r="B592" s="118"/>
      <c r="C592" s="118"/>
      <c r="D592" s="118"/>
      <c r="E592" s="118"/>
      <c r="F592" s="118"/>
      <c r="G592" s="118"/>
      <c r="H592" s="118"/>
      <c r="I592" s="118"/>
      <c r="J592" s="118"/>
      <c r="K592" s="118"/>
      <c r="L592" s="118"/>
      <c r="M592" s="118"/>
      <c r="N592" s="42"/>
      <c r="O592" s="42"/>
      <c r="P592" s="42"/>
      <c r="Q592" s="42"/>
      <c r="R592" s="42"/>
      <c r="S592" s="3"/>
      <c r="T592" s="3"/>
      <c r="U592" s="3"/>
      <c r="V592" s="3"/>
      <c r="W592" s="3"/>
      <c r="X592" s="3"/>
      <c r="Y592" s="3"/>
      <c r="Z592" s="3"/>
      <c r="AA592" s="3"/>
      <c r="AB592" s="3"/>
      <c r="AC592" s="3"/>
      <c r="AD592" s="3"/>
      <c r="AE592" s="3"/>
      <c r="AF592" s="3"/>
      <c r="AG592" s="3"/>
      <c r="AH592" s="3"/>
      <c r="AI592" s="3"/>
      <c r="AJ592" s="3"/>
      <c r="AK592" s="3"/>
      <c r="AL592" s="3"/>
    </row>
    <row r="593" spans="1:38" ht="14.25" customHeight="1" x14ac:dyDescent="0.2">
      <c r="A593" s="118"/>
      <c r="B593" s="118"/>
      <c r="C593" s="118"/>
      <c r="D593" s="118"/>
      <c r="E593" s="118"/>
      <c r="F593" s="118"/>
      <c r="G593" s="118"/>
      <c r="H593" s="118"/>
      <c r="I593" s="118"/>
      <c r="J593" s="118"/>
      <c r="K593" s="118"/>
      <c r="L593" s="118"/>
      <c r="M593" s="118"/>
      <c r="N593" s="42"/>
      <c r="O593" s="42"/>
      <c r="P593" s="42"/>
      <c r="Q593" s="42"/>
      <c r="R593" s="42"/>
      <c r="S593" s="3"/>
      <c r="T593" s="3"/>
      <c r="U593" s="3"/>
      <c r="V593" s="3"/>
      <c r="W593" s="3"/>
      <c r="X593" s="3"/>
      <c r="Y593" s="3"/>
      <c r="Z593" s="3"/>
      <c r="AA593" s="3"/>
      <c r="AB593" s="3"/>
      <c r="AC593" s="3"/>
      <c r="AD593" s="3"/>
      <c r="AE593" s="3"/>
      <c r="AF593" s="3"/>
      <c r="AG593" s="3"/>
      <c r="AH593" s="3"/>
      <c r="AI593" s="3"/>
      <c r="AJ593" s="3"/>
      <c r="AK593" s="3"/>
      <c r="AL593" s="3"/>
    </row>
    <row r="594" spans="1:38" ht="14.25" customHeight="1" x14ac:dyDescent="0.2">
      <c r="A594" s="118"/>
      <c r="B594" s="118"/>
      <c r="C594" s="118"/>
      <c r="D594" s="118"/>
      <c r="E594" s="118"/>
      <c r="F594" s="118"/>
      <c r="G594" s="118"/>
      <c r="H594" s="118"/>
      <c r="I594" s="118"/>
      <c r="J594" s="118"/>
      <c r="K594" s="118"/>
      <c r="L594" s="118"/>
      <c r="M594" s="118"/>
      <c r="N594" s="42"/>
      <c r="O594" s="42"/>
      <c r="P594" s="42"/>
      <c r="Q594" s="42"/>
      <c r="R594" s="42"/>
      <c r="S594" s="3"/>
      <c r="T594" s="3"/>
      <c r="U594" s="3"/>
      <c r="V594" s="3"/>
      <c r="W594" s="3"/>
      <c r="X594" s="3"/>
      <c r="Y594" s="3"/>
      <c r="Z594" s="3"/>
      <c r="AA594" s="3"/>
      <c r="AB594" s="3"/>
      <c r="AC594" s="3"/>
      <c r="AD594" s="3"/>
      <c r="AE594" s="3"/>
      <c r="AF594" s="3"/>
      <c r="AG594" s="3"/>
      <c r="AH594" s="3"/>
      <c r="AI594" s="3"/>
      <c r="AJ594" s="3"/>
      <c r="AK594" s="3"/>
      <c r="AL594" s="3"/>
    </row>
    <row r="595" spans="1:38" ht="14.25" customHeight="1" x14ac:dyDescent="0.2">
      <c r="A595" s="118"/>
      <c r="B595" s="118"/>
      <c r="C595" s="118"/>
      <c r="D595" s="118"/>
      <c r="E595" s="118"/>
      <c r="F595" s="118"/>
      <c r="G595" s="118"/>
      <c r="H595" s="118"/>
      <c r="I595" s="118"/>
      <c r="J595" s="118"/>
      <c r="K595" s="118"/>
      <c r="L595" s="118"/>
      <c r="M595" s="118"/>
      <c r="N595" s="42"/>
      <c r="O595" s="42"/>
      <c r="P595" s="42"/>
      <c r="Q595" s="42"/>
      <c r="R595" s="42"/>
      <c r="S595" s="3"/>
      <c r="T595" s="3"/>
      <c r="U595" s="3"/>
      <c r="V595" s="3"/>
      <c r="W595" s="3"/>
      <c r="X595" s="3"/>
      <c r="Y595" s="3"/>
      <c r="Z595" s="3"/>
      <c r="AA595" s="3"/>
      <c r="AB595" s="3"/>
      <c r="AC595" s="3"/>
      <c r="AD595" s="3"/>
      <c r="AE595" s="3"/>
      <c r="AF595" s="3"/>
      <c r="AG595" s="3"/>
      <c r="AH595" s="3"/>
      <c r="AI595" s="3"/>
      <c r="AJ595" s="3"/>
      <c r="AK595" s="3"/>
      <c r="AL595" s="3"/>
    </row>
    <row r="596" spans="1:38" ht="14.25" customHeight="1" x14ac:dyDescent="0.2">
      <c r="A596" s="118"/>
      <c r="B596" s="118"/>
      <c r="C596" s="118"/>
      <c r="D596" s="118"/>
      <c r="E596" s="118"/>
      <c r="F596" s="118"/>
      <c r="G596" s="118"/>
      <c r="H596" s="118"/>
      <c r="I596" s="118"/>
      <c r="J596" s="118"/>
      <c r="K596" s="118"/>
      <c r="L596" s="118"/>
      <c r="M596" s="118"/>
      <c r="N596" s="42"/>
      <c r="O596" s="42"/>
      <c r="P596" s="42"/>
      <c r="Q596" s="42"/>
      <c r="R596" s="42"/>
      <c r="S596" s="3"/>
      <c r="T596" s="3"/>
      <c r="U596" s="3"/>
      <c r="V596" s="3"/>
      <c r="W596" s="3"/>
      <c r="X596" s="3"/>
      <c r="Y596" s="3"/>
      <c r="Z596" s="3"/>
      <c r="AA596" s="3"/>
      <c r="AB596" s="3"/>
      <c r="AC596" s="3"/>
      <c r="AD596" s="3"/>
      <c r="AE596" s="3"/>
      <c r="AF596" s="3"/>
      <c r="AG596" s="3"/>
      <c r="AH596" s="3"/>
      <c r="AI596" s="3"/>
      <c r="AJ596" s="3"/>
      <c r="AK596" s="3"/>
      <c r="AL596" s="3"/>
    </row>
    <row r="597" spans="1:38" ht="14.25" customHeight="1" x14ac:dyDescent="0.2">
      <c r="A597" s="118"/>
      <c r="B597" s="118"/>
      <c r="C597" s="118"/>
      <c r="D597" s="118"/>
      <c r="E597" s="118"/>
      <c r="F597" s="118"/>
      <c r="G597" s="118"/>
      <c r="H597" s="118"/>
      <c r="I597" s="118"/>
      <c r="J597" s="118"/>
      <c r="K597" s="118"/>
      <c r="L597" s="118"/>
      <c r="M597" s="118"/>
      <c r="N597" s="42"/>
      <c r="O597" s="42"/>
      <c r="P597" s="42"/>
      <c r="Q597" s="42"/>
      <c r="R597" s="42"/>
      <c r="S597" s="3"/>
      <c r="T597" s="3"/>
      <c r="U597" s="3"/>
      <c r="V597" s="3"/>
      <c r="W597" s="3"/>
      <c r="X597" s="3"/>
      <c r="Y597" s="3"/>
      <c r="Z597" s="3"/>
      <c r="AA597" s="3"/>
      <c r="AB597" s="3"/>
      <c r="AC597" s="3"/>
      <c r="AD597" s="3"/>
      <c r="AE597" s="3"/>
      <c r="AF597" s="3"/>
      <c r="AG597" s="3"/>
      <c r="AH597" s="3"/>
      <c r="AI597" s="3"/>
      <c r="AJ597" s="3"/>
      <c r="AK597" s="3"/>
      <c r="AL597" s="3"/>
    </row>
    <row r="598" spans="1:38" ht="14.25" customHeight="1" x14ac:dyDescent="0.2">
      <c r="A598" s="118"/>
      <c r="B598" s="118"/>
      <c r="C598" s="118"/>
      <c r="D598" s="118"/>
      <c r="E598" s="118"/>
      <c r="F598" s="118"/>
      <c r="G598" s="118"/>
      <c r="H598" s="118"/>
      <c r="I598" s="118"/>
      <c r="J598" s="118"/>
      <c r="K598" s="118"/>
      <c r="L598" s="118"/>
      <c r="M598" s="118"/>
      <c r="N598" s="42"/>
      <c r="O598" s="42"/>
      <c r="P598" s="42"/>
      <c r="Q598" s="42"/>
      <c r="R598" s="42"/>
      <c r="S598" s="3"/>
      <c r="T598" s="3"/>
      <c r="U598" s="3"/>
      <c r="V598" s="3"/>
      <c r="W598" s="3"/>
      <c r="X598" s="3"/>
      <c r="Y598" s="3"/>
      <c r="Z598" s="3"/>
      <c r="AA598" s="3"/>
      <c r="AB598" s="3"/>
      <c r="AC598" s="3"/>
      <c r="AD598" s="3"/>
      <c r="AE598" s="3"/>
      <c r="AF598" s="3"/>
      <c r="AG598" s="3"/>
      <c r="AH598" s="3"/>
      <c r="AI598" s="3"/>
      <c r="AJ598" s="3"/>
      <c r="AK598" s="3"/>
      <c r="AL598" s="3"/>
    </row>
    <row r="599" spans="1:38" ht="14.25" customHeight="1" x14ac:dyDescent="0.2">
      <c r="A599" s="118"/>
      <c r="B599" s="118"/>
      <c r="C599" s="118"/>
      <c r="D599" s="118"/>
      <c r="E599" s="118"/>
      <c r="F599" s="118"/>
      <c r="G599" s="118"/>
      <c r="H599" s="118"/>
      <c r="I599" s="118"/>
      <c r="J599" s="118"/>
      <c r="K599" s="118"/>
      <c r="L599" s="118"/>
      <c r="M599" s="118"/>
      <c r="N599" s="42"/>
      <c r="O599" s="42"/>
      <c r="P599" s="42"/>
      <c r="Q599" s="42"/>
      <c r="R599" s="42"/>
      <c r="S599" s="3"/>
      <c r="T599" s="3"/>
      <c r="U599" s="3"/>
      <c r="V599" s="3"/>
      <c r="W599" s="3"/>
      <c r="X599" s="3"/>
      <c r="Y599" s="3"/>
      <c r="Z599" s="3"/>
      <c r="AA599" s="3"/>
      <c r="AB599" s="3"/>
      <c r="AC599" s="3"/>
      <c r="AD599" s="3"/>
      <c r="AE599" s="3"/>
      <c r="AF599" s="3"/>
      <c r="AG599" s="3"/>
      <c r="AH599" s="3"/>
      <c r="AI599" s="3"/>
      <c r="AJ599" s="3"/>
      <c r="AK599" s="3"/>
      <c r="AL599" s="3"/>
    </row>
    <row r="600" spans="1:38" ht="14.25" customHeight="1" x14ac:dyDescent="0.2">
      <c r="A600" s="118"/>
      <c r="B600" s="118"/>
      <c r="C600" s="118"/>
      <c r="D600" s="118"/>
      <c r="E600" s="118"/>
      <c r="F600" s="118"/>
      <c r="G600" s="118"/>
      <c r="H600" s="118"/>
      <c r="I600" s="118"/>
      <c r="J600" s="118"/>
      <c r="K600" s="118"/>
      <c r="L600" s="118"/>
      <c r="M600" s="118"/>
      <c r="N600" s="42"/>
      <c r="O600" s="42"/>
      <c r="P600" s="42"/>
      <c r="Q600" s="42"/>
      <c r="R600" s="42"/>
      <c r="S600" s="3"/>
      <c r="T600" s="3"/>
      <c r="U600" s="3"/>
      <c r="V600" s="3"/>
      <c r="W600" s="3"/>
      <c r="X600" s="3"/>
      <c r="Y600" s="3"/>
      <c r="Z600" s="3"/>
      <c r="AA600" s="3"/>
      <c r="AB600" s="3"/>
      <c r="AC600" s="3"/>
      <c r="AD600" s="3"/>
      <c r="AE600" s="3"/>
      <c r="AF600" s="3"/>
      <c r="AG600" s="3"/>
      <c r="AH600" s="3"/>
      <c r="AI600" s="3"/>
      <c r="AJ600" s="3"/>
      <c r="AK600" s="3"/>
      <c r="AL600" s="3"/>
    </row>
    <row r="601" spans="1:38" ht="14.25" customHeight="1" x14ac:dyDescent="0.2">
      <c r="A601" s="118"/>
      <c r="B601" s="118"/>
      <c r="C601" s="118"/>
      <c r="D601" s="118"/>
      <c r="E601" s="118"/>
      <c r="F601" s="118"/>
      <c r="G601" s="118"/>
      <c r="H601" s="118"/>
      <c r="I601" s="118"/>
      <c r="J601" s="118"/>
      <c r="K601" s="118"/>
      <c r="L601" s="118"/>
      <c r="M601" s="118"/>
      <c r="N601" s="42"/>
      <c r="O601" s="42"/>
      <c r="P601" s="42"/>
      <c r="Q601" s="42"/>
      <c r="R601" s="42"/>
      <c r="S601" s="3"/>
      <c r="T601" s="3"/>
      <c r="U601" s="3"/>
      <c r="V601" s="3"/>
      <c r="W601" s="3"/>
      <c r="X601" s="3"/>
      <c r="Y601" s="3"/>
      <c r="Z601" s="3"/>
      <c r="AA601" s="3"/>
      <c r="AB601" s="3"/>
      <c r="AC601" s="3"/>
      <c r="AD601" s="3"/>
      <c r="AE601" s="3"/>
      <c r="AF601" s="3"/>
      <c r="AG601" s="3"/>
      <c r="AH601" s="3"/>
      <c r="AI601" s="3"/>
      <c r="AJ601" s="3"/>
      <c r="AK601" s="3"/>
      <c r="AL601" s="3"/>
    </row>
    <row r="602" spans="1:38" ht="14.25" customHeight="1" x14ac:dyDescent="0.2">
      <c r="A602" s="118"/>
      <c r="B602" s="118"/>
      <c r="C602" s="118"/>
      <c r="D602" s="118"/>
      <c r="E602" s="118"/>
      <c r="F602" s="118"/>
      <c r="G602" s="118"/>
      <c r="H602" s="118"/>
      <c r="I602" s="118"/>
      <c r="J602" s="118"/>
      <c r="K602" s="118"/>
      <c r="L602" s="118"/>
      <c r="M602" s="118"/>
      <c r="N602" s="42"/>
      <c r="O602" s="42"/>
      <c r="P602" s="42"/>
      <c r="Q602" s="42"/>
      <c r="R602" s="42"/>
      <c r="S602" s="3"/>
      <c r="T602" s="3"/>
      <c r="U602" s="3"/>
      <c r="V602" s="3"/>
      <c r="W602" s="3"/>
      <c r="X602" s="3"/>
      <c r="Y602" s="3"/>
      <c r="Z602" s="3"/>
      <c r="AA602" s="3"/>
      <c r="AB602" s="3"/>
      <c r="AC602" s="3"/>
      <c r="AD602" s="3"/>
      <c r="AE602" s="3"/>
      <c r="AF602" s="3"/>
      <c r="AG602" s="3"/>
      <c r="AH602" s="3"/>
      <c r="AI602" s="3"/>
      <c r="AJ602" s="3"/>
      <c r="AK602" s="3"/>
      <c r="AL602" s="3"/>
    </row>
    <row r="603" spans="1:38" ht="14.25" customHeight="1" x14ac:dyDescent="0.2">
      <c r="A603" s="118"/>
      <c r="B603" s="118"/>
      <c r="C603" s="118"/>
      <c r="D603" s="118"/>
      <c r="E603" s="118"/>
      <c r="F603" s="118"/>
      <c r="G603" s="118"/>
      <c r="H603" s="118"/>
      <c r="I603" s="118"/>
      <c r="J603" s="118"/>
      <c r="K603" s="118"/>
      <c r="L603" s="118"/>
      <c r="M603" s="118"/>
      <c r="N603" s="42"/>
      <c r="O603" s="42"/>
      <c r="P603" s="42"/>
      <c r="Q603" s="42"/>
      <c r="R603" s="42"/>
      <c r="S603" s="3"/>
      <c r="T603" s="3"/>
      <c r="U603" s="3"/>
      <c r="V603" s="3"/>
      <c r="W603" s="3"/>
      <c r="X603" s="3"/>
      <c r="Y603" s="3"/>
      <c r="Z603" s="3"/>
      <c r="AA603" s="3"/>
      <c r="AB603" s="3"/>
      <c r="AC603" s="3"/>
      <c r="AD603" s="3"/>
      <c r="AE603" s="3"/>
      <c r="AF603" s="3"/>
      <c r="AG603" s="3"/>
      <c r="AH603" s="3"/>
      <c r="AI603" s="3"/>
      <c r="AJ603" s="3"/>
      <c r="AK603" s="3"/>
      <c r="AL603" s="3"/>
    </row>
    <row r="604" spans="1:38" ht="14.25" customHeight="1" x14ac:dyDescent="0.2">
      <c r="A604" s="118"/>
      <c r="B604" s="118"/>
      <c r="C604" s="118"/>
      <c r="D604" s="118"/>
      <c r="E604" s="118"/>
      <c r="F604" s="118"/>
      <c r="G604" s="118"/>
      <c r="H604" s="118"/>
      <c r="I604" s="118"/>
      <c r="J604" s="118"/>
      <c r="K604" s="118"/>
      <c r="L604" s="118"/>
      <c r="M604" s="118"/>
      <c r="N604" s="42"/>
      <c r="O604" s="42"/>
      <c r="P604" s="42"/>
      <c r="Q604" s="42"/>
      <c r="R604" s="42"/>
      <c r="S604" s="3"/>
      <c r="T604" s="3"/>
      <c r="U604" s="3"/>
      <c r="V604" s="3"/>
      <c r="W604" s="3"/>
      <c r="X604" s="3"/>
      <c r="Y604" s="3"/>
      <c r="Z604" s="3"/>
      <c r="AA604" s="3"/>
      <c r="AB604" s="3"/>
      <c r="AC604" s="3"/>
      <c r="AD604" s="3"/>
      <c r="AE604" s="3"/>
      <c r="AF604" s="3"/>
      <c r="AG604" s="3"/>
      <c r="AH604" s="3"/>
      <c r="AI604" s="3"/>
      <c r="AJ604" s="3"/>
      <c r="AK604" s="3"/>
      <c r="AL604" s="3"/>
    </row>
    <row r="605" spans="1:38" ht="14.25" customHeight="1" x14ac:dyDescent="0.2">
      <c r="A605" s="118"/>
      <c r="B605" s="118"/>
      <c r="C605" s="118"/>
      <c r="D605" s="118"/>
      <c r="E605" s="118"/>
      <c r="F605" s="118"/>
      <c r="G605" s="118"/>
      <c r="H605" s="118"/>
      <c r="I605" s="118"/>
      <c r="J605" s="118"/>
      <c r="K605" s="118"/>
      <c r="L605" s="118"/>
      <c r="M605" s="118"/>
      <c r="N605" s="42"/>
      <c r="O605" s="42"/>
      <c r="P605" s="42"/>
      <c r="Q605" s="42"/>
      <c r="R605" s="42"/>
      <c r="S605" s="3"/>
      <c r="T605" s="3"/>
      <c r="U605" s="3"/>
      <c r="V605" s="3"/>
      <c r="W605" s="3"/>
      <c r="X605" s="3"/>
      <c r="Y605" s="3"/>
      <c r="Z605" s="3"/>
      <c r="AA605" s="3"/>
      <c r="AB605" s="3"/>
      <c r="AC605" s="3"/>
      <c r="AD605" s="3"/>
      <c r="AE605" s="3"/>
      <c r="AF605" s="3"/>
      <c r="AG605" s="3"/>
      <c r="AH605" s="3"/>
      <c r="AI605" s="3"/>
      <c r="AJ605" s="3"/>
      <c r="AK605" s="3"/>
      <c r="AL605" s="3"/>
    </row>
    <row r="606" spans="1:38" ht="14.25" customHeight="1" x14ac:dyDescent="0.2">
      <c r="A606" s="118"/>
      <c r="B606" s="118"/>
      <c r="C606" s="118"/>
      <c r="D606" s="118"/>
      <c r="E606" s="118"/>
      <c r="F606" s="118"/>
      <c r="G606" s="118"/>
      <c r="H606" s="118"/>
      <c r="I606" s="118"/>
      <c r="J606" s="118"/>
      <c r="K606" s="118"/>
      <c r="L606" s="118"/>
      <c r="M606" s="118"/>
      <c r="N606" s="42"/>
      <c r="O606" s="42"/>
      <c r="P606" s="42"/>
      <c r="Q606" s="42"/>
      <c r="R606" s="42"/>
      <c r="S606" s="3"/>
      <c r="T606" s="3"/>
      <c r="U606" s="3"/>
      <c r="V606" s="3"/>
      <c r="W606" s="3"/>
      <c r="X606" s="3"/>
      <c r="Y606" s="3"/>
      <c r="Z606" s="3"/>
      <c r="AA606" s="3"/>
      <c r="AB606" s="3"/>
      <c r="AC606" s="3"/>
      <c r="AD606" s="3"/>
      <c r="AE606" s="3"/>
      <c r="AF606" s="3"/>
      <c r="AG606" s="3"/>
      <c r="AH606" s="3"/>
      <c r="AI606" s="3"/>
      <c r="AJ606" s="3"/>
      <c r="AK606" s="3"/>
      <c r="AL606" s="3"/>
    </row>
    <row r="607" spans="1:38" ht="14.25" customHeight="1" x14ac:dyDescent="0.2">
      <c r="A607" s="118"/>
      <c r="B607" s="118"/>
      <c r="C607" s="118"/>
      <c r="D607" s="118"/>
      <c r="E607" s="118"/>
      <c r="F607" s="118"/>
      <c r="G607" s="118"/>
      <c r="H607" s="118"/>
      <c r="I607" s="118"/>
      <c r="J607" s="118"/>
      <c r="K607" s="118"/>
      <c r="L607" s="118"/>
      <c r="M607" s="118"/>
      <c r="N607" s="42"/>
      <c r="O607" s="42"/>
      <c r="P607" s="42"/>
      <c r="Q607" s="42"/>
      <c r="R607" s="42"/>
      <c r="S607" s="3"/>
      <c r="T607" s="3"/>
      <c r="U607" s="3"/>
      <c r="V607" s="3"/>
      <c r="W607" s="3"/>
      <c r="X607" s="3"/>
      <c r="Y607" s="3"/>
      <c r="Z607" s="3"/>
      <c r="AA607" s="3"/>
      <c r="AB607" s="3"/>
      <c r="AC607" s="3"/>
      <c r="AD607" s="3"/>
      <c r="AE607" s="3"/>
      <c r="AF607" s="3"/>
      <c r="AG607" s="3"/>
      <c r="AH607" s="3"/>
      <c r="AI607" s="3"/>
      <c r="AJ607" s="3"/>
      <c r="AK607" s="3"/>
      <c r="AL607" s="3"/>
    </row>
    <row r="608" spans="1:38" ht="14.25" customHeight="1" x14ac:dyDescent="0.2">
      <c r="A608" s="118"/>
      <c r="B608" s="118"/>
      <c r="C608" s="118"/>
      <c r="D608" s="118"/>
      <c r="E608" s="118"/>
      <c r="F608" s="118"/>
      <c r="G608" s="118"/>
      <c r="H608" s="118"/>
      <c r="I608" s="118"/>
      <c r="J608" s="118"/>
      <c r="K608" s="118"/>
      <c r="L608" s="118"/>
      <c r="M608" s="118"/>
      <c r="N608" s="42"/>
      <c r="O608" s="42"/>
      <c r="P608" s="42"/>
      <c r="Q608" s="42"/>
      <c r="R608" s="42"/>
      <c r="S608" s="3"/>
      <c r="T608" s="3"/>
      <c r="U608" s="3"/>
      <c r="V608" s="3"/>
      <c r="W608" s="3"/>
      <c r="X608" s="3"/>
      <c r="Y608" s="3"/>
      <c r="Z608" s="3"/>
      <c r="AA608" s="3"/>
      <c r="AB608" s="3"/>
      <c r="AC608" s="3"/>
      <c r="AD608" s="3"/>
      <c r="AE608" s="3"/>
      <c r="AF608" s="3"/>
      <c r="AG608" s="3"/>
      <c r="AH608" s="3"/>
      <c r="AI608" s="3"/>
      <c r="AJ608" s="3"/>
      <c r="AK608" s="3"/>
      <c r="AL608" s="3"/>
    </row>
    <row r="609" spans="1:38" ht="14.25" customHeight="1" x14ac:dyDescent="0.2">
      <c r="A609" s="118"/>
      <c r="B609" s="118"/>
      <c r="C609" s="118"/>
      <c r="D609" s="118"/>
      <c r="E609" s="118"/>
      <c r="F609" s="118"/>
      <c r="G609" s="118"/>
      <c r="H609" s="118"/>
      <c r="I609" s="118"/>
      <c r="J609" s="118"/>
      <c r="K609" s="118"/>
      <c r="L609" s="118"/>
      <c r="M609" s="118"/>
      <c r="N609" s="42"/>
      <c r="O609" s="42"/>
      <c r="P609" s="42"/>
      <c r="Q609" s="42"/>
      <c r="R609" s="42"/>
      <c r="S609" s="3"/>
      <c r="T609" s="3"/>
      <c r="U609" s="3"/>
      <c r="V609" s="3"/>
      <c r="W609" s="3"/>
      <c r="X609" s="3"/>
      <c r="Y609" s="3"/>
      <c r="Z609" s="3"/>
      <c r="AA609" s="3"/>
      <c r="AB609" s="3"/>
      <c r="AC609" s="3"/>
      <c r="AD609" s="3"/>
      <c r="AE609" s="3"/>
      <c r="AF609" s="3"/>
      <c r="AG609" s="3"/>
      <c r="AH609" s="3"/>
      <c r="AI609" s="3"/>
      <c r="AJ609" s="3"/>
      <c r="AK609" s="3"/>
      <c r="AL609" s="3"/>
    </row>
    <row r="610" spans="1:38" ht="14.25" customHeight="1" x14ac:dyDescent="0.2">
      <c r="A610" s="118"/>
      <c r="B610" s="118"/>
      <c r="C610" s="118"/>
      <c r="D610" s="118"/>
      <c r="E610" s="118"/>
      <c r="F610" s="118"/>
      <c r="G610" s="118"/>
      <c r="H610" s="118"/>
      <c r="I610" s="118"/>
      <c r="J610" s="118"/>
      <c r="K610" s="118"/>
      <c r="L610" s="118"/>
      <c r="M610" s="118"/>
      <c r="N610" s="42"/>
      <c r="O610" s="42"/>
      <c r="P610" s="42"/>
      <c r="Q610" s="42"/>
      <c r="R610" s="42"/>
      <c r="S610" s="3"/>
      <c r="T610" s="3"/>
      <c r="U610" s="3"/>
      <c r="V610" s="3"/>
      <c r="W610" s="3"/>
      <c r="X610" s="3"/>
      <c r="Y610" s="3"/>
      <c r="Z610" s="3"/>
      <c r="AA610" s="3"/>
      <c r="AB610" s="3"/>
      <c r="AC610" s="3"/>
      <c r="AD610" s="3"/>
      <c r="AE610" s="3"/>
      <c r="AF610" s="3"/>
      <c r="AG610" s="3"/>
      <c r="AH610" s="3"/>
      <c r="AI610" s="3"/>
      <c r="AJ610" s="3"/>
      <c r="AK610" s="3"/>
      <c r="AL610" s="3"/>
    </row>
    <row r="611" spans="1:38" ht="14.25" customHeight="1" x14ac:dyDescent="0.2">
      <c r="A611" s="118"/>
      <c r="B611" s="118"/>
      <c r="C611" s="118"/>
      <c r="D611" s="118"/>
      <c r="E611" s="118"/>
      <c r="F611" s="118"/>
      <c r="G611" s="118"/>
      <c r="H611" s="118"/>
      <c r="I611" s="118"/>
      <c r="J611" s="118"/>
      <c r="K611" s="118"/>
      <c r="L611" s="118"/>
      <c r="M611" s="118"/>
      <c r="N611" s="42"/>
      <c r="O611" s="42"/>
      <c r="P611" s="42"/>
      <c r="Q611" s="42"/>
      <c r="R611" s="42"/>
      <c r="S611" s="3"/>
      <c r="T611" s="3"/>
      <c r="U611" s="3"/>
      <c r="V611" s="3"/>
      <c r="W611" s="3"/>
      <c r="X611" s="3"/>
      <c r="Y611" s="3"/>
      <c r="Z611" s="3"/>
      <c r="AA611" s="3"/>
      <c r="AB611" s="3"/>
      <c r="AC611" s="3"/>
      <c r="AD611" s="3"/>
      <c r="AE611" s="3"/>
      <c r="AF611" s="3"/>
      <c r="AG611" s="3"/>
      <c r="AH611" s="3"/>
      <c r="AI611" s="3"/>
      <c r="AJ611" s="3"/>
      <c r="AK611" s="3"/>
      <c r="AL611" s="3"/>
    </row>
    <row r="612" spans="1:38" ht="14.25" customHeight="1" x14ac:dyDescent="0.2">
      <c r="A612" s="118"/>
      <c r="B612" s="118"/>
      <c r="C612" s="118"/>
      <c r="D612" s="118"/>
      <c r="E612" s="118"/>
      <c r="F612" s="118"/>
      <c r="G612" s="118"/>
      <c r="H612" s="118"/>
      <c r="I612" s="118"/>
      <c r="J612" s="118"/>
      <c r="K612" s="118"/>
      <c r="L612" s="118"/>
      <c r="M612" s="118"/>
      <c r="N612" s="42"/>
      <c r="O612" s="42"/>
      <c r="P612" s="42"/>
      <c r="Q612" s="42"/>
      <c r="R612" s="42"/>
      <c r="S612" s="3"/>
      <c r="T612" s="3"/>
      <c r="U612" s="3"/>
      <c r="V612" s="3"/>
      <c r="W612" s="3"/>
      <c r="X612" s="3"/>
      <c r="Y612" s="3"/>
      <c r="Z612" s="3"/>
      <c r="AA612" s="3"/>
      <c r="AB612" s="3"/>
      <c r="AC612" s="3"/>
      <c r="AD612" s="3"/>
      <c r="AE612" s="3"/>
      <c r="AF612" s="3"/>
      <c r="AG612" s="3"/>
      <c r="AH612" s="3"/>
      <c r="AI612" s="3"/>
      <c r="AJ612" s="3"/>
      <c r="AK612" s="3"/>
      <c r="AL612" s="3"/>
    </row>
    <row r="613" spans="1:38" ht="14.25" customHeight="1" x14ac:dyDescent="0.2">
      <c r="A613" s="118"/>
      <c r="B613" s="118"/>
      <c r="C613" s="118"/>
      <c r="D613" s="118"/>
      <c r="E613" s="118"/>
      <c r="F613" s="118"/>
      <c r="G613" s="118"/>
      <c r="H613" s="118"/>
      <c r="I613" s="118"/>
      <c r="J613" s="118"/>
      <c r="K613" s="118"/>
      <c r="L613" s="118"/>
      <c r="M613" s="118"/>
      <c r="N613" s="42"/>
      <c r="O613" s="42"/>
      <c r="P613" s="42"/>
      <c r="Q613" s="42"/>
      <c r="R613" s="42"/>
      <c r="S613" s="3"/>
      <c r="T613" s="3"/>
      <c r="U613" s="3"/>
      <c r="V613" s="3"/>
      <c r="W613" s="3"/>
      <c r="X613" s="3"/>
      <c r="Y613" s="3"/>
      <c r="Z613" s="3"/>
      <c r="AA613" s="3"/>
      <c r="AB613" s="3"/>
      <c r="AC613" s="3"/>
      <c r="AD613" s="3"/>
      <c r="AE613" s="3"/>
      <c r="AF613" s="3"/>
      <c r="AG613" s="3"/>
      <c r="AH613" s="3"/>
      <c r="AI613" s="3"/>
      <c r="AJ613" s="3"/>
      <c r="AK613" s="3"/>
      <c r="AL613" s="3"/>
    </row>
    <row r="614" spans="1:38" ht="14.25" customHeight="1" x14ac:dyDescent="0.2">
      <c r="A614" s="118"/>
      <c r="B614" s="118"/>
      <c r="C614" s="118"/>
      <c r="D614" s="118"/>
      <c r="E614" s="118"/>
      <c r="F614" s="118"/>
      <c r="G614" s="118"/>
      <c r="H614" s="118"/>
      <c r="I614" s="118"/>
      <c r="J614" s="118"/>
      <c r="K614" s="118"/>
      <c r="L614" s="118"/>
      <c r="M614" s="118"/>
      <c r="N614" s="42"/>
      <c r="O614" s="42"/>
      <c r="P614" s="42"/>
      <c r="Q614" s="42"/>
      <c r="R614" s="42"/>
      <c r="S614" s="3"/>
      <c r="T614" s="3"/>
      <c r="U614" s="3"/>
      <c r="V614" s="3"/>
      <c r="W614" s="3"/>
      <c r="X614" s="3"/>
      <c r="Y614" s="3"/>
      <c r="Z614" s="3"/>
      <c r="AA614" s="3"/>
      <c r="AB614" s="3"/>
      <c r="AC614" s="3"/>
      <c r="AD614" s="3"/>
      <c r="AE614" s="3"/>
      <c r="AF614" s="3"/>
      <c r="AG614" s="3"/>
      <c r="AH614" s="3"/>
      <c r="AI614" s="3"/>
      <c r="AJ614" s="3"/>
      <c r="AK614" s="3"/>
      <c r="AL614" s="3"/>
    </row>
    <row r="615" spans="1:38" ht="14.25" customHeight="1" x14ac:dyDescent="0.2">
      <c r="A615" s="118"/>
      <c r="B615" s="118"/>
      <c r="C615" s="118"/>
      <c r="D615" s="118"/>
      <c r="E615" s="118"/>
      <c r="F615" s="118"/>
      <c r="G615" s="118"/>
      <c r="H615" s="118"/>
      <c r="I615" s="118"/>
      <c r="J615" s="118"/>
      <c r="K615" s="118"/>
      <c r="L615" s="118"/>
      <c r="M615" s="118"/>
      <c r="N615" s="42"/>
      <c r="O615" s="42"/>
      <c r="P615" s="42"/>
      <c r="Q615" s="42"/>
      <c r="R615" s="42"/>
      <c r="S615" s="3"/>
      <c r="T615" s="3"/>
      <c r="U615" s="3"/>
      <c r="V615" s="3"/>
      <c r="W615" s="3"/>
      <c r="X615" s="3"/>
      <c r="Y615" s="3"/>
      <c r="Z615" s="3"/>
      <c r="AA615" s="3"/>
      <c r="AB615" s="3"/>
      <c r="AC615" s="3"/>
      <c r="AD615" s="3"/>
      <c r="AE615" s="3"/>
      <c r="AF615" s="3"/>
      <c r="AG615" s="3"/>
      <c r="AH615" s="3"/>
      <c r="AI615" s="3"/>
      <c r="AJ615" s="3"/>
      <c r="AK615" s="3"/>
      <c r="AL615" s="3"/>
    </row>
    <row r="616" spans="1:38" ht="14.25" customHeight="1" x14ac:dyDescent="0.2">
      <c r="A616" s="118"/>
      <c r="B616" s="118"/>
      <c r="C616" s="118"/>
      <c r="D616" s="118"/>
      <c r="E616" s="118"/>
      <c r="F616" s="118"/>
      <c r="G616" s="118"/>
      <c r="H616" s="118"/>
      <c r="I616" s="118"/>
      <c r="J616" s="118"/>
      <c r="K616" s="118"/>
      <c r="L616" s="118"/>
      <c r="M616" s="118"/>
      <c r="N616" s="42"/>
      <c r="O616" s="42"/>
      <c r="P616" s="42"/>
      <c r="Q616" s="42"/>
      <c r="R616" s="42"/>
      <c r="S616" s="3"/>
      <c r="T616" s="3"/>
      <c r="U616" s="3"/>
      <c r="V616" s="3"/>
      <c r="W616" s="3"/>
      <c r="X616" s="3"/>
      <c r="Y616" s="3"/>
      <c r="Z616" s="3"/>
      <c r="AA616" s="3"/>
      <c r="AB616" s="3"/>
      <c r="AC616" s="3"/>
      <c r="AD616" s="3"/>
      <c r="AE616" s="3"/>
      <c r="AF616" s="3"/>
      <c r="AG616" s="3"/>
      <c r="AH616" s="3"/>
      <c r="AI616" s="3"/>
      <c r="AJ616" s="3"/>
      <c r="AK616" s="3"/>
      <c r="AL616" s="3"/>
    </row>
    <row r="617" spans="1:38" ht="14.25" customHeight="1" x14ac:dyDescent="0.2">
      <c r="A617" s="118"/>
      <c r="B617" s="118"/>
      <c r="C617" s="118"/>
      <c r="D617" s="118"/>
      <c r="E617" s="118"/>
      <c r="F617" s="118"/>
      <c r="G617" s="118"/>
      <c r="H617" s="118"/>
      <c r="I617" s="118"/>
      <c r="J617" s="118"/>
      <c r="K617" s="118"/>
      <c r="L617" s="118"/>
      <c r="M617" s="118"/>
      <c r="N617" s="42"/>
      <c r="O617" s="42"/>
      <c r="P617" s="42"/>
      <c r="Q617" s="42"/>
      <c r="R617" s="42"/>
      <c r="S617" s="3"/>
      <c r="T617" s="3"/>
      <c r="U617" s="3"/>
      <c r="V617" s="3"/>
      <c r="W617" s="3"/>
      <c r="X617" s="3"/>
      <c r="Y617" s="3"/>
      <c r="Z617" s="3"/>
      <c r="AA617" s="3"/>
      <c r="AB617" s="3"/>
      <c r="AC617" s="3"/>
      <c r="AD617" s="3"/>
      <c r="AE617" s="3"/>
      <c r="AF617" s="3"/>
      <c r="AG617" s="3"/>
      <c r="AH617" s="3"/>
      <c r="AI617" s="3"/>
      <c r="AJ617" s="3"/>
      <c r="AK617" s="3"/>
      <c r="AL617" s="3"/>
    </row>
    <row r="618" spans="1:38" ht="14.25" customHeight="1" x14ac:dyDescent="0.2">
      <c r="A618" s="118"/>
      <c r="B618" s="118"/>
      <c r="C618" s="118"/>
      <c r="D618" s="118"/>
      <c r="E618" s="118"/>
      <c r="F618" s="118"/>
      <c r="G618" s="118"/>
      <c r="H618" s="118"/>
      <c r="I618" s="118"/>
      <c r="J618" s="118"/>
      <c r="K618" s="118"/>
      <c r="L618" s="118"/>
      <c r="M618" s="118"/>
      <c r="N618" s="42"/>
      <c r="O618" s="42"/>
      <c r="P618" s="42"/>
      <c r="Q618" s="42"/>
      <c r="R618" s="42"/>
      <c r="S618" s="3"/>
      <c r="T618" s="3"/>
      <c r="U618" s="3"/>
      <c r="V618" s="3"/>
      <c r="W618" s="3"/>
      <c r="X618" s="3"/>
      <c r="Y618" s="3"/>
      <c r="Z618" s="3"/>
      <c r="AA618" s="3"/>
      <c r="AB618" s="3"/>
      <c r="AC618" s="3"/>
      <c r="AD618" s="3"/>
      <c r="AE618" s="3"/>
      <c r="AF618" s="3"/>
      <c r="AG618" s="3"/>
      <c r="AH618" s="3"/>
      <c r="AI618" s="3"/>
      <c r="AJ618" s="3"/>
      <c r="AK618" s="3"/>
      <c r="AL618" s="3"/>
    </row>
    <row r="619" spans="1:38" ht="14.25" customHeight="1" x14ac:dyDescent="0.2">
      <c r="A619" s="118"/>
      <c r="B619" s="118"/>
      <c r="C619" s="118"/>
      <c r="D619" s="118"/>
      <c r="E619" s="118"/>
      <c r="F619" s="118"/>
      <c r="G619" s="118"/>
      <c r="H619" s="118"/>
      <c r="I619" s="118"/>
      <c r="J619" s="118"/>
      <c r="K619" s="118"/>
      <c r="L619" s="118"/>
      <c r="M619" s="118"/>
      <c r="N619" s="42"/>
      <c r="O619" s="42"/>
      <c r="P619" s="42"/>
      <c r="Q619" s="42"/>
      <c r="R619" s="42"/>
      <c r="S619" s="3"/>
      <c r="T619" s="3"/>
      <c r="U619" s="3"/>
      <c r="V619" s="3"/>
      <c r="W619" s="3"/>
      <c r="X619" s="3"/>
      <c r="Y619" s="3"/>
      <c r="Z619" s="3"/>
      <c r="AA619" s="3"/>
      <c r="AB619" s="3"/>
      <c r="AC619" s="3"/>
      <c r="AD619" s="3"/>
      <c r="AE619" s="3"/>
      <c r="AF619" s="3"/>
      <c r="AG619" s="3"/>
      <c r="AH619" s="3"/>
      <c r="AI619" s="3"/>
      <c r="AJ619" s="3"/>
      <c r="AK619" s="3"/>
      <c r="AL619" s="3"/>
    </row>
    <row r="620" spans="1:38" ht="14.25" customHeight="1" x14ac:dyDescent="0.2">
      <c r="A620" s="118"/>
      <c r="B620" s="118"/>
      <c r="C620" s="118"/>
      <c r="D620" s="118"/>
      <c r="E620" s="118"/>
      <c r="F620" s="118"/>
      <c r="G620" s="118"/>
      <c r="H620" s="118"/>
      <c r="I620" s="118"/>
      <c r="J620" s="118"/>
      <c r="K620" s="118"/>
      <c r="L620" s="118"/>
      <c r="M620" s="118"/>
      <c r="N620" s="42"/>
      <c r="O620" s="42"/>
      <c r="P620" s="42"/>
      <c r="Q620" s="42"/>
      <c r="R620" s="42"/>
      <c r="S620" s="3"/>
      <c r="T620" s="3"/>
      <c r="U620" s="3"/>
      <c r="V620" s="3"/>
      <c r="W620" s="3"/>
      <c r="X620" s="3"/>
      <c r="Y620" s="3"/>
      <c r="Z620" s="3"/>
      <c r="AA620" s="3"/>
      <c r="AB620" s="3"/>
      <c r="AC620" s="3"/>
      <c r="AD620" s="3"/>
      <c r="AE620" s="3"/>
      <c r="AF620" s="3"/>
      <c r="AG620" s="3"/>
      <c r="AH620" s="3"/>
      <c r="AI620" s="3"/>
      <c r="AJ620" s="3"/>
      <c r="AK620" s="3"/>
      <c r="AL620" s="3"/>
    </row>
    <row r="621" spans="1:38" ht="14.25" customHeight="1" x14ac:dyDescent="0.2">
      <c r="A621" s="118"/>
      <c r="B621" s="118"/>
      <c r="C621" s="118"/>
      <c r="D621" s="118"/>
      <c r="E621" s="118"/>
      <c r="F621" s="118"/>
      <c r="G621" s="118"/>
      <c r="H621" s="118"/>
      <c r="I621" s="118"/>
      <c r="J621" s="118"/>
      <c r="K621" s="118"/>
      <c r="L621" s="118"/>
      <c r="M621" s="118"/>
      <c r="N621" s="42"/>
      <c r="O621" s="42"/>
      <c r="P621" s="42"/>
      <c r="Q621" s="42"/>
      <c r="R621" s="42"/>
      <c r="S621" s="3"/>
      <c r="T621" s="3"/>
      <c r="U621" s="3"/>
      <c r="V621" s="3"/>
      <c r="W621" s="3"/>
      <c r="X621" s="3"/>
      <c r="Y621" s="3"/>
      <c r="Z621" s="3"/>
      <c r="AA621" s="3"/>
      <c r="AB621" s="3"/>
      <c r="AC621" s="3"/>
      <c r="AD621" s="3"/>
      <c r="AE621" s="3"/>
      <c r="AF621" s="3"/>
      <c r="AG621" s="3"/>
      <c r="AH621" s="3"/>
      <c r="AI621" s="3"/>
      <c r="AJ621" s="3"/>
      <c r="AK621" s="3"/>
      <c r="AL621" s="3"/>
    </row>
    <row r="622" spans="1:38" ht="14.25" customHeight="1" x14ac:dyDescent="0.2">
      <c r="A622" s="118"/>
      <c r="B622" s="118"/>
      <c r="C622" s="118"/>
      <c r="D622" s="118"/>
      <c r="E622" s="118"/>
      <c r="F622" s="118"/>
      <c r="G622" s="118"/>
      <c r="H622" s="118"/>
      <c r="I622" s="118"/>
      <c r="J622" s="118"/>
      <c r="K622" s="118"/>
      <c r="L622" s="118"/>
      <c r="M622" s="118"/>
      <c r="N622" s="42"/>
      <c r="O622" s="42"/>
      <c r="P622" s="42"/>
      <c r="Q622" s="42"/>
      <c r="R622" s="42"/>
      <c r="S622" s="3"/>
      <c r="T622" s="3"/>
      <c r="U622" s="3"/>
      <c r="V622" s="3"/>
      <c r="W622" s="3"/>
      <c r="X622" s="3"/>
      <c r="Y622" s="3"/>
      <c r="Z622" s="3"/>
      <c r="AA622" s="3"/>
      <c r="AB622" s="3"/>
      <c r="AC622" s="3"/>
      <c r="AD622" s="3"/>
      <c r="AE622" s="3"/>
      <c r="AF622" s="3"/>
      <c r="AG622" s="3"/>
      <c r="AH622" s="3"/>
      <c r="AI622" s="3"/>
      <c r="AJ622" s="3"/>
      <c r="AK622" s="3"/>
      <c r="AL622" s="3"/>
    </row>
    <row r="623" spans="1:38" ht="14.25" customHeight="1" x14ac:dyDescent="0.2">
      <c r="A623" s="118"/>
      <c r="B623" s="118"/>
      <c r="C623" s="118"/>
      <c r="D623" s="118"/>
      <c r="E623" s="118"/>
      <c r="F623" s="118"/>
      <c r="G623" s="118"/>
      <c r="H623" s="118"/>
      <c r="I623" s="118"/>
      <c r="J623" s="118"/>
      <c r="K623" s="118"/>
      <c r="L623" s="118"/>
      <c r="M623" s="118"/>
      <c r="N623" s="42"/>
      <c r="O623" s="42"/>
      <c r="P623" s="42"/>
      <c r="Q623" s="42"/>
      <c r="R623" s="42"/>
      <c r="S623" s="3"/>
      <c r="T623" s="3"/>
      <c r="U623" s="3"/>
      <c r="V623" s="3"/>
      <c r="W623" s="3"/>
      <c r="X623" s="3"/>
      <c r="Y623" s="3"/>
      <c r="Z623" s="3"/>
      <c r="AA623" s="3"/>
      <c r="AB623" s="3"/>
      <c r="AC623" s="3"/>
      <c r="AD623" s="3"/>
      <c r="AE623" s="3"/>
      <c r="AF623" s="3"/>
      <c r="AG623" s="3"/>
      <c r="AH623" s="3"/>
      <c r="AI623" s="3"/>
      <c r="AJ623" s="3"/>
      <c r="AK623" s="3"/>
      <c r="AL623" s="3"/>
    </row>
    <row r="624" spans="1:38" ht="14.25" customHeight="1" x14ac:dyDescent="0.2">
      <c r="A624" s="118"/>
      <c r="B624" s="118"/>
      <c r="C624" s="118"/>
      <c r="D624" s="118"/>
      <c r="E624" s="118"/>
      <c r="F624" s="118"/>
      <c r="G624" s="118"/>
      <c r="H624" s="118"/>
      <c r="I624" s="118"/>
      <c r="J624" s="118"/>
      <c r="K624" s="118"/>
      <c r="L624" s="118"/>
      <c r="M624" s="118"/>
      <c r="N624" s="42"/>
      <c r="O624" s="42"/>
      <c r="P624" s="42"/>
      <c r="Q624" s="42"/>
      <c r="R624" s="42"/>
      <c r="S624" s="3"/>
      <c r="T624" s="3"/>
      <c r="U624" s="3"/>
      <c r="V624" s="3"/>
      <c r="W624" s="3"/>
      <c r="X624" s="3"/>
      <c r="Y624" s="3"/>
      <c r="Z624" s="3"/>
      <c r="AA624" s="3"/>
      <c r="AB624" s="3"/>
      <c r="AC624" s="3"/>
      <c r="AD624" s="3"/>
      <c r="AE624" s="3"/>
      <c r="AF624" s="3"/>
      <c r="AG624" s="3"/>
      <c r="AH624" s="3"/>
      <c r="AI624" s="3"/>
      <c r="AJ624" s="3"/>
      <c r="AK624" s="3"/>
      <c r="AL624" s="3"/>
    </row>
    <row r="625" spans="1:38" ht="14.25" customHeight="1" x14ac:dyDescent="0.2">
      <c r="A625" s="118"/>
      <c r="B625" s="118"/>
      <c r="C625" s="118"/>
      <c r="D625" s="118"/>
      <c r="E625" s="118"/>
      <c r="F625" s="118"/>
      <c r="G625" s="118"/>
      <c r="H625" s="118"/>
      <c r="I625" s="118"/>
      <c r="J625" s="118"/>
      <c r="K625" s="118"/>
      <c r="L625" s="118"/>
      <c r="M625" s="118"/>
      <c r="N625" s="42"/>
      <c r="O625" s="42"/>
      <c r="P625" s="42"/>
      <c r="Q625" s="42"/>
      <c r="R625" s="42"/>
      <c r="S625" s="3"/>
      <c r="T625" s="3"/>
      <c r="U625" s="3"/>
      <c r="V625" s="3"/>
      <c r="W625" s="3"/>
      <c r="X625" s="3"/>
      <c r="Y625" s="3"/>
      <c r="Z625" s="3"/>
      <c r="AA625" s="3"/>
      <c r="AB625" s="3"/>
      <c r="AC625" s="3"/>
      <c r="AD625" s="3"/>
      <c r="AE625" s="3"/>
      <c r="AF625" s="3"/>
      <c r="AG625" s="3"/>
      <c r="AH625" s="3"/>
      <c r="AI625" s="3"/>
      <c r="AJ625" s="3"/>
      <c r="AK625" s="3"/>
      <c r="AL625" s="3"/>
    </row>
    <row r="626" spans="1:38" ht="14.25" customHeight="1" x14ac:dyDescent="0.2">
      <c r="A626" s="118"/>
      <c r="B626" s="118"/>
      <c r="C626" s="118"/>
      <c r="D626" s="118"/>
      <c r="E626" s="118"/>
      <c r="F626" s="118"/>
      <c r="G626" s="118"/>
      <c r="H626" s="118"/>
      <c r="I626" s="118"/>
      <c r="J626" s="118"/>
      <c r="K626" s="118"/>
      <c r="L626" s="118"/>
      <c r="M626" s="118"/>
      <c r="N626" s="42"/>
      <c r="O626" s="42"/>
      <c r="P626" s="42"/>
      <c r="Q626" s="42"/>
      <c r="R626" s="42"/>
      <c r="S626" s="3"/>
      <c r="T626" s="3"/>
      <c r="U626" s="3"/>
      <c r="V626" s="3"/>
      <c r="W626" s="3"/>
      <c r="X626" s="3"/>
      <c r="Y626" s="3"/>
      <c r="Z626" s="3"/>
      <c r="AA626" s="3"/>
      <c r="AB626" s="3"/>
      <c r="AC626" s="3"/>
      <c r="AD626" s="3"/>
      <c r="AE626" s="3"/>
      <c r="AF626" s="3"/>
      <c r="AG626" s="3"/>
      <c r="AH626" s="3"/>
      <c r="AI626" s="3"/>
      <c r="AJ626" s="3"/>
      <c r="AK626" s="3"/>
      <c r="AL626" s="3"/>
    </row>
    <row r="627" spans="1:38" ht="14.25" customHeight="1" x14ac:dyDescent="0.2">
      <c r="A627" s="118"/>
      <c r="B627" s="118"/>
      <c r="C627" s="118"/>
      <c r="D627" s="118"/>
      <c r="E627" s="118"/>
      <c r="F627" s="118"/>
      <c r="G627" s="118"/>
      <c r="H627" s="118"/>
      <c r="I627" s="118"/>
      <c r="J627" s="118"/>
      <c r="K627" s="118"/>
      <c r="L627" s="118"/>
      <c r="M627" s="118"/>
      <c r="N627" s="42"/>
      <c r="O627" s="42"/>
      <c r="P627" s="42"/>
      <c r="Q627" s="42"/>
      <c r="R627" s="42"/>
      <c r="S627" s="3"/>
      <c r="T627" s="3"/>
      <c r="U627" s="3"/>
      <c r="V627" s="3"/>
      <c r="W627" s="3"/>
      <c r="X627" s="3"/>
      <c r="Y627" s="3"/>
      <c r="Z627" s="3"/>
      <c r="AA627" s="3"/>
      <c r="AB627" s="3"/>
      <c r="AC627" s="3"/>
      <c r="AD627" s="3"/>
      <c r="AE627" s="3"/>
      <c r="AF627" s="3"/>
      <c r="AG627" s="3"/>
      <c r="AH627" s="3"/>
      <c r="AI627" s="3"/>
      <c r="AJ627" s="3"/>
      <c r="AK627" s="3"/>
      <c r="AL627" s="3"/>
    </row>
    <row r="628" spans="1:38" ht="15.75" customHeight="1" x14ac:dyDescent="0.2">
      <c r="A628" s="118"/>
      <c r="B628" s="118"/>
      <c r="C628" s="118"/>
      <c r="D628" s="118"/>
      <c r="E628" s="118"/>
      <c r="F628" s="118"/>
      <c r="G628" s="118"/>
      <c r="H628" s="118"/>
      <c r="I628" s="118"/>
      <c r="J628" s="118"/>
      <c r="K628" s="118"/>
      <c r="L628" s="118"/>
      <c r="M628" s="118"/>
      <c r="N628" s="42"/>
      <c r="O628" s="42"/>
      <c r="P628" s="42"/>
      <c r="Q628" s="42"/>
      <c r="R628" s="42"/>
      <c r="S628" s="3"/>
      <c r="T628" s="3"/>
      <c r="U628" s="3"/>
      <c r="V628" s="3"/>
      <c r="W628" s="3"/>
      <c r="X628" s="3"/>
      <c r="Y628" s="3"/>
      <c r="Z628" s="3"/>
      <c r="AA628" s="3"/>
      <c r="AB628" s="3"/>
      <c r="AC628" s="3"/>
      <c r="AD628" s="3"/>
      <c r="AE628" s="3"/>
      <c r="AF628" s="3"/>
      <c r="AG628" s="3"/>
      <c r="AH628" s="3"/>
      <c r="AI628" s="3"/>
      <c r="AJ628" s="3"/>
      <c r="AK628" s="3"/>
      <c r="AL628" s="3"/>
    </row>
    <row r="629" spans="1:38" ht="15.75" customHeight="1" x14ac:dyDescent="0.2">
      <c r="A629" s="118"/>
      <c r="B629" s="118"/>
      <c r="C629" s="118"/>
      <c r="D629" s="118"/>
      <c r="E629" s="118"/>
      <c r="F629" s="118"/>
      <c r="G629" s="118"/>
      <c r="H629" s="118"/>
      <c r="I629" s="118"/>
      <c r="J629" s="118"/>
      <c r="K629" s="118"/>
      <c r="L629" s="118"/>
      <c r="M629" s="118"/>
      <c r="N629" s="42"/>
      <c r="O629" s="42"/>
      <c r="P629" s="42"/>
      <c r="Q629" s="42"/>
      <c r="R629" s="42"/>
      <c r="S629" s="3"/>
      <c r="T629" s="3"/>
      <c r="U629" s="3"/>
      <c r="V629" s="3"/>
      <c r="W629" s="3"/>
      <c r="X629" s="3"/>
      <c r="Y629" s="3"/>
      <c r="Z629" s="3"/>
      <c r="AA629" s="3"/>
      <c r="AB629" s="3"/>
      <c r="AC629" s="3"/>
      <c r="AD629" s="3"/>
      <c r="AE629" s="3"/>
      <c r="AF629" s="3"/>
      <c r="AG629" s="3"/>
      <c r="AH629" s="3"/>
      <c r="AI629" s="3"/>
      <c r="AJ629" s="3"/>
      <c r="AK629" s="3"/>
      <c r="AL629" s="3"/>
    </row>
    <row r="630" spans="1:38" ht="15.75" customHeight="1" x14ac:dyDescent="0.2">
      <c r="A630" s="118"/>
      <c r="B630" s="118"/>
      <c r="C630" s="118"/>
      <c r="D630" s="118"/>
      <c r="E630" s="118"/>
      <c r="F630" s="118"/>
      <c r="G630" s="118"/>
      <c r="H630" s="118"/>
      <c r="I630" s="118"/>
      <c r="J630" s="118"/>
      <c r="K630" s="118"/>
      <c r="L630" s="118"/>
      <c r="M630" s="118"/>
      <c r="N630" s="42"/>
      <c r="O630" s="42"/>
      <c r="P630" s="42"/>
      <c r="Q630" s="42"/>
      <c r="R630" s="42"/>
      <c r="S630" s="3"/>
      <c r="T630" s="3"/>
      <c r="U630" s="3"/>
      <c r="V630" s="3"/>
      <c r="W630" s="3"/>
      <c r="X630" s="3"/>
      <c r="Y630" s="3"/>
      <c r="Z630" s="3"/>
      <c r="AA630" s="3"/>
      <c r="AB630" s="3"/>
      <c r="AC630" s="3"/>
      <c r="AD630" s="3"/>
      <c r="AE630" s="3"/>
      <c r="AF630" s="3"/>
      <c r="AG630" s="3"/>
      <c r="AH630" s="3"/>
      <c r="AI630" s="3"/>
      <c r="AJ630" s="3"/>
      <c r="AK630" s="3"/>
      <c r="AL630" s="3"/>
    </row>
    <row r="631" spans="1:38" ht="15.75" customHeight="1" x14ac:dyDescent="0.2">
      <c r="A631" s="118"/>
      <c r="B631" s="118"/>
      <c r="C631" s="118"/>
      <c r="D631" s="118"/>
      <c r="E631" s="118"/>
      <c r="F631" s="118"/>
      <c r="G631" s="118"/>
      <c r="H631" s="118"/>
      <c r="I631" s="118"/>
      <c r="J631" s="118"/>
      <c r="K631" s="118"/>
      <c r="L631" s="118"/>
      <c r="M631" s="118"/>
      <c r="N631" s="42"/>
      <c r="O631" s="42"/>
      <c r="P631" s="42"/>
      <c r="Q631" s="42"/>
      <c r="R631" s="42"/>
      <c r="S631" s="3"/>
      <c r="T631" s="3"/>
      <c r="U631" s="3"/>
      <c r="V631" s="3"/>
      <c r="W631" s="3"/>
      <c r="X631" s="3"/>
      <c r="Y631" s="3"/>
      <c r="Z631" s="3"/>
      <c r="AA631" s="3"/>
      <c r="AB631" s="3"/>
      <c r="AC631" s="3"/>
      <c r="AD631" s="3"/>
      <c r="AE631" s="3"/>
      <c r="AF631" s="3"/>
      <c r="AG631" s="3"/>
      <c r="AH631" s="3"/>
      <c r="AI631" s="3"/>
      <c r="AJ631" s="3"/>
      <c r="AK631" s="3"/>
      <c r="AL631" s="3"/>
    </row>
    <row r="632" spans="1:38" ht="15.75" customHeight="1" x14ac:dyDescent="0.2">
      <c r="A632" s="118"/>
      <c r="B632" s="118"/>
      <c r="C632" s="118"/>
      <c r="D632" s="118"/>
      <c r="E632" s="118"/>
      <c r="F632" s="118"/>
      <c r="G632" s="118"/>
      <c r="H632" s="118"/>
      <c r="I632" s="118"/>
      <c r="J632" s="118"/>
      <c r="K632" s="118"/>
      <c r="L632" s="118"/>
      <c r="M632" s="118"/>
      <c r="N632" s="42"/>
      <c r="O632" s="42"/>
      <c r="P632" s="42"/>
      <c r="Q632" s="42"/>
      <c r="R632" s="42"/>
      <c r="S632" s="3"/>
      <c r="T632" s="3"/>
      <c r="U632" s="3"/>
      <c r="V632" s="3"/>
      <c r="W632" s="3"/>
      <c r="X632" s="3"/>
      <c r="Y632" s="3"/>
      <c r="Z632" s="3"/>
      <c r="AA632" s="3"/>
      <c r="AB632" s="3"/>
      <c r="AC632" s="3"/>
      <c r="AD632" s="3"/>
      <c r="AE632" s="3"/>
      <c r="AF632" s="3"/>
      <c r="AG632" s="3"/>
      <c r="AH632" s="3"/>
      <c r="AI632" s="3"/>
      <c r="AJ632" s="3"/>
      <c r="AK632" s="3"/>
      <c r="AL632" s="3"/>
    </row>
    <row r="633" spans="1:38" ht="15.75" customHeight="1" x14ac:dyDescent="0.2">
      <c r="A633" s="118"/>
      <c r="B633" s="118"/>
      <c r="C633" s="118"/>
      <c r="D633" s="118"/>
      <c r="E633" s="118"/>
      <c r="F633" s="118"/>
      <c r="G633" s="118"/>
      <c r="H633" s="118"/>
      <c r="I633" s="118"/>
      <c r="J633" s="118"/>
      <c r="K633" s="118"/>
      <c r="L633" s="118"/>
      <c r="M633" s="118"/>
      <c r="N633" s="42"/>
      <c r="O633" s="42"/>
      <c r="P633" s="42"/>
      <c r="Q633" s="42"/>
      <c r="R633" s="42"/>
      <c r="S633" s="3"/>
      <c r="T633" s="3"/>
      <c r="U633" s="3"/>
      <c r="V633" s="3"/>
      <c r="W633" s="3"/>
      <c r="X633" s="3"/>
      <c r="Y633" s="3"/>
      <c r="Z633" s="3"/>
      <c r="AA633" s="3"/>
      <c r="AB633" s="3"/>
      <c r="AC633" s="3"/>
      <c r="AD633" s="3"/>
      <c r="AE633" s="3"/>
      <c r="AF633" s="3"/>
      <c r="AG633" s="3"/>
      <c r="AH633" s="3"/>
      <c r="AI633" s="3"/>
      <c r="AJ633" s="3"/>
      <c r="AK633" s="3"/>
      <c r="AL633" s="3"/>
    </row>
    <row r="634" spans="1:38" ht="15.75" customHeight="1" x14ac:dyDescent="0.2">
      <c r="A634" s="118"/>
      <c r="B634" s="118"/>
      <c r="C634" s="118"/>
      <c r="D634" s="118"/>
      <c r="E634" s="118"/>
      <c r="F634" s="118"/>
      <c r="G634" s="118"/>
      <c r="H634" s="118"/>
      <c r="I634" s="118"/>
      <c r="J634" s="118"/>
      <c r="K634" s="118"/>
      <c r="L634" s="118"/>
      <c r="M634" s="118"/>
      <c r="N634" s="42"/>
      <c r="O634" s="42"/>
      <c r="P634" s="42"/>
      <c r="Q634" s="42"/>
      <c r="R634" s="42"/>
      <c r="S634" s="3"/>
      <c r="T634" s="3"/>
      <c r="U634" s="3"/>
      <c r="V634" s="3"/>
      <c r="W634" s="3"/>
      <c r="X634" s="3"/>
      <c r="Y634" s="3"/>
      <c r="Z634" s="3"/>
      <c r="AA634" s="3"/>
      <c r="AB634" s="3"/>
      <c r="AC634" s="3"/>
      <c r="AD634" s="3"/>
      <c r="AE634" s="3"/>
      <c r="AF634" s="3"/>
      <c r="AG634" s="3"/>
      <c r="AH634" s="3"/>
      <c r="AI634" s="3"/>
      <c r="AJ634" s="3"/>
      <c r="AK634" s="3"/>
      <c r="AL634" s="3"/>
    </row>
    <row r="635" spans="1:38" ht="15.75" customHeight="1" x14ac:dyDescent="0.2">
      <c r="A635" s="118"/>
      <c r="B635" s="118"/>
      <c r="C635" s="118"/>
      <c r="D635" s="118"/>
      <c r="E635" s="118"/>
      <c r="F635" s="118"/>
      <c r="G635" s="118"/>
      <c r="H635" s="118"/>
      <c r="I635" s="118"/>
      <c r="J635" s="118"/>
      <c r="K635" s="118"/>
      <c r="L635" s="118"/>
      <c r="M635" s="118"/>
      <c r="N635" s="42"/>
      <c r="O635" s="42"/>
      <c r="P635" s="42"/>
      <c r="Q635" s="42"/>
      <c r="R635" s="42"/>
      <c r="S635" s="3"/>
      <c r="T635" s="3"/>
      <c r="U635" s="3"/>
      <c r="V635" s="3"/>
      <c r="W635" s="3"/>
      <c r="X635" s="3"/>
      <c r="Y635" s="3"/>
      <c r="Z635" s="3"/>
      <c r="AA635" s="3"/>
      <c r="AB635" s="3"/>
      <c r="AC635" s="3"/>
      <c r="AD635" s="3"/>
      <c r="AE635" s="3"/>
      <c r="AF635" s="3"/>
      <c r="AG635" s="3"/>
      <c r="AH635" s="3"/>
      <c r="AI635" s="3"/>
      <c r="AJ635" s="3"/>
      <c r="AK635" s="3"/>
      <c r="AL635" s="3"/>
    </row>
    <row r="636" spans="1:38" ht="15.75" customHeight="1" x14ac:dyDescent="0.2">
      <c r="A636" s="118"/>
      <c r="B636" s="118"/>
      <c r="C636" s="118"/>
      <c r="D636" s="118"/>
      <c r="E636" s="118"/>
      <c r="F636" s="118"/>
      <c r="G636" s="118"/>
      <c r="H636" s="118"/>
      <c r="I636" s="118"/>
      <c r="J636" s="118"/>
      <c r="K636" s="118"/>
      <c r="L636" s="118"/>
      <c r="M636" s="118"/>
      <c r="N636" s="42"/>
      <c r="O636" s="42"/>
      <c r="P636" s="42"/>
      <c r="Q636" s="42"/>
      <c r="R636" s="42"/>
      <c r="S636" s="3"/>
      <c r="T636" s="3"/>
      <c r="U636" s="3"/>
      <c r="V636" s="3"/>
      <c r="W636" s="3"/>
      <c r="X636" s="3"/>
      <c r="Y636" s="3"/>
      <c r="Z636" s="3"/>
      <c r="AA636" s="3"/>
      <c r="AB636" s="3"/>
      <c r="AC636" s="3"/>
      <c r="AD636" s="3"/>
      <c r="AE636" s="3"/>
      <c r="AF636" s="3"/>
      <c r="AG636" s="3"/>
      <c r="AH636" s="3"/>
      <c r="AI636" s="3"/>
      <c r="AJ636" s="3"/>
      <c r="AK636" s="3"/>
      <c r="AL636" s="3"/>
    </row>
    <row r="637" spans="1:38" ht="15.75" customHeight="1" x14ac:dyDescent="0.2">
      <c r="A637" s="118"/>
      <c r="B637" s="118"/>
      <c r="C637" s="118"/>
      <c r="D637" s="118"/>
      <c r="E637" s="118"/>
      <c r="F637" s="118"/>
      <c r="G637" s="118"/>
      <c r="H637" s="118"/>
      <c r="I637" s="118"/>
      <c r="J637" s="118"/>
      <c r="K637" s="118"/>
      <c r="L637" s="118"/>
      <c r="M637" s="118"/>
      <c r="N637" s="42"/>
      <c r="O637" s="42"/>
      <c r="P637" s="42"/>
      <c r="Q637" s="42"/>
      <c r="R637" s="42"/>
      <c r="S637" s="3"/>
      <c r="T637" s="3"/>
      <c r="U637" s="3"/>
      <c r="V637" s="3"/>
      <c r="W637" s="3"/>
      <c r="X637" s="3"/>
      <c r="Y637" s="3"/>
      <c r="Z637" s="3"/>
      <c r="AA637" s="3"/>
      <c r="AB637" s="3"/>
      <c r="AC637" s="3"/>
      <c r="AD637" s="3"/>
      <c r="AE637" s="3"/>
      <c r="AF637" s="3"/>
      <c r="AG637" s="3"/>
      <c r="AH637" s="3"/>
      <c r="AI637" s="3"/>
      <c r="AJ637" s="3"/>
      <c r="AK637" s="3"/>
      <c r="AL637" s="3"/>
    </row>
    <row r="638" spans="1:38" ht="15.75" customHeight="1" x14ac:dyDescent="0.2">
      <c r="A638" s="118"/>
      <c r="B638" s="118"/>
      <c r="C638" s="118"/>
      <c r="D638" s="118"/>
      <c r="E638" s="118"/>
      <c r="F638" s="118"/>
      <c r="G638" s="118"/>
      <c r="H638" s="118"/>
      <c r="I638" s="118"/>
      <c r="J638" s="118"/>
      <c r="K638" s="118"/>
      <c r="L638" s="118"/>
      <c r="M638" s="118"/>
      <c r="N638" s="42"/>
      <c r="O638" s="42"/>
      <c r="P638" s="42"/>
      <c r="Q638" s="42"/>
      <c r="R638" s="42"/>
      <c r="S638" s="3"/>
      <c r="T638" s="3"/>
      <c r="U638" s="3"/>
      <c r="V638" s="3"/>
      <c r="W638" s="3"/>
      <c r="X638" s="3"/>
      <c r="Y638" s="3"/>
      <c r="Z638" s="3"/>
      <c r="AA638" s="3"/>
      <c r="AB638" s="3"/>
      <c r="AC638" s="3"/>
      <c r="AD638" s="3"/>
      <c r="AE638" s="3"/>
      <c r="AF638" s="3"/>
      <c r="AG638" s="3"/>
      <c r="AH638" s="3"/>
      <c r="AI638" s="3"/>
      <c r="AJ638" s="3"/>
      <c r="AK638" s="3"/>
      <c r="AL638" s="3"/>
    </row>
    <row r="639" spans="1:38" ht="15.75" customHeight="1" x14ac:dyDescent="0.2">
      <c r="A639" s="118"/>
      <c r="B639" s="118"/>
      <c r="C639" s="118"/>
      <c r="D639" s="118"/>
      <c r="E639" s="118"/>
      <c r="F639" s="118"/>
      <c r="G639" s="118"/>
      <c r="H639" s="118"/>
      <c r="I639" s="118"/>
      <c r="J639" s="118"/>
      <c r="K639" s="118"/>
      <c r="L639" s="118"/>
      <c r="M639" s="118"/>
      <c r="N639" s="42"/>
      <c r="O639" s="42"/>
      <c r="P639" s="42"/>
      <c r="Q639" s="42"/>
      <c r="R639" s="42"/>
      <c r="S639" s="3"/>
      <c r="T639" s="3"/>
      <c r="U639" s="3"/>
      <c r="V639" s="3"/>
      <c r="W639" s="3"/>
      <c r="X639" s="3"/>
      <c r="Y639" s="3"/>
      <c r="Z639" s="3"/>
      <c r="AA639" s="3"/>
      <c r="AB639" s="3"/>
      <c r="AC639" s="3"/>
      <c r="AD639" s="3"/>
      <c r="AE639" s="3"/>
      <c r="AF639" s="3"/>
      <c r="AG639" s="3"/>
      <c r="AH639" s="3"/>
      <c r="AI639" s="3"/>
      <c r="AJ639" s="3"/>
      <c r="AK639" s="3"/>
      <c r="AL639" s="3"/>
    </row>
    <row r="640" spans="1:38" ht="15.75" customHeight="1" x14ac:dyDescent="0.2">
      <c r="A640" s="118"/>
      <c r="B640" s="118"/>
      <c r="C640" s="118"/>
      <c r="D640" s="118"/>
      <c r="E640" s="118"/>
      <c r="F640" s="118"/>
      <c r="G640" s="118"/>
      <c r="H640" s="118"/>
      <c r="I640" s="118"/>
      <c r="J640" s="118"/>
      <c r="K640" s="118"/>
      <c r="L640" s="118"/>
      <c r="M640" s="118"/>
      <c r="N640" s="42"/>
      <c r="O640" s="42"/>
      <c r="P640" s="42"/>
      <c r="Q640" s="42"/>
      <c r="R640" s="42"/>
      <c r="S640" s="3"/>
      <c r="T640" s="3"/>
      <c r="U640" s="3"/>
      <c r="V640" s="3"/>
      <c r="W640" s="3"/>
      <c r="X640" s="3"/>
      <c r="Y640" s="3"/>
      <c r="Z640" s="3"/>
      <c r="AA640" s="3"/>
      <c r="AB640" s="3"/>
      <c r="AC640" s="3"/>
      <c r="AD640" s="3"/>
      <c r="AE640" s="3"/>
      <c r="AF640" s="3"/>
      <c r="AG640" s="3"/>
      <c r="AH640" s="3"/>
      <c r="AI640" s="3"/>
      <c r="AJ640" s="3"/>
      <c r="AK640" s="3"/>
      <c r="AL640" s="3"/>
    </row>
    <row r="641" spans="1:38" ht="15.75" customHeight="1" x14ac:dyDescent="0.2">
      <c r="A641" s="118"/>
      <c r="B641" s="118"/>
      <c r="C641" s="118"/>
      <c r="D641" s="118"/>
      <c r="E641" s="118"/>
      <c r="F641" s="118"/>
      <c r="G641" s="118"/>
      <c r="H641" s="118"/>
      <c r="I641" s="118"/>
      <c r="J641" s="118"/>
      <c r="K641" s="118"/>
      <c r="L641" s="118"/>
      <c r="M641" s="118"/>
      <c r="N641" s="42"/>
      <c r="O641" s="42"/>
      <c r="P641" s="42"/>
      <c r="Q641" s="42"/>
      <c r="R641" s="42"/>
      <c r="S641" s="3"/>
      <c r="T641" s="3"/>
      <c r="U641" s="3"/>
      <c r="V641" s="3"/>
      <c r="W641" s="3"/>
      <c r="X641" s="3"/>
      <c r="Y641" s="3"/>
      <c r="Z641" s="3"/>
      <c r="AA641" s="3"/>
      <c r="AB641" s="3"/>
      <c r="AC641" s="3"/>
      <c r="AD641" s="3"/>
      <c r="AE641" s="3"/>
      <c r="AF641" s="3"/>
      <c r="AG641" s="3"/>
      <c r="AH641" s="3"/>
      <c r="AI641" s="3"/>
      <c r="AJ641" s="3"/>
      <c r="AK641" s="3"/>
      <c r="AL641" s="3"/>
    </row>
    <row r="642" spans="1:38" ht="15.75" customHeight="1" x14ac:dyDescent="0.2">
      <c r="A642" s="118"/>
      <c r="B642" s="118"/>
      <c r="C642" s="118"/>
      <c r="D642" s="118"/>
      <c r="E642" s="118"/>
      <c r="F642" s="118"/>
      <c r="G642" s="118"/>
      <c r="H642" s="118"/>
      <c r="I642" s="118"/>
      <c r="J642" s="118"/>
      <c r="K642" s="118"/>
      <c r="L642" s="118"/>
      <c r="M642" s="118"/>
      <c r="N642" s="42"/>
      <c r="O642" s="42"/>
      <c r="P642" s="42"/>
      <c r="Q642" s="42"/>
      <c r="R642" s="42"/>
      <c r="S642" s="3"/>
      <c r="T642" s="3"/>
      <c r="U642" s="3"/>
      <c r="V642" s="3"/>
      <c r="W642" s="3"/>
      <c r="X642" s="3"/>
      <c r="Y642" s="3"/>
      <c r="Z642" s="3"/>
      <c r="AA642" s="3"/>
      <c r="AB642" s="3"/>
      <c r="AC642" s="3"/>
      <c r="AD642" s="3"/>
      <c r="AE642" s="3"/>
      <c r="AF642" s="3"/>
      <c r="AG642" s="3"/>
      <c r="AH642" s="3"/>
      <c r="AI642" s="3"/>
      <c r="AJ642" s="3"/>
      <c r="AK642" s="3"/>
      <c r="AL642" s="3"/>
    </row>
    <row r="643" spans="1:38" ht="15.75" customHeight="1" x14ac:dyDescent="0.2">
      <c r="A643" s="118"/>
      <c r="B643" s="118"/>
      <c r="C643" s="118"/>
      <c r="D643" s="118"/>
      <c r="E643" s="118"/>
      <c r="F643" s="118"/>
      <c r="G643" s="118"/>
      <c r="H643" s="118"/>
      <c r="I643" s="118"/>
      <c r="J643" s="118"/>
      <c r="K643" s="118"/>
      <c r="L643" s="118"/>
      <c r="M643" s="118"/>
      <c r="N643" s="42"/>
      <c r="O643" s="42"/>
      <c r="P643" s="42"/>
      <c r="Q643" s="42"/>
      <c r="R643" s="42"/>
      <c r="S643" s="3"/>
      <c r="T643" s="3"/>
      <c r="U643" s="3"/>
      <c r="V643" s="3"/>
      <c r="W643" s="3"/>
      <c r="X643" s="3"/>
      <c r="Y643" s="3"/>
      <c r="Z643" s="3"/>
      <c r="AA643" s="3"/>
      <c r="AB643" s="3"/>
      <c r="AC643" s="3"/>
      <c r="AD643" s="3"/>
      <c r="AE643" s="3"/>
      <c r="AF643" s="3"/>
      <c r="AG643" s="3"/>
      <c r="AH643" s="3"/>
      <c r="AI643" s="3"/>
      <c r="AJ643" s="3"/>
      <c r="AK643" s="3"/>
      <c r="AL643" s="3"/>
    </row>
    <row r="644" spans="1:38" ht="15.75" customHeight="1" x14ac:dyDescent="0.2">
      <c r="A644" s="118"/>
      <c r="B644" s="118"/>
      <c r="C644" s="118"/>
      <c r="D644" s="118"/>
      <c r="E644" s="118"/>
      <c r="F644" s="118"/>
      <c r="G644" s="118"/>
      <c r="H644" s="118"/>
      <c r="I644" s="118"/>
      <c r="J644" s="118"/>
      <c r="K644" s="118"/>
      <c r="L644" s="118"/>
      <c r="M644" s="118"/>
      <c r="N644" s="42"/>
      <c r="O644" s="42"/>
      <c r="P644" s="42"/>
      <c r="Q644" s="42"/>
      <c r="R644" s="42"/>
      <c r="S644" s="3"/>
      <c r="T644" s="3"/>
      <c r="U644" s="3"/>
      <c r="V644" s="3"/>
      <c r="W644" s="3"/>
      <c r="X644" s="3"/>
      <c r="Y644" s="3"/>
      <c r="Z644" s="3"/>
      <c r="AA644" s="3"/>
      <c r="AB644" s="3"/>
      <c r="AC644" s="3"/>
      <c r="AD644" s="3"/>
      <c r="AE644" s="3"/>
      <c r="AF644" s="3"/>
      <c r="AG644" s="3"/>
      <c r="AH644" s="3"/>
      <c r="AI644" s="3"/>
      <c r="AJ644" s="3"/>
      <c r="AK644" s="3"/>
      <c r="AL644" s="3"/>
    </row>
    <row r="645" spans="1:38" ht="15.75" customHeight="1" x14ac:dyDescent="0.2">
      <c r="A645" s="118"/>
      <c r="B645" s="118"/>
      <c r="C645" s="118"/>
      <c r="D645" s="118"/>
      <c r="E645" s="118"/>
      <c r="F645" s="118"/>
      <c r="G645" s="118"/>
      <c r="H645" s="118"/>
      <c r="I645" s="118"/>
      <c r="J645" s="118"/>
      <c r="K645" s="118"/>
      <c r="L645" s="118"/>
      <c r="M645" s="118"/>
      <c r="N645" s="42"/>
      <c r="O645" s="42"/>
      <c r="P645" s="42"/>
      <c r="Q645" s="42"/>
      <c r="R645" s="42"/>
      <c r="S645" s="3"/>
      <c r="T645" s="3"/>
      <c r="U645" s="3"/>
      <c r="V645" s="3"/>
      <c r="W645" s="3"/>
      <c r="X645" s="3"/>
      <c r="Y645" s="3"/>
      <c r="Z645" s="3"/>
      <c r="AA645" s="3"/>
      <c r="AB645" s="3"/>
      <c r="AC645" s="3"/>
      <c r="AD645" s="3"/>
      <c r="AE645" s="3"/>
      <c r="AF645" s="3"/>
      <c r="AG645" s="3"/>
      <c r="AH645" s="3"/>
      <c r="AI645" s="3"/>
      <c r="AJ645" s="3"/>
      <c r="AK645" s="3"/>
      <c r="AL645" s="3"/>
    </row>
    <row r="646" spans="1:38" ht="15.75" customHeight="1" x14ac:dyDescent="0.2">
      <c r="A646" s="118"/>
      <c r="B646" s="118"/>
      <c r="C646" s="118"/>
      <c r="D646" s="118"/>
      <c r="E646" s="118"/>
      <c r="F646" s="118"/>
      <c r="G646" s="118"/>
      <c r="H646" s="118"/>
      <c r="I646" s="118"/>
      <c r="J646" s="118"/>
      <c r="K646" s="118"/>
      <c r="L646" s="118"/>
      <c r="M646" s="118"/>
      <c r="N646" s="42"/>
      <c r="O646" s="42"/>
      <c r="P646" s="42"/>
      <c r="Q646" s="42"/>
      <c r="R646" s="42"/>
      <c r="S646" s="3"/>
      <c r="T646" s="3"/>
      <c r="U646" s="3"/>
      <c r="V646" s="3"/>
      <c r="W646" s="3"/>
      <c r="X646" s="3"/>
      <c r="Y646" s="3"/>
      <c r="Z646" s="3"/>
      <c r="AA646" s="3"/>
      <c r="AB646" s="3"/>
      <c r="AC646" s="3"/>
      <c r="AD646" s="3"/>
      <c r="AE646" s="3"/>
      <c r="AF646" s="3"/>
      <c r="AG646" s="3"/>
      <c r="AH646" s="3"/>
      <c r="AI646" s="3"/>
      <c r="AJ646" s="3"/>
      <c r="AK646" s="3"/>
      <c r="AL646" s="3"/>
    </row>
    <row r="647" spans="1:38" ht="15.75" customHeight="1" x14ac:dyDescent="0.2">
      <c r="A647" s="118"/>
      <c r="B647" s="118"/>
      <c r="C647" s="118"/>
      <c r="D647" s="118"/>
      <c r="E647" s="118"/>
      <c r="F647" s="118"/>
      <c r="G647" s="118"/>
      <c r="H647" s="118"/>
      <c r="I647" s="118"/>
      <c r="J647" s="118"/>
      <c r="K647" s="118"/>
      <c r="L647" s="118"/>
      <c r="M647" s="118"/>
      <c r="N647" s="42"/>
      <c r="O647" s="42"/>
      <c r="P647" s="42"/>
      <c r="Q647" s="42"/>
      <c r="R647" s="42"/>
      <c r="S647" s="3"/>
      <c r="T647" s="3"/>
      <c r="U647" s="3"/>
      <c r="V647" s="3"/>
      <c r="W647" s="3"/>
      <c r="X647" s="3"/>
      <c r="Y647" s="3"/>
      <c r="Z647" s="3"/>
      <c r="AA647" s="3"/>
      <c r="AB647" s="3"/>
      <c r="AC647" s="3"/>
      <c r="AD647" s="3"/>
      <c r="AE647" s="3"/>
      <c r="AF647" s="3"/>
      <c r="AG647" s="3"/>
      <c r="AH647" s="3"/>
      <c r="AI647" s="3"/>
      <c r="AJ647" s="3"/>
      <c r="AK647" s="3"/>
      <c r="AL647" s="3"/>
    </row>
    <row r="648" spans="1:38" ht="15.75" customHeight="1" x14ac:dyDescent="0.2">
      <c r="A648" s="118"/>
      <c r="B648" s="118"/>
      <c r="C648" s="118"/>
      <c r="D648" s="118"/>
      <c r="E648" s="118"/>
      <c r="F648" s="118"/>
      <c r="G648" s="118"/>
      <c r="H648" s="118"/>
      <c r="I648" s="118"/>
      <c r="J648" s="118"/>
      <c r="K648" s="118"/>
      <c r="L648" s="118"/>
      <c r="M648" s="118"/>
      <c r="N648" s="42"/>
      <c r="O648" s="42"/>
      <c r="P648" s="42"/>
      <c r="Q648" s="42"/>
      <c r="R648" s="42"/>
      <c r="S648" s="3"/>
      <c r="T648" s="3"/>
      <c r="U648" s="3"/>
      <c r="V648" s="3"/>
      <c r="W648" s="3"/>
      <c r="X648" s="3"/>
      <c r="Y648" s="3"/>
      <c r="Z648" s="3"/>
      <c r="AA648" s="3"/>
      <c r="AB648" s="3"/>
      <c r="AC648" s="3"/>
      <c r="AD648" s="3"/>
      <c r="AE648" s="3"/>
      <c r="AF648" s="3"/>
      <c r="AG648" s="3"/>
      <c r="AH648" s="3"/>
      <c r="AI648" s="3"/>
      <c r="AJ648" s="3"/>
      <c r="AK648" s="3"/>
      <c r="AL648" s="3"/>
    </row>
    <row r="649" spans="1:38" ht="15.75" customHeight="1" x14ac:dyDescent="0.2">
      <c r="A649" s="118"/>
      <c r="B649" s="118"/>
      <c r="C649" s="118"/>
      <c r="D649" s="118"/>
      <c r="E649" s="118"/>
      <c r="F649" s="118"/>
      <c r="G649" s="118"/>
      <c r="H649" s="118"/>
      <c r="I649" s="118"/>
      <c r="J649" s="118"/>
      <c r="K649" s="118"/>
      <c r="L649" s="118"/>
      <c r="M649" s="118"/>
      <c r="N649" s="42"/>
      <c r="O649" s="42"/>
      <c r="P649" s="42"/>
      <c r="Q649" s="42"/>
      <c r="R649" s="42"/>
      <c r="S649" s="3"/>
      <c r="T649" s="3"/>
      <c r="U649" s="3"/>
      <c r="V649" s="3"/>
      <c r="W649" s="3"/>
      <c r="X649" s="3"/>
      <c r="Y649" s="3"/>
      <c r="Z649" s="3"/>
      <c r="AA649" s="3"/>
      <c r="AB649" s="3"/>
      <c r="AC649" s="3"/>
      <c r="AD649" s="3"/>
      <c r="AE649" s="3"/>
      <c r="AF649" s="3"/>
      <c r="AG649" s="3"/>
      <c r="AH649" s="3"/>
      <c r="AI649" s="3"/>
      <c r="AJ649" s="3"/>
      <c r="AK649" s="3"/>
      <c r="AL649" s="3"/>
    </row>
    <row r="650" spans="1:38" ht="15.75" customHeight="1" x14ac:dyDescent="0.2">
      <c r="A650" s="118"/>
      <c r="B650" s="118"/>
      <c r="C650" s="118"/>
      <c r="D650" s="118"/>
      <c r="E650" s="118"/>
      <c r="F650" s="118"/>
      <c r="G650" s="118"/>
      <c r="H650" s="118"/>
      <c r="I650" s="118"/>
      <c r="J650" s="118"/>
      <c r="K650" s="118"/>
      <c r="L650" s="118"/>
      <c r="M650" s="118"/>
      <c r="N650" s="42"/>
      <c r="O650" s="42"/>
      <c r="P650" s="42"/>
      <c r="Q650" s="42"/>
      <c r="R650" s="42"/>
      <c r="S650" s="3"/>
      <c r="T650" s="3"/>
      <c r="U650" s="3"/>
      <c r="V650" s="3"/>
      <c r="W650" s="3"/>
      <c r="X650" s="3"/>
      <c r="Y650" s="3"/>
      <c r="Z650" s="3"/>
      <c r="AA650" s="3"/>
      <c r="AB650" s="3"/>
      <c r="AC650" s="3"/>
      <c r="AD650" s="3"/>
      <c r="AE650" s="3"/>
      <c r="AF650" s="3"/>
      <c r="AG650" s="3"/>
      <c r="AH650" s="3"/>
      <c r="AI650" s="3"/>
      <c r="AJ650" s="3"/>
      <c r="AK650" s="3"/>
      <c r="AL650" s="3"/>
    </row>
    <row r="651" spans="1:38" ht="15.75" customHeight="1" x14ac:dyDescent="0.2">
      <c r="A651" s="118"/>
      <c r="B651" s="118"/>
      <c r="C651" s="118"/>
      <c r="D651" s="118"/>
      <c r="E651" s="118"/>
      <c r="F651" s="118"/>
      <c r="G651" s="118"/>
      <c r="H651" s="118"/>
      <c r="I651" s="118"/>
      <c r="J651" s="118"/>
      <c r="K651" s="118"/>
      <c r="L651" s="118"/>
      <c r="M651" s="118"/>
      <c r="N651" s="42"/>
      <c r="O651" s="42"/>
      <c r="P651" s="42"/>
      <c r="Q651" s="42"/>
      <c r="R651" s="42"/>
      <c r="S651" s="3"/>
      <c r="T651" s="3"/>
      <c r="U651" s="3"/>
      <c r="V651" s="3"/>
      <c r="W651" s="3"/>
      <c r="X651" s="3"/>
      <c r="Y651" s="3"/>
      <c r="Z651" s="3"/>
      <c r="AA651" s="3"/>
      <c r="AB651" s="3"/>
      <c r="AC651" s="3"/>
      <c r="AD651" s="3"/>
      <c r="AE651" s="3"/>
      <c r="AF651" s="3"/>
      <c r="AG651" s="3"/>
      <c r="AH651" s="3"/>
      <c r="AI651" s="3"/>
      <c r="AJ651" s="3"/>
      <c r="AK651" s="3"/>
      <c r="AL651" s="3"/>
    </row>
    <row r="652" spans="1:38" ht="15.75" customHeight="1" x14ac:dyDescent="0.2">
      <c r="A652" s="118"/>
      <c r="B652" s="118"/>
      <c r="C652" s="118"/>
      <c r="D652" s="118"/>
      <c r="E652" s="118"/>
      <c r="F652" s="118"/>
      <c r="G652" s="118"/>
      <c r="H652" s="118"/>
      <c r="I652" s="118"/>
      <c r="J652" s="118"/>
      <c r="K652" s="118"/>
      <c r="L652" s="118"/>
      <c r="M652" s="118"/>
      <c r="N652" s="42"/>
      <c r="O652" s="42"/>
      <c r="P652" s="42"/>
      <c r="Q652" s="42"/>
      <c r="R652" s="42"/>
      <c r="S652" s="3"/>
      <c r="T652" s="3"/>
      <c r="U652" s="3"/>
      <c r="V652" s="3"/>
      <c r="W652" s="3"/>
      <c r="X652" s="3"/>
      <c r="Y652" s="3"/>
      <c r="Z652" s="3"/>
      <c r="AA652" s="3"/>
      <c r="AB652" s="3"/>
      <c r="AC652" s="3"/>
      <c r="AD652" s="3"/>
      <c r="AE652" s="3"/>
      <c r="AF652" s="3"/>
      <c r="AG652" s="3"/>
      <c r="AH652" s="3"/>
      <c r="AI652" s="3"/>
      <c r="AJ652" s="3"/>
      <c r="AK652" s="3"/>
      <c r="AL652" s="3"/>
    </row>
    <row r="653" spans="1:38" ht="15.75" customHeight="1" x14ac:dyDescent="0.2">
      <c r="A653" s="118"/>
      <c r="B653" s="118"/>
      <c r="C653" s="118"/>
      <c r="D653" s="118"/>
      <c r="E653" s="118"/>
      <c r="F653" s="118"/>
      <c r="G653" s="118"/>
      <c r="H653" s="118"/>
      <c r="I653" s="118"/>
      <c r="J653" s="118"/>
      <c r="K653" s="118"/>
      <c r="L653" s="118"/>
      <c r="M653" s="118"/>
      <c r="N653" s="42"/>
      <c r="O653" s="42"/>
      <c r="P653" s="42"/>
      <c r="Q653" s="42"/>
      <c r="R653" s="42"/>
      <c r="S653" s="3"/>
      <c r="T653" s="3"/>
      <c r="U653" s="3"/>
      <c r="V653" s="3"/>
      <c r="W653" s="3"/>
      <c r="X653" s="3"/>
      <c r="Y653" s="3"/>
      <c r="Z653" s="3"/>
      <c r="AA653" s="3"/>
      <c r="AB653" s="3"/>
      <c r="AC653" s="3"/>
      <c r="AD653" s="3"/>
      <c r="AE653" s="3"/>
      <c r="AF653" s="3"/>
      <c r="AG653" s="3"/>
      <c r="AH653" s="3"/>
      <c r="AI653" s="3"/>
      <c r="AJ653" s="3"/>
      <c r="AK653" s="3"/>
      <c r="AL653" s="3"/>
    </row>
    <row r="654" spans="1:38" ht="15.75" customHeight="1" x14ac:dyDescent="0.2">
      <c r="A654" s="118"/>
      <c r="B654" s="118"/>
      <c r="C654" s="118"/>
      <c r="D654" s="118"/>
      <c r="E654" s="118"/>
      <c r="F654" s="118"/>
      <c r="G654" s="118"/>
      <c r="H654" s="118"/>
      <c r="I654" s="118"/>
      <c r="J654" s="118"/>
      <c r="K654" s="118"/>
      <c r="L654" s="118"/>
      <c r="M654" s="118"/>
      <c r="N654" s="42"/>
      <c r="O654" s="42"/>
      <c r="P654" s="42"/>
      <c r="Q654" s="42"/>
      <c r="R654" s="42"/>
      <c r="S654" s="3"/>
      <c r="T654" s="3"/>
      <c r="U654" s="3"/>
      <c r="V654" s="3"/>
      <c r="W654" s="3"/>
      <c r="X654" s="3"/>
      <c r="Y654" s="3"/>
      <c r="Z654" s="3"/>
      <c r="AA654" s="3"/>
      <c r="AB654" s="3"/>
      <c r="AC654" s="3"/>
      <c r="AD654" s="3"/>
      <c r="AE654" s="3"/>
      <c r="AF654" s="3"/>
      <c r="AG654" s="3"/>
      <c r="AH654" s="3"/>
      <c r="AI654" s="3"/>
      <c r="AJ654" s="3"/>
      <c r="AK654" s="3"/>
      <c r="AL654" s="3"/>
    </row>
    <row r="655" spans="1:38" ht="15.75" customHeight="1" x14ac:dyDescent="0.2">
      <c r="A655" s="118"/>
      <c r="B655" s="118"/>
      <c r="C655" s="118"/>
      <c r="D655" s="118"/>
      <c r="E655" s="118"/>
      <c r="F655" s="118"/>
      <c r="G655" s="118"/>
      <c r="H655" s="118"/>
      <c r="I655" s="118"/>
      <c r="J655" s="118"/>
      <c r="K655" s="118"/>
      <c r="L655" s="118"/>
      <c r="M655" s="118"/>
      <c r="N655" s="42"/>
      <c r="O655" s="42"/>
      <c r="P655" s="42"/>
      <c r="Q655" s="42"/>
      <c r="R655" s="42"/>
      <c r="S655" s="3"/>
      <c r="T655" s="3"/>
      <c r="U655" s="3"/>
      <c r="V655" s="3"/>
      <c r="W655" s="3"/>
      <c r="X655" s="3"/>
      <c r="Y655" s="3"/>
      <c r="Z655" s="3"/>
      <c r="AA655" s="3"/>
      <c r="AB655" s="3"/>
      <c r="AC655" s="3"/>
      <c r="AD655" s="3"/>
      <c r="AE655" s="3"/>
      <c r="AF655" s="3"/>
      <c r="AG655" s="3"/>
      <c r="AH655" s="3"/>
      <c r="AI655" s="3"/>
      <c r="AJ655" s="3"/>
      <c r="AK655" s="3"/>
      <c r="AL655" s="3"/>
    </row>
    <row r="656" spans="1:38" ht="15.75" customHeight="1" x14ac:dyDescent="0.2">
      <c r="A656" s="118"/>
      <c r="B656" s="118"/>
      <c r="C656" s="118"/>
      <c r="D656" s="118"/>
      <c r="E656" s="118"/>
      <c r="F656" s="118"/>
      <c r="G656" s="118"/>
      <c r="H656" s="118"/>
      <c r="I656" s="118"/>
      <c r="J656" s="118"/>
      <c r="K656" s="118"/>
      <c r="L656" s="118"/>
      <c r="M656" s="118"/>
      <c r="N656" s="42"/>
      <c r="O656" s="42"/>
      <c r="P656" s="42"/>
      <c r="Q656" s="42"/>
      <c r="R656" s="42"/>
      <c r="S656" s="3"/>
      <c r="T656" s="3"/>
      <c r="U656" s="3"/>
      <c r="V656" s="3"/>
      <c r="W656" s="3"/>
      <c r="X656" s="3"/>
      <c r="Y656" s="3"/>
      <c r="Z656" s="3"/>
      <c r="AA656" s="3"/>
      <c r="AB656" s="3"/>
      <c r="AC656" s="3"/>
      <c r="AD656" s="3"/>
      <c r="AE656" s="3"/>
      <c r="AF656" s="3"/>
      <c r="AG656" s="3"/>
      <c r="AH656" s="3"/>
      <c r="AI656" s="3"/>
      <c r="AJ656" s="3"/>
      <c r="AK656" s="3"/>
      <c r="AL656" s="3"/>
    </row>
    <row r="657" spans="1:38" ht="15.75" customHeight="1" x14ac:dyDescent="0.2">
      <c r="A657" s="118"/>
      <c r="B657" s="118"/>
      <c r="C657" s="118"/>
      <c r="D657" s="118"/>
      <c r="E657" s="118"/>
      <c r="F657" s="118"/>
      <c r="G657" s="118"/>
      <c r="H657" s="118"/>
      <c r="I657" s="118"/>
      <c r="J657" s="118"/>
      <c r="K657" s="118"/>
      <c r="L657" s="118"/>
      <c r="M657" s="118"/>
      <c r="N657" s="42"/>
      <c r="O657" s="42"/>
      <c r="P657" s="42"/>
      <c r="Q657" s="42"/>
      <c r="R657" s="42"/>
      <c r="S657" s="3"/>
      <c r="T657" s="3"/>
      <c r="U657" s="3"/>
      <c r="V657" s="3"/>
      <c r="W657" s="3"/>
      <c r="X657" s="3"/>
      <c r="Y657" s="3"/>
      <c r="Z657" s="3"/>
      <c r="AA657" s="3"/>
      <c r="AB657" s="3"/>
      <c r="AC657" s="3"/>
      <c r="AD657" s="3"/>
      <c r="AE657" s="3"/>
      <c r="AF657" s="3"/>
      <c r="AG657" s="3"/>
      <c r="AH657" s="3"/>
      <c r="AI657" s="3"/>
      <c r="AJ657" s="3"/>
      <c r="AK657" s="3"/>
      <c r="AL657" s="3"/>
    </row>
    <row r="658" spans="1:38" ht="15.75" customHeight="1" x14ac:dyDescent="0.2">
      <c r="A658" s="118"/>
      <c r="B658" s="118"/>
      <c r="C658" s="118"/>
      <c r="D658" s="118"/>
      <c r="E658" s="118"/>
      <c r="F658" s="118"/>
      <c r="G658" s="118"/>
      <c r="H658" s="118"/>
      <c r="I658" s="118"/>
      <c r="J658" s="118"/>
      <c r="K658" s="118"/>
      <c r="L658" s="118"/>
      <c r="M658" s="118"/>
      <c r="N658" s="42"/>
      <c r="O658" s="42"/>
      <c r="P658" s="42"/>
      <c r="Q658" s="42"/>
      <c r="R658" s="42"/>
      <c r="S658" s="3"/>
      <c r="T658" s="3"/>
      <c r="U658" s="3"/>
      <c r="V658" s="3"/>
      <c r="W658" s="3"/>
      <c r="X658" s="3"/>
      <c r="Y658" s="3"/>
      <c r="Z658" s="3"/>
      <c r="AA658" s="3"/>
      <c r="AB658" s="3"/>
      <c r="AC658" s="3"/>
      <c r="AD658" s="3"/>
      <c r="AE658" s="3"/>
      <c r="AF658" s="3"/>
      <c r="AG658" s="3"/>
      <c r="AH658" s="3"/>
      <c r="AI658" s="3"/>
      <c r="AJ658" s="3"/>
      <c r="AK658" s="3"/>
      <c r="AL658" s="3"/>
    </row>
    <row r="659" spans="1:38" ht="15.75" customHeight="1" x14ac:dyDescent="0.2">
      <c r="A659" s="118"/>
      <c r="B659" s="118"/>
      <c r="C659" s="118"/>
      <c r="D659" s="118"/>
      <c r="E659" s="118"/>
      <c r="F659" s="118"/>
      <c r="G659" s="118"/>
      <c r="H659" s="118"/>
      <c r="I659" s="118"/>
      <c r="J659" s="118"/>
      <c r="K659" s="118"/>
      <c r="L659" s="118"/>
      <c r="M659" s="118"/>
      <c r="N659" s="42"/>
      <c r="O659" s="42"/>
      <c r="P659" s="42"/>
      <c r="Q659" s="42"/>
      <c r="R659" s="42"/>
      <c r="S659" s="3"/>
      <c r="T659" s="3"/>
      <c r="U659" s="3"/>
      <c r="V659" s="3"/>
      <c r="W659" s="3"/>
      <c r="X659" s="3"/>
      <c r="Y659" s="3"/>
      <c r="Z659" s="3"/>
      <c r="AA659" s="3"/>
      <c r="AB659" s="3"/>
      <c r="AC659" s="3"/>
      <c r="AD659" s="3"/>
      <c r="AE659" s="3"/>
      <c r="AF659" s="3"/>
      <c r="AG659" s="3"/>
      <c r="AH659" s="3"/>
      <c r="AI659" s="3"/>
      <c r="AJ659" s="3"/>
      <c r="AK659" s="3"/>
      <c r="AL659" s="3"/>
    </row>
    <row r="660" spans="1:38" ht="15.75" customHeight="1" x14ac:dyDescent="0.2">
      <c r="A660" s="118"/>
      <c r="B660" s="118"/>
      <c r="C660" s="118"/>
      <c r="D660" s="118"/>
      <c r="E660" s="118"/>
      <c r="F660" s="118"/>
      <c r="G660" s="118"/>
      <c r="H660" s="118"/>
      <c r="I660" s="118"/>
      <c r="J660" s="118"/>
      <c r="K660" s="118"/>
      <c r="L660" s="118"/>
      <c r="M660" s="118"/>
      <c r="N660" s="42"/>
      <c r="O660" s="42"/>
      <c r="P660" s="42"/>
      <c r="Q660" s="42"/>
      <c r="R660" s="42"/>
      <c r="S660" s="3"/>
      <c r="T660" s="3"/>
      <c r="U660" s="3"/>
      <c r="V660" s="3"/>
      <c r="W660" s="3"/>
      <c r="X660" s="3"/>
      <c r="Y660" s="3"/>
      <c r="Z660" s="3"/>
      <c r="AA660" s="3"/>
      <c r="AB660" s="3"/>
      <c r="AC660" s="3"/>
      <c r="AD660" s="3"/>
      <c r="AE660" s="3"/>
      <c r="AF660" s="3"/>
      <c r="AG660" s="3"/>
      <c r="AH660" s="3"/>
      <c r="AI660" s="3"/>
      <c r="AJ660" s="3"/>
      <c r="AK660" s="3"/>
      <c r="AL660" s="3"/>
    </row>
    <row r="661" spans="1:38" ht="15.75" customHeight="1" x14ac:dyDescent="0.2">
      <c r="A661" s="118"/>
      <c r="B661" s="118"/>
      <c r="C661" s="118"/>
      <c r="D661" s="118"/>
      <c r="E661" s="118"/>
      <c r="F661" s="118"/>
      <c r="G661" s="118"/>
      <c r="H661" s="118"/>
      <c r="I661" s="118"/>
      <c r="J661" s="118"/>
      <c r="K661" s="118"/>
      <c r="L661" s="118"/>
      <c r="M661" s="118"/>
      <c r="N661" s="42"/>
      <c r="O661" s="42"/>
      <c r="P661" s="42"/>
      <c r="Q661" s="42"/>
      <c r="R661" s="42"/>
      <c r="S661" s="3"/>
      <c r="T661" s="3"/>
      <c r="U661" s="3"/>
      <c r="V661" s="3"/>
      <c r="W661" s="3"/>
      <c r="X661" s="3"/>
      <c r="Y661" s="3"/>
      <c r="Z661" s="3"/>
      <c r="AA661" s="3"/>
      <c r="AB661" s="3"/>
      <c r="AC661" s="3"/>
      <c r="AD661" s="3"/>
      <c r="AE661" s="3"/>
      <c r="AF661" s="3"/>
      <c r="AG661" s="3"/>
      <c r="AH661" s="3"/>
      <c r="AI661" s="3"/>
      <c r="AJ661" s="3"/>
      <c r="AK661" s="3"/>
      <c r="AL661" s="3"/>
    </row>
    <row r="662" spans="1:38" ht="15.75" customHeight="1" x14ac:dyDescent="0.2">
      <c r="A662" s="118"/>
      <c r="B662" s="118"/>
      <c r="C662" s="118"/>
      <c r="D662" s="118"/>
      <c r="E662" s="118"/>
      <c r="F662" s="118"/>
      <c r="G662" s="118"/>
      <c r="H662" s="118"/>
      <c r="I662" s="118"/>
      <c r="J662" s="118"/>
      <c r="K662" s="118"/>
      <c r="L662" s="118"/>
      <c r="M662" s="118"/>
      <c r="N662" s="42"/>
      <c r="O662" s="42"/>
      <c r="P662" s="42"/>
      <c r="Q662" s="42"/>
      <c r="R662" s="42"/>
      <c r="S662" s="3"/>
      <c r="T662" s="3"/>
      <c r="U662" s="3"/>
      <c r="V662" s="3"/>
      <c r="W662" s="3"/>
      <c r="X662" s="3"/>
      <c r="Y662" s="3"/>
      <c r="Z662" s="3"/>
      <c r="AA662" s="3"/>
      <c r="AB662" s="3"/>
      <c r="AC662" s="3"/>
      <c r="AD662" s="3"/>
      <c r="AE662" s="3"/>
      <c r="AF662" s="3"/>
      <c r="AG662" s="3"/>
      <c r="AH662" s="3"/>
      <c r="AI662" s="3"/>
      <c r="AJ662" s="3"/>
      <c r="AK662" s="3"/>
      <c r="AL662" s="3"/>
    </row>
    <row r="663" spans="1:38" ht="15.75" customHeight="1" x14ac:dyDescent="0.2">
      <c r="A663" s="118"/>
      <c r="B663" s="118"/>
      <c r="C663" s="118"/>
      <c r="D663" s="118"/>
      <c r="E663" s="118"/>
      <c r="F663" s="118"/>
      <c r="G663" s="118"/>
      <c r="H663" s="118"/>
      <c r="I663" s="118"/>
      <c r="J663" s="118"/>
      <c r="K663" s="118"/>
      <c r="L663" s="118"/>
      <c r="M663" s="118"/>
      <c r="N663" s="42"/>
      <c r="O663" s="42"/>
      <c r="P663" s="42"/>
      <c r="Q663" s="42"/>
      <c r="R663" s="42"/>
      <c r="S663" s="3"/>
      <c r="T663" s="3"/>
      <c r="U663" s="3"/>
      <c r="V663" s="3"/>
      <c r="W663" s="3"/>
      <c r="X663" s="3"/>
      <c r="Y663" s="3"/>
      <c r="Z663" s="3"/>
      <c r="AA663" s="3"/>
      <c r="AB663" s="3"/>
      <c r="AC663" s="3"/>
      <c r="AD663" s="3"/>
      <c r="AE663" s="3"/>
      <c r="AF663" s="3"/>
      <c r="AG663" s="3"/>
      <c r="AH663" s="3"/>
      <c r="AI663" s="3"/>
      <c r="AJ663" s="3"/>
      <c r="AK663" s="3"/>
      <c r="AL663" s="3"/>
    </row>
    <row r="664" spans="1:38" ht="15.75" customHeight="1" x14ac:dyDescent="0.2">
      <c r="A664" s="118"/>
      <c r="B664" s="118"/>
      <c r="C664" s="118"/>
      <c r="D664" s="118"/>
      <c r="E664" s="118"/>
      <c r="F664" s="118"/>
      <c r="G664" s="118"/>
      <c r="H664" s="118"/>
      <c r="I664" s="118"/>
      <c r="J664" s="118"/>
      <c r="K664" s="118"/>
      <c r="L664" s="118"/>
      <c r="M664" s="118"/>
      <c r="N664" s="42"/>
      <c r="O664" s="42"/>
      <c r="P664" s="42"/>
      <c r="Q664" s="42"/>
      <c r="R664" s="42"/>
      <c r="S664" s="3"/>
      <c r="T664" s="3"/>
      <c r="U664" s="3"/>
      <c r="V664" s="3"/>
      <c r="W664" s="3"/>
      <c r="X664" s="3"/>
      <c r="Y664" s="3"/>
      <c r="Z664" s="3"/>
      <c r="AA664" s="3"/>
      <c r="AB664" s="3"/>
      <c r="AC664" s="3"/>
      <c r="AD664" s="3"/>
      <c r="AE664" s="3"/>
      <c r="AF664" s="3"/>
      <c r="AG664" s="3"/>
      <c r="AH664" s="3"/>
      <c r="AI664" s="3"/>
      <c r="AJ664" s="3"/>
      <c r="AK664" s="3"/>
      <c r="AL664" s="3"/>
    </row>
    <row r="665" spans="1:38" ht="15.75" customHeight="1" x14ac:dyDescent="0.2">
      <c r="A665" s="118"/>
      <c r="B665" s="118"/>
      <c r="C665" s="118"/>
      <c r="D665" s="118"/>
      <c r="E665" s="118"/>
      <c r="F665" s="118"/>
      <c r="G665" s="118"/>
      <c r="H665" s="118"/>
      <c r="I665" s="118"/>
      <c r="J665" s="118"/>
      <c r="K665" s="118"/>
      <c r="L665" s="118"/>
      <c r="M665" s="118"/>
      <c r="N665" s="42"/>
      <c r="O665" s="42"/>
      <c r="P665" s="42"/>
      <c r="Q665" s="42"/>
      <c r="R665" s="42"/>
      <c r="S665" s="3"/>
      <c r="T665" s="3"/>
      <c r="U665" s="3"/>
      <c r="V665" s="3"/>
      <c r="W665" s="3"/>
      <c r="X665" s="3"/>
      <c r="Y665" s="3"/>
      <c r="Z665" s="3"/>
      <c r="AA665" s="3"/>
      <c r="AB665" s="3"/>
      <c r="AC665" s="3"/>
      <c r="AD665" s="3"/>
      <c r="AE665" s="3"/>
      <c r="AF665" s="3"/>
      <c r="AG665" s="3"/>
      <c r="AH665" s="3"/>
      <c r="AI665" s="3"/>
      <c r="AJ665" s="3"/>
      <c r="AK665" s="3"/>
      <c r="AL665" s="3"/>
    </row>
    <row r="666" spans="1:38" ht="15.75" customHeight="1" x14ac:dyDescent="0.2">
      <c r="A666" s="118"/>
      <c r="B666" s="118"/>
      <c r="C666" s="118"/>
      <c r="D666" s="118"/>
      <c r="E666" s="118"/>
      <c r="F666" s="118"/>
      <c r="G666" s="118"/>
      <c r="H666" s="118"/>
      <c r="I666" s="118"/>
      <c r="J666" s="118"/>
      <c r="K666" s="118"/>
      <c r="L666" s="118"/>
      <c r="M666" s="118"/>
      <c r="N666" s="42"/>
      <c r="O666" s="42"/>
      <c r="P666" s="42"/>
      <c r="Q666" s="42"/>
      <c r="R666" s="42"/>
      <c r="S666" s="3"/>
      <c r="T666" s="3"/>
      <c r="U666" s="3"/>
      <c r="V666" s="3"/>
      <c r="W666" s="3"/>
      <c r="X666" s="3"/>
      <c r="Y666" s="3"/>
      <c r="Z666" s="3"/>
      <c r="AA666" s="3"/>
      <c r="AB666" s="3"/>
      <c r="AC666" s="3"/>
      <c r="AD666" s="3"/>
      <c r="AE666" s="3"/>
      <c r="AF666" s="3"/>
      <c r="AG666" s="3"/>
      <c r="AH666" s="3"/>
      <c r="AI666" s="3"/>
      <c r="AJ666" s="3"/>
      <c r="AK666" s="3"/>
      <c r="AL666" s="3"/>
    </row>
    <row r="667" spans="1:38" ht="15.75" customHeight="1" x14ac:dyDescent="0.2">
      <c r="A667" s="118"/>
      <c r="B667" s="118"/>
      <c r="C667" s="118"/>
      <c r="D667" s="118"/>
      <c r="E667" s="118"/>
      <c r="F667" s="118"/>
      <c r="G667" s="118"/>
      <c r="H667" s="118"/>
      <c r="I667" s="118"/>
      <c r="J667" s="118"/>
      <c r="K667" s="118"/>
      <c r="L667" s="118"/>
      <c r="M667" s="118"/>
      <c r="N667" s="42"/>
      <c r="O667" s="42"/>
      <c r="P667" s="42"/>
      <c r="Q667" s="42"/>
      <c r="R667" s="42"/>
      <c r="S667" s="3"/>
      <c r="T667" s="3"/>
      <c r="U667" s="3"/>
      <c r="V667" s="3"/>
      <c r="W667" s="3"/>
      <c r="X667" s="3"/>
      <c r="Y667" s="3"/>
      <c r="Z667" s="3"/>
      <c r="AA667" s="3"/>
      <c r="AB667" s="3"/>
      <c r="AC667" s="3"/>
      <c r="AD667" s="3"/>
      <c r="AE667" s="3"/>
      <c r="AF667" s="3"/>
      <c r="AG667" s="3"/>
      <c r="AH667" s="3"/>
      <c r="AI667" s="3"/>
      <c r="AJ667" s="3"/>
      <c r="AK667" s="3"/>
      <c r="AL667" s="3"/>
    </row>
    <row r="668" spans="1:38" ht="15.75" customHeight="1" x14ac:dyDescent="0.2">
      <c r="A668" s="118"/>
      <c r="B668" s="118"/>
      <c r="C668" s="118"/>
      <c r="D668" s="118"/>
      <c r="E668" s="118"/>
      <c r="F668" s="118"/>
      <c r="G668" s="118"/>
      <c r="H668" s="118"/>
      <c r="I668" s="118"/>
      <c r="J668" s="118"/>
      <c r="K668" s="118"/>
      <c r="L668" s="118"/>
      <c r="M668" s="118"/>
      <c r="N668" s="42"/>
      <c r="O668" s="42"/>
      <c r="P668" s="42"/>
      <c r="Q668" s="42"/>
      <c r="R668" s="42"/>
      <c r="S668" s="3"/>
      <c r="T668" s="3"/>
      <c r="U668" s="3"/>
      <c r="V668" s="3"/>
      <c r="W668" s="3"/>
      <c r="X668" s="3"/>
      <c r="Y668" s="3"/>
      <c r="Z668" s="3"/>
      <c r="AA668" s="3"/>
      <c r="AB668" s="3"/>
      <c r="AC668" s="3"/>
      <c r="AD668" s="3"/>
      <c r="AE668" s="3"/>
      <c r="AF668" s="3"/>
      <c r="AG668" s="3"/>
      <c r="AH668" s="3"/>
      <c r="AI668" s="3"/>
      <c r="AJ668" s="3"/>
      <c r="AK668" s="3"/>
      <c r="AL668" s="3"/>
    </row>
    <row r="669" spans="1:38" ht="15.75" customHeight="1" x14ac:dyDescent="0.2">
      <c r="A669" s="118"/>
      <c r="B669" s="118"/>
      <c r="C669" s="118"/>
      <c r="D669" s="118"/>
      <c r="E669" s="118"/>
      <c r="F669" s="118"/>
      <c r="G669" s="118"/>
      <c r="H669" s="118"/>
      <c r="I669" s="118"/>
      <c r="J669" s="118"/>
      <c r="K669" s="118"/>
      <c r="L669" s="118"/>
      <c r="M669" s="118"/>
      <c r="N669" s="42"/>
      <c r="O669" s="42"/>
      <c r="P669" s="42"/>
      <c r="Q669" s="42"/>
      <c r="R669" s="42"/>
      <c r="S669" s="3"/>
      <c r="T669" s="3"/>
      <c r="U669" s="3"/>
      <c r="V669" s="3"/>
      <c r="W669" s="3"/>
      <c r="X669" s="3"/>
      <c r="Y669" s="3"/>
      <c r="Z669" s="3"/>
      <c r="AA669" s="3"/>
      <c r="AB669" s="3"/>
      <c r="AC669" s="3"/>
      <c r="AD669" s="3"/>
      <c r="AE669" s="3"/>
      <c r="AF669" s="3"/>
      <c r="AG669" s="3"/>
      <c r="AH669" s="3"/>
      <c r="AI669" s="3"/>
      <c r="AJ669" s="3"/>
      <c r="AK669" s="3"/>
      <c r="AL669" s="3"/>
    </row>
    <row r="670" spans="1:38" ht="15.75" customHeight="1" x14ac:dyDescent="0.2">
      <c r="A670" s="118"/>
      <c r="B670" s="118"/>
      <c r="C670" s="118"/>
      <c r="D670" s="118"/>
      <c r="E670" s="118"/>
      <c r="F670" s="118"/>
      <c r="G670" s="118"/>
      <c r="H670" s="118"/>
      <c r="I670" s="118"/>
      <c r="J670" s="118"/>
      <c r="K670" s="118"/>
      <c r="L670" s="118"/>
      <c r="M670" s="118"/>
      <c r="N670" s="42"/>
      <c r="O670" s="42"/>
      <c r="P670" s="42"/>
      <c r="Q670" s="42"/>
      <c r="R670" s="42"/>
      <c r="S670" s="3"/>
      <c r="T670" s="3"/>
      <c r="U670" s="3"/>
      <c r="V670" s="3"/>
      <c r="W670" s="3"/>
      <c r="X670" s="3"/>
      <c r="Y670" s="3"/>
      <c r="Z670" s="3"/>
      <c r="AA670" s="3"/>
      <c r="AB670" s="3"/>
      <c r="AC670" s="3"/>
      <c r="AD670" s="3"/>
      <c r="AE670" s="3"/>
      <c r="AF670" s="3"/>
      <c r="AG670" s="3"/>
      <c r="AH670" s="3"/>
      <c r="AI670" s="3"/>
      <c r="AJ670" s="3"/>
      <c r="AK670" s="3"/>
      <c r="AL670" s="3"/>
    </row>
    <row r="671" spans="1:38" ht="15.75" customHeight="1" x14ac:dyDescent="0.2">
      <c r="A671" s="118"/>
      <c r="B671" s="118"/>
      <c r="C671" s="118"/>
      <c r="D671" s="118"/>
      <c r="E671" s="118"/>
      <c r="F671" s="118"/>
      <c r="G671" s="118"/>
      <c r="H671" s="118"/>
      <c r="I671" s="118"/>
      <c r="J671" s="118"/>
      <c r="K671" s="118"/>
      <c r="L671" s="118"/>
      <c r="M671" s="118"/>
      <c r="N671" s="42"/>
      <c r="O671" s="42"/>
      <c r="P671" s="42"/>
      <c r="Q671" s="42"/>
      <c r="R671" s="42"/>
      <c r="S671" s="3"/>
      <c r="T671" s="3"/>
      <c r="U671" s="3"/>
      <c r="V671" s="3"/>
      <c r="W671" s="3"/>
      <c r="X671" s="3"/>
      <c r="Y671" s="3"/>
      <c r="Z671" s="3"/>
      <c r="AA671" s="3"/>
      <c r="AB671" s="3"/>
      <c r="AC671" s="3"/>
      <c r="AD671" s="3"/>
      <c r="AE671" s="3"/>
      <c r="AF671" s="3"/>
      <c r="AG671" s="3"/>
      <c r="AH671" s="3"/>
      <c r="AI671" s="3"/>
      <c r="AJ671" s="3"/>
      <c r="AK671" s="3"/>
      <c r="AL671" s="3"/>
    </row>
    <row r="672" spans="1:38" ht="15.75" customHeight="1" x14ac:dyDescent="0.2">
      <c r="A672" s="118"/>
      <c r="B672" s="118"/>
      <c r="C672" s="118"/>
      <c r="D672" s="118"/>
      <c r="E672" s="118"/>
      <c r="F672" s="118"/>
      <c r="G672" s="118"/>
      <c r="H672" s="118"/>
      <c r="I672" s="118"/>
      <c r="J672" s="118"/>
      <c r="K672" s="118"/>
      <c r="L672" s="118"/>
      <c r="M672" s="118"/>
      <c r="N672" s="42"/>
      <c r="O672" s="42"/>
      <c r="P672" s="42"/>
      <c r="Q672" s="42"/>
      <c r="R672" s="42"/>
      <c r="S672" s="3"/>
      <c r="T672" s="3"/>
      <c r="U672" s="3"/>
      <c r="V672" s="3"/>
      <c r="W672" s="3"/>
      <c r="X672" s="3"/>
      <c r="Y672" s="3"/>
      <c r="Z672" s="3"/>
      <c r="AA672" s="3"/>
      <c r="AB672" s="3"/>
      <c r="AC672" s="3"/>
      <c r="AD672" s="3"/>
      <c r="AE672" s="3"/>
      <c r="AF672" s="3"/>
      <c r="AG672" s="3"/>
      <c r="AH672" s="3"/>
      <c r="AI672" s="3"/>
      <c r="AJ672" s="3"/>
      <c r="AK672" s="3"/>
      <c r="AL672" s="3"/>
    </row>
    <row r="673" spans="1:38" ht="15.75" customHeight="1" x14ac:dyDescent="0.2">
      <c r="A673" s="118"/>
      <c r="B673" s="118"/>
      <c r="C673" s="118"/>
      <c r="D673" s="118"/>
      <c r="E673" s="118"/>
      <c r="F673" s="118"/>
      <c r="G673" s="118"/>
      <c r="H673" s="118"/>
      <c r="I673" s="118"/>
      <c r="J673" s="118"/>
      <c r="K673" s="118"/>
      <c r="L673" s="118"/>
      <c r="M673" s="118"/>
      <c r="N673" s="42"/>
      <c r="O673" s="42"/>
      <c r="P673" s="42"/>
      <c r="Q673" s="42"/>
      <c r="R673" s="42"/>
      <c r="S673" s="3"/>
      <c r="T673" s="3"/>
      <c r="U673" s="3"/>
      <c r="V673" s="3"/>
      <c r="W673" s="3"/>
      <c r="X673" s="3"/>
      <c r="Y673" s="3"/>
      <c r="Z673" s="3"/>
      <c r="AA673" s="3"/>
      <c r="AB673" s="3"/>
      <c r="AC673" s="3"/>
      <c r="AD673" s="3"/>
      <c r="AE673" s="3"/>
      <c r="AF673" s="3"/>
      <c r="AG673" s="3"/>
      <c r="AH673" s="3"/>
      <c r="AI673" s="3"/>
      <c r="AJ673" s="3"/>
      <c r="AK673" s="3"/>
      <c r="AL673" s="3"/>
    </row>
    <row r="674" spans="1:38" ht="15.75" customHeight="1" x14ac:dyDescent="0.2">
      <c r="A674" s="118"/>
      <c r="B674" s="118"/>
      <c r="C674" s="118"/>
      <c r="D674" s="118"/>
      <c r="E674" s="118"/>
      <c r="F674" s="118"/>
      <c r="G674" s="118"/>
      <c r="H674" s="118"/>
      <c r="I674" s="118"/>
      <c r="J674" s="118"/>
      <c r="K674" s="118"/>
      <c r="L674" s="118"/>
      <c r="M674" s="118"/>
      <c r="N674" s="42"/>
      <c r="O674" s="42"/>
      <c r="P674" s="42"/>
      <c r="Q674" s="42"/>
      <c r="R674" s="42"/>
      <c r="S674" s="3"/>
      <c r="T674" s="3"/>
      <c r="U674" s="3"/>
      <c r="V674" s="3"/>
      <c r="W674" s="3"/>
      <c r="X674" s="3"/>
      <c r="Y674" s="3"/>
      <c r="Z674" s="3"/>
      <c r="AA674" s="3"/>
      <c r="AB674" s="3"/>
      <c r="AC674" s="3"/>
      <c r="AD674" s="3"/>
      <c r="AE674" s="3"/>
      <c r="AF674" s="3"/>
      <c r="AG674" s="3"/>
      <c r="AH674" s="3"/>
      <c r="AI674" s="3"/>
      <c r="AJ674" s="3"/>
      <c r="AK674" s="3"/>
      <c r="AL674" s="3"/>
    </row>
    <row r="675" spans="1:38" ht="15.75" customHeight="1" x14ac:dyDescent="0.2">
      <c r="A675" s="118"/>
      <c r="B675" s="118"/>
      <c r="C675" s="118"/>
      <c r="D675" s="118"/>
      <c r="E675" s="118"/>
      <c r="F675" s="118"/>
      <c r="G675" s="118"/>
      <c r="H675" s="118"/>
      <c r="I675" s="118"/>
      <c r="J675" s="118"/>
      <c r="K675" s="118"/>
      <c r="L675" s="118"/>
      <c r="M675" s="118"/>
      <c r="N675" s="42"/>
      <c r="O675" s="42"/>
      <c r="P675" s="42"/>
      <c r="Q675" s="42"/>
      <c r="R675" s="42"/>
      <c r="S675" s="3"/>
      <c r="T675" s="3"/>
      <c r="U675" s="3"/>
      <c r="V675" s="3"/>
      <c r="W675" s="3"/>
      <c r="X675" s="3"/>
      <c r="Y675" s="3"/>
      <c r="Z675" s="3"/>
      <c r="AA675" s="3"/>
      <c r="AB675" s="3"/>
      <c r="AC675" s="3"/>
      <c r="AD675" s="3"/>
      <c r="AE675" s="3"/>
      <c r="AF675" s="3"/>
      <c r="AG675" s="3"/>
      <c r="AH675" s="3"/>
      <c r="AI675" s="3"/>
      <c r="AJ675" s="3"/>
      <c r="AK675" s="3"/>
      <c r="AL675" s="3"/>
    </row>
    <row r="676" spans="1:38" ht="15.75" customHeight="1" x14ac:dyDescent="0.2">
      <c r="A676" s="118"/>
      <c r="B676" s="118"/>
      <c r="C676" s="118"/>
      <c r="D676" s="118"/>
      <c r="E676" s="118"/>
      <c r="F676" s="118"/>
      <c r="G676" s="118"/>
      <c r="H676" s="118"/>
      <c r="I676" s="118"/>
      <c r="J676" s="118"/>
      <c r="K676" s="118"/>
      <c r="L676" s="118"/>
      <c r="M676" s="118"/>
      <c r="N676" s="42"/>
      <c r="O676" s="42"/>
      <c r="P676" s="42"/>
      <c r="Q676" s="42"/>
      <c r="R676" s="42"/>
      <c r="S676" s="3"/>
      <c r="T676" s="3"/>
      <c r="U676" s="3"/>
      <c r="V676" s="3"/>
      <c r="W676" s="3"/>
      <c r="X676" s="3"/>
      <c r="Y676" s="3"/>
      <c r="Z676" s="3"/>
      <c r="AA676" s="3"/>
      <c r="AB676" s="3"/>
      <c r="AC676" s="3"/>
      <c r="AD676" s="3"/>
      <c r="AE676" s="3"/>
      <c r="AF676" s="3"/>
      <c r="AG676" s="3"/>
      <c r="AH676" s="3"/>
      <c r="AI676" s="3"/>
      <c r="AJ676" s="3"/>
      <c r="AK676" s="3"/>
      <c r="AL676" s="3"/>
    </row>
    <row r="677" spans="1:38" ht="15.75" customHeight="1" x14ac:dyDescent="0.2">
      <c r="A677" s="118"/>
      <c r="B677" s="118"/>
      <c r="C677" s="118"/>
      <c r="D677" s="118"/>
      <c r="E677" s="118"/>
      <c r="F677" s="118"/>
      <c r="G677" s="118"/>
      <c r="H677" s="118"/>
      <c r="I677" s="118"/>
      <c r="J677" s="118"/>
      <c r="K677" s="118"/>
      <c r="L677" s="118"/>
      <c r="M677" s="118"/>
      <c r="N677" s="42"/>
      <c r="O677" s="42"/>
      <c r="P677" s="42"/>
      <c r="Q677" s="42"/>
      <c r="R677" s="42"/>
      <c r="S677" s="3"/>
      <c r="T677" s="3"/>
      <c r="U677" s="3"/>
      <c r="V677" s="3"/>
      <c r="W677" s="3"/>
      <c r="X677" s="3"/>
      <c r="Y677" s="3"/>
      <c r="Z677" s="3"/>
      <c r="AA677" s="3"/>
      <c r="AB677" s="3"/>
      <c r="AC677" s="3"/>
      <c r="AD677" s="3"/>
      <c r="AE677" s="3"/>
      <c r="AF677" s="3"/>
      <c r="AG677" s="3"/>
      <c r="AH677" s="3"/>
      <c r="AI677" s="3"/>
      <c r="AJ677" s="3"/>
      <c r="AK677" s="3"/>
      <c r="AL677" s="3"/>
    </row>
    <row r="678" spans="1:38" ht="15.75" customHeight="1" x14ac:dyDescent="0.2">
      <c r="A678" s="118"/>
      <c r="B678" s="118"/>
      <c r="C678" s="118"/>
      <c r="D678" s="118"/>
      <c r="E678" s="118"/>
      <c r="F678" s="118"/>
      <c r="G678" s="118"/>
      <c r="H678" s="118"/>
      <c r="I678" s="118"/>
      <c r="J678" s="118"/>
      <c r="K678" s="118"/>
      <c r="L678" s="118"/>
      <c r="M678" s="118"/>
      <c r="N678" s="42"/>
      <c r="O678" s="42"/>
      <c r="P678" s="42"/>
      <c r="Q678" s="42"/>
      <c r="R678" s="42"/>
      <c r="S678" s="3"/>
      <c r="T678" s="3"/>
      <c r="U678" s="3"/>
      <c r="V678" s="3"/>
      <c r="W678" s="3"/>
      <c r="X678" s="3"/>
      <c r="Y678" s="3"/>
      <c r="Z678" s="3"/>
      <c r="AA678" s="3"/>
      <c r="AB678" s="3"/>
      <c r="AC678" s="3"/>
      <c r="AD678" s="3"/>
      <c r="AE678" s="3"/>
      <c r="AF678" s="3"/>
      <c r="AG678" s="3"/>
      <c r="AH678" s="3"/>
      <c r="AI678" s="3"/>
      <c r="AJ678" s="3"/>
      <c r="AK678" s="3"/>
      <c r="AL678" s="3"/>
    </row>
    <row r="679" spans="1:38" ht="15.75" customHeight="1" x14ac:dyDescent="0.2">
      <c r="A679" s="118"/>
      <c r="B679" s="118"/>
      <c r="C679" s="118"/>
      <c r="D679" s="118"/>
      <c r="E679" s="118"/>
      <c r="F679" s="118"/>
      <c r="G679" s="118"/>
      <c r="H679" s="118"/>
      <c r="I679" s="118"/>
      <c r="J679" s="118"/>
      <c r="K679" s="118"/>
      <c r="L679" s="118"/>
      <c r="M679" s="118"/>
      <c r="N679" s="42"/>
      <c r="O679" s="42"/>
      <c r="P679" s="42"/>
      <c r="Q679" s="42"/>
      <c r="R679" s="42"/>
      <c r="S679" s="3"/>
      <c r="T679" s="3"/>
      <c r="U679" s="3"/>
      <c r="V679" s="3"/>
      <c r="W679" s="3"/>
      <c r="X679" s="3"/>
      <c r="Y679" s="3"/>
      <c r="Z679" s="3"/>
      <c r="AA679" s="3"/>
      <c r="AB679" s="3"/>
      <c r="AC679" s="3"/>
      <c r="AD679" s="3"/>
      <c r="AE679" s="3"/>
      <c r="AF679" s="3"/>
      <c r="AG679" s="3"/>
      <c r="AH679" s="3"/>
      <c r="AI679" s="3"/>
      <c r="AJ679" s="3"/>
      <c r="AK679" s="3"/>
      <c r="AL679" s="3"/>
    </row>
    <row r="680" spans="1:38" ht="15.75" customHeight="1" x14ac:dyDescent="0.2">
      <c r="A680" s="118"/>
      <c r="B680" s="118"/>
      <c r="C680" s="118"/>
      <c r="D680" s="118"/>
      <c r="E680" s="118"/>
      <c r="F680" s="118"/>
      <c r="G680" s="118"/>
      <c r="H680" s="118"/>
      <c r="I680" s="118"/>
      <c r="J680" s="118"/>
      <c r="K680" s="118"/>
      <c r="L680" s="118"/>
      <c r="M680" s="118"/>
      <c r="N680" s="42"/>
      <c r="O680" s="42"/>
      <c r="P680" s="42"/>
      <c r="Q680" s="42"/>
      <c r="R680" s="42"/>
      <c r="S680" s="3"/>
      <c r="T680" s="3"/>
      <c r="U680" s="3"/>
      <c r="V680" s="3"/>
      <c r="W680" s="3"/>
      <c r="X680" s="3"/>
      <c r="Y680" s="3"/>
      <c r="Z680" s="3"/>
      <c r="AA680" s="3"/>
      <c r="AB680" s="3"/>
      <c r="AC680" s="3"/>
      <c r="AD680" s="3"/>
      <c r="AE680" s="3"/>
      <c r="AF680" s="3"/>
      <c r="AG680" s="3"/>
      <c r="AH680" s="3"/>
      <c r="AI680" s="3"/>
      <c r="AJ680" s="3"/>
      <c r="AK680" s="3"/>
      <c r="AL680" s="3"/>
    </row>
    <row r="681" spans="1:38" ht="15.75" customHeight="1" x14ac:dyDescent="0.2">
      <c r="A681" s="118"/>
      <c r="B681" s="118"/>
      <c r="C681" s="118"/>
      <c r="D681" s="118"/>
      <c r="E681" s="118"/>
      <c r="F681" s="118"/>
      <c r="G681" s="118"/>
      <c r="H681" s="118"/>
      <c r="I681" s="118"/>
      <c r="J681" s="118"/>
      <c r="K681" s="118"/>
      <c r="L681" s="118"/>
      <c r="M681" s="118"/>
      <c r="N681" s="42"/>
      <c r="O681" s="42"/>
      <c r="P681" s="42"/>
      <c r="Q681" s="42"/>
      <c r="R681" s="42"/>
      <c r="S681" s="3"/>
      <c r="T681" s="3"/>
      <c r="U681" s="3"/>
      <c r="V681" s="3"/>
      <c r="W681" s="3"/>
      <c r="X681" s="3"/>
      <c r="Y681" s="3"/>
      <c r="Z681" s="3"/>
      <c r="AA681" s="3"/>
      <c r="AB681" s="3"/>
      <c r="AC681" s="3"/>
      <c r="AD681" s="3"/>
      <c r="AE681" s="3"/>
      <c r="AF681" s="3"/>
      <c r="AG681" s="3"/>
      <c r="AH681" s="3"/>
      <c r="AI681" s="3"/>
      <c r="AJ681" s="3"/>
      <c r="AK681" s="3"/>
      <c r="AL681" s="3"/>
    </row>
    <row r="682" spans="1:38" ht="15.75" customHeight="1" x14ac:dyDescent="0.2">
      <c r="A682" s="118"/>
      <c r="B682" s="118"/>
      <c r="C682" s="118"/>
      <c r="D682" s="118"/>
      <c r="E682" s="118"/>
      <c r="F682" s="118"/>
      <c r="G682" s="118"/>
      <c r="H682" s="118"/>
      <c r="I682" s="118"/>
      <c r="J682" s="118"/>
      <c r="K682" s="118"/>
      <c r="L682" s="118"/>
      <c r="M682" s="118"/>
      <c r="N682" s="42"/>
      <c r="O682" s="42"/>
      <c r="P682" s="42"/>
      <c r="Q682" s="42"/>
      <c r="R682" s="42"/>
      <c r="S682" s="3"/>
      <c r="T682" s="3"/>
      <c r="U682" s="3"/>
      <c r="V682" s="3"/>
      <c r="W682" s="3"/>
      <c r="X682" s="3"/>
      <c r="Y682" s="3"/>
      <c r="Z682" s="3"/>
      <c r="AA682" s="3"/>
      <c r="AB682" s="3"/>
      <c r="AC682" s="3"/>
      <c r="AD682" s="3"/>
      <c r="AE682" s="3"/>
      <c r="AF682" s="3"/>
      <c r="AG682" s="3"/>
      <c r="AH682" s="3"/>
      <c r="AI682" s="3"/>
      <c r="AJ682" s="3"/>
      <c r="AK682" s="3"/>
      <c r="AL682" s="3"/>
    </row>
    <row r="683" spans="1:38" ht="15.75" customHeight="1" x14ac:dyDescent="0.2">
      <c r="A683" s="118"/>
      <c r="B683" s="118"/>
      <c r="C683" s="118"/>
      <c r="D683" s="118"/>
      <c r="E683" s="118"/>
      <c r="F683" s="118"/>
      <c r="G683" s="118"/>
      <c r="H683" s="118"/>
      <c r="I683" s="118"/>
      <c r="J683" s="118"/>
      <c r="K683" s="118"/>
      <c r="L683" s="118"/>
      <c r="M683" s="118"/>
      <c r="N683" s="42"/>
      <c r="O683" s="42"/>
      <c r="P683" s="42"/>
      <c r="Q683" s="42"/>
      <c r="R683" s="42"/>
      <c r="S683" s="3"/>
      <c r="T683" s="3"/>
      <c r="U683" s="3"/>
      <c r="V683" s="3"/>
      <c r="W683" s="3"/>
      <c r="X683" s="3"/>
      <c r="Y683" s="3"/>
      <c r="Z683" s="3"/>
      <c r="AA683" s="3"/>
      <c r="AB683" s="3"/>
      <c r="AC683" s="3"/>
      <c r="AD683" s="3"/>
      <c r="AE683" s="3"/>
      <c r="AF683" s="3"/>
      <c r="AG683" s="3"/>
      <c r="AH683" s="3"/>
      <c r="AI683" s="3"/>
      <c r="AJ683" s="3"/>
      <c r="AK683" s="3"/>
      <c r="AL683" s="3"/>
    </row>
    <row r="684" spans="1:38" ht="15.75" customHeight="1" x14ac:dyDescent="0.2">
      <c r="A684" s="118"/>
      <c r="B684" s="118"/>
      <c r="C684" s="118"/>
      <c r="D684" s="118"/>
      <c r="E684" s="118"/>
      <c r="F684" s="118"/>
      <c r="G684" s="118"/>
      <c r="H684" s="118"/>
      <c r="I684" s="118"/>
      <c r="J684" s="118"/>
      <c r="K684" s="118"/>
      <c r="L684" s="118"/>
      <c r="M684" s="118"/>
      <c r="N684" s="42"/>
      <c r="O684" s="42"/>
      <c r="P684" s="42"/>
      <c r="Q684" s="42"/>
      <c r="R684" s="42"/>
      <c r="S684" s="3"/>
      <c r="T684" s="3"/>
      <c r="U684" s="3"/>
      <c r="V684" s="3"/>
      <c r="W684" s="3"/>
      <c r="X684" s="3"/>
      <c r="Y684" s="3"/>
      <c r="Z684" s="3"/>
      <c r="AA684" s="3"/>
      <c r="AB684" s="3"/>
      <c r="AC684" s="3"/>
      <c r="AD684" s="3"/>
      <c r="AE684" s="3"/>
      <c r="AF684" s="3"/>
      <c r="AG684" s="3"/>
      <c r="AH684" s="3"/>
      <c r="AI684" s="3"/>
      <c r="AJ684" s="3"/>
      <c r="AK684" s="3"/>
      <c r="AL684" s="3"/>
    </row>
    <row r="685" spans="1:38" ht="15.75" customHeight="1" x14ac:dyDescent="0.2">
      <c r="A685" s="118"/>
      <c r="B685" s="118"/>
      <c r="C685" s="118"/>
      <c r="D685" s="118"/>
      <c r="E685" s="118"/>
      <c r="F685" s="118"/>
      <c r="G685" s="118"/>
      <c r="H685" s="118"/>
      <c r="I685" s="118"/>
      <c r="J685" s="118"/>
      <c r="K685" s="118"/>
      <c r="L685" s="118"/>
      <c r="M685" s="118"/>
      <c r="N685" s="42"/>
      <c r="O685" s="42"/>
      <c r="P685" s="42"/>
      <c r="Q685" s="42"/>
      <c r="R685" s="42"/>
      <c r="S685" s="3"/>
      <c r="T685" s="3"/>
      <c r="U685" s="3"/>
      <c r="V685" s="3"/>
      <c r="W685" s="3"/>
      <c r="X685" s="3"/>
      <c r="Y685" s="3"/>
      <c r="Z685" s="3"/>
      <c r="AA685" s="3"/>
      <c r="AB685" s="3"/>
      <c r="AC685" s="3"/>
      <c r="AD685" s="3"/>
      <c r="AE685" s="3"/>
      <c r="AF685" s="3"/>
      <c r="AG685" s="3"/>
      <c r="AH685" s="3"/>
      <c r="AI685" s="3"/>
      <c r="AJ685" s="3"/>
      <c r="AK685" s="3"/>
      <c r="AL685" s="3"/>
    </row>
    <row r="686" spans="1:38" ht="15.75" customHeight="1" x14ac:dyDescent="0.2">
      <c r="A686" s="118"/>
      <c r="B686" s="118"/>
      <c r="C686" s="118"/>
      <c r="D686" s="118"/>
      <c r="E686" s="118"/>
      <c r="F686" s="118"/>
      <c r="G686" s="118"/>
      <c r="H686" s="118"/>
      <c r="I686" s="118"/>
      <c r="J686" s="118"/>
      <c r="K686" s="118"/>
      <c r="L686" s="118"/>
      <c r="M686" s="118"/>
      <c r="N686" s="42"/>
      <c r="O686" s="42"/>
      <c r="P686" s="42"/>
      <c r="Q686" s="42"/>
      <c r="R686" s="42"/>
      <c r="S686" s="3"/>
      <c r="T686" s="3"/>
      <c r="U686" s="3"/>
      <c r="V686" s="3"/>
      <c r="W686" s="3"/>
      <c r="X686" s="3"/>
      <c r="Y686" s="3"/>
      <c r="Z686" s="3"/>
      <c r="AA686" s="3"/>
      <c r="AB686" s="3"/>
      <c r="AC686" s="3"/>
      <c r="AD686" s="3"/>
      <c r="AE686" s="3"/>
      <c r="AF686" s="3"/>
      <c r="AG686" s="3"/>
      <c r="AH686" s="3"/>
      <c r="AI686" s="3"/>
      <c r="AJ686" s="3"/>
      <c r="AK686" s="3"/>
      <c r="AL686" s="3"/>
    </row>
    <row r="687" spans="1:38" ht="15.75" customHeight="1" x14ac:dyDescent="0.2">
      <c r="A687" s="118"/>
      <c r="B687" s="118"/>
      <c r="C687" s="118"/>
      <c r="D687" s="118"/>
      <c r="E687" s="118"/>
      <c r="F687" s="118"/>
      <c r="G687" s="118"/>
      <c r="H687" s="118"/>
      <c r="I687" s="118"/>
      <c r="J687" s="118"/>
      <c r="K687" s="118"/>
      <c r="L687" s="118"/>
      <c r="M687" s="118"/>
      <c r="N687" s="42"/>
      <c r="O687" s="42"/>
      <c r="P687" s="42"/>
      <c r="Q687" s="42"/>
      <c r="R687" s="42"/>
      <c r="S687" s="3"/>
      <c r="T687" s="3"/>
      <c r="U687" s="3"/>
      <c r="V687" s="3"/>
      <c r="W687" s="3"/>
      <c r="X687" s="3"/>
      <c r="Y687" s="3"/>
      <c r="Z687" s="3"/>
      <c r="AA687" s="3"/>
      <c r="AB687" s="3"/>
      <c r="AC687" s="3"/>
      <c r="AD687" s="3"/>
      <c r="AE687" s="3"/>
      <c r="AF687" s="3"/>
      <c r="AG687" s="3"/>
      <c r="AH687" s="3"/>
      <c r="AI687" s="3"/>
      <c r="AJ687" s="3"/>
      <c r="AK687" s="3"/>
      <c r="AL687" s="3"/>
    </row>
    <row r="688" spans="1:38" ht="15.75" customHeight="1" x14ac:dyDescent="0.2">
      <c r="A688" s="118"/>
      <c r="B688" s="118"/>
      <c r="C688" s="118"/>
      <c r="D688" s="118"/>
      <c r="E688" s="118"/>
      <c r="F688" s="118"/>
      <c r="G688" s="118"/>
      <c r="H688" s="118"/>
      <c r="I688" s="118"/>
      <c r="J688" s="118"/>
      <c r="K688" s="118"/>
      <c r="L688" s="118"/>
      <c r="M688" s="118"/>
      <c r="N688" s="42"/>
      <c r="O688" s="42"/>
      <c r="P688" s="42"/>
      <c r="Q688" s="42"/>
      <c r="R688" s="42"/>
      <c r="S688" s="3"/>
      <c r="T688" s="3"/>
      <c r="U688" s="3"/>
      <c r="V688" s="3"/>
      <c r="W688" s="3"/>
      <c r="X688" s="3"/>
      <c r="Y688" s="3"/>
      <c r="Z688" s="3"/>
      <c r="AA688" s="3"/>
      <c r="AB688" s="3"/>
      <c r="AC688" s="3"/>
      <c r="AD688" s="3"/>
      <c r="AE688" s="3"/>
      <c r="AF688" s="3"/>
      <c r="AG688" s="3"/>
      <c r="AH688" s="3"/>
      <c r="AI688" s="3"/>
      <c r="AJ688" s="3"/>
      <c r="AK688" s="3"/>
      <c r="AL688" s="3"/>
    </row>
    <row r="689" spans="1:38" ht="15.75" customHeight="1" x14ac:dyDescent="0.2">
      <c r="A689" s="118"/>
      <c r="B689" s="118"/>
      <c r="C689" s="118"/>
      <c r="D689" s="118"/>
      <c r="E689" s="118"/>
      <c r="F689" s="118"/>
      <c r="G689" s="118"/>
      <c r="H689" s="118"/>
      <c r="I689" s="118"/>
      <c r="J689" s="118"/>
      <c r="K689" s="118"/>
      <c r="L689" s="118"/>
      <c r="M689" s="118"/>
      <c r="N689" s="42"/>
      <c r="O689" s="42"/>
      <c r="P689" s="42"/>
      <c r="Q689" s="42"/>
      <c r="R689" s="42"/>
      <c r="S689" s="3"/>
      <c r="T689" s="3"/>
      <c r="U689" s="3"/>
      <c r="V689" s="3"/>
      <c r="W689" s="3"/>
      <c r="X689" s="3"/>
      <c r="Y689" s="3"/>
      <c r="Z689" s="3"/>
      <c r="AA689" s="3"/>
      <c r="AB689" s="3"/>
      <c r="AC689" s="3"/>
      <c r="AD689" s="3"/>
      <c r="AE689" s="3"/>
      <c r="AF689" s="3"/>
      <c r="AG689" s="3"/>
      <c r="AH689" s="3"/>
      <c r="AI689" s="3"/>
      <c r="AJ689" s="3"/>
      <c r="AK689" s="3"/>
      <c r="AL689" s="3"/>
    </row>
    <row r="690" spans="1:38" ht="15.75" customHeight="1" x14ac:dyDescent="0.2">
      <c r="A690" s="118"/>
      <c r="B690" s="118"/>
      <c r="C690" s="118"/>
      <c r="D690" s="118"/>
      <c r="E690" s="118"/>
      <c r="F690" s="118"/>
      <c r="G690" s="118"/>
      <c r="H690" s="118"/>
      <c r="I690" s="118"/>
      <c r="J690" s="118"/>
      <c r="K690" s="118"/>
      <c r="L690" s="118"/>
      <c r="M690" s="118"/>
      <c r="N690" s="42"/>
      <c r="O690" s="42"/>
      <c r="P690" s="42"/>
      <c r="Q690" s="42"/>
      <c r="R690" s="42"/>
      <c r="S690" s="3"/>
      <c r="T690" s="3"/>
      <c r="U690" s="3"/>
      <c r="V690" s="3"/>
      <c r="W690" s="3"/>
      <c r="X690" s="3"/>
      <c r="Y690" s="3"/>
      <c r="Z690" s="3"/>
      <c r="AA690" s="3"/>
      <c r="AB690" s="3"/>
      <c r="AC690" s="3"/>
      <c r="AD690" s="3"/>
      <c r="AE690" s="3"/>
      <c r="AF690" s="3"/>
      <c r="AG690" s="3"/>
      <c r="AH690" s="3"/>
      <c r="AI690" s="3"/>
      <c r="AJ690" s="3"/>
      <c r="AK690" s="3"/>
      <c r="AL690" s="3"/>
    </row>
    <row r="691" spans="1:38" ht="15.75" customHeight="1" x14ac:dyDescent="0.2">
      <c r="A691" s="118"/>
      <c r="B691" s="118"/>
      <c r="C691" s="118"/>
      <c r="D691" s="118"/>
      <c r="E691" s="118"/>
      <c r="F691" s="118"/>
      <c r="G691" s="118"/>
      <c r="H691" s="118"/>
      <c r="I691" s="118"/>
      <c r="J691" s="118"/>
      <c r="K691" s="118"/>
      <c r="L691" s="118"/>
      <c r="M691" s="118"/>
      <c r="N691" s="42"/>
      <c r="O691" s="42"/>
      <c r="P691" s="42"/>
      <c r="Q691" s="42"/>
      <c r="R691" s="42"/>
      <c r="S691" s="3"/>
      <c r="T691" s="3"/>
      <c r="U691" s="3"/>
      <c r="V691" s="3"/>
      <c r="W691" s="3"/>
      <c r="X691" s="3"/>
      <c r="Y691" s="3"/>
      <c r="Z691" s="3"/>
      <c r="AA691" s="3"/>
      <c r="AB691" s="3"/>
      <c r="AC691" s="3"/>
      <c r="AD691" s="3"/>
      <c r="AE691" s="3"/>
      <c r="AF691" s="3"/>
      <c r="AG691" s="3"/>
      <c r="AH691" s="3"/>
      <c r="AI691" s="3"/>
      <c r="AJ691" s="3"/>
      <c r="AK691" s="3"/>
      <c r="AL691" s="3"/>
    </row>
    <row r="692" spans="1:38" ht="15.75" customHeight="1" x14ac:dyDescent="0.2">
      <c r="A692" s="118"/>
      <c r="B692" s="118"/>
      <c r="C692" s="118"/>
      <c r="D692" s="118"/>
      <c r="E692" s="118"/>
      <c r="F692" s="118"/>
      <c r="G692" s="118"/>
      <c r="H692" s="118"/>
      <c r="I692" s="118"/>
      <c r="J692" s="118"/>
      <c r="K692" s="118"/>
      <c r="L692" s="118"/>
      <c r="M692" s="118"/>
      <c r="N692" s="42"/>
      <c r="O692" s="42"/>
      <c r="P692" s="42"/>
      <c r="Q692" s="42"/>
      <c r="R692" s="42"/>
      <c r="S692" s="3"/>
      <c r="T692" s="3"/>
      <c r="U692" s="3"/>
      <c r="V692" s="3"/>
      <c r="W692" s="3"/>
      <c r="X692" s="3"/>
      <c r="Y692" s="3"/>
      <c r="Z692" s="3"/>
      <c r="AA692" s="3"/>
      <c r="AB692" s="3"/>
      <c r="AC692" s="3"/>
      <c r="AD692" s="3"/>
      <c r="AE692" s="3"/>
      <c r="AF692" s="3"/>
      <c r="AG692" s="3"/>
      <c r="AH692" s="3"/>
      <c r="AI692" s="3"/>
      <c r="AJ692" s="3"/>
      <c r="AK692" s="3"/>
      <c r="AL692" s="3"/>
    </row>
    <row r="693" spans="1:38" ht="15.75" customHeight="1" x14ac:dyDescent="0.2">
      <c r="A693" s="118"/>
      <c r="B693" s="118"/>
      <c r="C693" s="118"/>
      <c r="D693" s="118"/>
      <c r="E693" s="118"/>
      <c r="F693" s="118"/>
      <c r="G693" s="118"/>
      <c r="H693" s="118"/>
      <c r="I693" s="118"/>
      <c r="J693" s="118"/>
      <c r="K693" s="118"/>
      <c r="L693" s="118"/>
      <c r="M693" s="118"/>
      <c r="N693" s="42"/>
      <c r="O693" s="42"/>
      <c r="P693" s="42"/>
      <c r="Q693" s="42"/>
      <c r="R693" s="42"/>
      <c r="S693" s="3"/>
      <c r="T693" s="3"/>
      <c r="U693" s="3"/>
      <c r="V693" s="3"/>
      <c r="W693" s="3"/>
      <c r="X693" s="3"/>
      <c r="Y693" s="3"/>
      <c r="Z693" s="3"/>
      <c r="AA693" s="3"/>
      <c r="AB693" s="3"/>
      <c r="AC693" s="3"/>
      <c r="AD693" s="3"/>
      <c r="AE693" s="3"/>
      <c r="AF693" s="3"/>
      <c r="AG693" s="3"/>
      <c r="AH693" s="3"/>
      <c r="AI693" s="3"/>
      <c r="AJ693" s="3"/>
      <c r="AK693" s="3"/>
      <c r="AL693" s="3"/>
    </row>
    <row r="694" spans="1:38" ht="15.75" customHeight="1" x14ac:dyDescent="0.2">
      <c r="A694" s="118"/>
      <c r="B694" s="118"/>
      <c r="C694" s="118"/>
      <c r="D694" s="118"/>
      <c r="E694" s="118"/>
      <c r="F694" s="118"/>
      <c r="G694" s="118"/>
      <c r="H694" s="118"/>
      <c r="I694" s="118"/>
      <c r="J694" s="118"/>
      <c r="K694" s="118"/>
      <c r="L694" s="118"/>
      <c r="M694" s="118"/>
      <c r="N694" s="42"/>
      <c r="O694" s="42"/>
      <c r="P694" s="42"/>
      <c r="Q694" s="42"/>
      <c r="R694" s="42"/>
      <c r="S694" s="3"/>
      <c r="T694" s="3"/>
      <c r="U694" s="3"/>
      <c r="V694" s="3"/>
      <c r="W694" s="3"/>
      <c r="X694" s="3"/>
      <c r="Y694" s="3"/>
      <c r="Z694" s="3"/>
      <c r="AA694" s="3"/>
      <c r="AB694" s="3"/>
      <c r="AC694" s="3"/>
      <c r="AD694" s="3"/>
      <c r="AE694" s="3"/>
      <c r="AF694" s="3"/>
      <c r="AG694" s="3"/>
      <c r="AH694" s="3"/>
      <c r="AI694" s="3"/>
      <c r="AJ694" s="3"/>
      <c r="AK694" s="3"/>
      <c r="AL694" s="3"/>
    </row>
    <row r="695" spans="1:38" ht="15.75" customHeight="1" x14ac:dyDescent="0.2">
      <c r="A695" s="118"/>
      <c r="B695" s="118"/>
      <c r="C695" s="118"/>
      <c r="D695" s="118"/>
      <c r="E695" s="118"/>
      <c r="F695" s="118"/>
      <c r="G695" s="118"/>
      <c r="H695" s="118"/>
      <c r="I695" s="118"/>
      <c r="J695" s="118"/>
      <c r="K695" s="118"/>
      <c r="L695" s="118"/>
      <c r="M695" s="118"/>
      <c r="N695" s="42"/>
      <c r="O695" s="42"/>
      <c r="P695" s="42"/>
      <c r="Q695" s="42"/>
      <c r="R695" s="42"/>
      <c r="S695" s="3"/>
      <c r="T695" s="3"/>
      <c r="U695" s="3"/>
      <c r="V695" s="3"/>
      <c r="W695" s="3"/>
      <c r="X695" s="3"/>
      <c r="Y695" s="3"/>
      <c r="Z695" s="3"/>
      <c r="AA695" s="3"/>
      <c r="AB695" s="3"/>
      <c r="AC695" s="3"/>
      <c r="AD695" s="3"/>
      <c r="AE695" s="3"/>
      <c r="AF695" s="3"/>
      <c r="AG695" s="3"/>
      <c r="AH695" s="3"/>
      <c r="AI695" s="3"/>
      <c r="AJ695" s="3"/>
      <c r="AK695" s="3"/>
      <c r="AL695" s="3"/>
    </row>
    <row r="696" spans="1:38" ht="15.75" customHeight="1" x14ac:dyDescent="0.2">
      <c r="A696" s="118"/>
      <c r="B696" s="118"/>
      <c r="C696" s="118"/>
      <c r="D696" s="118"/>
      <c r="E696" s="118"/>
      <c r="F696" s="118"/>
      <c r="G696" s="118"/>
      <c r="H696" s="118"/>
      <c r="I696" s="118"/>
      <c r="J696" s="118"/>
      <c r="K696" s="118"/>
      <c r="L696" s="118"/>
      <c r="M696" s="118"/>
      <c r="N696" s="42"/>
      <c r="O696" s="42"/>
      <c r="P696" s="42"/>
      <c r="Q696" s="42"/>
      <c r="R696" s="42"/>
      <c r="S696" s="3"/>
      <c r="T696" s="3"/>
      <c r="U696" s="3"/>
      <c r="V696" s="3"/>
      <c r="W696" s="3"/>
      <c r="X696" s="3"/>
      <c r="Y696" s="3"/>
      <c r="Z696" s="3"/>
      <c r="AA696" s="3"/>
      <c r="AB696" s="3"/>
      <c r="AC696" s="3"/>
      <c r="AD696" s="3"/>
      <c r="AE696" s="3"/>
      <c r="AF696" s="3"/>
      <c r="AG696" s="3"/>
      <c r="AH696" s="3"/>
      <c r="AI696" s="3"/>
      <c r="AJ696" s="3"/>
      <c r="AK696" s="3"/>
      <c r="AL696" s="3"/>
    </row>
    <row r="697" spans="1:38" ht="15.75" customHeight="1" x14ac:dyDescent="0.2">
      <c r="A697" s="118"/>
      <c r="B697" s="118"/>
      <c r="C697" s="118"/>
      <c r="D697" s="118"/>
      <c r="E697" s="118"/>
      <c r="F697" s="118"/>
      <c r="G697" s="118"/>
      <c r="H697" s="118"/>
      <c r="I697" s="118"/>
      <c r="J697" s="118"/>
      <c r="K697" s="118"/>
      <c r="L697" s="118"/>
      <c r="M697" s="118"/>
      <c r="N697" s="42"/>
      <c r="O697" s="42"/>
      <c r="P697" s="42"/>
      <c r="Q697" s="42"/>
      <c r="R697" s="42"/>
      <c r="S697" s="3"/>
      <c r="T697" s="3"/>
      <c r="U697" s="3"/>
      <c r="V697" s="3"/>
      <c r="W697" s="3"/>
      <c r="X697" s="3"/>
      <c r="Y697" s="3"/>
      <c r="Z697" s="3"/>
      <c r="AA697" s="3"/>
      <c r="AB697" s="3"/>
      <c r="AC697" s="3"/>
      <c r="AD697" s="3"/>
      <c r="AE697" s="3"/>
      <c r="AF697" s="3"/>
      <c r="AG697" s="3"/>
      <c r="AH697" s="3"/>
      <c r="AI697" s="3"/>
      <c r="AJ697" s="3"/>
      <c r="AK697" s="3"/>
      <c r="AL697" s="3"/>
    </row>
    <row r="698" spans="1:38" ht="15.75" customHeight="1" x14ac:dyDescent="0.2">
      <c r="A698" s="118"/>
      <c r="B698" s="118"/>
      <c r="C698" s="118"/>
      <c r="D698" s="118"/>
      <c r="E698" s="118"/>
      <c r="F698" s="118"/>
      <c r="G698" s="118"/>
      <c r="H698" s="118"/>
      <c r="I698" s="118"/>
      <c r="J698" s="118"/>
      <c r="K698" s="118"/>
      <c r="L698" s="118"/>
      <c r="M698" s="118"/>
      <c r="N698" s="42"/>
      <c r="O698" s="42"/>
      <c r="P698" s="42"/>
      <c r="Q698" s="42"/>
      <c r="R698" s="42"/>
      <c r="S698" s="3"/>
      <c r="T698" s="3"/>
      <c r="U698" s="3"/>
      <c r="V698" s="3"/>
      <c r="W698" s="3"/>
      <c r="X698" s="3"/>
      <c r="Y698" s="3"/>
      <c r="Z698" s="3"/>
      <c r="AA698" s="3"/>
      <c r="AB698" s="3"/>
      <c r="AC698" s="3"/>
      <c r="AD698" s="3"/>
      <c r="AE698" s="3"/>
      <c r="AF698" s="3"/>
      <c r="AG698" s="3"/>
      <c r="AH698" s="3"/>
      <c r="AI698" s="3"/>
      <c r="AJ698" s="3"/>
      <c r="AK698" s="3"/>
      <c r="AL698" s="3"/>
    </row>
    <row r="699" spans="1:38" ht="15.75" customHeight="1" x14ac:dyDescent="0.2">
      <c r="A699" s="118"/>
      <c r="B699" s="118"/>
      <c r="C699" s="118"/>
      <c r="D699" s="118"/>
      <c r="E699" s="118"/>
      <c r="F699" s="118"/>
      <c r="G699" s="118"/>
      <c r="H699" s="118"/>
      <c r="I699" s="118"/>
      <c r="J699" s="118"/>
      <c r="K699" s="118"/>
      <c r="L699" s="118"/>
      <c r="M699" s="118"/>
      <c r="N699" s="42"/>
      <c r="O699" s="42"/>
      <c r="P699" s="42"/>
      <c r="Q699" s="42"/>
      <c r="R699" s="42"/>
      <c r="S699" s="3"/>
      <c r="T699" s="3"/>
      <c r="U699" s="3"/>
      <c r="V699" s="3"/>
      <c r="W699" s="3"/>
      <c r="X699" s="3"/>
      <c r="Y699" s="3"/>
      <c r="Z699" s="3"/>
      <c r="AA699" s="3"/>
      <c r="AB699" s="3"/>
      <c r="AC699" s="3"/>
      <c r="AD699" s="3"/>
      <c r="AE699" s="3"/>
      <c r="AF699" s="3"/>
      <c r="AG699" s="3"/>
      <c r="AH699" s="3"/>
      <c r="AI699" s="3"/>
      <c r="AJ699" s="3"/>
      <c r="AK699" s="3"/>
      <c r="AL699" s="3"/>
    </row>
    <row r="700" spans="1:38" ht="15.75" customHeight="1" x14ac:dyDescent="0.2">
      <c r="A700" s="118"/>
      <c r="B700" s="118"/>
      <c r="C700" s="118"/>
      <c r="D700" s="118"/>
      <c r="E700" s="118"/>
      <c r="F700" s="118"/>
      <c r="G700" s="118"/>
      <c r="H700" s="118"/>
      <c r="I700" s="118"/>
      <c r="J700" s="118"/>
      <c r="K700" s="118"/>
      <c r="L700" s="118"/>
      <c r="M700" s="118"/>
      <c r="N700" s="42"/>
      <c r="O700" s="42"/>
      <c r="P700" s="42"/>
      <c r="Q700" s="42"/>
      <c r="R700" s="42"/>
      <c r="S700" s="3"/>
      <c r="T700" s="3"/>
      <c r="U700" s="3"/>
      <c r="V700" s="3"/>
      <c r="W700" s="3"/>
      <c r="X700" s="3"/>
      <c r="Y700" s="3"/>
      <c r="Z700" s="3"/>
      <c r="AA700" s="3"/>
      <c r="AB700" s="3"/>
      <c r="AC700" s="3"/>
      <c r="AD700" s="3"/>
      <c r="AE700" s="3"/>
      <c r="AF700" s="3"/>
      <c r="AG700" s="3"/>
      <c r="AH700" s="3"/>
      <c r="AI700" s="3"/>
      <c r="AJ700" s="3"/>
      <c r="AK700" s="3"/>
      <c r="AL700" s="3"/>
    </row>
    <row r="701" spans="1:38" ht="15.75" customHeight="1" x14ac:dyDescent="0.2">
      <c r="A701" s="118"/>
      <c r="B701" s="118"/>
      <c r="C701" s="118"/>
      <c r="D701" s="118"/>
      <c r="E701" s="118"/>
      <c r="F701" s="118"/>
      <c r="G701" s="118"/>
      <c r="H701" s="118"/>
      <c r="I701" s="118"/>
      <c r="J701" s="118"/>
      <c r="K701" s="118"/>
      <c r="L701" s="118"/>
      <c r="M701" s="118"/>
      <c r="N701" s="42"/>
      <c r="O701" s="42"/>
      <c r="P701" s="42"/>
      <c r="Q701" s="42"/>
      <c r="R701" s="42"/>
      <c r="S701" s="3"/>
      <c r="T701" s="3"/>
      <c r="U701" s="3"/>
      <c r="V701" s="3"/>
      <c r="W701" s="3"/>
      <c r="X701" s="3"/>
      <c r="Y701" s="3"/>
      <c r="Z701" s="3"/>
      <c r="AA701" s="3"/>
      <c r="AB701" s="3"/>
      <c r="AC701" s="3"/>
      <c r="AD701" s="3"/>
      <c r="AE701" s="3"/>
      <c r="AF701" s="3"/>
      <c r="AG701" s="3"/>
      <c r="AH701" s="3"/>
      <c r="AI701" s="3"/>
      <c r="AJ701" s="3"/>
      <c r="AK701" s="3"/>
      <c r="AL701" s="3"/>
    </row>
    <row r="702" spans="1:38" ht="15.75" customHeight="1" x14ac:dyDescent="0.2">
      <c r="A702" s="118"/>
      <c r="B702" s="118"/>
      <c r="C702" s="118"/>
      <c r="D702" s="118"/>
      <c r="E702" s="118"/>
      <c r="F702" s="118"/>
      <c r="G702" s="118"/>
      <c r="H702" s="118"/>
      <c r="I702" s="118"/>
      <c r="J702" s="118"/>
      <c r="K702" s="118"/>
      <c r="L702" s="118"/>
      <c r="M702" s="118"/>
      <c r="N702" s="42"/>
      <c r="O702" s="42"/>
      <c r="P702" s="42"/>
      <c r="Q702" s="42"/>
      <c r="R702" s="42"/>
      <c r="S702" s="3"/>
      <c r="T702" s="3"/>
      <c r="U702" s="3"/>
      <c r="V702" s="3"/>
      <c r="W702" s="3"/>
      <c r="X702" s="3"/>
      <c r="Y702" s="3"/>
      <c r="Z702" s="3"/>
      <c r="AA702" s="3"/>
      <c r="AB702" s="3"/>
      <c r="AC702" s="3"/>
      <c r="AD702" s="3"/>
      <c r="AE702" s="3"/>
      <c r="AF702" s="3"/>
      <c r="AG702" s="3"/>
      <c r="AH702" s="3"/>
      <c r="AI702" s="3"/>
      <c r="AJ702" s="3"/>
      <c r="AK702" s="3"/>
      <c r="AL702" s="3"/>
    </row>
    <row r="703" spans="1:38" ht="15.75" customHeight="1" x14ac:dyDescent="0.2">
      <c r="A703" s="118"/>
      <c r="B703" s="118"/>
      <c r="C703" s="118"/>
      <c r="D703" s="118"/>
      <c r="E703" s="118"/>
      <c r="F703" s="118"/>
      <c r="G703" s="118"/>
      <c r="H703" s="118"/>
      <c r="I703" s="118"/>
      <c r="J703" s="118"/>
      <c r="K703" s="118"/>
      <c r="L703" s="118"/>
      <c r="M703" s="118"/>
      <c r="N703" s="42"/>
      <c r="O703" s="42"/>
      <c r="P703" s="42"/>
      <c r="Q703" s="42"/>
      <c r="R703" s="42"/>
      <c r="S703" s="3"/>
      <c r="T703" s="3"/>
      <c r="U703" s="3"/>
      <c r="V703" s="3"/>
      <c r="W703" s="3"/>
      <c r="X703" s="3"/>
      <c r="Y703" s="3"/>
      <c r="Z703" s="3"/>
      <c r="AA703" s="3"/>
      <c r="AB703" s="3"/>
      <c r="AC703" s="3"/>
      <c r="AD703" s="3"/>
      <c r="AE703" s="3"/>
      <c r="AF703" s="3"/>
      <c r="AG703" s="3"/>
      <c r="AH703" s="3"/>
      <c r="AI703" s="3"/>
      <c r="AJ703" s="3"/>
      <c r="AK703" s="3"/>
      <c r="AL703" s="3"/>
    </row>
    <row r="704" spans="1:38" ht="15.75" customHeight="1" x14ac:dyDescent="0.2">
      <c r="A704" s="118"/>
      <c r="B704" s="118"/>
      <c r="C704" s="118"/>
      <c r="D704" s="118"/>
      <c r="E704" s="118"/>
      <c r="F704" s="118"/>
      <c r="G704" s="118"/>
      <c r="H704" s="118"/>
      <c r="I704" s="118"/>
      <c r="J704" s="118"/>
      <c r="K704" s="118"/>
      <c r="L704" s="118"/>
      <c r="M704" s="118"/>
      <c r="N704" s="42"/>
      <c r="O704" s="42"/>
      <c r="P704" s="42"/>
      <c r="Q704" s="42"/>
      <c r="R704" s="42"/>
      <c r="S704" s="3"/>
      <c r="T704" s="3"/>
      <c r="U704" s="3"/>
      <c r="V704" s="3"/>
      <c r="W704" s="3"/>
      <c r="X704" s="3"/>
      <c r="Y704" s="3"/>
      <c r="Z704" s="3"/>
      <c r="AA704" s="3"/>
      <c r="AB704" s="3"/>
      <c r="AC704" s="3"/>
      <c r="AD704" s="3"/>
      <c r="AE704" s="3"/>
      <c r="AF704" s="3"/>
      <c r="AG704" s="3"/>
      <c r="AH704" s="3"/>
      <c r="AI704" s="3"/>
      <c r="AJ704" s="3"/>
      <c r="AK704" s="3"/>
      <c r="AL704" s="3"/>
    </row>
    <row r="705" spans="1:38" ht="15.75" customHeight="1" x14ac:dyDescent="0.2">
      <c r="A705" s="118"/>
      <c r="B705" s="118"/>
      <c r="C705" s="118"/>
      <c r="D705" s="118"/>
      <c r="E705" s="118"/>
      <c r="F705" s="118"/>
      <c r="G705" s="118"/>
      <c r="H705" s="118"/>
      <c r="I705" s="118"/>
      <c r="J705" s="118"/>
      <c r="K705" s="118"/>
      <c r="L705" s="118"/>
      <c r="M705" s="118"/>
      <c r="N705" s="42"/>
      <c r="O705" s="42"/>
      <c r="P705" s="42"/>
      <c r="Q705" s="42"/>
      <c r="R705" s="42"/>
      <c r="S705" s="3"/>
      <c r="T705" s="3"/>
      <c r="U705" s="3"/>
      <c r="V705" s="3"/>
      <c r="W705" s="3"/>
      <c r="X705" s="3"/>
      <c r="Y705" s="3"/>
      <c r="Z705" s="3"/>
      <c r="AA705" s="3"/>
      <c r="AB705" s="3"/>
      <c r="AC705" s="3"/>
      <c r="AD705" s="3"/>
      <c r="AE705" s="3"/>
      <c r="AF705" s="3"/>
      <c r="AG705" s="3"/>
      <c r="AH705" s="3"/>
      <c r="AI705" s="3"/>
      <c r="AJ705" s="3"/>
      <c r="AK705" s="3"/>
      <c r="AL705" s="3"/>
    </row>
    <row r="706" spans="1:38" ht="15.75" customHeight="1" x14ac:dyDescent="0.2">
      <c r="A706" s="118"/>
      <c r="B706" s="118"/>
      <c r="C706" s="118"/>
      <c r="D706" s="118"/>
      <c r="E706" s="118"/>
      <c r="F706" s="118"/>
      <c r="G706" s="118"/>
      <c r="H706" s="118"/>
      <c r="I706" s="118"/>
      <c r="J706" s="118"/>
      <c r="K706" s="118"/>
      <c r="L706" s="118"/>
      <c r="M706" s="118"/>
      <c r="N706" s="42"/>
      <c r="O706" s="42"/>
      <c r="P706" s="42"/>
      <c r="Q706" s="42"/>
      <c r="R706" s="42"/>
      <c r="S706" s="3"/>
      <c r="T706" s="3"/>
      <c r="U706" s="3"/>
      <c r="V706" s="3"/>
      <c r="W706" s="3"/>
      <c r="X706" s="3"/>
      <c r="Y706" s="3"/>
      <c r="Z706" s="3"/>
      <c r="AA706" s="3"/>
      <c r="AB706" s="3"/>
      <c r="AC706" s="3"/>
      <c r="AD706" s="3"/>
      <c r="AE706" s="3"/>
      <c r="AF706" s="3"/>
      <c r="AG706" s="3"/>
      <c r="AH706" s="3"/>
      <c r="AI706" s="3"/>
      <c r="AJ706" s="3"/>
      <c r="AK706" s="3"/>
      <c r="AL706" s="3"/>
    </row>
    <row r="707" spans="1:38" ht="15.75" customHeight="1" x14ac:dyDescent="0.2">
      <c r="A707" s="118"/>
      <c r="B707" s="118"/>
      <c r="C707" s="118"/>
      <c r="D707" s="118"/>
      <c r="E707" s="118"/>
      <c r="F707" s="118"/>
      <c r="G707" s="118"/>
      <c r="H707" s="118"/>
      <c r="I707" s="118"/>
      <c r="J707" s="118"/>
      <c r="K707" s="118"/>
      <c r="L707" s="118"/>
      <c r="M707" s="118"/>
      <c r="N707" s="42"/>
      <c r="O707" s="42"/>
      <c r="P707" s="42"/>
      <c r="Q707" s="42"/>
      <c r="R707" s="42"/>
      <c r="S707" s="3"/>
      <c r="T707" s="3"/>
      <c r="U707" s="3"/>
      <c r="V707" s="3"/>
      <c r="W707" s="3"/>
      <c r="X707" s="3"/>
      <c r="Y707" s="3"/>
      <c r="Z707" s="3"/>
      <c r="AA707" s="3"/>
      <c r="AB707" s="3"/>
      <c r="AC707" s="3"/>
      <c r="AD707" s="3"/>
      <c r="AE707" s="3"/>
      <c r="AF707" s="3"/>
      <c r="AG707" s="3"/>
      <c r="AH707" s="3"/>
      <c r="AI707" s="3"/>
      <c r="AJ707" s="3"/>
      <c r="AK707" s="3"/>
      <c r="AL707" s="3"/>
    </row>
    <row r="708" spans="1:38" ht="15.75" customHeight="1" x14ac:dyDescent="0.2">
      <c r="A708" s="118"/>
      <c r="B708" s="118"/>
      <c r="C708" s="118"/>
      <c r="D708" s="118"/>
      <c r="E708" s="118"/>
      <c r="F708" s="118"/>
      <c r="G708" s="118"/>
      <c r="H708" s="118"/>
      <c r="I708" s="118"/>
      <c r="J708" s="118"/>
      <c r="K708" s="118"/>
      <c r="L708" s="118"/>
      <c r="M708" s="118"/>
      <c r="N708" s="42"/>
      <c r="O708" s="42"/>
      <c r="P708" s="42"/>
      <c r="Q708" s="42"/>
      <c r="R708" s="42"/>
      <c r="S708" s="3"/>
      <c r="T708" s="3"/>
      <c r="U708" s="3"/>
      <c r="V708" s="3"/>
      <c r="W708" s="3"/>
      <c r="X708" s="3"/>
      <c r="Y708" s="3"/>
      <c r="Z708" s="3"/>
      <c r="AA708" s="3"/>
      <c r="AB708" s="3"/>
      <c r="AC708" s="3"/>
      <c r="AD708" s="3"/>
      <c r="AE708" s="3"/>
      <c r="AF708" s="3"/>
      <c r="AG708" s="3"/>
      <c r="AH708" s="3"/>
      <c r="AI708" s="3"/>
      <c r="AJ708" s="3"/>
      <c r="AK708" s="3"/>
      <c r="AL708" s="3"/>
    </row>
    <row r="709" spans="1:38" ht="15.75" customHeight="1" x14ac:dyDescent="0.2">
      <c r="A709" s="118"/>
      <c r="B709" s="118"/>
      <c r="C709" s="118"/>
      <c r="D709" s="118"/>
      <c r="E709" s="118"/>
      <c r="F709" s="118"/>
      <c r="G709" s="118"/>
      <c r="H709" s="118"/>
      <c r="I709" s="118"/>
      <c r="J709" s="118"/>
      <c r="K709" s="118"/>
      <c r="L709" s="118"/>
      <c r="M709" s="118"/>
      <c r="N709" s="42"/>
      <c r="O709" s="42"/>
      <c r="P709" s="42"/>
      <c r="Q709" s="42"/>
      <c r="R709" s="42"/>
      <c r="S709" s="3"/>
      <c r="T709" s="3"/>
      <c r="U709" s="3"/>
      <c r="V709" s="3"/>
      <c r="W709" s="3"/>
      <c r="X709" s="3"/>
      <c r="Y709" s="3"/>
      <c r="Z709" s="3"/>
      <c r="AA709" s="3"/>
      <c r="AB709" s="3"/>
      <c r="AC709" s="3"/>
      <c r="AD709" s="3"/>
      <c r="AE709" s="3"/>
      <c r="AF709" s="3"/>
      <c r="AG709" s="3"/>
      <c r="AH709" s="3"/>
      <c r="AI709" s="3"/>
      <c r="AJ709" s="3"/>
      <c r="AK709" s="3"/>
      <c r="AL709" s="3"/>
    </row>
    <row r="710" spans="1:38" ht="15.75" customHeight="1" x14ac:dyDescent="0.2">
      <c r="A710" s="118"/>
      <c r="B710" s="118"/>
      <c r="C710" s="118"/>
      <c r="D710" s="118"/>
      <c r="E710" s="118"/>
      <c r="F710" s="118"/>
      <c r="G710" s="118"/>
      <c r="H710" s="118"/>
      <c r="I710" s="118"/>
      <c r="J710" s="118"/>
      <c r="K710" s="118"/>
      <c r="L710" s="118"/>
      <c r="M710" s="118"/>
      <c r="N710" s="42"/>
      <c r="O710" s="42"/>
      <c r="P710" s="42"/>
      <c r="Q710" s="42"/>
      <c r="R710" s="42"/>
      <c r="S710" s="3"/>
      <c r="T710" s="3"/>
      <c r="U710" s="3"/>
      <c r="V710" s="3"/>
      <c r="W710" s="3"/>
      <c r="X710" s="3"/>
      <c r="Y710" s="3"/>
      <c r="Z710" s="3"/>
      <c r="AA710" s="3"/>
      <c r="AB710" s="3"/>
      <c r="AC710" s="3"/>
      <c r="AD710" s="3"/>
      <c r="AE710" s="3"/>
      <c r="AF710" s="3"/>
      <c r="AG710" s="3"/>
      <c r="AH710" s="3"/>
      <c r="AI710" s="3"/>
      <c r="AJ710" s="3"/>
      <c r="AK710" s="3"/>
      <c r="AL710" s="3"/>
    </row>
    <row r="711" spans="1:38" ht="15.75" customHeight="1" x14ac:dyDescent="0.2">
      <c r="A711" s="118"/>
      <c r="B711" s="118"/>
      <c r="C711" s="118"/>
      <c r="D711" s="118"/>
      <c r="E711" s="118"/>
      <c r="F711" s="118"/>
      <c r="G711" s="118"/>
      <c r="H711" s="118"/>
      <c r="I711" s="118"/>
      <c r="J711" s="118"/>
      <c r="K711" s="118"/>
      <c r="L711" s="118"/>
      <c r="M711" s="118"/>
      <c r="N711" s="42"/>
      <c r="O711" s="42"/>
      <c r="P711" s="42"/>
      <c r="Q711" s="42"/>
      <c r="R711" s="42"/>
      <c r="S711" s="3"/>
      <c r="T711" s="3"/>
      <c r="U711" s="3"/>
      <c r="V711" s="3"/>
      <c r="W711" s="3"/>
      <c r="X711" s="3"/>
      <c r="Y711" s="3"/>
      <c r="Z711" s="3"/>
      <c r="AA711" s="3"/>
      <c r="AB711" s="3"/>
      <c r="AC711" s="3"/>
      <c r="AD711" s="3"/>
      <c r="AE711" s="3"/>
      <c r="AF711" s="3"/>
      <c r="AG711" s="3"/>
      <c r="AH711" s="3"/>
      <c r="AI711" s="3"/>
      <c r="AJ711" s="3"/>
      <c r="AK711" s="3"/>
      <c r="AL711" s="3"/>
    </row>
    <row r="712" spans="1:38" ht="15.75" customHeight="1" x14ac:dyDescent="0.2">
      <c r="A712" s="118"/>
      <c r="B712" s="118"/>
      <c r="C712" s="118"/>
      <c r="D712" s="118"/>
      <c r="E712" s="118"/>
      <c r="F712" s="118"/>
      <c r="G712" s="118"/>
      <c r="H712" s="118"/>
      <c r="I712" s="118"/>
      <c r="J712" s="118"/>
      <c r="K712" s="118"/>
      <c r="L712" s="118"/>
      <c r="M712" s="118"/>
      <c r="N712" s="42"/>
      <c r="O712" s="42"/>
      <c r="P712" s="42"/>
      <c r="Q712" s="42"/>
      <c r="R712" s="42"/>
      <c r="S712" s="3"/>
      <c r="T712" s="3"/>
      <c r="U712" s="3"/>
      <c r="V712" s="3"/>
      <c r="W712" s="3"/>
      <c r="X712" s="3"/>
      <c r="Y712" s="3"/>
      <c r="Z712" s="3"/>
      <c r="AA712" s="3"/>
      <c r="AB712" s="3"/>
      <c r="AC712" s="3"/>
      <c r="AD712" s="3"/>
      <c r="AE712" s="3"/>
      <c r="AF712" s="3"/>
      <c r="AG712" s="3"/>
      <c r="AH712" s="3"/>
      <c r="AI712" s="3"/>
      <c r="AJ712" s="3"/>
      <c r="AK712" s="3"/>
      <c r="AL712" s="3"/>
    </row>
    <row r="713" spans="1:38" ht="15.75" customHeight="1" x14ac:dyDescent="0.2">
      <c r="A713" s="118"/>
      <c r="B713" s="118"/>
      <c r="C713" s="118"/>
      <c r="D713" s="118"/>
      <c r="E713" s="118"/>
      <c r="F713" s="118"/>
      <c r="G713" s="118"/>
      <c r="H713" s="118"/>
      <c r="I713" s="118"/>
      <c r="J713" s="118"/>
      <c r="K713" s="118"/>
      <c r="L713" s="118"/>
      <c r="M713" s="118"/>
      <c r="N713" s="42"/>
      <c r="O713" s="42"/>
      <c r="P713" s="42"/>
      <c r="Q713" s="42"/>
      <c r="R713" s="42"/>
      <c r="S713" s="3"/>
      <c r="T713" s="3"/>
      <c r="U713" s="3"/>
      <c r="V713" s="3"/>
      <c r="W713" s="3"/>
      <c r="X713" s="3"/>
      <c r="Y713" s="3"/>
      <c r="Z713" s="3"/>
      <c r="AA713" s="3"/>
      <c r="AB713" s="3"/>
      <c r="AC713" s="3"/>
      <c r="AD713" s="3"/>
      <c r="AE713" s="3"/>
      <c r="AF713" s="3"/>
      <c r="AG713" s="3"/>
      <c r="AH713" s="3"/>
      <c r="AI713" s="3"/>
      <c r="AJ713" s="3"/>
      <c r="AK713" s="3"/>
      <c r="AL713" s="3"/>
    </row>
    <row r="714" spans="1:38" ht="15.75" customHeight="1" x14ac:dyDescent="0.2">
      <c r="A714" s="118"/>
      <c r="B714" s="118"/>
      <c r="C714" s="118"/>
      <c r="D714" s="118"/>
      <c r="E714" s="118"/>
      <c r="F714" s="118"/>
      <c r="G714" s="118"/>
      <c r="H714" s="118"/>
      <c r="I714" s="118"/>
      <c r="J714" s="118"/>
      <c r="K714" s="118"/>
      <c r="L714" s="118"/>
      <c r="M714" s="118"/>
      <c r="N714" s="42"/>
      <c r="O714" s="42"/>
      <c r="P714" s="42"/>
      <c r="Q714" s="42"/>
      <c r="R714" s="42"/>
      <c r="S714" s="3"/>
      <c r="T714" s="3"/>
      <c r="U714" s="3"/>
      <c r="V714" s="3"/>
      <c r="W714" s="3"/>
      <c r="X714" s="3"/>
      <c r="Y714" s="3"/>
      <c r="Z714" s="3"/>
      <c r="AA714" s="3"/>
      <c r="AB714" s="3"/>
      <c r="AC714" s="3"/>
      <c r="AD714" s="3"/>
      <c r="AE714" s="3"/>
      <c r="AF714" s="3"/>
      <c r="AG714" s="3"/>
      <c r="AH714" s="3"/>
      <c r="AI714" s="3"/>
      <c r="AJ714" s="3"/>
      <c r="AK714" s="3"/>
      <c r="AL714" s="3"/>
    </row>
    <row r="715" spans="1:38" ht="15.75" customHeight="1" x14ac:dyDescent="0.2">
      <c r="A715" s="118"/>
      <c r="B715" s="118"/>
      <c r="C715" s="118"/>
      <c r="D715" s="118"/>
      <c r="E715" s="118"/>
      <c r="F715" s="118"/>
      <c r="G715" s="118"/>
      <c r="H715" s="118"/>
      <c r="I715" s="118"/>
      <c r="J715" s="118"/>
      <c r="K715" s="118"/>
      <c r="L715" s="118"/>
      <c r="M715" s="118"/>
      <c r="N715" s="42"/>
      <c r="O715" s="42"/>
      <c r="P715" s="42"/>
      <c r="Q715" s="42"/>
      <c r="R715" s="42"/>
      <c r="S715" s="3"/>
      <c r="T715" s="3"/>
      <c r="U715" s="3"/>
      <c r="V715" s="3"/>
      <c r="W715" s="3"/>
      <c r="X715" s="3"/>
      <c r="Y715" s="3"/>
      <c r="Z715" s="3"/>
      <c r="AA715" s="3"/>
      <c r="AB715" s="3"/>
      <c r="AC715" s="3"/>
      <c r="AD715" s="3"/>
      <c r="AE715" s="3"/>
      <c r="AF715" s="3"/>
      <c r="AG715" s="3"/>
      <c r="AH715" s="3"/>
      <c r="AI715" s="3"/>
      <c r="AJ715" s="3"/>
      <c r="AK715" s="3"/>
      <c r="AL715" s="3"/>
    </row>
    <row r="716" spans="1:38" ht="15.75" customHeight="1" x14ac:dyDescent="0.2">
      <c r="A716" s="118"/>
      <c r="B716" s="118"/>
      <c r="C716" s="118"/>
      <c r="D716" s="118"/>
      <c r="E716" s="118"/>
      <c r="F716" s="118"/>
      <c r="G716" s="118"/>
      <c r="H716" s="118"/>
      <c r="I716" s="118"/>
      <c r="J716" s="118"/>
      <c r="K716" s="118"/>
      <c r="L716" s="118"/>
      <c r="M716" s="118"/>
      <c r="N716" s="42"/>
      <c r="O716" s="42"/>
      <c r="P716" s="42"/>
      <c r="Q716" s="42"/>
      <c r="R716" s="42"/>
      <c r="S716" s="3"/>
      <c r="T716" s="3"/>
      <c r="U716" s="3"/>
      <c r="V716" s="3"/>
      <c r="W716" s="3"/>
      <c r="X716" s="3"/>
      <c r="Y716" s="3"/>
      <c r="Z716" s="3"/>
      <c r="AA716" s="3"/>
      <c r="AB716" s="3"/>
      <c r="AC716" s="3"/>
      <c r="AD716" s="3"/>
      <c r="AE716" s="3"/>
      <c r="AF716" s="3"/>
      <c r="AG716" s="3"/>
      <c r="AH716" s="3"/>
      <c r="AI716" s="3"/>
      <c r="AJ716" s="3"/>
      <c r="AK716" s="3"/>
      <c r="AL716" s="3"/>
    </row>
    <row r="717" spans="1:38" ht="15.75" customHeight="1" x14ac:dyDescent="0.2">
      <c r="A717" s="118"/>
      <c r="B717" s="118"/>
      <c r="C717" s="118"/>
      <c r="D717" s="118"/>
      <c r="E717" s="118"/>
      <c r="F717" s="118"/>
      <c r="G717" s="118"/>
      <c r="H717" s="118"/>
      <c r="I717" s="118"/>
      <c r="J717" s="118"/>
      <c r="K717" s="118"/>
      <c r="L717" s="118"/>
      <c r="M717" s="118"/>
      <c r="N717" s="42"/>
      <c r="O717" s="42"/>
      <c r="P717" s="42"/>
      <c r="Q717" s="42"/>
      <c r="R717" s="42"/>
      <c r="S717" s="3"/>
      <c r="T717" s="3"/>
      <c r="U717" s="3"/>
      <c r="V717" s="3"/>
      <c r="W717" s="3"/>
      <c r="X717" s="3"/>
      <c r="Y717" s="3"/>
      <c r="Z717" s="3"/>
      <c r="AA717" s="3"/>
      <c r="AB717" s="3"/>
      <c r="AC717" s="3"/>
      <c r="AD717" s="3"/>
      <c r="AE717" s="3"/>
      <c r="AF717" s="3"/>
      <c r="AG717" s="3"/>
      <c r="AH717" s="3"/>
      <c r="AI717" s="3"/>
      <c r="AJ717" s="3"/>
      <c r="AK717" s="3"/>
      <c r="AL717" s="3"/>
    </row>
    <row r="718" spans="1:38" ht="15.75" customHeight="1" x14ac:dyDescent="0.2">
      <c r="A718" s="118"/>
      <c r="B718" s="118"/>
      <c r="C718" s="118"/>
      <c r="D718" s="118"/>
      <c r="E718" s="118"/>
      <c r="F718" s="118"/>
      <c r="G718" s="118"/>
      <c r="H718" s="118"/>
      <c r="I718" s="118"/>
      <c r="J718" s="118"/>
      <c r="K718" s="118"/>
      <c r="L718" s="118"/>
      <c r="M718" s="118"/>
      <c r="N718" s="42"/>
      <c r="O718" s="42"/>
      <c r="P718" s="42"/>
      <c r="Q718" s="42"/>
      <c r="R718" s="42"/>
      <c r="S718" s="3"/>
      <c r="T718" s="3"/>
      <c r="U718" s="3"/>
      <c r="V718" s="3"/>
      <c r="W718" s="3"/>
      <c r="X718" s="3"/>
      <c r="Y718" s="3"/>
      <c r="Z718" s="3"/>
      <c r="AA718" s="3"/>
      <c r="AB718" s="3"/>
      <c r="AC718" s="3"/>
      <c r="AD718" s="3"/>
      <c r="AE718" s="3"/>
      <c r="AF718" s="3"/>
      <c r="AG718" s="3"/>
      <c r="AH718" s="3"/>
      <c r="AI718" s="3"/>
      <c r="AJ718" s="3"/>
      <c r="AK718" s="3"/>
      <c r="AL718" s="3"/>
    </row>
    <row r="719" spans="1:38" ht="15.75" customHeight="1" x14ac:dyDescent="0.2">
      <c r="A719" s="118"/>
      <c r="B719" s="118"/>
      <c r="C719" s="118"/>
      <c r="D719" s="118"/>
      <c r="E719" s="118"/>
      <c r="F719" s="118"/>
      <c r="G719" s="118"/>
      <c r="H719" s="118"/>
      <c r="I719" s="118"/>
      <c r="J719" s="118"/>
      <c r="K719" s="118"/>
      <c r="L719" s="118"/>
      <c r="M719" s="118"/>
      <c r="N719" s="42"/>
      <c r="O719" s="42"/>
      <c r="P719" s="42"/>
      <c r="Q719" s="42"/>
      <c r="R719" s="42"/>
      <c r="S719" s="3"/>
      <c r="T719" s="3"/>
      <c r="U719" s="3"/>
      <c r="V719" s="3"/>
      <c r="W719" s="3"/>
      <c r="X719" s="3"/>
      <c r="Y719" s="3"/>
      <c r="Z719" s="3"/>
      <c r="AA719" s="3"/>
      <c r="AB719" s="3"/>
      <c r="AC719" s="3"/>
      <c r="AD719" s="3"/>
      <c r="AE719" s="3"/>
      <c r="AF719" s="3"/>
      <c r="AG719" s="3"/>
      <c r="AH719" s="3"/>
      <c r="AI719" s="3"/>
      <c r="AJ719" s="3"/>
      <c r="AK719" s="3"/>
      <c r="AL719" s="3"/>
    </row>
    <row r="720" spans="1:38" ht="15.75" customHeight="1" x14ac:dyDescent="0.2">
      <c r="A720" s="118"/>
      <c r="B720" s="118"/>
      <c r="C720" s="118"/>
      <c r="D720" s="118"/>
      <c r="E720" s="118"/>
      <c r="F720" s="118"/>
      <c r="G720" s="118"/>
      <c r="H720" s="118"/>
      <c r="I720" s="118"/>
      <c r="J720" s="118"/>
      <c r="K720" s="118"/>
      <c r="L720" s="118"/>
      <c r="M720" s="118"/>
      <c r="N720" s="42"/>
      <c r="O720" s="42"/>
      <c r="P720" s="42"/>
      <c r="Q720" s="42"/>
      <c r="R720" s="42"/>
      <c r="S720" s="3"/>
      <c r="T720" s="3"/>
      <c r="U720" s="3"/>
      <c r="V720" s="3"/>
      <c r="W720" s="3"/>
      <c r="X720" s="3"/>
      <c r="Y720" s="3"/>
      <c r="Z720" s="3"/>
      <c r="AA720" s="3"/>
      <c r="AB720" s="3"/>
      <c r="AC720" s="3"/>
      <c r="AD720" s="3"/>
      <c r="AE720" s="3"/>
      <c r="AF720" s="3"/>
      <c r="AG720" s="3"/>
      <c r="AH720" s="3"/>
      <c r="AI720" s="3"/>
      <c r="AJ720" s="3"/>
      <c r="AK720" s="3"/>
      <c r="AL720" s="3"/>
    </row>
    <row r="721" spans="1:38" ht="15.75" customHeight="1" x14ac:dyDescent="0.2">
      <c r="A721" s="118"/>
      <c r="B721" s="118"/>
      <c r="C721" s="118"/>
      <c r="D721" s="118"/>
      <c r="E721" s="118"/>
      <c r="F721" s="118"/>
      <c r="G721" s="118"/>
      <c r="H721" s="118"/>
      <c r="I721" s="118"/>
      <c r="J721" s="118"/>
      <c r="K721" s="118"/>
      <c r="L721" s="118"/>
      <c r="M721" s="118"/>
      <c r="N721" s="42"/>
      <c r="O721" s="42"/>
      <c r="P721" s="42"/>
      <c r="Q721" s="42"/>
      <c r="R721" s="42"/>
      <c r="S721" s="3"/>
      <c r="T721" s="3"/>
      <c r="U721" s="3"/>
      <c r="V721" s="3"/>
      <c r="W721" s="3"/>
      <c r="X721" s="3"/>
      <c r="Y721" s="3"/>
      <c r="Z721" s="3"/>
      <c r="AA721" s="3"/>
      <c r="AB721" s="3"/>
      <c r="AC721" s="3"/>
      <c r="AD721" s="3"/>
      <c r="AE721" s="3"/>
      <c r="AF721" s="3"/>
      <c r="AG721" s="3"/>
      <c r="AH721" s="3"/>
      <c r="AI721" s="3"/>
      <c r="AJ721" s="3"/>
      <c r="AK721" s="3"/>
      <c r="AL721" s="3"/>
    </row>
    <row r="722" spans="1:38" ht="15.75" customHeight="1" x14ac:dyDescent="0.2">
      <c r="A722" s="118"/>
      <c r="B722" s="118"/>
      <c r="C722" s="118"/>
      <c r="D722" s="118"/>
      <c r="E722" s="118"/>
      <c r="F722" s="118"/>
      <c r="G722" s="118"/>
      <c r="H722" s="118"/>
      <c r="I722" s="118"/>
      <c r="J722" s="118"/>
      <c r="K722" s="118"/>
      <c r="L722" s="118"/>
      <c r="M722" s="118"/>
      <c r="N722" s="42"/>
      <c r="O722" s="42"/>
      <c r="P722" s="42"/>
      <c r="Q722" s="42"/>
      <c r="R722" s="42"/>
      <c r="S722" s="3"/>
      <c r="T722" s="3"/>
      <c r="U722" s="3"/>
      <c r="V722" s="3"/>
      <c r="W722" s="3"/>
      <c r="X722" s="3"/>
      <c r="Y722" s="3"/>
      <c r="Z722" s="3"/>
      <c r="AA722" s="3"/>
      <c r="AB722" s="3"/>
      <c r="AC722" s="3"/>
      <c r="AD722" s="3"/>
      <c r="AE722" s="3"/>
      <c r="AF722" s="3"/>
      <c r="AG722" s="3"/>
      <c r="AH722" s="3"/>
      <c r="AI722" s="3"/>
      <c r="AJ722" s="3"/>
      <c r="AK722" s="3"/>
      <c r="AL722" s="3"/>
    </row>
    <row r="723" spans="1:38" ht="15.75" customHeight="1" x14ac:dyDescent="0.2">
      <c r="A723" s="118"/>
      <c r="B723" s="118"/>
      <c r="C723" s="118"/>
      <c r="D723" s="118"/>
      <c r="E723" s="118"/>
      <c r="F723" s="118"/>
      <c r="G723" s="118"/>
      <c r="H723" s="118"/>
      <c r="I723" s="118"/>
      <c r="J723" s="118"/>
      <c r="K723" s="118"/>
      <c r="L723" s="118"/>
      <c r="M723" s="118"/>
      <c r="N723" s="42"/>
      <c r="O723" s="42"/>
      <c r="P723" s="42"/>
      <c r="Q723" s="42"/>
      <c r="R723" s="42"/>
      <c r="S723" s="3"/>
      <c r="T723" s="3"/>
      <c r="U723" s="3"/>
      <c r="V723" s="3"/>
      <c r="W723" s="3"/>
      <c r="X723" s="3"/>
      <c r="Y723" s="3"/>
      <c r="Z723" s="3"/>
      <c r="AA723" s="3"/>
      <c r="AB723" s="3"/>
      <c r="AC723" s="3"/>
      <c r="AD723" s="3"/>
      <c r="AE723" s="3"/>
      <c r="AF723" s="3"/>
      <c r="AG723" s="3"/>
      <c r="AH723" s="3"/>
      <c r="AI723" s="3"/>
      <c r="AJ723" s="3"/>
      <c r="AK723" s="3"/>
      <c r="AL723" s="3"/>
    </row>
    <row r="724" spans="1:38" ht="15.75" customHeight="1" x14ac:dyDescent="0.2">
      <c r="A724" s="118"/>
      <c r="B724" s="118"/>
      <c r="C724" s="118"/>
      <c r="D724" s="118"/>
      <c r="E724" s="118"/>
      <c r="F724" s="118"/>
      <c r="G724" s="118"/>
      <c r="H724" s="118"/>
      <c r="I724" s="118"/>
      <c r="J724" s="118"/>
      <c r="K724" s="118"/>
      <c r="L724" s="118"/>
      <c r="M724" s="118"/>
      <c r="N724" s="42"/>
      <c r="O724" s="42"/>
      <c r="P724" s="42"/>
      <c r="Q724" s="42"/>
      <c r="R724" s="42"/>
      <c r="S724" s="3"/>
      <c r="T724" s="3"/>
      <c r="U724" s="3"/>
      <c r="V724" s="3"/>
      <c r="W724" s="3"/>
      <c r="X724" s="3"/>
      <c r="Y724" s="3"/>
      <c r="Z724" s="3"/>
      <c r="AA724" s="3"/>
      <c r="AB724" s="3"/>
      <c r="AC724" s="3"/>
      <c r="AD724" s="3"/>
      <c r="AE724" s="3"/>
      <c r="AF724" s="3"/>
      <c r="AG724" s="3"/>
      <c r="AH724" s="3"/>
      <c r="AI724" s="3"/>
      <c r="AJ724" s="3"/>
      <c r="AK724" s="3"/>
      <c r="AL724" s="3"/>
    </row>
    <row r="725" spans="1:38" ht="15.75" customHeight="1" x14ac:dyDescent="0.2">
      <c r="A725" s="118"/>
      <c r="B725" s="118"/>
      <c r="C725" s="118"/>
      <c r="D725" s="118"/>
      <c r="E725" s="118"/>
      <c r="F725" s="118"/>
      <c r="G725" s="118"/>
      <c r="H725" s="118"/>
      <c r="I725" s="118"/>
      <c r="J725" s="118"/>
      <c r="K725" s="118"/>
      <c r="L725" s="118"/>
      <c r="M725" s="118"/>
      <c r="N725" s="42"/>
      <c r="O725" s="42"/>
      <c r="P725" s="42"/>
      <c r="Q725" s="42"/>
      <c r="R725" s="42"/>
      <c r="S725" s="3"/>
      <c r="T725" s="3"/>
      <c r="U725" s="3"/>
      <c r="V725" s="3"/>
      <c r="W725" s="3"/>
      <c r="X725" s="3"/>
      <c r="Y725" s="3"/>
      <c r="Z725" s="3"/>
      <c r="AA725" s="3"/>
      <c r="AB725" s="3"/>
      <c r="AC725" s="3"/>
      <c r="AD725" s="3"/>
      <c r="AE725" s="3"/>
      <c r="AF725" s="3"/>
      <c r="AG725" s="3"/>
      <c r="AH725" s="3"/>
      <c r="AI725" s="3"/>
      <c r="AJ725" s="3"/>
      <c r="AK725" s="3"/>
      <c r="AL725" s="3"/>
    </row>
    <row r="726" spans="1:38" ht="15.75" customHeight="1" x14ac:dyDescent="0.2">
      <c r="A726" s="118"/>
      <c r="B726" s="118"/>
      <c r="C726" s="118"/>
      <c r="D726" s="118"/>
      <c r="E726" s="118"/>
      <c r="F726" s="118"/>
      <c r="G726" s="118"/>
      <c r="H726" s="118"/>
      <c r="I726" s="118"/>
      <c r="J726" s="118"/>
      <c r="K726" s="118"/>
      <c r="L726" s="118"/>
      <c r="M726" s="118"/>
      <c r="N726" s="42"/>
      <c r="O726" s="42"/>
      <c r="P726" s="42"/>
      <c r="Q726" s="42"/>
      <c r="R726" s="42"/>
      <c r="S726" s="3"/>
      <c r="T726" s="3"/>
      <c r="U726" s="3"/>
      <c r="V726" s="3"/>
      <c r="W726" s="3"/>
      <c r="X726" s="3"/>
      <c r="Y726" s="3"/>
      <c r="Z726" s="3"/>
      <c r="AA726" s="3"/>
      <c r="AB726" s="3"/>
      <c r="AC726" s="3"/>
      <c r="AD726" s="3"/>
      <c r="AE726" s="3"/>
      <c r="AF726" s="3"/>
      <c r="AG726" s="3"/>
      <c r="AH726" s="3"/>
      <c r="AI726" s="3"/>
      <c r="AJ726" s="3"/>
      <c r="AK726" s="3"/>
      <c r="AL726" s="3"/>
    </row>
    <row r="727" spans="1:38" ht="15.75" customHeight="1" x14ac:dyDescent="0.2">
      <c r="A727" s="118"/>
      <c r="B727" s="118"/>
      <c r="C727" s="118"/>
      <c r="D727" s="118"/>
      <c r="E727" s="118"/>
      <c r="F727" s="118"/>
      <c r="G727" s="118"/>
      <c r="H727" s="118"/>
      <c r="I727" s="118"/>
      <c r="J727" s="118"/>
      <c r="K727" s="118"/>
      <c r="L727" s="118"/>
      <c r="M727" s="118"/>
      <c r="N727" s="42"/>
      <c r="O727" s="42"/>
      <c r="P727" s="42"/>
      <c r="Q727" s="42"/>
      <c r="R727" s="42"/>
      <c r="S727" s="3"/>
      <c r="T727" s="3"/>
      <c r="U727" s="3"/>
      <c r="V727" s="3"/>
      <c r="W727" s="3"/>
      <c r="X727" s="3"/>
      <c r="Y727" s="3"/>
      <c r="Z727" s="3"/>
      <c r="AA727" s="3"/>
      <c r="AB727" s="3"/>
      <c r="AC727" s="3"/>
      <c r="AD727" s="3"/>
      <c r="AE727" s="3"/>
      <c r="AF727" s="3"/>
      <c r="AG727" s="3"/>
      <c r="AH727" s="3"/>
      <c r="AI727" s="3"/>
      <c r="AJ727" s="3"/>
      <c r="AK727" s="3"/>
      <c r="AL727" s="3"/>
    </row>
    <row r="728" spans="1:38" ht="15.75" customHeight="1" x14ac:dyDescent="0.2">
      <c r="A728" s="118"/>
      <c r="B728" s="118"/>
      <c r="C728" s="118"/>
      <c r="D728" s="118"/>
      <c r="E728" s="118"/>
      <c r="F728" s="118"/>
      <c r="G728" s="118"/>
      <c r="H728" s="118"/>
      <c r="I728" s="118"/>
      <c r="J728" s="118"/>
      <c r="K728" s="118"/>
      <c r="L728" s="118"/>
      <c r="M728" s="118"/>
      <c r="N728" s="42"/>
      <c r="O728" s="42"/>
      <c r="P728" s="42"/>
      <c r="Q728" s="42"/>
      <c r="R728" s="42"/>
      <c r="S728" s="3"/>
      <c r="T728" s="3"/>
      <c r="U728" s="3"/>
      <c r="V728" s="3"/>
      <c r="W728" s="3"/>
      <c r="X728" s="3"/>
      <c r="Y728" s="3"/>
      <c r="Z728" s="3"/>
      <c r="AA728" s="3"/>
      <c r="AB728" s="3"/>
      <c r="AC728" s="3"/>
      <c r="AD728" s="3"/>
      <c r="AE728" s="3"/>
      <c r="AF728" s="3"/>
      <c r="AG728" s="3"/>
      <c r="AH728" s="3"/>
      <c r="AI728" s="3"/>
      <c r="AJ728" s="3"/>
      <c r="AK728" s="3"/>
      <c r="AL728" s="3"/>
    </row>
    <row r="729" spans="1:38" ht="15.75" customHeight="1" x14ac:dyDescent="0.2">
      <c r="A729" s="118"/>
      <c r="B729" s="118"/>
      <c r="C729" s="118"/>
      <c r="D729" s="118"/>
      <c r="E729" s="118"/>
      <c r="F729" s="118"/>
      <c r="G729" s="118"/>
      <c r="H729" s="118"/>
      <c r="I729" s="118"/>
      <c r="J729" s="118"/>
      <c r="K729" s="118"/>
      <c r="L729" s="118"/>
      <c r="M729" s="118"/>
      <c r="N729" s="42"/>
      <c r="O729" s="42"/>
      <c r="P729" s="42"/>
      <c r="Q729" s="42"/>
      <c r="R729" s="42"/>
      <c r="S729" s="3"/>
      <c r="T729" s="3"/>
      <c r="U729" s="3"/>
      <c r="V729" s="3"/>
      <c r="W729" s="3"/>
      <c r="X729" s="3"/>
      <c r="Y729" s="3"/>
      <c r="Z729" s="3"/>
      <c r="AA729" s="3"/>
      <c r="AB729" s="3"/>
      <c r="AC729" s="3"/>
      <c r="AD729" s="3"/>
      <c r="AE729" s="3"/>
      <c r="AF729" s="3"/>
      <c r="AG729" s="3"/>
      <c r="AH729" s="3"/>
      <c r="AI729" s="3"/>
      <c r="AJ729" s="3"/>
      <c r="AK729" s="3"/>
      <c r="AL729" s="3"/>
    </row>
    <row r="730" spans="1:38" ht="15.75" customHeight="1" x14ac:dyDescent="0.2">
      <c r="A730" s="118"/>
      <c r="B730" s="118"/>
      <c r="C730" s="118"/>
      <c r="D730" s="118"/>
      <c r="E730" s="118"/>
      <c r="F730" s="118"/>
      <c r="G730" s="118"/>
      <c r="H730" s="118"/>
      <c r="I730" s="118"/>
      <c r="J730" s="118"/>
      <c r="K730" s="118"/>
      <c r="L730" s="118"/>
      <c r="M730" s="118"/>
      <c r="N730" s="42"/>
      <c r="O730" s="42"/>
      <c r="P730" s="42"/>
      <c r="Q730" s="42"/>
      <c r="R730" s="42"/>
      <c r="S730" s="3"/>
      <c r="T730" s="3"/>
      <c r="U730" s="3"/>
      <c r="V730" s="3"/>
      <c r="W730" s="3"/>
      <c r="X730" s="3"/>
      <c r="Y730" s="3"/>
      <c r="Z730" s="3"/>
      <c r="AA730" s="3"/>
      <c r="AB730" s="3"/>
      <c r="AC730" s="3"/>
      <c r="AD730" s="3"/>
      <c r="AE730" s="3"/>
      <c r="AF730" s="3"/>
      <c r="AG730" s="3"/>
      <c r="AH730" s="3"/>
      <c r="AI730" s="3"/>
      <c r="AJ730" s="3"/>
      <c r="AK730" s="3"/>
      <c r="AL730" s="3"/>
    </row>
    <row r="731" spans="1:38" ht="15.75" customHeight="1" x14ac:dyDescent="0.2">
      <c r="A731" s="118"/>
      <c r="B731" s="118"/>
      <c r="C731" s="118"/>
      <c r="D731" s="118"/>
      <c r="E731" s="118"/>
      <c r="F731" s="118"/>
      <c r="G731" s="118"/>
      <c r="H731" s="118"/>
      <c r="I731" s="118"/>
      <c r="J731" s="118"/>
      <c r="K731" s="118"/>
      <c r="L731" s="118"/>
      <c r="M731" s="118"/>
      <c r="N731" s="42"/>
      <c r="O731" s="42"/>
      <c r="P731" s="42"/>
      <c r="Q731" s="42"/>
      <c r="R731" s="42"/>
      <c r="S731" s="3"/>
      <c r="T731" s="3"/>
      <c r="U731" s="3"/>
      <c r="V731" s="3"/>
      <c r="W731" s="3"/>
      <c r="X731" s="3"/>
      <c r="Y731" s="3"/>
      <c r="Z731" s="3"/>
      <c r="AA731" s="3"/>
      <c r="AB731" s="3"/>
      <c r="AC731" s="3"/>
      <c r="AD731" s="3"/>
      <c r="AE731" s="3"/>
      <c r="AF731" s="3"/>
      <c r="AG731" s="3"/>
      <c r="AH731" s="3"/>
      <c r="AI731" s="3"/>
      <c r="AJ731" s="3"/>
      <c r="AK731" s="3"/>
      <c r="AL731" s="3"/>
    </row>
    <row r="732" spans="1:38" ht="15.75" customHeight="1" x14ac:dyDescent="0.2">
      <c r="A732" s="118"/>
      <c r="B732" s="118"/>
      <c r="C732" s="118"/>
      <c r="D732" s="118"/>
      <c r="E732" s="118"/>
      <c r="F732" s="118"/>
      <c r="G732" s="118"/>
      <c r="H732" s="118"/>
      <c r="I732" s="118"/>
      <c r="J732" s="118"/>
      <c r="K732" s="118"/>
      <c r="L732" s="118"/>
      <c r="M732" s="118"/>
      <c r="N732" s="42"/>
      <c r="O732" s="42"/>
      <c r="P732" s="42"/>
      <c r="Q732" s="42"/>
      <c r="R732" s="42"/>
      <c r="S732" s="3"/>
      <c r="T732" s="3"/>
      <c r="U732" s="3"/>
      <c r="V732" s="3"/>
      <c r="W732" s="3"/>
      <c r="X732" s="3"/>
      <c r="Y732" s="3"/>
      <c r="Z732" s="3"/>
      <c r="AA732" s="3"/>
      <c r="AB732" s="3"/>
      <c r="AC732" s="3"/>
      <c r="AD732" s="3"/>
      <c r="AE732" s="3"/>
      <c r="AF732" s="3"/>
      <c r="AG732" s="3"/>
      <c r="AH732" s="3"/>
      <c r="AI732" s="3"/>
      <c r="AJ732" s="3"/>
      <c r="AK732" s="3"/>
      <c r="AL732" s="3"/>
    </row>
    <row r="733" spans="1:38" ht="15.75" customHeight="1" x14ac:dyDescent="0.2">
      <c r="A733" s="118"/>
      <c r="B733" s="118"/>
      <c r="C733" s="118"/>
      <c r="D733" s="118"/>
      <c r="E733" s="118"/>
      <c r="F733" s="118"/>
      <c r="G733" s="118"/>
      <c r="H733" s="118"/>
      <c r="I733" s="118"/>
      <c r="J733" s="118"/>
      <c r="K733" s="118"/>
      <c r="L733" s="118"/>
      <c r="M733" s="118"/>
      <c r="N733" s="42"/>
      <c r="O733" s="42"/>
      <c r="P733" s="42"/>
      <c r="Q733" s="42"/>
      <c r="R733" s="42"/>
      <c r="S733" s="3"/>
      <c r="T733" s="3"/>
      <c r="U733" s="3"/>
      <c r="V733" s="3"/>
      <c r="W733" s="3"/>
      <c r="X733" s="3"/>
      <c r="Y733" s="3"/>
      <c r="Z733" s="3"/>
      <c r="AA733" s="3"/>
      <c r="AB733" s="3"/>
      <c r="AC733" s="3"/>
      <c r="AD733" s="3"/>
      <c r="AE733" s="3"/>
      <c r="AF733" s="3"/>
      <c r="AG733" s="3"/>
      <c r="AH733" s="3"/>
      <c r="AI733" s="3"/>
      <c r="AJ733" s="3"/>
      <c r="AK733" s="3"/>
      <c r="AL733" s="3"/>
    </row>
    <row r="734" spans="1:38" ht="15.75" customHeight="1" x14ac:dyDescent="0.2">
      <c r="A734" s="118"/>
      <c r="B734" s="118"/>
      <c r="C734" s="118"/>
      <c r="D734" s="118"/>
      <c r="E734" s="118"/>
      <c r="F734" s="118"/>
      <c r="G734" s="118"/>
      <c r="H734" s="118"/>
      <c r="I734" s="118"/>
      <c r="J734" s="118"/>
      <c r="K734" s="118"/>
      <c r="L734" s="118"/>
      <c r="M734" s="118"/>
      <c r="N734" s="42"/>
      <c r="O734" s="42"/>
      <c r="P734" s="42"/>
      <c r="Q734" s="42"/>
      <c r="R734" s="42"/>
      <c r="S734" s="3"/>
      <c r="T734" s="3"/>
      <c r="U734" s="3"/>
      <c r="V734" s="3"/>
      <c r="W734" s="3"/>
      <c r="X734" s="3"/>
      <c r="Y734" s="3"/>
      <c r="Z734" s="3"/>
      <c r="AA734" s="3"/>
      <c r="AB734" s="3"/>
      <c r="AC734" s="3"/>
      <c r="AD734" s="3"/>
      <c r="AE734" s="3"/>
      <c r="AF734" s="3"/>
      <c r="AG734" s="3"/>
      <c r="AH734" s="3"/>
      <c r="AI734" s="3"/>
      <c r="AJ734" s="3"/>
      <c r="AK734" s="3"/>
      <c r="AL734" s="3"/>
    </row>
    <row r="735" spans="1:38" ht="15.75" customHeight="1" x14ac:dyDescent="0.2">
      <c r="A735" s="118"/>
      <c r="B735" s="118"/>
      <c r="C735" s="118"/>
      <c r="D735" s="118"/>
      <c r="E735" s="118"/>
      <c r="F735" s="118"/>
      <c r="G735" s="118"/>
      <c r="H735" s="118"/>
      <c r="I735" s="118"/>
      <c r="J735" s="118"/>
      <c r="K735" s="118"/>
      <c r="L735" s="118"/>
      <c r="M735" s="118"/>
      <c r="N735" s="42"/>
      <c r="O735" s="42"/>
      <c r="P735" s="42"/>
      <c r="Q735" s="42"/>
      <c r="R735" s="42"/>
      <c r="S735" s="3"/>
      <c r="T735" s="3"/>
      <c r="U735" s="3"/>
      <c r="V735" s="3"/>
      <c r="W735" s="3"/>
      <c r="X735" s="3"/>
      <c r="Y735" s="3"/>
      <c r="Z735" s="3"/>
      <c r="AA735" s="3"/>
      <c r="AB735" s="3"/>
      <c r="AC735" s="3"/>
      <c r="AD735" s="3"/>
      <c r="AE735" s="3"/>
      <c r="AF735" s="3"/>
      <c r="AG735" s="3"/>
      <c r="AH735" s="3"/>
      <c r="AI735" s="3"/>
      <c r="AJ735" s="3"/>
      <c r="AK735" s="3"/>
      <c r="AL735" s="3"/>
    </row>
    <row r="736" spans="1:38" ht="15.75" customHeight="1" x14ac:dyDescent="0.2">
      <c r="A736" s="118"/>
      <c r="B736" s="118"/>
      <c r="C736" s="118"/>
      <c r="D736" s="118"/>
      <c r="E736" s="118"/>
      <c r="F736" s="118"/>
      <c r="G736" s="118"/>
      <c r="H736" s="118"/>
      <c r="I736" s="118"/>
      <c r="J736" s="118"/>
      <c r="K736" s="118"/>
      <c r="L736" s="118"/>
      <c r="M736" s="118"/>
      <c r="N736" s="42"/>
      <c r="O736" s="42"/>
      <c r="P736" s="42"/>
      <c r="Q736" s="42"/>
      <c r="R736" s="42"/>
      <c r="S736" s="3"/>
      <c r="T736" s="3"/>
      <c r="U736" s="3"/>
      <c r="V736" s="3"/>
      <c r="W736" s="3"/>
      <c r="X736" s="3"/>
      <c r="Y736" s="3"/>
      <c r="Z736" s="3"/>
      <c r="AA736" s="3"/>
      <c r="AB736" s="3"/>
      <c r="AC736" s="3"/>
      <c r="AD736" s="3"/>
      <c r="AE736" s="3"/>
      <c r="AF736" s="3"/>
      <c r="AG736" s="3"/>
      <c r="AH736" s="3"/>
      <c r="AI736" s="3"/>
      <c r="AJ736" s="3"/>
      <c r="AK736" s="3"/>
      <c r="AL736" s="3"/>
    </row>
    <row r="737" spans="1:38" ht="15.75" customHeight="1" x14ac:dyDescent="0.2">
      <c r="A737" s="118"/>
      <c r="B737" s="118"/>
      <c r="C737" s="118"/>
      <c r="D737" s="118"/>
      <c r="E737" s="118"/>
      <c r="F737" s="118"/>
      <c r="G737" s="118"/>
      <c r="H737" s="118"/>
      <c r="I737" s="118"/>
      <c r="J737" s="118"/>
      <c r="K737" s="118"/>
      <c r="L737" s="118"/>
      <c r="M737" s="118"/>
      <c r="N737" s="42"/>
      <c r="O737" s="42"/>
      <c r="P737" s="42"/>
      <c r="Q737" s="42"/>
      <c r="R737" s="42"/>
      <c r="S737" s="3"/>
      <c r="T737" s="3"/>
      <c r="U737" s="3"/>
      <c r="V737" s="3"/>
      <c r="W737" s="3"/>
      <c r="X737" s="3"/>
      <c r="Y737" s="3"/>
      <c r="Z737" s="3"/>
      <c r="AA737" s="3"/>
      <c r="AB737" s="3"/>
      <c r="AC737" s="3"/>
      <c r="AD737" s="3"/>
      <c r="AE737" s="3"/>
      <c r="AF737" s="3"/>
      <c r="AG737" s="3"/>
      <c r="AH737" s="3"/>
      <c r="AI737" s="3"/>
      <c r="AJ737" s="3"/>
      <c r="AK737" s="3"/>
      <c r="AL737" s="3"/>
    </row>
    <row r="738" spans="1:38" ht="15.75" customHeight="1" x14ac:dyDescent="0.2">
      <c r="A738" s="118"/>
      <c r="B738" s="118"/>
      <c r="C738" s="118"/>
      <c r="D738" s="118"/>
      <c r="E738" s="118"/>
      <c r="F738" s="118"/>
      <c r="G738" s="118"/>
      <c r="H738" s="118"/>
      <c r="I738" s="118"/>
      <c r="J738" s="118"/>
      <c r="K738" s="118"/>
      <c r="L738" s="118"/>
      <c r="M738" s="118"/>
      <c r="N738" s="42"/>
      <c r="O738" s="42"/>
      <c r="P738" s="42"/>
      <c r="Q738" s="42"/>
      <c r="R738" s="42"/>
      <c r="S738" s="3"/>
      <c r="T738" s="3"/>
      <c r="U738" s="3"/>
      <c r="V738" s="3"/>
      <c r="W738" s="3"/>
      <c r="X738" s="3"/>
      <c r="Y738" s="3"/>
      <c r="Z738" s="3"/>
      <c r="AA738" s="3"/>
      <c r="AB738" s="3"/>
      <c r="AC738" s="3"/>
      <c r="AD738" s="3"/>
      <c r="AE738" s="3"/>
      <c r="AF738" s="3"/>
      <c r="AG738" s="3"/>
      <c r="AH738" s="3"/>
      <c r="AI738" s="3"/>
      <c r="AJ738" s="3"/>
      <c r="AK738" s="3"/>
      <c r="AL738" s="3"/>
    </row>
    <row r="739" spans="1:38" ht="15.75" customHeight="1" x14ac:dyDescent="0.2">
      <c r="A739" s="118"/>
      <c r="B739" s="118"/>
      <c r="C739" s="118"/>
      <c r="D739" s="118"/>
      <c r="E739" s="118"/>
      <c r="F739" s="118"/>
      <c r="G739" s="118"/>
      <c r="H739" s="118"/>
      <c r="I739" s="118"/>
      <c r="J739" s="118"/>
      <c r="K739" s="118"/>
      <c r="L739" s="118"/>
      <c r="M739" s="118"/>
      <c r="N739" s="42"/>
      <c r="O739" s="42"/>
      <c r="P739" s="42"/>
      <c r="Q739" s="42"/>
      <c r="R739" s="42"/>
      <c r="S739" s="3"/>
      <c r="T739" s="3"/>
      <c r="U739" s="3"/>
      <c r="V739" s="3"/>
      <c r="W739" s="3"/>
      <c r="X739" s="3"/>
      <c r="Y739" s="3"/>
      <c r="Z739" s="3"/>
      <c r="AA739" s="3"/>
      <c r="AB739" s="3"/>
      <c r="AC739" s="3"/>
      <c r="AD739" s="3"/>
      <c r="AE739" s="3"/>
      <c r="AF739" s="3"/>
      <c r="AG739" s="3"/>
      <c r="AH739" s="3"/>
      <c r="AI739" s="3"/>
      <c r="AJ739" s="3"/>
      <c r="AK739" s="3"/>
      <c r="AL739" s="3"/>
    </row>
    <row r="740" spans="1:38" ht="15.75" customHeight="1" x14ac:dyDescent="0.2">
      <c r="A740" s="118"/>
      <c r="B740" s="118"/>
      <c r="C740" s="118"/>
      <c r="D740" s="118"/>
      <c r="E740" s="118"/>
      <c r="F740" s="118"/>
      <c r="G740" s="118"/>
      <c r="H740" s="118"/>
      <c r="I740" s="118"/>
      <c r="J740" s="118"/>
      <c r="K740" s="118"/>
      <c r="L740" s="118"/>
      <c r="M740" s="118"/>
      <c r="N740" s="42"/>
      <c r="O740" s="42"/>
      <c r="P740" s="42"/>
      <c r="Q740" s="42"/>
      <c r="R740" s="42"/>
      <c r="S740" s="3"/>
      <c r="T740" s="3"/>
      <c r="U740" s="3"/>
      <c r="V740" s="3"/>
      <c r="W740" s="3"/>
      <c r="X740" s="3"/>
      <c r="Y740" s="3"/>
      <c r="Z740" s="3"/>
      <c r="AA740" s="3"/>
      <c r="AB740" s="3"/>
      <c r="AC740" s="3"/>
      <c r="AD740" s="3"/>
      <c r="AE740" s="3"/>
      <c r="AF740" s="3"/>
      <c r="AG740" s="3"/>
      <c r="AH740" s="3"/>
      <c r="AI740" s="3"/>
      <c r="AJ740" s="3"/>
      <c r="AK740" s="3"/>
      <c r="AL740" s="3"/>
    </row>
    <row r="741" spans="1:38" ht="15.75" customHeight="1" x14ac:dyDescent="0.2">
      <c r="A741" s="118"/>
      <c r="B741" s="118"/>
      <c r="C741" s="118"/>
      <c r="D741" s="118"/>
      <c r="E741" s="118"/>
      <c r="F741" s="118"/>
      <c r="G741" s="118"/>
      <c r="H741" s="118"/>
      <c r="I741" s="118"/>
      <c r="J741" s="118"/>
      <c r="K741" s="118"/>
      <c r="L741" s="118"/>
      <c r="M741" s="118"/>
      <c r="N741" s="42"/>
      <c r="O741" s="42"/>
      <c r="P741" s="42"/>
      <c r="Q741" s="42"/>
      <c r="R741" s="42"/>
      <c r="S741" s="3"/>
      <c r="T741" s="3"/>
      <c r="U741" s="3"/>
      <c r="V741" s="3"/>
      <c r="W741" s="3"/>
      <c r="X741" s="3"/>
      <c r="Y741" s="3"/>
      <c r="Z741" s="3"/>
      <c r="AA741" s="3"/>
      <c r="AB741" s="3"/>
      <c r="AC741" s="3"/>
      <c r="AD741" s="3"/>
      <c r="AE741" s="3"/>
      <c r="AF741" s="3"/>
      <c r="AG741" s="3"/>
      <c r="AH741" s="3"/>
      <c r="AI741" s="3"/>
      <c r="AJ741" s="3"/>
      <c r="AK741" s="3"/>
      <c r="AL741" s="3"/>
    </row>
    <row r="742" spans="1:38" ht="15.75" customHeight="1" x14ac:dyDescent="0.2">
      <c r="A742" s="118"/>
      <c r="B742" s="118"/>
      <c r="C742" s="118"/>
      <c r="D742" s="118"/>
      <c r="E742" s="118"/>
      <c r="F742" s="118"/>
      <c r="G742" s="118"/>
      <c r="H742" s="118"/>
      <c r="I742" s="118"/>
      <c r="J742" s="118"/>
      <c r="K742" s="118"/>
      <c r="L742" s="118"/>
      <c r="M742" s="118"/>
      <c r="N742" s="42"/>
      <c r="O742" s="42"/>
      <c r="P742" s="42"/>
      <c r="Q742" s="42"/>
      <c r="R742" s="42"/>
      <c r="S742" s="3"/>
      <c r="T742" s="3"/>
      <c r="U742" s="3"/>
      <c r="V742" s="3"/>
      <c r="W742" s="3"/>
      <c r="X742" s="3"/>
      <c r="Y742" s="3"/>
      <c r="Z742" s="3"/>
      <c r="AA742" s="3"/>
      <c r="AB742" s="3"/>
      <c r="AC742" s="3"/>
      <c r="AD742" s="3"/>
      <c r="AE742" s="3"/>
      <c r="AF742" s="3"/>
      <c r="AG742" s="3"/>
      <c r="AH742" s="3"/>
      <c r="AI742" s="3"/>
      <c r="AJ742" s="3"/>
      <c r="AK742" s="3"/>
      <c r="AL742" s="3"/>
    </row>
    <row r="743" spans="1:38" ht="15.75" customHeight="1" x14ac:dyDescent="0.2">
      <c r="A743" s="118"/>
      <c r="B743" s="118"/>
      <c r="C743" s="118"/>
      <c r="D743" s="118"/>
      <c r="E743" s="118"/>
      <c r="F743" s="118"/>
      <c r="G743" s="118"/>
      <c r="H743" s="118"/>
      <c r="I743" s="118"/>
      <c r="J743" s="118"/>
      <c r="K743" s="118"/>
      <c r="L743" s="118"/>
      <c r="M743" s="118"/>
      <c r="N743" s="42"/>
      <c r="O743" s="42"/>
      <c r="P743" s="42"/>
      <c r="Q743" s="42"/>
      <c r="R743" s="42"/>
      <c r="S743" s="3"/>
      <c r="T743" s="3"/>
      <c r="U743" s="3"/>
      <c r="V743" s="3"/>
      <c r="W743" s="3"/>
      <c r="X743" s="3"/>
      <c r="Y743" s="3"/>
      <c r="Z743" s="3"/>
      <c r="AA743" s="3"/>
      <c r="AB743" s="3"/>
      <c r="AC743" s="3"/>
      <c r="AD743" s="3"/>
      <c r="AE743" s="3"/>
      <c r="AF743" s="3"/>
      <c r="AG743" s="3"/>
      <c r="AH743" s="3"/>
      <c r="AI743" s="3"/>
      <c r="AJ743" s="3"/>
      <c r="AK743" s="3"/>
      <c r="AL743" s="3"/>
    </row>
    <row r="744" spans="1:38" ht="15.75" customHeight="1" x14ac:dyDescent="0.2">
      <c r="A744" s="118"/>
      <c r="B744" s="118"/>
      <c r="C744" s="118"/>
      <c r="D744" s="118"/>
      <c r="E744" s="118"/>
      <c r="F744" s="118"/>
      <c r="G744" s="118"/>
      <c r="H744" s="118"/>
      <c r="I744" s="118"/>
      <c r="J744" s="118"/>
      <c r="K744" s="118"/>
      <c r="L744" s="118"/>
      <c r="M744" s="118"/>
      <c r="N744" s="42"/>
      <c r="O744" s="42"/>
      <c r="P744" s="42"/>
      <c r="Q744" s="42"/>
      <c r="R744" s="42"/>
      <c r="S744" s="3"/>
      <c r="T744" s="3"/>
      <c r="U744" s="3"/>
      <c r="V744" s="3"/>
      <c r="W744" s="3"/>
      <c r="X744" s="3"/>
      <c r="Y744" s="3"/>
      <c r="Z744" s="3"/>
      <c r="AA744" s="3"/>
      <c r="AB744" s="3"/>
      <c r="AC744" s="3"/>
      <c r="AD744" s="3"/>
      <c r="AE744" s="3"/>
      <c r="AF744" s="3"/>
      <c r="AG744" s="3"/>
      <c r="AH744" s="3"/>
      <c r="AI744" s="3"/>
      <c r="AJ744" s="3"/>
      <c r="AK744" s="3"/>
      <c r="AL744" s="3"/>
    </row>
    <row r="745" spans="1:38" ht="15.75" customHeight="1" x14ac:dyDescent="0.2">
      <c r="A745" s="118"/>
      <c r="B745" s="118"/>
      <c r="C745" s="118"/>
      <c r="D745" s="118"/>
      <c r="E745" s="118"/>
      <c r="F745" s="118"/>
      <c r="G745" s="118"/>
      <c r="H745" s="118"/>
      <c r="I745" s="118"/>
      <c r="J745" s="118"/>
      <c r="K745" s="118"/>
      <c r="L745" s="118"/>
      <c r="M745" s="118"/>
      <c r="N745" s="42"/>
      <c r="O745" s="42"/>
      <c r="P745" s="42"/>
      <c r="Q745" s="42"/>
      <c r="R745" s="42"/>
      <c r="S745" s="3"/>
      <c r="T745" s="3"/>
      <c r="U745" s="3"/>
      <c r="V745" s="3"/>
      <c r="W745" s="3"/>
      <c r="X745" s="3"/>
      <c r="Y745" s="3"/>
      <c r="Z745" s="3"/>
      <c r="AA745" s="3"/>
      <c r="AB745" s="3"/>
      <c r="AC745" s="3"/>
      <c r="AD745" s="3"/>
      <c r="AE745" s="3"/>
      <c r="AF745" s="3"/>
      <c r="AG745" s="3"/>
      <c r="AH745" s="3"/>
      <c r="AI745" s="3"/>
      <c r="AJ745" s="3"/>
      <c r="AK745" s="3"/>
      <c r="AL745" s="3"/>
    </row>
    <row r="746" spans="1:38" ht="15.75" customHeight="1" x14ac:dyDescent="0.2">
      <c r="A746" s="118"/>
      <c r="B746" s="118"/>
      <c r="C746" s="118"/>
      <c r="D746" s="118"/>
      <c r="E746" s="118"/>
      <c r="F746" s="118"/>
      <c r="G746" s="118"/>
      <c r="H746" s="118"/>
      <c r="I746" s="118"/>
      <c r="J746" s="118"/>
      <c r="K746" s="118"/>
      <c r="L746" s="118"/>
      <c r="M746" s="118"/>
      <c r="N746" s="42"/>
      <c r="O746" s="42"/>
      <c r="P746" s="42"/>
      <c r="Q746" s="42"/>
      <c r="R746" s="42"/>
      <c r="S746" s="3"/>
      <c r="T746" s="3"/>
      <c r="U746" s="3"/>
      <c r="V746" s="3"/>
      <c r="W746" s="3"/>
      <c r="X746" s="3"/>
      <c r="Y746" s="3"/>
      <c r="Z746" s="3"/>
      <c r="AA746" s="3"/>
      <c r="AB746" s="3"/>
      <c r="AC746" s="3"/>
      <c r="AD746" s="3"/>
      <c r="AE746" s="3"/>
      <c r="AF746" s="3"/>
      <c r="AG746" s="3"/>
      <c r="AH746" s="3"/>
      <c r="AI746" s="3"/>
      <c r="AJ746" s="3"/>
      <c r="AK746" s="3"/>
      <c r="AL746" s="3"/>
    </row>
    <row r="747" spans="1:38" ht="15.75" customHeight="1" x14ac:dyDescent="0.2">
      <c r="A747" s="118"/>
      <c r="B747" s="118"/>
      <c r="C747" s="118"/>
      <c r="D747" s="118"/>
      <c r="E747" s="118"/>
      <c r="F747" s="118"/>
      <c r="G747" s="118"/>
      <c r="H747" s="118"/>
      <c r="I747" s="118"/>
      <c r="J747" s="118"/>
      <c r="K747" s="118"/>
      <c r="L747" s="118"/>
      <c r="M747" s="118"/>
      <c r="N747" s="42"/>
      <c r="O747" s="42"/>
      <c r="P747" s="42"/>
      <c r="Q747" s="42"/>
      <c r="R747" s="42"/>
      <c r="S747" s="3"/>
      <c r="T747" s="3"/>
      <c r="U747" s="3"/>
      <c r="V747" s="3"/>
      <c r="W747" s="3"/>
      <c r="X747" s="3"/>
      <c r="Y747" s="3"/>
      <c r="Z747" s="3"/>
      <c r="AA747" s="3"/>
      <c r="AB747" s="3"/>
      <c r="AC747" s="3"/>
      <c r="AD747" s="3"/>
      <c r="AE747" s="3"/>
      <c r="AF747" s="3"/>
      <c r="AG747" s="3"/>
      <c r="AH747" s="3"/>
      <c r="AI747" s="3"/>
      <c r="AJ747" s="3"/>
      <c r="AK747" s="3"/>
      <c r="AL747" s="3"/>
    </row>
    <row r="748" spans="1:38" ht="15.75" customHeight="1" x14ac:dyDescent="0.2">
      <c r="A748" s="118"/>
      <c r="B748" s="118"/>
      <c r="C748" s="118"/>
      <c r="D748" s="118"/>
      <c r="E748" s="118"/>
      <c r="F748" s="118"/>
      <c r="G748" s="118"/>
      <c r="H748" s="118"/>
      <c r="I748" s="118"/>
      <c r="J748" s="118"/>
      <c r="K748" s="118"/>
      <c r="L748" s="118"/>
      <c r="M748" s="118"/>
      <c r="N748" s="42"/>
      <c r="O748" s="42"/>
      <c r="P748" s="42"/>
      <c r="Q748" s="42"/>
      <c r="R748" s="42"/>
      <c r="S748" s="3"/>
      <c r="T748" s="3"/>
      <c r="U748" s="3"/>
      <c r="V748" s="3"/>
      <c r="W748" s="3"/>
      <c r="X748" s="3"/>
      <c r="Y748" s="3"/>
      <c r="Z748" s="3"/>
      <c r="AA748" s="3"/>
      <c r="AB748" s="3"/>
      <c r="AC748" s="3"/>
      <c r="AD748" s="3"/>
      <c r="AE748" s="3"/>
      <c r="AF748" s="3"/>
      <c r="AG748" s="3"/>
      <c r="AH748" s="3"/>
      <c r="AI748" s="3"/>
      <c r="AJ748" s="3"/>
      <c r="AK748" s="3"/>
      <c r="AL748" s="3"/>
    </row>
    <row r="749" spans="1:38" ht="15.75" customHeight="1" x14ac:dyDescent="0.2">
      <c r="A749" s="118"/>
      <c r="B749" s="118"/>
      <c r="C749" s="118"/>
      <c r="D749" s="118"/>
      <c r="E749" s="118"/>
      <c r="F749" s="118"/>
      <c r="G749" s="118"/>
      <c r="H749" s="118"/>
      <c r="I749" s="118"/>
      <c r="J749" s="118"/>
      <c r="K749" s="118"/>
      <c r="L749" s="118"/>
      <c r="M749" s="118"/>
      <c r="N749" s="42"/>
      <c r="O749" s="42"/>
      <c r="P749" s="42"/>
      <c r="Q749" s="42"/>
      <c r="R749" s="42"/>
      <c r="S749" s="3"/>
      <c r="T749" s="3"/>
      <c r="U749" s="3"/>
      <c r="V749" s="3"/>
      <c r="W749" s="3"/>
      <c r="X749" s="3"/>
      <c r="Y749" s="3"/>
      <c r="Z749" s="3"/>
      <c r="AA749" s="3"/>
      <c r="AB749" s="3"/>
      <c r="AC749" s="3"/>
      <c r="AD749" s="3"/>
      <c r="AE749" s="3"/>
      <c r="AF749" s="3"/>
      <c r="AG749" s="3"/>
      <c r="AH749" s="3"/>
      <c r="AI749" s="3"/>
      <c r="AJ749" s="3"/>
      <c r="AK749" s="3"/>
      <c r="AL749" s="3"/>
    </row>
    <row r="750" spans="1:38" ht="15.75" customHeight="1" x14ac:dyDescent="0.2">
      <c r="A750" s="118"/>
      <c r="B750" s="118"/>
      <c r="C750" s="118"/>
      <c r="D750" s="118"/>
      <c r="E750" s="118"/>
      <c r="F750" s="118"/>
      <c r="G750" s="118"/>
      <c r="H750" s="118"/>
      <c r="I750" s="118"/>
      <c r="J750" s="118"/>
      <c r="K750" s="118"/>
      <c r="L750" s="118"/>
      <c r="M750" s="118"/>
      <c r="N750" s="42"/>
      <c r="O750" s="42"/>
      <c r="P750" s="42"/>
      <c r="Q750" s="42"/>
      <c r="R750" s="42"/>
      <c r="S750" s="3"/>
      <c r="T750" s="3"/>
      <c r="U750" s="3"/>
      <c r="V750" s="3"/>
      <c r="W750" s="3"/>
      <c r="X750" s="3"/>
      <c r="Y750" s="3"/>
      <c r="Z750" s="3"/>
      <c r="AA750" s="3"/>
      <c r="AB750" s="3"/>
      <c r="AC750" s="3"/>
      <c r="AD750" s="3"/>
      <c r="AE750" s="3"/>
      <c r="AF750" s="3"/>
      <c r="AG750" s="3"/>
      <c r="AH750" s="3"/>
      <c r="AI750" s="3"/>
      <c r="AJ750" s="3"/>
      <c r="AK750" s="3"/>
      <c r="AL750" s="3"/>
    </row>
    <row r="751" spans="1:38" ht="15.75" customHeight="1" x14ac:dyDescent="0.2">
      <c r="A751" s="118"/>
      <c r="B751" s="118"/>
      <c r="C751" s="118"/>
      <c r="D751" s="118"/>
      <c r="E751" s="118"/>
      <c r="F751" s="118"/>
      <c r="G751" s="118"/>
      <c r="H751" s="118"/>
      <c r="I751" s="118"/>
      <c r="J751" s="118"/>
      <c r="K751" s="118"/>
      <c r="L751" s="118"/>
      <c r="M751" s="118"/>
      <c r="N751" s="42"/>
      <c r="O751" s="42"/>
      <c r="P751" s="42"/>
      <c r="Q751" s="42"/>
      <c r="R751" s="42"/>
      <c r="S751" s="3"/>
      <c r="T751" s="3"/>
      <c r="U751" s="3"/>
      <c r="V751" s="3"/>
      <c r="W751" s="3"/>
      <c r="X751" s="3"/>
      <c r="Y751" s="3"/>
      <c r="Z751" s="3"/>
      <c r="AA751" s="3"/>
      <c r="AB751" s="3"/>
      <c r="AC751" s="3"/>
      <c r="AD751" s="3"/>
      <c r="AE751" s="3"/>
      <c r="AF751" s="3"/>
      <c r="AG751" s="3"/>
      <c r="AH751" s="3"/>
      <c r="AI751" s="3"/>
      <c r="AJ751" s="3"/>
      <c r="AK751" s="3"/>
      <c r="AL751" s="3"/>
    </row>
    <row r="752" spans="1:38" ht="15.75" customHeight="1" x14ac:dyDescent="0.2">
      <c r="A752" s="118"/>
      <c r="B752" s="118"/>
      <c r="C752" s="118"/>
      <c r="D752" s="118"/>
      <c r="E752" s="118"/>
      <c r="F752" s="118"/>
      <c r="G752" s="118"/>
      <c r="H752" s="118"/>
      <c r="I752" s="118"/>
      <c r="J752" s="118"/>
      <c r="K752" s="118"/>
      <c r="L752" s="118"/>
      <c r="M752" s="118"/>
      <c r="N752" s="42"/>
      <c r="O752" s="42"/>
      <c r="P752" s="42"/>
      <c r="Q752" s="42"/>
      <c r="R752" s="42"/>
      <c r="S752" s="3"/>
      <c r="T752" s="3"/>
      <c r="U752" s="3"/>
      <c r="V752" s="3"/>
      <c r="W752" s="3"/>
      <c r="X752" s="3"/>
      <c r="Y752" s="3"/>
      <c r="Z752" s="3"/>
      <c r="AA752" s="3"/>
      <c r="AB752" s="3"/>
      <c r="AC752" s="3"/>
      <c r="AD752" s="3"/>
      <c r="AE752" s="3"/>
      <c r="AF752" s="3"/>
      <c r="AG752" s="3"/>
      <c r="AH752" s="3"/>
      <c r="AI752" s="3"/>
      <c r="AJ752" s="3"/>
      <c r="AK752" s="3"/>
      <c r="AL752" s="3"/>
    </row>
    <row r="753" spans="1:38" ht="15.75" customHeight="1" x14ac:dyDescent="0.2">
      <c r="A753" s="118"/>
      <c r="B753" s="118"/>
      <c r="C753" s="118"/>
      <c r="D753" s="118"/>
      <c r="E753" s="118"/>
      <c r="F753" s="118"/>
      <c r="G753" s="118"/>
      <c r="H753" s="118"/>
      <c r="I753" s="118"/>
      <c r="J753" s="118"/>
      <c r="K753" s="118"/>
      <c r="L753" s="118"/>
      <c r="M753" s="118"/>
      <c r="N753" s="42"/>
      <c r="O753" s="42"/>
      <c r="P753" s="42"/>
      <c r="Q753" s="42"/>
      <c r="R753" s="42"/>
      <c r="S753" s="3"/>
      <c r="T753" s="3"/>
      <c r="U753" s="3"/>
      <c r="V753" s="3"/>
      <c r="W753" s="3"/>
      <c r="X753" s="3"/>
      <c r="Y753" s="3"/>
      <c r="Z753" s="3"/>
      <c r="AA753" s="3"/>
      <c r="AB753" s="3"/>
      <c r="AC753" s="3"/>
      <c r="AD753" s="3"/>
      <c r="AE753" s="3"/>
      <c r="AF753" s="3"/>
      <c r="AG753" s="3"/>
      <c r="AH753" s="3"/>
      <c r="AI753" s="3"/>
      <c r="AJ753" s="3"/>
      <c r="AK753" s="3"/>
      <c r="AL753" s="3"/>
    </row>
    <row r="754" spans="1:38" ht="15.75" customHeight="1" x14ac:dyDescent="0.2">
      <c r="A754" s="118"/>
      <c r="B754" s="118"/>
      <c r="C754" s="118"/>
      <c r="D754" s="118"/>
      <c r="E754" s="118"/>
      <c r="F754" s="118"/>
      <c r="G754" s="118"/>
      <c r="H754" s="118"/>
      <c r="I754" s="118"/>
      <c r="J754" s="118"/>
      <c r="K754" s="118"/>
      <c r="L754" s="118"/>
      <c r="M754" s="118"/>
      <c r="N754" s="42"/>
      <c r="O754" s="42"/>
      <c r="P754" s="42"/>
      <c r="Q754" s="42"/>
      <c r="R754" s="42"/>
      <c r="S754" s="3"/>
      <c r="T754" s="3"/>
      <c r="U754" s="3"/>
      <c r="V754" s="3"/>
      <c r="W754" s="3"/>
      <c r="X754" s="3"/>
      <c r="Y754" s="3"/>
      <c r="Z754" s="3"/>
      <c r="AA754" s="3"/>
      <c r="AB754" s="3"/>
      <c r="AC754" s="3"/>
      <c r="AD754" s="3"/>
      <c r="AE754" s="3"/>
      <c r="AF754" s="3"/>
      <c r="AG754" s="3"/>
      <c r="AH754" s="3"/>
      <c r="AI754" s="3"/>
      <c r="AJ754" s="3"/>
      <c r="AK754" s="3"/>
      <c r="AL754" s="3"/>
    </row>
    <row r="755" spans="1:38" ht="15.75" customHeight="1" x14ac:dyDescent="0.2">
      <c r="A755" s="118"/>
      <c r="B755" s="118"/>
      <c r="C755" s="118"/>
      <c r="D755" s="118"/>
      <c r="E755" s="118"/>
      <c r="F755" s="118"/>
      <c r="G755" s="118"/>
      <c r="H755" s="118"/>
      <c r="I755" s="118"/>
      <c r="J755" s="118"/>
      <c r="K755" s="118"/>
      <c r="L755" s="118"/>
      <c r="M755" s="118"/>
      <c r="N755" s="42"/>
      <c r="O755" s="42"/>
      <c r="P755" s="42"/>
      <c r="Q755" s="42"/>
      <c r="R755" s="42"/>
      <c r="S755" s="3"/>
      <c r="T755" s="3"/>
      <c r="U755" s="3"/>
      <c r="V755" s="3"/>
      <c r="W755" s="3"/>
      <c r="X755" s="3"/>
      <c r="Y755" s="3"/>
      <c r="Z755" s="3"/>
      <c r="AA755" s="3"/>
      <c r="AB755" s="3"/>
      <c r="AC755" s="3"/>
      <c r="AD755" s="3"/>
      <c r="AE755" s="3"/>
      <c r="AF755" s="3"/>
      <c r="AG755" s="3"/>
      <c r="AH755" s="3"/>
      <c r="AI755" s="3"/>
      <c r="AJ755" s="3"/>
      <c r="AK755" s="3"/>
      <c r="AL755" s="3"/>
    </row>
    <row r="756" spans="1:38" ht="15.75" customHeight="1" x14ac:dyDescent="0.2">
      <c r="A756" s="118"/>
      <c r="B756" s="118"/>
      <c r="C756" s="118"/>
      <c r="D756" s="118"/>
      <c r="E756" s="118"/>
      <c r="F756" s="118"/>
      <c r="G756" s="118"/>
      <c r="H756" s="118"/>
      <c r="I756" s="118"/>
      <c r="J756" s="118"/>
      <c r="K756" s="118"/>
      <c r="L756" s="118"/>
      <c r="M756" s="118"/>
      <c r="N756" s="42"/>
      <c r="O756" s="42"/>
      <c r="P756" s="42"/>
      <c r="Q756" s="42"/>
      <c r="R756" s="42"/>
      <c r="S756" s="3"/>
      <c r="T756" s="3"/>
      <c r="U756" s="3"/>
      <c r="V756" s="3"/>
      <c r="W756" s="3"/>
      <c r="X756" s="3"/>
      <c r="Y756" s="3"/>
      <c r="Z756" s="3"/>
      <c r="AA756" s="3"/>
      <c r="AB756" s="3"/>
      <c r="AC756" s="3"/>
      <c r="AD756" s="3"/>
      <c r="AE756" s="3"/>
      <c r="AF756" s="3"/>
      <c r="AG756" s="3"/>
      <c r="AH756" s="3"/>
      <c r="AI756" s="3"/>
      <c r="AJ756" s="3"/>
      <c r="AK756" s="3"/>
      <c r="AL756" s="3"/>
    </row>
    <row r="757" spans="1:38" ht="15.75" customHeight="1" x14ac:dyDescent="0.2">
      <c r="A757" s="118"/>
      <c r="B757" s="118"/>
      <c r="C757" s="118"/>
      <c r="D757" s="118"/>
      <c r="E757" s="118"/>
      <c r="F757" s="118"/>
      <c r="G757" s="118"/>
      <c r="H757" s="118"/>
      <c r="I757" s="118"/>
      <c r="J757" s="118"/>
      <c r="K757" s="118"/>
      <c r="L757" s="118"/>
      <c r="M757" s="118"/>
      <c r="N757" s="42"/>
      <c r="O757" s="42"/>
      <c r="P757" s="42"/>
      <c r="Q757" s="42"/>
      <c r="R757" s="42"/>
      <c r="S757" s="3"/>
      <c r="T757" s="3"/>
      <c r="U757" s="3"/>
      <c r="V757" s="3"/>
      <c r="W757" s="3"/>
      <c r="X757" s="3"/>
      <c r="Y757" s="3"/>
      <c r="Z757" s="3"/>
      <c r="AA757" s="3"/>
      <c r="AB757" s="3"/>
      <c r="AC757" s="3"/>
      <c r="AD757" s="3"/>
      <c r="AE757" s="3"/>
      <c r="AF757" s="3"/>
      <c r="AG757" s="3"/>
      <c r="AH757" s="3"/>
      <c r="AI757" s="3"/>
      <c r="AJ757" s="3"/>
      <c r="AK757" s="3"/>
      <c r="AL757" s="3"/>
    </row>
    <row r="758" spans="1:38" ht="15.75" customHeight="1" x14ac:dyDescent="0.2">
      <c r="A758" s="118"/>
      <c r="B758" s="118"/>
      <c r="C758" s="118"/>
      <c r="D758" s="118"/>
      <c r="E758" s="118"/>
      <c r="F758" s="118"/>
      <c r="G758" s="118"/>
      <c r="H758" s="118"/>
      <c r="I758" s="118"/>
      <c r="J758" s="118"/>
      <c r="K758" s="118"/>
      <c r="L758" s="118"/>
      <c r="M758" s="118"/>
      <c r="N758" s="42"/>
      <c r="O758" s="42"/>
      <c r="P758" s="42"/>
      <c r="Q758" s="42"/>
      <c r="R758" s="42"/>
      <c r="S758" s="3"/>
      <c r="T758" s="3"/>
      <c r="U758" s="3"/>
      <c r="V758" s="3"/>
      <c r="W758" s="3"/>
      <c r="X758" s="3"/>
      <c r="Y758" s="3"/>
      <c r="Z758" s="3"/>
      <c r="AA758" s="3"/>
      <c r="AB758" s="3"/>
      <c r="AC758" s="3"/>
      <c r="AD758" s="3"/>
      <c r="AE758" s="3"/>
      <c r="AF758" s="3"/>
      <c r="AG758" s="3"/>
      <c r="AH758" s="3"/>
      <c r="AI758" s="3"/>
      <c r="AJ758" s="3"/>
      <c r="AK758" s="3"/>
      <c r="AL758" s="3"/>
    </row>
    <row r="759" spans="1:38" ht="15.75" customHeight="1" x14ac:dyDescent="0.2">
      <c r="A759" s="118"/>
      <c r="B759" s="118"/>
      <c r="C759" s="118"/>
      <c r="D759" s="118"/>
      <c r="E759" s="118"/>
      <c r="F759" s="118"/>
      <c r="G759" s="118"/>
      <c r="H759" s="118"/>
      <c r="I759" s="118"/>
      <c r="J759" s="118"/>
      <c r="K759" s="118"/>
      <c r="L759" s="118"/>
      <c r="M759" s="118"/>
      <c r="N759" s="42"/>
      <c r="O759" s="42"/>
      <c r="P759" s="42"/>
      <c r="Q759" s="42"/>
      <c r="R759" s="42"/>
      <c r="S759" s="3"/>
      <c r="T759" s="3"/>
      <c r="U759" s="3"/>
      <c r="V759" s="3"/>
      <c r="W759" s="3"/>
      <c r="X759" s="3"/>
      <c r="Y759" s="3"/>
      <c r="Z759" s="3"/>
      <c r="AA759" s="3"/>
      <c r="AB759" s="3"/>
      <c r="AC759" s="3"/>
      <c r="AD759" s="3"/>
      <c r="AE759" s="3"/>
      <c r="AF759" s="3"/>
      <c r="AG759" s="3"/>
      <c r="AH759" s="3"/>
      <c r="AI759" s="3"/>
      <c r="AJ759" s="3"/>
      <c r="AK759" s="3"/>
      <c r="AL759" s="3"/>
    </row>
    <row r="760" spans="1:38" ht="15.75" customHeight="1" x14ac:dyDescent="0.2">
      <c r="A760" s="118"/>
      <c r="B760" s="118"/>
      <c r="C760" s="118"/>
      <c r="D760" s="118"/>
      <c r="E760" s="118"/>
      <c r="F760" s="118"/>
      <c r="G760" s="118"/>
      <c r="H760" s="118"/>
      <c r="I760" s="118"/>
      <c r="J760" s="118"/>
      <c r="K760" s="118"/>
      <c r="L760" s="118"/>
      <c r="M760" s="118"/>
      <c r="N760" s="42"/>
      <c r="O760" s="42"/>
      <c r="P760" s="42"/>
      <c r="Q760" s="42"/>
      <c r="R760" s="42"/>
      <c r="S760" s="3"/>
      <c r="T760" s="3"/>
      <c r="U760" s="3"/>
      <c r="V760" s="3"/>
      <c r="W760" s="3"/>
      <c r="X760" s="3"/>
      <c r="Y760" s="3"/>
      <c r="Z760" s="3"/>
      <c r="AA760" s="3"/>
      <c r="AB760" s="3"/>
      <c r="AC760" s="3"/>
      <c r="AD760" s="3"/>
      <c r="AE760" s="3"/>
      <c r="AF760" s="3"/>
      <c r="AG760" s="3"/>
      <c r="AH760" s="3"/>
      <c r="AI760" s="3"/>
      <c r="AJ760" s="3"/>
      <c r="AK760" s="3"/>
      <c r="AL760" s="3"/>
    </row>
    <row r="761" spans="1:38" ht="15.75" customHeight="1" x14ac:dyDescent="0.2">
      <c r="A761" s="118"/>
      <c r="B761" s="118"/>
      <c r="C761" s="118"/>
      <c r="D761" s="118"/>
      <c r="E761" s="118"/>
      <c r="F761" s="118"/>
      <c r="G761" s="118"/>
      <c r="H761" s="118"/>
      <c r="I761" s="118"/>
      <c r="J761" s="118"/>
      <c r="K761" s="118"/>
      <c r="L761" s="118"/>
      <c r="M761" s="118"/>
      <c r="N761" s="42"/>
      <c r="O761" s="42"/>
      <c r="P761" s="42"/>
      <c r="Q761" s="42"/>
      <c r="R761" s="42"/>
      <c r="S761" s="3"/>
      <c r="T761" s="3"/>
      <c r="U761" s="3"/>
      <c r="V761" s="3"/>
      <c r="W761" s="3"/>
      <c r="X761" s="3"/>
      <c r="Y761" s="3"/>
      <c r="Z761" s="3"/>
      <c r="AA761" s="3"/>
      <c r="AB761" s="3"/>
      <c r="AC761" s="3"/>
      <c r="AD761" s="3"/>
      <c r="AE761" s="3"/>
      <c r="AF761" s="3"/>
      <c r="AG761" s="3"/>
      <c r="AH761" s="3"/>
      <c r="AI761" s="3"/>
      <c r="AJ761" s="3"/>
      <c r="AK761" s="3"/>
      <c r="AL761" s="3"/>
    </row>
    <row r="762" spans="1:38" ht="15.75" customHeight="1" x14ac:dyDescent="0.2">
      <c r="A762" s="118"/>
      <c r="B762" s="118"/>
      <c r="C762" s="118"/>
      <c r="D762" s="118"/>
      <c r="E762" s="118"/>
      <c r="F762" s="118"/>
      <c r="G762" s="118"/>
      <c r="H762" s="118"/>
      <c r="I762" s="118"/>
      <c r="J762" s="118"/>
      <c r="K762" s="118"/>
      <c r="L762" s="118"/>
      <c r="M762" s="118"/>
      <c r="N762" s="42"/>
      <c r="O762" s="42"/>
      <c r="P762" s="42"/>
      <c r="Q762" s="42"/>
      <c r="R762" s="42"/>
      <c r="S762" s="3"/>
      <c r="T762" s="3"/>
      <c r="U762" s="3"/>
      <c r="V762" s="3"/>
      <c r="W762" s="3"/>
      <c r="X762" s="3"/>
      <c r="Y762" s="3"/>
      <c r="Z762" s="3"/>
      <c r="AA762" s="3"/>
      <c r="AB762" s="3"/>
      <c r="AC762" s="3"/>
      <c r="AD762" s="3"/>
      <c r="AE762" s="3"/>
      <c r="AF762" s="3"/>
      <c r="AG762" s="3"/>
      <c r="AH762" s="3"/>
      <c r="AI762" s="3"/>
      <c r="AJ762" s="3"/>
      <c r="AK762" s="3"/>
      <c r="AL762" s="3"/>
    </row>
    <row r="763" spans="1:38" ht="15.75" customHeight="1" x14ac:dyDescent="0.2">
      <c r="A763" s="118"/>
      <c r="B763" s="118"/>
      <c r="C763" s="118"/>
      <c r="D763" s="118"/>
      <c r="E763" s="118"/>
      <c r="F763" s="118"/>
      <c r="G763" s="118"/>
      <c r="H763" s="118"/>
      <c r="I763" s="118"/>
      <c r="J763" s="118"/>
      <c r="K763" s="118"/>
      <c r="L763" s="118"/>
      <c r="M763" s="118"/>
      <c r="N763" s="42"/>
      <c r="O763" s="42"/>
      <c r="P763" s="42"/>
      <c r="Q763" s="42"/>
      <c r="R763" s="42"/>
      <c r="S763" s="3"/>
      <c r="T763" s="3"/>
      <c r="U763" s="3"/>
      <c r="V763" s="3"/>
      <c r="W763" s="3"/>
      <c r="X763" s="3"/>
      <c r="Y763" s="3"/>
      <c r="Z763" s="3"/>
      <c r="AA763" s="3"/>
      <c r="AB763" s="3"/>
      <c r="AC763" s="3"/>
      <c r="AD763" s="3"/>
      <c r="AE763" s="3"/>
      <c r="AF763" s="3"/>
      <c r="AG763" s="3"/>
      <c r="AH763" s="3"/>
      <c r="AI763" s="3"/>
      <c r="AJ763" s="3"/>
      <c r="AK763" s="3"/>
      <c r="AL763" s="3"/>
    </row>
    <row r="764" spans="1:38" ht="15.75" customHeight="1" x14ac:dyDescent="0.2">
      <c r="A764" s="118"/>
      <c r="B764" s="118"/>
      <c r="C764" s="118"/>
      <c r="D764" s="118"/>
      <c r="E764" s="118"/>
      <c r="F764" s="118"/>
      <c r="G764" s="118"/>
      <c r="H764" s="118"/>
      <c r="I764" s="118"/>
      <c r="J764" s="118"/>
      <c r="K764" s="118"/>
      <c r="L764" s="118"/>
      <c r="M764" s="118"/>
      <c r="N764" s="42"/>
      <c r="O764" s="42"/>
      <c r="P764" s="42"/>
      <c r="Q764" s="42"/>
      <c r="R764" s="42"/>
      <c r="S764" s="3"/>
      <c r="T764" s="3"/>
      <c r="U764" s="3"/>
      <c r="V764" s="3"/>
      <c r="W764" s="3"/>
      <c r="X764" s="3"/>
      <c r="Y764" s="3"/>
      <c r="Z764" s="3"/>
      <c r="AA764" s="3"/>
      <c r="AB764" s="3"/>
      <c r="AC764" s="3"/>
      <c r="AD764" s="3"/>
      <c r="AE764" s="3"/>
      <c r="AF764" s="3"/>
      <c r="AG764" s="3"/>
      <c r="AH764" s="3"/>
      <c r="AI764" s="3"/>
      <c r="AJ764" s="3"/>
      <c r="AK764" s="3"/>
      <c r="AL764" s="3"/>
    </row>
    <row r="765" spans="1:38" ht="15.75" customHeight="1" x14ac:dyDescent="0.2">
      <c r="A765" s="118"/>
      <c r="B765" s="118"/>
      <c r="C765" s="118"/>
      <c r="D765" s="118"/>
      <c r="E765" s="118"/>
      <c r="F765" s="118"/>
      <c r="G765" s="118"/>
      <c r="H765" s="118"/>
      <c r="I765" s="118"/>
      <c r="J765" s="118"/>
      <c r="K765" s="118"/>
      <c r="L765" s="118"/>
      <c r="M765" s="118"/>
      <c r="N765" s="42"/>
      <c r="O765" s="42"/>
      <c r="P765" s="42"/>
      <c r="Q765" s="42"/>
      <c r="R765" s="42"/>
      <c r="S765" s="3"/>
      <c r="T765" s="3"/>
      <c r="U765" s="3"/>
      <c r="V765" s="3"/>
      <c r="W765" s="3"/>
      <c r="X765" s="3"/>
      <c r="Y765" s="3"/>
      <c r="Z765" s="3"/>
      <c r="AA765" s="3"/>
      <c r="AB765" s="3"/>
      <c r="AC765" s="3"/>
      <c r="AD765" s="3"/>
      <c r="AE765" s="3"/>
      <c r="AF765" s="3"/>
      <c r="AG765" s="3"/>
      <c r="AH765" s="3"/>
      <c r="AI765" s="3"/>
      <c r="AJ765" s="3"/>
      <c r="AK765" s="3"/>
      <c r="AL765" s="3"/>
    </row>
    <row r="766" spans="1:38" ht="15.75" customHeight="1" x14ac:dyDescent="0.2">
      <c r="A766" s="118"/>
      <c r="B766" s="118"/>
      <c r="C766" s="118"/>
      <c r="D766" s="118"/>
      <c r="E766" s="118"/>
      <c r="F766" s="118"/>
      <c r="G766" s="118"/>
      <c r="H766" s="118"/>
      <c r="I766" s="118"/>
      <c r="J766" s="118"/>
      <c r="K766" s="118"/>
      <c r="L766" s="118"/>
      <c r="M766" s="118"/>
      <c r="N766" s="42"/>
      <c r="O766" s="42"/>
      <c r="P766" s="42"/>
      <c r="Q766" s="42"/>
      <c r="R766" s="42"/>
      <c r="S766" s="3"/>
      <c r="T766" s="3"/>
      <c r="U766" s="3"/>
      <c r="V766" s="3"/>
      <c r="W766" s="3"/>
      <c r="X766" s="3"/>
      <c r="Y766" s="3"/>
      <c r="Z766" s="3"/>
      <c r="AA766" s="3"/>
      <c r="AB766" s="3"/>
      <c r="AC766" s="3"/>
      <c r="AD766" s="3"/>
      <c r="AE766" s="3"/>
      <c r="AF766" s="3"/>
      <c r="AG766" s="3"/>
      <c r="AH766" s="3"/>
      <c r="AI766" s="3"/>
      <c r="AJ766" s="3"/>
      <c r="AK766" s="3"/>
      <c r="AL766" s="3"/>
    </row>
    <row r="767" spans="1:38" ht="15.75" customHeight="1" x14ac:dyDescent="0.2">
      <c r="A767" s="118"/>
      <c r="B767" s="118"/>
      <c r="C767" s="118"/>
      <c r="D767" s="118"/>
      <c r="E767" s="118"/>
      <c r="F767" s="118"/>
      <c r="G767" s="118"/>
      <c r="H767" s="118"/>
      <c r="I767" s="118"/>
      <c r="J767" s="118"/>
      <c r="K767" s="118"/>
      <c r="L767" s="118"/>
      <c r="M767" s="118"/>
      <c r="N767" s="42"/>
      <c r="O767" s="42"/>
      <c r="P767" s="42"/>
      <c r="Q767" s="42"/>
      <c r="R767" s="42"/>
      <c r="S767" s="3"/>
      <c r="T767" s="3"/>
      <c r="U767" s="3"/>
      <c r="V767" s="3"/>
      <c r="W767" s="3"/>
      <c r="X767" s="3"/>
      <c r="Y767" s="3"/>
      <c r="Z767" s="3"/>
      <c r="AA767" s="3"/>
      <c r="AB767" s="3"/>
      <c r="AC767" s="3"/>
      <c r="AD767" s="3"/>
      <c r="AE767" s="3"/>
      <c r="AF767" s="3"/>
      <c r="AG767" s="3"/>
      <c r="AH767" s="3"/>
      <c r="AI767" s="3"/>
      <c r="AJ767" s="3"/>
      <c r="AK767" s="3"/>
      <c r="AL767" s="3"/>
    </row>
    <row r="768" spans="1:38" ht="15.75" customHeight="1" x14ac:dyDescent="0.2">
      <c r="A768" s="118"/>
      <c r="B768" s="118"/>
      <c r="C768" s="118"/>
      <c r="D768" s="118"/>
      <c r="E768" s="118"/>
      <c r="F768" s="118"/>
      <c r="G768" s="118"/>
      <c r="H768" s="118"/>
      <c r="I768" s="118"/>
      <c r="J768" s="118"/>
      <c r="K768" s="118"/>
      <c r="L768" s="118"/>
      <c r="M768" s="118"/>
      <c r="N768" s="42"/>
      <c r="O768" s="42"/>
      <c r="P768" s="42"/>
      <c r="Q768" s="42"/>
      <c r="R768" s="42"/>
      <c r="S768" s="3"/>
      <c r="T768" s="3"/>
      <c r="U768" s="3"/>
      <c r="V768" s="3"/>
      <c r="W768" s="3"/>
      <c r="X768" s="3"/>
      <c r="Y768" s="3"/>
      <c r="Z768" s="3"/>
      <c r="AA768" s="3"/>
      <c r="AB768" s="3"/>
      <c r="AC768" s="3"/>
      <c r="AD768" s="3"/>
      <c r="AE768" s="3"/>
      <c r="AF768" s="3"/>
      <c r="AG768" s="3"/>
      <c r="AH768" s="3"/>
      <c r="AI768" s="3"/>
      <c r="AJ768" s="3"/>
      <c r="AK768" s="3"/>
      <c r="AL768" s="3"/>
    </row>
    <row r="769" spans="1:38" ht="15.75" customHeight="1" x14ac:dyDescent="0.2">
      <c r="A769" s="118"/>
      <c r="B769" s="118"/>
      <c r="C769" s="118"/>
      <c r="D769" s="118"/>
      <c r="E769" s="118"/>
      <c r="F769" s="118"/>
      <c r="G769" s="118"/>
      <c r="H769" s="118"/>
      <c r="I769" s="118"/>
      <c r="J769" s="118"/>
      <c r="K769" s="118"/>
      <c r="L769" s="118"/>
      <c r="M769" s="118"/>
      <c r="N769" s="42"/>
      <c r="O769" s="42"/>
      <c r="P769" s="42"/>
      <c r="Q769" s="42"/>
      <c r="R769" s="42"/>
      <c r="S769" s="3"/>
      <c r="T769" s="3"/>
      <c r="U769" s="3"/>
      <c r="V769" s="3"/>
      <c r="W769" s="3"/>
      <c r="X769" s="3"/>
      <c r="Y769" s="3"/>
      <c r="Z769" s="3"/>
      <c r="AA769" s="3"/>
      <c r="AB769" s="3"/>
      <c r="AC769" s="3"/>
      <c r="AD769" s="3"/>
      <c r="AE769" s="3"/>
      <c r="AF769" s="3"/>
      <c r="AG769" s="3"/>
      <c r="AH769" s="3"/>
      <c r="AI769" s="3"/>
      <c r="AJ769" s="3"/>
      <c r="AK769" s="3"/>
      <c r="AL769" s="3"/>
    </row>
    <row r="770" spans="1:38" ht="15.75" customHeight="1" x14ac:dyDescent="0.2">
      <c r="A770" s="118"/>
      <c r="B770" s="118"/>
      <c r="C770" s="118"/>
      <c r="D770" s="118"/>
      <c r="E770" s="118"/>
      <c r="F770" s="118"/>
      <c r="G770" s="118"/>
      <c r="H770" s="118"/>
      <c r="I770" s="118"/>
      <c r="J770" s="118"/>
      <c r="K770" s="118"/>
      <c r="L770" s="118"/>
      <c r="M770" s="118"/>
      <c r="N770" s="42"/>
      <c r="O770" s="42"/>
      <c r="P770" s="42"/>
      <c r="Q770" s="42"/>
      <c r="R770" s="42"/>
      <c r="S770" s="3"/>
      <c r="T770" s="3"/>
      <c r="U770" s="3"/>
      <c r="V770" s="3"/>
      <c r="W770" s="3"/>
      <c r="X770" s="3"/>
      <c r="Y770" s="3"/>
      <c r="Z770" s="3"/>
      <c r="AA770" s="3"/>
      <c r="AB770" s="3"/>
      <c r="AC770" s="3"/>
      <c r="AD770" s="3"/>
      <c r="AE770" s="3"/>
      <c r="AF770" s="3"/>
      <c r="AG770" s="3"/>
      <c r="AH770" s="3"/>
      <c r="AI770" s="3"/>
      <c r="AJ770" s="3"/>
      <c r="AK770" s="3"/>
      <c r="AL770" s="3"/>
    </row>
    <row r="771" spans="1:38" ht="15.75" customHeight="1" x14ac:dyDescent="0.2">
      <c r="A771" s="118"/>
      <c r="B771" s="118"/>
      <c r="C771" s="118"/>
      <c r="D771" s="118"/>
      <c r="E771" s="118"/>
      <c r="F771" s="118"/>
      <c r="G771" s="118"/>
      <c r="H771" s="118"/>
      <c r="I771" s="118"/>
      <c r="J771" s="118"/>
      <c r="K771" s="118"/>
      <c r="L771" s="118"/>
      <c r="M771" s="118"/>
      <c r="N771" s="42"/>
      <c r="O771" s="42"/>
      <c r="P771" s="42"/>
      <c r="Q771" s="42"/>
      <c r="R771" s="42"/>
      <c r="S771" s="3"/>
      <c r="T771" s="3"/>
      <c r="U771" s="3"/>
      <c r="V771" s="3"/>
      <c r="W771" s="3"/>
      <c r="X771" s="3"/>
      <c r="Y771" s="3"/>
      <c r="Z771" s="3"/>
      <c r="AA771" s="3"/>
      <c r="AB771" s="3"/>
      <c r="AC771" s="3"/>
      <c r="AD771" s="3"/>
      <c r="AE771" s="3"/>
      <c r="AF771" s="3"/>
      <c r="AG771" s="3"/>
      <c r="AH771" s="3"/>
      <c r="AI771" s="3"/>
      <c r="AJ771" s="3"/>
      <c r="AK771" s="3"/>
      <c r="AL771" s="3"/>
    </row>
    <row r="772" spans="1:38" ht="15.75" customHeight="1" x14ac:dyDescent="0.2">
      <c r="A772" s="118"/>
      <c r="B772" s="118"/>
      <c r="C772" s="118"/>
      <c r="D772" s="118"/>
      <c r="E772" s="118"/>
      <c r="F772" s="118"/>
      <c r="G772" s="118"/>
      <c r="H772" s="118"/>
      <c r="I772" s="118"/>
      <c r="J772" s="118"/>
      <c r="K772" s="118"/>
      <c r="L772" s="118"/>
      <c r="M772" s="118"/>
      <c r="N772" s="42"/>
      <c r="O772" s="42"/>
      <c r="P772" s="42"/>
      <c r="Q772" s="42"/>
      <c r="R772" s="42"/>
      <c r="S772" s="3"/>
      <c r="T772" s="3"/>
      <c r="U772" s="3"/>
      <c r="V772" s="3"/>
      <c r="W772" s="3"/>
      <c r="X772" s="3"/>
      <c r="Y772" s="3"/>
      <c r="Z772" s="3"/>
      <c r="AA772" s="3"/>
      <c r="AB772" s="3"/>
      <c r="AC772" s="3"/>
      <c r="AD772" s="3"/>
      <c r="AE772" s="3"/>
      <c r="AF772" s="3"/>
      <c r="AG772" s="3"/>
      <c r="AH772" s="3"/>
      <c r="AI772" s="3"/>
      <c r="AJ772" s="3"/>
      <c r="AK772" s="3"/>
      <c r="AL772" s="3"/>
    </row>
    <row r="773" spans="1:38" ht="15.75" customHeight="1" x14ac:dyDescent="0.2">
      <c r="A773" s="118"/>
      <c r="B773" s="118"/>
      <c r="C773" s="118"/>
      <c r="D773" s="118"/>
      <c r="E773" s="118"/>
      <c r="F773" s="118"/>
      <c r="G773" s="118"/>
      <c r="H773" s="118"/>
      <c r="I773" s="118"/>
      <c r="J773" s="118"/>
      <c r="K773" s="118"/>
      <c r="L773" s="118"/>
      <c r="M773" s="118"/>
      <c r="N773" s="42"/>
      <c r="O773" s="42"/>
      <c r="P773" s="42"/>
      <c r="Q773" s="42"/>
      <c r="R773" s="42"/>
      <c r="S773" s="3"/>
      <c r="T773" s="3"/>
      <c r="U773" s="3"/>
      <c r="V773" s="3"/>
      <c r="W773" s="3"/>
      <c r="X773" s="3"/>
      <c r="Y773" s="3"/>
      <c r="Z773" s="3"/>
      <c r="AA773" s="3"/>
      <c r="AB773" s="3"/>
      <c r="AC773" s="3"/>
      <c r="AD773" s="3"/>
      <c r="AE773" s="3"/>
      <c r="AF773" s="3"/>
      <c r="AG773" s="3"/>
      <c r="AH773" s="3"/>
      <c r="AI773" s="3"/>
      <c r="AJ773" s="3"/>
      <c r="AK773" s="3"/>
      <c r="AL773" s="3"/>
    </row>
    <row r="774" spans="1:38" ht="15.75" customHeight="1" x14ac:dyDescent="0.2">
      <c r="A774" s="118"/>
      <c r="B774" s="118"/>
      <c r="C774" s="118"/>
      <c r="D774" s="118"/>
      <c r="E774" s="118"/>
      <c r="F774" s="118"/>
      <c r="G774" s="118"/>
      <c r="H774" s="118"/>
      <c r="I774" s="118"/>
      <c r="J774" s="118"/>
      <c r="K774" s="118"/>
      <c r="L774" s="118"/>
      <c r="M774" s="118"/>
      <c r="N774" s="42"/>
      <c r="O774" s="42"/>
      <c r="P774" s="42"/>
      <c r="Q774" s="42"/>
      <c r="R774" s="42"/>
      <c r="S774" s="3"/>
      <c r="T774" s="3"/>
      <c r="U774" s="3"/>
      <c r="V774" s="3"/>
      <c r="W774" s="3"/>
      <c r="X774" s="3"/>
      <c r="Y774" s="3"/>
      <c r="Z774" s="3"/>
      <c r="AA774" s="3"/>
      <c r="AB774" s="3"/>
      <c r="AC774" s="3"/>
      <c r="AD774" s="3"/>
      <c r="AE774" s="3"/>
      <c r="AF774" s="3"/>
      <c r="AG774" s="3"/>
      <c r="AH774" s="3"/>
      <c r="AI774" s="3"/>
      <c r="AJ774" s="3"/>
      <c r="AK774" s="3"/>
      <c r="AL774" s="3"/>
    </row>
    <row r="775" spans="1:38" ht="15.75" customHeight="1" x14ac:dyDescent="0.2">
      <c r="A775" s="118"/>
      <c r="B775" s="118"/>
      <c r="C775" s="118"/>
      <c r="D775" s="118"/>
      <c r="E775" s="118"/>
      <c r="F775" s="118"/>
      <c r="G775" s="118"/>
      <c r="H775" s="118"/>
      <c r="I775" s="118"/>
      <c r="J775" s="118"/>
      <c r="K775" s="118"/>
      <c r="L775" s="118"/>
      <c r="M775" s="118"/>
      <c r="N775" s="42"/>
      <c r="O775" s="42"/>
      <c r="P775" s="42"/>
      <c r="Q775" s="42"/>
      <c r="R775" s="42"/>
      <c r="S775" s="3"/>
      <c r="T775" s="3"/>
      <c r="U775" s="3"/>
      <c r="V775" s="3"/>
      <c r="W775" s="3"/>
      <c r="X775" s="3"/>
      <c r="Y775" s="3"/>
      <c r="Z775" s="3"/>
      <c r="AA775" s="3"/>
      <c r="AB775" s="3"/>
      <c r="AC775" s="3"/>
      <c r="AD775" s="3"/>
      <c r="AE775" s="3"/>
      <c r="AF775" s="3"/>
      <c r="AG775" s="3"/>
      <c r="AH775" s="3"/>
      <c r="AI775" s="3"/>
      <c r="AJ775" s="3"/>
      <c r="AK775" s="3"/>
      <c r="AL775" s="3"/>
    </row>
    <row r="776" spans="1:38" ht="15.75" customHeight="1" x14ac:dyDescent="0.2">
      <c r="A776" s="118"/>
      <c r="B776" s="118"/>
      <c r="C776" s="118"/>
      <c r="D776" s="118"/>
      <c r="E776" s="118"/>
      <c r="F776" s="118"/>
      <c r="G776" s="118"/>
      <c r="H776" s="118"/>
      <c r="I776" s="118"/>
      <c r="J776" s="118"/>
      <c r="K776" s="118"/>
      <c r="L776" s="118"/>
      <c r="M776" s="118"/>
      <c r="N776" s="42"/>
      <c r="O776" s="42"/>
      <c r="P776" s="42"/>
      <c r="Q776" s="42"/>
      <c r="R776" s="42"/>
      <c r="S776" s="3"/>
      <c r="T776" s="3"/>
      <c r="U776" s="3"/>
      <c r="V776" s="3"/>
      <c r="W776" s="3"/>
      <c r="X776" s="3"/>
      <c r="Y776" s="3"/>
      <c r="Z776" s="3"/>
      <c r="AA776" s="3"/>
      <c r="AB776" s="3"/>
      <c r="AC776" s="3"/>
      <c r="AD776" s="3"/>
      <c r="AE776" s="3"/>
      <c r="AF776" s="3"/>
      <c r="AG776" s="3"/>
      <c r="AH776" s="3"/>
      <c r="AI776" s="3"/>
      <c r="AJ776" s="3"/>
      <c r="AK776" s="3"/>
      <c r="AL776" s="3"/>
    </row>
    <row r="777" spans="1:38" ht="15.75" customHeight="1" x14ac:dyDescent="0.2">
      <c r="A777" s="118"/>
      <c r="B777" s="118"/>
      <c r="C777" s="118"/>
      <c r="D777" s="118"/>
      <c r="E777" s="118"/>
      <c r="F777" s="118"/>
      <c r="G777" s="118"/>
      <c r="H777" s="118"/>
      <c r="I777" s="118"/>
      <c r="J777" s="118"/>
      <c r="K777" s="118"/>
      <c r="L777" s="118"/>
      <c r="M777" s="118"/>
      <c r="N777" s="42"/>
      <c r="O777" s="42"/>
      <c r="P777" s="42"/>
      <c r="Q777" s="42"/>
      <c r="R777" s="42"/>
      <c r="S777" s="3"/>
      <c r="T777" s="3"/>
      <c r="U777" s="3"/>
      <c r="V777" s="3"/>
      <c r="W777" s="3"/>
      <c r="X777" s="3"/>
      <c r="Y777" s="3"/>
      <c r="Z777" s="3"/>
      <c r="AA777" s="3"/>
      <c r="AB777" s="3"/>
      <c r="AC777" s="3"/>
      <c r="AD777" s="3"/>
      <c r="AE777" s="3"/>
      <c r="AF777" s="3"/>
      <c r="AG777" s="3"/>
      <c r="AH777" s="3"/>
      <c r="AI777" s="3"/>
      <c r="AJ777" s="3"/>
      <c r="AK777" s="3"/>
      <c r="AL777" s="3"/>
    </row>
    <row r="778" spans="1:38" ht="15.75" customHeight="1" x14ac:dyDescent="0.2">
      <c r="A778" s="118"/>
      <c r="B778" s="118"/>
      <c r="C778" s="118"/>
      <c r="D778" s="118"/>
      <c r="E778" s="118"/>
      <c r="F778" s="118"/>
      <c r="G778" s="118"/>
      <c r="H778" s="118"/>
      <c r="I778" s="118"/>
      <c r="J778" s="118"/>
      <c r="K778" s="118"/>
      <c r="L778" s="118"/>
      <c r="M778" s="118"/>
      <c r="N778" s="42"/>
      <c r="O778" s="42"/>
      <c r="P778" s="42"/>
      <c r="Q778" s="42"/>
      <c r="R778" s="42"/>
      <c r="S778" s="3"/>
      <c r="T778" s="3"/>
      <c r="U778" s="3"/>
      <c r="V778" s="3"/>
      <c r="W778" s="3"/>
      <c r="X778" s="3"/>
      <c r="Y778" s="3"/>
      <c r="Z778" s="3"/>
      <c r="AA778" s="3"/>
      <c r="AB778" s="3"/>
      <c r="AC778" s="3"/>
      <c r="AD778" s="3"/>
      <c r="AE778" s="3"/>
      <c r="AF778" s="3"/>
      <c r="AG778" s="3"/>
      <c r="AH778" s="3"/>
      <c r="AI778" s="3"/>
      <c r="AJ778" s="3"/>
      <c r="AK778" s="3"/>
      <c r="AL778" s="3"/>
    </row>
    <row r="779" spans="1:38" ht="15.75" customHeight="1" x14ac:dyDescent="0.2">
      <c r="A779" s="118"/>
      <c r="B779" s="118"/>
      <c r="C779" s="118"/>
      <c r="D779" s="118"/>
      <c r="E779" s="118"/>
      <c r="F779" s="118"/>
      <c r="G779" s="118"/>
      <c r="H779" s="118"/>
      <c r="I779" s="118"/>
      <c r="J779" s="118"/>
      <c r="K779" s="118"/>
      <c r="L779" s="118"/>
      <c r="M779" s="118"/>
      <c r="N779" s="42"/>
      <c r="O779" s="42"/>
      <c r="P779" s="42"/>
      <c r="Q779" s="42"/>
      <c r="R779" s="42"/>
      <c r="S779" s="3"/>
      <c r="T779" s="3"/>
      <c r="U779" s="3"/>
      <c r="V779" s="3"/>
      <c r="W779" s="3"/>
      <c r="X779" s="3"/>
      <c r="Y779" s="3"/>
      <c r="Z779" s="3"/>
      <c r="AA779" s="3"/>
      <c r="AB779" s="3"/>
      <c r="AC779" s="3"/>
      <c r="AD779" s="3"/>
      <c r="AE779" s="3"/>
      <c r="AF779" s="3"/>
      <c r="AG779" s="3"/>
      <c r="AH779" s="3"/>
      <c r="AI779" s="3"/>
      <c r="AJ779" s="3"/>
      <c r="AK779" s="3"/>
      <c r="AL779" s="3"/>
    </row>
    <row r="780" spans="1:38" ht="15.75" customHeight="1" x14ac:dyDescent="0.2">
      <c r="A780" s="118"/>
      <c r="B780" s="118"/>
      <c r="C780" s="118"/>
      <c r="D780" s="118"/>
      <c r="E780" s="118"/>
      <c r="F780" s="118"/>
      <c r="G780" s="118"/>
      <c r="H780" s="118"/>
      <c r="I780" s="118"/>
      <c r="J780" s="118"/>
      <c r="K780" s="118"/>
      <c r="L780" s="118"/>
      <c r="M780" s="118"/>
      <c r="N780" s="42"/>
      <c r="O780" s="42"/>
      <c r="P780" s="42"/>
      <c r="Q780" s="42"/>
      <c r="R780" s="42"/>
      <c r="S780" s="3"/>
      <c r="T780" s="3"/>
      <c r="U780" s="3"/>
      <c r="V780" s="3"/>
      <c r="W780" s="3"/>
      <c r="X780" s="3"/>
      <c r="Y780" s="3"/>
      <c r="Z780" s="3"/>
      <c r="AA780" s="3"/>
      <c r="AB780" s="3"/>
      <c r="AC780" s="3"/>
      <c r="AD780" s="3"/>
      <c r="AE780" s="3"/>
      <c r="AF780" s="3"/>
      <c r="AG780" s="3"/>
      <c r="AH780" s="3"/>
      <c r="AI780" s="3"/>
      <c r="AJ780" s="3"/>
      <c r="AK780" s="3"/>
      <c r="AL780" s="3"/>
    </row>
    <row r="781" spans="1:38" ht="15.75" customHeight="1" x14ac:dyDescent="0.2">
      <c r="A781" s="118"/>
      <c r="B781" s="118"/>
      <c r="C781" s="118"/>
      <c r="D781" s="118"/>
      <c r="E781" s="118"/>
      <c r="F781" s="118"/>
      <c r="G781" s="118"/>
      <c r="H781" s="118"/>
      <c r="I781" s="118"/>
      <c r="J781" s="118"/>
      <c r="K781" s="118"/>
      <c r="L781" s="118"/>
      <c r="M781" s="118"/>
      <c r="N781" s="42"/>
      <c r="O781" s="42"/>
      <c r="P781" s="42"/>
      <c r="Q781" s="42"/>
      <c r="R781" s="42"/>
      <c r="S781" s="3"/>
      <c r="T781" s="3"/>
      <c r="U781" s="3"/>
      <c r="V781" s="3"/>
      <c r="W781" s="3"/>
      <c r="X781" s="3"/>
      <c r="Y781" s="3"/>
      <c r="Z781" s="3"/>
      <c r="AA781" s="3"/>
      <c r="AB781" s="3"/>
      <c r="AC781" s="3"/>
      <c r="AD781" s="3"/>
      <c r="AE781" s="3"/>
      <c r="AF781" s="3"/>
      <c r="AG781" s="3"/>
      <c r="AH781" s="3"/>
      <c r="AI781" s="3"/>
      <c r="AJ781" s="3"/>
      <c r="AK781" s="3"/>
      <c r="AL781" s="3"/>
    </row>
    <row r="782" spans="1:38" ht="15.75" customHeight="1" x14ac:dyDescent="0.2">
      <c r="A782" s="118"/>
      <c r="B782" s="118"/>
      <c r="C782" s="118"/>
      <c r="D782" s="118"/>
      <c r="E782" s="118"/>
      <c r="F782" s="118"/>
      <c r="G782" s="118"/>
      <c r="H782" s="118"/>
      <c r="I782" s="118"/>
      <c r="J782" s="118"/>
      <c r="K782" s="118"/>
      <c r="L782" s="118"/>
      <c r="M782" s="118"/>
      <c r="N782" s="42"/>
      <c r="O782" s="42"/>
      <c r="P782" s="42"/>
      <c r="Q782" s="42"/>
      <c r="R782" s="42"/>
      <c r="S782" s="3"/>
      <c r="T782" s="3"/>
      <c r="U782" s="3"/>
      <c r="V782" s="3"/>
      <c r="W782" s="3"/>
      <c r="X782" s="3"/>
      <c r="Y782" s="3"/>
      <c r="Z782" s="3"/>
      <c r="AA782" s="3"/>
      <c r="AB782" s="3"/>
      <c r="AC782" s="3"/>
      <c r="AD782" s="3"/>
      <c r="AE782" s="3"/>
      <c r="AF782" s="3"/>
      <c r="AG782" s="3"/>
      <c r="AH782" s="3"/>
      <c r="AI782" s="3"/>
      <c r="AJ782" s="3"/>
      <c r="AK782" s="3"/>
      <c r="AL782" s="3"/>
    </row>
    <row r="783" spans="1:38" ht="15.75" customHeight="1" x14ac:dyDescent="0.2">
      <c r="A783" s="118"/>
      <c r="B783" s="118"/>
      <c r="C783" s="118"/>
      <c r="D783" s="118"/>
      <c r="E783" s="118"/>
      <c r="F783" s="118"/>
      <c r="G783" s="118"/>
      <c r="H783" s="118"/>
      <c r="I783" s="118"/>
      <c r="J783" s="118"/>
      <c r="K783" s="118"/>
      <c r="L783" s="118"/>
      <c r="M783" s="118"/>
      <c r="N783" s="42"/>
      <c r="O783" s="42"/>
      <c r="P783" s="42"/>
      <c r="Q783" s="42"/>
      <c r="R783" s="42"/>
      <c r="S783" s="3"/>
      <c r="T783" s="3"/>
      <c r="U783" s="3"/>
      <c r="V783" s="3"/>
      <c r="W783" s="3"/>
      <c r="X783" s="3"/>
      <c r="Y783" s="3"/>
      <c r="Z783" s="3"/>
      <c r="AA783" s="3"/>
      <c r="AB783" s="3"/>
      <c r="AC783" s="3"/>
      <c r="AD783" s="3"/>
      <c r="AE783" s="3"/>
      <c r="AF783" s="3"/>
      <c r="AG783" s="3"/>
      <c r="AH783" s="3"/>
      <c r="AI783" s="3"/>
      <c r="AJ783" s="3"/>
      <c r="AK783" s="3"/>
      <c r="AL783" s="3"/>
    </row>
    <row r="784" spans="1:38" ht="15.75" customHeight="1" x14ac:dyDescent="0.2">
      <c r="A784" s="118"/>
      <c r="B784" s="118"/>
      <c r="C784" s="118"/>
      <c r="D784" s="118"/>
      <c r="E784" s="118"/>
      <c r="F784" s="118"/>
      <c r="G784" s="118"/>
      <c r="H784" s="118"/>
      <c r="I784" s="118"/>
      <c r="J784" s="118"/>
      <c r="K784" s="118"/>
      <c r="L784" s="118"/>
      <c r="M784" s="118"/>
      <c r="N784" s="42"/>
      <c r="O784" s="42"/>
      <c r="P784" s="42"/>
      <c r="Q784" s="42"/>
      <c r="R784" s="42"/>
      <c r="S784" s="3"/>
      <c r="T784" s="3"/>
      <c r="U784" s="3"/>
      <c r="V784" s="3"/>
      <c r="W784" s="3"/>
      <c r="X784" s="3"/>
      <c r="Y784" s="3"/>
      <c r="Z784" s="3"/>
      <c r="AA784" s="3"/>
      <c r="AB784" s="3"/>
      <c r="AC784" s="3"/>
      <c r="AD784" s="3"/>
      <c r="AE784" s="3"/>
      <c r="AF784" s="3"/>
      <c r="AG784" s="3"/>
      <c r="AH784" s="3"/>
      <c r="AI784" s="3"/>
      <c r="AJ784" s="3"/>
      <c r="AK784" s="3"/>
      <c r="AL784" s="3"/>
    </row>
    <row r="785" spans="1:38" ht="15.75" customHeight="1" x14ac:dyDescent="0.2">
      <c r="A785" s="118"/>
      <c r="B785" s="118"/>
      <c r="C785" s="118"/>
      <c r="D785" s="118"/>
      <c r="E785" s="118"/>
      <c r="F785" s="118"/>
      <c r="G785" s="118"/>
      <c r="H785" s="118"/>
      <c r="I785" s="118"/>
      <c r="J785" s="118"/>
      <c r="K785" s="118"/>
      <c r="L785" s="118"/>
      <c r="M785" s="118"/>
      <c r="N785" s="42"/>
      <c r="O785" s="42"/>
      <c r="P785" s="42"/>
      <c r="Q785" s="42"/>
      <c r="R785" s="42"/>
      <c r="S785" s="3"/>
      <c r="T785" s="3"/>
      <c r="U785" s="3"/>
      <c r="V785" s="3"/>
      <c r="W785" s="3"/>
      <c r="X785" s="3"/>
      <c r="Y785" s="3"/>
      <c r="Z785" s="3"/>
      <c r="AA785" s="3"/>
      <c r="AB785" s="3"/>
      <c r="AC785" s="3"/>
      <c r="AD785" s="3"/>
      <c r="AE785" s="3"/>
      <c r="AF785" s="3"/>
      <c r="AG785" s="3"/>
      <c r="AH785" s="3"/>
      <c r="AI785" s="3"/>
      <c r="AJ785" s="3"/>
      <c r="AK785" s="3"/>
      <c r="AL785" s="3"/>
    </row>
    <row r="786" spans="1:38" ht="15.75" customHeight="1" x14ac:dyDescent="0.2">
      <c r="A786" s="118"/>
      <c r="B786" s="118"/>
      <c r="C786" s="118"/>
      <c r="D786" s="118"/>
      <c r="E786" s="118"/>
      <c r="F786" s="118"/>
      <c r="G786" s="118"/>
      <c r="H786" s="118"/>
      <c r="I786" s="118"/>
      <c r="J786" s="118"/>
      <c r="K786" s="118"/>
      <c r="L786" s="118"/>
      <c r="M786" s="118"/>
      <c r="N786" s="42"/>
      <c r="O786" s="42"/>
      <c r="P786" s="42"/>
      <c r="Q786" s="42"/>
      <c r="R786" s="42"/>
      <c r="S786" s="3"/>
      <c r="T786" s="3"/>
      <c r="U786" s="3"/>
      <c r="V786" s="3"/>
      <c r="W786" s="3"/>
      <c r="X786" s="3"/>
      <c r="Y786" s="3"/>
      <c r="Z786" s="3"/>
      <c r="AA786" s="3"/>
      <c r="AB786" s="3"/>
      <c r="AC786" s="3"/>
      <c r="AD786" s="3"/>
      <c r="AE786" s="3"/>
      <c r="AF786" s="3"/>
      <c r="AG786" s="3"/>
      <c r="AH786" s="3"/>
      <c r="AI786" s="3"/>
      <c r="AJ786" s="3"/>
      <c r="AK786" s="3"/>
      <c r="AL786" s="3"/>
    </row>
    <row r="787" spans="1:38" ht="15.75" customHeight="1" x14ac:dyDescent="0.2">
      <c r="A787" s="118"/>
      <c r="B787" s="118"/>
      <c r="C787" s="118"/>
      <c r="D787" s="118"/>
      <c r="E787" s="118"/>
      <c r="F787" s="118"/>
      <c r="G787" s="118"/>
      <c r="H787" s="118"/>
      <c r="I787" s="118"/>
      <c r="J787" s="118"/>
      <c r="K787" s="118"/>
      <c r="L787" s="118"/>
      <c r="M787" s="118"/>
      <c r="N787" s="42"/>
      <c r="O787" s="42"/>
      <c r="P787" s="42"/>
      <c r="Q787" s="42"/>
      <c r="R787" s="42"/>
      <c r="S787" s="3"/>
      <c r="T787" s="3"/>
      <c r="U787" s="3"/>
      <c r="V787" s="3"/>
      <c r="W787" s="3"/>
      <c r="X787" s="3"/>
      <c r="Y787" s="3"/>
      <c r="Z787" s="3"/>
      <c r="AA787" s="3"/>
      <c r="AB787" s="3"/>
      <c r="AC787" s="3"/>
      <c r="AD787" s="3"/>
      <c r="AE787" s="3"/>
      <c r="AF787" s="3"/>
      <c r="AG787" s="3"/>
      <c r="AH787" s="3"/>
      <c r="AI787" s="3"/>
      <c r="AJ787" s="3"/>
      <c r="AK787" s="3"/>
      <c r="AL787" s="3"/>
    </row>
    <row r="788" spans="1:38" ht="15.75" customHeight="1" x14ac:dyDescent="0.2">
      <c r="A788" s="118"/>
      <c r="B788" s="118"/>
      <c r="C788" s="118"/>
      <c r="D788" s="118"/>
      <c r="E788" s="118"/>
      <c r="F788" s="118"/>
      <c r="G788" s="118"/>
      <c r="H788" s="118"/>
      <c r="I788" s="118"/>
      <c r="J788" s="118"/>
      <c r="K788" s="118"/>
      <c r="L788" s="118"/>
      <c r="M788" s="118"/>
      <c r="N788" s="42"/>
      <c r="O788" s="42"/>
      <c r="P788" s="42"/>
      <c r="Q788" s="42"/>
      <c r="R788" s="42"/>
      <c r="S788" s="3"/>
      <c r="T788" s="3"/>
      <c r="U788" s="3"/>
      <c r="V788" s="3"/>
      <c r="W788" s="3"/>
      <c r="X788" s="3"/>
      <c r="Y788" s="3"/>
      <c r="Z788" s="3"/>
      <c r="AA788" s="3"/>
      <c r="AB788" s="3"/>
      <c r="AC788" s="3"/>
      <c r="AD788" s="3"/>
      <c r="AE788" s="3"/>
      <c r="AF788" s="3"/>
      <c r="AG788" s="3"/>
      <c r="AH788" s="3"/>
      <c r="AI788" s="3"/>
      <c r="AJ788" s="3"/>
      <c r="AK788" s="3"/>
      <c r="AL788" s="3"/>
    </row>
    <row r="789" spans="1:38" ht="15.75" customHeight="1" x14ac:dyDescent="0.2">
      <c r="A789" s="118"/>
      <c r="B789" s="118"/>
      <c r="C789" s="118"/>
      <c r="D789" s="118"/>
      <c r="E789" s="118"/>
      <c r="F789" s="118"/>
      <c r="G789" s="118"/>
      <c r="H789" s="118"/>
      <c r="I789" s="118"/>
      <c r="J789" s="118"/>
      <c r="K789" s="118"/>
      <c r="L789" s="118"/>
      <c r="M789" s="118"/>
      <c r="N789" s="42"/>
      <c r="O789" s="42"/>
      <c r="P789" s="42"/>
      <c r="Q789" s="42"/>
      <c r="R789" s="42"/>
      <c r="S789" s="3"/>
      <c r="T789" s="3"/>
      <c r="U789" s="3"/>
      <c r="V789" s="3"/>
      <c r="W789" s="3"/>
      <c r="X789" s="3"/>
      <c r="Y789" s="3"/>
      <c r="Z789" s="3"/>
      <c r="AA789" s="3"/>
      <c r="AB789" s="3"/>
      <c r="AC789" s="3"/>
      <c r="AD789" s="3"/>
      <c r="AE789" s="3"/>
      <c r="AF789" s="3"/>
      <c r="AG789" s="3"/>
      <c r="AH789" s="3"/>
      <c r="AI789" s="3"/>
      <c r="AJ789" s="3"/>
      <c r="AK789" s="3"/>
      <c r="AL789" s="3"/>
    </row>
    <row r="790" spans="1:38" ht="15.75" customHeight="1" x14ac:dyDescent="0.2">
      <c r="A790" s="118"/>
      <c r="B790" s="118"/>
      <c r="C790" s="118"/>
      <c r="D790" s="118"/>
      <c r="E790" s="118"/>
      <c r="F790" s="118"/>
      <c r="G790" s="118"/>
      <c r="H790" s="118"/>
      <c r="I790" s="118"/>
      <c r="J790" s="118"/>
      <c r="K790" s="118"/>
      <c r="L790" s="118"/>
      <c r="M790" s="118"/>
      <c r="N790" s="42"/>
      <c r="O790" s="42"/>
      <c r="P790" s="42"/>
      <c r="Q790" s="42"/>
      <c r="R790" s="42"/>
      <c r="S790" s="3"/>
      <c r="T790" s="3"/>
      <c r="U790" s="3"/>
      <c r="V790" s="3"/>
      <c r="W790" s="3"/>
      <c r="X790" s="3"/>
      <c r="Y790" s="3"/>
      <c r="Z790" s="3"/>
      <c r="AA790" s="3"/>
      <c r="AB790" s="3"/>
      <c r="AC790" s="3"/>
      <c r="AD790" s="3"/>
      <c r="AE790" s="3"/>
      <c r="AF790" s="3"/>
      <c r="AG790" s="3"/>
      <c r="AH790" s="3"/>
      <c r="AI790" s="3"/>
      <c r="AJ790" s="3"/>
      <c r="AK790" s="3"/>
      <c r="AL790" s="3"/>
    </row>
    <row r="791" spans="1:38" ht="15.75" customHeight="1" x14ac:dyDescent="0.2">
      <c r="A791" s="118"/>
      <c r="B791" s="118"/>
      <c r="C791" s="118"/>
      <c r="D791" s="118"/>
      <c r="E791" s="118"/>
      <c r="F791" s="118"/>
      <c r="G791" s="118"/>
      <c r="H791" s="118"/>
      <c r="I791" s="118"/>
      <c r="J791" s="118"/>
      <c r="K791" s="118"/>
      <c r="L791" s="118"/>
      <c r="M791" s="118"/>
      <c r="N791" s="42"/>
      <c r="O791" s="42"/>
      <c r="P791" s="42"/>
      <c r="Q791" s="42"/>
      <c r="R791" s="42"/>
      <c r="S791" s="3"/>
      <c r="T791" s="3"/>
      <c r="U791" s="3"/>
      <c r="V791" s="3"/>
      <c r="W791" s="3"/>
      <c r="X791" s="3"/>
      <c r="Y791" s="3"/>
      <c r="Z791" s="3"/>
      <c r="AA791" s="3"/>
      <c r="AB791" s="3"/>
      <c r="AC791" s="3"/>
      <c r="AD791" s="3"/>
      <c r="AE791" s="3"/>
      <c r="AF791" s="3"/>
      <c r="AG791" s="3"/>
      <c r="AH791" s="3"/>
      <c r="AI791" s="3"/>
      <c r="AJ791" s="3"/>
      <c r="AK791" s="3"/>
      <c r="AL791" s="3"/>
    </row>
    <row r="792" spans="1:38" ht="15.75" customHeight="1" x14ac:dyDescent="0.2">
      <c r="A792" s="118"/>
      <c r="B792" s="118"/>
      <c r="C792" s="118"/>
      <c r="D792" s="118"/>
      <c r="E792" s="118"/>
      <c r="F792" s="118"/>
      <c r="G792" s="118"/>
      <c r="H792" s="118"/>
      <c r="I792" s="118"/>
      <c r="J792" s="118"/>
      <c r="K792" s="118"/>
      <c r="L792" s="118"/>
      <c r="M792" s="118"/>
      <c r="N792" s="42"/>
      <c r="O792" s="42"/>
      <c r="P792" s="42"/>
      <c r="Q792" s="42"/>
      <c r="R792" s="42"/>
      <c r="S792" s="3"/>
      <c r="T792" s="3"/>
      <c r="U792" s="3"/>
      <c r="V792" s="3"/>
      <c r="W792" s="3"/>
      <c r="X792" s="3"/>
      <c r="Y792" s="3"/>
      <c r="Z792" s="3"/>
      <c r="AA792" s="3"/>
      <c r="AB792" s="3"/>
      <c r="AC792" s="3"/>
      <c r="AD792" s="3"/>
      <c r="AE792" s="3"/>
      <c r="AF792" s="3"/>
      <c r="AG792" s="3"/>
      <c r="AH792" s="3"/>
      <c r="AI792" s="3"/>
      <c r="AJ792" s="3"/>
      <c r="AK792" s="3"/>
      <c r="AL792" s="3"/>
    </row>
    <row r="793" spans="1:38" ht="15.75" customHeight="1" x14ac:dyDescent="0.2">
      <c r="A793" s="118"/>
      <c r="B793" s="118"/>
      <c r="C793" s="118"/>
      <c r="D793" s="118"/>
      <c r="E793" s="118"/>
      <c r="F793" s="118"/>
      <c r="G793" s="118"/>
      <c r="H793" s="118"/>
      <c r="I793" s="118"/>
      <c r="J793" s="118"/>
      <c r="K793" s="118"/>
      <c r="L793" s="118"/>
      <c r="M793" s="118"/>
      <c r="N793" s="42"/>
      <c r="O793" s="42"/>
      <c r="P793" s="42"/>
      <c r="Q793" s="42"/>
      <c r="R793" s="42"/>
      <c r="S793" s="3"/>
      <c r="T793" s="3"/>
      <c r="U793" s="3"/>
      <c r="V793" s="3"/>
      <c r="W793" s="3"/>
      <c r="X793" s="3"/>
      <c r="Y793" s="3"/>
      <c r="Z793" s="3"/>
      <c r="AA793" s="3"/>
      <c r="AB793" s="3"/>
      <c r="AC793" s="3"/>
      <c r="AD793" s="3"/>
      <c r="AE793" s="3"/>
      <c r="AF793" s="3"/>
      <c r="AG793" s="3"/>
      <c r="AH793" s="3"/>
      <c r="AI793" s="3"/>
      <c r="AJ793" s="3"/>
      <c r="AK793" s="3"/>
      <c r="AL793" s="3"/>
    </row>
    <row r="794" spans="1:38" ht="15.75" customHeight="1" x14ac:dyDescent="0.2">
      <c r="A794" s="118"/>
      <c r="B794" s="118"/>
      <c r="C794" s="118"/>
      <c r="D794" s="118"/>
      <c r="E794" s="118"/>
      <c r="F794" s="118"/>
      <c r="G794" s="118"/>
      <c r="H794" s="118"/>
      <c r="I794" s="118"/>
      <c r="J794" s="118"/>
      <c r="K794" s="118"/>
      <c r="L794" s="118"/>
      <c r="M794" s="118"/>
      <c r="N794" s="42"/>
      <c r="O794" s="42"/>
      <c r="P794" s="42"/>
      <c r="Q794" s="42"/>
      <c r="R794" s="42"/>
      <c r="S794" s="3"/>
      <c r="T794" s="3"/>
      <c r="U794" s="3"/>
      <c r="V794" s="3"/>
      <c r="W794" s="3"/>
      <c r="X794" s="3"/>
      <c r="Y794" s="3"/>
      <c r="Z794" s="3"/>
      <c r="AA794" s="3"/>
      <c r="AB794" s="3"/>
      <c r="AC794" s="3"/>
      <c r="AD794" s="3"/>
      <c r="AE794" s="3"/>
      <c r="AF794" s="3"/>
      <c r="AG794" s="3"/>
      <c r="AH794" s="3"/>
      <c r="AI794" s="3"/>
      <c r="AJ794" s="3"/>
      <c r="AK794" s="3"/>
      <c r="AL794" s="3"/>
    </row>
    <row r="795" spans="1:38" ht="15.75" customHeight="1" x14ac:dyDescent="0.2">
      <c r="A795" s="118"/>
      <c r="B795" s="118"/>
      <c r="C795" s="118"/>
      <c r="D795" s="118"/>
      <c r="E795" s="118"/>
      <c r="F795" s="118"/>
      <c r="G795" s="118"/>
      <c r="H795" s="118"/>
      <c r="I795" s="118"/>
      <c r="J795" s="118"/>
      <c r="K795" s="118"/>
      <c r="L795" s="118"/>
      <c r="M795" s="118"/>
      <c r="N795" s="42"/>
      <c r="O795" s="42"/>
      <c r="P795" s="42"/>
      <c r="Q795" s="42"/>
      <c r="R795" s="42"/>
      <c r="S795" s="3"/>
      <c r="T795" s="3"/>
      <c r="U795" s="3"/>
      <c r="V795" s="3"/>
      <c r="W795" s="3"/>
      <c r="X795" s="3"/>
      <c r="Y795" s="3"/>
      <c r="Z795" s="3"/>
      <c r="AA795" s="3"/>
      <c r="AB795" s="3"/>
      <c r="AC795" s="3"/>
      <c r="AD795" s="3"/>
      <c r="AE795" s="3"/>
      <c r="AF795" s="3"/>
      <c r="AG795" s="3"/>
      <c r="AH795" s="3"/>
      <c r="AI795" s="3"/>
      <c r="AJ795" s="3"/>
      <c r="AK795" s="3"/>
      <c r="AL795" s="3"/>
    </row>
    <row r="796" spans="1:38" ht="15.75" customHeight="1" x14ac:dyDescent="0.2">
      <c r="A796" s="118"/>
      <c r="B796" s="118"/>
      <c r="C796" s="118"/>
      <c r="D796" s="118"/>
      <c r="E796" s="118"/>
      <c r="F796" s="118"/>
      <c r="G796" s="118"/>
      <c r="H796" s="118"/>
      <c r="I796" s="118"/>
      <c r="J796" s="118"/>
      <c r="K796" s="118"/>
      <c r="L796" s="118"/>
      <c r="M796" s="118"/>
      <c r="N796" s="42"/>
      <c r="O796" s="42"/>
      <c r="P796" s="42"/>
      <c r="Q796" s="42"/>
      <c r="R796" s="42"/>
      <c r="S796" s="3"/>
      <c r="T796" s="3"/>
      <c r="U796" s="3"/>
      <c r="V796" s="3"/>
      <c r="W796" s="3"/>
      <c r="X796" s="3"/>
      <c r="Y796" s="3"/>
      <c r="Z796" s="3"/>
      <c r="AA796" s="3"/>
      <c r="AB796" s="3"/>
      <c r="AC796" s="3"/>
      <c r="AD796" s="3"/>
      <c r="AE796" s="3"/>
      <c r="AF796" s="3"/>
      <c r="AG796" s="3"/>
      <c r="AH796" s="3"/>
      <c r="AI796" s="3"/>
      <c r="AJ796" s="3"/>
      <c r="AK796" s="3"/>
      <c r="AL796" s="3"/>
    </row>
    <row r="797" spans="1:38" ht="15.75" customHeight="1" x14ac:dyDescent="0.2">
      <c r="A797" s="118"/>
      <c r="B797" s="118"/>
      <c r="C797" s="118"/>
      <c r="D797" s="118"/>
      <c r="E797" s="118"/>
      <c r="F797" s="118"/>
      <c r="G797" s="118"/>
      <c r="H797" s="118"/>
      <c r="I797" s="118"/>
      <c r="J797" s="118"/>
      <c r="K797" s="118"/>
      <c r="L797" s="118"/>
      <c r="M797" s="118"/>
      <c r="N797" s="42"/>
      <c r="O797" s="42"/>
      <c r="P797" s="42"/>
      <c r="Q797" s="42"/>
      <c r="R797" s="42"/>
      <c r="S797" s="3"/>
      <c r="T797" s="3"/>
      <c r="U797" s="3"/>
      <c r="V797" s="3"/>
      <c r="W797" s="3"/>
      <c r="X797" s="3"/>
      <c r="Y797" s="3"/>
      <c r="Z797" s="3"/>
      <c r="AA797" s="3"/>
      <c r="AB797" s="3"/>
      <c r="AC797" s="3"/>
      <c r="AD797" s="3"/>
      <c r="AE797" s="3"/>
      <c r="AF797" s="3"/>
      <c r="AG797" s="3"/>
      <c r="AH797" s="3"/>
      <c r="AI797" s="3"/>
      <c r="AJ797" s="3"/>
      <c r="AK797" s="3"/>
      <c r="AL797" s="3"/>
    </row>
    <row r="798" spans="1:38" ht="15.75" customHeight="1" x14ac:dyDescent="0.2">
      <c r="A798" s="118"/>
      <c r="B798" s="118"/>
      <c r="C798" s="118"/>
      <c r="D798" s="118"/>
      <c r="E798" s="118"/>
      <c r="F798" s="118"/>
      <c r="G798" s="118"/>
      <c r="H798" s="118"/>
      <c r="I798" s="118"/>
      <c r="J798" s="118"/>
      <c r="K798" s="118"/>
      <c r="L798" s="118"/>
      <c r="M798" s="118"/>
      <c r="N798" s="42"/>
      <c r="O798" s="42"/>
      <c r="P798" s="42"/>
      <c r="Q798" s="42"/>
      <c r="R798" s="42"/>
      <c r="S798" s="3"/>
      <c r="T798" s="3"/>
      <c r="U798" s="3"/>
      <c r="V798" s="3"/>
      <c r="W798" s="3"/>
      <c r="X798" s="3"/>
      <c r="Y798" s="3"/>
      <c r="Z798" s="3"/>
      <c r="AA798" s="3"/>
      <c r="AB798" s="3"/>
      <c r="AC798" s="3"/>
      <c r="AD798" s="3"/>
      <c r="AE798" s="3"/>
      <c r="AF798" s="3"/>
      <c r="AG798" s="3"/>
      <c r="AH798" s="3"/>
      <c r="AI798" s="3"/>
      <c r="AJ798" s="3"/>
      <c r="AK798" s="3"/>
      <c r="AL798" s="3"/>
    </row>
    <row r="799" spans="1:38" ht="15.75" customHeight="1" x14ac:dyDescent="0.2">
      <c r="A799" s="118"/>
      <c r="B799" s="118"/>
      <c r="C799" s="118"/>
      <c r="D799" s="118"/>
      <c r="E799" s="118"/>
      <c r="F799" s="118"/>
      <c r="G799" s="118"/>
      <c r="H799" s="118"/>
      <c r="I799" s="118"/>
      <c r="J799" s="118"/>
      <c r="K799" s="118"/>
      <c r="L799" s="118"/>
      <c r="M799" s="118"/>
      <c r="N799" s="42"/>
      <c r="O799" s="42"/>
      <c r="P799" s="42"/>
      <c r="Q799" s="42"/>
      <c r="R799" s="42"/>
      <c r="S799" s="3"/>
      <c r="T799" s="3"/>
      <c r="U799" s="3"/>
      <c r="V799" s="3"/>
      <c r="W799" s="3"/>
      <c r="X799" s="3"/>
      <c r="Y799" s="3"/>
      <c r="Z799" s="3"/>
      <c r="AA799" s="3"/>
      <c r="AB799" s="3"/>
      <c r="AC799" s="3"/>
      <c r="AD799" s="3"/>
      <c r="AE799" s="3"/>
      <c r="AF799" s="3"/>
      <c r="AG799" s="3"/>
      <c r="AH799" s="3"/>
      <c r="AI799" s="3"/>
      <c r="AJ799" s="3"/>
      <c r="AK799" s="3"/>
      <c r="AL799" s="3"/>
    </row>
    <row r="800" spans="1:38" ht="15.75" customHeight="1" x14ac:dyDescent="0.2">
      <c r="A800" s="118"/>
      <c r="B800" s="118"/>
      <c r="C800" s="118"/>
      <c r="D800" s="118"/>
      <c r="E800" s="118"/>
      <c r="F800" s="118"/>
      <c r="G800" s="118"/>
      <c r="H800" s="118"/>
      <c r="I800" s="118"/>
      <c r="J800" s="118"/>
      <c r="K800" s="118"/>
      <c r="L800" s="118"/>
      <c r="M800" s="118"/>
      <c r="N800" s="42"/>
      <c r="O800" s="42"/>
      <c r="P800" s="42"/>
      <c r="Q800" s="42"/>
      <c r="R800" s="42"/>
      <c r="S800" s="3"/>
      <c r="T800" s="3"/>
      <c r="U800" s="3"/>
      <c r="V800" s="3"/>
      <c r="W800" s="3"/>
      <c r="X800" s="3"/>
      <c r="Y800" s="3"/>
      <c r="Z800" s="3"/>
      <c r="AA800" s="3"/>
      <c r="AB800" s="3"/>
      <c r="AC800" s="3"/>
      <c r="AD800" s="3"/>
      <c r="AE800" s="3"/>
      <c r="AF800" s="3"/>
      <c r="AG800" s="3"/>
      <c r="AH800" s="3"/>
      <c r="AI800" s="3"/>
      <c r="AJ800" s="3"/>
      <c r="AK800" s="3"/>
      <c r="AL800" s="3"/>
    </row>
    <row r="801" spans="1:38" ht="15.75" customHeight="1" x14ac:dyDescent="0.2">
      <c r="A801" s="118"/>
      <c r="B801" s="118"/>
      <c r="C801" s="118"/>
      <c r="D801" s="118"/>
      <c r="E801" s="118"/>
      <c r="F801" s="118"/>
      <c r="G801" s="118"/>
      <c r="H801" s="118"/>
      <c r="I801" s="118"/>
      <c r="J801" s="118"/>
      <c r="K801" s="118"/>
      <c r="L801" s="118"/>
      <c r="M801" s="118"/>
      <c r="N801" s="42"/>
      <c r="O801" s="42"/>
      <c r="P801" s="42"/>
      <c r="Q801" s="42"/>
      <c r="R801" s="42"/>
      <c r="S801" s="3"/>
      <c r="T801" s="3"/>
      <c r="U801" s="3"/>
      <c r="V801" s="3"/>
      <c r="W801" s="3"/>
      <c r="X801" s="3"/>
      <c r="Y801" s="3"/>
      <c r="Z801" s="3"/>
      <c r="AA801" s="3"/>
      <c r="AB801" s="3"/>
      <c r="AC801" s="3"/>
      <c r="AD801" s="3"/>
      <c r="AE801" s="3"/>
      <c r="AF801" s="3"/>
      <c r="AG801" s="3"/>
      <c r="AH801" s="3"/>
      <c r="AI801" s="3"/>
      <c r="AJ801" s="3"/>
      <c r="AK801" s="3"/>
      <c r="AL801" s="3"/>
    </row>
    <row r="802" spans="1:38" ht="15.75" customHeight="1" x14ac:dyDescent="0.2">
      <c r="A802" s="118"/>
      <c r="B802" s="118"/>
      <c r="C802" s="118"/>
      <c r="D802" s="118"/>
      <c r="E802" s="118"/>
      <c r="F802" s="118"/>
      <c r="G802" s="118"/>
      <c r="H802" s="118"/>
      <c r="I802" s="118"/>
      <c r="J802" s="118"/>
      <c r="K802" s="118"/>
      <c r="L802" s="118"/>
      <c r="M802" s="118"/>
      <c r="N802" s="42"/>
      <c r="O802" s="42"/>
      <c r="P802" s="42"/>
      <c r="Q802" s="42"/>
      <c r="R802" s="42"/>
      <c r="S802" s="3"/>
      <c r="T802" s="3"/>
      <c r="U802" s="3"/>
      <c r="V802" s="3"/>
      <c r="W802" s="3"/>
      <c r="X802" s="3"/>
      <c r="Y802" s="3"/>
      <c r="Z802" s="3"/>
      <c r="AA802" s="3"/>
      <c r="AB802" s="3"/>
      <c r="AC802" s="3"/>
      <c r="AD802" s="3"/>
      <c r="AE802" s="3"/>
      <c r="AF802" s="3"/>
      <c r="AG802" s="3"/>
      <c r="AH802" s="3"/>
      <c r="AI802" s="3"/>
      <c r="AJ802" s="3"/>
      <c r="AK802" s="3"/>
      <c r="AL802" s="3"/>
    </row>
    <row r="803" spans="1:38" ht="15.75" customHeight="1" x14ac:dyDescent="0.2">
      <c r="A803" s="118"/>
      <c r="B803" s="118"/>
      <c r="C803" s="118"/>
      <c r="D803" s="118"/>
      <c r="E803" s="118"/>
      <c r="F803" s="118"/>
      <c r="G803" s="118"/>
      <c r="H803" s="118"/>
      <c r="I803" s="118"/>
      <c r="J803" s="118"/>
      <c r="K803" s="118"/>
      <c r="L803" s="118"/>
      <c r="M803" s="118"/>
      <c r="N803" s="42"/>
      <c r="O803" s="42"/>
      <c r="P803" s="42"/>
      <c r="Q803" s="42"/>
      <c r="R803" s="42"/>
      <c r="S803" s="3"/>
      <c r="T803" s="3"/>
      <c r="U803" s="3"/>
      <c r="V803" s="3"/>
      <c r="W803" s="3"/>
      <c r="X803" s="3"/>
      <c r="Y803" s="3"/>
      <c r="Z803" s="3"/>
      <c r="AA803" s="3"/>
      <c r="AB803" s="3"/>
      <c r="AC803" s="3"/>
      <c r="AD803" s="3"/>
      <c r="AE803" s="3"/>
      <c r="AF803" s="3"/>
      <c r="AG803" s="3"/>
      <c r="AH803" s="3"/>
      <c r="AI803" s="3"/>
      <c r="AJ803" s="3"/>
      <c r="AK803" s="3"/>
      <c r="AL803" s="3"/>
    </row>
    <row r="804" spans="1:38" ht="15.75" customHeight="1" x14ac:dyDescent="0.2">
      <c r="A804" s="118"/>
      <c r="B804" s="118"/>
      <c r="C804" s="118"/>
      <c r="D804" s="118"/>
      <c r="E804" s="118"/>
      <c r="F804" s="118"/>
      <c r="G804" s="118"/>
      <c r="H804" s="118"/>
      <c r="I804" s="118"/>
      <c r="J804" s="118"/>
      <c r="K804" s="118"/>
      <c r="L804" s="118"/>
      <c r="M804" s="118"/>
      <c r="N804" s="42"/>
      <c r="O804" s="42"/>
      <c r="P804" s="42"/>
      <c r="Q804" s="42"/>
      <c r="R804" s="42"/>
      <c r="S804" s="3"/>
      <c r="T804" s="3"/>
      <c r="U804" s="3"/>
      <c r="V804" s="3"/>
      <c r="W804" s="3"/>
      <c r="X804" s="3"/>
      <c r="Y804" s="3"/>
      <c r="Z804" s="3"/>
      <c r="AA804" s="3"/>
      <c r="AB804" s="3"/>
      <c r="AC804" s="3"/>
      <c r="AD804" s="3"/>
      <c r="AE804" s="3"/>
      <c r="AF804" s="3"/>
      <c r="AG804" s="3"/>
      <c r="AH804" s="3"/>
      <c r="AI804" s="3"/>
      <c r="AJ804" s="3"/>
      <c r="AK804" s="3"/>
      <c r="AL804" s="3"/>
    </row>
    <row r="805" spans="1:38" ht="15.75" customHeight="1" x14ac:dyDescent="0.2">
      <c r="A805" s="118"/>
      <c r="B805" s="118"/>
      <c r="C805" s="118"/>
      <c r="D805" s="118"/>
      <c r="E805" s="118"/>
      <c r="F805" s="118"/>
      <c r="G805" s="118"/>
      <c r="H805" s="118"/>
      <c r="I805" s="118"/>
      <c r="J805" s="118"/>
      <c r="K805" s="118"/>
      <c r="L805" s="118"/>
      <c r="M805" s="118"/>
      <c r="N805" s="42"/>
      <c r="O805" s="42"/>
      <c r="P805" s="42"/>
      <c r="Q805" s="42"/>
      <c r="R805" s="42"/>
      <c r="S805" s="3"/>
      <c r="T805" s="3"/>
      <c r="U805" s="3"/>
      <c r="V805" s="3"/>
      <c r="W805" s="3"/>
      <c r="X805" s="3"/>
      <c r="Y805" s="3"/>
      <c r="Z805" s="3"/>
      <c r="AA805" s="3"/>
      <c r="AB805" s="3"/>
      <c r="AC805" s="3"/>
      <c r="AD805" s="3"/>
      <c r="AE805" s="3"/>
      <c r="AF805" s="3"/>
      <c r="AG805" s="3"/>
      <c r="AH805" s="3"/>
      <c r="AI805" s="3"/>
      <c r="AJ805" s="3"/>
      <c r="AK805" s="3"/>
      <c r="AL805" s="3"/>
    </row>
    <row r="806" spans="1:38" ht="15.75" customHeight="1" x14ac:dyDescent="0.2">
      <c r="A806" s="118"/>
      <c r="B806" s="118"/>
      <c r="C806" s="118"/>
      <c r="D806" s="118"/>
      <c r="E806" s="118"/>
      <c r="F806" s="118"/>
      <c r="G806" s="118"/>
      <c r="H806" s="118"/>
      <c r="I806" s="118"/>
      <c r="J806" s="118"/>
      <c r="K806" s="118"/>
      <c r="L806" s="118"/>
      <c r="M806" s="118"/>
      <c r="N806" s="42"/>
      <c r="O806" s="42"/>
      <c r="P806" s="42"/>
      <c r="Q806" s="42"/>
      <c r="R806" s="42"/>
      <c r="S806" s="3"/>
      <c r="T806" s="3"/>
      <c r="U806" s="3"/>
      <c r="V806" s="3"/>
      <c r="W806" s="3"/>
      <c r="X806" s="3"/>
      <c r="Y806" s="3"/>
      <c r="Z806" s="3"/>
      <c r="AA806" s="3"/>
      <c r="AB806" s="3"/>
      <c r="AC806" s="3"/>
      <c r="AD806" s="3"/>
      <c r="AE806" s="3"/>
      <c r="AF806" s="3"/>
      <c r="AG806" s="3"/>
      <c r="AH806" s="3"/>
      <c r="AI806" s="3"/>
      <c r="AJ806" s="3"/>
      <c r="AK806" s="3"/>
      <c r="AL806" s="3"/>
    </row>
    <row r="807" spans="1:38" ht="15.75" customHeight="1" x14ac:dyDescent="0.2">
      <c r="A807" s="118"/>
      <c r="B807" s="118"/>
      <c r="C807" s="118"/>
      <c r="D807" s="118"/>
      <c r="E807" s="118"/>
      <c r="F807" s="118"/>
      <c r="G807" s="118"/>
      <c r="H807" s="118"/>
      <c r="I807" s="118"/>
      <c r="J807" s="118"/>
      <c r="K807" s="118"/>
      <c r="L807" s="118"/>
      <c r="M807" s="118"/>
      <c r="N807" s="42"/>
      <c r="O807" s="42"/>
      <c r="P807" s="42"/>
      <c r="Q807" s="42"/>
      <c r="R807" s="42"/>
      <c r="S807" s="3"/>
      <c r="T807" s="3"/>
      <c r="U807" s="3"/>
      <c r="V807" s="3"/>
      <c r="W807" s="3"/>
      <c r="X807" s="3"/>
      <c r="Y807" s="3"/>
      <c r="Z807" s="3"/>
      <c r="AA807" s="3"/>
      <c r="AB807" s="3"/>
      <c r="AC807" s="3"/>
      <c r="AD807" s="3"/>
      <c r="AE807" s="3"/>
      <c r="AF807" s="3"/>
      <c r="AG807" s="3"/>
      <c r="AH807" s="3"/>
      <c r="AI807" s="3"/>
      <c r="AJ807" s="3"/>
      <c r="AK807" s="3"/>
      <c r="AL807" s="3"/>
    </row>
    <row r="808" spans="1:38" ht="15.75" customHeight="1" x14ac:dyDescent="0.2">
      <c r="A808" s="118"/>
      <c r="B808" s="118"/>
      <c r="C808" s="118"/>
      <c r="D808" s="118"/>
      <c r="E808" s="118"/>
      <c r="F808" s="118"/>
      <c r="G808" s="118"/>
      <c r="H808" s="118"/>
      <c r="I808" s="118"/>
      <c r="J808" s="118"/>
      <c r="K808" s="118"/>
      <c r="L808" s="118"/>
      <c r="M808" s="118"/>
      <c r="N808" s="42"/>
      <c r="O808" s="42"/>
      <c r="P808" s="42"/>
      <c r="Q808" s="42"/>
      <c r="R808" s="42"/>
      <c r="S808" s="3"/>
      <c r="T808" s="3"/>
      <c r="U808" s="3"/>
      <c r="V808" s="3"/>
      <c r="W808" s="3"/>
      <c r="X808" s="3"/>
      <c r="Y808" s="3"/>
      <c r="Z808" s="3"/>
      <c r="AA808" s="3"/>
      <c r="AB808" s="3"/>
      <c r="AC808" s="3"/>
      <c r="AD808" s="3"/>
      <c r="AE808" s="3"/>
      <c r="AF808" s="3"/>
      <c r="AG808" s="3"/>
      <c r="AH808" s="3"/>
      <c r="AI808" s="3"/>
      <c r="AJ808" s="3"/>
      <c r="AK808" s="3"/>
      <c r="AL808" s="3"/>
    </row>
    <row r="809" spans="1:38" ht="15.75" customHeight="1" x14ac:dyDescent="0.2">
      <c r="A809" s="118"/>
      <c r="B809" s="118"/>
      <c r="C809" s="118"/>
      <c r="D809" s="118"/>
      <c r="E809" s="118"/>
      <c r="F809" s="118"/>
      <c r="G809" s="118"/>
      <c r="H809" s="118"/>
      <c r="I809" s="118"/>
      <c r="J809" s="118"/>
      <c r="K809" s="118"/>
      <c r="L809" s="118"/>
      <c r="M809" s="118"/>
      <c r="N809" s="42"/>
      <c r="O809" s="42"/>
      <c r="P809" s="42"/>
      <c r="Q809" s="42"/>
      <c r="R809" s="42"/>
      <c r="S809" s="3"/>
      <c r="T809" s="3"/>
      <c r="U809" s="3"/>
      <c r="V809" s="3"/>
      <c r="W809" s="3"/>
      <c r="X809" s="3"/>
      <c r="Y809" s="3"/>
      <c r="Z809" s="3"/>
      <c r="AA809" s="3"/>
      <c r="AB809" s="3"/>
      <c r="AC809" s="3"/>
      <c r="AD809" s="3"/>
      <c r="AE809" s="3"/>
      <c r="AF809" s="3"/>
      <c r="AG809" s="3"/>
      <c r="AH809" s="3"/>
      <c r="AI809" s="3"/>
      <c r="AJ809" s="3"/>
      <c r="AK809" s="3"/>
      <c r="AL809" s="3"/>
    </row>
    <row r="810" spans="1:38" ht="15.75" customHeight="1" x14ac:dyDescent="0.2">
      <c r="A810" s="118"/>
      <c r="B810" s="118"/>
      <c r="C810" s="118"/>
      <c r="D810" s="118"/>
      <c r="E810" s="118"/>
      <c r="F810" s="118"/>
      <c r="G810" s="118"/>
      <c r="H810" s="118"/>
      <c r="I810" s="118"/>
      <c r="J810" s="118"/>
      <c r="K810" s="118"/>
      <c r="L810" s="118"/>
      <c r="M810" s="118"/>
      <c r="N810" s="42"/>
      <c r="O810" s="42"/>
      <c r="P810" s="42"/>
      <c r="Q810" s="42"/>
      <c r="R810" s="42"/>
      <c r="S810" s="3"/>
      <c r="T810" s="3"/>
      <c r="U810" s="3"/>
      <c r="V810" s="3"/>
      <c r="W810" s="3"/>
      <c r="X810" s="3"/>
      <c r="Y810" s="3"/>
      <c r="Z810" s="3"/>
      <c r="AA810" s="3"/>
      <c r="AB810" s="3"/>
      <c r="AC810" s="3"/>
      <c r="AD810" s="3"/>
      <c r="AE810" s="3"/>
      <c r="AF810" s="3"/>
      <c r="AG810" s="3"/>
      <c r="AH810" s="3"/>
      <c r="AI810" s="3"/>
      <c r="AJ810" s="3"/>
      <c r="AK810" s="3"/>
      <c r="AL810" s="3"/>
    </row>
    <row r="811" spans="1:38" ht="15.75" customHeight="1" x14ac:dyDescent="0.2">
      <c r="A811" s="118"/>
      <c r="B811" s="118"/>
      <c r="C811" s="118"/>
      <c r="D811" s="118"/>
      <c r="E811" s="118"/>
      <c r="F811" s="118"/>
      <c r="G811" s="118"/>
      <c r="H811" s="118"/>
      <c r="I811" s="118"/>
      <c r="J811" s="118"/>
      <c r="K811" s="118"/>
      <c r="L811" s="118"/>
      <c r="M811" s="118"/>
      <c r="N811" s="42"/>
      <c r="O811" s="42"/>
      <c r="P811" s="42"/>
      <c r="Q811" s="42"/>
      <c r="R811" s="42"/>
      <c r="S811" s="3"/>
      <c r="T811" s="3"/>
      <c r="U811" s="3"/>
      <c r="V811" s="3"/>
      <c r="W811" s="3"/>
      <c r="X811" s="3"/>
      <c r="Y811" s="3"/>
      <c r="Z811" s="3"/>
      <c r="AA811" s="3"/>
      <c r="AB811" s="3"/>
      <c r="AC811" s="3"/>
      <c r="AD811" s="3"/>
      <c r="AE811" s="3"/>
      <c r="AF811" s="3"/>
      <c r="AG811" s="3"/>
      <c r="AH811" s="3"/>
      <c r="AI811" s="3"/>
      <c r="AJ811" s="3"/>
      <c r="AK811" s="3"/>
      <c r="AL811" s="3"/>
    </row>
    <row r="812" spans="1:38" ht="15.75" customHeight="1" x14ac:dyDescent="0.2">
      <c r="A812" s="118"/>
      <c r="B812" s="118"/>
      <c r="C812" s="118"/>
      <c r="D812" s="118"/>
      <c r="E812" s="118"/>
      <c r="F812" s="118"/>
      <c r="G812" s="118"/>
      <c r="H812" s="118"/>
      <c r="I812" s="118"/>
      <c r="J812" s="118"/>
      <c r="K812" s="118"/>
      <c r="L812" s="118"/>
      <c r="M812" s="118"/>
      <c r="N812" s="42"/>
      <c r="O812" s="42"/>
      <c r="P812" s="42"/>
      <c r="Q812" s="42"/>
      <c r="R812" s="42"/>
      <c r="S812" s="3"/>
      <c r="T812" s="3"/>
      <c r="U812" s="3"/>
      <c r="V812" s="3"/>
      <c r="W812" s="3"/>
      <c r="X812" s="3"/>
      <c r="Y812" s="3"/>
      <c r="Z812" s="3"/>
      <c r="AA812" s="3"/>
      <c r="AB812" s="3"/>
      <c r="AC812" s="3"/>
      <c r="AD812" s="3"/>
      <c r="AE812" s="3"/>
      <c r="AF812" s="3"/>
      <c r="AG812" s="3"/>
      <c r="AH812" s="3"/>
      <c r="AI812" s="3"/>
      <c r="AJ812" s="3"/>
      <c r="AK812" s="3"/>
      <c r="AL812" s="3"/>
    </row>
    <row r="813" spans="1:38" ht="15.75" customHeight="1" x14ac:dyDescent="0.2">
      <c r="A813" s="118"/>
      <c r="B813" s="118"/>
      <c r="C813" s="118"/>
      <c r="D813" s="118"/>
      <c r="E813" s="118"/>
      <c r="F813" s="118"/>
      <c r="G813" s="118"/>
      <c r="H813" s="118"/>
      <c r="I813" s="118"/>
      <c r="J813" s="118"/>
      <c r="K813" s="118"/>
      <c r="L813" s="118"/>
      <c r="M813" s="118"/>
      <c r="N813" s="42"/>
      <c r="O813" s="42"/>
      <c r="P813" s="42"/>
      <c r="Q813" s="42"/>
      <c r="R813" s="42"/>
      <c r="S813" s="3"/>
      <c r="T813" s="3"/>
      <c r="U813" s="3"/>
      <c r="V813" s="3"/>
      <c r="W813" s="3"/>
      <c r="X813" s="3"/>
      <c r="Y813" s="3"/>
      <c r="Z813" s="3"/>
      <c r="AA813" s="3"/>
      <c r="AB813" s="3"/>
      <c r="AC813" s="3"/>
      <c r="AD813" s="3"/>
      <c r="AE813" s="3"/>
      <c r="AF813" s="3"/>
      <c r="AG813" s="3"/>
      <c r="AH813" s="3"/>
      <c r="AI813" s="3"/>
      <c r="AJ813" s="3"/>
      <c r="AK813" s="3"/>
      <c r="AL813" s="3"/>
    </row>
    <row r="814" spans="1:38" ht="15.75" customHeight="1" x14ac:dyDescent="0.2">
      <c r="A814" s="118"/>
      <c r="B814" s="118"/>
      <c r="C814" s="118"/>
      <c r="D814" s="118"/>
      <c r="E814" s="118"/>
      <c r="F814" s="118"/>
      <c r="G814" s="118"/>
      <c r="H814" s="118"/>
      <c r="I814" s="118"/>
      <c r="J814" s="118"/>
      <c r="K814" s="118"/>
      <c r="L814" s="118"/>
      <c r="M814" s="118"/>
      <c r="N814" s="42"/>
      <c r="O814" s="42"/>
      <c r="P814" s="42"/>
      <c r="Q814" s="42"/>
      <c r="R814" s="42"/>
      <c r="S814" s="3"/>
      <c r="T814" s="3"/>
      <c r="U814" s="3"/>
      <c r="V814" s="3"/>
      <c r="W814" s="3"/>
      <c r="X814" s="3"/>
      <c r="Y814" s="3"/>
      <c r="Z814" s="3"/>
      <c r="AA814" s="3"/>
      <c r="AB814" s="3"/>
      <c r="AC814" s="3"/>
      <c r="AD814" s="3"/>
      <c r="AE814" s="3"/>
      <c r="AF814" s="3"/>
      <c r="AG814" s="3"/>
      <c r="AH814" s="3"/>
      <c r="AI814" s="3"/>
      <c r="AJ814" s="3"/>
      <c r="AK814" s="3"/>
      <c r="AL814" s="3"/>
    </row>
    <row r="815" spans="1:38" ht="15.75" customHeight="1" x14ac:dyDescent="0.2">
      <c r="A815" s="118"/>
      <c r="B815" s="118"/>
      <c r="C815" s="118"/>
      <c r="D815" s="118"/>
      <c r="E815" s="118"/>
      <c r="F815" s="118"/>
      <c r="G815" s="118"/>
      <c r="H815" s="118"/>
      <c r="I815" s="118"/>
      <c r="J815" s="118"/>
      <c r="K815" s="118"/>
      <c r="L815" s="118"/>
      <c r="M815" s="118"/>
      <c r="N815" s="42"/>
      <c r="O815" s="42"/>
      <c r="P815" s="42"/>
      <c r="Q815" s="42"/>
      <c r="R815" s="42"/>
      <c r="S815" s="3"/>
      <c r="T815" s="3"/>
      <c r="U815" s="3"/>
      <c r="V815" s="3"/>
      <c r="W815" s="3"/>
      <c r="X815" s="3"/>
      <c r="Y815" s="3"/>
      <c r="Z815" s="3"/>
      <c r="AA815" s="3"/>
      <c r="AB815" s="3"/>
      <c r="AC815" s="3"/>
      <c r="AD815" s="3"/>
      <c r="AE815" s="3"/>
      <c r="AF815" s="3"/>
      <c r="AG815" s="3"/>
      <c r="AH815" s="3"/>
      <c r="AI815" s="3"/>
      <c r="AJ815" s="3"/>
      <c r="AK815" s="3"/>
      <c r="AL815" s="3"/>
    </row>
    <row r="816" spans="1:38" ht="15.75" customHeight="1" x14ac:dyDescent="0.2">
      <c r="A816" s="118"/>
      <c r="B816" s="118"/>
      <c r="C816" s="118"/>
      <c r="D816" s="118"/>
      <c r="E816" s="118"/>
      <c r="F816" s="118"/>
      <c r="G816" s="118"/>
      <c r="H816" s="118"/>
      <c r="I816" s="118"/>
      <c r="J816" s="118"/>
      <c r="K816" s="118"/>
      <c r="L816" s="118"/>
      <c r="M816" s="118"/>
      <c r="N816" s="42"/>
      <c r="O816" s="42"/>
      <c r="P816" s="42"/>
      <c r="Q816" s="42"/>
      <c r="R816" s="42"/>
      <c r="S816" s="3"/>
      <c r="T816" s="3"/>
      <c r="U816" s="3"/>
      <c r="V816" s="3"/>
      <c r="W816" s="3"/>
      <c r="X816" s="3"/>
      <c r="Y816" s="3"/>
      <c r="Z816" s="3"/>
      <c r="AA816" s="3"/>
      <c r="AB816" s="3"/>
      <c r="AC816" s="3"/>
      <c r="AD816" s="3"/>
      <c r="AE816" s="3"/>
      <c r="AF816" s="3"/>
      <c r="AG816" s="3"/>
      <c r="AH816" s="3"/>
      <c r="AI816" s="3"/>
      <c r="AJ816" s="3"/>
      <c r="AK816" s="3"/>
      <c r="AL816" s="3"/>
    </row>
    <row r="817" spans="1:38" ht="15.75" customHeight="1" x14ac:dyDescent="0.2">
      <c r="A817" s="118"/>
      <c r="B817" s="118"/>
      <c r="C817" s="118"/>
      <c r="D817" s="118"/>
      <c r="E817" s="118"/>
      <c r="F817" s="118"/>
      <c r="G817" s="118"/>
      <c r="H817" s="118"/>
      <c r="I817" s="118"/>
      <c r="J817" s="118"/>
      <c r="K817" s="118"/>
      <c r="L817" s="118"/>
      <c r="M817" s="118"/>
      <c r="N817" s="42"/>
      <c r="O817" s="42"/>
      <c r="P817" s="42"/>
      <c r="Q817" s="42"/>
      <c r="R817" s="42"/>
      <c r="S817" s="3"/>
      <c r="T817" s="3"/>
      <c r="U817" s="3"/>
      <c r="V817" s="3"/>
      <c r="W817" s="3"/>
      <c r="X817" s="3"/>
      <c r="Y817" s="3"/>
      <c r="Z817" s="3"/>
      <c r="AA817" s="3"/>
      <c r="AB817" s="3"/>
      <c r="AC817" s="3"/>
      <c r="AD817" s="3"/>
      <c r="AE817" s="3"/>
      <c r="AF817" s="3"/>
      <c r="AG817" s="3"/>
      <c r="AH817" s="3"/>
      <c r="AI817" s="3"/>
      <c r="AJ817" s="3"/>
      <c r="AK817" s="3"/>
      <c r="AL817" s="3"/>
    </row>
    <row r="818" spans="1:38" ht="15.75" customHeight="1" x14ac:dyDescent="0.2">
      <c r="A818" s="118"/>
      <c r="B818" s="118"/>
      <c r="C818" s="118"/>
      <c r="D818" s="118"/>
      <c r="E818" s="118"/>
      <c r="F818" s="118"/>
      <c r="G818" s="118"/>
      <c r="H818" s="118"/>
      <c r="I818" s="118"/>
      <c r="J818" s="118"/>
      <c r="K818" s="118"/>
      <c r="L818" s="118"/>
      <c r="M818" s="118"/>
      <c r="N818" s="42"/>
      <c r="O818" s="42"/>
      <c r="P818" s="42"/>
      <c r="Q818" s="42"/>
      <c r="R818" s="42"/>
      <c r="S818" s="3"/>
      <c r="T818" s="3"/>
      <c r="U818" s="3"/>
      <c r="V818" s="3"/>
      <c r="W818" s="3"/>
      <c r="X818" s="3"/>
      <c r="Y818" s="3"/>
      <c r="Z818" s="3"/>
      <c r="AA818" s="3"/>
      <c r="AB818" s="3"/>
      <c r="AC818" s="3"/>
      <c r="AD818" s="3"/>
      <c r="AE818" s="3"/>
      <c r="AF818" s="3"/>
      <c r="AG818" s="3"/>
      <c r="AH818" s="3"/>
      <c r="AI818" s="3"/>
      <c r="AJ818" s="3"/>
      <c r="AK818" s="3"/>
      <c r="AL818" s="3"/>
    </row>
    <row r="819" spans="1:38" ht="15.75" customHeight="1" x14ac:dyDescent="0.2">
      <c r="A819" s="118"/>
      <c r="B819" s="118"/>
      <c r="C819" s="118"/>
      <c r="D819" s="118"/>
      <c r="E819" s="118"/>
      <c r="F819" s="118"/>
      <c r="G819" s="118"/>
      <c r="H819" s="118"/>
      <c r="I819" s="118"/>
      <c r="J819" s="118"/>
      <c r="K819" s="118"/>
      <c r="L819" s="118"/>
      <c r="M819" s="118"/>
      <c r="N819" s="42"/>
      <c r="O819" s="42"/>
      <c r="P819" s="42"/>
      <c r="Q819" s="42"/>
      <c r="R819" s="42"/>
      <c r="S819" s="3"/>
      <c r="T819" s="3"/>
      <c r="U819" s="3"/>
      <c r="V819" s="3"/>
      <c r="W819" s="3"/>
      <c r="X819" s="3"/>
      <c r="Y819" s="3"/>
      <c r="Z819" s="3"/>
      <c r="AA819" s="3"/>
      <c r="AB819" s="3"/>
      <c r="AC819" s="3"/>
      <c r="AD819" s="3"/>
      <c r="AE819" s="3"/>
      <c r="AF819" s="3"/>
      <c r="AG819" s="3"/>
      <c r="AH819" s="3"/>
      <c r="AI819" s="3"/>
      <c r="AJ819" s="3"/>
      <c r="AK819" s="3"/>
      <c r="AL819" s="3"/>
    </row>
    <row r="820" spans="1:38" ht="15.75" customHeight="1" x14ac:dyDescent="0.2">
      <c r="A820" s="118"/>
      <c r="B820" s="118"/>
      <c r="C820" s="118"/>
      <c r="D820" s="118"/>
      <c r="E820" s="118"/>
      <c r="F820" s="118"/>
      <c r="G820" s="118"/>
      <c r="H820" s="118"/>
      <c r="I820" s="118"/>
      <c r="J820" s="118"/>
      <c r="K820" s="118"/>
      <c r="L820" s="118"/>
      <c r="M820" s="118"/>
      <c r="N820" s="42"/>
      <c r="O820" s="42"/>
      <c r="P820" s="42"/>
      <c r="Q820" s="42"/>
      <c r="R820" s="42"/>
      <c r="S820" s="3"/>
      <c r="T820" s="3"/>
      <c r="U820" s="3"/>
      <c r="V820" s="3"/>
      <c r="W820" s="3"/>
      <c r="X820" s="3"/>
      <c r="Y820" s="3"/>
      <c r="Z820" s="3"/>
      <c r="AA820" s="3"/>
      <c r="AB820" s="3"/>
      <c r="AC820" s="3"/>
      <c r="AD820" s="3"/>
      <c r="AE820" s="3"/>
      <c r="AF820" s="3"/>
      <c r="AG820" s="3"/>
      <c r="AH820" s="3"/>
      <c r="AI820" s="3"/>
      <c r="AJ820" s="3"/>
      <c r="AK820" s="3"/>
      <c r="AL820" s="3"/>
    </row>
    <row r="821" spans="1:38" ht="15.75" customHeight="1" x14ac:dyDescent="0.2">
      <c r="A821" s="118"/>
      <c r="B821" s="118"/>
      <c r="C821" s="118"/>
      <c r="D821" s="118"/>
      <c r="E821" s="118"/>
      <c r="F821" s="118"/>
      <c r="G821" s="118"/>
      <c r="H821" s="118"/>
      <c r="I821" s="118"/>
      <c r="J821" s="118"/>
      <c r="K821" s="118"/>
      <c r="L821" s="118"/>
      <c r="M821" s="118"/>
      <c r="N821" s="42"/>
      <c r="O821" s="42"/>
      <c r="P821" s="42"/>
      <c r="Q821" s="42"/>
      <c r="R821" s="42"/>
      <c r="S821" s="3"/>
      <c r="T821" s="3"/>
      <c r="U821" s="3"/>
      <c r="V821" s="3"/>
      <c r="W821" s="3"/>
      <c r="X821" s="3"/>
      <c r="Y821" s="3"/>
      <c r="Z821" s="3"/>
      <c r="AA821" s="3"/>
      <c r="AB821" s="3"/>
      <c r="AC821" s="3"/>
      <c r="AD821" s="3"/>
      <c r="AE821" s="3"/>
      <c r="AF821" s="3"/>
      <c r="AG821" s="3"/>
      <c r="AH821" s="3"/>
      <c r="AI821" s="3"/>
      <c r="AJ821" s="3"/>
      <c r="AK821" s="3"/>
      <c r="AL821" s="3"/>
    </row>
    <row r="822" spans="1:38" ht="15.75" customHeight="1" x14ac:dyDescent="0.2">
      <c r="A822" s="118"/>
      <c r="B822" s="118"/>
      <c r="C822" s="118"/>
      <c r="D822" s="118"/>
      <c r="E822" s="118"/>
      <c r="F822" s="118"/>
      <c r="G822" s="118"/>
      <c r="H822" s="118"/>
      <c r="I822" s="118"/>
      <c r="J822" s="118"/>
      <c r="K822" s="118"/>
      <c r="L822" s="118"/>
      <c r="M822" s="118"/>
      <c r="N822" s="42"/>
      <c r="O822" s="42"/>
      <c r="P822" s="42"/>
      <c r="Q822" s="42"/>
      <c r="R822" s="42"/>
      <c r="S822" s="3"/>
      <c r="T822" s="3"/>
      <c r="U822" s="3"/>
      <c r="V822" s="3"/>
      <c r="W822" s="3"/>
      <c r="X822" s="3"/>
      <c r="Y822" s="3"/>
      <c r="Z822" s="3"/>
      <c r="AA822" s="3"/>
      <c r="AB822" s="3"/>
      <c r="AC822" s="3"/>
      <c r="AD822" s="3"/>
      <c r="AE822" s="3"/>
      <c r="AF822" s="3"/>
      <c r="AG822" s="3"/>
      <c r="AH822" s="3"/>
      <c r="AI822" s="3"/>
      <c r="AJ822" s="3"/>
      <c r="AK822" s="3"/>
      <c r="AL822" s="3"/>
    </row>
    <row r="823" spans="1:38" ht="15.75" customHeight="1" x14ac:dyDescent="0.2">
      <c r="A823" s="118"/>
      <c r="B823" s="118"/>
      <c r="C823" s="118"/>
      <c r="D823" s="118"/>
      <c r="E823" s="118"/>
      <c r="F823" s="118"/>
      <c r="G823" s="118"/>
      <c r="H823" s="118"/>
      <c r="I823" s="118"/>
      <c r="J823" s="118"/>
      <c r="K823" s="118"/>
      <c r="L823" s="118"/>
      <c r="M823" s="118"/>
      <c r="N823" s="42"/>
      <c r="O823" s="42"/>
      <c r="P823" s="42"/>
      <c r="Q823" s="42"/>
      <c r="R823" s="42"/>
      <c r="S823" s="3"/>
      <c r="T823" s="3"/>
      <c r="U823" s="3"/>
      <c r="V823" s="3"/>
      <c r="W823" s="3"/>
      <c r="X823" s="3"/>
      <c r="Y823" s="3"/>
      <c r="Z823" s="3"/>
      <c r="AA823" s="3"/>
      <c r="AB823" s="3"/>
      <c r="AC823" s="3"/>
      <c r="AD823" s="3"/>
      <c r="AE823" s="3"/>
      <c r="AF823" s="3"/>
      <c r="AG823" s="3"/>
      <c r="AH823" s="3"/>
      <c r="AI823" s="3"/>
      <c r="AJ823" s="3"/>
      <c r="AK823" s="3"/>
      <c r="AL823" s="3"/>
    </row>
    <row r="824" spans="1:38" ht="15.75" customHeight="1" x14ac:dyDescent="0.2">
      <c r="A824" s="118"/>
      <c r="B824" s="118"/>
      <c r="C824" s="118"/>
      <c r="D824" s="118"/>
      <c r="E824" s="118"/>
      <c r="F824" s="118"/>
      <c r="G824" s="118"/>
      <c r="H824" s="118"/>
      <c r="I824" s="118"/>
      <c r="J824" s="118"/>
      <c r="K824" s="118"/>
      <c r="L824" s="118"/>
      <c r="M824" s="118"/>
      <c r="N824" s="42"/>
      <c r="O824" s="42"/>
      <c r="P824" s="42"/>
      <c r="Q824" s="42"/>
      <c r="R824" s="42"/>
      <c r="S824" s="3"/>
      <c r="T824" s="3"/>
      <c r="U824" s="3"/>
      <c r="V824" s="3"/>
      <c r="W824" s="3"/>
      <c r="X824" s="3"/>
      <c r="Y824" s="3"/>
      <c r="Z824" s="3"/>
      <c r="AA824" s="3"/>
      <c r="AB824" s="3"/>
      <c r="AC824" s="3"/>
      <c r="AD824" s="3"/>
      <c r="AE824" s="3"/>
      <c r="AF824" s="3"/>
      <c r="AG824" s="3"/>
      <c r="AH824" s="3"/>
      <c r="AI824" s="3"/>
      <c r="AJ824" s="3"/>
      <c r="AK824" s="3"/>
      <c r="AL824" s="3"/>
    </row>
    <row r="825" spans="1:38" ht="15.75" customHeight="1" x14ac:dyDescent="0.2">
      <c r="A825" s="118"/>
      <c r="B825" s="118"/>
      <c r="C825" s="118"/>
      <c r="D825" s="118"/>
      <c r="E825" s="118"/>
      <c r="F825" s="118"/>
      <c r="G825" s="118"/>
      <c r="H825" s="118"/>
      <c r="I825" s="118"/>
      <c r="J825" s="118"/>
      <c r="K825" s="118"/>
      <c r="L825" s="118"/>
      <c r="M825" s="118"/>
      <c r="N825" s="42"/>
      <c r="O825" s="42"/>
      <c r="P825" s="42"/>
      <c r="Q825" s="42"/>
      <c r="R825" s="42"/>
      <c r="S825" s="3"/>
      <c r="T825" s="3"/>
      <c r="U825" s="3"/>
      <c r="V825" s="3"/>
      <c r="W825" s="3"/>
      <c r="X825" s="3"/>
      <c r="Y825" s="3"/>
      <c r="Z825" s="3"/>
      <c r="AA825" s="3"/>
      <c r="AB825" s="3"/>
      <c r="AC825" s="3"/>
      <c r="AD825" s="3"/>
      <c r="AE825" s="3"/>
      <c r="AF825" s="3"/>
      <c r="AG825" s="3"/>
      <c r="AH825" s="3"/>
      <c r="AI825" s="3"/>
      <c r="AJ825" s="3"/>
      <c r="AK825" s="3"/>
      <c r="AL825" s="3"/>
    </row>
    <row r="826" spans="1:38" ht="15.75" customHeight="1" x14ac:dyDescent="0.2">
      <c r="A826" s="118"/>
      <c r="B826" s="118"/>
      <c r="C826" s="118"/>
      <c r="D826" s="118"/>
      <c r="E826" s="118"/>
      <c r="F826" s="118"/>
      <c r="G826" s="118"/>
      <c r="H826" s="118"/>
      <c r="I826" s="118"/>
      <c r="J826" s="118"/>
      <c r="K826" s="118"/>
      <c r="L826" s="118"/>
      <c r="M826" s="118"/>
      <c r="N826" s="42"/>
      <c r="O826" s="42"/>
      <c r="P826" s="42"/>
      <c r="Q826" s="42"/>
      <c r="R826" s="42"/>
      <c r="S826" s="3"/>
      <c r="T826" s="3"/>
      <c r="U826" s="3"/>
      <c r="V826" s="3"/>
      <c r="W826" s="3"/>
      <c r="X826" s="3"/>
      <c r="Y826" s="3"/>
      <c r="Z826" s="3"/>
      <c r="AA826" s="3"/>
      <c r="AB826" s="3"/>
      <c r="AC826" s="3"/>
      <c r="AD826" s="3"/>
      <c r="AE826" s="3"/>
      <c r="AF826" s="3"/>
      <c r="AG826" s="3"/>
      <c r="AH826" s="3"/>
      <c r="AI826" s="3"/>
      <c r="AJ826" s="3"/>
      <c r="AK826" s="3"/>
      <c r="AL826" s="3"/>
    </row>
    <row r="827" spans="1:38" ht="15.75" customHeight="1" x14ac:dyDescent="0.2">
      <c r="A827" s="118"/>
      <c r="B827" s="118"/>
      <c r="C827" s="118"/>
      <c r="D827" s="118"/>
      <c r="E827" s="118"/>
      <c r="F827" s="118"/>
      <c r="G827" s="118"/>
      <c r="H827" s="118"/>
      <c r="I827" s="118"/>
      <c r="J827" s="118"/>
      <c r="K827" s="118"/>
      <c r="L827" s="118"/>
      <c r="M827" s="118"/>
      <c r="N827" s="42"/>
      <c r="O827" s="42"/>
      <c r="P827" s="42"/>
      <c r="Q827" s="42"/>
      <c r="R827" s="42"/>
      <c r="S827" s="3"/>
      <c r="T827" s="3"/>
      <c r="U827" s="3"/>
      <c r="V827" s="3"/>
      <c r="W827" s="3"/>
      <c r="X827" s="3"/>
      <c r="Y827" s="3"/>
      <c r="Z827" s="3"/>
      <c r="AA827" s="3"/>
      <c r="AB827" s="3"/>
      <c r="AC827" s="3"/>
      <c r="AD827" s="3"/>
      <c r="AE827" s="3"/>
      <c r="AF827" s="3"/>
      <c r="AG827" s="3"/>
      <c r="AH827" s="3"/>
      <c r="AI827" s="3"/>
      <c r="AJ827" s="3"/>
      <c r="AK827" s="3"/>
      <c r="AL827" s="3"/>
    </row>
    <row r="828" spans="1:38" ht="15.75" customHeight="1" x14ac:dyDescent="0.2">
      <c r="A828" s="118"/>
      <c r="B828" s="118"/>
      <c r="C828" s="118"/>
      <c r="D828" s="118"/>
      <c r="E828" s="118"/>
      <c r="F828" s="118"/>
      <c r="G828" s="118"/>
      <c r="H828" s="118"/>
      <c r="I828" s="118"/>
      <c r="J828" s="118"/>
      <c r="K828" s="118"/>
      <c r="L828" s="118"/>
      <c r="M828" s="118"/>
      <c r="N828" s="42"/>
      <c r="O828" s="42"/>
      <c r="P828" s="42"/>
      <c r="Q828" s="42"/>
      <c r="R828" s="42"/>
      <c r="S828" s="3"/>
      <c r="T828" s="3"/>
      <c r="U828" s="3"/>
      <c r="V828" s="3"/>
      <c r="W828" s="3"/>
      <c r="X828" s="3"/>
      <c r="Y828" s="3"/>
      <c r="Z828" s="3"/>
      <c r="AA828" s="3"/>
      <c r="AB828" s="3"/>
      <c r="AC828" s="3"/>
      <c r="AD828" s="3"/>
      <c r="AE828" s="3"/>
      <c r="AF828" s="3"/>
      <c r="AG828" s="3"/>
      <c r="AH828" s="3"/>
      <c r="AI828" s="3"/>
      <c r="AJ828" s="3"/>
      <c r="AK828" s="3"/>
      <c r="AL828" s="3"/>
    </row>
    <row r="829" spans="1:38" ht="15.75" customHeight="1" x14ac:dyDescent="0.2">
      <c r="A829" s="118"/>
      <c r="B829" s="118"/>
      <c r="C829" s="118"/>
      <c r="D829" s="118"/>
      <c r="E829" s="118"/>
      <c r="F829" s="118"/>
      <c r="G829" s="118"/>
      <c r="H829" s="118"/>
      <c r="I829" s="118"/>
      <c r="J829" s="118"/>
      <c r="K829" s="118"/>
      <c r="L829" s="118"/>
      <c r="M829" s="118"/>
      <c r="N829" s="42"/>
      <c r="O829" s="42"/>
      <c r="P829" s="42"/>
      <c r="Q829" s="42"/>
      <c r="R829" s="42"/>
      <c r="S829" s="3"/>
      <c r="T829" s="3"/>
      <c r="U829" s="3"/>
      <c r="V829" s="3"/>
      <c r="W829" s="3"/>
      <c r="X829" s="3"/>
      <c r="Y829" s="3"/>
      <c r="Z829" s="3"/>
      <c r="AA829" s="3"/>
      <c r="AB829" s="3"/>
      <c r="AC829" s="3"/>
      <c r="AD829" s="3"/>
      <c r="AE829" s="3"/>
      <c r="AF829" s="3"/>
      <c r="AG829" s="3"/>
      <c r="AH829" s="3"/>
      <c r="AI829" s="3"/>
      <c r="AJ829" s="3"/>
      <c r="AK829" s="3"/>
      <c r="AL829" s="3"/>
    </row>
    <row r="830" spans="1:38" ht="15.75" customHeight="1" x14ac:dyDescent="0.2">
      <c r="A830" s="118"/>
      <c r="B830" s="118"/>
      <c r="C830" s="118"/>
      <c r="D830" s="118"/>
      <c r="E830" s="118"/>
      <c r="F830" s="118"/>
      <c r="G830" s="118"/>
      <c r="H830" s="118"/>
      <c r="I830" s="118"/>
      <c r="J830" s="118"/>
      <c r="K830" s="118"/>
      <c r="L830" s="118"/>
      <c r="M830" s="118"/>
      <c r="N830" s="42"/>
      <c r="O830" s="42"/>
      <c r="P830" s="42"/>
      <c r="Q830" s="42"/>
      <c r="R830" s="42"/>
      <c r="S830" s="3"/>
      <c r="T830" s="3"/>
      <c r="U830" s="3"/>
      <c r="V830" s="3"/>
      <c r="W830" s="3"/>
      <c r="X830" s="3"/>
      <c r="Y830" s="3"/>
      <c r="Z830" s="3"/>
      <c r="AA830" s="3"/>
      <c r="AB830" s="3"/>
      <c r="AC830" s="3"/>
      <c r="AD830" s="3"/>
      <c r="AE830" s="3"/>
      <c r="AF830" s="3"/>
      <c r="AG830" s="3"/>
      <c r="AH830" s="3"/>
      <c r="AI830" s="3"/>
      <c r="AJ830" s="3"/>
      <c r="AK830" s="3"/>
      <c r="AL830" s="3"/>
    </row>
    <row r="831" spans="1:38" ht="15.75" customHeight="1" x14ac:dyDescent="0.2">
      <c r="A831" s="118"/>
      <c r="B831" s="118"/>
      <c r="C831" s="118"/>
      <c r="D831" s="118"/>
      <c r="E831" s="118"/>
      <c r="F831" s="118"/>
      <c r="G831" s="118"/>
      <c r="H831" s="118"/>
      <c r="I831" s="118"/>
      <c r="J831" s="118"/>
      <c r="K831" s="118"/>
      <c r="L831" s="118"/>
      <c r="M831" s="118"/>
      <c r="N831" s="42"/>
      <c r="O831" s="42"/>
      <c r="P831" s="42"/>
      <c r="Q831" s="42"/>
      <c r="R831" s="42"/>
      <c r="S831" s="3"/>
      <c r="T831" s="3"/>
      <c r="U831" s="3"/>
      <c r="V831" s="3"/>
      <c r="W831" s="3"/>
      <c r="X831" s="3"/>
      <c r="Y831" s="3"/>
      <c r="Z831" s="3"/>
      <c r="AA831" s="3"/>
      <c r="AB831" s="3"/>
      <c r="AC831" s="3"/>
      <c r="AD831" s="3"/>
      <c r="AE831" s="3"/>
      <c r="AF831" s="3"/>
      <c r="AG831" s="3"/>
      <c r="AH831" s="3"/>
      <c r="AI831" s="3"/>
      <c r="AJ831" s="3"/>
      <c r="AK831" s="3"/>
      <c r="AL831" s="3"/>
    </row>
    <row r="832" spans="1:38" ht="15.75" customHeight="1" x14ac:dyDescent="0.2">
      <c r="A832" s="118"/>
      <c r="B832" s="118"/>
      <c r="C832" s="118"/>
      <c r="D832" s="118"/>
      <c r="E832" s="118"/>
      <c r="F832" s="118"/>
      <c r="G832" s="118"/>
      <c r="H832" s="118"/>
      <c r="I832" s="118"/>
      <c r="J832" s="118"/>
      <c r="K832" s="118"/>
      <c r="L832" s="118"/>
      <c r="M832" s="118"/>
      <c r="N832" s="42"/>
      <c r="O832" s="42"/>
      <c r="P832" s="42"/>
      <c r="Q832" s="42"/>
      <c r="R832" s="42"/>
      <c r="S832" s="3"/>
      <c r="T832" s="3"/>
      <c r="U832" s="3"/>
      <c r="V832" s="3"/>
      <c r="W832" s="3"/>
      <c r="X832" s="3"/>
      <c r="Y832" s="3"/>
      <c r="Z832" s="3"/>
      <c r="AA832" s="3"/>
      <c r="AB832" s="3"/>
      <c r="AC832" s="3"/>
      <c r="AD832" s="3"/>
      <c r="AE832" s="3"/>
      <c r="AF832" s="3"/>
      <c r="AG832" s="3"/>
      <c r="AH832" s="3"/>
      <c r="AI832" s="3"/>
      <c r="AJ832" s="3"/>
      <c r="AK832" s="3"/>
      <c r="AL832" s="3"/>
    </row>
    <row r="833" spans="1:38" ht="15.75" customHeight="1" x14ac:dyDescent="0.2">
      <c r="A833" s="118"/>
      <c r="B833" s="118"/>
      <c r="C833" s="118"/>
      <c r="D833" s="118"/>
      <c r="E833" s="118"/>
      <c r="F833" s="118"/>
      <c r="G833" s="118"/>
      <c r="H833" s="118"/>
      <c r="I833" s="118"/>
      <c r="J833" s="118"/>
      <c r="K833" s="118"/>
      <c r="L833" s="118"/>
      <c r="M833" s="118"/>
      <c r="N833" s="42"/>
      <c r="O833" s="42"/>
      <c r="P833" s="42"/>
      <c r="Q833" s="42"/>
      <c r="R833" s="42"/>
      <c r="S833" s="3"/>
      <c r="T833" s="3"/>
      <c r="U833" s="3"/>
      <c r="V833" s="3"/>
      <c r="W833" s="3"/>
      <c r="X833" s="3"/>
      <c r="Y833" s="3"/>
      <c r="Z833" s="3"/>
      <c r="AA833" s="3"/>
      <c r="AB833" s="3"/>
      <c r="AC833" s="3"/>
      <c r="AD833" s="3"/>
      <c r="AE833" s="3"/>
      <c r="AF833" s="3"/>
      <c r="AG833" s="3"/>
      <c r="AH833" s="3"/>
      <c r="AI833" s="3"/>
      <c r="AJ833" s="3"/>
      <c r="AK833" s="3"/>
      <c r="AL833" s="3"/>
    </row>
    <row r="834" spans="1:38" ht="15.75" customHeight="1" x14ac:dyDescent="0.2">
      <c r="A834" s="118"/>
      <c r="B834" s="118"/>
      <c r="C834" s="118"/>
      <c r="D834" s="118"/>
      <c r="E834" s="118"/>
      <c r="F834" s="118"/>
      <c r="G834" s="118"/>
      <c r="H834" s="118"/>
      <c r="I834" s="118"/>
      <c r="J834" s="118"/>
      <c r="K834" s="118"/>
      <c r="L834" s="118"/>
      <c r="M834" s="118"/>
      <c r="N834" s="42"/>
      <c r="O834" s="42"/>
      <c r="P834" s="42"/>
      <c r="Q834" s="42"/>
      <c r="R834" s="42"/>
      <c r="S834" s="3"/>
      <c r="T834" s="3"/>
      <c r="U834" s="3"/>
      <c r="V834" s="3"/>
      <c r="W834" s="3"/>
      <c r="X834" s="3"/>
      <c r="Y834" s="3"/>
      <c r="Z834" s="3"/>
      <c r="AA834" s="3"/>
      <c r="AB834" s="3"/>
      <c r="AC834" s="3"/>
      <c r="AD834" s="3"/>
      <c r="AE834" s="3"/>
      <c r="AF834" s="3"/>
      <c r="AG834" s="3"/>
      <c r="AH834" s="3"/>
      <c r="AI834" s="3"/>
      <c r="AJ834" s="3"/>
      <c r="AK834" s="3"/>
      <c r="AL834" s="3"/>
    </row>
    <row r="835" spans="1:38" ht="15.75" customHeight="1" x14ac:dyDescent="0.2">
      <c r="A835" s="118"/>
      <c r="B835" s="118"/>
      <c r="C835" s="118"/>
      <c r="D835" s="118"/>
      <c r="E835" s="118"/>
      <c r="F835" s="118"/>
      <c r="G835" s="118"/>
      <c r="H835" s="118"/>
      <c r="I835" s="118"/>
      <c r="J835" s="118"/>
      <c r="K835" s="118"/>
      <c r="L835" s="118"/>
      <c r="M835" s="118"/>
      <c r="N835" s="42"/>
      <c r="O835" s="42"/>
      <c r="P835" s="42"/>
      <c r="Q835" s="42"/>
      <c r="R835" s="42"/>
      <c r="S835" s="3"/>
      <c r="T835" s="3"/>
      <c r="U835" s="3"/>
      <c r="V835" s="3"/>
      <c r="W835" s="3"/>
      <c r="X835" s="3"/>
      <c r="Y835" s="3"/>
      <c r="Z835" s="3"/>
      <c r="AA835" s="3"/>
      <c r="AB835" s="3"/>
      <c r="AC835" s="3"/>
      <c r="AD835" s="3"/>
      <c r="AE835" s="3"/>
      <c r="AF835" s="3"/>
      <c r="AG835" s="3"/>
      <c r="AH835" s="3"/>
      <c r="AI835" s="3"/>
      <c r="AJ835" s="3"/>
      <c r="AK835" s="3"/>
      <c r="AL835" s="3"/>
    </row>
    <row r="836" spans="1:38" ht="15.75" customHeight="1" x14ac:dyDescent="0.2">
      <c r="A836" s="118"/>
      <c r="B836" s="118"/>
      <c r="C836" s="118"/>
      <c r="D836" s="118"/>
      <c r="E836" s="118"/>
      <c r="F836" s="118"/>
      <c r="G836" s="118"/>
      <c r="H836" s="118"/>
      <c r="I836" s="118"/>
      <c r="J836" s="118"/>
      <c r="K836" s="118"/>
      <c r="L836" s="118"/>
      <c r="M836" s="118"/>
      <c r="N836" s="42"/>
      <c r="O836" s="42"/>
      <c r="P836" s="42"/>
      <c r="Q836" s="42"/>
      <c r="R836" s="42"/>
      <c r="S836" s="3"/>
      <c r="T836" s="3"/>
      <c r="U836" s="3"/>
      <c r="V836" s="3"/>
      <c r="W836" s="3"/>
      <c r="X836" s="3"/>
      <c r="Y836" s="3"/>
      <c r="Z836" s="3"/>
      <c r="AA836" s="3"/>
      <c r="AB836" s="3"/>
      <c r="AC836" s="3"/>
      <c r="AD836" s="3"/>
      <c r="AE836" s="3"/>
      <c r="AF836" s="3"/>
      <c r="AG836" s="3"/>
      <c r="AH836" s="3"/>
      <c r="AI836" s="3"/>
      <c r="AJ836" s="3"/>
      <c r="AK836" s="3"/>
      <c r="AL836" s="3"/>
    </row>
    <row r="837" spans="1:38" ht="15.75" customHeight="1" x14ac:dyDescent="0.2">
      <c r="A837" s="118"/>
      <c r="B837" s="118"/>
      <c r="C837" s="118"/>
      <c r="D837" s="118"/>
      <c r="E837" s="118"/>
      <c r="F837" s="118"/>
      <c r="G837" s="118"/>
      <c r="H837" s="118"/>
      <c r="I837" s="118"/>
      <c r="J837" s="118"/>
      <c r="K837" s="118"/>
      <c r="L837" s="118"/>
      <c r="M837" s="118"/>
      <c r="N837" s="42"/>
      <c r="O837" s="42"/>
      <c r="P837" s="42"/>
      <c r="Q837" s="42"/>
      <c r="R837" s="42"/>
      <c r="S837" s="3"/>
      <c r="T837" s="3"/>
      <c r="U837" s="3"/>
      <c r="V837" s="3"/>
      <c r="W837" s="3"/>
      <c r="X837" s="3"/>
      <c r="Y837" s="3"/>
      <c r="Z837" s="3"/>
      <c r="AA837" s="3"/>
      <c r="AB837" s="3"/>
      <c r="AC837" s="3"/>
      <c r="AD837" s="3"/>
      <c r="AE837" s="3"/>
      <c r="AF837" s="3"/>
      <c r="AG837" s="3"/>
      <c r="AH837" s="3"/>
      <c r="AI837" s="3"/>
      <c r="AJ837" s="3"/>
      <c r="AK837" s="3"/>
      <c r="AL837" s="3"/>
    </row>
    <row r="838" spans="1:38" ht="15.75" customHeight="1" x14ac:dyDescent="0.2">
      <c r="A838" s="118"/>
      <c r="B838" s="118"/>
      <c r="C838" s="118"/>
      <c r="D838" s="118"/>
      <c r="E838" s="118"/>
      <c r="F838" s="118"/>
      <c r="G838" s="118"/>
      <c r="H838" s="118"/>
      <c r="I838" s="118"/>
      <c r="J838" s="118"/>
      <c r="K838" s="118"/>
      <c r="L838" s="118"/>
      <c r="M838" s="118"/>
      <c r="N838" s="42"/>
      <c r="O838" s="42"/>
      <c r="P838" s="42"/>
      <c r="Q838" s="42"/>
      <c r="R838" s="42"/>
      <c r="S838" s="3"/>
      <c r="T838" s="3"/>
      <c r="U838" s="3"/>
      <c r="V838" s="3"/>
      <c r="W838" s="3"/>
      <c r="X838" s="3"/>
      <c r="Y838" s="3"/>
      <c r="Z838" s="3"/>
      <c r="AA838" s="3"/>
      <c r="AB838" s="3"/>
      <c r="AC838" s="3"/>
      <c r="AD838" s="3"/>
      <c r="AE838" s="3"/>
      <c r="AF838" s="3"/>
      <c r="AG838" s="3"/>
      <c r="AH838" s="3"/>
      <c r="AI838" s="3"/>
      <c r="AJ838" s="3"/>
      <c r="AK838" s="3"/>
      <c r="AL838" s="3"/>
    </row>
    <row r="839" spans="1:38" ht="15.75" customHeight="1" x14ac:dyDescent="0.2">
      <c r="A839" s="118"/>
      <c r="B839" s="118"/>
      <c r="C839" s="118"/>
      <c r="D839" s="118"/>
      <c r="E839" s="118"/>
      <c r="F839" s="118"/>
      <c r="G839" s="118"/>
      <c r="H839" s="118"/>
      <c r="I839" s="118"/>
      <c r="J839" s="118"/>
      <c r="K839" s="118"/>
      <c r="L839" s="118"/>
      <c r="M839" s="118"/>
      <c r="N839" s="42"/>
      <c r="O839" s="42"/>
      <c r="P839" s="42"/>
      <c r="Q839" s="42"/>
      <c r="R839" s="42"/>
      <c r="S839" s="3"/>
      <c r="T839" s="3"/>
      <c r="U839" s="3"/>
      <c r="V839" s="3"/>
      <c r="W839" s="3"/>
      <c r="X839" s="3"/>
      <c r="Y839" s="3"/>
      <c r="Z839" s="3"/>
      <c r="AA839" s="3"/>
      <c r="AB839" s="3"/>
      <c r="AC839" s="3"/>
      <c r="AD839" s="3"/>
      <c r="AE839" s="3"/>
      <c r="AF839" s="3"/>
      <c r="AG839" s="3"/>
      <c r="AH839" s="3"/>
      <c r="AI839" s="3"/>
      <c r="AJ839" s="3"/>
      <c r="AK839" s="3"/>
      <c r="AL839" s="3"/>
    </row>
    <row r="840" spans="1:38" ht="15.75" customHeight="1" x14ac:dyDescent="0.2">
      <c r="A840" s="118"/>
      <c r="B840" s="118"/>
      <c r="C840" s="118"/>
      <c r="D840" s="118"/>
      <c r="E840" s="118"/>
      <c r="F840" s="118"/>
      <c r="G840" s="118"/>
      <c r="H840" s="118"/>
      <c r="I840" s="118"/>
      <c r="J840" s="118"/>
      <c r="K840" s="118"/>
      <c r="L840" s="118"/>
      <c r="M840" s="118"/>
      <c r="N840" s="42"/>
      <c r="O840" s="42"/>
      <c r="P840" s="42"/>
      <c r="Q840" s="42"/>
      <c r="R840" s="42"/>
      <c r="S840" s="3"/>
      <c r="T840" s="3"/>
      <c r="U840" s="3"/>
      <c r="V840" s="3"/>
      <c r="W840" s="3"/>
      <c r="X840" s="3"/>
      <c r="Y840" s="3"/>
      <c r="Z840" s="3"/>
      <c r="AA840" s="3"/>
      <c r="AB840" s="3"/>
      <c r="AC840" s="3"/>
      <c r="AD840" s="3"/>
      <c r="AE840" s="3"/>
      <c r="AF840" s="3"/>
      <c r="AG840" s="3"/>
      <c r="AH840" s="3"/>
      <c r="AI840" s="3"/>
      <c r="AJ840" s="3"/>
      <c r="AK840" s="3"/>
      <c r="AL840" s="3"/>
    </row>
    <row r="841" spans="1:38" ht="15.75" customHeight="1" x14ac:dyDescent="0.2">
      <c r="A841" s="118"/>
      <c r="B841" s="118"/>
      <c r="C841" s="118"/>
      <c r="D841" s="118"/>
      <c r="E841" s="118"/>
      <c r="F841" s="118"/>
      <c r="G841" s="118"/>
      <c r="H841" s="118"/>
      <c r="I841" s="118"/>
      <c r="J841" s="118"/>
      <c r="K841" s="118"/>
      <c r="L841" s="118"/>
      <c r="M841" s="118"/>
      <c r="N841" s="42"/>
      <c r="O841" s="42"/>
      <c r="P841" s="42"/>
      <c r="Q841" s="42"/>
      <c r="R841" s="42"/>
      <c r="S841" s="3"/>
      <c r="T841" s="3"/>
      <c r="U841" s="3"/>
      <c r="V841" s="3"/>
      <c r="W841" s="3"/>
      <c r="X841" s="3"/>
      <c r="Y841" s="3"/>
      <c r="Z841" s="3"/>
      <c r="AA841" s="3"/>
      <c r="AB841" s="3"/>
      <c r="AC841" s="3"/>
      <c r="AD841" s="3"/>
      <c r="AE841" s="3"/>
      <c r="AF841" s="3"/>
      <c r="AG841" s="3"/>
      <c r="AH841" s="3"/>
      <c r="AI841" s="3"/>
      <c r="AJ841" s="3"/>
      <c r="AK841" s="3"/>
      <c r="AL841" s="3"/>
    </row>
    <row r="842" spans="1:38" ht="15.75" customHeight="1" x14ac:dyDescent="0.2">
      <c r="A842" s="118"/>
      <c r="B842" s="118"/>
      <c r="C842" s="118"/>
      <c r="D842" s="118"/>
      <c r="E842" s="118"/>
      <c r="F842" s="118"/>
      <c r="G842" s="118"/>
      <c r="H842" s="118"/>
      <c r="I842" s="118"/>
      <c r="J842" s="118"/>
      <c r="K842" s="118"/>
      <c r="L842" s="118"/>
      <c r="M842" s="118"/>
      <c r="N842" s="42"/>
      <c r="O842" s="42"/>
      <c r="P842" s="42"/>
      <c r="Q842" s="42"/>
      <c r="R842" s="42"/>
      <c r="S842" s="3"/>
      <c r="T842" s="3"/>
      <c r="U842" s="3"/>
      <c r="V842" s="3"/>
      <c r="W842" s="3"/>
      <c r="X842" s="3"/>
      <c r="Y842" s="3"/>
      <c r="Z842" s="3"/>
      <c r="AA842" s="3"/>
      <c r="AB842" s="3"/>
      <c r="AC842" s="3"/>
      <c r="AD842" s="3"/>
      <c r="AE842" s="3"/>
      <c r="AF842" s="3"/>
      <c r="AG842" s="3"/>
      <c r="AH842" s="3"/>
      <c r="AI842" s="3"/>
      <c r="AJ842" s="3"/>
      <c r="AK842" s="3"/>
      <c r="AL842" s="3"/>
    </row>
    <row r="843" spans="1:38" ht="15.75" customHeight="1" x14ac:dyDescent="0.2">
      <c r="A843" s="118"/>
      <c r="B843" s="118"/>
      <c r="C843" s="118"/>
      <c r="D843" s="118"/>
      <c r="E843" s="118"/>
      <c r="F843" s="118"/>
      <c r="G843" s="118"/>
      <c r="H843" s="118"/>
      <c r="I843" s="118"/>
      <c r="J843" s="118"/>
      <c r="K843" s="118"/>
      <c r="L843" s="118"/>
      <c r="M843" s="118"/>
      <c r="N843" s="42"/>
      <c r="O843" s="42"/>
      <c r="P843" s="42"/>
      <c r="Q843" s="42"/>
      <c r="R843" s="42"/>
      <c r="S843" s="3"/>
      <c r="T843" s="3"/>
      <c r="U843" s="3"/>
      <c r="V843" s="3"/>
      <c r="W843" s="3"/>
      <c r="X843" s="3"/>
      <c r="Y843" s="3"/>
      <c r="Z843" s="3"/>
      <c r="AA843" s="3"/>
      <c r="AB843" s="3"/>
      <c r="AC843" s="3"/>
      <c r="AD843" s="3"/>
      <c r="AE843" s="3"/>
      <c r="AF843" s="3"/>
      <c r="AG843" s="3"/>
      <c r="AH843" s="3"/>
      <c r="AI843" s="3"/>
      <c r="AJ843" s="3"/>
      <c r="AK843" s="3"/>
      <c r="AL843" s="3"/>
    </row>
    <row r="844" spans="1:38" ht="15.75" customHeight="1" x14ac:dyDescent="0.2">
      <c r="A844" s="118"/>
      <c r="B844" s="118"/>
      <c r="C844" s="118"/>
      <c r="D844" s="118"/>
      <c r="E844" s="118"/>
      <c r="F844" s="118"/>
      <c r="G844" s="118"/>
      <c r="H844" s="118"/>
      <c r="I844" s="118"/>
      <c r="J844" s="118"/>
      <c r="K844" s="118"/>
      <c r="L844" s="118"/>
      <c r="M844" s="118"/>
      <c r="N844" s="42"/>
      <c r="O844" s="42"/>
      <c r="P844" s="42"/>
      <c r="Q844" s="42"/>
      <c r="R844" s="42"/>
      <c r="S844" s="3"/>
      <c r="T844" s="3"/>
      <c r="U844" s="3"/>
      <c r="V844" s="3"/>
      <c r="W844" s="3"/>
      <c r="X844" s="3"/>
      <c r="Y844" s="3"/>
      <c r="Z844" s="3"/>
      <c r="AA844" s="3"/>
      <c r="AB844" s="3"/>
      <c r="AC844" s="3"/>
      <c r="AD844" s="3"/>
      <c r="AE844" s="3"/>
      <c r="AF844" s="3"/>
      <c r="AG844" s="3"/>
      <c r="AH844" s="3"/>
      <c r="AI844" s="3"/>
      <c r="AJ844" s="3"/>
      <c r="AK844" s="3"/>
      <c r="AL844" s="3"/>
    </row>
    <row r="845" spans="1:38" ht="15.75" customHeight="1" x14ac:dyDescent="0.2">
      <c r="A845" s="118"/>
      <c r="B845" s="118"/>
      <c r="C845" s="118"/>
      <c r="D845" s="118"/>
      <c r="E845" s="118"/>
      <c r="F845" s="118"/>
      <c r="G845" s="118"/>
      <c r="H845" s="118"/>
      <c r="I845" s="118"/>
      <c r="J845" s="118"/>
      <c r="K845" s="118"/>
      <c r="L845" s="118"/>
      <c r="M845" s="118"/>
      <c r="N845" s="42"/>
      <c r="O845" s="42"/>
      <c r="P845" s="42"/>
      <c r="Q845" s="42"/>
      <c r="R845" s="42"/>
      <c r="S845" s="3"/>
      <c r="T845" s="3"/>
      <c r="U845" s="3"/>
      <c r="V845" s="3"/>
      <c r="W845" s="3"/>
      <c r="X845" s="3"/>
      <c r="Y845" s="3"/>
      <c r="Z845" s="3"/>
      <c r="AA845" s="3"/>
      <c r="AB845" s="3"/>
      <c r="AC845" s="3"/>
      <c r="AD845" s="3"/>
      <c r="AE845" s="3"/>
      <c r="AF845" s="3"/>
      <c r="AG845" s="3"/>
      <c r="AH845" s="3"/>
      <c r="AI845" s="3"/>
      <c r="AJ845" s="3"/>
      <c r="AK845" s="3"/>
      <c r="AL845" s="3"/>
    </row>
    <row r="846" spans="1:38" ht="15.75" customHeight="1" x14ac:dyDescent="0.2">
      <c r="A846" s="118"/>
      <c r="B846" s="118"/>
      <c r="C846" s="118"/>
      <c r="D846" s="118"/>
      <c r="E846" s="118"/>
      <c r="F846" s="118"/>
      <c r="G846" s="118"/>
      <c r="H846" s="118"/>
      <c r="I846" s="118"/>
      <c r="J846" s="118"/>
      <c r="K846" s="118"/>
      <c r="L846" s="118"/>
      <c r="M846" s="118"/>
      <c r="N846" s="42"/>
      <c r="O846" s="42"/>
      <c r="P846" s="42"/>
      <c r="Q846" s="42"/>
      <c r="R846" s="42"/>
      <c r="S846" s="3"/>
      <c r="T846" s="3"/>
      <c r="U846" s="3"/>
      <c r="V846" s="3"/>
      <c r="W846" s="3"/>
      <c r="X846" s="3"/>
      <c r="Y846" s="3"/>
      <c r="Z846" s="3"/>
      <c r="AA846" s="3"/>
      <c r="AB846" s="3"/>
      <c r="AC846" s="3"/>
      <c r="AD846" s="3"/>
      <c r="AE846" s="3"/>
      <c r="AF846" s="3"/>
      <c r="AG846" s="3"/>
      <c r="AH846" s="3"/>
      <c r="AI846" s="3"/>
      <c r="AJ846" s="3"/>
      <c r="AK846" s="3"/>
      <c r="AL846" s="3"/>
    </row>
    <row r="847" spans="1:38" ht="15.75" customHeight="1" x14ac:dyDescent="0.2">
      <c r="A847" s="118"/>
      <c r="B847" s="118"/>
      <c r="C847" s="118"/>
      <c r="D847" s="118"/>
      <c r="E847" s="118"/>
      <c r="F847" s="118"/>
      <c r="G847" s="118"/>
      <c r="H847" s="118"/>
      <c r="I847" s="118"/>
      <c r="J847" s="118"/>
      <c r="K847" s="118"/>
      <c r="L847" s="118"/>
      <c r="M847" s="118"/>
      <c r="N847" s="42"/>
      <c r="O847" s="42"/>
      <c r="P847" s="42"/>
      <c r="Q847" s="42"/>
      <c r="R847" s="42"/>
      <c r="S847" s="3"/>
      <c r="T847" s="3"/>
      <c r="U847" s="3"/>
      <c r="V847" s="3"/>
      <c r="W847" s="3"/>
      <c r="X847" s="3"/>
      <c r="Y847" s="3"/>
      <c r="Z847" s="3"/>
      <c r="AA847" s="3"/>
      <c r="AB847" s="3"/>
      <c r="AC847" s="3"/>
      <c r="AD847" s="3"/>
      <c r="AE847" s="3"/>
      <c r="AF847" s="3"/>
      <c r="AG847" s="3"/>
      <c r="AH847" s="3"/>
      <c r="AI847" s="3"/>
      <c r="AJ847" s="3"/>
      <c r="AK847" s="3"/>
      <c r="AL847" s="3"/>
    </row>
    <row r="848" spans="1:38" ht="15.75" customHeight="1" x14ac:dyDescent="0.2">
      <c r="A848" s="118"/>
      <c r="B848" s="118"/>
      <c r="C848" s="118"/>
      <c r="D848" s="118"/>
      <c r="E848" s="118"/>
      <c r="F848" s="118"/>
      <c r="G848" s="118"/>
      <c r="H848" s="118"/>
      <c r="I848" s="118"/>
      <c r="J848" s="118"/>
      <c r="K848" s="118"/>
      <c r="L848" s="118"/>
      <c r="M848" s="118"/>
      <c r="N848" s="42"/>
      <c r="O848" s="42"/>
      <c r="P848" s="42"/>
      <c r="Q848" s="42"/>
      <c r="R848" s="42"/>
      <c r="S848" s="3"/>
      <c r="T848" s="3"/>
      <c r="U848" s="3"/>
      <c r="V848" s="3"/>
      <c r="W848" s="3"/>
      <c r="X848" s="3"/>
      <c r="Y848" s="3"/>
      <c r="Z848" s="3"/>
      <c r="AA848" s="3"/>
      <c r="AB848" s="3"/>
      <c r="AC848" s="3"/>
      <c r="AD848" s="3"/>
      <c r="AE848" s="3"/>
      <c r="AF848" s="3"/>
      <c r="AG848" s="3"/>
      <c r="AH848" s="3"/>
      <c r="AI848" s="3"/>
      <c r="AJ848" s="3"/>
      <c r="AK848" s="3"/>
      <c r="AL848" s="3"/>
    </row>
    <row r="849" spans="1:38" ht="15.75" customHeight="1" x14ac:dyDescent="0.2">
      <c r="A849" s="118"/>
      <c r="B849" s="118"/>
      <c r="C849" s="118"/>
      <c r="D849" s="118"/>
      <c r="E849" s="118"/>
      <c r="F849" s="118"/>
      <c r="G849" s="118"/>
      <c r="H849" s="118"/>
      <c r="I849" s="118"/>
      <c r="J849" s="118"/>
      <c r="K849" s="118"/>
      <c r="L849" s="118"/>
      <c r="M849" s="118"/>
      <c r="N849" s="42"/>
      <c r="O849" s="42"/>
      <c r="P849" s="42"/>
      <c r="Q849" s="42"/>
      <c r="R849" s="42"/>
      <c r="S849" s="3"/>
      <c r="T849" s="3"/>
      <c r="U849" s="3"/>
      <c r="V849" s="3"/>
      <c r="W849" s="3"/>
      <c r="X849" s="3"/>
      <c r="Y849" s="3"/>
      <c r="Z849" s="3"/>
      <c r="AA849" s="3"/>
      <c r="AB849" s="3"/>
      <c r="AC849" s="3"/>
      <c r="AD849" s="3"/>
      <c r="AE849" s="3"/>
      <c r="AF849" s="3"/>
      <c r="AG849" s="3"/>
      <c r="AH849" s="3"/>
      <c r="AI849" s="3"/>
      <c r="AJ849" s="3"/>
      <c r="AK849" s="3"/>
      <c r="AL849" s="3"/>
    </row>
    <row r="850" spans="1:38" ht="15.75" customHeight="1" x14ac:dyDescent="0.2">
      <c r="A850" s="118"/>
      <c r="B850" s="118"/>
      <c r="C850" s="118"/>
      <c r="D850" s="118"/>
      <c r="E850" s="118"/>
      <c r="F850" s="118"/>
      <c r="G850" s="118"/>
      <c r="H850" s="118"/>
      <c r="I850" s="118"/>
      <c r="J850" s="118"/>
      <c r="K850" s="118"/>
      <c r="L850" s="118"/>
      <c r="M850" s="118"/>
      <c r="N850" s="42"/>
      <c r="O850" s="42"/>
      <c r="P850" s="42"/>
      <c r="Q850" s="42"/>
      <c r="R850" s="42"/>
      <c r="S850" s="3"/>
      <c r="T850" s="3"/>
      <c r="U850" s="3"/>
      <c r="V850" s="3"/>
      <c r="W850" s="3"/>
      <c r="X850" s="3"/>
      <c r="Y850" s="3"/>
      <c r="Z850" s="3"/>
      <c r="AA850" s="3"/>
      <c r="AB850" s="3"/>
      <c r="AC850" s="3"/>
      <c r="AD850" s="3"/>
      <c r="AE850" s="3"/>
      <c r="AF850" s="3"/>
      <c r="AG850" s="3"/>
      <c r="AH850" s="3"/>
      <c r="AI850" s="3"/>
      <c r="AJ850" s="3"/>
      <c r="AK850" s="3"/>
      <c r="AL850" s="3"/>
    </row>
    <row r="851" spans="1:38" ht="15.75" customHeight="1" x14ac:dyDescent="0.2">
      <c r="A851" s="118"/>
      <c r="B851" s="118"/>
      <c r="C851" s="118"/>
      <c r="D851" s="118"/>
      <c r="E851" s="118"/>
      <c r="F851" s="118"/>
      <c r="G851" s="118"/>
      <c r="H851" s="118"/>
      <c r="I851" s="118"/>
      <c r="J851" s="118"/>
      <c r="K851" s="118"/>
      <c r="L851" s="118"/>
      <c r="M851" s="118"/>
      <c r="N851" s="42"/>
      <c r="O851" s="42"/>
      <c r="P851" s="42"/>
      <c r="Q851" s="42"/>
      <c r="R851" s="42"/>
      <c r="S851" s="3"/>
      <c r="T851" s="3"/>
      <c r="U851" s="3"/>
      <c r="V851" s="3"/>
      <c r="W851" s="3"/>
      <c r="X851" s="3"/>
      <c r="Y851" s="3"/>
      <c r="Z851" s="3"/>
      <c r="AA851" s="3"/>
      <c r="AB851" s="3"/>
      <c r="AC851" s="3"/>
      <c r="AD851" s="3"/>
      <c r="AE851" s="3"/>
      <c r="AF851" s="3"/>
      <c r="AG851" s="3"/>
      <c r="AH851" s="3"/>
      <c r="AI851" s="3"/>
      <c r="AJ851" s="3"/>
      <c r="AK851" s="3"/>
      <c r="AL851" s="3"/>
    </row>
    <row r="852" spans="1:38" ht="15.75" customHeight="1" x14ac:dyDescent="0.2">
      <c r="A852" s="118"/>
      <c r="B852" s="118"/>
      <c r="C852" s="118"/>
      <c r="D852" s="118"/>
      <c r="E852" s="118"/>
      <c r="F852" s="118"/>
      <c r="G852" s="118"/>
      <c r="H852" s="118"/>
      <c r="I852" s="118"/>
      <c r="J852" s="118"/>
      <c r="K852" s="118"/>
      <c r="L852" s="118"/>
      <c r="M852" s="118"/>
      <c r="N852" s="42"/>
      <c r="O852" s="42"/>
      <c r="P852" s="42"/>
      <c r="Q852" s="42"/>
      <c r="R852" s="42"/>
      <c r="S852" s="3"/>
      <c r="T852" s="3"/>
      <c r="U852" s="3"/>
      <c r="V852" s="3"/>
      <c r="W852" s="3"/>
      <c r="X852" s="3"/>
      <c r="Y852" s="3"/>
      <c r="Z852" s="3"/>
      <c r="AA852" s="3"/>
      <c r="AB852" s="3"/>
      <c r="AC852" s="3"/>
      <c r="AD852" s="3"/>
      <c r="AE852" s="3"/>
      <c r="AF852" s="3"/>
      <c r="AG852" s="3"/>
      <c r="AH852" s="3"/>
      <c r="AI852" s="3"/>
      <c r="AJ852" s="3"/>
      <c r="AK852" s="3"/>
      <c r="AL852" s="3"/>
    </row>
    <row r="853" spans="1:38" ht="15.75" customHeight="1" x14ac:dyDescent="0.2">
      <c r="A853" s="118"/>
      <c r="B853" s="118"/>
      <c r="C853" s="118"/>
      <c r="D853" s="118"/>
      <c r="E853" s="118"/>
      <c r="F853" s="118"/>
      <c r="G853" s="118"/>
      <c r="H853" s="118"/>
      <c r="I853" s="118"/>
      <c r="J853" s="118"/>
      <c r="K853" s="118"/>
      <c r="L853" s="118"/>
      <c r="M853" s="118"/>
      <c r="N853" s="42"/>
      <c r="O853" s="42"/>
      <c r="P853" s="42"/>
      <c r="Q853" s="42"/>
      <c r="R853" s="42"/>
      <c r="S853" s="3"/>
      <c r="T853" s="3"/>
      <c r="U853" s="3"/>
      <c r="V853" s="3"/>
      <c r="W853" s="3"/>
      <c r="X853" s="3"/>
      <c r="Y853" s="3"/>
      <c r="Z853" s="3"/>
      <c r="AA853" s="3"/>
      <c r="AB853" s="3"/>
      <c r="AC853" s="3"/>
      <c r="AD853" s="3"/>
      <c r="AE853" s="3"/>
      <c r="AF853" s="3"/>
      <c r="AG853" s="3"/>
      <c r="AH853" s="3"/>
      <c r="AI853" s="3"/>
      <c r="AJ853" s="3"/>
      <c r="AK853" s="3"/>
      <c r="AL853" s="3"/>
    </row>
    <row r="854" spans="1:38" ht="15.75" customHeight="1" x14ac:dyDescent="0.2">
      <c r="A854" s="118"/>
      <c r="B854" s="118"/>
      <c r="C854" s="118"/>
      <c r="D854" s="118"/>
      <c r="E854" s="118"/>
      <c r="F854" s="118"/>
      <c r="G854" s="118"/>
      <c r="H854" s="118"/>
      <c r="I854" s="118"/>
      <c r="J854" s="118"/>
      <c r="K854" s="118"/>
      <c r="L854" s="118"/>
      <c r="M854" s="118"/>
      <c r="N854" s="42"/>
      <c r="O854" s="42"/>
      <c r="P854" s="42"/>
      <c r="Q854" s="42"/>
      <c r="R854" s="42"/>
      <c r="S854" s="3"/>
      <c r="T854" s="3"/>
      <c r="U854" s="3"/>
      <c r="V854" s="3"/>
      <c r="W854" s="3"/>
      <c r="X854" s="3"/>
      <c r="Y854" s="3"/>
      <c r="Z854" s="3"/>
      <c r="AA854" s="3"/>
      <c r="AB854" s="3"/>
      <c r="AC854" s="3"/>
      <c r="AD854" s="3"/>
      <c r="AE854" s="3"/>
      <c r="AF854" s="3"/>
      <c r="AG854" s="3"/>
      <c r="AH854" s="3"/>
      <c r="AI854" s="3"/>
      <c r="AJ854" s="3"/>
      <c r="AK854" s="3"/>
      <c r="AL854" s="3"/>
    </row>
    <row r="855" spans="1:38" ht="15.75" customHeight="1" x14ac:dyDescent="0.2">
      <c r="A855" s="118"/>
      <c r="B855" s="118"/>
      <c r="C855" s="118"/>
      <c r="D855" s="118"/>
      <c r="E855" s="118"/>
      <c r="F855" s="118"/>
      <c r="G855" s="118"/>
      <c r="H855" s="118"/>
      <c r="I855" s="118"/>
      <c r="J855" s="118"/>
      <c r="K855" s="118"/>
      <c r="L855" s="118"/>
      <c r="M855" s="118"/>
      <c r="N855" s="42"/>
      <c r="O855" s="42"/>
      <c r="P855" s="42"/>
      <c r="Q855" s="42"/>
      <c r="R855" s="42"/>
      <c r="S855" s="3"/>
      <c r="T855" s="3"/>
      <c r="U855" s="3"/>
      <c r="V855" s="3"/>
      <c r="W855" s="3"/>
      <c r="X855" s="3"/>
      <c r="Y855" s="3"/>
      <c r="Z855" s="3"/>
      <c r="AA855" s="3"/>
      <c r="AB855" s="3"/>
      <c r="AC855" s="3"/>
      <c r="AD855" s="3"/>
      <c r="AE855" s="3"/>
      <c r="AF855" s="3"/>
      <c r="AG855" s="3"/>
      <c r="AH855" s="3"/>
      <c r="AI855" s="3"/>
      <c r="AJ855" s="3"/>
      <c r="AK855" s="3"/>
      <c r="AL855" s="3"/>
    </row>
    <row r="856" spans="1:38" ht="15.75" customHeight="1" x14ac:dyDescent="0.2">
      <c r="A856" s="118"/>
      <c r="B856" s="118"/>
      <c r="C856" s="118"/>
      <c r="D856" s="118"/>
      <c r="E856" s="118"/>
      <c r="F856" s="118"/>
      <c r="G856" s="118"/>
      <c r="H856" s="118"/>
      <c r="I856" s="118"/>
      <c r="J856" s="118"/>
      <c r="K856" s="118"/>
      <c r="L856" s="118"/>
      <c r="M856" s="118"/>
      <c r="N856" s="42"/>
      <c r="O856" s="42"/>
      <c r="P856" s="42"/>
      <c r="Q856" s="42"/>
      <c r="R856" s="42"/>
      <c r="S856" s="3"/>
      <c r="T856" s="3"/>
      <c r="U856" s="3"/>
      <c r="V856" s="3"/>
      <c r="W856" s="3"/>
      <c r="X856" s="3"/>
      <c r="Y856" s="3"/>
      <c r="Z856" s="3"/>
      <c r="AA856" s="3"/>
      <c r="AB856" s="3"/>
      <c r="AC856" s="3"/>
      <c r="AD856" s="3"/>
      <c r="AE856" s="3"/>
      <c r="AF856" s="3"/>
      <c r="AG856" s="3"/>
      <c r="AH856" s="3"/>
      <c r="AI856" s="3"/>
      <c r="AJ856" s="3"/>
      <c r="AK856" s="3"/>
      <c r="AL856" s="3"/>
    </row>
    <row r="857" spans="1:38" ht="15.75" customHeight="1" x14ac:dyDescent="0.2">
      <c r="A857" s="118"/>
      <c r="B857" s="118"/>
      <c r="C857" s="118"/>
      <c r="D857" s="118"/>
      <c r="E857" s="118"/>
      <c r="F857" s="118"/>
      <c r="G857" s="118"/>
      <c r="H857" s="118"/>
      <c r="I857" s="118"/>
      <c r="J857" s="118"/>
      <c r="K857" s="118"/>
      <c r="L857" s="118"/>
      <c r="M857" s="118"/>
      <c r="N857" s="42"/>
      <c r="O857" s="42"/>
      <c r="P857" s="42"/>
      <c r="Q857" s="42"/>
      <c r="R857" s="42"/>
      <c r="S857" s="3"/>
      <c r="T857" s="3"/>
      <c r="U857" s="3"/>
      <c r="V857" s="3"/>
      <c r="W857" s="3"/>
      <c r="X857" s="3"/>
      <c r="Y857" s="3"/>
      <c r="Z857" s="3"/>
      <c r="AA857" s="3"/>
      <c r="AB857" s="3"/>
      <c r="AC857" s="3"/>
      <c r="AD857" s="3"/>
      <c r="AE857" s="3"/>
      <c r="AF857" s="3"/>
      <c r="AG857" s="3"/>
      <c r="AH857" s="3"/>
      <c r="AI857" s="3"/>
      <c r="AJ857" s="3"/>
      <c r="AK857" s="3"/>
      <c r="AL857" s="3"/>
    </row>
    <row r="858" spans="1:38" ht="15.75" customHeight="1" x14ac:dyDescent="0.2">
      <c r="A858" s="118"/>
      <c r="B858" s="118"/>
      <c r="C858" s="118"/>
      <c r="D858" s="118"/>
      <c r="E858" s="118"/>
      <c r="F858" s="118"/>
      <c r="G858" s="118"/>
      <c r="H858" s="118"/>
      <c r="I858" s="118"/>
      <c r="J858" s="118"/>
      <c r="K858" s="118"/>
      <c r="L858" s="118"/>
      <c r="M858" s="118"/>
      <c r="N858" s="42"/>
      <c r="O858" s="42"/>
      <c r="P858" s="42"/>
      <c r="Q858" s="42"/>
      <c r="R858" s="42"/>
      <c r="S858" s="3"/>
      <c r="T858" s="3"/>
      <c r="U858" s="3"/>
      <c r="V858" s="3"/>
      <c r="W858" s="3"/>
      <c r="X858" s="3"/>
      <c r="Y858" s="3"/>
      <c r="Z858" s="3"/>
      <c r="AA858" s="3"/>
      <c r="AB858" s="3"/>
      <c r="AC858" s="3"/>
      <c r="AD858" s="3"/>
      <c r="AE858" s="3"/>
      <c r="AF858" s="3"/>
      <c r="AG858" s="3"/>
      <c r="AH858" s="3"/>
      <c r="AI858" s="3"/>
      <c r="AJ858" s="3"/>
      <c r="AK858" s="3"/>
      <c r="AL858" s="3"/>
    </row>
    <row r="859" spans="1:38" ht="15.75" customHeight="1" x14ac:dyDescent="0.2">
      <c r="A859" s="118"/>
      <c r="B859" s="118"/>
      <c r="C859" s="118"/>
      <c r="D859" s="118"/>
      <c r="E859" s="118"/>
      <c r="F859" s="118"/>
      <c r="G859" s="118"/>
      <c r="H859" s="118"/>
      <c r="I859" s="118"/>
      <c r="J859" s="118"/>
      <c r="K859" s="118"/>
      <c r="L859" s="118"/>
      <c r="M859" s="118"/>
      <c r="N859" s="42"/>
      <c r="O859" s="42"/>
      <c r="P859" s="42"/>
      <c r="Q859" s="42"/>
      <c r="R859" s="42"/>
      <c r="S859" s="3"/>
      <c r="T859" s="3"/>
      <c r="U859" s="3"/>
      <c r="V859" s="3"/>
      <c r="W859" s="3"/>
      <c r="X859" s="3"/>
      <c r="Y859" s="3"/>
      <c r="Z859" s="3"/>
      <c r="AA859" s="3"/>
      <c r="AB859" s="3"/>
      <c r="AC859" s="3"/>
      <c r="AD859" s="3"/>
      <c r="AE859" s="3"/>
      <c r="AF859" s="3"/>
      <c r="AG859" s="3"/>
      <c r="AH859" s="3"/>
      <c r="AI859" s="3"/>
      <c r="AJ859" s="3"/>
      <c r="AK859" s="3"/>
      <c r="AL859" s="3"/>
    </row>
    <row r="860" spans="1:38" ht="15.75" customHeight="1" x14ac:dyDescent="0.2">
      <c r="A860" s="118"/>
      <c r="B860" s="118"/>
      <c r="C860" s="118"/>
      <c r="D860" s="118"/>
      <c r="E860" s="118"/>
      <c r="F860" s="118"/>
      <c r="G860" s="118"/>
      <c r="H860" s="118"/>
      <c r="I860" s="118"/>
      <c r="J860" s="118"/>
      <c r="K860" s="118"/>
      <c r="L860" s="118"/>
      <c r="M860" s="118"/>
      <c r="N860" s="42"/>
      <c r="O860" s="42"/>
      <c r="P860" s="42"/>
      <c r="Q860" s="42"/>
      <c r="R860" s="42"/>
      <c r="S860" s="3"/>
      <c r="T860" s="3"/>
      <c r="U860" s="3"/>
      <c r="V860" s="3"/>
      <c r="W860" s="3"/>
      <c r="X860" s="3"/>
      <c r="Y860" s="3"/>
      <c r="Z860" s="3"/>
      <c r="AA860" s="3"/>
      <c r="AB860" s="3"/>
      <c r="AC860" s="3"/>
      <c r="AD860" s="3"/>
      <c r="AE860" s="3"/>
      <c r="AF860" s="3"/>
      <c r="AG860" s="3"/>
      <c r="AH860" s="3"/>
      <c r="AI860" s="3"/>
      <c r="AJ860" s="3"/>
      <c r="AK860" s="3"/>
      <c r="AL860" s="3"/>
    </row>
    <row r="861" spans="1:38" ht="15.75" customHeight="1" x14ac:dyDescent="0.2">
      <c r="A861" s="118"/>
      <c r="B861" s="118"/>
      <c r="C861" s="118"/>
      <c r="D861" s="118"/>
      <c r="E861" s="118"/>
      <c r="F861" s="118"/>
      <c r="G861" s="118"/>
      <c r="H861" s="118"/>
      <c r="I861" s="118"/>
      <c r="J861" s="118"/>
      <c r="K861" s="118"/>
      <c r="L861" s="118"/>
      <c r="M861" s="118"/>
      <c r="N861" s="42"/>
      <c r="O861" s="42"/>
      <c r="P861" s="42"/>
      <c r="Q861" s="42"/>
      <c r="R861" s="42"/>
      <c r="S861" s="3"/>
      <c r="T861" s="3"/>
      <c r="U861" s="3"/>
      <c r="V861" s="3"/>
      <c r="W861" s="3"/>
      <c r="X861" s="3"/>
      <c r="Y861" s="3"/>
      <c r="Z861" s="3"/>
      <c r="AA861" s="3"/>
      <c r="AB861" s="3"/>
      <c r="AC861" s="3"/>
      <c r="AD861" s="3"/>
      <c r="AE861" s="3"/>
      <c r="AF861" s="3"/>
      <c r="AG861" s="3"/>
      <c r="AH861" s="3"/>
      <c r="AI861" s="3"/>
      <c r="AJ861" s="3"/>
      <c r="AK861" s="3"/>
      <c r="AL861" s="3"/>
    </row>
    <row r="862" spans="1:38" ht="15.75" customHeight="1" x14ac:dyDescent="0.2">
      <c r="A862" s="118"/>
      <c r="B862" s="118"/>
      <c r="C862" s="118"/>
      <c r="D862" s="118"/>
      <c r="E862" s="118"/>
      <c r="F862" s="118"/>
      <c r="G862" s="118"/>
      <c r="H862" s="118"/>
      <c r="I862" s="118"/>
      <c r="J862" s="118"/>
      <c r="K862" s="118"/>
      <c r="L862" s="118"/>
      <c r="M862" s="118"/>
      <c r="N862" s="42"/>
      <c r="O862" s="42"/>
      <c r="P862" s="42"/>
      <c r="Q862" s="42"/>
      <c r="R862" s="42"/>
      <c r="S862" s="3"/>
      <c r="T862" s="3"/>
      <c r="U862" s="3"/>
      <c r="V862" s="3"/>
      <c r="W862" s="3"/>
      <c r="X862" s="3"/>
      <c r="Y862" s="3"/>
      <c r="Z862" s="3"/>
      <c r="AA862" s="3"/>
      <c r="AB862" s="3"/>
      <c r="AC862" s="3"/>
      <c r="AD862" s="3"/>
      <c r="AE862" s="3"/>
      <c r="AF862" s="3"/>
      <c r="AG862" s="3"/>
      <c r="AH862" s="3"/>
      <c r="AI862" s="3"/>
      <c r="AJ862" s="3"/>
      <c r="AK862" s="3"/>
      <c r="AL862" s="3"/>
    </row>
    <row r="863" spans="1:38" ht="15.75" customHeight="1" x14ac:dyDescent="0.2">
      <c r="A863" s="118"/>
      <c r="B863" s="118"/>
      <c r="C863" s="118"/>
      <c r="D863" s="118"/>
      <c r="E863" s="118"/>
      <c r="F863" s="118"/>
      <c r="G863" s="118"/>
      <c r="H863" s="118"/>
      <c r="I863" s="118"/>
      <c r="J863" s="118"/>
      <c r="K863" s="118"/>
      <c r="L863" s="118"/>
      <c r="M863" s="118"/>
      <c r="N863" s="42"/>
      <c r="O863" s="42"/>
      <c r="P863" s="42"/>
      <c r="Q863" s="42"/>
      <c r="R863" s="42"/>
      <c r="S863" s="3"/>
      <c r="T863" s="3"/>
      <c r="U863" s="3"/>
      <c r="V863" s="3"/>
      <c r="W863" s="3"/>
      <c r="X863" s="3"/>
      <c r="Y863" s="3"/>
      <c r="Z863" s="3"/>
      <c r="AA863" s="3"/>
      <c r="AB863" s="3"/>
      <c r="AC863" s="3"/>
      <c r="AD863" s="3"/>
      <c r="AE863" s="3"/>
      <c r="AF863" s="3"/>
      <c r="AG863" s="3"/>
      <c r="AH863" s="3"/>
      <c r="AI863" s="3"/>
      <c r="AJ863" s="3"/>
      <c r="AK863" s="3"/>
      <c r="AL863" s="3"/>
    </row>
    <row r="864" spans="1:38" ht="15.75" customHeight="1" x14ac:dyDescent="0.2">
      <c r="A864" s="118"/>
      <c r="B864" s="118"/>
      <c r="C864" s="118"/>
      <c r="D864" s="118"/>
      <c r="E864" s="118"/>
      <c r="F864" s="118"/>
      <c r="G864" s="118"/>
      <c r="H864" s="118"/>
      <c r="I864" s="118"/>
      <c r="J864" s="118"/>
      <c r="K864" s="118"/>
      <c r="L864" s="118"/>
      <c r="M864" s="118"/>
      <c r="N864" s="42"/>
      <c r="O864" s="42"/>
      <c r="P864" s="42"/>
      <c r="Q864" s="42"/>
      <c r="R864" s="42"/>
      <c r="S864" s="3"/>
      <c r="T864" s="3"/>
      <c r="U864" s="3"/>
      <c r="V864" s="3"/>
      <c r="W864" s="3"/>
      <c r="X864" s="3"/>
      <c r="Y864" s="3"/>
      <c r="Z864" s="3"/>
      <c r="AA864" s="3"/>
      <c r="AB864" s="3"/>
      <c r="AC864" s="3"/>
      <c r="AD864" s="3"/>
      <c r="AE864" s="3"/>
      <c r="AF864" s="3"/>
      <c r="AG864" s="3"/>
      <c r="AH864" s="3"/>
      <c r="AI864" s="3"/>
      <c r="AJ864" s="3"/>
      <c r="AK864" s="3"/>
      <c r="AL864" s="3"/>
    </row>
    <row r="865" spans="1:38" ht="15.75" customHeight="1" x14ac:dyDescent="0.2">
      <c r="A865" s="118"/>
      <c r="B865" s="118"/>
      <c r="C865" s="118"/>
      <c r="D865" s="118"/>
      <c r="E865" s="118"/>
      <c r="F865" s="118"/>
      <c r="G865" s="118"/>
      <c r="H865" s="118"/>
      <c r="I865" s="118"/>
      <c r="J865" s="118"/>
      <c r="K865" s="118"/>
      <c r="L865" s="118"/>
      <c r="M865" s="118"/>
      <c r="N865" s="42"/>
      <c r="O865" s="42"/>
      <c r="P865" s="42"/>
      <c r="Q865" s="42"/>
      <c r="R865" s="42"/>
      <c r="S865" s="3"/>
      <c r="T865" s="3"/>
      <c r="U865" s="3"/>
      <c r="V865" s="3"/>
      <c r="W865" s="3"/>
      <c r="X865" s="3"/>
      <c r="Y865" s="3"/>
      <c r="Z865" s="3"/>
      <c r="AA865" s="3"/>
      <c r="AB865" s="3"/>
      <c r="AC865" s="3"/>
      <c r="AD865" s="3"/>
      <c r="AE865" s="3"/>
      <c r="AF865" s="3"/>
      <c r="AG865" s="3"/>
      <c r="AH865" s="3"/>
      <c r="AI865" s="3"/>
      <c r="AJ865" s="3"/>
      <c r="AK865" s="3"/>
      <c r="AL865" s="3"/>
    </row>
    <row r="866" spans="1:38" ht="15.75" customHeight="1" x14ac:dyDescent="0.2">
      <c r="A866" s="118"/>
      <c r="B866" s="118"/>
      <c r="C866" s="118"/>
      <c r="D866" s="118"/>
      <c r="E866" s="118"/>
      <c r="F866" s="118"/>
      <c r="G866" s="118"/>
      <c r="H866" s="118"/>
      <c r="I866" s="118"/>
      <c r="J866" s="118"/>
      <c r="K866" s="118"/>
      <c r="L866" s="118"/>
      <c r="M866" s="118"/>
      <c r="N866" s="42"/>
      <c r="O866" s="42"/>
      <c r="P866" s="42"/>
      <c r="Q866" s="42"/>
      <c r="R866" s="42"/>
      <c r="S866" s="3"/>
      <c r="T866" s="3"/>
      <c r="U866" s="3"/>
      <c r="V866" s="3"/>
      <c r="W866" s="3"/>
      <c r="X866" s="3"/>
      <c r="Y866" s="3"/>
      <c r="Z866" s="3"/>
      <c r="AA866" s="3"/>
      <c r="AB866" s="3"/>
      <c r="AC866" s="3"/>
      <c r="AD866" s="3"/>
      <c r="AE866" s="3"/>
      <c r="AF866" s="3"/>
      <c r="AG866" s="3"/>
      <c r="AH866" s="3"/>
      <c r="AI866" s="3"/>
      <c r="AJ866" s="3"/>
      <c r="AK866" s="3"/>
      <c r="AL866" s="3"/>
    </row>
    <row r="867" spans="1:38" ht="15.75" customHeight="1" x14ac:dyDescent="0.2">
      <c r="A867" s="118"/>
      <c r="B867" s="118"/>
      <c r="C867" s="118"/>
      <c r="D867" s="118"/>
      <c r="E867" s="118"/>
      <c r="F867" s="118"/>
      <c r="G867" s="118"/>
      <c r="H867" s="118"/>
      <c r="I867" s="118"/>
      <c r="J867" s="118"/>
      <c r="K867" s="118"/>
      <c r="L867" s="118"/>
      <c r="M867" s="118"/>
      <c r="N867" s="42"/>
      <c r="O867" s="42"/>
      <c r="P867" s="42"/>
      <c r="Q867" s="42"/>
      <c r="R867" s="42"/>
      <c r="S867" s="3"/>
      <c r="T867" s="3"/>
      <c r="U867" s="3"/>
      <c r="V867" s="3"/>
      <c r="W867" s="3"/>
      <c r="X867" s="3"/>
      <c r="Y867" s="3"/>
      <c r="Z867" s="3"/>
      <c r="AA867" s="3"/>
      <c r="AB867" s="3"/>
      <c r="AC867" s="3"/>
      <c r="AD867" s="3"/>
      <c r="AE867" s="3"/>
      <c r="AF867" s="3"/>
      <c r="AG867" s="3"/>
      <c r="AH867" s="3"/>
      <c r="AI867" s="3"/>
      <c r="AJ867" s="3"/>
      <c r="AK867" s="3"/>
      <c r="AL867" s="3"/>
    </row>
    <row r="868" spans="1:38" ht="15.75" customHeight="1" x14ac:dyDescent="0.2">
      <c r="A868" s="118"/>
      <c r="B868" s="118"/>
      <c r="C868" s="118"/>
      <c r="D868" s="118"/>
      <c r="E868" s="118"/>
      <c r="F868" s="118"/>
      <c r="G868" s="118"/>
      <c r="H868" s="118"/>
      <c r="I868" s="118"/>
      <c r="J868" s="118"/>
      <c r="K868" s="118"/>
      <c r="L868" s="118"/>
      <c r="M868" s="118"/>
      <c r="N868" s="42"/>
      <c r="O868" s="42"/>
      <c r="P868" s="42"/>
      <c r="Q868" s="42"/>
      <c r="R868" s="42"/>
      <c r="S868" s="3"/>
      <c r="T868" s="3"/>
      <c r="U868" s="3"/>
      <c r="V868" s="3"/>
      <c r="W868" s="3"/>
      <c r="X868" s="3"/>
      <c r="Y868" s="3"/>
      <c r="Z868" s="3"/>
      <c r="AA868" s="3"/>
      <c r="AB868" s="3"/>
      <c r="AC868" s="3"/>
      <c r="AD868" s="3"/>
      <c r="AE868" s="3"/>
      <c r="AF868" s="3"/>
      <c r="AG868" s="3"/>
      <c r="AH868" s="3"/>
      <c r="AI868" s="3"/>
      <c r="AJ868" s="3"/>
      <c r="AK868" s="3"/>
      <c r="AL868" s="3"/>
    </row>
    <row r="869" spans="1:38" ht="15.75" customHeight="1" x14ac:dyDescent="0.2">
      <c r="A869" s="118"/>
      <c r="B869" s="118"/>
      <c r="C869" s="118"/>
      <c r="D869" s="118"/>
      <c r="E869" s="118"/>
      <c r="F869" s="118"/>
      <c r="G869" s="118"/>
      <c r="H869" s="118"/>
      <c r="I869" s="118"/>
      <c r="J869" s="118"/>
      <c r="K869" s="118"/>
      <c r="L869" s="118"/>
      <c r="M869" s="118"/>
      <c r="N869" s="42"/>
      <c r="O869" s="42"/>
      <c r="P869" s="42"/>
      <c r="Q869" s="42"/>
      <c r="R869" s="42"/>
      <c r="S869" s="3"/>
      <c r="T869" s="3"/>
      <c r="U869" s="3"/>
      <c r="V869" s="3"/>
      <c r="W869" s="3"/>
      <c r="X869" s="3"/>
      <c r="Y869" s="3"/>
      <c r="Z869" s="3"/>
      <c r="AA869" s="3"/>
      <c r="AB869" s="3"/>
      <c r="AC869" s="3"/>
      <c r="AD869" s="3"/>
      <c r="AE869" s="3"/>
      <c r="AF869" s="3"/>
      <c r="AG869" s="3"/>
      <c r="AH869" s="3"/>
      <c r="AI869" s="3"/>
      <c r="AJ869" s="3"/>
      <c r="AK869" s="3"/>
      <c r="AL869" s="3"/>
    </row>
    <row r="870" spans="1:38" ht="15.75" customHeight="1" x14ac:dyDescent="0.2">
      <c r="A870" s="118"/>
      <c r="B870" s="118"/>
      <c r="C870" s="118"/>
      <c r="D870" s="118"/>
      <c r="E870" s="118"/>
      <c r="F870" s="118"/>
      <c r="G870" s="118"/>
      <c r="H870" s="118"/>
      <c r="I870" s="118"/>
      <c r="J870" s="118"/>
      <c r="K870" s="118"/>
      <c r="L870" s="118"/>
      <c r="M870" s="118"/>
      <c r="N870" s="42"/>
      <c r="O870" s="42"/>
      <c r="P870" s="42"/>
      <c r="Q870" s="42"/>
      <c r="R870" s="42"/>
      <c r="S870" s="3"/>
      <c r="T870" s="3"/>
      <c r="U870" s="3"/>
      <c r="V870" s="3"/>
      <c r="W870" s="3"/>
      <c r="X870" s="3"/>
      <c r="Y870" s="3"/>
      <c r="Z870" s="3"/>
      <c r="AA870" s="3"/>
      <c r="AB870" s="3"/>
      <c r="AC870" s="3"/>
      <c r="AD870" s="3"/>
      <c r="AE870" s="3"/>
      <c r="AF870" s="3"/>
      <c r="AG870" s="3"/>
      <c r="AH870" s="3"/>
      <c r="AI870" s="3"/>
      <c r="AJ870" s="3"/>
      <c r="AK870" s="3"/>
      <c r="AL870" s="3"/>
    </row>
    <row r="871" spans="1:38" ht="15.75" customHeight="1" x14ac:dyDescent="0.2">
      <c r="A871" s="118"/>
      <c r="B871" s="118"/>
      <c r="C871" s="118"/>
      <c r="D871" s="118"/>
      <c r="E871" s="118"/>
      <c r="F871" s="118"/>
      <c r="G871" s="118"/>
      <c r="H871" s="118"/>
      <c r="I871" s="118"/>
      <c r="J871" s="118"/>
      <c r="K871" s="118"/>
      <c r="L871" s="118"/>
      <c r="M871" s="118"/>
      <c r="N871" s="42"/>
      <c r="O871" s="42"/>
      <c r="P871" s="42"/>
      <c r="Q871" s="42"/>
      <c r="R871" s="42"/>
      <c r="S871" s="3"/>
      <c r="T871" s="3"/>
      <c r="U871" s="3"/>
      <c r="V871" s="3"/>
      <c r="W871" s="3"/>
      <c r="X871" s="3"/>
      <c r="Y871" s="3"/>
      <c r="Z871" s="3"/>
      <c r="AA871" s="3"/>
      <c r="AB871" s="3"/>
      <c r="AC871" s="3"/>
      <c r="AD871" s="3"/>
      <c r="AE871" s="3"/>
      <c r="AF871" s="3"/>
      <c r="AG871" s="3"/>
      <c r="AH871" s="3"/>
      <c r="AI871" s="3"/>
      <c r="AJ871" s="3"/>
      <c r="AK871" s="3"/>
      <c r="AL871" s="3"/>
    </row>
    <row r="872" spans="1:38" ht="15.75" customHeight="1" x14ac:dyDescent="0.2">
      <c r="A872" s="118"/>
      <c r="B872" s="118"/>
      <c r="C872" s="118"/>
      <c r="D872" s="118"/>
      <c r="E872" s="118"/>
      <c r="F872" s="118"/>
      <c r="G872" s="118"/>
      <c r="H872" s="118"/>
      <c r="I872" s="118"/>
      <c r="J872" s="118"/>
      <c r="K872" s="118"/>
      <c r="L872" s="118"/>
      <c r="M872" s="118"/>
      <c r="N872" s="42"/>
      <c r="O872" s="42"/>
      <c r="P872" s="42"/>
      <c r="Q872" s="42"/>
      <c r="R872" s="42"/>
      <c r="S872" s="3"/>
      <c r="T872" s="3"/>
      <c r="U872" s="3"/>
      <c r="V872" s="3"/>
      <c r="W872" s="3"/>
      <c r="X872" s="3"/>
      <c r="Y872" s="3"/>
      <c r="Z872" s="3"/>
      <c r="AA872" s="3"/>
      <c r="AB872" s="3"/>
      <c r="AC872" s="3"/>
      <c r="AD872" s="3"/>
      <c r="AE872" s="3"/>
      <c r="AF872" s="3"/>
      <c r="AG872" s="3"/>
      <c r="AH872" s="3"/>
      <c r="AI872" s="3"/>
      <c r="AJ872" s="3"/>
      <c r="AK872" s="3"/>
      <c r="AL872" s="3"/>
    </row>
    <row r="873" spans="1:38" ht="15.75" customHeight="1" x14ac:dyDescent="0.2">
      <c r="A873" s="118"/>
      <c r="B873" s="118"/>
      <c r="C873" s="118"/>
      <c r="D873" s="118"/>
      <c r="E873" s="118"/>
      <c r="F873" s="118"/>
      <c r="G873" s="118"/>
      <c r="H873" s="118"/>
      <c r="I873" s="118"/>
      <c r="J873" s="118"/>
      <c r="K873" s="118"/>
      <c r="L873" s="118"/>
      <c r="M873" s="118"/>
      <c r="N873" s="42"/>
      <c r="O873" s="42"/>
      <c r="P873" s="42"/>
      <c r="Q873" s="42"/>
      <c r="R873" s="42"/>
      <c r="S873" s="3"/>
      <c r="T873" s="3"/>
      <c r="U873" s="3"/>
      <c r="V873" s="3"/>
      <c r="W873" s="3"/>
      <c r="X873" s="3"/>
      <c r="Y873" s="3"/>
      <c r="Z873" s="3"/>
      <c r="AA873" s="3"/>
      <c r="AB873" s="3"/>
      <c r="AC873" s="3"/>
      <c r="AD873" s="3"/>
      <c r="AE873" s="3"/>
      <c r="AF873" s="3"/>
      <c r="AG873" s="3"/>
      <c r="AH873" s="3"/>
      <c r="AI873" s="3"/>
      <c r="AJ873" s="3"/>
      <c r="AK873" s="3"/>
      <c r="AL873" s="3"/>
    </row>
    <row r="874" spans="1:38" ht="15.75" customHeight="1" x14ac:dyDescent="0.2">
      <c r="A874" s="118"/>
      <c r="B874" s="118"/>
      <c r="C874" s="118"/>
      <c r="D874" s="118"/>
      <c r="E874" s="118"/>
      <c r="F874" s="118"/>
      <c r="G874" s="118"/>
      <c r="H874" s="118"/>
      <c r="I874" s="118"/>
      <c r="J874" s="118"/>
      <c r="K874" s="118"/>
      <c r="L874" s="118"/>
      <c r="M874" s="118"/>
      <c r="N874" s="42"/>
      <c r="O874" s="42"/>
      <c r="P874" s="42"/>
      <c r="Q874" s="42"/>
      <c r="R874" s="42"/>
      <c r="S874" s="3"/>
      <c r="T874" s="3"/>
      <c r="U874" s="3"/>
      <c r="V874" s="3"/>
      <c r="W874" s="3"/>
      <c r="X874" s="3"/>
      <c r="Y874" s="3"/>
      <c r="Z874" s="3"/>
      <c r="AA874" s="3"/>
      <c r="AB874" s="3"/>
      <c r="AC874" s="3"/>
      <c r="AD874" s="3"/>
      <c r="AE874" s="3"/>
      <c r="AF874" s="3"/>
      <c r="AG874" s="3"/>
      <c r="AH874" s="3"/>
      <c r="AI874" s="3"/>
      <c r="AJ874" s="3"/>
      <c r="AK874" s="3"/>
      <c r="AL874" s="3"/>
    </row>
    <row r="875" spans="1:38" ht="15.75" customHeight="1" x14ac:dyDescent="0.2">
      <c r="A875" s="118"/>
      <c r="B875" s="118"/>
      <c r="C875" s="118"/>
      <c r="D875" s="118"/>
      <c r="E875" s="118"/>
      <c r="F875" s="118"/>
      <c r="G875" s="118"/>
      <c r="H875" s="118"/>
      <c r="I875" s="118"/>
      <c r="J875" s="118"/>
      <c r="K875" s="118"/>
      <c r="L875" s="118"/>
      <c r="M875" s="118"/>
      <c r="N875" s="42"/>
      <c r="O875" s="42"/>
      <c r="P875" s="42"/>
      <c r="Q875" s="42"/>
      <c r="R875" s="42"/>
      <c r="S875" s="3"/>
      <c r="T875" s="3"/>
      <c r="U875" s="3"/>
      <c r="V875" s="3"/>
      <c r="W875" s="3"/>
      <c r="X875" s="3"/>
      <c r="Y875" s="3"/>
      <c r="Z875" s="3"/>
      <c r="AA875" s="3"/>
      <c r="AB875" s="3"/>
      <c r="AC875" s="3"/>
      <c r="AD875" s="3"/>
      <c r="AE875" s="3"/>
      <c r="AF875" s="3"/>
      <c r="AG875" s="3"/>
      <c r="AH875" s="3"/>
      <c r="AI875" s="3"/>
      <c r="AJ875" s="3"/>
      <c r="AK875" s="3"/>
      <c r="AL875" s="3"/>
    </row>
    <row r="876" spans="1:38" ht="15.75" customHeight="1" x14ac:dyDescent="0.2">
      <c r="A876" s="118"/>
      <c r="B876" s="118"/>
      <c r="C876" s="118"/>
      <c r="D876" s="118"/>
      <c r="E876" s="118"/>
      <c r="F876" s="118"/>
      <c r="G876" s="118"/>
      <c r="H876" s="118"/>
      <c r="I876" s="118"/>
      <c r="J876" s="118"/>
      <c r="K876" s="118"/>
      <c r="L876" s="118"/>
      <c r="M876" s="118"/>
      <c r="N876" s="42"/>
      <c r="O876" s="42"/>
      <c r="P876" s="42"/>
      <c r="Q876" s="42"/>
      <c r="R876" s="42"/>
      <c r="S876" s="3"/>
      <c r="T876" s="3"/>
      <c r="U876" s="3"/>
      <c r="V876" s="3"/>
      <c r="W876" s="3"/>
      <c r="X876" s="3"/>
      <c r="Y876" s="3"/>
      <c r="Z876" s="3"/>
      <c r="AA876" s="3"/>
      <c r="AB876" s="3"/>
      <c r="AC876" s="3"/>
      <c r="AD876" s="3"/>
      <c r="AE876" s="3"/>
      <c r="AF876" s="3"/>
      <c r="AG876" s="3"/>
      <c r="AH876" s="3"/>
      <c r="AI876" s="3"/>
      <c r="AJ876" s="3"/>
      <c r="AK876" s="3"/>
      <c r="AL876" s="3"/>
    </row>
    <row r="877" spans="1:38" ht="15.75" customHeight="1" x14ac:dyDescent="0.2">
      <c r="A877" s="118"/>
      <c r="B877" s="118"/>
      <c r="C877" s="118"/>
      <c r="D877" s="118"/>
      <c r="E877" s="118"/>
      <c r="F877" s="118"/>
      <c r="G877" s="118"/>
      <c r="H877" s="118"/>
      <c r="I877" s="118"/>
      <c r="J877" s="118"/>
      <c r="K877" s="118"/>
      <c r="L877" s="118"/>
      <c r="M877" s="118"/>
      <c r="N877" s="42"/>
      <c r="O877" s="42"/>
      <c r="P877" s="42"/>
      <c r="Q877" s="42"/>
      <c r="R877" s="42"/>
      <c r="S877" s="3"/>
      <c r="T877" s="3"/>
      <c r="U877" s="3"/>
      <c r="V877" s="3"/>
      <c r="W877" s="3"/>
      <c r="X877" s="3"/>
      <c r="Y877" s="3"/>
      <c r="Z877" s="3"/>
      <c r="AA877" s="3"/>
      <c r="AB877" s="3"/>
      <c r="AC877" s="3"/>
      <c r="AD877" s="3"/>
      <c r="AE877" s="3"/>
      <c r="AF877" s="3"/>
      <c r="AG877" s="3"/>
      <c r="AH877" s="3"/>
      <c r="AI877" s="3"/>
      <c r="AJ877" s="3"/>
      <c r="AK877" s="3"/>
      <c r="AL877" s="3"/>
    </row>
    <row r="878" spans="1:38" ht="15.75" customHeight="1" x14ac:dyDescent="0.2">
      <c r="A878" s="118"/>
      <c r="B878" s="118"/>
      <c r="C878" s="118"/>
      <c r="D878" s="118"/>
      <c r="E878" s="118"/>
      <c r="F878" s="118"/>
      <c r="G878" s="118"/>
      <c r="H878" s="118"/>
      <c r="I878" s="118"/>
      <c r="J878" s="118"/>
      <c r="K878" s="118"/>
      <c r="L878" s="118"/>
      <c r="M878" s="118"/>
      <c r="N878" s="42"/>
      <c r="O878" s="42"/>
      <c r="P878" s="42"/>
      <c r="Q878" s="42"/>
      <c r="R878" s="42"/>
      <c r="S878" s="3"/>
      <c r="T878" s="3"/>
      <c r="U878" s="3"/>
      <c r="V878" s="3"/>
      <c r="W878" s="3"/>
      <c r="X878" s="3"/>
      <c r="Y878" s="3"/>
      <c r="Z878" s="3"/>
      <c r="AA878" s="3"/>
      <c r="AB878" s="3"/>
      <c r="AC878" s="3"/>
      <c r="AD878" s="3"/>
      <c r="AE878" s="3"/>
      <c r="AF878" s="3"/>
      <c r="AG878" s="3"/>
      <c r="AH878" s="3"/>
      <c r="AI878" s="3"/>
      <c r="AJ878" s="3"/>
      <c r="AK878" s="3"/>
      <c r="AL878" s="3"/>
    </row>
    <row r="879" spans="1:38" ht="15.75" customHeight="1" x14ac:dyDescent="0.2">
      <c r="A879" s="118"/>
      <c r="B879" s="118"/>
      <c r="C879" s="118"/>
      <c r="D879" s="118"/>
      <c r="E879" s="118"/>
      <c r="F879" s="118"/>
      <c r="G879" s="118"/>
      <c r="H879" s="118"/>
      <c r="I879" s="118"/>
      <c r="J879" s="118"/>
      <c r="K879" s="118"/>
      <c r="L879" s="118"/>
      <c r="M879" s="118"/>
      <c r="N879" s="42"/>
      <c r="O879" s="42"/>
      <c r="P879" s="42"/>
      <c r="Q879" s="42"/>
      <c r="R879" s="42"/>
      <c r="S879" s="3"/>
      <c r="T879" s="3"/>
      <c r="U879" s="3"/>
      <c r="V879" s="3"/>
      <c r="W879" s="3"/>
      <c r="X879" s="3"/>
      <c r="Y879" s="3"/>
      <c r="Z879" s="3"/>
      <c r="AA879" s="3"/>
      <c r="AB879" s="3"/>
      <c r="AC879" s="3"/>
      <c r="AD879" s="3"/>
      <c r="AE879" s="3"/>
      <c r="AF879" s="3"/>
      <c r="AG879" s="3"/>
      <c r="AH879" s="3"/>
      <c r="AI879" s="3"/>
      <c r="AJ879" s="3"/>
      <c r="AK879" s="3"/>
      <c r="AL879" s="3"/>
    </row>
    <row r="880" spans="1:38" ht="15.75" customHeight="1" x14ac:dyDescent="0.2">
      <c r="A880" s="118"/>
      <c r="B880" s="118"/>
      <c r="C880" s="118"/>
      <c r="D880" s="118"/>
      <c r="E880" s="118"/>
      <c r="F880" s="118"/>
      <c r="G880" s="118"/>
      <c r="H880" s="118"/>
      <c r="I880" s="118"/>
      <c r="J880" s="118"/>
      <c r="K880" s="118"/>
      <c r="L880" s="118"/>
      <c r="M880" s="118"/>
      <c r="N880" s="42"/>
      <c r="O880" s="42"/>
      <c r="P880" s="42"/>
      <c r="Q880" s="42"/>
      <c r="R880" s="42"/>
      <c r="S880" s="3"/>
      <c r="T880" s="3"/>
      <c r="U880" s="3"/>
      <c r="V880" s="3"/>
      <c r="W880" s="3"/>
      <c r="X880" s="3"/>
      <c r="Y880" s="3"/>
      <c r="Z880" s="3"/>
      <c r="AA880" s="3"/>
      <c r="AB880" s="3"/>
      <c r="AC880" s="3"/>
      <c r="AD880" s="3"/>
      <c r="AE880" s="3"/>
      <c r="AF880" s="3"/>
      <c r="AG880" s="3"/>
      <c r="AH880" s="3"/>
      <c r="AI880" s="3"/>
      <c r="AJ880" s="3"/>
      <c r="AK880" s="3"/>
      <c r="AL880" s="3"/>
    </row>
    <row r="881" spans="1:38" ht="15.75" customHeight="1" x14ac:dyDescent="0.2">
      <c r="A881" s="118"/>
      <c r="B881" s="118"/>
      <c r="C881" s="118"/>
      <c r="D881" s="118"/>
      <c r="E881" s="118"/>
      <c r="F881" s="118"/>
      <c r="G881" s="118"/>
      <c r="H881" s="118"/>
      <c r="I881" s="118"/>
      <c r="J881" s="118"/>
      <c r="K881" s="118"/>
      <c r="L881" s="118"/>
      <c r="M881" s="118"/>
      <c r="N881" s="42"/>
      <c r="O881" s="42"/>
      <c r="P881" s="42"/>
      <c r="Q881" s="42"/>
      <c r="R881" s="42"/>
      <c r="S881" s="3"/>
      <c r="T881" s="3"/>
      <c r="U881" s="3"/>
      <c r="V881" s="3"/>
      <c r="W881" s="3"/>
      <c r="X881" s="3"/>
      <c r="Y881" s="3"/>
      <c r="Z881" s="3"/>
      <c r="AA881" s="3"/>
      <c r="AB881" s="3"/>
      <c r="AC881" s="3"/>
      <c r="AD881" s="3"/>
      <c r="AE881" s="3"/>
      <c r="AF881" s="3"/>
      <c r="AG881" s="3"/>
      <c r="AH881" s="3"/>
      <c r="AI881" s="3"/>
      <c r="AJ881" s="3"/>
      <c r="AK881" s="3"/>
      <c r="AL881" s="3"/>
    </row>
    <row r="882" spans="1:38" ht="15.75" customHeight="1" x14ac:dyDescent="0.2">
      <c r="A882" s="118"/>
      <c r="B882" s="118"/>
      <c r="C882" s="118"/>
      <c r="D882" s="118"/>
      <c r="E882" s="118"/>
      <c r="F882" s="118"/>
      <c r="G882" s="118"/>
      <c r="H882" s="118"/>
      <c r="I882" s="118"/>
      <c r="J882" s="118"/>
      <c r="K882" s="118"/>
      <c r="L882" s="118"/>
      <c r="M882" s="118"/>
      <c r="N882" s="42"/>
      <c r="O882" s="42"/>
      <c r="P882" s="42"/>
      <c r="Q882" s="42"/>
      <c r="R882" s="42"/>
      <c r="S882" s="3"/>
      <c r="T882" s="3"/>
      <c r="U882" s="3"/>
      <c r="V882" s="3"/>
      <c r="W882" s="3"/>
      <c r="X882" s="3"/>
      <c r="Y882" s="3"/>
      <c r="Z882" s="3"/>
      <c r="AA882" s="3"/>
      <c r="AB882" s="3"/>
      <c r="AC882" s="3"/>
      <c r="AD882" s="3"/>
      <c r="AE882" s="3"/>
      <c r="AF882" s="3"/>
      <c r="AG882" s="3"/>
      <c r="AH882" s="3"/>
      <c r="AI882" s="3"/>
      <c r="AJ882" s="3"/>
      <c r="AK882" s="3"/>
      <c r="AL882" s="3"/>
    </row>
    <row r="883" spans="1:38" ht="15.75" customHeight="1" x14ac:dyDescent="0.2">
      <c r="A883" s="118"/>
      <c r="B883" s="118"/>
      <c r="C883" s="118"/>
      <c r="D883" s="118"/>
      <c r="E883" s="118"/>
      <c r="F883" s="118"/>
      <c r="G883" s="118"/>
      <c r="H883" s="118"/>
      <c r="I883" s="118"/>
      <c r="J883" s="118"/>
      <c r="K883" s="118"/>
      <c r="L883" s="118"/>
      <c r="M883" s="118"/>
      <c r="N883" s="42"/>
      <c r="O883" s="42"/>
      <c r="P883" s="42"/>
      <c r="Q883" s="42"/>
      <c r="R883" s="42"/>
      <c r="S883" s="3"/>
      <c r="T883" s="3"/>
      <c r="U883" s="3"/>
      <c r="V883" s="3"/>
      <c r="W883" s="3"/>
      <c r="X883" s="3"/>
      <c r="Y883" s="3"/>
      <c r="Z883" s="3"/>
      <c r="AA883" s="3"/>
      <c r="AB883" s="3"/>
      <c r="AC883" s="3"/>
      <c r="AD883" s="3"/>
      <c r="AE883" s="3"/>
      <c r="AF883" s="3"/>
      <c r="AG883" s="3"/>
      <c r="AH883" s="3"/>
      <c r="AI883" s="3"/>
      <c r="AJ883" s="3"/>
      <c r="AK883" s="3"/>
      <c r="AL883" s="3"/>
    </row>
    <row r="884" spans="1:38" ht="15.75" customHeight="1" x14ac:dyDescent="0.2">
      <c r="A884" s="118"/>
      <c r="B884" s="118"/>
      <c r="C884" s="118"/>
      <c r="D884" s="118"/>
      <c r="E884" s="118"/>
      <c r="F884" s="118"/>
      <c r="G884" s="118"/>
      <c r="H884" s="118"/>
      <c r="I884" s="118"/>
      <c r="J884" s="118"/>
      <c r="K884" s="118"/>
      <c r="L884" s="118"/>
      <c r="M884" s="118"/>
      <c r="N884" s="42"/>
      <c r="O884" s="42"/>
      <c r="P884" s="42"/>
      <c r="Q884" s="42"/>
      <c r="R884" s="42"/>
      <c r="S884" s="3"/>
      <c r="T884" s="3"/>
      <c r="U884" s="3"/>
      <c r="V884" s="3"/>
      <c r="W884" s="3"/>
      <c r="X884" s="3"/>
      <c r="Y884" s="3"/>
      <c r="Z884" s="3"/>
      <c r="AA884" s="3"/>
      <c r="AB884" s="3"/>
      <c r="AC884" s="3"/>
      <c r="AD884" s="3"/>
      <c r="AE884" s="3"/>
      <c r="AF884" s="3"/>
      <c r="AG884" s="3"/>
      <c r="AH884" s="3"/>
      <c r="AI884" s="3"/>
      <c r="AJ884" s="3"/>
      <c r="AK884" s="3"/>
      <c r="AL884" s="3"/>
    </row>
    <row r="885" spans="1:38" ht="15.75" customHeight="1" x14ac:dyDescent="0.2">
      <c r="A885" s="118"/>
      <c r="B885" s="118"/>
      <c r="C885" s="118"/>
      <c r="D885" s="118"/>
      <c r="E885" s="118"/>
      <c r="F885" s="118"/>
      <c r="G885" s="118"/>
      <c r="H885" s="118"/>
      <c r="I885" s="118"/>
      <c r="J885" s="118"/>
      <c r="K885" s="118"/>
      <c r="L885" s="118"/>
      <c r="M885" s="118"/>
      <c r="N885" s="42"/>
      <c r="O885" s="42"/>
      <c r="P885" s="42"/>
      <c r="Q885" s="42"/>
      <c r="R885" s="42"/>
      <c r="S885" s="3"/>
      <c r="T885" s="3"/>
      <c r="U885" s="3"/>
      <c r="V885" s="3"/>
      <c r="W885" s="3"/>
      <c r="X885" s="3"/>
      <c r="Y885" s="3"/>
      <c r="Z885" s="3"/>
      <c r="AA885" s="3"/>
      <c r="AB885" s="3"/>
      <c r="AC885" s="3"/>
      <c r="AD885" s="3"/>
      <c r="AE885" s="3"/>
      <c r="AF885" s="3"/>
      <c r="AG885" s="3"/>
      <c r="AH885" s="3"/>
      <c r="AI885" s="3"/>
      <c r="AJ885" s="3"/>
      <c r="AK885" s="3"/>
      <c r="AL885" s="3"/>
    </row>
    <row r="886" spans="1:38" ht="15.75" customHeight="1" x14ac:dyDescent="0.2">
      <c r="A886" s="118"/>
      <c r="B886" s="118"/>
      <c r="C886" s="118"/>
      <c r="D886" s="118"/>
      <c r="E886" s="118"/>
      <c r="F886" s="118"/>
      <c r="G886" s="118"/>
      <c r="H886" s="118"/>
      <c r="I886" s="118"/>
      <c r="J886" s="118"/>
      <c r="K886" s="118"/>
      <c r="L886" s="118"/>
      <c r="M886" s="118"/>
      <c r="N886" s="42"/>
      <c r="O886" s="42"/>
      <c r="P886" s="42"/>
      <c r="Q886" s="42"/>
      <c r="R886" s="42"/>
      <c r="S886" s="3"/>
      <c r="T886" s="3"/>
      <c r="U886" s="3"/>
      <c r="V886" s="3"/>
      <c r="W886" s="3"/>
      <c r="X886" s="3"/>
      <c r="Y886" s="3"/>
      <c r="Z886" s="3"/>
      <c r="AA886" s="3"/>
      <c r="AB886" s="3"/>
      <c r="AC886" s="3"/>
      <c r="AD886" s="3"/>
      <c r="AE886" s="3"/>
      <c r="AF886" s="3"/>
      <c r="AG886" s="3"/>
      <c r="AH886" s="3"/>
      <c r="AI886" s="3"/>
      <c r="AJ886" s="3"/>
      <c r="AK886" s="3"/>
      <c r="AL886" s="3"/>
    </row>
    <row r="887" spans="1:38" ht="15.75" customHeight="1" x14ac:dyDescent="0.2">
      <c r="A887" s="118"/>
      <c r="B887" s="118"/>
      <c r="C887" s="118"/>
      <c r="D887" s="118"/>
      <c r="E887" s="118"/>
      <c r="F887" s="118"/>
      <c r="G887" s="118"/>
      <c r="H887" s="118"/>
      <c r="I887" s="118"/>
      <c r="J887" s="118"/>
      <c r="K887" s="118"/>
      <c r="L887" s="118"/>
      <c r="M887" s="118"/>
      <c r="N887" s="42"/>
      <c r="O887" s="42"/>
      <c r="P887" s="42"/>
      <c r="Q887" s="42"/>
      <c r="R887" s="42"/>
      <c r="S887" s="3"/>
      <c r="T887" s="3"/>
      <c r="U887" s="3"/>
      <c r="V887" s="3"/>
      <c r="W887" s="3"/>
      <c r="X887" s="3"/>
      <c r="Y887" s="3"/>
      <c r="Z887" s="3"/>
      <c r="AA887" s="3"/>
      <c r="AB887" s="3"/>
      <c r="AC887" s="3"/>
      <c r="AD887" s="3"/>
      <c r="AE887" s="3"/>
      <c r="AF887" s="3"/>
      <c r="AG887" s="3"/>
      <c r="AH887" s="3"/>
      <c r="AI887" s="3"/>
      <c r="AJ887" s="3"/>
      <c r="AK887" s="3"/>
      <c r="AL887" s="3"/>
    </row>
    <row r="888" spans="1:38" ht="15.75" customHeight="1" x14ac:dyDescent="0.2">
      <c r="A888" s="118"/>
      <c r="B888" s="118"/>
      <c r="C888" s="118"/>
      <c r="D888" s="118"/>
      <c r="E888" s="118"/>
      <c r="F888" s="118"/>
      <c r="G888" s="118"/>
      <c r="H888" s="118"/>
      <c r="I888" s="118"/>
      <c r="J888" s="118"/>
      <c r="K888" s="118"/>
      <c r="L888" s="118"/>
      <c r="M888" s="118"/>
      <c r="N888" s="42"/>
      <c r="O888" s="42"/>
      <c r="P888" s="42"/>
      <c r="Q888" s="42"/>
      <c r="R888" s="42"/>
      <c r="S888" s="3"/>
      <c r="T888" s="3"/>
      <c r="U888" s="3"/>
      <c r="V888" s="3"/>
      <c r="W888" s="3"/>
      <c r="X888" s="3"/>
      <c r="Y888" s="3"/>
      <c r="Z888" s="3"/>
      <c r="AA888" s="3"/>
      <c r="AB888" s="3"/>
      <c r="AC888" s="3"/>
      <c r="AD888" s="3"/>
      <c r="AE888" s="3"/>
      <c r="AF888" s="3"/>
      <c r="AG888" s="3"/>
      <c r="AH888" s="3"/>
      <c r="AI888" s="3"/>
      <c r="AJ888" s="3"/>
      <c r="AK888" s="3"/>
      <c r="AL888" s="3"/>
    </row>
    <row r="889" spans="1:38" ht="15.75" customHeight="1" x14ac:dyDescent="0.2">
      <c r="A889" s="118"/>
      <c r="B889" s="118"/>
      <c r="C889" s="118"/>
      <c r="D889" s="118"/>
      <c r="E889" s="118"/>
      <c r="F889" s="118"/>
      <c r="G889" s="118"/>
      <c r="H889" s="118"/>
      <c r="I889" s="118"/>
      <c r="J889" s="118"/>
      <c r="K889" s="118"/>
      <c r="L889" s="118"/>
      <c r="M889" s="118"/>
      <c r="N889" s="42"/>
      <c r="O889" s="42"/>
      <c r="P889" s="42"/>
      <c r="Q889" s="42"/>
      <c r="R889" s="42"/>
      <c r="S889" s="3"/>
      <c r="T889" s="3"/>
      <c r="U889" s="3"/>
      <c r="V889" s="3"/>
      <c r="W889" s="3"/>
      <c r="X889" s="3"/>
      <c r="Y889" s="3"/>
      <c r="Z889" s="3"/>
      <c r="AA889" s="3"/>
      <c r="AB889" s="3"/>
      <c r="AC889" s="3"/>
      <c r="AD889" s="3"/>
      <c r="AE889" s="3"/>
      <c r="AF889" s="3"/>
      <c r="AG889" s="3"/>
      <c r="AH889" s="3"/>
      <c r="AI889" s="3"/>
      <c r="AJ889" s="3"/>
      <c r="AK889" s="3"/>
      <c r="AL889" s="3"/>
    </row>
    <row r="890" spans="1:38" ht="15.75" customHeight="1" x14ac:dyDescent="0.2">
      <c r="A890" s="118"/>
      <c r="B890" s="118"/>
      <c r="C890" s="118"/>
      <c r="D890" s="118"/>
      <c r="E890" s="118"/>
      <c r="F890" s="118"/>
      <c r="G890" s="118"/>
      <c r="H890" s="118"/>
      <c r="I890" s="118"/>
      <c r="J890" s="118"/>
      <c r="K890" s="118"/>
      <c r="L890" s="118"/>
      <c r="M890" s="118"/>
      <c r="N890" s="42"/>
      <c r="O890" s="42"/>
      <c r="P890" s="42"/>
      <c r="Q890" s="42"/>
      <c r="R890" s="42"/>
      <c r="S890" s="3"/>
      <c r="T890" s="3"/>
      <c r="U890" s="3"/>
      <c r="V890" s="3"/>
      <c r="W890" s="3"/>
      <c r="X890" s="3"/>
      <c r="Y890" s="3"/>
      <c r="Z890" s="3"/>
      <c r="AA890" s="3"/>
      <c r="AB890" s="3"/>
      <c r="AC890" s="3"/>
      <c r="AD890" s="3"/>
      <c r="AE890" s="3"/>
      <c r="AF890" s="3"/>
      <c r="AG890" s="3"/>
      <c r="AH890" s="3"/>
      <c r="AI890" s="3"/>
      <c r="AJ890" s="3"/>
      <c r="AK890" s="3"/>
      <c r="AL890" s="3"/>
    </row>
    <row r="891" spans="1:38" ht="15.75" customHeight="1" x14ac:dyDescent="0.2">
      <c r="A891" s="118"/>
      <c r="B891" s="118"/>
      <c r="C891" s="118"/>
      <c r="D891" s="118"/>
      <c r="E891" s="118"/>
      <c r="F891" s="118"/>
      <c r="G891" s="118"/>
      <c r="H891" s="118"/>
      <c r="I891" s="118"/>
      <c r="J891" s="118"/>
      <c r="K891" s="118"/>
      <c r="L891" s="118"/>
      <c r="M891" s="118"/>
      <c r="N891" s="42"/>
      <c r="O891" s="42"/>
      <c r="P891" s="42"/>
      <c r="Q891" s="42"/>
      <c r="R891" s="42"/>
      <c r="S891" s="3"/>
      <c r="T891" s="3"/>
      <c r="U891" s="3"/>
      <c r="V891" s="3"/>
      <c r="W891" s="3"/>
      <c r="X891" s="3"/>
      <c r="Y891" s="3"/>
      <c r="Z891" s="3"/>
      <c r="AA891" s="3"/>
      <c r="AB891" s="3"/>
      <c r="AC891" s="3"/>
      <c r="AD891" s="3"/>
      <c r="AE891" s="3"/>
      <c r="AF891" s="3"/>
      <c r="AG891" s="3"/>
      <c r="AH891" s="3"/>
      <c r="AI891" s="3"/>
      <c r="AJ891" s="3"/>
      <c r="AK891" s="3"/>
      <c r="AL891" s="3"/>
    </row>
    <row r="892" spans="1:38" ht="15.75" customHeight="1" x14ac:dyDescent="0.2">
      <c r="A892" s="118"/>
      <c r="B892" s="118"/>
      <c r="C892" s="118"/>
      <c r="D892" s="118"/>
      <c r="E892" s="118"/>
      <c r="F892" s="118"/>
      <c r="G892" s="118"/>
      <c r="H892" s="118"/>
      <c r="I892" s="118"/>
      <c r="J892" s="118"/>
      <c r="K892" s="118"/>
      <c r="L892" s="118"/>
      <c r="M892" s="118"/>
      <c r="N892" s="42"/>
      <c r="O892" s="42"/>
      <c r="P892" s="42"/>
      <c r="Q892" s="42"/>
      <c r="R892" s="42"/>
      <c r="S892" s="3"/>
      <c r="T892" s="3"/>
      <c r="U892" s="3"/>
      <c r="V892" s="3"/>
      <c r="W892" s="3"/>
      <c r="X892" s="3"/>
      <c r="Y892" s="3"/>
      <c r="Z892" s="3"/>
      <c r="AA892" s="3"/>
      <c r="AB892" s="3"/>
      <c r="AC892" s="3"/>
      <c r="AD892" s="3"/>
      <c r="AE892" s="3"/>
      <c r="AF892" s="3"/>
      <c r="AG892" s="3"/>
      <c r="AH892" s="3"/>
      <c r="AI892" s="3"/>
      <c r="AJ892" s="3"/>
      <c r="AK892" s="3"/>
      <c r="AL892" s="3"/>
    </row>
    <row r="893" spans="1:38" ht="15.75" customHeight="1" x14ac:dyDescent="0.2">
      <c r="A893" s="118"/>
      <c r="B893" s="118"/>
      <c r="C893" s="118"/>
      <c r="D893" s="118"/>
      <c r="E893" s="118"/>
      <c r="F893" s="118"/>
      <c r="G893" s="118"/>
      <c r="H893" s="118"/>
      <c r="I893" s="118"/>
      <c r="J893" s="118"/>
      <c r="K893" s="118"/>
      <c r="L893" s="118"/>
      <c r="M893" s="118"/>
      <c r="N893" s="42"/>
      <c r="O893" s="42"/>
      <c r="P893" s="42"/>
      <c r="Q893" s="42"/>
      <c r="R893" s="42"/>
      <c r="S893" s="3"/>
      <c r="T893" s="3"/>
      <c r="U893" s="3"/>
      <c r="V893" s="3"/>
      <c r="W893" s="3"/>
      <c r="X893" s="3"/>
      <c r="Y893" s="3"/>
      <c r="Z893" s="3"/>
      <c r="AA893" s="3"/>
      <c r="AB893" s="3"/>
      <c r="AC893" s="3"/>
      <c r="AD893" s="3"/>
      <c r="AE893" s="3"/>
      <c r="AF893" s="3"/>
      <c r="AG893" s="3"/>
      <c r="AH893" s="3"/>
      <c r="AI893" s="3"/>
      <c r="AJ893" s="3"/>
      <c r="AK893" s="3"/>
      <c r="AL893" s="3"/>
    </row>
    <row r="894" spans="1:38" ht="15.75" customHeight="1" x14ac:dyDescent="0.2">
      <c r="A894" s="118"/>
      <c r="B894" s="118"/>
      <c r="C894" s="118"/>
      <c r="D894" s="118"/>
      <c r="E894" s="118"/>
      <c r="F894" s="118"/>
      <c r="G894" s="118"/>
      <c r="H894" s="118"/>
      <c r="I894" s="118"/>
      <c r="J894" s="118"/>
      <c r="K894" s="118"/>
      <c r="L894" s="118"/>
      <c r="M894" s="118"/>
      <c r="N894" s="42"/>
      <c r="O894" s="42"/>
      <c r="P894" s="42"/>
      <c r="Q894" s="42"/>
      <c r="R894" s="42"/>
      <c r="S894" s="3"/>
      <c r="T894" s="3"/>
      <c r="U894" s="3"/>
      <c r="V894" s="3"/>
      <c r="W894" s="3"/>
      <c r="X894" s="3"/>
      <c r="Y894" s="3"/>
      <c r="Z894" s="3"/>
      <c r="AA894" s="3"/>
      <c r="AB894" s="3"/>
      <c r="AC894" s="3"/>
      <c r="AD894" s="3"/>
      <c r="AE894" s="3"/>
      <c r="AF894" s="3"/>
      <c r="AG894" s="3"/>
      <c r="AH894" s="3"/>
      <c r="AI894" s="3"/>
      <c r="AJ894" s="3"/>
      <c r="AK894" s="3"/>
      <c r="AL894" s="3"/>
    </row>
    <row r="895" spans="1:38" ht="15.75" customHeight="1" x14ac:dyDescent="0.2">
      <c r="A895" s="118"/>
      <c r="B895" s="118"/>
      <c r="C895" s="118"/>
      <c r="D895" s="118"/>
      <c r="E895" s="118"/>
      <c r="F895" s="118"/>
      <c r="G895" s="118"/>
      <c r="H895" s="118"/>
      <c r="I895" s="118"/>
      <c r="J895" s="118"/>
      <c r="K895" s="118"/>
      <c r="L895" s="118"/>
      <c r="M895" s="118"/>
      <c r="N895" s="42"/>
      <c r="O895" s="42"/>
      <c r="P895" s="42"/>
      <c r="Q895" s="42"/>
      <c r="R895" s="42"/>
      <c r="S895" s="3"/>
      <c r="T895" s="3"/>
      <c r="U895" s="3"/>
      <c r="V895" s="3"/>
      <c r="W895" s="3"/>
      <c r="X895" s="3"/>
      <c r="Y895" s="3"/>
      <c r="Z895" s="3"/>
      <c r="AA895" s="3"/>
      <c r="AB895" s="3"/>
      <c r="AC895" s="3"/>
      <c r="AD895" s="3"/>
      <c r="AE895" s="3"/>
      <c r="AF895" s="3"/>
      <c r="AG895" s="3"/>
      <c r="AH895" s="3"/>
      <c r="AI895" s="3"/>
      <c r="AJ895" s="3"/>
      <c r="AK895" s="3"/>
      <c r="AL895" s="3"/>
    </row>
    <row r="896" spans="1:38" ht="15.75" customHeight="1" x14ac:dyDescent="0.2">
      <c r="A896" s="118"/>
      <c r="B896" s="118"/>
      <c r="C896" s="118"/>
      <c r="D896" s="118"/>
      <c r="E896" s="118"/>
      <c r="F896" s="118"/>
      <c r="G896" s="118"/>
      <c r="H896" s="118"/>
      <c r="I896" s="118"/>
      <c r="J896" s="118"/>
      <c r="K896" s="118"/>
      <c r="L896" s="118"/>
      <c r="M896" s="118"/>
      <c r="N896" s="42"/>
      <c r="O896" s="42"/>
      <c r="P896" s="42"/>
      <c r="Q896" s="42"/>
      <c r="R896" s="42"/>
      <c r="S896" s="3"/>
      <c r="T896" s="3"/>
      <c r="U896" s="3"/>
      <c r="V896" s="3"/>
      <c r="W896" s="3"/>
      <c r="X896" s="3"/>
      <c r="Y896" s="3"/>
      <c r="Z896" s="3"/>
      <c r="AA896" s="3"/>
      <c r="AB896" s="3"/>
      <c r="AC896" s="3"/>
      <c r="AD896" s="3"/>
      <c r="AE896" s="3"/>
      <c r="AF896" s="3"/>
      <c r="AG896" s="3"/>
      <c r="AH896" s="3"/>
      <c r="AI896" s="3"/>
      <c r="AJ896" s="3"/>
      <c r="AK896" s="3"/>
      <c r="AL896" s="3"/>
    </row>
    <row r="897" spans="1:38" ht="15.75" customHeight="1" x14ac:dyDescent="0.2">
      <c r="A897" s="118"/>
      <c r="B897" s="118"/>
      <c r="C897" s="118"/>
      <c r="D897" s="118"/>
      <c r="E897" s="118"/>
      <c r="F897" s="118"/>
      <c r="G897" s="118"/>
      <c r="H897" s="118"/>
      <c r="I897" s="118"/>
      <c r="J897" s="118"/>
      <c r="K897" s="118"/>
      <c r="L897" s="118"/>
      <c r="M897" s="118"/>
      <c r="N897" s="42"/>
      <c r="O897" s="42"/>
      <c r="P897" s="42"/>
      <c r="Q897" s="42"/>
      <c r="R897" s="42"/>
      <c r="S897" s="3"/>
      <c r="T897" s="3"/>
      <c r="U897" s="3"/>
      <c r="V897" s="3"/>
      <c r="W897" s="3"/>
      <c r="X897" s="3"/>
      <c r="Y897" s="3"/>
      <c r="Z897" s="3"/>
      <c r="AA897" s="3"/>
      <c r="AB897" s="3"/>
      <c r="AC897" s="3"/>
      <c r="AD897" s="3"/>
      <c r="AE897" s="3"/>
      <c r="AF897" s="3"/>
      <c r="AG897" s="3"/>
      <c r="AH897" s="3"/>
      <c r="AI897" s="3"/>
      <c r="AJ897" s="3"/>
      <c r="AK897" s="3"/>
      <c r="AL897" s="3"/>
    </row>
    <row r="898" spans="1:38" ht="15.75" customHeight="1" x14ac:dyDescent="0.2">
      <c r="A898" s="118"/>
      <c r="B898" s="118"/>
      <c r="C898" s="118"/>
      <c r="D898" s="118"/>
      <c r="E898" s="118"/>
      <c r="F898" s="118"/>
      <c r="G898" s="118"/>
      <c r="H898" s="118"/>
      <c r="I898" s="118"/>
      <c r="J898" s="118"/>
      <c r="K898" s="118"/>
      <c r="L898" s="118"/>
      <c r="M898" s="118"/>
      <c r="N898" s="42"/>
      <c r="O898" s="42"/>
      <c r="P898" s="42"/>
      <c r="Q898" s="42"/>
      <c r="R898" s="42"/>
      <c r="S898" s="3"/>
      <c r="T898" s="3"/>
      <c r="U898" s="3"/>
      <c r="V898" s="3"/>
      <c r="W898" s="3"/>
      <c r="X898" s="3"/>
      <c r="Y898" s="3"/>
      <c r="Z898" s="3"/>
      <c r="AA898" s="3"/>
      <c r="AB898" s="3"/>
      <c r="AC898" s="3"/>
      <c r="AD898" s="3"/>
      <c r="AE898" s="3"/>
      <c r="AF898" s="3"/>
      <c r="AG898" s="3"/>
      <c r="AH898" s="3"/>
      <c r="AI898" s="3"/>
      <c r="AJ898" s="3"/>
      <c r="AK898" s="3"/>
      <c r="AL898" s="3"/>
    </row>
    <row r="899" spans="1:38" ht="15.75" customHeight="1" x14ac:dyDescent="0.2">
      <c r="A899" s="118"/>
      <c r="B899" s="118"/>
      <c r="C899" s="118"/>
      <c r="D899" s="118"/>
      <c r="E899" s="118"/>
      <c r="F899" s="118"/>
      <c r="G899" s="118"/>
      <c r="H899" s="118"/>
      <c r="I899" s="118"/>
      <c r="J899" s="118"/>
      <c r="K899" s="118"/>
      <c r="L899" s="118"/>
      <c r="M899" s="118"/>
      <c r="N899" s="42"/>
      <c r="O899" s="42"/>
      <c r="P899" s="42"/>
      <c r="Q899" s="42"/>
      <c r="R899" s="42"/>
      <c r="S899" s="3"/>
      <c r="T899" s="3"/>
      <c r="U899" s="3"/>
      <c r="V899" s="3"/>
      <c r="W899" s="3"/>
      <c r="X899" s="3"/>
      <c r="Y899" s="3"/>
      <c r="Z899" s="3"/>
      <c r="AA899" s="3"/>
      <c r="AB899" s="3"/>
      <c r="AC899" s="3"/>
      <c r="AD899" s="3"/>
      <c r="AE899" s="3"/>
      <c r="AF899" s="3"/>
      <c r="AG899" s="3"/>
      <c r="AH899" s="3"/>
      <c r="AI899" s="3"/>
      <c r="AJ899" s="3"/>
      <c r="AK899" s="3"/>
      <c r="AL899" s="3"/>
    </row>
    <row r="900" spans="1:38" ht="15.75" customHeight="1" x14ac:dyDescent="0.2">
      <c r="A900" s="118"/>
      <c r="B900" s="118"/>
      <c r="C900" s="118"/>
      <c r="D900" s="118"/>
      <c r="E900" s="118"/>
      <c r="F900" s="118"/>
      <c r="G900" s="118"/>
      <c r="H900" s="118"/>
      <c r="I900" s="118"/>
      <c r="J900" s="118"/>
      <c r="K900" s="118"/>
      <c r="L900" s="118"/>
      <c r="M900" s="118"/>
      <c r="N900" s="42"/>
      <c r="O900" s="42"/>
      <c r="P900" s="42"/>
      <c r="Q900" s="42"/>
      <c r="R900" s="42"/>
      <c r="S900" s="3"/>
      <c r="T900" s="3"/>
      <c r="U900" s="3"/>
      <c r="V900" s="3"/>
      <c r="W900" s="3"/>
      <c r="X900" s="3"/>
      <c r="Y900" s="3"/>
      <c r="Z900" s="3"/>
      <c r="AA900" s="3"/>
      <c r="AB900" s="3"/>
      <c r="AC900" s="3"/>
      <c r="AD900" s="3"/>
      <c r="AE900" s="3"/>
      <c r="AF900" s="3"/>
      <c r="AG900" s="3"/>
      <c r="AH900" s="3"/>
      <c r="AI900" s="3"/>
      <c r="AJ900" s="3"/>
      <c r="AK900" s="3"/>
      <c r="AL900" s="3"/>
    </row>
    <row r="901" spans="1:38" ht="15.75" customHeight="1" x14ac:dyDescent="0.2">
      <c r="A901" s="118"/>
      <c r="B901" s="118"/>
      <c r="C901" s="118"/>
      <c r="D901" s="118"/>
      <c r="E901" s="118"/>
      <c r="F901" s="118"/>
      <c r="G901" s="118"/>
      <c r="H901" s="118"/>
      <c r="I901" s="118"/>
      <c r="J901" s="118"/>
      <c r="K901" s="118"/>
      <c r="L901" s="118"/>
      <c r="M901" s="118"/>
      <c r="N901" s="42"/>
      <c r="O901" s="42"/>
      <c r="P901" s="42"/>
      <c r="Q901" s="42"/>
      <c r="R901" s="42"/>
      <c r="S901" s="3"/>
      <c r="T901" s="3"/>
      <c r="U901" s="3"/>
      <c r="V901" s="3"/>
      <c r="W901" s="3"/>
      <c r="X901" s="3"/>
      <c r="Y901" s="3"/>
      <c r="Z901" s="3"/>
      <c r="AA901" s="3"/>
      <c r="AB901" s="3"/>
      <c r="AC901" s="3"/>
      <c r="AD901" s="3"/>
      <c r="AE901" s="3"/>
      <c r="AF901" s="3"/>
      <c r="AG901" s="3"/>
      <c r="AH901" s="3"/>
      <c r="AI901" s="3"/>
      <c r="AJ901" s="3"/>
      <c r="AK901" s="3"/>
      <c r="AL901" s="3"/>
    </row>
    <row r="902" spans="1:38" ht="15.75" customHeight="1" x14ac:dyDescent="0.2">
      <c r="A902" s="118"/>
      <c r="B902" s="118"/>
      <c r="C902" s="118"/>
      <c r="D902" s="118"/>
      <c r="E902" s="118"/>
      <c r="F902" s="118"/>
      <c r="G902" s="118"/>
      <c r="H902" s="118"/>
      <c r="I902" s="118"/>
      <c r="J902" s="118"/>
      <c r="K902" s="118"/>
      <c r="L902" s="118"/>
      <c r="M902" s="118"/>
      <c r="N902" s="42"/>
      <c r="O902" s="42"/>
      <c r="P902" s="42"/>
      <c r="Q902" s="42"/>
      <c r="R902" s="42"/>
      <c r="S902" s="3"/>
      <c r="T902" s="3"/>
      <c r="U902" s="3"/>
      <c r="V902" s="3"/>
      <c r="W902" s="3"/>
      <c r="X902" s="3"/>
      <c r="Y902" s="3"/>
      <c r="Z902" s="3"/>
      <c r="AA902" s="3"/>
      <c r="AB902" s="3"/>
      <c r="AC902" s="3"/>
      <c r="AD902" s="3"/>
      <c r="AE902" s="3"/>
      <c r="AF902" s="3"/>
      <c r="AG902" s="3"/>
      <c r="AH902" s="3"/>
      <c r="AI902" s="3"/>
      <c r="AJ902" s="3"/>
      <c r="AK902" s="3"/>
      <c r="AL902" s="3"/>
    </row>
    <row r="903" spans="1:38" ht="15.75" customHeight="1" x14ac:dyDescent="0.2">
      <c r="A903" s="118"/>
      <c r="B903" s="118"/>
      <c r="C903" s="118"/>
      <c r="D903" s="118"/>
      <c r="E903" s="118"/>
      <c r="F903" s="118"/>
      <c r="G903" s="118"/>
      <c r="H903" s="118"/>
      <c r="I903" s="118"/>
      <c r="J903" s="118"/>
      <c r="K903" s="118"/>
      <c r="L903" s="118"/>
      <c r="M903" s="118"/>
      <c r="N903" s="42"/>
      <c r="O903" s="42"/>
      <c r="P903" s="42"/>
      <c r="Q903" s="42"/>
      <c r="R903" s="42"/>
      <c r="S903" s="3"/>
      <c r="T903" s="3"/>
      <c r="U903" s="3"/>
      <c r="V903" s="3"/>
      <c r="W903" s="3"/>
      <c r="X903" s="3"/>
      <c r="Y903" s="3"/>
      <c r="Z903" s="3"/>
      <c r="AA903" s="3"/>
      <c r="AB903" s="3"/>
      <c r="AC903" s="3"/>
      <c r="AD903" s="3"/>
      <c r="AE903" s="3"/>
      <c r="AF903" s="3"/>
      <c r="AG903" s="3"/>
      <c r="AH903" s="3"/>
      <c r="AI903" s="3"/>
      <c r="AJ903" s="3"/>
      <c r="AK903" s="3"/>
      <c r="AL903" s="3"/>
    </row>
    <row r="904" spans="1:38" ht="15.75" customHeight="1" x14ac:dyDescent="0.2">
      <c r="A904" s="118"/>
      <c r="B904" s="118"/>
      <c r="C904" s="118"/>
      <c r="D904" s="118"/>
      <c r="E904" s="118"/>
      <c r="F904" s="118"/>
      <c r="G904" s="118"/>
      <c r="H904" s="118"/>
      <c r="I904" s="118"/>
      <c r="J904" s="118"/>
      <c r="K904" s="118"/>
      <c r="L904" s="118"/>
      <c r="M904" s="118"/>
      <c r="N904" s="42"/>
      <c r="O904" s="42"/>
      <c r="P904" s="42"/>
      <c r="Q904" s="42"/>
      <c r="R904" s="42"/>
      <c r="S904" s="3"/>
      <c r="T904" s="3"/>
      <c r="U904" s="3"/>
      <c r="V904" s="3"/>
      <c r="W904" s="3"/>
      <c r="X904" s="3"/>
      <c r="Y904" s="3"/>
      <c r="Z904" s="3"/>
      <c r="AA904" s="3"/>
      <c r="AB904" s="3"/>
      <c r="AC904" s="3"/>
      <c r="AD904" s="3"/>
      <c r="AE904" s="3"/>
      <c r="AF904" s="3"/>
      <c r="AG904" s="3"/>
      <c r="AH904" s="3"/>
      <c r="AI904" s="3"/>
      <c r="AJ904" s="3"/>
      <c r="AK904" s="3"/>
      <c r="AL904" s="3"/>
    </row>
    <row r="905" spans="1:38" ht="15.75" customHeight="1" x14ac:dyDescent="0.2">
      <c r="A905" s="118"/>
      <c r="B905" s="118"/>
      <c r="C905" s="118"/>
      <c r="D905" s="118"/>
      <c r="E905" s="118"/>
      <c r="F905" s="118"/>
      <c r="G905" s="118"/>
      <c r="H905" s="118"/>
      <c r="I905" s="118"/>
      <c r="J905" s="118"/>
      <c r="K905" s="118"/>
      <c r="L905" s="118"/>
      <c r="M905" s="118"/>
      <c r="N905" s="42"/>
      <c r="O905" s="42"/>
      <c r="P905" s="42"/>
      <c r="Q905" s="42"/>
      <c r="R905" s="42"/>
      <c r="S905" s="3"/>
      <c r="T905" s="3"/>
      <c r="U905" s="3"/>
      <c r="V905" s="3"/>
      <c r="W905" s="3"/>
      <c r="X905" s="3"/>
      <c r="Y905" s="3"/>
      <c r="Z905" s="3"/>
      <c r="AA905" s="3"/>
      <c r="AB905" s="3"/>
      <c r="AC905" s="3"/>
      <c r="AD905" s="3"/>
      <c r="AE905" s="3"/>
      <c r="AF905" s="3"/>
      <c r="AG905" s="3"/>
      <c r="AH905" s="3"/>
      <c r="AI905" s="3"/>
      <c r="AJ905" s="3"/>
      <c r="AK905" s="3"/>
      <c r="AL905" s="3"/>
    </row>
    <row r="906" spans="1:38" ht="15.75" customHeight="1" x14ac:dyDescent="0.2">
      <c r="A906" s="118"/>
      <c r="B906" s="118"/>
      <c r="C906" s="118"/>
      <c r="D906" s="118"/>
      <c r="E906" s="118"/>
      <c r="F906" s="118"/>
      <c r="G906" s="118"/>
      <c r="H906" s="118"/>
      <c r="I906" s="118"/>
      <c r="J906" s="118"/>
      <c r="K906" s="118"/>
      <c r="L906" s="118"/>
      <c r="M906" s="118"/>
      <c r="N906" s="42"/>
      <c r="O906" s="42"/>
      <c r="P906" s="42"/>
      <c r="Q906" s="42"/>
      <c r="R906" s="42"/>
      <c r="S906" s="3"/>
      <c r="T906" s="3"/>
      <c r="U906" s="3"/>
      <c r="V906" s="3"/>
      <c r="W906" s="3"/>
      <c r="X906" s="3"/>
      <c r="Y906" s="3"/>
      <c r="Z906" s="3"/>
      <c r="AA906" s="3"/>
      <c r="AB906" s="3"/>
      <c r="AC906" s="3"/>
      <c r="AD906" s="3"/>
      <c r="AE906" s="3"/>
      <c r="AF906" s="3"/>
      <c r="AG906" s="3"/>
      <c r="AH906" s="3"/>
      <c r="AI906" s="3"/>
      <c r="AJ906" s="3"/>
      <c r="AK906" s="3"/>
      <c r="AL906" s="3"/>
    </row>
    <row r="907" spans="1:38" ht="15.75" customHeight="1" x14ac:dyDescent="0.2">
      <c r="A907" s="118"/>
      <c r="B907" s="118"/>
      <c r="C907" s="118"/>
      <c r="D907" s="118"/>
      <c r="E907" s="118"/>
      <c r="F907" s="118"/>
      <c r="G907" s="118"/>
      <c r="H907" s="118"/>
      <c r="I907" s="118"/>
      <c r="J907" s="118"/>
      <c r="K907" s="118"/>
      <c r="L907" s="118"/>
      <c r="M907" s="118"/>
      <c r="N907" s="42"/>
      <c r="O907" s="42"/>
      <c r="P907" s="42"/>
      <c r="Q907" s="42"/>
      <c r="R907" s="42"/>
      <c r="S907" s="3"/>
      <c r="T907" s="3"/>
      <c r="U907" s="3"/>
      <c r="V907" s="3"/>
      <c r="W907" s="3"/>
      <c r="X907" s="3"/>
      <c r="Y907" s="3"/>
      <c r="Z907" s="3"/>
      <c r="AA907" s="3"/>
      <c r="AB907" s="3"/>
      <c r="AC907" s="3"/>
      <c r="AD907" s="3"/>
      <c r="AE907" s="3"/>
      <c r="AF907" s="3"/>
      <c r="AG907" s="3"/>
      <c r="AH907" s="3"/>
      <c r="AI907" s="3"/>
      <c r="AJ907" s="3"/>
      <c r="AK907" s="3"/>
      <c r="AL907" s="3"/>
    </row>
    <row r="908" spans="1:38" ht="15.75" customHeight="1" x14ac:dyDescent="0.2">
      <c r="A908" s="118"/>
      <c r="B908" s="118"/>
      <c r="C908" s="118"/>
      <c r="D908" s="118"/>
      <c r="E908" s="118"/>
      <c r="F908" s="118"/>
      <c r="G908" s="118"/>
      <c r="H908" s="118"/>
      <c r="I908" s="118"/>
      <c r="J908" s="118"/>
      <c r="K908" s="118"/>
      <c r="L908" s="118"/>
      <c r="M908" s="118"/>
      <c r="N908" s="42"/>
      <c r="O908" s="42"/>
      <c r="P908" s="42"/>
      <c r="Q908" s="42"/>
      <c r="R908" s="42"/>
      <c r="S908" s="3"/>
      <c r="T908" s="3"/>
      <c r="U908" s="3"/>
      <c r="V908" s="3"/>
      <c r="W908" s="3"/>
      <c r="X908" s="3"/>
      <c r="Y908" s="3"/>
      <c r="Z908" s="3"/>
      <c r="AA908" s="3"/>
      <c r="AB908" s="3"/>
      <c r="AC908" s="3"/>
      <c r="AD908" s="3"/>
      <c r="AE908" s="3"/>
      <c r="AF908" s="3"/>
      <c r="AG908" s="3"/>
      <c r="AH908" s="3"/>
      <c r="AI908" s="3"/>
      <c r="AJ908" s="3"/>
      <c r="AK908" s="3"/>
      <c r="AL908" s="3"/>
    </row>
    <row r="909" spans="1:38" ht="15.75" customHeight="1" x14ac:dyDescent="0.2">
      <c r="A909" s="118"/>
      <c r="B909" s="118"/>
      <c r="C909" s="118"/>
      <c r="D909" s="118"/>
      <c r="E909" s="118"/>
      <c r="F909" s="118"/>
      <c r="G909" s="118"/>
      <c r="H909" s="118"/>
      <c r="I909" s="118"/>
      <c r="J909" s="118"/>
      <c r="K909" s="118"/>
      <c r="L909" s="118"/>
      <c r="M909" s="118"/>
      <c r="N909" s="42"/>
      <c r="O909" s="42"/>
      <c r="P909" s="42"/>
      <c r="Q909" s="42"/>
      <c r="R909" s="42"/>
      <c r="S909" s="3"/>
      <c r="T909" s="3"/>
      <c r="U909" s="3"/>
      <c r="V909" s="3"/>
      <c r="W909" s="3"/>
      <c r="X909" s="3"/>
      <c r="Y909" s="3"/>
      <c r="Z909" s="3"/>
      <c r="AA909" s="3"/>
      <c r="AB909" s="3"/>
      <c r="AC909" s="3"/>
      <c r="AD909" s="3"/>
      <c r="AE909" s="3"/>
      <c r="AF909" s="3"/>
      <c r="AG909" s="3"/>
      <c r="AH909" s="3"/>
      <c r="AI909" s="3"/>
      <c r="AJ909" s="3"/>
      <c r="AK909" s="3"/>
      <c r="AL909" s="3"/>
    </row>
    <row r="910" spans="1:38" ht="15.75" customHeight="1" x14ac:dyDescent="0.2">
      <c r="A910" s="118"/>
      <c r="B910" s="118"/>
      <c r="C910" s="118"/>
      <c r="D910" s="118"/>
      <c r="E910" s="118"/>
      <c r="F910" s="118"/>
      <c r="G910" s="118"/>
      <c r="H910" s="118"/>
      <c r="I910" s="118"/>
      <c r="J910" s="118"/>
      <c r="K910" s="118"/>
      <c r="L910" s="118"/>
      <c r="M910" s="118"/>
      <c r="N910" s="42"/>
      <c r="O910" s="42"/>
      <c r="P910" s="42"/>
      <c r="Q910" s="42"/>
      <c r="R910" s="42"/>
      <c r="S910" s="3"/>
      <c r="T910" s="3"/>
      <c r="U910" s="3"/>
      <c r="V910" s="3"/>
      <c r="W910" s="3"/>
      <c r="X910" s="3"/>
      <c r="Y910" s="3"/>
      <c r="Z910" s="3"/>
      <c r="AA910" s="3"/>
      <c r="AB910" s="3"/>
      <c r="AC910" s="3"/>
      <c r="AD910" s="3"/>
      <c r="AE910" s="3"/>
      <c r="AF910" s="3"/>
      <c r="AG910" s="3"/>
      <c r="AH910" s="3"/>
      <c r="AI910" s="3"/>
      <c r="AJ910" s="3"/>
      <c r="AK910" s="3"/>
      <c r="AL910" s="3"/>
    </row>
    <row r="911" spans="1:38" ht="15.75" customHeight="1" x14ac:dyDescent="0.2">
      <c r="A911" s="118"/>
      <c r="B911" s="118"/>
      <c r="C911" s="118"/>
      <c r="D911" s="118"/>
      <c r="E911" s="118"/>
      <c r="F911" s="118"/>
      <c r="G911" s="118"/>
      <c r="H911" s="118"/>
      <c r="I911" s="118"/>
      <c r="J911" s="118"/>
      <c r="K911" s="118"/>
      <c r="L911" s="118"/>
      <c r="M911" s="118"/>
      <c r="N911" s="42"/>
      <c r="O911" s="42"/>
      <c r="P911" s="42"/>
      <c r="Q911" s="42"/>
      <c r="R911" s="42"/>
      <c r="S911" s="3"/>
      <c r="T911" s="3"/>
      <c r="U911" s="3"/>
      <c r="V911" s="3"/>
      <c r="W911" s="3"/>
      <c r="X911" s="3"/>
      <c r="Y911" s="3"/>
      <c r="Z911" s="3"/>
      <c r="AA911" s="3"/>
      <c r="AB911" s="3"/>
      <c r="AC911" s="3"/>
      <c r="AD911" s="3"/>
      <c r="AE911" s="3"/>
      <c r="AF911" s="3"/>
      <c r="AG911" s="3"/>
      <c r="AH911" s="3"/>
      <c r="AI911" s="3"/>
      <c r="AJ911" s="3"/>
      <c r="AK911" s="3"/>
      <c r="AL911" s="3"/>
    </row>
    <row r="912" spans="1:38" ht="15.75" customHeight="1" x14ac:dyDescent="0.2">
      <c r="A912" s="118"/>
      <c r="B912" s="118"/>
      <c r="C912" s="118"/>
      <c r="D912" s="118"/>
      <c r="E912" s="118"/>
      <c r="F912" s="118"/>
      <c r="G912" s="118"/>
      <c r="H912" s="118"/>
      <c r="I912" s="118"/>
      <c r="J912" s="118"/>
      <c r="K912" s="118"/>
      <c r="L912" s="118"/>
      <c r="M912" s="118"/>
      <c r="N912" s="42"/>
      <c r="O912" s="42"/>
      <c r="P912" s="42"/>
      <c r="Q912" s="42"/>
      <c r="R912" s="42"/>
      <c r="S912" s="3"/>
      <c r="T912" s="3"/>
      <c r="U912" s="3"/>
      <c r="V912" s="3"/>
      <c r="W912" s="3"/>
      <c r="X912" s="3"/>
      <c r="Y912" s="3"/>
      <c r="Z912" s="3"/>
      <c r="AA912" s="3"/>
      <c r="AB912" s="3"/>
      <c r="AC912" s="3"/>
      <c r="AD912" s="3"/>
      <c r="AE912" s="3"/>
      <c r="AF912" s="3"/>
      <c r="AG912" s="3"/>
      <c r="AH912" s="3"/>
      <c r="AI912" s="3"/>
      <c r="AJ912" s="3"/>
      <c r="AK912" s="3"/>
      <c r="AL912" s="3"/>
    </row>
    <row r="913" spans="1:38" ht="15.75" customHeight="1" x14ac:dyDescent="0.2">
      <c r="A913" s="118"/>
      <c r="B913" s="118"/>
      <c r="C913" s="118"/>
      <c r="D913" s="118"/>
      <c r="E913" s="118"/>
      <c r="F913" s="118"/>
      <c r="G913" s="118"/>
      <c r="H913" s="118"/>
      <c r="I913" s="118"/>
      <c r="J913" s="118"/>
      <c r="K913" s="118"/>
      <c r="L913" s="118"/>
      <c r="M913" s="118"/>
      <c r="N913" s="42"/>
      <c r="O913" s="42"/>
      <c r="P913" s="42"/>
      <c r="Q913" s="42"/>
      <c r="R913" s="42"/>
      <c r="S913" s="3"/>
      <c r="T913" s="3"/>
      <c r="U913" s="3"/>
      <c r="V913" s="3"/>
      <c r="W913" s="3"/>
      <c r="X913" s="3"/>
      <c r="Y913" s="3"/>
      <c r="Z913" s="3"/>
      <c r="AA913" s="3"/>
      <c r="AB913" s="3"/>
      <c r="AC913" s="3"/>
      <c r="AD913" s="3"/>
      <c r="AE913" s="3"/>
      <c r="AF913" s="3"/>
      <c r="AG913" s="3"/>
      <c r="AH913" s="3"/>
      <c r="AI913" s="3"/>
      <c r="AJ913" s="3"/>
      <c r="AK913" s="3"/>
      <c r="AL913" s="3"/>
    </row>
    <row r="914" spans="1:38" ht="15.75" customHeight="1" x14ac:dyDescent="0.2">
      <c r="A914" s="118"/>
      <c r="B914" s="118"/>
      <c r="C914" s="118"/>
      <c r="D914" s="118"/>
      <c r="E914" s="118"/>
      <c r="F914" s="118"/>
      <c r="G914" s="118"/>
      <c r="H914" s="118"/>
      <c r="I914" s="118"/>
      <c r="J914" s="118"/>
      <c r="K914" s="118"/>
      <c r="L914" s="118"/>
      <c r="M914" s="118"/>
      <c r="N914" s="42"/>
      <c r="O914" s="42"/>
      <c r="P914" s="42"/>
      <c r="Q914" s="42"/>
      <c r="R914" s="42"/>
      <c r="S914" s="3"/>
      <c r="T914" s="3"/>
      <c r="U914" s="3"/>
      <c r="V914" s="3"/>
      <c r="W914" s="3"/>
      <c r="X914" s="3"/>
      <c r="Y914" s="3"/>
      <c r="Z914" s="3"/>
      <c r="AA914" s="3"/>
      <c r="AB914" s="3"/>
      <c r="AC914" s="3"/>
      <c r="AD914" s="3"/>
      <c r="AE914" s="3"/>
      <c r="AF914" s="3"/>
      <c r="AG914" s="3"/>
      <c r="AH914" s="3"/>
      <c r="AI914" s="3"/>
      <c r="AJ914" s="3"/>
      <c r="AK914" s="3"/>
      <c r="AL914" s="3"/>
    </row>
    <row r="915" spans="1:38" ht="15.75" customHeight="1" x14ac:dyDescent="0.2">
      <c r="A915" s="118"/>
      <c r="B915" s="118"/>
      <c r="C915" s="118"/>
      <c r="D915" s="118"/>
      <c r="E915" s="118"/>
      <c r="F915" s="118"/>
      <c r="G915" s="118"/>
      <c r="H915" s="118"/>
      <c r="I915" s="118"/>
      <c r="J915" s="118"/>
      <c r="K915" s="118"/>
      <c r="L915" s="118"/>
      <c r="M915" s="118"/>
      <c r="N915" s="42"/>
      <c r="O915" s="42"/>
      <c r="P915" s="42"/>
      <c r="Q915" s="42"/>
      <c r="R915" s="42"/>
      <c r="S915" s="3"/>
      <c r="T915" s="3"/>
      <c r="U915" s="3"/>
      <c r="V915" s="3"/>
      <c r="W915" s="3"/>
      <c r="X915" s="3"/>
      <c r="Y915" s="3"/>
      <c r="Z915" s="3"/>
      <c r="AA915" s="3"/>
      <c r="AB915" s="3"/>
      <c r="AC915" s="3"/>
      <c r="AD915" s="3"/>
      <c r="AE915" s="3"/>
      <c r="AF915" s="3"/>
      <c r="AG915" s="3"/>
      <c r="AH915" s="3"/>
      <c r="AI915" s="3"/>
      <c r="AJ915" s="3"/>
      <c r="AK915" s="3"/>
      <c r="AL915" s="3"/>
    </row>
    <row r="916" spans="1:38" ht="15.75" customHeight="1" x14ac:dyDescent="0.2">
      <c r="A916" s="118"/>
      <c r="B916" s="118"/>
      <c r="C916" s="118"/>
      <c r="D916" s="118"/>
      <c r="E916" s="118"/>
      <c r="F916" s="118"/>
      <c r="G916" s="118"/>
      <c r="H916" s="118"/>
      <c r="I916" s="118"/>
      <c r="J916" s="118"/>
      <c r="K916" s="118"/>
      <c r="L916" s="118"/>
      <c r="M916" s="118"/>
      <c r="N916" s="42"/>
      <c r="O916" s="42"/>
      <c r="P916" s="42"/>
      <c r="Q916" s="42"/>
      <c r="R916" s="42"/>
      <c r="S916" s="3"/>
      <c r="T916" s="3"/>
      <c r="U916" s="3"/>
      <c r="V916" s="3"/>
      <c r="W916" s="3"/>
      <c r="X916" s="3"/>
      <c r="Y916" s="3"/>
      <c r="Z916" s="3"/>
      <c r="AA916" s="3"/>
      <c r="AB916" s="3"/>
      <c r="AC916" s="3"/>
      <c r="AD916" s="3"/>
      <c r="AE916" s="3"/>
      <c r="AF916" s="3"/>
      <c r="AG916" s="3"/>
      <c r="AH916" s="3"/>
      <c r="AI916" s="3"/>
      <c r="AJ916" s="3"/>
      <c r="AK916" s="3"/>
      <c r="AL916" s="3"/>
    </row>
    <row r="917" spans="1:38" ht="15.75" customHeight="1" x14ac:dyDescent="0.2">
      <c r="A917" s="118"/>
      <c r="B917" s="118"/>
      <c r="C917" s="118"/>
      <c r="D917" s="118"/>
      <c r="E917" s="118"/>
      <c r="F917" s="118"/>
      <c r="G917" s="118"/>
      <c r="H917" s="118"/>
      <c r="I917" s="118"/>
      <c r="J917" s="118"/>
      <c r="K917" s="118"/>
      <c r="L917" s="118"/>
      <c r="M917" s="118"/>
      <c r="N917" s="42"/>
      <c r="O917" s="42"/>
      <c r="P917" s="42"/>
      <c r="Q917" s="42"/>
      <c r="R917" s="42"/>
      <c r="S917" s="3"/>
      <c r="T917" s="3"/>
      <c r="U917" s="3"/>
      <c r="V917" s="3"/>
      <c r="W917" s="3"/>
      <c r="X917" s="3"/>
      <c r="Y917" s="3"/>
      <c r="Z917" s="3"/>
      <c r="AA917" s="3"/>
      <c r="AB917" s="3"/>
      <c r="AC917" s="3"/>
      <c r="AD917" s="3"/>
      <c r="AE917" s="3"/>
      <c r="AF917" s="3"/>
      <c r="AG917" s="3"/>
      <c r="AH917" s="3"/>
      <c r="AI917" s="3"/>
      <c r="AJ917" s="3"/>
      <c r="AK917" s="3"/>
      <c r="AL917" s="3"/>
    </row>
    <row r="918" spans="1:38" ht="15.75" customHeight="1" x14ac:dyDescent="0.2">
      <c r="A918" s="118"/>
      <c r="B918" s="118"/>
      <c r="C918" s="118"/>
      <c r="D918" s="118"/>
      <c r="E918" s="118"/>
      <c r="F918" s="118"/>
      <c r="G918" s="118"/>
      <c r="H918" s="118"/>
      <c r="I918" s="118"/>
      <c r="J918" s="118"/>
      <c r="K918" s="118"/>
      <c r="L918" s="118"/>
      <c r="M918" s="118"/>
      <c r="N918" s="42"/>
      <c r="O918" s="42"/>
      <c r="P918" s="42"/>
      <c r="Q918" s="42"/>
      <c r="R918" s="42"/>
      <c r="S918" s="3"/>
      <c r="T918" s="3"/>
      <c r="U918" s="3"/>
      <c r="V918" s="3"/>
      <c r="W918" s="3"/>
      <c r="X918" s="3"/>
      <c r="Y918" s="3"/>
      <c r="Z918" s="3"/>
      <c r="AA918" s="3"/>
      <c r="AB918" s="3"/>
      <c r="AC918" s="3"/>
      <c r="AD918" s="3"/>
      <c r="AE918" s="3"/>
      <c r="AF918" s="3"/>
      <c r="AG918" s="3"/>
      <c r="AH918" s="3"/>
      <c r="AI918" s="3"/>
      <c r="AJ918" s="3"/>
      <c r="AK918" s="3"/>
      <c r="AL918" s="3"/>
    </row>
    <row r="919" spans="1:38" ht="15.75" customHeight="1" x14ac:dyDescent="0.2">
      <c r="A919" s="118"/>
      <c r="B919" s="118"/>
      <c r="C919" s="118"/>
      <c r="D919" s="118"/>
      <c r="E919" s="118"/>
      <c r="F919" s="118"/>
      <c r="G919" s="118"/>
      <c r="H919" s="118"/>
      <c r="I919" s="118"/>
      <c r="J919" s="118"/>
      <c r="K919" s="118"/>
      <c r="L919" s="118"/>
      <c r="M919" s="118"/>
      <c r="N919" s="42"/>
      <c r="O919" s="42"/>
      <c r="P919" s="42"/>
      <c r="Q919" s="42"/>
      <c r="R919" s="42"/>
      <c r="S919" s="3"/>
      <c r="T919" s="3"/>
      <c r="U919" s="3"/>
      <c r="V919" s="3"/>
      <c r="W919" s="3"/>
      <c r="X919" s="3"/>
      <c r="Y919" s="3"/>
      <c r="Z919" s="3"/>
      <c r="AA919" s="3"/>
      <c r="AB919" s="3"/>
      <c r="AC919" s="3"/>
      <c r="AD919" s="3"/>
      <c r="AE919" s="3"/>
      <c r="AF919" s="3"/>
      <c r="AG919" s="3"/>
      <c r="AH919" s="3"/>
      <c r="AI919" s="3"/>
      <c r="AJ919" s="3"/>
      <c r="AK919" s="3"/>
      <c r="AL919" s="3"/>
    </row>
    <row r="920" spans="1:38" ht="15.75" customHeight="1" x14ac:dyDescent="0.2">
      <c r="A920" s="118"/>
      <c r="B920" s="118"/>
      <c r="C920" s="118"/>
      <c r="D920" s="118"/>
      <c r="E920" s="118"/>
      <c r="F920" s="118"/>
      <c r="G920" s="118"/>
      <c r="H920" s="118"/>
      <c r="I920" s="118"/>
      <c r="J920" s="118"/>
      <c r="K920" s="118"/>
      <c r="L920" s="118"/>
      <c r="M920" s="118"/>
      <c r="N920" s="42"/>
      <c r="O920" s="42"/>
      <c r="P920" s="42"/>
      <c r="Q920" s="42"/>
      <c r="R920" s="42"/>
      <c r="S920" s="3"/>
      <c r="T920" s="3"/>
      <c r="U920" s="3"/>
      <c r="V920" s="3"/>
      <c r="W920" s="3"/>
      <c r="X920" s="3"/>
      <c r="Y920" s="3"/>
      <c r="Z920" s="3"/>
      <c r="AA920" s="3"/>
      <c r="AB920" s="3"/>
      <c r="AC920" s="3"/>
      <c r="AD920" s="3"/>
      <c r="AE920" s="3"/>
      <c r="AF920" s="3"/>
      <c r="AG920" s="3"/>
      <c r="AH920" s="3"/>
      <c r="AI920" s="3"/>
      <c r="AJ920" s="3"/>
      <c r="AK920" s="3"/>
      <c r="AL920" s="3"/>
    </row>
    <row r="921" spans="1:38" ht="15.75" customHeight="1" x14ac:dyDescent="0.2">
      <c r="A921" s="118"/>
      <c r="B921" s="118"/>
      <c r="C921" s="118"/>
      <c r="D921" s="118"/>
      <c r="E921" s="118"/>
      <c r="F921" s="118"/>
      <c r="G921" s="118"/>
      <c r="H921" s="118"/>
      <c r="I921" s="118"/>
      <c r="J921" s="118"/>
      <c r="K921" s="118"/>
      <c r="L921" s="118"/>
      <c r="M921" s="118"/>
      <c r="N921" s="42"/>
      <c r="O921" s="42"/>
      <c r="P921" s="42"/>
      <c r="Q921" s="42"/>
      <c r="R921" s="42"/>
      <c r="S921" s="3"/>
      <c r="T921" s="3"/>
      <c r="U921" s="3"/>
      <c r="V921" s="3"/>
      <c r="W921" s="3"/>
      <c r="X921" s="3"/>
      <c r="Y921" s="3"/>
      <c r="Z921" s="3"/>
      <c r="AA921" s="3"/>
      <c r="AB921" s="3"/>
      <c r="AC921" s="3"/>
      <c r="AD921" s="3"/>
      <c r="AE921" s="3"/>
      <c r="AF921" s="3"/>
      <c r="AG921" s="3"/>
      <c r="AH921" s="3"/>
      <c r="AI921" s="3"/>
      <c r="AJ921" s="3"/>
      <c r="AK921" s="3"/>
      <c r="AL921" s="3"/>
    </row>
    <row r="922" spans="1:38" ht="15.75" customHeight="1" x14ac:dyDescent="0.2">
      <c r="A922" s="118"/>
      <c r="B922" s="118"/>
      <c r="C922" s="118"/>
      <c r="D922" s="118"/>
      <c r="E922" s="118"/>
      <c r="F922" s="118"/>
      <c r="G922" s="118"/>
      <c r="H922" s="118"/>
      <c r="I922" s="118"/>
      <c r="J922" s="118"/>
      <c r="K922" s="118"/>
      <c r="L922" s="118"/>
      <c r="M922" s="118"/>
      <c r="N922" s="42"/>
      <c r="O922" s="42"/>
      <c r="P922" s="42"/>
      <c r="Q922" s="42"/>
      <c r="R922" s="42"/>
      <c r="S922" s="3"/>
      <c r="T922" s="3"/>
      <c r="U922" s="3"/>
      <c r="V922" s="3"/>
      <c r="W922" s="3"/>
      <c r="X922" s="3"/>
      <c r="Y922" s="3"/>
      <c r="Z922" s="3"/>
      <c r="AA922" s="3"/>
      <c r="AB922" s="3"/>
      <c r="AC922" s="3"/>
      <c r="AD922" s="3"/>
      <c r="AE922" s="3"/>
      <c r="AF922" s="3"/>
      <c r="AG922" s="3"/>
      <c r="AH922" s="3"/>
      <c r="AI922" s="3"/>
      <c r="AJ922" s="3"/>
      <c r="AK922" s="3"/>
      <c r="AL922" s="3"/>
    </row>
    <row r="923" spans="1:38" ht="15.75" customHeight="1" x14ac:dyDescent="0.2">
      <c r="A923" s="118"/>
      <c r="B923" s="118"/>
      <c r="C923" s="118"/>
      <c r="D923" s="118"/>
      <c r="E923" s="118"/>
      <c r="F923" s="118"/>
      <c r="G923" s="118"/>
      <c r="H923" s="118"/>
      <c r="I923" s="118"/>
      <c r="J923" s="118"/>
      <c r="K923" s="118"/>
      <c r="L923" s="118"/>
      <c r="M923" s="118"/>
      <c r="N923" s="42"/>
      <c r="O923" s="42"/>
      <c r="P923" s="42"/>
      <c r="Q923" s="42"/>
      <c r="R923" s="42"/>
      <c r="S923" s="3"/>
      <c r="T923" s="3"/>
      <c r="U923" s="3"/>
      <c r="V923" s="3"/>
      <c r="W923" s="3"/>
      <c r="X923" s="3"/>
      <c r="Y923" s="3"/>
      <c r="Z923" s="3"/>
      <c r="AA923" s="3"/>
      <c r="AB923" s="3"/>
      <c r="AC923" s="3"/>
      <c r="AD923" s="3"/>
      <c r="AE923" s="3"/>
      <c r="AF923" s="3"/>
      <c r="AG923" s="3"/>
      <c r="AH923" s="3"/>
      <c r="AI923" s="3"/>
      <c r="AJ923" s="3"/>
      <c r="AK923" s="3"/>
      <c r="AL923" s="3"/>
    </row>
    <row r="924" spans="1:38" ht="15.75" customHeight="1" x14ac:dyDescent="0.2">
      <c r="A924" s="118"/>
      <c r="B924" s="118"/>
      <c r="C924" s="118"/>
      <c r="D924" s="118"/>
      <c r="E924" s="118"/>
      <c r="F924" s="118"/>
      <c r="G924" s="118"/>
      <c r="H924" s="118"/>
      <c r="I924" s="118"/>
      <c r="J924" s="118"/>
      <c r="K924" s="118"/>
      <c r="L924" s="118"/>
      <c r="M924" s="118"/>
      <c r="N924" s="42"/>
      <c r="O924" s="42"/>
      <c r="P924" s="42"/>
      <c r="Q924" s="42"/>
      <c r="R924" s="42"/>
      <c r="S924" s="3"/>
      <c r="T924" s="3"/>
      <c r="U924" s="3"/>
      <c r="V924" s="3"/>
      <c r="W924" s="3"/>
      <c r="X924" s="3"/>
      <c r="Y924" s="3"/>
      <c r="Z924" s="3"/>
      <c r="AA924" s="3"/>
      <c r="AB924" s="3"/>
      <c r="AC924" s="3"/>
      <c r="AD924" s="3"/>
      <c r="AE924" s="3"/>
      <c r="AF924" s="3"/>
      <c r="AG924" s="3"/>
      <c r="AH924" s="3"/>
      <c r="AI924" s="3"/>
      <c r="AJ924" s="3"/>
      <c r="AK924" s="3"/>
      <c r="AL924" s="3"/>
    </row>
    <row r="925" spans="1:38" ht="15.75" customHeight="1" x14ac:dyDescent="0.2">
      <c r="A925" s="118"/>
      <c r="B925" s="118"/>
      <c r="C925" s="118"/>
      <c r="D925" s="118"/>
      <c r="E925" s="118"/>
      <c r="F925" s="118"/>
      <c r="G925" s="118"/>
      <c r="H925" s="118"/>
      <c r="I925" s="118"/>
      <c r="J925" s="118"/>
      <c r="K925" s="118"/>
      <c r="L925" s="118"/>
      <c r="M925" s="118"/>
      <c r="N925" s="42"/>
      <c r="O925" s="42"/>
      <c r="P925" s="42"/>
      <c r="Q925" s="42"/>
      <c r="R925" s="42"/>
      <c r="S925" s="3"/>
      <c r="T925" s="3"/>
      <c r="U925" s="3"/>
      <c r="V925" s="3"/>
      <c r="W925" s="3"/>
      <c r="X925" s="3"/>
      <c r="Y925" s="3"/>
      <c r="Z925" s="3"/>
      <c r="AA925" s="3"/>
      <c r="AB925" s="3"/>
      <c r="AC925" s="3"/>
      <c r="AD925" s="3"/>
      <c r="AE925" s="3"/>
      <c r="AF925" s="3"/>
      <c r="AG925" s="3"/>
      <c r="AH925" s="3"/>
      <c r="AI925" s="3"/>
      <c r="AJ925" s="3"/>
      <c r="AK925" s="3"/>
      <c r="AL925" s="3"/>
    </row>
    <row r="926" spans="1:38" ht="15.75" customHeight="1" x14ac:dyDescent="0.2">
      <c r="A926" s="118"/>
      <c r="B926" s="118"/>
      <c r="C926" s="118"/>
      <c r="D926" s="118"/>
      <c r="E926" s="118"/>
      <c r="F926" s="118"/>
      <c r="G926" s="118"/>
      <c r="H926" s="118"/>
      <c r="I926" s="118"/>
      <c r="J926" s="118"/>
      <c r="K926" s="118"/>
      <c r="L926" s="118"/>
      <c r="M926" s="118"/>
      <c r="N926" s="42"/>
      <c r="O926" s="42"/>
      <c r="P926" s="42"/>
      <c r="Q926" s="42"/>
      <c r="R926" s="42"/>
      <c r="S926" s="3"/>
      <c r="T926" s="3"/>
      <c r="U926" s="3"/>
      <c r="V926" s="3"/>
      <c r="W926" s="3"/>
      <c r="X926" s="3"/>
      <c r="Y926" s="3"/>
      <c r="Z926" s="3"/>
      <c r="AA926" s="3"/>
      <c r="AB926" s="3"/>
      <c r="AC926" s="3"/>
      <c r="AD926" s="3"/>
      <c r="AE926" s="3"/>
      <c r="AF926" s="3"/>
      <c r="AG926" s="3"/>
      <c r="AH926" s="3"/>
      <c r="AI926" s="3"/>
      <c r="AJ926" s="3"/>
      <c r="AK926" s="3"/>
      <c r="AL926" s="3"/>
    </row>
    <row r="927" spans="1:38" ht="15.75" customHeight="1" x14ac:dyDescent="0.2">
      <c r="A927" s="118"/>
      <c r="B927" s="118"/>
      <c r="C927" s="118"/>
      <c r="D927" s="118"/>
      <c r="E927" s="118"/>
      <c r="F927" s="118"/>
      <c r="G927" s="118"/>
      <c r="H927" s="118"/>
      <c r="I927" s="118"/>
      <c r="J927" s="118"/>
      <c r="K927" s="118"/>
      <c r="L927" s="118"/>
      <c r="M927" s="118"/>
      <c r="N927" s="42"/>
      <c r="O927" s="42"/>
      <c r="P927" s="42"/>
      <c r="Q927" s="42"/>
      <c r="R927" s="42"/>
      <c r="S927" s="3"/>
      <c r="T927" s="3"/>
      <c r="U927" s="3"/>
      <c r="V927" s="3"/>
      <c r="W927" s="3"/>
      <c r="X927" s="3"/>
      <c r="Y927" s="3"/>
      <c r="Z927" s="3"/>
      <c r="AA927" s="3"/>
      <c r="AB927" s="3"/>
      <c r="AC927" s="3"/>
      <c r="AD927" s="3"/>
      <c r="AE927" s="3"/>
      <c r="AF927" s="3"/>
      <c r="AG927" s="3"/>
      <c r="AH927" s="3"/>
      <c r="AI927" s="3"/>
      <c r="AJ927" s="3"/>
      <c r="AK927" s="3"/>
      <c r="AL927" s="3"/>
    </row>
    <row r="928" spans="1:38" ht="15.75" customHeight="1" x14ac:dyDescent="0.2">
      <c r="A928" s="118"/>
      <c r="B928" s="118"/>
      <c r="C928" s="118"/>
      <c r="D928" s="118"/>
      <c r="E928" s="118"/>
      <c r="F928" s="118"/>
      <c r="G928" s="118"/>
      <c r="H928" s="118"/>
      <c r="I928" s="118"/>
      <c r="J928" s="118"/>
      <c r="K928" s="118"/>
      <c r="L928" s="118"/>
      <c r="M928" s="118"/>
      <c r="N928" s="42"/>
      <c r="O928" s="42"/>
      <c r="P928" s="42"/>
      <c r="Q928" s="42"/>
      <c r="R928" s="42"/>
      <c r="S928" s="3"/>
      <c r="T928" s="3"/>
      <c r="U928" s="3"/>
      <c r="V928" s="3"/>
      <c r="W928" s="3"/>
      <c r="X928" s="3"/>
      <c r="Y928" s="3"/>
      <c r="Z928" s="3"/>
      <c r="AA928" s="3"/>
      <c r="AB928" s="3"/>
      <c r="AC928" s="3"/>
      <c r="AD928" s="3"/>
      <c r="AE928" s="3"/>
      <c r="AF928" s="3"/>
      <c r="AG928" s="3"/>
      <c r="AH928" s="3"/>
      <c r="AI928" s="3"/>
      <c r="AJ928" s="3"/>
      <c r="AK928" s="3"/>
      <c r="AL928" s="3"/>
    </row>
    <row r="929" spans="1:38" ht="15.75" customHeight="1" x14ac:dyDescent="0.2">
      <c r="A929" s="118"/>
      <c r="B929" s="118"/>
      <c r="C929" s="118"/>
      <c r="D929" s="118"/>
      <c r="E929" s="118"/>
      <c r="F929" s="118"/>
      <c r="G929" s="118"/>
      <c r="H929" s="118"/>
      <c r="I929" s="118"/>
      <c r="J929" s="118"/>
      <c r="K929" s="118"/>
      <c r="L929" s="118"/>
      <c r="M929" s="118"/>
      <c r="N929" s="42"/>
      <c r="O929" s="42"/>
      <c r="P929" s="42"/>
      <c r="Q929" s="42"/>
      <c r="R929" s="42"/>
      <c r="S929" s="3"/>
      <c r="T929" s="3"/>
      <c r="U929" s="3"/>
      <c r="V929" s="3"/>
      <c r="W929" s="3"/>
      <c r="X929" s="3"/>
      <c r="Y929" s="3"/>
      <c r="Z929" s="3"/>
      <c r="AA929" s="3"/>
      <c r="AB929" s="3"/>
      <c r="AC929" s="3"/>
      <c r="AD929" s="3"/>
      <c r="AE929" s="3"/>
      <c r="AF929" s="3"/>
      <c r="AG929" s="3"/>
      <c r="AH929" s="3"/>
      <c r="AI929" s="3"/>
      <c r="AJ929" s="3"/>
      <c r="AK929" s="3"/>
      <c r="AL929" s="3"/>
    </row>
    <row r="930" spans="1:38" ht="15.75" customHeight="1" x14ac:dyDescent="0.2">
      <c r="A930" s="118"/>
      <c r="B930" s="118"/>
      <c r="C930" s="118"/>
      <c r="D930" s="118"/>
      <c r="E930" s="118"/>
      <c r="F930" s="118"/>
      <c r="G930" s="118"/>
      <c r="H930" s="118"/>
      <c r="I930" s="118"/>
      <c r="J930" s="118"/>
      <c r="K930" s="118"/>
      <c r="L930" s="118"/>
      <c r="M930" s="118"/>
      <c r="N930" s="42"/>
      <c r="O930" s="42"/>
      <c r="P930" s="42"/>
      <c r="Q930" s="42"/>
      <c r="R930" s="42"/>
      <c r="S930" s="3"/>
      <c r="T930" s="3"/>
      <c r="U930" s="3"/>
      <c r="V930" s="3"/>
      <c r="W930" s="3"/>
      <c r="X930" s="3"/>
      <c r="Y930" s="3"/>
      <c r="Z930" s="3"/>
      <c r="AA930" s="3"/>
      <c r="AB930" s="3"/>
      <c r="AC930" s="3"/>
      <c r="AD930" s="3"/>
      <c r="AE930" s="3"/>
      <c r="AF930" s="3"/>
      <c r="AG930" s="3"/>
      <c r="AH930" s="3"/>
      <c r="AI930" s="3"/>
      <c r="AJ930" s="3"/>
      <c r="AK930" s="3"/>
      <c r="AL930" s="3"/>
    </row>
    <row r="931" spans="1:38" ht="15.75" customHeight="1" x14ac:dyDescent="0.2">
      <c r="A931" s="118"/>
      <c r="B931" s="118"/>
      <c r="C931" s="118"/>
      <c r="D931" s="118"/>
      <c r="E931" s="118"/>
      <c r="F931" s="118"/>
      <c r="G931" s="118"/>
      <c r="H931" s="118"/>
      <c r="I931" s="118"/>
      <c r="J931" s="118"/>
      <c r="K931" s="118"/>
      <c r="L931" s="118"/>
      <c r="M931" s="118"/>
      <c r="N931" s="42"/>
      <c r="O931" s="42"/>
      <c r="P931" s="42"/>
      <c r="Q931" s="42"/>
      <c r="R931" s="42"/>
      <c r="S931" s="3"/>
      <c r="T931" s="3"/>
      <c r="U931" s="3"/>
      <c r="V931" s="3"/>
      <c r="W931" s="3"/>
      <c r="X931" s="3"/>
      <c r="Y931" s="3"/>
      <c r="Z931" s="3"/>
      <c r="AA931" s="3"/>
      <c r="AB931" s="3"/>
      <c r="AC931" s="3"/>
      <c r="AD931" s="3"/>
      <c r="AE931" s="3"/>
      <c r="AF931" s="3"/>
      <c r="AG931" s="3"/>
      <c r="AH931" s="3"/>
      <c r="AI931" s="3"/>
      <c r="AJ931" s="3"/>
      <c r="AK931" s="3"/>
      <c r="AL931" s="3"/>
    </row>
    <row r="932" spans="1:38" ht="15.75" customHeight="1" x14ac:dyDescent="0.2">
      <c r="A932" s="118"/>
      <c r="B932" s="118"/>
      <c r="C932" s="118"/>
      <c r="D932" s="118"/>
      <c r="E932" s="118"/>
      <c r="F932" s="118"/>
      <c r="G932" s="118"/>
      <c r="H932" s="118"/>
      <c r="I932" s="118"/>
      <c r="J932" s="118"/>
      <c r="K932" s="118"/>
      <c r="L932" s="118"/>
      <c r="M932" s="118"/>
      <c r="N932" s="42"/>
      <c r="O932" s="42"/>
      <c r="P932" s="42"/>
      <c r="Q932" s="42"/>
      <c r="R932" s="42"/>
      <c r="S932" s="3"/>
      <c r="T932" s="3"/>
      <c r="U932" s="3"/>
      <c r="V932" s="3"/>
      <c r="W932" s="3"/>
      <c r="X932" s="3"/>
      <c r="Y932" s="3"/>
      <c r="Z932" s="3"/>
      <c r="AA932" s="3"/>
      <c r="AB932" s="3"/>
      <c r="AC932" s="3"/>
      <c r="AD932" s="3"/>
      <c r="AE932" s="3"/>
      <c r="AF932" s="3"/>
      <c r="AG932" s="3"/>
      <c r="AH932" s="3"/>
      <c r="AI932" s="3"/>
      <c r="AJ932" s="3"/>
      <c r="AK932" s="3"/>
      <c r="AL932" s="3"/>
    </row>
    <row r="933" spans="1:38" ht="15.75" customHeight="1" x14ac:dyDescent="0.2">
      <c r="A933" s="118"/>
      <c r="B933" s="118"/>
      <c r="C933" s="118"/>
      <c r="D933" s="118"/>
      <c r="E933" s="118"/>
      <c r="F933" s="118"/>
      <c r="G933" s="118"/>
      <c r="H933" s="118"/>
      <c r="I933" s="118"/>
      <c r="J933" s="118"/>
      <c r="K933" s="118"/>
      <c r="L933" s="118"/>
      <c r="M933" s="118"/>
      <c r="N933" s="42"/>
      <c r="O933" s="42"/>
      <c r="P933" s="42"/>
      <c r="Q933" s="42"/>
      <c r="R933" s="42"/>
      <c r="S933" s="3"/>
      <c r="T933" s="3"/>
      <c r="U933" s="3"/>
      <c r="V933" s="3"/>
      <c r="W933" s="3"/>
      <c r="X933" s="3"/>
      <c r="Y933" s="3"/>
      <c r="Z933" s="3"/>
      <c r="AA933" s="3"/>
      <c r="AB933" s="3"/>
      <c r="AC933" s="3"/>
      <c r="AD933" s="3"/>
      <c r="AE933" s="3"/>
      <c r="AF933" s="3"/>
      <c r="AG933" s="3"/>
      <c r="AH933" s="3"/>
      <c r="AI933" s="3"/>
      <c r="AJ933" s="3"/>
      <c r="AK933" s="3"/>
      <c r="AL933" s="3"/>
    </row>
    <row r="934" spans="1:38" ht="15.75" customHeight="1" x14ac:dyDescent="0.2">
      <c r="A934" s="118"/>
      <c r="B934" s="118"/>
      <c r="C934" s="118"/>
      <c r="D934" s="118"/>
      <c r="E934" s="118"/>
      <c r="F934" s="118"/>
      <c r="G934" s="118"/>
      <c r="H934" s="118"/>
      <c r="I934" s="118"/>
      <c r="J934" s="118"/>
      <c r="K934" s="118"/>
      <c r="L934" s="118"/>
      <c r="M934" s="118"/>
      <c r="N934" s="42"/>
      <c r="O934" s="42"/>
      <c r="P934" s="42"/>
      <c r="Q934" s="42"/>
      <c r="R934" s="42"/>
      <c r="S934" s="3"/>
      <c r="T934" s="3"/>
      <c r="U934" s="3"/>
      <c r="V934" s="3"/>
      <c r="W934" s="3"/>
      <c r="X934" s="3"/>
      <c r="Y934" s="3"/>
      <c r="Z934" s="3"/>
      <c r="AA934" s="3"/>
      <c r="AB934" s="3"/>
      <c r="AC934" s="3"/>
      <c r="AD934" s="3"/>
      <c r="AE934" s="3"/>
      <c r="AF934" s="3"/>
      <c r="AG934" s="3"/>
      <c r="AH934" s="3"/>
      <c r="AI934" s="3"/>
      <c r="AJ934" s="3"/>
      <c r="AK934" s="3"/>
      <c r="AL934" s="3"/>
    </row>
    <row r="935" spans="1:38" ht="15.75" customHeight="1" x14ac:dyDescent="0.2">
      <c r="A935" s="118"/>
      <c r="B935" s="118"/>
      <c r="C935" s="118"/>
      <c r="D935" s="118"/>
      <c r="E935" s="118"/>
      <c r="F935" s="118"/>
      <c r="G935" s="118"/>
      <c r="H935" s="118"/>
      <c r="I935" s="118"/>
      <c r="J935" s="118"/>
      <c r="K935" s="118"/>
      <c r="L935" s="118"/>
      <c r="M935" s="118"/>
      <c r="N935" s="42"/>
      <c r="O935" s="42"/>
      <c r="P935" s="42"/>
      <c r="Q935" s="42"/>
      <c r="R935" s="42"/>
      <c r="S935" s="3"/>
      <c r="T935" s="3"/>
      <c r="U935" s="3"/>
      <c r="V935" s="3"/>
      <c r="W935" s="3"/>
      <c r="X935" s="3"/>
      <c r="Y935" s="3"/>
      <c r="Z935" s="3"/>
      <c r="AA935" s="3"/>
      <c r="AB935" s="3"/>
      <c r="AC935" s="3"/>
      <c r="AD935" s="3"/>
      <c r="AE935" s="3"/>
      <c r="AF935" s="3"/>
      <c r="AG935" s="3"/>
      <c r="AH935" s="3"/>
      <c r="AI935" s="3"/>
      <c r="AJ935" s="3"/>
      <c r="AK935" s="3"/>
      <c r="AL935" s="3"/>
    </row>
    <row r="936" spans="1:38" ht="15.75" customHeight="1" x14ac:dyDescent="0.2">
      <c r="A936" s="118"/>
      <c r="B936" s="118"/>
      <c r="C936" s="118"/>
      <c r="D936" s="118"/>
      <c r="E936" s="118"/>
      <c r="F936" s="118"/>
      <c r="G936" s="118"/>
      <c r="H936" s="118"/>
      <c r="I936" s="118"/>
      <c r="J936" s="118"/>
      <c r="K936" s="118"/>
      <c r="L936" s="118"/>
      <c r="M936" s="118"/>
      <c r="N936" s="42"/>
      <c r="O936" s="42"/>
      <c r="P936" s="42"/>
      <c r="Q936" s="42"/>
      <c r="R936" s="42"/>
      <c r="S936" s="3"/>
      <c r="T936" s="3"/>
      <c r="U936" s="3"/>
      <c r="V936" s="3"/>
      <c r="W936" s="3"/>
      <c r="X936" s="3"/>
      <c r="Y936" s="3"/>
      <c r="Z936" s="3"/>
      <c r="AA936" s="3"/>
      <c r="AB936" s="3"/>
      <c r="AC936" s="3"/>
      <c r="AD936" s="3"/>
      <c r="AE936" s="3"/>
      <c r="AF936" s="3"/>
      <c r="AG936" s="3"/>
      <c r="AH936" s="3"/>
      <c r="AI936" s="3"/>
      <c r="AJ936" s="3"/>
      <c r="AK936" s="3"/>
      <c r="AL936" s="3"/>
    </row>
    <row r="937" spans="1:38" ht="15.75" customHeight="1" x14ac:dyDescent="0.2">
      <c r="A937" s="118"/>
      <c r="B937" s="118"/>
      <c r="C937" s="118"/>
      <c r="D937" s="118"/>
      <c r="E937" s="118"/>
      <c r="F937" s="118"/>
      <c r="G937" s="118"/>
      <c r="H937" s="118"/>
      <c r="I937" s="118"/>
      <c r="J937" s="118"/>
      <c r="K937" s="118"/>
      <c r="L937" s="118"/>
      <c r="M937" s="118"/>
      <c r="N937" s="42"/>
      <c r="O937" s="42"/>
      <c r="P937" s="42"/>
      <c r="Q937" s="42"/>
      <c r="R937" s="42"/>
      <c r="S937" s="3"/>
      <c r="T937" s="3"/>
      <c r="U937" s="3"/>
      <c r="V937" s="3"/>
      <c r="W937" s="3"/>
      <c r="X937" s="3"/>
      <c r="Y937" s="3"/>
      <c r="Z937" s="3"/>
      <c r="AA937" s="3"/>
      <c r="AB937" s="3"/>
      <c r="AC937" s="3"/>
      <c r="AD937" s="3"/>
      <c r="AE937" s="3"/>
      <c r="AF937" s="3"/>
      <c r="AG937" s="3"/>
      <c r="AH937" s="3"/>
      <c r="AI937" s="3"/>
      <c r="AJ937" s="3"/>
      <c r="AK937" s="3"/>
      <c r="AL937" s="3"/>
    </row>
    <row r="938" spans="1:38" ht="15.75" customHeight="1" x14ac:dyDescent="0.2">
      <c r="A938" s="118"/>
      <c r="B938" s="118"/>
      <c r="C938" s="118"/>
      <c r="D938" s="118"/>
      <c r="E938" s="118"/>
      <c r="F938" s="118"/>
      <c r="G938" s="118"/>
      <c r="H938" s="118"/>
      <c r="I938" s="118"/>
      <c r="J938" s="118"/>
      <c r="K938" s="118"/>
      <c r="L938" s="118"/>
      <c r="M938" s="118"/>
      <c r="N938" s="42"/>
      <c r="O938" s="42"/>
      <c r="P938" s="42"/>
      <c r="Q938" s="42"/>
      <c r="R938" s="42"/>
      <c r="S938" s="3"/>
      <c r="T938" s="3"/>
      <c r="U938" s="3"/>
      <c r="V938" s="3"/>
      <c r="W938" s="3"/>
      <c r="X938" s="3"/>
      <c r="Y938" s="3"/>
      <c r="Z938" s="3"/>
      <c r="AA938" s="3"/>
      <c r="AB938" s="3"/>
      <c r="AC938" s="3"/>
      <c r="AD938" s="3"/>
      <c r="AE938" s="3"/>
      <c r="AF938" s="3"/>
      <c r="AG938" s="3"/>
      <c r="AH938" s="3"/>
      <c r="AI938" s="3"/>
      <c r="AJ938" s="3"/>
      <c r="AK938" s="3"/>
      <c r="AL938" s="3"/>
    </row>
    <row r="939" spans="1:38" ht="15.75" customHeight="1" x14ac:dyDescent="0.2">
      <c r="A939" s="118"/>
      <c r="B939" s="118"/>
      <c r="C939" s="118"/>
      <c r="D939" s="118"/>
      <c r="E939" s="118"/>
      <c r="F939" s="118"/>
      <c r="G939" s="118"/>
      <c r="H939" s="118"/>
      <c r="I939" s="118"/>
      <c r="J939" s="118"/>
      <c r="K939" s="118"/>
      <c r="L939" s="118"/>
      <c r="M939" s="118"/>
      <c r="N939" s="42"/>
      <c r="O939" s="42"/>
      <c r="P939" s="42"/>
      <c r="Q939" s="42"/>
      <c r="R939" s="42"/>
      <c r="S939" s="3"/>
      <c r="T939" s="3"/>
      <c r="U939" s="3"/>
      <c r="V939" s="3"/>
      <c r="W939" s="3"/>
      <c r="X939" s="3"/>
      <c r="Y939" s="3"/>
      <c r="Z939" s="3"/>
      <c r="AA939" s="3"/>
      <c r="AB939" s="3"/>
      <c r="AC939" s="3"/>
      <c r="AD939" s="3"/>
      <c r="AE939" s="3"/>
      <c r="AF939" s="3"/>
      <c r="AG939" s="3"/>
      <c r="AH939" s="3"/>
      <c r="AI939" s="3"/>
      <c r="AJ939" s="3"/>
      <c r="AK939" s="3"/>
      <c r="AL939" s="3"/>
    </row>
    <row r="940" spans="1:38" ht="15.75" customHeight="1" x14ac:dyDescent="0.2">
      <c r="A940" s="118"/>
      <c r="B940" s="118"/>
      <c r="C940" s="118"/>
      <c r="D940" s="118"/>
      <c r="E940" s="118"/>
      <c r="F940" s="118"/>
      <c r="G940" s="118"/>
      <c r="H940" s="118"/>
      <c r="I940" s="118"/>
      <c r="J940" s="118"/>
      <c r="K940" s="118"/>
      <c r="L940" s="118"/>
      <c r="M940" s="118"/>
      <c r="N940" s="42"/>
      <c r="O940" s="42"/>
      <c r="P940" s="42"/>
      <c r="Q940" s="42"/>
      <c r="R940" s="42"/>
      <c r="S940" s="3"/>
      <c r="T940" s="3"/>
      <c r="U940" s="3"/>
      <c r="V940" s="3"/>
      <c r="W940" s="3"/>
      <c r="X940" s="3"/>
      <c r="Y940" s="3"/>
      <c r="Z940" s="3"/>
      <c r="AA940" s="3"/>
      <c r="AB940" s="3"/>
      <c r="AC940" s="3"/>
      <c r="AD940" s="3"/>
      <c r="AE940" s="3"/>
      <c r="AF940" s="3"/>
      <c r="AG940" s="3"/>
      <c r="AH940" s="3"/>
      <c r="AI940" s="3"/>
      <c r="AJ940" s="3"/>
      <c r="AK940" s="3"/>
      <c r="AL940" s="3"/>
    </row>
    <row r="941" spans="1:38" ht="15.75" customHeight="1" x14ac:dyDescent="0.2">
      <c r="A941" s="118"/>
      <c r="B941" s="118"/>
      <c r="C941" s="118"/>
      <c r="D941" s="118"/>
      <c r="E941" s="118"/>
      <c r="F941" s="118"/>
      <c r="G941" s="118"/>
      <c r="H941" s="118"/>
      <c r="I941" s="118"/>
      <c r="J941" s="118"/>
      <c r="K941" s="118"/>
      <c r="L941" s="118"/>
      <c r="M941" s="118"/>
      <c r="N941" s="42"/>
      <c r="O941" s="42"/>
      <c r="P941" s="42"/>
      <c r="Q941" s="42"/>
      <c r="R941" s="42"/>
      <c r="S941" s="3"/>
      <c r="T941" s="3"/>
      <c r="U941" s="3"/>
      <c r="V941" s="3"/>
      <c r="W941" s="3"/>
      <c r="X941" s="3"/>
      <c r="Y941" s="3"/>
      <c r="Z941" s="3"/>
      <c r="AA941" s="3"/>
      <c r="AB941" s="3"/>
      <c r="AC941" s="3"/>
      <c r="AD941" s="3"/>
      <c r="AE941" s="3"/>
      <c r="AF941" s="3"/>
      <c r="AG941" s="3"/>
      <c r="AH941" s="3"/>
      <c r="AI941" s="3"/>
      <c r="AJ941" s="3"/>
      <c r="AK941" s="3"/>
      <c r="AL941" s="3"/>
    </row>
    <row r="942" spans="1:38" ht="15.75" customHeight="1" x14ac:dyDescent="0.2">
      <c r="A942" s="118"/>
      <c r="B942" s="118"/>
      <c r="C942" s="118"/>
      <c r="D942" s="118"/>
      <c r="E942" s="118"/>
      <c r="F942" s="118"/>
      <c r="G942" s="118"/>
      <c r="H942" s="118"/>
      <c r="I942" s="118"/>
      <c r="J942" s="118"/>
      <c r="K942" s="118"/>
      <c r="L942" s="118"/>
      <c r="M942" s="118"/>
      <c r="N942" s="42"/>
      <c r="O942" s="42"/>
      <c r="P942" s="42"/>
      <c r="Q942" s="42"/>
      <c r="R942" s="42"/>
      <c r="S942" s="3"/>
      <c r="T942" s="3"/>
      <c r="U942" s="3"/>
      <c r="V942" s="3"/>
      <c r="W942" s="3"/>
      <c r="X942" s="3"/>
      <c r="Y942" s="3"/>
      <c r="Z942" s="3"/>
      <c r="AA942" s="3"/>
      <c r="AB942" s="3"/>
      <c r="AC942" s="3"/>
      <c r="AD942" s="3"/>
      <c r="AE942" s="3"/>
      <c r="AF942" s="3"/>
      <c r="AG942" s="3"/>
      <c r="AH942" s="3"/>
      <c r="AI942" s="3"/>
      <c r="AJ942" s="3"/>
      <c r="AK942" s="3"/>
      <c r="AL942" s="3"/>
    </row>
    <row r="943" spans="1:38" ht="15.75" customHeight="1" x14ac:dyDescent="0.2">
      <c r="A943" s="118"/>
      <c r="B943" s="118"/>
      <c r="C943" s="118"/>
      <c r="D943" s="118"/>
      <c r="E943" s="118"/>
      <c r="F943" s="118"/>
      <c r="G943" s="118"/>
      <c r="H943" s="118"/>
      <c r="I943" s="118"/>
      <c r="J943" s="118"/>
      <c r="K943" s="118"/>
      <c r="L943" s="118"/>
      <c r="M943" s="118"/>
      <c r="N943" s="42"/>
      <c r="O943" s="42"/>
      <c r="P943" s="42"/>
      <c r="Q943" s="42"/>
      <c r="R943" s="42"/>
      <c r="S943" s="3"/>
      <c r="T943" s="3"/>
      <c r="U943" s="3"/>
      <c r="V943" s="3"/>
      <c r="W943" s="3"/>
      <c r="X943" s="3"/>
      <c r="Y943" s="3"/>
      <c r="Z943" s="3"/>
      <c r="AA943" s="3"/>
      <c r="AB943" s="3"/>
      <c r="AC943" s="3"/>
      <c r="AD943" s="3"/>
      <c r="AE943" s="3"/>
      <c r="AF943" s="3"/>
      <c r="AG943" s="3"/>
      <c r="AH943" s="3"/>
      <c r="AI943" s="3"/>
      <c r="AJ943" s="3"/>
      <c r="AK943" s="3"/>
      <c r="AL943" s="3"/>
    </row>
    <row r="944" spans="1:38" ht="15.75" customHeight="1" x14ac:dyDescent="0.2">
      <c r="A944" s="118"/>
      <c r="B944" s="118"/>
      <c r="C944" s="118"/>
      <c r="D944" s="118"/>
      <c r="E944" s="118"/>
      <c r="F944" s="118"/>
      <c r="G944" s="118"/>
      <c r="H944" s="118"/>
      <c r="I944" s="118"/>
      <c r="J944" s="118"/>
      <c r="K944" s="118"/>
      <c r="L944" s="118"/>
      <c r="M944" s="118"/>
      <c r="N944" s="42"/>
      <c r="O944" s="42"/>
      <c r="P944" s="42"/>
      <c r="Q944" s="42"/>
      <c r="R944" s="42"/>
      <c r="S944" s="3"/>
      <c r="T944" s="3"/>
      <c r="U944" s="3"/>
      <c r="V944" s="3"/>
      <c r="W944" s="3"/>
      <c r="X944" s="3"/>
      <c r="Y944" s="3"/>
      <c r="Z944" s="3"/>
      <c r="AA944" s="3"/>
      <c r="AB944" s="3"/>
      <c r="AC944" s="3"/>
      <c r="AD944" s="3"/>
      <c r="AE944" s="3"/>
      <c r="AF944" s="3"/>
      <c r="AG944" s="3"/>
      <c r="AH944" s="3"/>
      <c r="AI944" s="3"/>
      <c r="AJ944" s="3"/>
      <c r="AK944" s="3"/>
      <c r="AL944" s="3"/>
    </row>
    <row r="945" spans="1:38" ht="15.75" customHeight="1" x14ac:dyDescent="0.2">
      <c r="A945" s="118"/>
      <c r="B945" s="118"/>
      <c r="C945" s="118"/>
      <c r="D945" s="118"/>
      <c r="E945" s="118"/>
      <c r="F945" s="118"/>
      <c r="G945" s="118"/>
      <c r="H945" s="118"/>
      <c r="I945" s="118"/>
      <c r="J945" s="118"/>
      <c r="K945" s="118"/>
      <c r="L945" s="118"/>
      <c r="M945" s="118"/>
      <c r="N945" s="42"/>
      <c r="O945" s="42"/>
      <c r="P945" s="42"/>
      <c r="Q945" s="42"/>
      <c r="R945" s="42"/>
      <c r="S945" s="3"/>
      <c r="T945" s="3"/>
      <c r="U945" s="3"/>
      <c r="V945" s="3"/>
      <c r="W945" s="3"/>
      <c r="X945" s="3"/>
      <c r="Y945" s="3"/>
      <c r="Z945" s="3"/>
      <c r="AA945" s="3"/>
      <c r="AB945" s="3"/>
      <c r="AC945" s="3"/>
      <c r="AD945" s="3"/>
      <c r="AE945" s="3"/>
      <c r="AF945" s="3"/>
      <c r="AG945" s="3"/>
      <c r="AH945" s="3"/>
      <c r="AI945" s="3"/>
      <c r="AJ945" s="3"/>
      <c r="AK945" s="3"/>
      <c r="AL945" s="3"/>
    </row>
    <row r="946" spans="1:38" ht="15.75" customHeight="1" x14ac:dyDescent="0.2">
      <c r="A946" s="118"/>
      <c r="B946" s="118"/>
      <c r="C946" s="118"/>
      <c r="D946" s="118"/>
      <c r="E946" s="118"/>
      <c r="F946" s="118"/>
      <c r="G946" s="118"/>
      <c r="H946" s="118"/>
      <c r="I946" s="118"/>
      <c r="J946" s="118"/>
      <c r="K946" s="118"/>
      <c r="L946" s="118"/>
      <c r="M946" s="118"/>
      <c r="N946" s="42"/>
      <c r="O946" s="42"/>
      <c r="P946" s="42"/>
      <c r="Q946" s="42"/>
      <c r="R946" s="42"/>
      <c r="S946" s="3"/>
      <c r="T946" s="3"/>
      <c r="U946" s="3"/>
      <c r="V946" s="3"/>
      <c r="W946" s="3"/>
      <c r="X946" s="3"/>
      <c r="Y946" s="3"/>
      <c r="Z946" s="3"/>
      <c r="AA946" s="3"/>
      <c r="AB946" s="3"/>
      <c r="AC946" s="3"/>
      <c r="AD946" s="3"/>
      <c r="AE946" s="3"/>
      <c r="AF946" s="3"/>
      <c r="AG946" s="3"/>
      <c r="AH946" s="3"/>
      <c r="AI946" s="3"/>
      <c r="AJ946" s="3"/>
      <c r="AK946" s="3"/>
      <c r="AL946" s="3"/>
    </row>
    <row r="947" spans="1:38" ht="15.75" customHeight="1" x14ac:dyDescent="0.2">
      <c r="A947" s="118"/>
      <c r="B947" s="118"/>
      <c r="C947" s="118"/>
      <c r="D947" s="118"/>
      <c r="E947" s="118"/>
      <c r="F947" s="118"/>
      <c r="G947" s="118"/>
      <c r="H947" s="118"/>
      <c r="I947" s="118"/>
      <c r="J947" s="118"/>
      <c r="K947" s="118"/>
      <c r="L947" s="118"/>
      <c r="M947" s="118"/>
      <c r="N947" s="42"/>
      <c r="O947" s="42"/>
      <c r="P947" s="42"/>
      <c r="Q947" s="42"/>
      <c r="R947" s="42"/>
      <c r="S947" s="3"/>
      <c r="T947" s="3"/>
      <c r="U947" s="3"/>
      <c r="V947" s="3"/>
      <c r="W947" s="3"/>
      <c r="X947" s="3"/>
      <c r="Y947" s="3"/>
      <c r="Z947" s="3"/>
      <c r="AA947" s="3"/>
      <c r="AB947" s="3"/>
      <c r="AC947" s="3"/>
      <c r="AD947" s="3"/>
      <c r="AE947" s="3"/>
      <c r="AF947" s="3"/>
      <c r="AG947" s="3"/>
      <c r="AH947" s="3"/>
      <c r="AI947" s="3"/>
      <c r="AJ947" s="3"/>
      <c r="AK947" s="3"/>
      <c r="AL947" s="3"/>
    </row>
    <row r="948" spans="1:38" ht="15.75" customHeight="1" x14ac:dyDescent="0.2">
      <c r="A948" s="118"/>
      <c r="B948" s="118"/>
      <c r="C948" s="118"/>
      <c r="D948" s="118"/>
      <c r="E948" s="118"/>
      <c r="F948" s="118"/>
      <c r="G948" s="118"/>
      <c r="H948" s="118"/>
      <c r="I948" s="118"/>
      <c r="J948" s="118"/>
      <c r="K948" s="118"/>
      <c r="L948" s="118"/>
      <c r="M948" s="118"/>
      <c r="N948" s="42"/>
      <c r="O948" s="42"/>
      <c r="P948" s="42"/>
      <c r="Q948" s="42"/>
      <c r="R948" s="42"/>
      <c r="S948" s="3"/>
      <c r="T948" s="3"/>
      <c r="U948" s="3"/>
      <c r="V948" s="3"/>
      <c r="W948" s="3"/>
      <c r="X948" s="3"/>
      <c r="Y948" s="3"/>
      <c r="Z948" s="3"/>
      <c r="AA948" s="3"/>
      <c r="AB948" s="3"/>
      <c r="AC948" s="3"/>
      <c r="AD948" s="3"/>
      <c r="AE948" s="3"/>
      <c r="AF948" s="3"/>
      <c r="AG948" s="3"/>
      <c r="AH948" s="3"/>
      <c r="AI948" s="3"/>
      <c r="AJ948" s="3"/>
      <c r="AK948" s="3"/>
      <c r="AL948" s="3"/>
    </row>
    <row r="949" spans="1:38" ht="15.75" customHeight="1" x14ac:dyDescent="0.2">
      <c r="A949" s="118"/>
      <c r="B949" s="118"/>
      <c r="C949" s="118"/>
      <c r="D949" s="118"/>
      <c r="E949" s="118"/>
      <c r="F949" s="118"/>
      <c r="G949" s="118"/>
      <c r="H949" s="118"/>
      <c r="I949" s="118"/>
      <c r="J949" s="118"/>
      <c r="K949" s="118"/>
      <c r="L949" s="118"/>
      <c r="M949" s="118"/>
      <c r="N949" s="42"/>
      <c r="O949" s="42"/>
      <c r="P949" s="42"/>
      <c r="Q949" s="42"/>
      <c r="R949" s="42"/>
      <c r="S949" s="3"/>
      <c r="T949" s="3"/>
      <c r="U949" s="3"/>
      <c r="V949" s="3"/>
      <c r="W949" s="3"/>
      <c r="X949" s="3"/>
      <c r="Y949" s="3"/>
      <c r="Z949" s="3"/>
      <c r="AA949" s="3"/>
      <c r="AB949" s="3"/>
      <c r="AC949" s="3"/>
      <c r="AD949" s="3"/>
      <c r="AE949" s="3"/>
      <c r="AF949" s="3"/>
      <c r="AG949" s="3"/>
      <c r="AH949" s="3"/>
      <c r="AI949" s="3"/>
      <c r="AJ949" s="3"/>
      <c r="AK949" s="3"/>
      <c r="AL949" s="3"/>
    </row>
    <row r="950" spans="1:38" ht="15.75" customHeight="1" x14ac:dyDescent="0.2">
      <c r="A950" s="118"/>
      <c r="B950" s="118"/>
      <c r="C950" s="118"/>
      <c r="D950" s="118"/>
      <c r="E950" s="118"/>
      <c r="F950" s="118"/>
      <c r="G950" s="118"/>
      <c r="H950" s="118"/>
      <c r="I950" s="118"/>
      <c r="J950" s="118"/>
      <c r="K950" s="118"/>
      <c r="L950" s="118"/>
      <c r="M950" s="118"/>
      <c r="N950" s="42"/>
      <c r="O950" s="42"/>
      <c r="P950" s="42"/>
      <c r="Q950" s="42"/>
      <c r="R950" s="42"/>
      <c r="S950" s="3"/>
      <c r="T950" s="3"/>
      <c r="U950" s="3"/>
      <c r="V950" s="3"/>
      <c r="W950" s="3"/>
      <c r="X950" s="3"/>
      <c r="Y950" s="3"/>
      <c r="Z950" s="3"/>
      <c r="AA950" s="3"/>
      <c r="AB950" s="3"/>
      <c r="AC950" s="3"/>
      <c r="AD950" s="3"/>
      <c r="AE950" s="3"/>
      <c r="AF950" s="3"/>
      <c r="AG950" s="3"/>
      <c r="AH950" s="3"/>
      <c r="AI950" s="3"/>
      <c r="AJ950" s="3"/>
      <c r="AK950" s="3"/>
      <c r="AL950" s="3"/>
    </row>
    <row r="951" spans="1:38" ht="15.75" customHeight="1" x14ac:dyDescent="0.2">
      <c r="A951" s="118"/>
      <c r="B951" s="118"/>
      <c r="C951" s="118"/>
      <c r="D951" s="118"/>
      <c r="E951" s="118"/>
      <c r="F951" s="118"/>
      <c r="G951" s="118"/>
      <c r="H951" s="118"/>
      <c r="I951" s="118"/>
      <c r="J951" s="118"/>
      <c r="K951" s="118"/>
      <c r="L951" s="118"/>
      <c r="M951" s="118"/>
      <c r="N951" s="42"/>
      <c r="O951" s="42"/>
      <c r="P951" s="42"/>
      <c r="Q951" s="42"/>
      <c r="R951" s="42"/>
      <c r="S951" s="3"/>
      <c r="T951" s="3"/>
      <c r="U951" s="3"/>
      <c r="V951" s="3"/>
      <c r="W951" s="3"/>
      <c r="X951" s="3"/>
      <c r="Y951" s="3"/>
      <c r="Z951" s="3"/>
      <c r="AA951" s="3"/>
      <c r="AB951" s="3"/>
      <c r="AC951" s="3"/>
      <c r="AD951" s="3"/>
      <c r="AE951" s="3"/>
      <c r="AF951" s="3"/>
      <c r="AG951" s="3"/>
      <c r="AH951" s="3"/>
      <c r="AI951" s="3"/>
      <c r="AJ951" s="3"/>
      <c r="AK951" s="3"/>
      <c r="AL951" s="3"/>
    </row>
    <row r="952" spans="1:38" ht="15.75" customHeight="1" x14ac:dyDescent="0.2">
      <c r="A952" s="118"/>
      <c r="B952" s="118"/>
      <c r="C952" s="118"/>
      <c r="D952" s="118"/>
      <c r="E952" s="118"/>
      <c r="F952" s="118"/>
      <c r="G952" s="118"/>
      <c r="H952" s="118"/>
      <c r="I952" s="118"/>
      <c r="J952" s="118"/>
      <c r="K952" s="118"/>
      <c r="L952" s="118"/>
      <c r="M952" s="118"/>
      <c r="N952" s="42"/>
      <c r="O952" s="42"/>
      <c r="P952" s="42"/>
      <c r="Q952" s="42"/>
      <c r="R952" s="42"/>
      <c r="S952" s="3"/>
      <c r="T952" s="3"/>
      <c r="U952" s="3"/>
      <c r="V952" s="3"/>
      <c r="W952" s="3"/>
      <c r="X952" s="3"/>
      <c r="Y952" s="3"/>
      <c r="Z952" s="3"/>
      <c r="AA952" s="3"/>
      <c r="AB952" s="3"/>
      <c r="AC952" s="3"/>
      <c r="AD952" s="3"/>
      <c r="AE952" s="3"/>
      <c r="AF952" s="3"/>
      <c r="AG952" s="3"/>
      <c r="AH952" s="3"/>
      <c r="AI952" s="3"/>
      <c r="AJ952" s="3"/>
      <c r="AK952" s="3"/>
      <c r="AL952" s="3"/>
    </row>
    <row r="953" spans="1:38" ht="15.75" customHeight="1" x14ac:dyDescent="0.2">
      <c r="A953" s="118"/>
      <c r="B953" s="118"/>
      <c r="C953" s="118"/>
      <c r="D953" s="118"/>
      <c r="E953" s="118"/>
      <c r="F953" s="118"/>
      <c r="G953" s="118"/>
      <c r="H953" s="118"/>
      <c r="I953" s="118"/>
      <c r="J953" s="118"/>
      <c r="K953" s="118"/>
      <c r="L953" s="118"/>
      <c r="M953" s="118"/>
      <c r="N953" s="42"/>
      <c r="O953" s="42"/>
      <c r="P953" s="42"/>
      <c r="Q953" s="42"/>
      <c r="R953" s="42"/>
      <c r="S953" s="3"/>
      <c r="T953" s="3"/>
      <c r="U953" s="3"/>
      <c r="V953" s="3"/>
      <c r="W953" s="3"/>
      <c r="X953" s="3"/>
      <c r="Y953" s="3"/>
      <c r="Z953" s="3"/>
      <c r="AA953" s="3"/>
      <c r="AB953" s="3"/>
      <c r="AC953" s="3"/>
      <c r="AD953" s="3"/>
      <c r="AE953" s="3"/>
      <c r="AF953" s="3"/>
      <c r="AG953" s="3"/>
      <c r="AH953" s="3"/>
      <c r="AI953" s="3"/>
      <c r="AJ953" s="3"/>
      <c r="AK953" s="3"/>
      <c r="AL953" s="3"/>
    </row>
    <row r="954" spans="1:38" ht="15.75" customHeight="1" x14ac:dyDescent="0.2">
      <c r="A954" s="118"/>
      <c r="B954" s="118"/>
      <c r="C954" s="118"/>
      <c r="D954" s="118"/>
      <c r="E954" s="118"/>
      <c r="F954" s="118"/>
      <c r="G954" s="118"/>
      <c r="H954" s="118"/>
      <c r="I954" s="118"/>
      <c r="J954" s="118"/>
      <c r="K954" s="118"/>
      <c r="L954" s="118"/>
      <c r="M954" s="118"/>
      <c r="N954" s="42"/>
      <c r="O954" s="42"/>
      <c r="P954" s="42"/>
      <c r="Q954" s="42"/>
      <c r="R954" s="42"/>
      <c r="S954" s="3"/>
      <c r="T954" s="3"/>
      <c r="U954" s="3"/>
      <c r="V954" s="3"/>
      <c r="W954" s="3"/>
      <c r="X954" s="3"/>
      <c r="Y954" s="3"/>
      <c r="Z954" s="3"/>
      <c r="AA954" s="3"/>
      <c r="AB954" s="3"/>
      <c r="AC954" s="3"/>
      <c r="AD954" s="3"/>
      <c r="AE954" s="3"/>
      <c r="AF954" s="3"/>
      <c r="AG954" s="3"/>
      <c r="AH954" s="3"/>
      <c r="AI954" s="3"/>
      <c r="AJ954" s="3"/>
      <c r="AK954" s="3"/>
      <c r="AL954" s="3"/>
    </row>
    <row r="955" spans="1:38" ht="15.75" customHeight="1" x14ac:dyDescent="0.2">
      <c r="A955" s="118"/>
      <c r="B955" s="118"/>
      <c r="C955" s="118"/>
      <c r="D955" s="118"/>
      <c r="E955" s="118"/>
      <c r="F955" s="118"/>
      <c r="G955" s="118"/>
      <c r="H955" s="118"/>
      <c r="I955" s="118"/>
      <c r="J955" s="118"/>
      <c r="K955" s="118"/>
      <c r="L955" s="118"/>
      <c r="M955" s="118"/>
      <c r="N955" s="42"/>
      <c r="O955" s="42"/>
      <c r="P955" s="42"/>
      <c r="Q955" s="42"/>
      <c r="R955" s="42"/>
      <c r="S955" s="3"/>
      <c r="T955" s="3"/>
      <c r="U955" s="3"/>
      <c r="V955" s="3"/>
      <c r="W955" s="3"/>
      <c r="X955" s="3"/>
      <c r="Y955" s="3"/>
      <c r="Z955" s="3"/>
      <c r="AA955" s="3"/>
      <c r="AB955" s="3"/>
      <c r="AC955" s="3"/>
      <c r="AD955" s="3"/>
      <c r="AE955" s="3"/>
      <c r="AF955" s="3"/>
      <c r="AG955" s="3"/>
      <c r="AH955" s="3"/>
      <c r="AI955" s="3"/>
      <c r="AJ955" s="3"/>
      <c r="AK955" s="3"/>
      <c r="AL955" s="3"/>
    </row>
    <row r="956" spans="1:38" ht="15.75" customHeight="1" x14ac:dyDescent="0.2">
      <c r="A956" s="118"/>
      <c r="B956" s="118"/>
      <c r="C956" s="118"/>
      <c r="D956" s="118"/>
      <c r="E956" s="118"/>
      <c r="F956" s="118"/>
      <c r="G956" s="118"/>
      <c r="H956" s="118"/>
      <c r="I956" s="118"/>
      <c r="J956" s="118"/>
      <c r="K956" s="118"/>
      <c r="L956" s="118"/>
      <c r="M956" s="118"/>
      <c r="N956" s="42"/>
      <c r="O956" s="42"/>
      <c r="P956" s="42"/>
      <c r="Q956" s="42"/>
      <c r="R956" s="42"/>
      <c r="S956" s="3"/>
      <c r="T956" s="3"/>
      <c r="U956" s="3"/>
      <c r="V956" s="3"/>
      <c r="W956" s="3"/>
      <c r="X956" s="3"/>
      <c r="Y956" s="3"/>
      <c r="Z956" s="3"/>
      <c r="AA956" s="3"/>
      <c r="AB956" s="3"/>
      <c r="AC956" s="3"/>
      <c r="AD956" s="3"/>
      <c r="AE956" s="3"/>
      <c r="AF956" s="3"/>
      <c r="AG956" s="3"/>
      <c r="AH956" s="3"/>
      <c r="AI956" s="3"/>
      <c r="AJ956" s="3"/>
      <c r="AK956" s="3"/>
      <c r="AL956" s="3"/>
    </row>
    <row r="957" spans="1:38" ht="15.75" customHeight="1" x14ac:dyDescent="0.2">
      <c r="A957" s="118"/>
      <c r="B957" s="118"/>
      <c r="C957" s="118"/>
      <c r="D957" s="118"/>
      <c r="E957" s="118"/>
      <c r="F957" s="118"/>
      <c r="G957" s="118"/>
      <c r="H957" s="118"/>
      <c r="I957" s="118"/>
      <c r="J957" s="118"/>
      <c r="K957" s="118"/>
      <c r="L957" s="118"/>
      <c r="M957" s="118"/>
      <c r="N957" s="42"/>
      <c r="O957" s="42"/>
      <c r="P957" s="42"/>
      <c r="Q957" s="42"/>
      <c r="R957" s="42"/>
      <c r="S957" s="3"/>
      <c r="T957" s="3"/>
      <c r="U957" s="3"/>
      <c r="V957" s="3"/>
      <c r="W957" s="3"/>
      <c r="X957" s="3"/>
      <c r="Y957" s="3"/>
      <c r="Z957" s="3"/>
      <c r="AA957" s="3"/>
      <c r="AB957" s="3"/>
      <c r="AC957" s="3"/>
      <c r="AD957" s="3"/>
      <c r="AE957" s="3"/>
      <c r="AF957" s="3"/>
      <c r="AG957" s="3"/>
      <c r="AH957" s="3"/>
      <c r="AI957" s="3"/>
      <c r="AJ957" s="3"/>
      <c r="AK957" s="3"/>
      <c r="AL957" s="3"/>
    </row>
    <row r="958" spans="1:38" ht="15.75" customHeight="1" x14ac:dyDescent="0.2">
      <c r="A958" s="118"/>
      <c r="B958" s="118"/>
      <c r="C958" s="118"/>
      <c r="D958" s="118"/>
      <c r="E958" s="118"/>
      <c r="F958" s="118"/>
      <c r="G958" s="118"/>
      <c r="H958" s="118"/>
      <c r="I958" s="118"/>
      <c r="J958" s="118"/>
      <c r="K958" s="118"/>
      <c r="L958" s="118"/>
      <c r="M958" s="118"/>
      <c r="N958" s="42"/>
      <c r="O958" s="42"/>
      <c r="P958" s="42"/>
      <c r="Q958" s="42"/>
      <c r="R958" s="42"/>
      <c r="S958" s="3"/>
      <c r="T958" s="3"/>
      <c r="U958" s="3"/>
      <c r="V958" s="3"/>
      <c r="W958" s="3"/>
      <c r="X958" s="3"/>
      <c r="Y958" s="3"/>
      <c r="Z958" s="3"/>
      <c r="AA958" s="3"/>
      <c r="AB958" s="3"/>
      <c r="AC958" s="3"/>
      <c r="AD958" s="3"/>
      <c r="AE958" s="3"/>
      <c r="AF958" s="3"/>
      <c r="AG958" s="3"/>
      <c r="AH958" s="3"/>
      <c r="AI958" s="3"/>
      <c r="AJ958" s="3"/>
      <c r="AK958" s="3"/>
      <c r="AL958" s="3"/>
    </row>
    <row r="959" spans="1:38" ht="15.75" customHeight="1" x14ac:dyDescent="0.2">
      <c r="A959" s="118"/>
      <c r="B959" s="118"/>
      <c r="C959" s="118"/>
      <c r="D959" s="118"/>
      <c r="E959" s="118"/>
      <c r="F959" s="118"/>
      <c r="G959" s="118"/>
      <c r="H959" s="118"/>
      <c r="I959" s="118"/>
      <c r="J959" s="118"/>
      <c r="K959" s="118"/>
      <c r="L959" s="118"/>
      <c r="M959" s="118"/>
      <c r="N959" s="42"/>
      <c r="O959" s="42"/>
      <c r="P959" s="42"/>
      <c r="Q959" s="42"/>
      <c r="R959" s="42"/>
      <c r="S959" s="3"/>
      <c r="T959" s="3"/>
      <c r="U959" s="3"/>
      <c r="V959" s="3"/>
      <c r="W959" s="3"/>
      <c r="X959" s="3"/>
      <c r="Y959" s="3"/>
      <c r="Z959" s="3"/>
      <c r="AA959" s="3"/>
      <c r="AB959" s="3"/>
      <c r="AC959" s="3"/>
      <c r="AD959" s="3"/>
      <c r="AE959" s="3"/>
      <c r="AF959" s="3"/>
      <c r="AG959" s="3"/>
      <c r="AH959" s="3"/>
      <c r="AI959" s="3"/>
      <c r="AJ959" s="3"/>
      <c r="AK959" s="3"/>
      <c r="AL959" s="3"/>
    </row>
    <row r="960" spans="1:38" ht="15.75" customHeight="1" x14ac:dyDescent="0.2">
      <c r="A960" s="118"/>
      <c r="B960" s="118"/>
      <c r="C960" s="118"/>
      <c r="D960" s="118"/>
      <c r="E960" s="118"/>
      <c r="F960" s="118"/>
      <c r="G960" s="118"/>
      <c r="H960" s="118"/>
      <c r="I960" s="118"/>
      <c r="J960" s="118"/>
      <c r="K960" s="118"/>
      <c r="L960" s="118"/>
      <c r="M960" s="118"/>
      <c r="N960" s="42"/>
      <c r="O960" s="42"/>
      <c r="P960" s="42"/>
      <c r="Q960" s="42"/>
      <c r="R960" s="42"/>
      <c r="S960" s="3"/>
      <c r="T960" s="3"/>
      <c r="U960" s="3"/>
      <c r="V960" s="3"/>
      <c r="W960" s="3"/>
      <c r="X960" s="3"/>
      <c r="Y960" s="3"/>
      <c r="Z960" s="3"/>
      <c r="AA960" s="3"/>
      <c r="AB960" s="3"/>
      <c r="AC960" s="3"/>
      <c r="AD960" s="3"/>
      <c r="AE960" s="3"/>
      <c r="AF960" s="3"/>
      <c r="AG960" s="3"/>
      <c r="AH960" s="3"/>
      <c r="AI960" s="3"/>
      <c r="AJ960" s="3"/>
      <c r="AK960" s="3"/>
      <c r="AL960" s="3"/>
    </row>
    <row r="961" spans="1:38" ht="15.75" customHeight="1" x14ac:dyDescent="0.2">
      <c r="A961" s="118"/>
      <c r="B961" s="118"/>
      <c r="C961" s="118"/>
      <c r="D961" s="118"/>
      <c r="E961" s="118"/>
      <c r="F961" s="118"/>
      <c r="G961" s="118"/>
      <c r="H961" s="118"/>
      <c r="I961" s="118"/>
      <c r="J961" s="118"/>
      <c r="K961" s="118"/>
      <c r="L961" s="118"/>
      <c r="M961" s="118"/>
      <c r="N961" s="42"/>
      <c r="O961" s="42"/>
      <c r="P961" s="42"/>
      <c r="Q961" s="42"/>
      <c r="R961" s="42"/>
      <c r="S961" s="3"/>
      <c r="T961" s="3"/>
      <c r="U961" s="3"/>
      <c r="V961" s="3"/>
      <c r="W961" s="3"/>
      <c r="X961" s="3"/>
      <c r="Y961" s="3"/>
      <c r="Z961" s="3"/>
      <c r="AA961" s="3"/>
      <c r="AB961" s="3"/>
      <c r="AC961" s="3"/>
      <c r="AD961" s="3"/>
      <c r="AE961" s="3"/>
      <c r="AF961" s="3"/>
      <c r="AG961" s="3"/>
      <c r="AH961" s="3"/>
      <c r="AI961" s="3"/>
      <c r="AJ961" s="3"/>
      <c r="AK961" s="3"/>
      <c r="AL961" s="3"/>
    </row>
    <row r="962" spans="1:38" ht="15.75" customHeight="1" x14ac:dyDescent="0.2">
      <c r="A962" s="118"/>
      <c r="B962" s="118"/>
      <c r="C962" s="118"/>
      <c r="D962" s="118"/>
      <c r="E962" s="118"/>
      <c r="F962" s="118"/>
      <c r="G962" s="118"/>
      <c r="H962" s="118"/>
      <c r="I962" s="118"/>
      <c r="J962" s="118"/>
      <c r="K962" s="118"/>
      <c r="L962" s="118"/>
      <c r="M962" s="118"/>
      <c r="N962" s="42"/>
      <c r="O962" s="42"/>
      <c r="P962" s="42"/>
      <c r="Q962" s="42"/>
      <c r="R962" s="42"/>
      <c r="S962" s="3"/>
      <c r="T962" s="3"/>
      <c r="U962" s="3"/>
      <c r="V962" s="3"/>
      <c r="W962" s="3"/>
      <c r="X962" s="3"/>
      <c r="Y962" s="3"/>
      <c r="Z962" s="3"/>
      <c r="AA962" s="3"/>
      <c r="AB962" s="3"/>
      <c r="AC962" s="3"/>
      <c r="AD962" s="3"/>
      <c r="AE962" s="3"/>
      <c r="AF962" s="3"/>
      <c r="AG962" s="3"/>
      <c r="AH962" s="3"/>
      <c r="AI962" s="3"/>
      <c r="AJ962" s="3"/>
      <c r="AK962" s="3"/>
      <c r="AL962" s="3"/>
    </row>
    <row r="963" spans="1:38" ht="15.75" customHeight="1" x14ac:dyDescent="0.2">
      <c r="A963" s="118"/>
      <c r="B963" s="118"/>
      <c r="C963" s="118"/>
      <c r="D963" s="118"/>
      <c r="E963" s="118"/>
      <c r="F963" s="118"/>
      <c r="G963" s="118"/>
      <c r="H963" s="118"/>
      <c r="I963" s="118"/>
      <c r="J963" s="118"/>
      <c r="K963" s="118"/>
      <c r="L963" s="118"/>
      <c r="M963" s="118"/>
      <c r="N963" s="42"/>
      <c r="O963" s="42"/>
      <c r="P963" s="42"/>
      <c r="Q963" s="42"/>
      <c r="R963" s="42"/>
      <c r="S963" s="3"/>
      <c r="T963" s="3"/>
      <c r="U963" s="3"/>
      <c r="V963" s="3"/>
      <c r="W963" s="3"/>
      <c r="X963" s="3"/>
      <c r="Y963" s="3"/>
      <c r="Z963" s="3"/>
      <c r="AA963" s="3"/>
      <c r="AB963" s="3"/>
      <c r="AC963" s="3"/>
      <c r="AD963" s="3"/>
      <c r="AE963" s="3"/>
      <c r="AF963" s="3"/>
      <c r="AG963" s="3"/>
      <c r="AH963" s="3"/>
      <c r="AI963" s="3"/>
      <c r="AJ963" s="3"/>
      <c r="AK963" s="3"/>
      <c r="AL963" s="3"/>
    </row>
    <row r="964" spans="1:38" ht="15.75" customHeight="1" x14ac:dyDescent="0.2">
      <c r="A964" s="118"/>
      <c r="B964" s="118"/>
      <c r="C964" s="118"/>
      <c r="D964" s="118"/>
      <c r="E964" s="118"/>
      <c r="F964" s="118"/>
      <c r="G964" s="118"/>
      <c r="H964" s="118"/>
      <c r="I964" s="118"/>
      <c r="J964" s="118"/>
      <c r="K964" s="118"/>
      <c r="L964" s="118"/>
      <c r="M964" s="118"/>
      <c r="N964" s="42"/>
      <c r="O964" s="42"/>
      <c r="P964" s="42"/>
      <c r="Q964" s="42"/>
      <c r="R964" s="42"/>
      <c r="S964" s="3"/>
      <c r="T964" s="3"/>
      <c r="U964" s="3"/>
      <c r="V964" s="3"/>
      <c r="W964" s="3"/>
      <c r="X964" s="3"/>
      <c r="Y964" s="3"/>
      <c r="Z964" s="3"/>
      <c r="AA964" s="3"/>
      <c r="AB964" s="3"/>
      <c r="AC964" s="3"/>
      <c r="AD964" s="3"/>
      <c r="AE964" s="3"/>
      <c r="AF964" s="3"/>
      <c r="AG964" s="3"/>
      <c r="AH964" s="3"/>
      <c r="AI964" s="3"/>
      <c r="AJ964" s="3"/>
      <c r="AK964" s="3"/>
      <c r="AL964" s="3"/>
    </row>
    <row r="965" spans="1:38" ht="15.75" customHeight="1" x14ac:dyDescent="0.2">
      <c r="A965" s="118"/>
      <c r="B965" s="118"/>
      <c r="C965" s="118"/>
      <c r="D965" s="118"/>
      <c r="E965" s="118"/>
      <c r="F965" s="118"/>
      <c r="G965" s="118"/>
      <c r="H965" s="118"/>
      <c r="I965" s="118"/>
      <c r="J965" s="118"/>
      <c r="K965" s="118"/>
      <c r="L965" s="118"/>
      <c r="M965" s="118"/>
      <c r="N965" s="42"/>
      <c r="O965" s="42"/>
      <c r="P965" s="42"/>
      <c r="Q965" s="42"/>
      <c r="R965" s="42"/>
      <c r="S965" s="3"/>
      <c r="T965" s="3"/>
      <c r="U965" s="3"/>
      <c r="V965" s="3"/>
      <c r="W965" s="3"/>
      <c r="X965" s="3"/>
      <c r="Y965" s="3"/>
      <c r="Z965" s="3"/>
      <c r="AA965" s="3"/>
      <c r="AB965" s="3"/>
      <c r="AC965" s="3"/>
      <c r="AD965" s="3"/>
      <c r="AE965" s="3"/>
      <c r="AF965" s="3"/>
      <c r="AG965" s="3"/>
      <c r="AH965" s="3"/>
      <c r="AI965" s="3"/>
      <c r="AJ965" s="3"/>
      <c r="AK965" s="3"/>
      <c r="AL965" s="3"/>
    </row>
    <row r="966" spans="1:38" ht="15.75" customHeight="1" x14ac:dyDescent="0.2">
      <c r="A966" s="118"/>
      <c r="B966" s="118"/>
      <c r="C966" s="118"/>
      <c r="D966" s="118"/>
      <c r="E966" s="118"/>
      <c r="F966" s="118"/>
      <c r="G966" s="118"/>
      <c r="H966" s="118"/>
      <c r="I966" s="118"/>
      <c r="J966" s="118"/>
      <c r="K966" s="118"/>
      <c r="L966" s="118"/>
      <c r="M966" s="118"/>
      <c r="N966" s="42"/>
      <c r="O966" s="42"/>
      <c r="P966" s="42"/>
      <c r="Q966" s="42"/>
      <c r="R966" s="42"/>
      <c r="S966" s="3"/>
      <c r="T966" s="3"/>
      <c r="U966" s="3"/>
      <c r="V966" s="3"/>
      <c r="W966" s="3"/>
      <c r="X966" s="3"/>
      <c r="Y966" s="3"/>
      <c r="Z966" s="3"/>
      <c r="AA966" s="3"/>
      <c r="AB966" s="3"/>
      <c r="AC966" s="3"/>
      <c r="AD966" s="3"/>
      <c r="AE966" s="3"/>
      <c r="AF966" s="3"/>
      <c r="AG966" s="3"/>
      <c r="AH966" s="3"/>
      <c r="AI966" s="3"/>
      <c r="AJ966" s="3"/>
      <c r="AK966" s="3"/>
      <c r="AL966" s="3"/>
    </row>
    <row r="967" spans="1:38" ht="15.75" customHeight="1" x14ac:dyDescent="0.2">
      <c r="A967" s="118"/>
      <c r="B967" s="118"/>
      <c r="C967" s="118"/>
      <c r="D967" s="118"/>
      <c r="E967" s="118"/>
      <c r="F967" s="118"/>
      <c r="G967" s="118"/>
      <c r="H967" s="118"/>
      <c r="I967" s="118"/>
      <c r="J967" s="118"/>
      <c r="K967" s="118"/>
      <c r="L967" s="118"/>
      <c r="M967" s="118"/>
      <c r="N967" s="42"/>
      <c r="O967" s="42"/>
      <c r="P967" s="42"/>
      <c r="Q967" s="42"/>
      <c r="R967" s="42"/>
      <c r="S967" s="3"/>
      <c r="T967" s="3"/>
      <c r="U967" s="3"/>
      <c r="V967" s="3"/>
      <c r="W967" s="3"/>
      <c r="X967" s="3"/>
      <c r="Y967" s="3"/>
      <c r="Z967" s="3"/>
      <c r="AA967" s="3"/>
      <c r="AB967" s="3"/>
      <c r="AC967" s="3"/>
      <c r="AD967" s="3"/>
      <c r="AE967" s="3"/>
      <c r="AF967" s="3"/>
      <c r="AG967" s="3"/>
      <c r="AH967" s="3"/>
      <c r="AI967" s="3"/>
      <c r="AJ967" s="3"/>
      <c r="AK967" s="3"/>
      <c r="AL967" s="3"/>
    </row>
    <row r="968" spans="1:38" ht="15.75" customHeight="1" x14ac:dyDescent="0.2">
      <c r="A968" s="118"/>
      <c r="B968" s="118"/>
      <c r="C968" s="118"/>
      <c r="D968" s="118"/>
      <c r="E968" s="118"/>
      <c r="F968" s="118"/>
      <c r="G968" s="118"/>
      <c r="H968" s="118"/>
      <c r="I968" s="118"/>
      <c r="J968" s="118"/>
      <c r="K968" s="118"/>
      <c r="L968" s="118"/>
      <c r="M968" s="118"/>
      <c r="N968" s="42"/>
      <c r="O968" s="42"/>
      <c r="P968" s="42"/>
      <c r="Q968" s="42"/>
      <c r="R968" s="42"/>
      <c r="S968" s="3"/>
      <c r="T968" s="3"/>
      <c r="U968" s="3"/>
      <c r="V968" s="3"/>
      <c r="W968" s="3"/>
      <c r="X968" s="3"/>
      <c r="Y968" s="3"/>
      <c r="Z968" s="3"/>
      <c r="AA968" s="3"/>
      <c r="AB968" s="3"/>
      <c r="AC968" s="3"/>
      <c r="AD968" s="3"/>
      <c r="AE968" s="3"/>
      <c r="AF968" s="3"/>
      <c r="AG968" s="3"/>
      <c r="AH968" s="3"/>
      <c r="AI968" s="3"/>
      <c r="AJ968" s="3"/>
      <c r="AK968" s="3"/>
      <c r="AL968" s="3"/>
    </row>
    <row r="969" spans="1:38" ht="15.75" customHeight="1" x14ac:dyDescent="0.2">
      <c r="A969" s="118"/>
      <c r="B969" s="118"/>
      <c r="C969" s="118"/>
      <c r="D969" s="118"/>
      <c r="E969" s="118"/>
      <c r="F969" s="118"/>
      <c r="G969" s="118"/>
      <c r="H969" s="118"/>
      <c r="I969" s="118"/>
      <c r="J969" s="118"/>
      <c r="K969" s="118"/>
      <c r="L969" s="118"/>
      <c r="M969" s="118"/>
      <c r="N969" s="42"/>
      <c r="O969" s="42"/>
      <c r="P969" s="42"/>
      <c r="Q969" s="42"/>
      <c r="R969" s="42"/>
      <c r="S969" s="3"/>
      <c r="T969" s="3"/>
      <c r="U969" s="3"/>
      <c r="V969" s="3"/>
      <c r="W969" s="3"/>
      <c r="X969" s="3"/>
      <c r="Y969" s="3"/>
      <c r="Z969" s="3"/>
      <c r="AA969" s="3"/>
      <c r="AB969" s="3"/>
      <c r="AC969" s="3"/>
      <c r="AD969" s="3"/>
      <c r="AE969" s="3"/>
      <c r="AF969" s="3"/>
      <c r="AG969" s="3"/>
      <c r="AH969" s="3"/>
      <c r="AI969" s="3"/>
      <c r="AJ969" s="3"/>
      <c r="AK969" s="3"/>
      <c r="AL969" s="3"/>
    </row>
    <row r="970" spans="1:38" ht="15.75" customHeight="1" x14ac:dyDescent="0.2">
      <c r="A970" s="118"/>
      <c r="B970" s="118"/>
      <c r="C970" s="118"/>
      <c r="D970" s="118"/>
      <c r="E970" s="118"/>
      <c r="F970" s="118"/>
      <c r="G970" s="118"/>
      <c r="H970" s="118"/>
      <c r="I970" s="118"/>
      <c r="J970" s="118"/>
      <c r="K970" s="118"/>
      <c r="L970" s="118"/>
      <c r="M970" s="118"/>
      <c r="N970" s="42"/>
      <c r="O970" s="42"/>
      <c r="P970" s="42"/>
      <c r="Q970" s="42"/>
      <c r="R970" s="42"/>
      <c r="S970" s="3"/>
      <c r="T970" s="3"/>
      <c r="U970" s="3"/>
      <c r="V970" s="3"/>
      <c r="W970" s="3"/>
      <c r="X970" s="3"/>
      <c r="Y970" s="3"/>
      <c r="Z970" s="3"/>
      <c r="AA970" s="3"/>
      <c r="AB970" s="3"/>
      <c r="AC970" s="3"/>
      <c r="AD970" s="3"/>
      <c r="AE970" s="3"/>
      <c r="AF970" s="3"/>
      <c r="AG970" s="3"/>
      <c r="AH970" s="3"/>
      <c r="AI970" s="3"/>
      <c r="AJ970" s="3"/>
      <c r="AK970" s="3"/>
      <c r="AL970" s="3"/>
    </row>
    <row r="971" spans="1:38" ht="15.75" customHeight="1" x14ac:dyDescent="0.2">
      <c r="A971" s="118"/>
      <c r="B971" s="118"/>
      <c r="C971" s="118"/>
      <c r="D971" s="118"/>
      <c r="E971" s="118"/>
      <c r="F971" s="118"/>
      <c r="G971" s="118"/>
      <c r="H971" s="118"/>
      <c r="I971" s="118"/>
      <c r="J971" s="118"/>
      <c r="K971" s="118"/>
      <c r="L971" s="118"/>
      <c r="M971" s="118"/>
      <c r="N971" s="42"/>
      <c r="O971" s="42"/>
      <c r="P971" s="42"/>
      <c r="Q971" s="42"/>
      <c r="R971" s="42"/>
      <c r="S971" s="3"/>
      <c r="T971" s="3"/>
      <c r="U971" s="3"/>
      <c r="V971" s="3"/>
      <c r="W971" s="3"/>
      <c r="X971" s="3"/>
      <c r="Y971" s="3"/>
      <c r="Z971" s="3"/>
      <c r="AA971" s="3"/>
      <c r="AB971" s="3"/>
      <c r="AC971" s="3"/>
      <c r="AD971" s="3"/>
      <c r="AE971" s="3"/>
      <c r="AF971" s="3"/>
      <c r="AG971" s="3"/>
      <c r="AH971" s="3"/>
      <c r="AI971" s="3"/>
      <c r="AJ971" s="3"/>
      <c r="AK971" s="3"/>
      <c r="AL971" s="3"/>
    </row>
    <row r="972" spans="1:38" ht="15.75" customHeight="1" x14ac:dyDescent="0.2">
      <c r="A972" s="118"/>
      <c r="B972" s="118"/>
      <c r="C972" s="118"/>
      <c r="D972" s="118"/>
      <c r="E972" s="118"/>
      <c r="F972" s="118"/>
      <c r="G972" s="118"/>
      <c r="H972" s="118"/>
      <c r="I972" s="118"/>
      <c r="J972" s="118"/>
      <c r="K972" s="118"/>
      <c r="L972" s="118"/>
      <c r="M972" s="118"/>
      <c r="N972" s="42"/>
      <c r="O972" s="42"/>
      <c r="P972" s="42"/>
      <c r="Q972" s="42"/>
      <c r="R972" s="42"/>
      <c r="S972" s="3"/>
      <c r="T972" s="3"/>
      <c r="U972" s="3"/>
      <c r="V972" s="3"/>
      <c r="W972" s="3"/>
      <c r="X972" s="3"/>
      <c r="Y972" s="3"/>
      <c r="Z972" s="3"/>
      <c r="AA972" s="3"/>
      <c r="AB972" s="3"/>
      <c r="AC972" s="3"/>
      <c r="AD972" s="3"/>
      <c r="AE972" s="3"/>
      <c r="AF972" s="3"/>
      <c r="AG972" s="3"/>
      <c r="AH972" s="3"/>
      <c r="AI972" s="3"/>
      <c r="AJ972" s="3"/>
      <c r="AK972" s="3"/>
      <c r="AL972" s="3"/>
    </row>
    <row r="973" spans="1:38" ht="15.75" customHeight="1" x14ac:dyDescent="0.2">
      <c r="A973" s="118"/>
      <c r="B973" s="118"/>
      <c r="C973" s="118"/>
      <c r="D973" s="118"/>
      <c r="E973" s="118"/>
      <c r="F973" s="118"/>
      <c r="G973" s="118"/>
      <c r="H973" s="118"/>
      <c r="I973" s="118"/>
      <c r="J973" s="118"/>
      <c r="K973" s="118"/>
      <c r="L973" s="118"/>
      <c r="M973" s="118"/>
      <c r="N973" s="42"/>
      <c r="O973" s="42"/>
      <c r="P973" s="42"/>
      <c r="Q973" s="42"/>
      <c r="R973" s="42"/>
      <c r="S973" s="3"/>
      <c r="T973" s="3"/>
      <c r="U973" s="3"/>
      <c r="V973" s="3"/>
      <c r="W973" s="3"/>
      <c r="X973" s="3"/>
      <c r="Y973" s="3"/>
      <c r="Z973" s="3"/>
      <c r="AA973" s="3"/>
      <c r="AB973" s="3"/>
      <c r="AC973" s="3"/>
      <c r="AD973" s="3"/>
      <c r="AE973" s="3"/>
      <c r="AF973" s="3"/>
      <c r="AG973" s="3"/>
      <c r="AH973" s="3"/>
      <c r="AI973" s="3"/>
      <c r="AJ973" s="3"/>
      <c r="AK973" s="3"/>
      <c r="AL973" s="3"/>
    </row>
    <row r="974" spans="1:38" ht="15.75" customHeight="1" x14ac:dyDescent="0.2">
      <c r="A974" s="118"/>
      <c r="B974" s="118"/>
      <c r="C974" s="118"/>
      <c r="D974" s="118"/>
      <c r="E974" s="118"/>
      <c r="F974" s="118"/>
      <c r="G974" s="118"/>
      <c r="H974" s="118"/>
      <c r="I974" s="118"/>
      <c r="J974" s="118"/>
      <c r="K974" s="118"/>
      <c r="L974" s="118"/>
      <c r="M974" s="118"/>
      <c r="N974" s="42"/>
      <c r="O974" s="42"/>
      <c r="P974" s="42"/>
      <c r="Q974" s="42"/>
      <c r="R974" s="42"/>
      <c r="S974" s="3"/>
      <c r="T974" s="3"/>
      <c r="U974" s="3"/>
      <c r="V974" s="3"/>
      <c r="W974" s="3"/>
      <c r="X974" s="3"/>
      <c r="Y974" s="3"/>
      <c r="Z974" s="3"/>
      <c r="AA974" s="3"/>
      <c r="AB974" s="3"/>
      <c r="AC974" s="3"/>
      <c r="AD974" s="3"/>
      <c r="AE974" s="3"/>
      <c r="AF974" s="3"/>
      <c r="AG974" s="3"/>
      <c r="AH974" s="3"/>
      <c r="AI974" s="3"/>
      <c r="AJ974" s="3"/>
      <c r="AK974" s="3"/>
      <c r="AL974" s="3"/>
    </row>
    <row r="975" spans="1:38" ht="15.75" customHeight="1" x14ac:dyDescent="0.2">
      <c r="A975" s="118"/>
      <c r="B975" s="118"/>
      <c r="C975" s="118"/>
      <c r="D975" s="118"/>
      <c r="E975" s="118"/>
      <c r="F975" s="118"/>
      <c r="G975" s="118"/>
      <c r="H975" s="118"/>
      <c r="I975" s="118"/>
      <c r="J975" s="118"/>
      <c r="K975" s="118"/>
      <c r="L975" s="118"/>
      <c r="M975" s="118"/>
      <c r="N975" s="42"/>
      <c r="O975" s="42"/>
      <c r="P975" s="42"/>
      <c r="Q975" s="42"/>
      <c r="R975" s="42"/>
      <c r="S975" s="3"/>
      <c r="T975" s="3"/>
      <c r="U975" s="3"/>
      <c r="V975" s="3"/>
      <c r="W975" s="3"/>
      <c r="X975" s="3"/>
      <c r="Y975" s="3"/>
      <c r="Z975" s="3"/>
      <c r="AA975" s="3"/>
      <c r="AB975" s="3"/>
      <c r="AC975" s="3"/>
      <c r="AD975" s="3"/>
      <c r="AE975" s="3"/>
      <c r="AF975" s="3"/>
      <c r="AG975" s="3"/>
      <c r="AH975" s="3"/>
      <c r="AI975" s="3"/>
      <c r="AJ975" s="3"/>
      <c r="AK975" s="3"/>
      <c r="AL975" s="3"/>
    </row>
    <row r="976" spans="1:38" ht="15.75" customHeight="1" x14ac:dyDescent="0.2">
      <c r="A976" s="118"/>
      <c r="B976" s="118"/>
      <c r="C976" s="118"/>
      <c r="D976" s="118"/>
      <c r="E976" s="118"/>
      <c r="F976" s="118"/>
      <c r="G976" s="118"/>
      <c r="H976" s="118"/>
      <c r="I976" s="118"/>
      <c r="J976" s="118"/>
      <c r="K976" s="118"/>
      <c r="L976" s="118"/>
      <c r="M976" s="118"/>
      <c r="N976" s="42"/>
      <c r="O976" s="42"/>
      <c r="P976" s="42"/>
      <c r="Q976" s="42"/>
      <c r="R976" s="42"/>
      <c r="S976" s="3"/>
      <c r="T976" s="3"/>
      <c r="U976" s="3"/>
      <c r="V976" s="3"/>
      <c r="W976" s="3"/>
      <c r="X976" s="3"/>
      <c r="Y976" s="3"/>
      <c r="Z976" s="3"/>
      <c r="AA976" s="3"/>
      <c r="AB976" s="3"/>
      <c r="AC976" s="3"/>
      <c r="AD976" s="3"/>
      <c r="AE976" s="3"/>
      <c r="AF976" s="3"/>
      <c r="AG976" s="3"/>
      <c r="AH976" s="3"/>
      <c r="AI976" s="3"/>
      <c r="AJ976" s="3"/>
      <c r="AK976" s="3"/>
      <c r="AL976" s="3"/>
    </row>
    <row r="977" spans="1:38" ht="15.75" customHeight="1" x14ac:dyDescent="0.2">
      <c r="A977" s="118"/>
      <c r="B977" s="118"/>
      <c r="C977" s="118"/>
      <c r="D977" s="118"/>
      <c r="E977" s="118"/>
      <c r="F977" s="118"/>
      <c r="G977" s="118"/>
      <c r="H977" s="118"/>
      <c r="I977" s="118"/>
      <c r="J977" s="118"/>
      <c r="K977" s="118"/>
      <c r="L977" s="118"/>
      <c r="M977" s="118"/>
      <c r="N977" s="42"/>
      <c r="O977" s="42"/>
      <c r="P977" s="42"/>
      <c r="Q977" s="42"/>
      <c r="R977" s="42"/>
      <c r="S977" s="3"/>
      <c r="T977" s="3"/>
      <c r="U977" s="3"/>
      <c r="V977" s="3"/>
      <c r="W977" s="3"/>
      <c r="X977" s="3"/>
      <c r="Y977" s="3"/>
      <c r="Z977" s="3"/>
      <c r="AA977" s="3"/>
      <c r="AB977" s="3"/>
      <c r="AC977" s="3"/>
      <c r="AD977" s="3"/>
      <c r="AE977" s="3"/>
      <c r="AF977" s="3"/>
      <c r="AG977" s="3"/>
      <c r="AH977" s="3"/>
      <c r="AI977" s="3"/>
      <c r="AJ977" s="3"/>
      <c r="AK977" s="3"/>
      <c r="AL977" s="3"/>
    </row>
    <row r="978" spans="1:38" ht="15.75" customHeight="1" x14ac:dyDescent="0.2">
      <c r="A978" s="118"/>
      <c r="B978" s="118"/>
      <c r="C978" s="118"/>
      <c r="D978" s="118"/>
      <c r="E978" s="118"/>
      <c r="F978" s="118"/>
      <c r="G978" s="118"/>
      <c r="H978" s="118"/>
      <c r="I978" s="118"/>
      <c r="J978" s="118"/>
      <c r="K978" s="118"/>
      <c r="L978" s="118"/>
      <c r="M978" s="118"/>
      <c r="N978" s="42"/>
      <c r="O978" s="42"/>
      <c r="P978" s="42"/>
      <c r="Q978" s="42"/>
      <c r="R978" s="42"/>
      <c r="S978" s="3"/>
      <c r="T978" s="3"/>
      <c r="U978" s="3"/>
      <c r="V978" s="3"/>
      <c r="W978" s="3"/>
      <c r="X978" s="3"/>
      <c r="Y978" s="3"/>
      <c r="Z978" s="3"/>
      <c r="AA978" s="3"/>
      <c r="AB978" s="3"/>
      <c r="AC978" s="3"/>
      <c r="AD978" s="3"/>
      <c r="AE978" s="3"/>
      <c r="AF978" s="3"/>
      <c r="AG978" s="3"/>
      <c r="AH978" s="3"/>
      <c r="AI978" s="3"/>
      <c r="AJ978" s="3"/>
      <c r="AK978" s="3"/>
      <c r="AL978" s="3"/>
    </row>
    <row r="979" spans="1:38" ht="15.75" customHeight="1" x14ac:dyDescent="0.2">
      <c r="A979" s="118"/>
      <c r="B979" s="118"/>
      <c r="C979" s="118"/>
      <c r="D979" s="118"/>
      <c r="E979" s="118"/>
      <c r="F979" s="118"/>
      <c r="G979" s="118"/>
      <c r="H979" s="118"/>
      <c r="I979" s="118"/>
      <c r="J979" s="118"/>
      <c r="K979" s="118"/>
      <c r="L979" s="118"/>
      <c r="M979" s="118"/>
      <c r="N979" s="42"/>
      <c r="O979" s="42"/>
      <c r="P979" s="42"/>
      <c r="Q979" s="42"/>
      <c r="R979" s="42"/>
      <c r="S979" s="3"/>
      <c r="T979" s="3"/>
      <c r="U979" s="3"/>
      <c r="V979" s="3"/>
      <c r="W979" s="3"/>
      <c r="X979" s="3"/>
      <c r="Y979" s="3"/>
      <c r="Z979" s="3"/>
      <c r="AA979" s="3"/>
      <c r="AB979" s="3"/>
      <c r="AC979" s="3"/>
      <c r="AD979" s="3"/>
      <c r="AE979" s="3"/>
      <c r="AF979" s="3"/>
      <c r="AG979" s="3"/>
      <c r="AH979" s="3"/>
      <c r="AI979" s="3"/>
      <c r="AJ979" s="3"/>
      <c r="AK979" s="3"/>
      <c r="AL979" s="3"/>
    </row>
    <row r="980" spans="1:38" ht="15.75" customHeight="1" x14ac:dyDescent="0.2">
      <c r="A980" s="118"/>
      <c r="B980" s="118"/>
      <c r="C980" s="118"/>
      <c r="D980" s="118"/>
      <c r="E980" s="118"/>
      <c r="F980" s="118"/>
      <c r="G980" s="118"/>
      <c r="H980" s="118"/>
      <c r="I980" s="118"/>
      <c r="J980" s="118"/>
      <c r="K980" s="118"/>
      <c r="L980" s="118"/>
      <c r="M980" s="118"/>
      <c r="N980" s="42"/>
      <c r="O980" s="42"/>
      <c r="P980" s="42"/>
      <c r="Q980" s="42"/>
      <c r="R980" s="42"/>
      <c r="S980" s="3"/>
      <c r="T980" s="3"/>
      <c r="U980" s="3"/>
      <c r="V980" s="3"/>
      <c r="W980" s="3"/>
      <c r="X980" s="3"/>
      <c r="Y980" s="3"/>
      <c r="Z980" s="3"/>
      <c r="AA980" s="3"/>
      <c r="AB980" s="3"/>
      <c r="AC980" s="3"/>
      <c r="AD980" s="3"/>
      <c r="AE980" s="3"/>
      <c r="AF980" s="3"/>
      <c r="AG980" s="3"/>
      <c r="AH980" s="3"/>
      <c r="AI980" s="3"/>
      <c r="AJ980" s="3"/>
      <c r="AK980" s="3"/>
      <c r="AL980" s="3"/>
    </row>
    <row r="981" spans="1:38" ht="15.75" customHeight="1" x14ac:dyDescent="0.2">
      <c r="A981" s="118"/>
      <c r="B981" s="118"/>
      <c r="C981" s="118"/>
      <c r="D981" s="118"/>
      <c r="E981" s="118"/>
      <c r="F981" s="118"/>
      <c r="G981" s="118"/>
      <c r="H981" s="118"/>
      <c r="I981" s="118"/>
      <c r="J981" s="118"/>
      <c r="K981" s="118"/>
      <c r="L981" s="118"/>
      <c r="M981" s="118"/>
      <c r="N981" s="42"/>
      <c r="O981" s="42"/>
      <c r="P981" s="42"/>
      <c r="Q981" s="42"/>
      <c r="R981" s="42"/>
      <c r="S981" s="3"/>
      <c r="T981" s="3"/>
      <c r="U981" s="3"/>
      <c r="V981" s="3"/>
      <c r="W981" s="3"/>
      <c r="X981" s="3"/>
      <c r="Y981" s="3"/>
      <c r="Z981" s="3"/>
      <c r="AA981" s="3"/>
      <c r="AB981" s="3"/>
      <c r="AC981" s="3"/>
      <c r="AD981" s="3"/>
      <c r="AE981" s="3"/>
      <c r="AF981" s="3"/>
      <c r="AG981" s="3"/>
      <c r="AH981" s="3"/>
      <c r="AI981" s="3"/>
      <c r="AJ981" s="3"/>
      <c r="AK981" s="3"/>
      <c r="AL981" s="3"/>
    </row>
    <row r="982" spans="1:38" ht="15.75" customHeight="1" x14ac:dyDescent="0.2">
      <c r="A982" s="118"/>
      <c r="B982" s="118"/>
      <c r="C982" s="118"/>
      <c r="D982" s="118"/>
      <c r="E982" s="118"/>
      <c r="F982" s="118"/>
      <c r="G982" s="118"/>
      <c r="H982" s="118"/>
      <c r="I982" s="118"/>
      <c r="J982" s="118"/>
      <c r="K982" s="118"/>
      <c r="L982" s="118"/>
      <c r="M982" s="118"/>
      <c r="N982" s="42"/>
      <c r="O982" s="42"/>
      <c r="P982" s="42"/>
      <c r="Q982" s="42"/>
      <c r="R982" s="42"/>
      <c r="S982" s="3"/>
      <c r="T982" s="3"/>
      <c r="U982" s="3"/>
      <c r="V982" s="3"/>
      <c r="W982" s="3"/>
      <c r="X982" s="3"/>
      <c r="Y982" s="3"/>
      <c r="Z982" s="3"/>
      <c r="AA982" s="3"/>
      <c r="AB982" s="3"/>
      <c r="AC982" s="3"/>
      <c r="AD982" s="3"/>
      <c r="AE982" s="3"/>
      <c r="AF982" s="3"/>
      <c r="AG982" s="3"/>
      <c r="AH982" s="3"/>
      <c r="AI982" s="3"/>
      <c r="AJ982" s="3"/>
      <c r="AK982" s="3"/>
      <c r="AL982" s="3"/>
    </row>
    <row r="983" spans="1:38" ht="15.75" customHeight="1" x14ac:dyDescent="0.2">
      <c r="A983" s="118"/>
      <c r="B983" s="118"/>
      <c r="C983" s="118"/>
      <c r="D983" s="118"/>
      <c r="E983" s="118"/>
      <c r="F983" s="118"/>
      <c r="G983" s="118"/>
      <c r="H983" s="118"/>
      <c r="I983" s="118"/>
      <c r="J983" s="118"/>
      <c r="K983" s="118"/>
      <c r="L983" s="118"/>
      <c r="M983" s="118"/>
      <c r="N983" s="42"/>
      <c r="O983" s="42"/>
      <c r="P983" s="42"/>
      <c r="Q983" s="42"/>
      <c r="R983" s="42"/>
      <c r="S983" s="3"/>
      <c r="T983" s="3"/>
      <c r="U983" s="3"/>
      <c r="V983" s="3"/>
      <c r="W983" s="3"/>
      <c r="X983" s="3"/>
      <c r="Y983" s="3"/>
      <c r="Z983" s="3"/>
      <c r="AA983" s="3"/>
      <c r="AB983" s="3"/>
      <c r="AC983" s="3"/>
      <c r="AD983" s="3"/>
      <c r="AE983" s="3"/>
      <c r="AF983" s="3"/>
      <c r="AG983" s="3"/>
      <c r="AH983" s="3"/>
      <c r="AI983" s="3"/>
      <c r="AJ983" s="3"/>
      <c r="AK983" s="3"/>
      <c r="AL983" s="3"/>
    </row>
    <row r="984" spans="1:38" ht="15.75" customHeight="1" x14ac:dyDescent="0.2">
      <c r="A984" s="118"/>
      <c r="B984" s="118"/>
      <c r="C984" s="118"/>
      <c r="D984" s="118"/>
      <c r="E984" s="118"/>
      <c r="F984" s="118"/>
      <c r="G984" s="118"/>
      <c r="H984" s="118"/>
      <c r="I984" s="118"/>
      <c r="J984" s="118"/>
      <c r="K984" s="118"/>
      <c r="L984" s="118"/>
      <c r="M984" s="118"/>
      <c r="N984" s="42"/>
      <c r="O984" s="42"/>
      <c r="P984" s="42"/>
      <c r="Q984" s="42"/>
      <c r="R984" s="42"/>
      <c r="S984" s="3"/>
      <c r="T984" s="3"/>
      <c r="U984" s="3"/>
      <c r="V984" s="3"/>
      <c r="W984" s="3"/>
      <c r="X984" s="3"/>
      <c r="Y984" s="3"/>
      <c r="Z984" s="3"/>
      <c r="AA984" s="3"/>
      <c r="AB984" s="3"/>
      <c r="AC984" s="3"/>
      <c r="AD984" s="3"/>
      <c r="AE984" s="3"/>
      <c r="AF984" s="3"/>
      <c r="AG984" s="3"/>
      <c r="AH984" s="3"/>
      <c r="AI984" s="3"/>
      <c r="AJ984" s="3"/>
      <c r="AK984" s="3"/>
      <c r="AL984" s="3"/>
    </row>
    <row r="985" spans="1:38" ht="15.75" customHeight="1" x14ac:dyDescent="0.2">
      <c r="A985" s="118"/>
      <c r="B985" s="118"/>
      <c r="C985" s="118"/>
      <c r="D985" s="118"/>
      <c r="E985" s="118"/>
      <c r="F985" s="118"/>
      <c r="G985" s="118"/>
      <c r="H985" s="118"/>
      <c r="I985" s="118"/>
      <c r="J985" s="118"/>
      <c r="K985" s="118"/>
      <c r="L985" s="118"/>
      <c r="M985" s="118"/>
      <c r="N985" s="42"/>
      <c r="O985" s="42"/>
      <c r="P985" s="42"/>
      <c r="Q985" s="42"/>
      <c r="R985" s="42"/>
      <c r="S985" s="3"/>
      <c r="T985" s="3"/>
      <c r="U985" s="3"/>
      <c r="V985" s="3"/>
      <c r="W985" s="3"/>
      <c r="X985" s="3"/>
      <c r="Y985" s="3"/>
      <c r="Z985" s="3"/>
      <c r="AA985" s="3"/>
      <c r="AB985" s="3"/>
      <c r="AC985" s="3"/>
      <c r="AD985" s="3"/>
      <c r="AE985" s="3"/>
      <c r="AF985" s="3"/>
      <c r="AG985" s="3"/>
      <c r="AH985" s="3"/>
      <c r="AI985" s="3"/>
      <c r="AJ985" s="3"/>
      <c r="AK985" s="3"/>
      <c r="AL985" s="3"/>
    </row>
    <row r="986" spans="1:38" ht="15.75" customHeight="1" x14ac:dyDescent="0.2">
      <c r="A986" s="118"/>
      <c r="B986" s="118"/>
      <c r="C986" s="118"/>
      <c r="D986" s="118"/>
      <c r="E986" s="118"/>
      <c r="F986" s="118"/>
      <c r="G986" s="118"/>
      <c r="H986" s="118"/>
      <c r="I986" s="118"/>
      <c r="J986" s="118"/>
      <c r="K986" s="118"/>
      <c r="L986" s="118"/>
      <c r="M986" s="118"/>
      <c r="N986" s="42"/>
      <c r="O986" s="42"/>
      <c r="P986" s="42"/>
      <c r="Q986" s="42"/>
      <c r="R986" s="42"/>
      <c r="S986" s="3"/>
      <c r="T986" s="3"/>
      <c r="U986" s="3"/>
      <c r="V986" s="3"/>
      <c r="W986" s="3"/>
      <c r="X986" s="3"/>
      <c r="Y986" s="3"/>
      <c r="Z986" s="3"/>
      <c r="AA986" s="3"/>
      <c r="AB986" s="3"/>
      <c r="AC986" s="3"/>
      <c r="AD986" s="3"/>
      <c r="AE986" s="3"/>
      <c r="AF986" s="3"/>
      <c r="AG986" s="3"/>
      <c r="AH986" s="3"/>
      <c r="AI986" s="3"/>
      <c r="AJ986" s="3"/>
      <c r="AK986" s="3"/>
      <c r="AL986" s="3"/>
    </row>
    <row r="987" spans="1:38" ht="15.75" customHeight="1" x14ac:dyDescent="0.2">
      <c r="A987" s="118"/>
      <c r="B987" s="118"/>
      <c r="C987" s="118"/>
      <c r="D987" s="118"/>
      <c r="E987" s="118"/>
      <c r="F987" s="118"/>
      <c r="G987" s="118"/>
      <c r="H987" s="118"/>
      <c r="I987" s="118"/>
      <c r="J987" s="118"/>
      <c r="K987" s="118"/>
      <c r="L987" s="118"/>
      <c r="M987" s="118"/>
      <c r="N987" s="42"/>
      <c r="O987" s="42"/>
      <c r="P987" s="42"/>
      <c r="Q987" s="42"/>
      <c r="R987" s="42"/>
      <c r="S987" s="3"/>
      <c r="T987" s="3"/>
      <c r="U987" s="3"/>
      <c r="V987" s="3"/>
      <c r="W987" s="3"/>
      <c r="X987" s="3"/>
      <c r="Y987" s="3"/>
      <c r="Z987" s="3"/>
      <c r="AA987" s="3"/>
      <c r="AB987" s="3"/>
      <c r="AC987" s="3"/>
      <c r="AD987" s="3"/>
      <c r="AE987" s="3"/>
      <c r="AF987" s="3"/>
      <c r="AG987" s="3"/>
      <c r="AH987" s="3"/>
      <c r="AI987" s="3"/>
      <c r="AJ987" s="3"/>
      <c r="AK987" s="3"/>
      <c r="AL987" s="3"/>
    </row>
    <row r="988" spans="1:38" ht="15.75" customHeight="1" x14ac:dyDescent="0.2">
      <c r="A988" s="118"/>
      <c r="B988" s="118"/>
      <c r="C988" s="118"/>
      <c r="D988" s="118"/>
      <c r="E988" s="118"/>
      <c r="F988" s="118"/>
      <c r="G988" s="118"/>
      <c r="H988" s="118"/>
      <c r="I988" s="118"/>
      <c r="J988" s="118"/>
      <c r="K988" s="118"/>
      <c r="L988" s="118"/>
      <c r="M988" s="118"/>
      <c r="N988" s="42"/>
      <c r="O988" s="42"/>
      <c r="P988" s="42"/>
      <c r="Q988" s="42"/>
      <c r="R988" s="42"/>
      <c r="S988" s="3"/>
      <c r="T988" s="3"/>
      <c r="U988" s="3"/>
      <c r="V988" s="3"/>
      <c r="W988" s="3"/>
      <c r="X988" s="3"/>
      <c r="Y988" s="3"/>
      <c r="Z988" s="3"/>
      <c r="AA988" s="3"/>
      <c r="AB988" s="3"/>
      <c r="AC988" s="3"/>
      <c r="AD988" s="3"/>
      <c r="AE988" s="3"/>
      <c r="AF988" s="3"/>
      <c r="AG988" s="3"/>
      <c r="AH988" s="3"/>
      <c r="AI988" s="3"/>
      <c r="AJ988" s="3"/>
      <c r="AK988" s="3"/>
      <c r="AL988" s="3"/>
    </row>
    <row r="989" spans="1:38" ht="15.75" customHeight="1" x14ac:dyDescent="0.2">
      <c r="A989" s="118"/>
      <c r="B989" s="118"/>
      <c r="C989" s="118"/>
      <c r="D989" s="118"/>
      <c r="E989" s="118"/>
      <c r="F989" s="118"/>
      <c r="G989" s="118"/>
      <c r="H989" s="118"/>
      <c r="I989" s="118"/>
      <c r="J989" s="118"/>
      <c r="K989" s="118"/>
      <c r="L989" s="118"/>
      <c r="M989" s="118"/>
      <c r="N989" s="42"/>
      <c r="O989" s="42"/>
      <c r="P989" s="42"/>
      <c r="Q989" s="42"/>
      <c r="R989" s="42"/>
      <c r="S989" s="3"/>
      <c r="T989" s="3"/>
      <c r="U989" s="3"/>
      <c r="V989" s="3"/>
      <c r="W989" s="3"/>
      <c r="X989" s="3"/>
      <c r="Y989" s="3"/>
      <c r="Z989" s="3"/>
      <c r="AA989" s="3"/>
      <c r="AB989" s="3"/>
      <c r="AC989" s="3"/>
      <c r="AD989" s="3"/>
      <c r="AE989" s="3"/>
      <c r="AF989" s="3"/>
      <c r="AG989" s="3"/>
      <c r="AH989" s="3"/>
      <c r="AI989" s="3"/>
      <c r="AJ989" s="3"/>
      <c r="AK989" s="3"/>
      <c r="AL989" s="3"/>
    </row>
    <row r="990" spans="1:38" ht="15.75" customHeight="1" x14ac:dyDescent="0.2">
      <c r="A990" s="118"/>
      <c r="B990" s="118"/>
      <c r="C990" s="118"/>
      <c r="D990" s="118"/>
      <c r="E990" s="118"/>
      <c r="F990" s="118"/>
      <c r="G990" s="118"/>
      <c r="H990" s="118"/>
      <c r="I990" s="118"/>
      <c r="J990" s="118"/>
      <c r="K990" s="118"/>
      <c r="L990" s="118"/>
      <c r="M990" s="118"/>
      <c r="N990" s="42"/>
      <c r="O990" s="42"/>
      <c r="P990" s="42"/>
      <c r="Q990" s="42"/>
      <c r="R990" s="42"/>
      <c r="S990" s="3"/>
      <c r="T990" s="3"/>
      <c r="U990" s="3"/>
      <c r="V990" s="3"/>
      <c r="W990" s="3"/>
      <c r="X990" s="3"/>
      <c r="Y990" s="3"/>
      <c r="Z990" s="3"/>
      <c r="AA990" s="3"/>
      <c r="AB990" s="3"/>
      <c r="AC990" s="3"/>
      <c r="AD990" s="3"/>
      <c r="AE990" s="3"/>
      <c r="AF990" s="3"/>
      <c r="AG990" s="3"/>
      <c r="AH990" s="3"/>
      <c r="AI990" s="3"/>
      <c r="AJ990" s="3"/>
      <c r="AK990" s="3"/>
      <c r="AL990" s="3"/>
    </row>
    <row r="991" spans="1:38" ht="15.75" customHeight="1" x14ac:dyDescent="0.2">
      <c r="A991" s="118"/>
      <c r="B991" s="118"/>
      <c r="C991" s="118"/>
      <c r="D991" s="118"/>
      <c r="E991" s="118"/>
      <c r="F991" s="118"/>
      <c r="G991" s="118"/>
      <c r="H991" s="118"/>
      <c r="I991" s="118"/>
      <c r="J991" s="118"/>
      <c r="K991" s="118"/>
      <c r="L991" s="118"/>
      <c r="M991" s="118"/>
      <c r="N991" s="42"/>
      <c r="O991" s="42"/>
      <c r="P991" s="42"/>
      <c r="Q991" s="42"/>
      <c r="R991" s="42"/>
      <c r="S991" s="3"/>
      <c r="T991" s="3"/>
      <c r="U991" s="3"/>
      <c r="V991" s="3"/>
      <c r="W991" s="3"/>
      <c r="X991" s="3"/>
      <c r="Y991" s="3"/>
      <c r="Z991" s="3"/>
      <c r="AA991" s="3"/>
      <c r="AB991" s="3"/>
      <c r="AC991" s="3"/>
      <c r="AD991" s="3"/>
      <c r="AE991" s="3"/>
      <c r="AF991" s="3"/>
      <c r="AG991" s="3"/>
      <c r="AH991" s="3"/>
      <c r="AI991" s="3"/>
      <c r="AJ991" s="3"/>
      <c r="AK991" s="3"/>
      <c r="AL991" s="3"/>
    </row>
    <row r="992" spans="1:38" ht="15.75" customHeight="1" x14ac:dyDescent="0.2">
      <c r="A992" s="118"/>
      <c r="B992" s="118"/>
      <c r="C992" s="118"/>
      <c r="D992" s="118"/>
      <c r="E992" s="118"/>
      <c r="F992" s="118"/>
      <c r="G992" s="118"/>
      <c r="H992" s="118"/>
      <c r="I992" s="118"/>
      <c r="J992" s="118"/>
      <c r="K992" s="118"/>
      <c r="L992" s="118"/>
      <c r="M992" s="118"/>
      <c r="N992" s="42"/>
      <c r="O992" s="42"/>
      <c r="P992" s="42"/>
      <c r="Q992" s="42"/>
      <c r="R992" s="42"/>
      <c r="S992" s="3"/>
      <c r="T992" s="3"/>
      <c r="U992" s="3"/>
      <c r="V992" s="3"/>
      <c r="W992" s="3"/>
      <c r="X992" s="3"/>
      <c r="Y992" s="3"/>
      <c r="Z992" s="3"/>
      <c r="AA992" s="3"/>
      <c r="AB992" s="3"/>
      <c r="AC992" s="3"/>
      <c r="AD992" s="3"/>
      <c r="AE992" s="3"/>
      <c r="AF992" s="3"/>
      <c r="AG992" s="3"/>
      <c r="AH992" s="3"/>
      <c r="AI992" s="3"/>
      <c r="AJ992" s="3"/>
      <c r="AK992" s="3"/>
      <c r="AL992" s="3"/>
    </row>
    <row r="993" spans="1:38" ht="15.75" customHeight="1" x14ac:dyDescent="0.2">
      <c r="A993" s="118"/>
      <c r="B993" s="118"/>
      <c r="C993" s="118"/>
      <c r="D993" s="118"/>
      <c r="E993" s="118"/>
      <c r="F993" s="118"/>
      <c r="G993" s="118"/>
      <c r="H993" s="118"/>
      <c r="I993" s="118"/>
      <c r="J993" s="118"/>
      <c r="K993" s="118"/>
      <c r="L993" s="118"/>
      <c r="M993" s="118"/>
      <c r="N993" s="42"/>
      <c r="O993" s="42"/>
      <c r="P993" s="42"/>
      <c r="Q993" s="42"/>
      <c r="R993" s="42"/>
      <c r="S993" s="3"/>
      <c r="T993" s="3"/>
      <c r="U993" s="3"/>
      <c r="V993" s="3"/>
      <c r="W993" s="3"/>
      <c r="X993" s="3"/>
      <c r="Y993" s="3"/>
      <c r="Z993" s="3"/>
      <c r="AA993" s="3"/>
      <c r="AB993" s="3"/>
      <c r="AC993" s="3"/>
      <c r="AD993" s="3"/>
      <c r="AE993" s="3"/>
      <c r="AF993" s="3"/>
      <c r="AG993" s="3"/>
      <c r="AH993" s="3"/>
      <c r="AI993" s="3"/>
      <c r="AJ993" s="3"/>
      <c r="AK993" s="3"/>
      <c r="AL993" s="3"/>
    </row>
    <row r="994" spans="1:38" ht="15.75" customHeight="1" x14ac:dyDescent="0.2">
      <c r="A994" s="118"/>
      <c r="B994" s="118"/>
      <c r="C994" s="118"/>
      <c r="D994" s="118"/>
      <c r="E994" s="118"/>
      <c r="F994" s="118"/>
      <c r="G994" s="118"/>
      <c r="H994" s="118"/>
      <c r="I994" s="118"/>
      <c r="J994" s="118"/>
      <c r="K994" s="118"/>
      <c r="L994" s="118"/>
      <c r="M994" s="118"/>
      <c r="N994" s="42"/>
      <c r="O994" s="42"/>
      <c r="P994" s="42"/>
      <c r="Q994" s="42"/>
      <c r="R994" s="42"/>
      <c r="S994" s="3"/>
      <c r="T994" s="3"/>
      <c r="U994" s="3"/>
      <c r="V994" s="3"/>
      <c r="W994" s="3"/>
      <c r="X994" s="3"/>
      <c r="Y994" s="3"/>
      <c r="Z994" s="3"/>
      <c r="AA994" s="3"/>
      <c r="AB994" s="3"/>
      <c r="AC994" s="3"/>
      <c r="AD994" s="3"/>
      <c r="AE994" s="3"/>
      <c r="AF994" s="3"/>
      <c r="AG994" s="3"/>
      <c r="AH994" s="3"/>
      <c r="AI994" s="3"/>
      <c r="AJ994" s="3"/>
      <c r="AK994" s="3"/>
      <c r="AL994" s="3"/>
    </row>
    <row r="995" spans="1:38" ht="15.75" customHeight="1" x14ac:dyDescent="0.2">
      <c r="A995" s="118"/>
      <c r="B995" s="118"/>
      <c r="C995" s="118"/>
      <c r="D995" s="118"/>
      <c r="E995" s="118"/>
      <c r="F995" s="118"/>
      <c r="G995" s="118"/>
      <c r="H995" s="118"/>
      <c r="I995" s="118"/>
      <c r="J995" s="118"/>
      <c r="K995" s="118"/>
      <c r="L995" s="118"/>
      <c r="M995" s="118"/>
      <c r="N995" s="42"/>
      <c r="O995" s="42"/>
      <c r="P995" s="42"/>
      <c r="Q995" s="42"/>
      <c r="R995" s="42"/>
      <c r="S995" s="3"/>
      <c r="T995" s="3"/>
      <c r="U995" s="3"/>
      <c r="V995" s="3"/>
      <c r="W995" s="3"/>
      <c r="X995" s="3"/>
      <c r="Y995" s="3"/>
      <c r="Z995" s="3"/>
      <c r="AA995" s="3"/>
      <c r="AB995" s="3"/>
      <c r="AC995" s="3"/>
      <c r="AD995" s="3"/>
      <c r="AE995" s="3"/>
      <c r="AF995" s="3"/>
      <c r="AG995" s="3"/>
      <c r="AH995" s="3"/>
      <c r="AI995" s="3"/>
      <c r="AJ995" s="3"/>
      <c r="AK995" s="3"/>
      <c r="AL995" s="3"/>
    </row>
    <row r="996" spans="1:38" ht="15.75" customHeight="1" x14ac:dyDescent="0.2">
      <c r="A996" s="118"/>
      <c r="B996" s="118"/>
      <c r="C996" s="118"/>
      <c r="D996" s="118"/>
      <c r="E996" s="118"/>
      <c r="F996" s="118"/>
      <c r="G996" s="118"/>
      <c r="H996" s="118"/>
      <c r="I996" s="118"/>
      <c r="J996" s="118"/>
      <c r="K996" s="118"/>
      <c r="L996" s="118"/>
      <c r="M996" s="118"/>
      <c r="N996" s="42"/>
      <c r="O996" s="42"/>
      <c r="P996" s="42"/>
      <c r="Q996" s="42"/>
      <c r="R996" s="42"/>
      <c r="S996" s="3"/>
      <c r="T996" s="3"/>
      <c r="U996" s="3"/>
      <c r="V996" s="3"/>
      <c r="W996" s="3"/>
      <c r="X996" s="3"/>
      <c r="Y996" s="3"/>
      <c r="Z996" s="3"/>
      <c r="AA996" s="3"/>
      <c r="AB996" s="3"/>
      <c r="AC996" s="3"/>
      <c r="AD996" s="3"/>
      <c r="AE996" s="3"/>
      <c r="AF996" s="3"/>
      <c r="AG996" s="3"/>
      <c r="AH996" s="3"/>
      <c r="AI996" s="3"/>
      <c r="AJ996" s="3"/>
      <c r="AK996" s="3"/>
      <c r="AL996" s="3"/>
    </row>
    <row r="997" spans="1:38" ht="15.75" customHeight="1" x14ac:dyDescent="0.2">
      <c r="A997" s="118"/>
      <c r="B997" s="118"/>
      <c r="C997" s="118"/>
      <c r="D997" s="118"/>
      <c r="E997" s="118"/>
      <c r="F997" s="118"/>
      <c r="G997" s="118"/>
      <c r="H997" s="118"/>
      <c r="I997" s="118"/>
      <c r="J997" s="118"/>
      <c r="K997" s="118"/>
      <c r="L997" s="118"/>
      <c r="M997" s="118"/>
      <c r="N997" s="42"/>
      <c r="O997" s="42"/>
      <c r="P997" s="42"/>
      <c r="Q997" s="42"/>
      <c r="R997" s="42"/>
      <c r="S997" s="3"/>
      <c r="T997" s="3"/>
      <c r="U997" s="3"/>
      <c r="V997" s="3"/>
      <c r="W997" s="3"/>
      <c r="X997" s="3"/>
      <c r="Y997" s="3"/>
      <c r="Z997" s="3"/>
      <c r="AA997" s="3"/>
      <c r="AB997" s="3"/>
      <c r="AC997" s="3"/>
      <c r="AD997" s="3"/>
      <c r="AE997" s="3"/>
      <c r="AF997" s="3"/>
      <c r="AG997" s="3"/>
      <c r="AH997" s="3"/>
      <c r="AI997" s="3"/>
      <c r="AJ997" s="3"/>
      <c r="AK997" s="3"/>
      <c r="AL997" s="3"/>
    </row>
    <row r="998" spans="1:38" ht="15.75" customHeight="1" x14ac:dyDescent="0.2">
      <c r="A998" s="118"/>
      <c r="B998" s="118"/>
      <c r="C998" s="118"/>
      <c r="D998" s="118"/>
      <c r="E998" s="118"/>
      <c r="F998" s="118"/>
      <c r="G998" s="118"/>
      <c r="H998" s="118"/>
      <c r="I998" s="118"/>
      <c r="J998" s="118"/>
      <c r="K998" s="118"/>
      <c r="L998" s="118"/>
      <c r="M998" s="118"/>
      <c r="N998" s="42"/>
      <c r="O998" s="42"/>
      <c r="P998" s="42"/>
      <c r="Q998" s="42"/>
      <c r="R998" s="42"/>
      <c r="S998" s="3"/>
      <c r="T998" s="3"/>
      <c r="U998" s="3"/>
      <c r="V998" s="3"/>
      <c r="W998" s="3"/>
      <c r="X998" s="3"/>
      <c r="Y998" s="3"/>
      <c r="Z998" s="3"/>
      <c r="AA998" s="3"/>
      <c r="AB998" s="3"/>
      <c r="AC998" s="3"/>
      <c r="AD998" s="3"/>
      <c r="AE998" s="3"/>
      <c r="AF998" s="3"/>
      <c r="AG998" s="3"/>
      <c r="AH998" s="3"/>
      <c r="AI998" s="3"/>
      <c r="AJ998" s="3"/>
      <c r="AK998" s="3"/>
      <c r="AL998" s="3"/>
    </row>
    <row r="999" spans="1:38" ht="15.75" customHeight="1" x14ac:dyDescent="0.2">
      <c r="A999" s="118"/>
      <c r="B999" s="118"/>
      <c r="C999" s="118"/>
      <c r="D999" s="118"/>
      <c r="E999" s="118"/>
      <c r="F999" s="118"/>
      <c r="G999" s="118"/>
      <c r="H999" s="118"/>
      <c r="I999" s="118"/>
      <c r="J999" s="118"/>
      <c r="K999" s="118"/>
      <c r="L999" s="118"/>
      <c r="M999" s="118"/>
      <c r="N999" s="42"/>
      <c r="O999" s="42"/>
      <c r="P999" s="42"/>
      <c r="Q999" s="42"/>
      <c r="R999" s="42"/>
      <c r="S999" s="3"/>
      <c r="T999" s="3"/>
      <c r="U999" s="3"/>
      <c r="V999" s="3"/>
      <c r="W999" s="3"/>
      <c r="X999" s="3"/>
      <c r="Y999" s="3"/>
      <c r="Z999" s="3"/>
      <c r="AA999" s="3"/>
      <c r="AB999" s="3"/>
      <c r="AC999" s="3"/>
      <c r="AD999" s="3"/>
      <c r="AE999" s="3"/>
      <c r="AF999" s="3"/>
      <c r="AG999" s="3"/>
      <c r="AH999" s="3"/>
      <c r="AI999" s="3"/>
      <c r="AJ999" s="3"/>
      <c r="AK999" s="3"/>
      <c r="AL999" s="3"/>
    </row>
    <row r="1000" spans="1:38" ht="15.75" customHeight="1" x14ac:dyDescent="0.2">
      <c r="A1000" s="118"/>
      <c r="B1000" s="118"/>
      <c r="C1000" s="118"/>
      <c r="D1000" s="118"/>
      <c r="E1000" s="118"/>
      <c r="F1000" s="118"/>
      <c r="G1000" s="118"/>
      <c r="H1000" s="118"/>
      <c r="I1000" s="118"/>
      <c r="J1000" s="118"/>
      <c r="K1000" s="118"/>
      <c r="L1000" s="118"/>
      <c r="M1000" s="118"/>
      <c r="N1000" s="42"/>
      <c r="O1000" s="42"/>
      <c r="P1000" s="42"/>
      <c r="Q1000" s="42"/>
      <c r="R1000" s="42"/>
      <c r="S1000" s="3"/>
      <c r="T1000" s="3"/>
      <c r="U1000" s="3"/>
      <c r="V1000" s="3"/>
      <c r="W1000" s="3"/>
      <c r="X1000" s="3"/>
      <c r="Y1000" s="3"/>
      <c r="Z1000" s="3"/>
      <c r="AA1000" s="3"/>
      <c r="AB1000" s="3"/>
      <c r="AC1000" s="3"/>
      <c r="AD1000" s="3"/>
      <c r="AE1000" s="3"/>
      <c r="AF1000" s="3"/>
      <c r="AG1000" s="3"/>
      <c r="AH1000" s="3"/>
      <c r="AI1000" s="3"/>
      <c r="AJ1000" s="3"/>
      <c r="AK1000" s="3"/>
      <c r="AL1000" s="3"/>
    </row>
  </sheetData>
  <sortState xmlns:xlrd2="http://schemas.microsoft.com/office/spreadsheetml/2017/richdata2" ref="A2:R427">
    <sortCondition ref="O2:O427"/>
    <sortCondition ref="P2:P427"/>
    <sortCondition ref="R2:R427"/>
  </sortState>
  <conditionalFormatting sqref="J1 J1001:J1048576">
    <cfRule type="duplicateValues" dxfId="0" priority="1"/>
  </conditionalFormatting>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00"/>
  <sheetViews>
    <sheetView topLeftCell="A304" workbookViewId="0">
      <selection activeCell="I322" sqref="I322"/>
    </sheetView>
  </sheetViews>
  <sheetFormatPr baseColWidth="10" defaultColWidth="14.5" defaultRowHeight="15" customHeight="1" x14ac:dyDescent="0.2"/>
  <cols>
    <col min="1" max="1" width="10.6640625" customWidth="1"/>
    <col min="2" max="2" width="12.83203125" customWidth="1"/>
    <col min="3" max="6" width="10.6640625" customWidth="1"/>
    <col min="7" max="7" width="19.5" customWidth="1"/>
    <col min="8" max="8" width="10.6640625" customWidth="1"/>
    <col min="9" max="9" width="13.6640625" customWidth="1"/>
    <col min="10" max="10" width="10.6640625" customWidth="1"/>
    <col min="11" max="11" width="17.1640625" customWidth="1"/>
    <col min="12" max="12" width="14.33203125" customWidth="1"/>
    <col min="13" max="14" width="10.6640625" customWidth="1"/>
    <col min="15" max="15" width="21.1640625" customWidth="1"/>
    <col min="16" max="16" width="24.83203125" customWidth="1"/>
    <col min="17" max="17" width="21.1640625" customWidth="1"/>
    <col min="18" max="18" width="24.83203125" customWidth="1"/>
    <col min="19" max="19" width="24.5" customWidth="1"/>
    <col min="20" max="20" width="50.5" customWidth="1"/>
    <col min="21" max="23" width="10.6640625" customWidth="1"/>
  </cols>
  <sheetData>
    <row r="1" spans="1:46" ht="42" customHeight="1" x14ac:dyDescent="0.2">
      <c r="A1" s="1" t="s">
        <v>0</v>
      </c>
      <c r="B1" s="1" t="s">
        <v>1</v>
      </c>
      <c r="C1" s="1" t="s">
        <v>2</v>
      </c>
      <c r="D1" s="1" t="s">
        <v>3</v>
      </c>
      <c r="E1" s="1" t="s">
        <v>4</v>
      </c>
      <c r="F1" s="1" t="s">
        <v>5</v>
      </c>
      <c r="G1" s="1" t="s">
        <v>6</v>
      </c>
      <c r="H1" s="1" t="s">
        <v>7</v>
      </c>
      <c r="I1" s="1" t="s">
        <v>8</v>
      </c>
      <c r="J1" s="1" t="s">
        <v>10</v>
      </c>
      <c r="K1" s="1" t="s">
        <v>11</v>
      </c>
      <c r="L1" s="1" t="s">
        <v>12</v>
      </c>
      <c r="M1" s="1" t="s">
        <v>13</v>
      </c>
      <c r="N1" s="1" t="s">
        <v>14</v>
      </c>
      <c r="O1" s="24" t="s">
        <v>54</v>
      </c>
      <c r="P1" s="8" t="s">
        <v>53</v>
      </c>
      <c r="Q1" s="24" t="s">
        <v>55</v>
      </c>
      <c r="R1" s="8" t="s">
        <v>53</v>
      </c>
      <c r="S1" s="124" t="s">
        <v>56</v>
      </c>
      <c r="T1" s="9" t="s">
        <v>38</v>
      </c>
      <c r="U1" s="2"/>
      <c r="V1" s="2"/>
      <c r="W1" s="2"/>
      <c r="X1" s="3"/>
      <c r="Y1" s="3"/>
      <c r="Z1" s="3"/>
      <c r="AA1" s="3"/>
      <c r="AB1" s="3"/>
      <c r="AC1" s="3"/>
      <c r="AD1" s="3"/>
      <c r="AE1" s="3"/>
      <c r="AF1" s="3"/>
      <c r="AG1" s="3"/>
      <c r="AH1" s="3"/>
      <c r="AI1" s="3"/>
      <c r="AJ1" s="3"/>
      <c r="AK1" s="3"/>
      <c r="AL1" s="3"/>
      <c r="AM1" s="3"/>
      <c r="AN1" s="3"/>
      <c r="AO1" s="3"/>
      <c r="AP1" s="3"/>
      <c r="AQ1" s="3"/>
      <c r="AR1" s="3"/>
      <c r="AS1" s="3"/>
      <c r="AT1" s="3"/>
    </row>
    <row r="2" spans="1:46" ht="14.25" customHeight="1" x14ac:dyDescent="0.2">
      <c r="A2" s="118" t="s">
        <v>626</v>
      </c>
      <c r="B2" s="118" t="s">
        <v>627</v>
      </c>
      <c r="C2" s="118">
        <v>2026</v>
      </c>
      <c r="D2" s="118" t="s">
        <v>394</v>
      </c>
      <c r="E2" s="118" t="s">
        <v>629</v>
      </c>
      <c r="F2" s="118" t="s">
        <v>630</v>
      </c>
      <c r="G2" s="118" t="s">
        <v>274</v>
      </c>
      <c r="H2" s="118" t="s">
        <v>15</v>
      </c>
      <c r="I2" s="118" t="s">
        <v>253</v>
      </c>
      <c r="J2" s="118" t="s">
        <v>628</v>
      </c>
      <c r="K2" s="118" t="s">
        <v>631</v>
      </c>
      <c r="L2" s="118">
        <v>0</v>
      </c>
      <c r="M2" s="118">
        <v>0</v>
      </c>
      <c r="N2" s="118">
        <v>0</v>
      </c>
      <c r="O2" s="42" t="s">
        <v>16</v>
      </c>
      <c r="P2" s="42" t="s">
        <v>50</v>
      </c>
      <c r="Q2" s="42" t="s">
        <v>100</v>
      </c>
      <c r="R2" s="42" t="s">
        <v>50</v>
      </c>
      <c r="S2" s="125" t="s">
        <v>50</v>
      </c>
      <c r="T2" s="123"/>
      <c r="U2" s="3"/>
      <c r="V2" s="3"/>
      <c r="W2" s="3"/>
      <c r="X2" s="3"/>
      <c r="Y2" s="3"/>
      <c r="Z2" s="3"/>
      <c r="AA2" s="3"/>
      <c r="AB2" s="3"/>
      <c r="AC2" s="3"/>
      <c r="AD2" s="3"/>
      <c r="AE2" s="3"/>
      <c r="AF2" s="3"/>
      <c r="AG2" s="3"/>
      <c r="AH2" s="3"/>
      <c r="AI2" s="3"/>
      <c r="AJ2" s="3"/>
      <c r="AK2" s="3"/>
      <c r="AL2" s="3"/>
      <c r="AM2" s="3"/>
      <c r="AN2" s="3"/>
      <c r="AO2" s="3"/>
      <c r="AP2" s="3"/>
      <c r="AQ2" s="3"/>
      <c r="AR2" s="3"/>
      <c r="AS2" s="3"/>
      <c r="AT2" s="3"/>
    </row>
    <row r="3" spans="1:46" ht="14.25" customHeight="1" x14ac:dyDescent="0.2">
      <c r="A3" s="118" t="s">
        <v>1759</v>
      </c>
      <c r="B3" s="118" t="s">
        <v>1760</v>
      </c>
      <c r="C3" s="118">
        <v>2020</v>
      </c>
      <c r="D3" s="118" t="s">
        <v>371</v>
      </c>
      <c r="E3" s="118" t="s">
        <v>1762</v>
      </c>
      <c r="F3" s="118" t="s">
        <v>1763</v>
      </c>
      <c r="G3" s="118" t="s">
        <v>376</v>
      </c>
      <c r="H3" s="118" t="s">
        <v>15</v>
      </c>
      <c r="I3" s="118" t="s">
        <v>253</v>
      </c>
      <c r="J3" s="118" t="s">
        <v>1761</v>
      </c>
      <c r="K3" s="118" t="s">
        <v>1764</v>
      </c>
      <c r="L3" s="118">
        <v>0</v>
      </c>
      <c r="M3" s="118">
        <v>0</v>
      </c>
      <c r="N3" s="118">
        <v>0</v>
      </c>
      <c r="O3" s="42" t="s">
        <v>16</v>
      </c>
      <c r="P3" s="42" t="s">
        <v>52</v>
      </c>
      <c r="Q3" s="42" t="s">
        <v>100</v>
      </c>
      <c r="R3" s="42" t="s">
        <v>52</v>
      </c>
      <c r="S3" s="125" t="s">
        <v>50</v>
      </c>
      <c r="T3" s="123"/>
      <c r="U3" s="3"/>
      <c r="V3" s="3"/>
      <c r="W3" s="3"/>
      <c r="X3" s="3"/>
      <c r="Y3" s="3"/>
      <c r="Z3" s="3"/>
      <c r="AA3" s="3"/>
      <c r="AB3" s="3"/>
      <c r="AC3" s="3"/>
      <c r="AD3" s="3"/>
      <c r="AE3" s="3"/>
      <c r="AF3" s="3"/>
      <c r="AG3" s="3"/>
      <c r="AH3" s="3"/>
      <c r="AI3" s="3"/>
      <c r="AJ3" s="3"/>
      <c r="AK3" s="3"/>
      <c r="AL3" s="3"/>
      <c r="AM3" s="3"/>
      <c r="AN3" s="3"/>
      <c r="AO3" s="3"/>
      <c r="AP3" s="3"/>
      <c r="AQ3" s="3"/>
      <c r="AR3" s="3"/>
      <c r="AS3" s="3"/>
      <c r="AT3" s="3"/>
    </row>
    <row r="4" spans="1:46" ht="14.25" customHeight="1" x14ac:dyDescent="0.2">
      <c r="A4" s="118" t="s">
        <v>1389</v>
      </c>
      <c r="B4" s="118" t="s">
        <v>1390</v>
      </c>
      <c r="C4" s="118">
        <v>2025</v>
      </c>
      <c r="D4" s="118" t="s">
        <v>1391</v>
      </c>
      <c r="E4" s="118" t="s">
        <v>1393</v>
      </c>
      <c r="F4" s="118" t="s">
        <v>1394</v>
      </c>
      <c r="G4" s="118" t="s">
        <v>1395</v>
      </c>
      <c r="H4" s="118" t="s">
        <v>15</v>
      </c>
      <c r="I4" s="118" t="s">
        <v>253</v>
      </c>
      <c r="J4" s="118" t="s">
        <v>1392</v>
      </c>
      <c r="K4" s="118" t="s">
        <v>1821</v>
      </c>
      <c r="L4" s="118">
        <v>0</v>
      </c>
      <c r="M4" s="118">
        <v>0</v>
      </c>
      <c r="N4" s="118">
        <v>0</v>
      </c>
      <c r="O4" s="42" t="s">
        <v>16</v>
      </c>
      <c r="P4" s="42" t="s">
        <v>52</v>
      </c>
      <c r="Q4" s="42" t="s">
        <v>100</v>
      </c>
      <c r="R4" s="42" t="s">
        <v>52</v>
      </c>
      <c r="S4" s="125" t="s">
        <v>50</v>
      </c>
      <c r="T4" s="123"/>
      <c r="U4" s="3"/>
      <c r="V4" s="3"/>
      <c r="W4" s="3"/>
      <c r="X4" s="3"/>
      <c r="Y4" s="3"/>
      <c r="Z4" s="3"/>
      <c r="AA4" s="3"/>
      <c r="AB4" s="3"/>
      <c r="AC4" s="3"/>
      <c r="AD4" s="3"/>
      <c r="AE4" s="3"/>
      <c r="AF4" s="3"/>
      <c r="AG4" s="3"/>
      <c r="AH4" s="3"/>
      <c r="AI4" s="3"/>
      <c r="AJ4" s="3"/>
      <c r="AK4" s="3"/>
      <c r="AL4" s="3"/>
      <c r="AM4" s="3"/>
      <c r="AN4" s="3"/>
      <c r="AO4" s="3"/>
      <c r="AP4" s="3"/>
      <c r="AQ4" s="3"/>
      <c r="AR4" s="3"/>
      <c r="AS4" s="3"/>
      <c r="AT4" s="3"/>
    </row>
    <row r="5" spans="1:46" ht="14.25" customHeight="1" x14ac:dyDescent="0.2">
      <c r="A5" s="118" t="s">
        <v>1030</v>
      </c>
      <c r="B5" s="118" t="s">
        <v>1031</v>
      </c>
      <c r="C5" s="118">
        <v>2023</v>
      </c>
      <c r="D5" s="118" t="s">
        <v>345</v>
      </c>
      <c r="E5" s="118" t="s">
        <v>1033</v>
      </c>
      <c r="F5" s="118" t="s">
        <v>1034</v>
      </c>
      <c r="G5" s="118" t="s">
        <v>350</v>
      </c>
      <c r="H5" s="118" t="s">
        <v>15</v>
      </c>
      <c r="I5" s="118" t="s">
        <v>253</v>
      </c>
      <c r="J5" s="118" t="s">
        <v>1032</v>
      </c>
      <c r="K5" s="118" t="s">
        <v>1035</v>
      </c>
      <c r="L5" s="118">
        <v>0</v>
      </c>
      <c r="M5" s="118">
        <v>0</v>
      </c>
      <c r="N5" s="118">
        <v>0</v>
      </c>
      <c r="O5" s="42" t="s">
        <v>16</v>
      </c>
      <c r="P5" s="42" t="s">
        <v>50</v>
      </c>
      <c r="Q5" s="42" t="s">
        <v>100</v>
      </c>
      <c r="R5" s="42" t="s">
        <v>50</v>
      </c>
      <c r="S5" s="125" t="s">
        <v>50</v>
      </c>
      <c r="T5" s="123"/>
      <c r="U5" s="3"/>
      <c r="V5" s="3"/>
      <c r="W5" s="3"/>
      <c r="X5" s="3"/>
      <c r="Y5" s="3"/>
      <c r="Z5" s="3"/>
      <c r="AA5" s="3"/>
      <c r="AB5" s="3"/>
      <c r="AC5" s="3"/>
      <c r="AD5" s="3"/>
      <c r="AE5" s="3"/>
      <c r="AF5" s="3"/>
      <c r="AG5" s="3"/>
      <c r="AH5" s="3"/>
      <c r="AI5" s="3"/>
      <c r="AJ5" s="3"/>
      <c r="AK5" s="3"/>
      <c r="AL5" s="3"/>
      <c r="AM5" s="3"/>
      <c r="AN5" s="3"/>
      <c r="AO5" s="3"/>
      <c r="AP5" s="3"/>
      <c r="AQ5" s="3"/>
      <c r="AR5" s="3"/>
      <c r="AS5" s="3"/>
      <c r="AT5" s="3"/>
    </row>
    <row r="6" spans="1:46" ht="14.25" customHeight="1" x14ac:dyDescent="0.2">
      <c r="A6" s="118" t="s">
        <v>245</v>
      </c>
      <c r="B6" s="118" t="s">
        <v>246</v>
      </c>
      <c r="C6" s="118">
        <v>2025</v>
      </c>
      <c r="D6" s="118" t="s">
        <v>247</v>
      </c>
      <c r="E6" s="118" t="s">
        <v>249</v>
      </c>
      <c r="F6" s="118" t="s">
        <v>250</v>
      </c>
      <c r="G6" s="118" t="s">
        <v>252</v>
      </c>
      <c r="H6" s="118" t="s">
        <v>15</v>
      </c>
      <c r="I6" s="118" t="s">
        <v>253</v>
      </c>
      <c r="J6" s="118" t="s">
        <v>248</v>
      </c>
      <c r="K6" s="118" t="s">
        <v>251</v>
      </c>
      <c r="L6" s="118">
        <v>0</v>
      </c>
      <c r="M6" s="118">
        <v>0</v>
      </c>
      <c r="N6" s="118">
        <v>0</v>
      </c>
      <c r="O6" s="42" t="s">
        <v>16</v>
      </c>
      <c r="P6" s="42" t="s">
        <v>52</v>
      </c>
      <c r="Q6" s="42" t="s">
        <v>100</v>
      </c>
      <c r="R6" s="42" t="s">
        <v>52</v>
      </c>
      <c r="S6" s="125" t="s">
        <v>50</v>
      </c>
      <c r="T6" s="123"/>
      <c r="U6" s="3"/>
      <c r="V6" s="3"/>
      <c r="W6" s="3"/>
      <c r="X6" s="3"/>
      <c r="Y6" s="3"/>
      <c r="Z6" s="3"/>
      <c r="AA6" s="3"/>
      <c r="AB6" s="3"/>
      <c r="AC6" s="3"/>
      <c r="AD6" s="3"/>
      <c r="AE6" s="3"/>
      <c r="AF6" s="3"/>
      <c r="AG6" s="3"/>
      <c r="AH6" s="3"/>
      <c r="AI6" s="3"/>
      <c r="AJ6" s="3"/>
      <c r="AK6" s="3"/>
      <c r="AL6" s="3"/>
      <c r="AM6" s="3"/>
      <c r="AN6" s="3"/>
      <c r="AO6" s="3"/>
      <c r="AP6" s="3"/>
      <c r="AQ6" s="3"/>
      <c r="AR6" s="3"/>
      <c r="AS6" s="3"/>
      <c r="AT6" s="3"/>
    </row>
    <row r="7" spans="1:46" ht="14.25" customHeight="1" x14ac:dyDescent="0.2">
      <c r="A7" s="118" t="s">
        <v>254</v>
      </c>
      <c r="B7" s="118" t="s">
        <v>255</v>
      </c>
      <c r="C7" s="118">
        <v>2024</v>
      </c>
      <c r="D7" s="118" t="s">
        <v>256</v>
      </c>
      <c r="E7" s="118" t="s">
        <v>258</v>
      </c>
      <c r="F7" s="118">
        <v>0</v>
      </c>
      <c r="G7" s="118" t="s">
        <v>260</v>
      </c>
      <c r="H7" s="118" t="s">
        <v>15</v>
      </c>
      <c r="I7" s="118" t="s">
        <v>253</v>
      </c>
      <c r="J7" s="118" t="s">
        <v>257</v>
      </c>
      <c r="K7" s="118" t="s">
        <v>259</v>
      </c>
      <c r="L7" s="118">
        <v>0</v>
      </c>
      <c r="M7" s="118">
        <v>0</v>
      </c>
      <c r="N7" s="118">
        <v>0</v>
      </c>
      <c r="O7" s="42" t="s">
        <v>16</v>
      </c>
      <c r="P7" s="42" t="s">
        <v>52</v>
      </c>
      <c r="Q7" s="42" t="s">
        <v>100</v>
      </c>
      <c r="R7" s="42" t="s">
        <v>50</v>
      </c>
      <c r="S7" s="125" t="s">
        <v>50</v>
      </c>
      <c r="T7" s="123"/>
      <c r="U7" s="3"/>
      <c r="V7" s="3"/>
      <c r="W7" s="3"/>
      <c r="X7" s="3"/>
      <c r="Y7" s="3"/>
      <c r="Z7" s="3"/>
      <c r="AA7" s="3"/>
      <c r="AB7" s="3"/>
      <c r="AC7" s="3"/>
      <c r="AD7" s="3"/>
      <c r="AE7" s="3"/>
      <c r="AF7" s="3"/>
      <c r="AG7" s="3"/>
      <c r="AH7" s="3"/>
      <c r="AI7" s="3"/>
      <c r="AJ7" s="3"/>
      <c r="AK7" s="3"/>
      <c r="AL7" s="3"/>
      <c r="AM7" s="3"/>
      <c r="AN7" s="3"/>
      <c r="AO7" s="3"/>
      <c r="AP7" s="3"/>
      <c r="AQ7" s="3"/>
      <c r="AR7" s="3"/>
      <c r="AS7" s="3"/>
      <c r="AT7" s="3"/>
    </row>
    <row r="8" spans="1:46" ht="14.25" customHeight="1" x14ac:dyDescent="0.2">
      <c r="A8" s="118" t="s">
        <v>267</v>
      </c>
      <c r="B8" s="118" t="s">
        <v>268</v>
      </c>
      <c r="C8" s="118">
        <v>2025</v>
      </c>
      <c r="D8" s="118" t="s">
        <v>269</v>
      </c>
      <c r="E8" s="118" t="s">
        <v>271</v>
      </c>
      <c r="F8" s="118" t="s">
        <v>272</v>
      </c>
      <c r="G8" s="118" t="s">
        <v>274</v>
      </c>
      <c r="H8" s="118" t="s">
        <v>15</v>
      </c>
      <c r="I8" s="118" t="s">
        <v>253</v>
      </c>
      <c r="J8" s="118" t="s">
        <v>270</v>
      </c>
      <c r="K8" s="118" t="s">
        <v>273</v>
      </c>
      <c r="L8" s="118">
        <v>0</v>
      </c>
      <c r="M8" s="118">
        <v>0</v>
      </c>
      <c r="N8" s="118">
        <v>0</v>
      </c>
      <c r="O8" s="42" t="s">
        <v>16</v>
      </c>
      <c r="P8" s="42" t="s">
        <v>50</v>
      </c>
      <c r="Q8" s="42" t="s">
        <v>100</v>
      </c>
      <c r="R8" s="42" t="s">
        <v>50</v>
      </c>
      <c r="S8" s="125" t="s">
        <v>50</v>
      </c>
      <c r="T8" s="123"/>
      <c r="U8" s="3"/>
      <c r="V8" s="3"/>
      <c r="W8" s="3"/>
      <c r="X8" s="3"/>
      <c r="Y8" s="3"/>
      <c r="Z8" s="3"/>
      <c r="AA8" s="3"/>
      <c r="AB8" s="3"/>
      <c r="AC8" s="3"/>
      <c r="AD8" s="3"/>
      <c r="AE8" s="3"/>
      <c r="AF8" s="3"/>
      <c r="AG8" s="3"/>
      <c r="AH8" s="3"/>
      <c r="AI8" s="3"/>
      <c r="AJ8" s="3"/>
      <c r="AK8" s="3"/>
      <c r="AL8" s="3"/>
      <c r="AM8" s="3"/>
      <c r="AN8" s="3"/>
      <c r="AO8" s="3"/>
      <c r="AP8" s="3"/>
      <c r="AQ8" s="3"/>
      <c r="AR8" s="3"/>
      <c r="AS8" s="3"/>
      <c r="AT8" s="3"/>
    </row>
    <row r="9" spans="1:46" ht="14.25" customHeight="1" x14ac:dyDescent="0.2">
      <c r="A9" s="118" t="s">
        <v>275</v>
      </c>
      <c r="B9" s="118" t="s">
        <v>276</v>
      </c>
      <c r="C9" s="118">
        <v>2026</v>
      </c>
      <c r="D9" s="118" t="s">
        <v>277</v>
      </c>
      <c r="E9" s="118" t="s">
        <v>279</v>
      </c>
      <c r="F9" s="118" t="s">
        <v>280</v>
      </c>
      <c r="G9" s="118" t="s">
        <v>282</v>
      </c>
      <c r="H9" s="118" t="s">
        <v>15</v>
      </c>
      <c r="I9" s="118" t="s">
        <v>253</v>
      </c>
      <c r="J9" s="118" t="s">
        <v>278</v>
      </c>
      <c r="K9" s="118" t="s">
        <v>281</v>
      </c>
      <c r="L9" s="118">
        <v>0</v>
      </c>
      <c r="M9" s="118">
        <v>0</v>
      </c>
      <c r="N9" s="118">
        <v>0</v>
      </c>
      <c r="O9" s="42" t="s">
        <v>16</v>
      </c>
      <c r="P9" s="42" t="s">
        <v>52</v>
      </c>
      <c r="Q9" s="42" t="s">
        <v>100</v>
      </c>
      <c r="R9" s="42" t="s">
        <v>52</v>
      </c>
      <c r="S9" s="125" t="s">
        <v>50</v>
      </c>
      <c r="T9" s="123"/>
      <c r="U9" s="3"/>
      <c r="V9" s="3"/>
      <c r="W9" s="3"/>
      <c r="X9" s="3"/>
      <c r="Y9" s="3"/>
      <c r="Z9" s="3"/>
      <c r="AA9" s="3"/>
      <c r="AB9" s="3"/>
      <c r="AC9" s="3"/>
      <c r="AD9" s="3"/>
      <c r="AE9" s="3"/>
      <c r="AF9" s="3"/>
      <c r="AG9" s="3"/>
      <c r="AH9" s="3"/>
      <c r="AI9" s="3"/>
      <c r="AJ9" s="3"/>
      <c r="AK9" s="3"/>
      <c r="AL9" s="3"/>
      <c r="AM9" s="3"/>
      <c r="AN9" s="3"/>
      <c r="AO9" s="3"/>
      <c r="AP9" s="3"/>
      <c r="AQ9" s="3"/>
      <c r="AR9" s="3"/>
      <c r="AS9" s="3"/>
      <c r="AT9" s="3"/>
    </row>
    <row r="10" spans="1:46" ht="14.25" customHeight="1" x14ac:dyDescent="0.2">
      <c r="A10" s="118" t="s">
        <v>652</v>
      </c>
      <c r="B10" s="118" t="s">
        <v>653</v>
      </c>
      <c r="C10" s="118">
        <v>2023</v>
      </c>
      <c r="D10" s="118" t="s">
        <v>654</v>
      </c>
      <c r="E10" s="118" t="s">
        <v>656</v>
      </c>
      <c r="F10" s="118" t="s">
        <v>657</v>
      </c>
      <c r="G10" s="118" t="s">
        <v>228</v>
      </c>
      <c r="H10" s="118" t="s">
        <v>15</v>
      </c>
      <c r="I10" s="118" t="s">
        <v>253</v>
      </c>
      <c r="J10" s="118" t="s">
        <v>655</v>
      </c>
      <c r="K10" s="118" t="s">
        <v>658</v>
      </c>
      <c r="L10" s="118">
        <v>0</v>
      </c>
      <c r="M10" s="118">
        <v>0</v>
      </c>
      <c r="N10" s="118">
        <v>0</v>
      </c>
      <c r="O10" s="42" t="s">
        <v>16</v>
      </c>
      <c r="P10" s="42" t="s">
        <v>50</v>
      </c>
      <c r="Q10" s="42" t="s">
        <v>100</v>
      </c>
      <c r="R10" s="42" t="s">
        <v>50</v>
      </c>
      <c r="S10" s="125" t="s">
        <v>50</v>
      </c>
      <c r="T10" s="12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ht="14.25" customHeight="1" x14ac:dyDescent="0.2">
      <c r="A11" s="118" t="s">
        <v>1421</v>
      </c>
      <c r="B11" s="118" t="s">
        <v>1422</v>
      </c>
      <c r="C11" s="118">
        <v>2023</v>
      </c>
      <c r="D11" s="118" t="s">
        <v>277</v>
      </c>
      <c r="E11" s="118" t="s">
        <v>1424</v>
      </c>
      <c r="F11" s="118" t="s">
        <v>1425</v>
      </c>
      <c r="G11" s="118" t="s">
        <v>586</v>
      </c>
      <c r="H11" s="118" t="s">
        <v>15</v>
      </c>
      <c r="I11" s="118" t="s">
        <v>253</v>
      </c>
      <c r="J11" s="118" t="s">
        <v>1423</v>
      </c>
      <c r="K11" s="118" t="s">
        <v>1822</v>
      </c>
      <c r="L11" s="118">
        <v>0</v>
      </c>
      <c r="M11" s="118">
        <v>0</v>
      </c>
      <c r="N11" s="118">
        <v>0</v>
      </c>
      <c r="O11" s="42" t="s">
        <v>16</v>
      </c>
      <c r="P11" s="42" t="s">
        <v>52</v>
      </c>
      <c r="Q11" s="42" t="s">
        <v>100</v>
      </c>
      <c r="R11" s="42" t="s">
        <v>50</v>
      </c>
      <c r="S11" s="125" t="s">
        <v>50</v>
      </c>
      <c r="T11" s="12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spans="1:46" ht="14.25" customHeight="1" x14ac:dyDescent="0.2">
      <c r="A12" s="118" t="s">
        <v>665</v>
      </c>
      <c r="B12" s="118" t="s">
        <v>666</v>
      </c>
      <c r="C12" s="118">
        <v>2022</v>
      </c>
      <c r="D12" s="118" t="s">
        <v>385</v>
      </c>
      <c r="E12" s="118" t="s">
        <v>668</v>
      </c>
      <c r="F12" s="118" t="s">
        <v>669</v>
      </c>
      <c r="G12" s="118" t="s">
        <v>586</v>
      </c>
      <c r="H12" s="118" t="s">
        <v>15</v>
      </c>
      <c r="I12" s="118" t="s">
        <v>253</v>
      </c>
      <c r="J12" s="118" t="s">
        <v>667</v>
      </c>
      <c r="K12" s="118" t="s">
        <v>670</v>
      </c>
      <c r="L12" s="118">
        <v>0</v>
      </c>
      <c r="M12" s="118">
        <v>0</v>
      </c>
      <c r="N12" s="118">
        <v>0</v>
      </c>
      <c r="O12" s="42" t="s">
        <v>16</v>
      </c>
      <c r="P12" s="42" t="s">
        <v>50</v>
      </c>
      <c r="Q12" s="42" t="s">
        <v>100</v>
      </c>
      <c r="R12" s="42" t="s">
        <v>50</v>
      </c>
      <c r="S12" s="125" t="s">
        <v>50</v>
      </c>
      <c r="T12" s="12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pans="1:46" ht="14.25" customHeight="1" x14ac:dyDescent="0.2">
      <c r="A13" s="118" t="s">
        <v>671</v>
      </c>
      <c r="B13" s="118" t="s">
        <v>672</v>
      </c>
      <c r="C13" s="118">
        <v>2024</v>
      </c>
      <c r="D13" s="118" t="s">
        <v>673</v>
      </c>
      <c r="E13" s="118" t="s">
        <v>675</v>
      </c>
      <c r="F13" s="118" t="s">
        <v>676</v>
      </c>
      <c r="G13" s="118" t="s">
        <v>282</v>
      </c>
      <c r="H13" s="118" t="s">
        <v>15</v>
      </c>
      <c r="I13" s="118" t="s">
        <v>253</v>
      </c>
      <c r="J13" s="118" t="s">
        <v>674</v>
      </c>
      <c r="K13" s="118" t="s">
        <v>677</v>
      </c>
      <c r="L13" s="118">
        <v>0</v>
      </c>
      <c r="M13" s="118">
        <v>0</v>
      </c>
      <c r="N13" s="118">
        <v>0</v>
      </c>
      <c r="O13" s="42" t="s">
        <v>16</v>
      </c>
      <c r="P13" s="42" t="s">
        <v>52</v>
      </c>
      <c r="Q13" s="42" t="s">
        <v>100</v>
      </c>
      <c r="R13" s="42" t="s">
        <v>50</v>
      </c>
      <c r="S13" s="125" t="s">
        <v>50</v>
      </c>
      <c r="T13" s="12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ht="14.25" customHeight="1" x14ac:dyDescent="0.2">
      <c r="A14" s="118" t="s">
        <v>288</v>
      </c>
      <c r="B14" s="118" t="s">
        <v>289</v>
      </c>
      <c r="C14" s="118">
        <v>2022</v>
      </c>
      <c r="D14" s="118" t="s">
        <v>290</v>
      </c>
      <c r="E14" s="118" t="s">
        <v>292</v>
      </c>
      <c r="F14" s="118" t="s">
        <v>293</v>
      </c>
      <c r="G14" s="118" t="s">
        <v>228</v>
      </c>
      <c r="H14" s="118" t="s">
        <v>15</v>
      </c>
      <c r="I14" s="118" t="s">
        <v>253</v>
      </c>
      <c r="J14" s="118" t="s">
        <v>291</v>
      </c>
      <c r="K14" s="118" t="s">
        <v>294</v>
      </c>
      <c r="L14" s="118">
        <v>0</v>
      </c>
      <c r="M14" s="118">
        <v>0</v>
      </c>
      <c r="N14" s="118">
        <v>0</v>
      </c>
      <c r="O14" s="42" t="s">
        <v>16</v>
      </c>
      <c r="P14" s="42" t="s">
        <v>52</v>
      </c>
      <c r="Q14" s="42" t="s">
        <v>100</v>
      </c>
      <c r="R14" s="42" t="s">
        <v>52</v>
      </c>
      <c r="S14" s="125" t="s">
        <v>50</v>
      </c>
      <c r="T14" s="12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ht="14.25" customHeight="1" x14ac:dyDescent="0.2">
      <c r="A15" s="118" t="s">
        <v>684</v>
      </c>
      <c r="B15" s="118" t="s">
        <v>685</v>
      </c>
      <c r="C15" s="118">
        <v>2025</v>
      </c>
      <c r="D15" s="118" t="s">
        <v>686</v>
      </c>
      <c r="E15" s="118" t="s">
        <v>688</v>
      </c>
      <c r="F15" s="118" t="s">
        <v>689</v>
      </c>
      <c r="G15" s="118" t="s">
        <v>691</v>
      </c>
      <c r="H15" s="118" t="s">
        <v>15</v>
      </c>
      <c r="I15" s="118" t="s">
        <v>253</v>
      </c>
      <c r="J15" s="118" t="s">
        <v>687</v>
      </c>
      <c r="K15" s="118" t="s">
        <v>690</v>
      </c>
      <c r="L15" s="118">
        <v>0</v>
      </c>
      <c r="M15" s="118">
        <v>0</v>
      </c>
      <c r="N15" s="118">
        <v>0</v>
      </c>
      <c r="O15" s="42" t="s">
        <v>16</v>
      </c>
      <c r="P15" s="42" t="s">
        <v>50</v>
      </c>
      <c r="Q15" s="42" t="s">
        <v>100</v>
      </c>
      <c r="R15" s="42" t="s">
        <v>50</v>
      </c>
      <c r="S15" s="125" t="s">
        <v>50</v>
      </c>
      <c r="T15" s="12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ht="14.25" customHeight="1" x14ac:dyDescent="0.2">
      <c r="A16" s="118" t="s">
        <v>315</v>
      </c>
      <c r="B16" s="118" t="s">
        <v>316</v>
      </c>
      <c r="C16" s="118">
        <v>2024</v>
      </c>
      <c r="D16" s="118" t="s">
        <v>317</v>
      </c>
      <c r="E16" s="118" t="s">
        <v>319</v>
      </c>
      <c r="F16" s="118" t="s">
        <v>320</v>
      </c>
      <c r="G16" s="118" t="s">
        <v>322</v>
      </c>
      <c r="H16" s="118" t="s">
        <v>15</v>
      </c>
      <c r="I16" s="118" t="s">
        <v>253</v>
      </c>
      <c r="J16" s="118" t="s">
        <v>318</v>
      </c>
      <c r="K16" s="118" t="s">
        <v>321</v>
      </c>
      <c r="L16" s="118">
        <v>0</v>
      </c>
      <c r="M16" s="118">
        <v>0</v>
      </c>
      <c r="N16" s="118">
        <v>0</v>
      </c>
      <c r="O16" s="42" t="s">
        <v>16</v>
      </c>
      <c r="P16" s="42" t="s">
        <v>50</v>
      </c>
      <c r="Q16" s="42" t="s">
        <v>100</v>
      </c>
      <c r="R16" s="42" t="s">
        <v>50</v>
      </c>
      <c r="S16" s="125" t="s">
        <v>50</v>
      </c>
      <c r="T16" s="12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ht="14.25" customHeight="1" x14ac:dyDescent="0.2">
      <c r="A17" s="118" t="s">
        <v>1060</v>
      </c>
      <c r="B17" s="118" t="s">
        <v>1061</v>
      </c>
      <c r="C17" s="118">
        <v>2025</v>
      </c>
      <c r="D17" s="118" t="s">
        <v>1062</v>
      </c>
      <c r="E17" s="118" t="s">
        <v>1064</v>
      </c>
      <c r="F17" s="118" t="s">
        <v>1065</v>
      </c>
      <c r="G17" s="118" t="s">
        <v>691</v>
      </c>
      <c r="H17" s="118" t="s">
        <v>15</v>
      </c>
      <c r="I17" s="118" t="s">
        <v>253</v>
      </c>
      <c r="J17" s="118" t="s">
        <v>1063</v>
      </c>
      <c r="K17" s="118" t="s">
        <v>1066</v>
      </c>
      <c r="L17" s="118">
        <v>0</v>
      </c>
      <c r="M17" s="118">
        <v>0</v>
      </c>
      <c r="N17" s="118">
        <v>0</v>
      </c>
      <c r="O17" s="42" t="s">
        <v>16</v>
      </c>
      <c r="P17" s="42" t="s">
        <v>52</v>
      </c>
      <c r="Q17" s="42" t="s">
        <v>100</v>
      </c>
      <c r="R17" s="42" t="s">
        <v>50</v>
      </c>
      <c r="S17" s="125" t="s">
        <v>50</v>
      </c>
      <c r="T17" s="12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spans="1:46" ht="14.25" customHeight="1" x14ac:dyDescent="0.2">
      <c r="A18" s="118" t="s">
        <v>705</v>
      </c>
      <c r="B18" s="118" t="s">
        <v>706</v>
      </c>
      <c r="C18" s="118">
        <v>2026</v>
      </c>
      <c r="D18" s="118" t="s">
        <v>707</v>
      </c>
      <c r="E18" s="118" t="s">
        <v>709</v>
      </c>
      <c r="F18" s="118" t="s">
        <v>710</v>
      </c>
      <c r="G18" s="118" t="s">
        <v>252</v>
      </c>
      <c r="H18" s="118" t="s">
        <v>15</v>
      </c>
      <c r="I18" s="118" t="s">
        <v>253</v>
      </c>
      <c r="J18" s="118" t="s">
        <v>708</v>
      </c>
      <c r="K18" s="118" t="s">
        <v>711</v>
      </c>
      <c r="L18" s="118">
        <v>0</v>
      </c>
      <c r="M18" s="118">
        <v>0</v>
      </c>
      <c r="N18" s="118">
        <v>0</v>
      </c>
      <c r="O18" s="42" t="s">
        <v>16</v>
      </c>
      <c r="P18" s="42" t="s">
        <v>52</v>
      </c>
      <c r="Q18" s="42" t="s">
        <v>100</v>
      </c>
      <c r="R18" s="42" t="s">
        <v>52</v>
      </c>
      <c r="S18" s="125" t="s">
        <v>50</v>
      </c>
      <c r="T18" s="12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spans="1:46" ht="14.25" customHeight="1" x14ac:dyDescent="0.2">
      <c r="A19" s="118" t="s">
        <v>1079</v>
      </c>
      <c r="B19" s="118" t="s">
        <v>1080</v>
      </c>
      <c r="C19" s="118">
        <v>2023</v>
      </c>
      <c r="D19" s="118" t="s">
        <v>1081</v>
      </c>
      <c r="E19" s="118" t="s">
        <v>1083</v>
      </c>
      <c r="F19" s="118" t="s">
        <v>1084</v>
      </c>
      <c r="G19" s="118" t="s">
        <v>1086</v>
      </c>
      <c r="H19" s="118" t="s">
        <v>15</v>
      </c>
      <c r="I19" s="118" t="s">
        <v>253</v>
      </c>
      <c r="J19" s="118" t="s">
        <v>1082</v>
      </c>
      <c r="K19" s="118" t="s">
        <v>1085</v>
      </c>
      <c r="L19" s="118">
        <v>0</v>
      </c>
      <c r="M19" s="118">
        <v>0</v>
      </c>
      <c r="N19" s="118">
        <v>0</v>
      </c>
      <c r="O19" s="42" t="s">
        <v>16</v>
      </c>
      <c r="P19" s="42" t="s">
        <v>50</v>
      </c>
      <c r="Q19" s="42" t="s">
        <v>100</v>
      </c>
      <c r="R19" s="42" t="s">
        <v>50</v>
      </c>
      <c r="S19" s="125" t="s">
        <v>50</v>
      </c>
      <c r="T19" s="12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spans="1:46" ht="14.25" customHeight="1" x14ac:dyDescent="0.2">
      <c r="A20" s="118" t="s">
        <v>1765</v>
      </c>
      <c r="B20" s="118" t="s">
        <v>1766</v>
      </c>
      <c r="C20" s="118">
        <v>2020</v>
      </c>
      <c r="D20" s="118" t="s">
        <v>1767</v>
      </c>
      <c r="E20" s="118" t="s">
        <v>1769</v>
      </c>
      <c r="F20" s="118">
        <v>0</v>
      </c>
      <c r="G20" s="118" t="s">
        <v>457</v>
      </c>
      <c r="H20" s="118" t="s">
        <v>15</v>
      </c>
      <c r="I20" s="118" t="s">
        <v>253</v>
      </c>
      <c r="J20" s="118" t="s">
        <v>1768</v>
      </c>
      <c r="K20" s="118" t="s">
        <v>1770</v>
      </c>
      <c r="L20" s="118">
        <v>0</v>
      </c>
      <c r="M20" s="118">
        <v>0</v>
      </c>
      <c r="N20" s="118">
        <v>0</v>
      </c>
      <c r="O20" s="42" t="s">
        <v>16</v>
      </c>
      <c r="P20" s="42" t="s">
        <v>52</v>
      </c>
      <c r="Q20" s="42" t="s">
        <v>100</v>
      </c>
      <c r="R20" s="42" t="s">
        <v>50</v>
      </c>
      <c r="S20" s="125" t="s">
        <v>50</v>
      </c>
      <c r="T20" s="12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spans="1:46" ht="14.25" customHeight="1" x14ac:dyDescent="0.2">
      <c r="A21" s="118" t="s">
        <v>718</v>
      </c>
      <c r="B21" s="118" t="s">
        <v>719</v>
      </c>
      <c r="C21" s="118">
        <v>2025</v>
      </c>
      <c r="D21" s="118" t="s">
        <v>460</v>
      </c>
      <c r="E21" s="118" t="s">
        <v>721</v>
      </c>
      <c r="F21" s="118" t="s">
        <v>722</v>
      </c>
      <c r="G21" s="118" t="s">
        <v>465</v>
      </c>
      <c r="H21" s="118" t="s">
        <v>15</v>
      </c>
      <c r="I21" s="118" t="s">
        <v>253</v>
      </c>
      <c r="J21" s="118" t="s">
        <v>720</v>
      </c>
      <c r="K21" s="118" t="s">
        <v>723</v>
      </c>
      <c r="L21" s="118">
        <v>0</v>
      </c>
      <c r="M21" s="118">
        <v>0</v>
      </c>
      <c r="N21" s="118">
        <v>0</v>
      </c>
      <c r="O21" s="42" t="s">
        <v>16</v>
      </c>
      <c r="P21" s="42" t="s">
        <v>52</v>
      </c>
      <c r="Q21" s="42" t="s">
        <v>100</v>
      </c>
      <c r="R21" s="42" t="s">
        <v>52</v>
      </c>
      <c r="S21" s="125" t="s">
        <v>50</v>
      </c>
      <c r="T21" s="12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ht="14.25" customHeight="1" x14ac:dyDescent="0.2">
      <c r="A22" s="118" t="s">
        <v>343</v>
      </c>
      <c r="B22" s="118" t="s">
        <v>344</v>
      </c>
      <c r="C22" s="118">
        <v>2025</v>
      </c>
      <c r="D22" s="118" t="s">
        <v>345</v>
      </c>
      <c r="E22" s="118" t="s">
        <v>347</v>
      </c>
      <c r="F22" s="118" t="s">
        <v>348</v>
      </c>
      <c r="G22" s="118" t="s">
        <v>350</v>
      </c>
      <c r="H22" s="118" t="s">
        <v>15</v>
      </c>
      <c r="I22" s="118" t="s">
        <v>253</v>
      </c>
      <c r="J22" s="118" t="s">
        <v>346</v>
      </c>
      <c r="K22" s="118" t="s">
        <v>349</v>
      </c>
      <c r="L22" s="118">
        <v>0</v>
      </c>
      <c r="M22" s="118">
        <v>0</v>
      </c>
      <c r="N22" s="118">
        <v>0</v>
      </c>
      <c r="O22" s="42" t="s">
        <v>16</v>
      </c>
      <c r="P22" s="42" t="s">
        <v>50</v>
      </c>
      <c r="Q22" s="42" t="s">
        <v>100</v>
      </c>
      <c r="R22" s="42" t="s">
        <v>50</v>
      </c>
      <c r="S22" s="125" t="s">
        <v>50</v>
      </c>
      <c r="T22" s="12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ht="14.25" customHeight="1" x14ac:dyDescent="0.2">
      <c r="A23" s="118" t="s">
        <v>724</v>
      </c>
      <c r="B23" s="118" t="s">
        <v>725</v>
      </c>
      <c r="C23" s="118">
        <v>2022</v>
      </c>
      <c r="D23" s="118" t="s">
        <v>394</v>
      </c>
      <c r="E23" s="118" t="s">
        <v>727</v>
      </c>
      <c r="F23" s="118" t="s">
        <v>728</v>
      </c>
      <c r="G23" s="118" t="s">
        <v>274</v>
      </c>
      <c r="H23" s="118" t="s">
        <v>15</v>
      </c>
      <c r="I23" s="118" t="s">
        <v>253</v>
      </c>
      <c r="J23" s="118" t="s">
        <v>726</v>
      </c>
      <c r="K23" s="118" t="s">
        <v>729</v>
      </c>
      <c r="L23" s="118">
        <v>0</v>
      </c>
      <c r="M23" s="118">
        <v>0</v>
      </c>
      <c r="N23" s="118">
        <v>0</v>
      </c>
      <c r="O23" s="42" t="s">
        <v>16</v>
      </c>
      <c r="P23" s="42" t="s">
        <v>52</v>
      </c>
      <c r="Q23" s="42" t="s">
        <v>100</v>
      </c>
      <c r="R23" s="42" t="s">
        <v>52</v>
      </c>
      <c r="S23" s="125" t="s">
        <v>50</v>
      </c>
      <c r="T23" s="12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ht="14.25" customHeight="1" x14ac:dyDescent="0.2">
      <c r="A24" s="118" t="s">
        <v>1463</v>
      </c>
      <c r="B24" s="118" t="s">
        <v>1464</v>
      </c>
      <c r="C24" s="118">
        <v>2022</v>
      </c>
      <c r="D24" s="118" t="s">
        <v>297</v>
      </c>
      <c r="E24" s="118" t="s">
        <v>1466</v>
      </c>
      <c r="F24" s="118" t="s">
        <v>1467</v>
      </c>
      <c r="G24" s="118" t="s">
        <v>586</v>
      </c>
      <c r="H24" s="118" t="s">
        <v>15</v>
      </c>
      <c r="I24" s="118" t="s">
        <v>253</v>
      </c>
      <c r="J24" s="118" t="s">
        <v>1465</v>
      </c>
      <c r="K24" s="118" t="s">
        <v>1468</v>
      </c>
      <c r="L24" s="118">
        <v>0</v>
      </c>
      <c r="M24" s="118">
        <v>0</v>
      </c>
      <c r="N24" s="118">
        <v>0</v>
      </c>
      <c r="O24" s="42" t="s">
        <v>16</v>
      </c>
      <c r="P24" s="42" t="s">
        <v>50</v>
      </c>
      <c r="Q24" s="42" t="s">
        <v>100</v>
      </c>
      <c r="R24" s="42" t="s">
        <v>50</v>
      </c>
      <c r="S24" s="125" t="s">
        <v>50</v>
      </c>
      <c r="T24" s="12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ht="14.25" customHeight="1" x14ac:dyDescent="0.2">
      <c r="A25" s="118" t="s">
        <v>736</v>
      </c>
      <c r="B25" s="118" t="s">
        <v>737</v>
      </c>
      <c r="C25" s="118">
        <v>2023</v>
      </c>
      <c r="D25" s="118" t="s">
        <v>738</v>
      </c>
      <c r="E25" s="118" t="s">
        <v>740</v>
      </c>
      <c r="F25" s="118" t="s">
        <v>741</v>
      </c>
      <c r="G25" s="118" t="s">
        <v>743</v>
      </c>
      <c r="H25" s="118" t="s">
        <v>15</v>
      </c>
      <c r="I25" s="118" t="s">
        <v>253</v>
      </c>
      <c r="J25" s="118" t="s">
        <v>739</v>
      </c>
      <c r="K25" s="118" t="s">
        <v>742</v>
      </c>
      <c r="L25" s="118">
        <v>0</v>
      </c>
      <c r="M25" s="118">
        <v>0</v>
      </c>
      <c r="N25" s="118">
        <v>0</v>
      </c>
      <c r="O25" s="42" t="s">
        <v>16</v>
      </c>
      <c r="P25" s="42" t="s">
        <v>52</v>
      </c>
      <c r="Q25" s="42" t="s">
        <v>100</v>
      </c>
      <c r="R25" s="42" t="s">
        <v>52</v>
      </c>
      <c r="S25" s="125" t="s">
        <v>50</v>
      </c>
      <c r="T25" s="12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ht="14.25" customHeight="1" x14ac:dyDescent="0.2">
      <c r="A26" s="118" t="s">
        <v>750</v>
      </c>
      <c r="B26" s="118" t="s">
        <v>751</v>
      </c>
      <c r="C26" s="118">
        <v>2024</v>
      </c>
      <c r="D26" s="118" t="s">
        <v>394</v>
      </c>
      <c r="E26" s="118" t="s">
        <v>753</v>
      </c>
      <c r="F26" s="118" t="s">
        <v>754</v>
      </c>
      <c r="G26" s="118" t="s">
        <v>274</v>
      </c>
      <c r="H26" s="118" t="s">
        <v>15</v>
      </c>
      <c r="I26" s="118" t="s">
        <v>253</v>
      </c>
      <c r="J26" s="118" t="s">
        <v>752</v>
      </c>
      <c r="K26" s="118" t="s">
        <v>755</v>
      </c>
      <c r="L26" s="118">
        <v>0</v>
      </c>
      <c r="M26" s="118">
        <v>0</v>
      </c>
      <c r="N26" s="118">
        <v>0</v>
      </c>
      <c r="O26" s="42" t="s">
        <v>16</v>
      </c>
      <c r="P26" s="42" t="s">
        <v>50</v>
      </c>
      <c r="Q26" s="42" t="s">
        <v>100</v>
      </c>
      <c r="R26" s="42" t="s">
        <v>50</v>
      </c>
      <c r="S26" s="125" t="s">
        <v>50</v>
      </c>
      <c r="T26" s="12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ht="14.25" customHeight="1" x14ac:dyDescent="0.2">
      <c r="A27" s="118" t="s">
        <v>363</v>
      </c>
      <c r="B27" s="118" t="s">
        <v>364</v>
      </c>
      <c r="C27" s="118">
        <v>2025</v>
      </c>
      <c r="D27" s="118" t="s">
        <v>277</v>
      </c>
      <c r="E27" s="118" t="s">
        <v>366</v>
      </c>
      <c r="F27" s="118" t="s">
        <v>367</v>
      </c>
      <c r="G27" s="118" t="s">
        <v>282</v>
      </c>
      <c r="H27" s="118" t="s">
        <v>15</v>
      </c>
      <c r="I27" s="118" t="s">
        <v>253</v>
      </c>
      <c r="J27" s="118" t="s">
        <v>365</v>
      </c>
      <c r="K27" s="118" t="s">
        <v>368</v>
      </c>
      <c r="L27" s="118">
        <v>0</v>
      </c>
      <c r="M27" s="118">
        <v>0</v>
      </c>
      <c r="N27" s="118">
        <v>0</v>
      </c>
      <c r="O27" s="42" t="s">
        <v>16</v>
      </c>
      <c r="P27" s="42" t="s">
        <v>52</v>
      </c>
      <c r="Q27" s="42" t="s">
        <v>100</v>
      </c>
      <c r="R27" s="42" t="s">
        <v>50</v>
      </c>
      <c r="S27" s="125" t="s">
        <v>50</v>
      </c>
      <c r="T27" s="12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ht="14.25" customHeight="1" x14ac:dyDescent="0.2">
      <c r="A28" s="118" t="s">
        <v>1122</v>
      </c>
      <c r="B28" s="118" t="s">
        <v>1123</v>
      </c>
      <c r="C28" s="118">
        <v>2026</v>
      </c>
      <c r="D28" s="118" t="s">
        <v>1124</v>
      </c>
      <c r="E28" s="118" t="s">
        <v>1126</v>
      </c>
      <c r="F28" s="118" t="s">
        <v>1127</v>
      </c>
      <c r="G28" s="118" t="s">
        <v>260</v>
      </c>
      <c r="H28" s="118" t="s">
        <v>15</v>
      </c>
      <c r="I28" s="118" t="s">
        <v>253</v>
      </c>
      <c r="J28" s="118" t="s">
        <v>1125</v>
      </c>
      <c r="K28" s="118" t="s">
        <v>1128</v>
      </c>
      <c r="L28" s="118">
        <v>0</v>
      </c>
      <c r="M28" s="118">
        <v>0</v>
      </c>
      <c r="N28" s="118">
        <v>0</v>
      </c>
      <c r="O28" s="42" t="s">
        <v>16</v>
      </c>
      <c r="P28" s="42" t="s">
        <v>52</v>
      </c>
      <c r="Q28" s="42" t="s">
        <v>100</v>
      </c>
      <c r="R28" s="42" t="s">
        <v>52</v>
      </c>
      <c r="S28" s="125" t="s">
        <v>50</v>
      </c>
      <c r="T28" s="12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ht="14.25" customHeight="1" x14ac:dyDescent="0.2">
      <c r="A29" s="118" t="s">
        <v>369</v>
      </c>
      <c r="B29" s="118" t="s">
        <v>370</v>
      </c>
      <c r="C29" s="118">
        <v>2022</v>
      </c>
      <c r="D29" s="118" t="s">
        <v>371</v>
      </c>
      <c r="E29" s="118" t="s">
        <v>373</v>
      </c>
      <c r="F29" s="118" t="s">
        <v>374</v>
      </c>
      <c r="G29" s="118" t="s">
        <v>376</v>
      </c>
      <c r="H29" s="118" t="s">
        <v>15</v>
      </c>
      <c r="I29" s="118" t="s">
        <v>253</v>
      </c>
      <c r="J29" s="118" t="s">
        <v>372</v>
      </c>
      <c r="K29" s="118" t="s">
        <v>375</v>
      </c>
      <c r="L29" s="118">
        <v>0</v>
      </c>
      <c r="M29" s="118">
        <v>0</v>
      </c>
      <c r="N29" s="118">
        <v>0</v>
      </c>
      <c r="O29" s="42" t="s">
        <v>16</v>
      </c>
      <c r="P29" s="42" t="s">
        <v>50</v>
      </c>
      <c r="Q29" s="42" t="s">
        <v>100</v>
      </c>
      <c r="R29" s="42" t="s">
        <v>50</v>
      </c>
      <c r="S29" s="125" t="s">
        <v>50</v>
      </c>
      <c r="T29" s="12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ht="14.25" customHeight="1" x14ac:dyDescent="0.2">
      <c r="A30" s="118" t="s">
        <v>1771</v>
      </c>
      <c r="B30" s="118" t="s">
        <v>1772</v>
      </c>
      <c r="C30" s="118">
        <v>2021</v>
      </c>
      <c r="D30" s="118" t="s">
        <v>1773</v>
      </c>
      <c r="E30" s="118" t="s">
        <v>1775</v>
      </c>
      <c r="F30" s="118" t="s">
        <v>1776</v>
      </c>
      <c r="G30" s="118" t="s">
        <v>1778</v>
      </c>
      <c r="H30" s="118" t="s">
        <v>15</v>
      </c>
      <c r="I30" s="118" t="s">
        <v>253</v>
      </c>
      <c r="J30" s="118" t="s">
        <v>1774</v>
      </c>
      <c r="K30" s="118" t="s">
        <v>1777</v>
      </c>
      <c r="L30" s="118">
        <v>0</v>
      </c>
      <c r="M30" s="118">
        <v>0</v>
      </c>
      <c r="N30" s="118">
        <v>0</v>
      </c>
      <c r="O30" s="42" t="s">
        <v>16</v>
      </c>
      <c r="P30" s="42" t="s">
        <v>50</v>
      </c>
      <c r="Q30" s="42" t="s">
        <v>100</v>
      </c>
      <c r="R30" s="42" t="s">
        <v>50</v>
      </c>
      <c r="S30" s="125" t="s">
        <v>50</v>
      </c>
      <c r="T30" s="12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ht="14.25" customHeight="1" x14ac:dyDescent="0.2">
      <c r="A31" s="118" t="s">
        <v>1140</v>
      </c>
      <c r="B31" s="118" t="s">
        <v>1141</v>
      </c>
      <c r="C31" s="118">
        <v>2022</v>
      </c>
      <c r="D31" s="118" t="s">
        <v>1142</v>
      </c>
      <c r="E31" s="118" t="s">
        <v>1144</v>
      </c>
      <c r="F31" s="118" t="s">
        <v>1145</v>
      </c>
      <c r="G31" s="118" t="s">
        <v>238</v>
      </c>
      <c r="H31" s="118" t="s">
        <v>15</v>
      </c>
      <c r="I31" s="118" t="s">
        <v>253</v>
      </c>
      <c r="J31" s="118" t="s">
        <v>1143</v>
      </c>
      <c r="K31" s="118" t="s">
        <v>1146</v>
      </c>
      <c r="L31" s="118">
        <v>0</v>
      </c>
      <c r="M31" s="118">
        <v>0</v>
      </c>
      <c r="N31" s="118">
        <v>0</v>
      </c>
      <c r="O31" s="42" t="s">
        <v>16</v>
      </c>
      <c r="P31" s="42" t="s">
        <v>52</v>
      </c>
      <c r="Q31" s="42" t="s">
        <v>100</v>
      </c>
      <c r="R31" s="42" t="s">
        <v>50</v>
      </c>
      <c r="S31" s="125" t="s">
        <v>50</v>
      </c>
      <c r="T31" s="12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ht="14.25" customHeight="1" x14ac:dyDescent="0.2">
      <c r="A32" s="118" t="s">
        <v>796</v>
      </c>
      <c r="B32" s="118" t="s">
        <v>797</v>
      </c>
      <c r="C32" s="118">
        <v>2025</v>
      </c>
      <c r="D32" s="118" t="s">
        <v>798</v>
      </c>
      <c r="E32" s="118" t="s">
        <v>800</v>
      </c>
      <c r="F32" s="118" t="s">
        <v>801</v>
      </c>
      <c r="G32" s="118" t="s">
        <v>803</v>
      </c>
      <c r="H32" s="118" t="s">
        <v>15</v>
      </c>
      <c r="I32" s="118" t="s">
        <v>253</v>
      </c>
      <c r="J32" s="118" t="s">
        <v>799</v>
      </c>
      <c r="K32" s="118" t="s">
        <v>802</v>
      </c>
      <c r="L32" s="118">
        <v>0</v>
      </c>
      <c r="M32" s="118">
        <v>0</v>
      </c>
      <c r="N32" s="118">
        <v>0</v>
      </c>
      <c r="O32" s="42" t="s">
        <v>16</v>
      </c>
      <c r="P32" s="42" t="s">
        <v>52</v>
      </c>
      <c r="Q32" s="42" t="s">
        <v>100</v>
      </c>
      <c r="R32" s="42" t="s">
        <v>52</v>
      </c>
      <c r="S32" s="125" t="s">
        <v>50</v>
      </c>
      <c r="T32" s="12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ht="14.25" customHeight="1" x14ac:dyDescent="0.2">
      <c r="A33" s="118" t="s">
        <v>811</v>
      </c>
      <c r="B33" s="118" t="s">
        <v>812</v>
      </c>
      <c r="C33" s="118">
        <v>2024</v>
      </c>
      <c r="D33" s="118" t="s">
        <v>460</v>
      </c>
      <c r="E33" s="118" t="s">
        <v>814</v>
      </c>
      <c r="F33" s="118" t="s">
        <v>815</v>
      </c>
      <c r="G33" s="118" t="s">
        <v>465</v>
      </c>
      <c r="H33" s="118" t="s">
        <v>15</v>
      </c>
      <c r="I33" s="118" t="s">
        <v>253</v>
      </c>
      <c r="J33" s="118" t="s">
        <v>813</v>
      </c>
      <c r="K33" s="118" t="s">
        <v>816</v>
      </c>
      <c r="L33" s="118">
        <v>0</v>
      </c>
      <c r="M33" s="118">
        <v>0</v>
      </c>
      <c r="N33" s="118">
        <v>0</v>
      </c>
      <c r="O33" s="42" t="s">
        <v>16</v>
      </c>
      <c r="P33" s="42" t="s">
        <v>50</v>
      </c>
      <c r="Q33" s="42" t="s">
        <v>100</v>
      </c>
      <c r="R33" s="42" t="s">
        <v>50</v>
      </c>
      <c r="S33" s="125" t="s">
        <v>50</v>
      </c>
      <c r="T33" s="12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ht="14.25" customHeight="1" x14ac:dyDescent="0.2">
      <c r="A34" s="118" t="s">
        <v>1147</v>
      </c>
      <c r="B34" s="118" t="s">
        <v>1148</v>
      </c>
      <c r="C34" s="118">
        <v>2021</v>
      </c>
      <c r="D34" s="118" t="s">
        <v>1149</v>
      </c>
      <c r="E34" s="118" t="s">
        <v>1151</v>
      </c>
      <c r="F34" s="118" t="s">
        <v>1152</v>
      </c>
      <c r="G34" s="118" t="s">
        <v>274</v>
      </c>
      <c r="H34" s="118" t="s">
        <v>15</v>
      </c>
      <c r="I34" s="118" t="s">
        <v>253</v>
      </c>
      <c r="J34" s="118" t="s">
        <v>1150</v>
      </c>
      <c r="K34" s="118" t="s">
        <v>1153</v>
      </c>
      <c r="L34" s="118">
        <v>0</v>
      </c>
      <c r="M34" s="118">
        <v>0</v>
      </c>
      <c r="N34" s="118">
        <v>0</v>
      </c>
      <c r="O34" s="42" t="s">
        <v>16</v>
      </c>
      <c r="P34" s="42" t="s">
        <v>52</v>
      </c>
      <c r="Q34" s="42" t="s">
        <v>100</v>
      </c>
      <c r="R34" s="42" t="s">
        <v>51</v>
      </c>
      <c r="S34" s="125" t="s">
        <v>50</v>
      </c>
      <c r="T34" s="12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ht="14.25" customHeight="1" x14ac:dyDescent="0.2">
      <c r="A35" s="118" t="s">
        <v>1779</v>
      </c>
      <c r="B35" s="118" t="s">
        <v>1780</v>
      </c>
      <c r="C35" s="118">
        <v>2020</v>
      </c>
      <c r="D35" s="118" t="s">
        <v>1781</v>
      </c>
      <c r="E35" s="118" t="s">
        <v>1782</v>
      </c>
      <c r="F35" s="118" t="s">
        <v>1783</v>
      </c>
      <c r="G35" s="118" t="s">
        <v>1784</v>
      </c>
      <c r="H35" s="118" t="s">
        <v>15</v>
      </c>
      <c r="I35" s="118" t="s">
        <v>253</v>
      </c>
      <c r="J35" s="118">
        <v>0</v>
      </c>
      <c r="K35" s="118">
        <v>0</v>
      </c>
      <c r="L35" s="118">
        <v>0</v>
      </c>
      <c r="M35" s="118">
        <v>0</v>
      </c>
      <c r="N35" s="118">
        <v>0</v>
      </c>
      <c r="O35" s="42" t="s">
        <v>16</v>
      </c>
      <c r="P35" s="42" t="s">
        <v>52</v>
      </c>
      <c r="Q35" s="42" t="s">
        <v>100</v>
      </c>
      <c r="R35" s="42" t="s">
        <v>52</v>
      </c>
      <c r="S35" s="125" t="s">
        <v>50</v>
      </c>
      <c r="T35" s="12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ht="14.25" customHeight="1" x14ac:dyDescent="0.2">
      <c r="A36" s="118" t="s">
        <v>383</v>
      </c>
      <c r="B36" s="118" t="s">
        <v>384</v>
      </c>
      <c r="C36" s="118">
        <v>2024</v>
      </c>
      <c r="D36" s="118" t="s">
        <v>385</v>
      </c>
      <c r="E36" s="118" t="s">
        <v>387</v>
      </c>
      <c r="F36" s="118" t="s">
        <v>388</v>
      </c>
      <c r="G36" s="118" t="s">
        <v>282</v>
      </c>
      <c r="H36" s="118" t="s">
        <v>15</v>
      </c>
      <c r="I36" s="118" t="s">
        <v>253</v>
      </c>
      <c r="J36" s="118" t="s">
        <v>386</v>
      </c>
      <c r="K36" s="118" t="s">
        <v>389</v>
      </c>
      <c r="L36" s="118">
        <v>0</v>
      </c>
      <c r="M36" s="118">
        <v>0</v>
      </c>
      <c r="N36" s="118">
        <v>0</v>
      </c>
      <c r="O36" s="42" t="s">
        <v>16</v>
      </c>
      <c r="P36" s="42" t="s">
        <v>50</v>
      </c>
      <c r="Q36" s="42" t="s">
        <v>100</v>
      </c>
      <c r="R36" s="42" t="s">
        <v>50</v>
      </c>
      <c r="S36" s="125" t="s">
        <v>50</v>
      </c>
      <c r="T36" s="12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ht="14.25" customHeight="1" x14ac:dyDescent="0.2">
      <c r="A37" s="118" t="s">
        <v>1499</v>
      </c>
      <c r="B37" s="118" t="s">
        <v>1500</v>
      </c>
      <c r="C37" s="118">
        <v>2025</v>
      </c>
      <c r="D37" s="118" t="s">
        <v>1501</v>
      </c>
      <c r="E37" s="118" t="s">
        <v>1823</v>
      </c>
      <c r="F37" s="118" t="s">
        <v>1503</v>
      </c>
      <c r="G37" s="118" t="s">
        <v>987</v>
      </c>
      <c r="H37" s="118" t="s">
        <v>15</v>
      </c>
      <c r="I37" s="118" t="s">
        <v>253</v>
      </c>
      <c r="J37" s="118" t="s">
        <v>1502</v>
      </c>
      <c r="K37" s="118">
        <v>0</v>
      </c>
      <c r="L37" s="118">
        <v>0</v>
      </c>
      <c r="M37" s="118">
        <v>0</v>
      </c>
      <c r="N37" s="118">
        <v>0</v>
      </c>
      <c r="O37" s="42" t="s">
        <v>16</v>
      </c>
      <c r="P37" s="42" t="s">
        <v>52</v>
      </c>
      <c r="Q37" s="42" t="s">
        <v>100</v>
      </c>
      <c r="R37" s="42" t="s">
        <v>52</v>
      </c>
      <c r="S37" s="125" t="s">
        <v>50</v>
      </c>
      <c r="T37" s="12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spans="1:46" ht="14.25" customHeight="1" x14ac:dyDescent="0.2">
      <c r="A38" s="118" t="s">
        <v>392</v>
      </c>
      <c r="B38" s="118" t="s">
        <v>393</v>
      </c>
      <c r="C38" s="118">
        <v>2023</v>
      </c>
      <c r="D38" s="118" t="s">
        <v>394</v>
      </c>
      <c r="E38" s="118" t="s">
        <v>396</v>
      </c>
      <c r="F38" s="118" t="s">
        <v>397</v>
      </c>
      <c r="G38" s="118" t="s">
        <v>274</v>
      </c>
      <c r="H38" s="118" t="s">
        <v>15</v>
      </c>
      <c r="I38" s="118" t="s">
        <v>253</v>
      </c>
      <c r="J38" s="118" t="s">
        <v>395</v>
      </c>
      <c r="K38" s="118" t="s">
        <v>398</v>
      </c>
      <c r="L38" s="118">
        <v>0</v>
      </c>
      <c r="M38" s="118">
        <v>0</v>
      </c>
      <c r="N38" s="118">
        <v>0</v>
      </c>
      <c r="O38" s="42" t="s">
        <v>16</v>
      </c>
      <c r="P38" s="42" t="s">
        <v>50</v>
      </c>
      <c r="Q38" s="42" t="s">
        <v>100</v>
      </c>
      <c r="R38" s="42" t="s">
        <v>50</v>
      </c>
      <c r="S38" s="125" t="s">
        <v>50</v>
      </c>
      <c r="T38" s="12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spans="1:46" ht="14.25" customHeight="1" x14ac:dyDescent="0.2">
      <c r="A39" s="118" t="s">
        <v>824</v>
      </c>
      <c r="B39" s="118" t="s">
        <v>825</v>
      </c>
      <c r="C39" s="118">
        <v>2025</v>
      </c>
      <c r="D39" s="118" t="s">
        <v>269</v>
      </c>
      <c r="E39" s="118" t="s">
        <v>827</v>
      </c>
      <c r="F39" s="118" t="s">
        <v>828</v>
      </c>
      <c r="G39" s="118" t="s">
        <v>274</v>
      </c>
      <c r="H39" s="118" t="s">
        <v>15</v>
      </c>
      <c r="I39" s="118" t="s">
        <v>253</v>
      </c>
      <c r="J39" s="118" t="s">
        <v>826</v>
      </c>
      <c r="K39" s="118" t="s">
        <v>829</v>
      </c>
      <c r="L39" s="118">
        <v>0</v>
      </c>
      <c r="M39" s="118">
        <v>0</v>
      </c>
      <c r="N39" s="118">
        <v>0</v>
      </c>
      <c r="O39" s="42" t="s">
        <v>16</v>
      </c>
      <c r="P39" s="42" t="s">
        <v>52</v>
      </c>
      <c r="Q39" s="42" t="s">
        <v>100</v>
      </c>
      <c r="R39" s="42" t="s">
        <v>52</v>
      </c>
      <c r="S39" s="125" t="s">
        <v>50</v>
      </c>
      <c r="T39" s="12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spans="1:46" ht="14.25" customHeight="1" x14ac:dyDescent="0.2">
      <c r="A40" s="118" t="s">
        <v>399</v>
      </c>
      <c r="B40" s="118" t="s">
        <v>400</v>
      </c>
      <c r="C40" s="118">
        <v>2025</v>
      </c>
      <c r="D40" s="118" t="s">
        <v>331</v>
      </c>
      <c r="E40" s="118" t="s">
        <v>402</v>
      </c>
      <c r="F40" s="118" t="s">
        <v>403</v>
      </c>
      <c r="G40" s="118" t="s">
        <v>336</v>
      </c>
      <c r="H40" s="118" t="s">
        <v>15</v>
      </c>
      <c r="I40" s="118" t="s">
        <v>253</v>
      </c>
      <c r="J40" s="118" t="s">
        <v>401</v>
      </c>
      <c r="K40" s="118" t="s">
        <v>404</v>
      </c>
      <c r="L40" s="118">
        <v>0</v>
      </c>
      <c r="M40" s="118">
        <v>0</v>
      </c>
      <c r="N40" s="118">
        <v>0</v>
      </c>
      <c r="O40" s="42" t="s">
        <v>16</v>
      </c>
      <c r="P40" s="42" t="s">
        <v>50</v>
      </c>
      <c r="Q40" s="42" t="s">
        <v>100</v>
      </c>
      <c r="R40" s="42" t="s">
        <v>50</v>
      </c>
      <c r="S40" s="125" t="s">
        <v>50</v>
      </c>
      <c r="T40" s="12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46" ht="14.25" customHeight="1" x14ac:dyDescent="0.2">
      <c r="A41" s="118" t="s">
        <v>1516</v>
      </c>
      <c r="B41" s="118" t="s">
        <v>1517</v>
      </c>
      <c r="C41" s="118">
        <v>2023</v>
      </c>
      <c r="D41" s="118" t="s">
        <v>297</v>
      </c>
      <c r="E41" s="118" t="s">
        <v>1519</v>
      </c>
      <c r="F41" s="118" t="s">
        <v>1520</v>
      </c>
      <c r="G41" s="118" t="s">
        <v>282</v>
      </c>
      <c r="H41" s="118" t="s">
        <v>15</v>
      </c>
      <c r="I41" s="118" t="s">
        <v>253</v>
      </c>
      <c r="J41" s="118" t="s">
        <v>1518</v>
      </c>
      <c r="K41" s="118" t="s">
        <v>1521</v>
      </c>
      <c r="L41" s="118">
        <v>0</v>
      </c>
      <c r="M41" s="118">
        <v>0</v>
      </c>
      <c r="N41" s="118">
        <v>0</v>
      </c>
      <c r="O41" s="42" t="s">
        <v>16</v>
      </c>
      <c r="P41" s="42" t="s">
        <v>52</v>
      </c>
      <c r="Q41" s="42" t="s">
        <v>100</v>
      </c>
      <c r="R41" s="42" t="s">
        <v>52</v>
      </c>
      <c r="S41" s="125" t="s">
        <v>50</v>
      </c>
      <c r="T41" s="12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spans="1:46" ht="14.25" customHeight="1" x14ac:dyDescent="0.2">
      <c r="A42" s="118" t="s">
        <v>1785</v>
      </c>
      <c r="B42" s="118" t="s">
        <v>1824</v>
      </c>
      <c r="C42" s="118">
        <v>2021</v>
      </c>
      <c r="D42" s="118" t="s">
        <v>1786</v>
      </c>
      <c r="E42" s="118" t="s">
        <v>1788</v>
      </c>
      <c r="F42" s="118" t="s">
        <v>1789</v>
      </c>
      <c r="G42" s="118" t="s">
        <v>1791</v>
      </c>
      <c r="H42" s="118" t="s">
        <v>1792</v>
      </c>
      <c r="I42" s="118" t="s">
        <v>253</v>
      </c>
      <c r="J42" s="118" t="s">
        <v>1787</v>
      </c>
      <c r="K42" s="118" t="s">
        <v>1790</v>
      </c>
      <c r="L42" s="118">
        <v>0</v>
      </c>
      <c r="M42" s="118">
        <v>0</v>
      </c>
      <c r="N42" s="118">
        <v>0</v>
      </c>
      <c r="O42" s="42" t="s">
        <v>16</v>
      </c>
      <c r="P42" s="42" t="s">
        <v>52</v>
      </c>
      <c r="Q42" s="42" t="s">
        <v>100</v>
      </c>
      <c r="R42" s="42" t="s">
        <v>52</v>
      </c>
      <c r="S42" s="125" t="s">
        <v>50</v>
      </c>
      <c r="T42" s="12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46" ht="14.25" customHeight="1" x14ac:dyDescent="0.2">
      <c r="A43" s="118" t="s">
        <v>1204</v>
      </c>
      <c r="B43" s="118" t="s">
        <v>1205</v>
      </c>
      <c r="C43" s="118">
        <v>2023</v>
      </c>
      <c r="D43" s="118" t="s">
        <v>1206</v>
      </c>
      <c r="E43" s="118" t="s">
        <v>1208</v>
      </c>
      <c r="F43" s="118" t="s">
        <v>1209</v>
      </c>
      <c r="G43" s="118" t="s">
        <v>1210</v>
      </c>
      <c r="H43" s="118" t="s">
        <v>1211</v>
      </c>
      <c r="I43" s="118" t="s">
        <v>253</v>
      </c>
      <c r="J43" s="118" t="s">
        <v>1207</v>
      </c>
      <c r="K43" s="118">
        <v>0</v>
      </c>
      <c r="L43" s="118">
        <v>0</v>
      </c>
      <c r="M43" s="118">
        <v>0</v>
      </c>
      <c r="N43" s="118">
        <v>0</v>
      </c>
      <c r="O43" s="42" t="s">
        <v>16</v>
      </c>
      <c r="P43" s="42" t="s">
        <v>50</v>
      </c>
      <c r="Q43" s="42" t="s">
        <v>100</v>
      </c>
      <c r="R43" s="42" t="s">
        <v>50</v>
      </c>
      <c r="S43" s="125" t="s">
        <v>50</v>
      </c>
      <c r="T43" s="12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pans="1:46" ht="14.25" customHeight="1" x14ac:dyDescent="0.2">
      <c r="A44" s="118" t="s">
        <v>1212</v>
      </c>
      <c r="B44" s="118" t="s">
        <v>1213</v>
      </c>
      <c r="C44" s="118">
        <v>2025</v>
      </c>
      <c r="D44" s="118" t="s">
        <v>277</v>
      </c>
      <c r="E44" s="118" t="s">
        <v>1215</v>
      </c>
      <c r="F44" s="118" t="s">
        <v>1216</v>
      </c>
      <c r="G44" s="118" t="s">
        <v>282</v>
      </c>
      <c r="H44" s="118" t="s">
        <v>15</v>
      </c>
      <c r="I44" s="118" t="s">
        <v>253</v>
      </c>
      <c r="J44" s="118" t="s">
        <v>1214</v>
      </c>
      <c r="K44" s="118" t="s">
        <v>1217</v>
      </c>
      <c r="L44" s="118">
        <v>0</v>
      </c>
      <c r="M44" s="118">
        <v>0</v>
      </c>
      <c r="N44" s="118">
        <v>0</v>
      </c>
      <c r="O44" s="42" t="s">
        <v>16</v>
      </c>
      <c r="P44" s="42" t="s">
        <v>50</v>
      </c>
      <c r="Q44" s="42" t="s">
        <v>100</v>
      </c>
      <c r="R44" s="42" t="s">
        <v>50</v>
      </c>
      <c r="S44" s="125" t="s">
        <v>50</v>
      </c>
      <c r="T44" s="12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pans="1:46" ht="14.25" customHeight="1" x14ac:dyDescent="0.2">
      <c r="A45" s="118" t="s">
        <v>1218</v>
      </c>
      <c r="B45" s="118" t="s">
        <v>1219</v>
      </c>
      <c r="C45" s="118">
        <v>2023</v>
      </c>
      <c r="D45" s="118" t="s">
        <v>394</v>
      </c>
      <c r="E45" s="118" t="s">
        <v>1221</v>
      </c>
      <c r="F45" s="118" t="s">
        <v>1222</v>
      </c>
      <c r="G45" s="118" t="s">
        <v>274</v>
      </c>
      <c r="H45" s="118" t="s">
        <v>15</v>
      </c>
      <c r="I45" s="118" t="s">
        <v>253</v>
      </c>
      <c r="J45" s="118" t="s">
        <v>1220</v>
      </c>
      <c r="K45" s="118" t="s">
        <v>1223</v>
      </c>
      <c r="L45" s="118">
        <v>0</v>
      </c>
      <c r="M45" s="118">
        <v>0</v>
      </c>
      <c r="N45" s="118">
        <v>0</v>
      </c>
      <c r="O45" s="42" t="s">
        <v>16</v>
      </c>
      <c r="P45" s="42" t="s">
        <v>52</v>
      </c>
      <c r="Q45" s="42" t="s">
        <v>100</v>
      </c>
      <c r="R45" s="42" t="s">
        <v>52</v>
      </c>
      <c r="S45" s="125" t="s">
        <v>50</v>
      </c>
      <c r="T45" s="12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pans="1:46" ht="14.25" customHeight="1" x14ac:dyDescent="0.2">
      <c r="A46" s="118" t="s">
        <v>1224</v>
      </c>
      <c r="B46" s="118" t="s">
        <v>1225</v>
      </c>
      <c r="C46" s="118">
        <v>2023</v>
      </c>
      <c r="D46" s="118" t="s">
        <v>331</v>
      </c>
      <c r="E46" s="118" t="s">
        <v>1227</v>
      </c>
      <c r="F46" s="118" t="s">
        <v>1228</v>
      </c>
      <c r="G46" s="118" t="s">
        <v>336</v>
      </c>
      <c r="H46" s="118" t="s">
        <v>15</v>
      </c>
      <c r="I46" s="118" t="s">
        <v>253</v>
      </c>
      <c r="J46" s="118" t="s">
        <v>1226</v>
      </c>
      <c r="K46" s="118" t="s">
        <v>505</v>
      </c>
      <c r="L46" s="118">
        <v>0</v>
      </c>
      <c r="M46" s="118">
        <v>0</v>
      </c>
      <c r="N46" s="118">
        <v>0</v>
      </c>
      <c r="O46" s="42" t="s">
        <v>16</v>
      </c>
      <c r="P46" s="42" t="s">
        <v>52</v>
      </c>
      <c r="Q46" s="42" t="s">
        <v>100</v>
      </c>
      <c r="R46" s="42" t="s">
        <v>52</v>
      </c>
      <c r="S46" s="125" t="s">
        <v>50</v>
      </c>
      <c r="T46" s="12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spans="1:46" ht="14.25" customHeight="1" x14ac:dyDescent="0.2">
      <c r="A47" s="118" t="s">
        <v>1235</v>
      </c>
      <c r="B47" s="118" t="s">
        <v>1236</v>
      </c>
      <c r="C47" s="118">
        <v>2025</v>
      </c>
      <c r="D47" s="118" t="s">
        <v>317</v>
      </c>
      <c r="E47" s="118" t="s">
        <v>1238</v>
      </c>
      <c r="F47" s="118" t="s">
        <v>1239</v>
      </c>
      <c r="G47" s="118" t="s">
        <v>322</v>
      </c>
      <c r="H47" s="118" t="s">
        <v>15</v>
      </c>
      <c r="I47" s="118" t="s">
        <v>253</v>
      </c>
      <c r="J47" s="118" t="s">
        <v>1237</v>
      </c>
      <c r="K47" s="118" t="s">
        <v>1240</v>
      </c>
      <c r="L47" s="118">
        <v>0</v>
      </c>
      <c r="M47" s="118">
        <v>0</v>
      </c>
      <c r="N47" s="118">
        <v>0</v>
      </c>
      <c r="O47" s="42" t="s">
        <v>16</v>
      </c>
      <c r="P47" s="42" t="s">
        <v>50</v>
      </c>
      <c r="Q47" s="42" t="s">
        <v>100</v>
      </c>
      <c r="R47" s="42" t="s">
        <v>50</v>
      </c>
      <c r="S47" s="125" t="s">
        <v>50</v>
      </c>
      <c r="T47" s="12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pans="1:46" ht="14.25" customHeight="1" x14ac:dyDescent="0.2">
      <c r="A48" s="118" t="s">
        <v>439</v>
      </c>
      <c r="B48" s="118" t="s">
        <v>440</v>
      </c>
      <c r="C48" s="118">
        <v>2023</v>
      </c>
      <c r="D48" s="118" t="s">
        <v>233</v>
      </c>
      <c r="E48" s="118" t="s">
        <v>442</v>
      </c>
      <c r="F48" s="118" t="s">
        <v>443</v>
      </c>
      <c r="G48" s="118" t="s">
        <v>238</v>
      </c>
      <c r="H48" s="118" t="s">
        <v>15</v>
      </c>
      <c r="I48" s="118" t="s">
        <v>253</v>
      </c>
      <c r="J48" s="118" t="s">
        <v>441</v>
      </c>
      <c r="K48" s="118" t="s">
        <v>444</v>
      </c>
      <c r="L48" s="118">
        <v>0</v>
      </c>
      <c r="M48" s="118">
        <v>0</v>
      </c>
      <c r="N48" s="118">
        <v>0</v>
      </c>
      <c r="O48" s="42" t="s">
        <v>16</v>
      </c>
      <c r="P48" s="42" t="s">
        <v>52</v>
      </c>
      <c r="Q48" s="42" t="s">
        <v>100</v>
      </c>
      <c r="R48" s="42" t="s">
        <v>52</v>
      </c>
      <c r="S48" s="125" t="s">
        <v>50</v>
      </c>
      <c r="T48" s="12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spans="1:46" ht="14.25" customHeight="1" x14ac:dyDescent="0.2">
      <c r="A49" s="118" t="s">
        <v>451</v>
      </c>
      <c r="B49" s="118" t="s">
        <v>452</v>
      </c>
      <c r="C49" s="118">
        <v>2024</v>
      </c>
      <c r="D49" s="118" t="s">
        <v>453</v>
      </c>
      <c r="E49" s="118" t="s">
        <v>455</v>
      </c>
      <c r="F49" s="118">
        <v>0</v>
      </c>
      <c r="G49" s="118" t="s">
        <v>457</v>
      </c>
      <c r="H49" s="118" t="s">
        <v>15</v>
      </c>
      <c r="I49" s="118" t="s">
        <v>253</v>
      </c>
      <c r="J49" s="118" t="s">
        <v>454</v>
      </c>
      <c r="K49" s="118" t="s">
        <v>456</v>
      </c>
      <c r="L49" s="118">
        <v>0</v>
      </c>
      <c r="M49" s="118">
        <v>0</v>
      </c>
      <c r="N49" s="118">
        <v>0</v>
      </c>
      <c r="O49" s="42" t="s">
        <v>16</v>
      </c>
      <c r="P49" s="42" t="s">
        <v>52</v>
      </c>
      <c r="Q49" s="42" t="s">
        <v>100</v>
      </c>
      <c r="R49" s="42" t="s">
        <v>52</v>
      </c>
      <c r="S49" s="125" t="s">
        <v>50</v>
      </c>
      <c r="T49" s="12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spans="1:46" ht="14.25" customHeight="1" x14ac:dyDescent="0.2">
      <c r="A50" s="118" t="s">
        <v>458</v>
      </c>
      <c r="B50" s="118" t="s">
        <v>459</v>
      </c>
      <c r="C50" s="118">
        <v>2024</v>
      </c>
      <c r="D50" s="118" t="s">
        <v>460</v>
      </c>
      <c r="E50" s="118" t="s">
        <v>462</v>
      </c>
      <c r="F50" s="118" t="s">
        <v>463</v>
      </c>
      <c r="G50" s="118" t="s">
        <v>465</v>
      </c>
      <c r="H50" s="118" t="s">
        <v>15</v>
      </c>
      <c r="I50" s="118" t="s">
        <v>253</v>
      </c>
      <c r="J50" s="118" t="s">
        <v>461</v>
      </c>
      <c r="K50" s="118" t="s">
        <v>464</v>
      </c>
      <c r="L50" s="118">
        <v>0</v>
      </c>
      <c r="M50" s="118">
        <v>0</v>
      </c>
      <c r="N50" s="118">
        <v>0</v>
      </c>
      <c r="O50" s="42" t="s">
        <v>16</v>
      </c>
      <c r="P50" s="42" t="s">
        <v>50</v>
      </c>
      <c r="Q50" s="42" t="s">
        <v>100</v>
      </c>
      <c r="R50" s="42" t="s">
        <v>50</v>
      </c>
      <c r="S50" s="125" t="s">
        <v>50</v>
      </c>
      <c r="T50" s="12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pans="1:46" ht="14.25" customHeight="1" x14ac:dyDescent="0.2">
      <c r="A51" s="118" t="s">
        <v>849</v>
      </c>
      <c r="B51" s="118" t="s">
        <v>850</v>
      </c>
      <c r="C51" s="118">
        <v>2025</v>
      </c>
      <c r="D51" s="118" t="s">
        <v>371</v>
      </c>
      <c r="E51" s="118" t="s">
        <v>852</v>
      </c>
      <c r="F51" s="118" t="s">
        <v>853</v>
      </c>
      <c r="G51" s="118" t="s">
        <v>376</v>
      </c>
      <c r="H51" s="118" t="s">
        <v>15</v>
      </c>
      <c r="I51" s="118" t="s">
        <v>253</v>
      </c>
      <c r="J51" s="118" t="s">
        <v>851</v>
      </c>
      <c r="K51" s="118" t="s">
        <v>854</v>
      </c>
      <c r="L51" s="118">
        <v>0</v>
      </c>
      <c r="M51" s="118">
        <v>0</v>
      </c>
      <c r="N51" s="118">
        <v>0</v>
      </c>
      <c r="O51" s="42" t="s">
        <v>16</v>
      </c>
      <c r="P51" s="42" t="s">
        <v>52</v>
      </c>
      <c r="Q51" s="42" t="s">
        <v>100</v>
      </c>
      <c r="R51" s="42" t="s">
        <v>52</v>
      </c>
      <c r="S51" s="125" t="s">
        <v>50</v>
      </c>
      <c r="T51" s="12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spans="1:46" ht="14.25" customHeight="1" x14ac:dyDescent="0.2">
      <c r="A52" s="118" t="s">
        <v>1569</v>
      </c>
      <c r="B52" s="118" t="s">
        <v>1570</v>
      </c>
      <c r="C52" s="118">
        <v>2024</v>
      </c>
      <c r="D52" s="118" t="s">
        <v>1322</v>
      </c>
      <c r="E52" s="118" t="s">
        <v>1572</v>
      </c>
      <c r="F52" s="118" t="s">
        <v>1573</v>
      </c>
      <c r="G52" s="118" t="s">
        <v>282</v>
      </c>
      <c r="H52" s="118" t="s">
        <v>15</v>
      </c>
      <c r="I52" s="118" t="s">
        <v>253</v>
      </c>
      <c r="J52" s="118" t="s">
        <v>1571</v>
      </c>
      <c r="K52" s="118" t="s">
        <v>1574</v>
      </c>
      <c r="L52" s="118">
        <v>0</v>
      </c>
      <c r="M52" s="118">
        <v>0</v>
      </c>
      <c r="N52" s="118">
        <v>0</v>
      </c>
      <c r="O52" s="42" t="s">
        <v>16</v>
      </c>
      <c r="P52" s="42" t="s">
        <v>50</v>
      </c>
      <c r="Q52" s="42" t="s">
        <v>100</v>
      </c>
      <c r="R52" s="42" t="s">
        <v>50</v>
      </c>
      <c r="S52" s="125" t="s">
        <v>50</v>
      </c>
      <c r="T52" s="12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spans="1:46" ht="14.25" customHeight="1" x14ac:dyDescent="0.2">
      <c r="A53" s="118" t="s">
        <v>1265</v>
      </c>
      <c r="B53" s="118" t="s">
        <v>1266</v>
      </c>
      <c r="C53" s="118">
        <v>2022</v>
      </c>
      <c r="D53" s="118" t="s">
        <v>1081</v>
      </c>
      <c r="E53" s="118" t="s">
        <v>1268</v>
      </c>
      <c r="F53" s="118" t="s">
        <v>1269</v>
      </c>
      <c r="G53" s="118" t="s">
        <v>1086</v>
      </c>
      <c r="H53" s="118" t="s">
        <v>15</v>
      </c>
      <c r="I53" s="118" t="s">
        <v>253</v>
      </c>
      <c r="J53" s="118" t="s">
        <v>1267</v>
      </c>
      <c r="K53" s="118" t="s">
        <v>1270</v>
      </c>
      <c r="L53" s="118">
        <v>0</v>
      </c>
      <c r="M53" s="118">
        <v>0</v>
      </c>
      <c r="N53" s="118">
        <v>0</v>
      </c>
      <c r="O53" s="42" t="s">
        <v>16</v>
      </c>
      <c r="P53" s="42" t="s">
        <v>52</v>
      </c>
      <c r="Q53" s="42" t="s">
        <v>100</v>
      </c>
      <c r="R53" s="42" t="s">
        <v>52</v>
      </c>
      <c r="S53" s="125" t="s">
        <v>50</v>
      </c>
      <c r="T53" s="12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spans="1:46" ht="14.25" customHeight="1" x14ac:dyDescent="0.2">
      <c r="A54" s="118" t="s">
        <v>493</v>
      </c>
      <c r="B54" s="118" t="s">
        <v>494</v>
      </c>
      <c r="C54" s="118">
        <v>2026</v>
      </c>
      <c r="D54" s="118" t="s">
        <v>394</v>
      </c>
      <c r="E54" s="118" t="s">
        <v>496</v>
      </c>
      <c r="F54" s="118" t="s">
        <v>497</v>
      </c>
      <c r="G54" s="118" t="s">
        <v>274</v>
      </c>
      <c r="H54" s="118" t="s">
        <v>15</v>
      </c>
      <c r="I54" s="118" t="s">
        <v>253</v>
      </c>
      <c r="J54" s="118" t="s">
        <v>495</v>
      </c>
      <c r="K54" s="118" t="s">
        <v>498</v>
      </c>
      <c r="L54" s="118">
        <v>0</v>
      </c>
      <c r="M54" s="118">
        <v>0</v>
      </c>
      <c r="N54" s="118">
        <v>0</v>
      </c>
      <c r="O54" s="42" t="s">
        <v>16</v>
      </c>
      <c r="P54" s="42" t="s">
        <v>50</v>
      </c>
      <c r="Q54" s="42" t="s">
        <v>100</v>
      </c>
      <c r="R54" s="42" t="s">
        <v>50</v>
      </c>
      <c r="S54" s="125" t="s">
        <v>50</v>
      </c>
      <c r="T54" s="12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spans="1:46" ht="14.25" customHeight="1" x14ac:dyDescent="0.2">
      <c r="A55" s="118" t="s">
        <v>499</v>
      </c>
      <c r="B55" s="118" t="s">
        <v>500</v>
      </c>
      <c r="C55" s="118">
        <v>2024</v>
      </c>
      <c r="D55" s="118" t="s">
        <v>501</v>
      </c>
      <c r="E55" s="118" t="s">
        <v>503</v>
      </c>
      <c r="F55" s="118" t="s">
        <v>504</v>
      </c>
      <c r="G55" s="118" t="s">
        <v>506</v>
      </c>
      <c r="H55" s="118" t="s">
        <v>15</v>
      </c>
      <c r="I55" s="118" t="s">
        <v>253</v>
      </c>
      <c r="J55" s="118" t="s">
        <v>502</v>
      </c>
      <c r="K55" s="118" t="s">
        <v>505</v>
      </c>
      <c r="L55" s="118">
        <v>0</v>
      </c>
      <c r="M55" s="118">
        <v>0</v>
      </c>
      <c r="N55" s="118">
        <v>0</v>
      </c>
      <c r="O55" s="42" t="s">
        <v>16</v>
      </c>
      <c r="P55" s="42" t="s">
        <v>52</v>
      </c>
      <c r="Q55" s="42" t="s">
        <v>100</v>
      </c>
      <c r="R55" s="42" t="s">
        <v>52</v>
      </c>
      <c r="S55" s="125" t="s">
        <v>50</v>
      </c>
      <c r="T55" s="12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pans="1:46" ht="14.25" customHeight="1" x14ac:dyDescent="0.2">
      <c r="A56" s="118" t="s">
        <v>514</v>
      </c>
      <c r="B56" s="118" t="s">
        <v>515</v>
      </c>
      <c r="C56" s="118">
        <v>2026</v>
      </c>
      <c r="D56" s="118" t="s">
        <v>516</v>
      </c>
      <c r="E56" s="118" t="s">
        <v>518</v>
      </c>
      <c r="F56" s="118" t="s">
        <v>519</v>
      </c>
      <c r="G56" s="118" t="s">
        <v>260</v>
      </c>
      <c r="H56" s="118" t="s">
        <v>15</v>
      </c>
      <c r="I56" s="118" t="s">
        <v>253</v>
      </c>
      <c r="J56" s="118" t="s">
        <v>517</v>
      </c>
      <c r="K56" s="118" t="s">
        <v>520</v>
      </c>
      <c r="L56" s="118">
        <v>0</v>
      </c>
      <c r="M56" s="118">
        <v>0</v>
      </c>
      <c r="N56" s="118">
        <v>0</v>
      </c>
      <c r="O56" s="42" t="s">
        <v>16</v>
      </c>
      <c r="P56" s="42" t="s">
        <v>52</v>
      </c>
      <c r="Q56" s="42" t="s">
        <v>100</v>
      </c>
      <c r="R56" s="42" t="s">
        <v>52</v>
      </c>
      <c r="S56" s="125" t="s">
        <v>50</v>
      </c>
      <c r="T56" s="12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pans="1:46" ht="14.25" customHeight="1" x14ac:dyDescent="0.2">
      <c r="A57" s="118" t="s">
        <v>1593</v>
      </c>
      <c r="B57" s="118" t="s">
        <v>1594</v>
      </c>
      <c r="C57" s="118">
        <v>2024</v>
      </c>
      <c r="D57" s="118" t="s">
        <v>1595</v>
      </c>
      <c r="E57" s="118" t="s">
        <v>1597</v>
      </c>
      <c r="F57" s="118" t="s">
        <v>1598</v>
      </c>
      <c r="G57" s="118" t="s">
        <v>336</v>
      </c>
      <c r="H57" s="118" t="s">
        <v>15</v>
      </c>
      <c r="I57" s="118" t="s">
        <v>253</v>
      </c>
      <c r="J57" s="118" t="s">
        <v>1596</v>
      </c>
      <c r="K57" s="118" t="s">
        <v>1599</v>
      </c>
      <c r="L57" s="118">
        <v>0</v>
      </c>
      <c r="M57" s="118">
        <v>0</v>
      </c>
      <c r="N57" s="118">
        <v>0</v>
      </c>
      <c r="O57" s="42" t="s">
        <v>16</v>
      </c>
      <c r="P57" s="42" t="s">
        <v>50</v>
      </c>
      <c r="Q57" s="42" t="s">
        <v>100</v>
      </c>
      <c r="R57" s="42" t="s">
        <v>50</v>
      </c>
      <c r="S57" s="125" t="s">
        <v>50</v>
      </c>
      <c r="T57" s="12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spans="1:46" ht="14.25" customHeight="1" x14ac:dyDescent="0.2">
      <c r="A58" s="118" t="s">
        <v>1620</v>
      </c>
      <c r="B58" s="118" t="s">
        <v>1621</v>
      </c>
      <c r="C58" s="118">
        <v>2025</v>
      </c>
      <c r="D58" s="118" t="s">
        <v>1622</v>
      </c>
      <c r="E58" s="118" t="s">
        <v>1624</v>
      </c>
      <c r="F58" s="118" t="s">
        <v>1625</v>
      </c>
      <c r="G58" s="118" t="s">
        <v>1626</v>
      </c>
      <c r="H58" s="118" t="s">
        <v>15</v>
      </c>
      <c r="I58" s="118" t="s">
        <v>253</v>
      </c>
      <c r="J58" s="118" t="s">
        <v>1623</v>
      </c>
      <c r="K58" s="118" t="s">
        <v>1825</v>
      </c>
      <c r="L58" s="118">
        <v>0</v>
      </c>
      <c r="M58" s="118">
        <v>0</v>
      </c>
      <c r="N58" s="118">
        <v>0</v>
      </c>
      <c r="O58" s="42" t="s">
        <v>16</v>
      </c>
      <c r="P58" s="42" t="s">
        <v>50</v>
      </c>
      <c r="Q58" s="42" t="s">
        <v>100</v>
      </c>
      <c r="R58" s="42" t="s">
        <v>50</v>
      </c>
      <c r="S58" s="125" t="s">
        <v>50</v>
      </c>
      <c r="T58" s="12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spans="1:46" ht="14.25" customHeight="1" x14ac:dyDescent="0.2">
      <c r="A59" s="118" t="s">
        <v>1271</v>
      </c>
      <c r="B59" s="118" t="s">
        <v>1272</v>
      </c>
      <c r="C59" s="118">
        <v>2023</v>
      </c>
      <c r="D59" s="118" t="s">
        <v>927</v>
      </c>
      <c r="E59" s="118" t="s">
        <v>1274</v>
      </c>
      <c r="F59" s="118" t="s">
        <v>1275</v>
      </c>
      <c r="G59" s="118">
        <v>0</v>
      </c>
      <c r="H59" s="118" t="s">
        <v>15</v>
      </c>
      <c r="I59" s="118" t="s">
        <v>253</v>
      </c>
      <c r="J59" s="118" t="s">
        <v>1273</v>
      </c>
      <c r="K59" s="118">
        <v>0</v>
      </c>
      <c r="L59" s="118">
        <v>0</v>
      </c>
      <c r="M59" s="118">
        <v>0</v>
      </c>
      <c r="N59" s="118">
        <v>0</v>
      </c>
      <c r="O59" s="42" t="s">
        <v>16</v>
      </c>
      <c r="P59" s="42" t="s">
        <v>52</v>
      </c>
      <c r="Q59" s="42" t="s">
        <v>100</v>
      </c>
      <c r="R59" s="42" t="s">
        <v>52</v>
      </c>
      <c r="S59" s="125" t="s">
        <v>50</v>
      </c>
      <c r="T59" s="12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spans="1:46" ht="14.25" customHeight="1" x14ac:dyDescent="0.2">
      <c r="A60" s="118" t="s">
        <v>1793</v>
      </c>
      <c r="B60" s="118" t="s">
        <v>1794</v>
      </c>
      <c r="C60" s="118">
        <v>2020</v>
      </c>
      <c r="D60" s="118" t="s">
        <v>1781</v>
      </c>
      <c r="E60" s="118" t="s">
        <v>1795</v>
      </c>
      <c r="F60" s="118" t="s">
        <v>1796</v>
      </c>
      <c r="G60" s="118" t="s">
        <v>1784</v>
      </c>
      <c r="H60" s="118" t="s">
        <v>15</v>
      </c>
      <c r="I60" s="118" t="s">
        <v>253</v>
      </c>
      <c r="J60" s="118">
        <v>0</v>
      </c>
      <c r="K60" s="118" t="s">
        <v>1797</v>
      </c>
      <c r="L60" s="118">
        <v>0</v>
      </c>
      <c r="M60" s="118">
        <v>0</v>
      </c>
      <c r="N60" s="118">
        <v>0</v>
      </c>
      <c r="O60" s="42" t="s">
        <v>16</v>
      </c>
      <c r="P60" s="42" t="s">
        <v>52</v>
      </c>
      <c r="Q60" s="42" t="s">
        <v>100</v>
      </c>
      <c r="R60" s="42" t="s">
        <v>52</v>
      </c>
      <c r="S60" s="125" t="s">
        <v>50</v>
      </c>
      <c r="T60" s="12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spans="1:46" ht="14.25" customHeight="1" x14ac:dyDescent="0.2">
      <c r="A61" s="118" t="s">
        <v>1294</v>
      </c>
      <c r="B61" s="118" t="s">
        <v>1295</v>
      </c>
      <c r="C61" s="118">
        <v>2025</v>
      </c>
      <c r="D61" s="118" t="s">
        <v>331</v>
      </c>
      <c r="E61" s="118" t="s">
        <v>1297</v>
      </c>
      <c r="F61" s="118" t="s">
        <v>1298</v>
      </c>
      <c r="G61" s="118" t="s">
        <v>336</v>
      </c>
      <c r="H61" s="118" t="s">
        <v>15</v>
      </c>
      <c r="I61" s="118" t="s">
        <v>253</v>
      </c>
      <c r="J61" s="118" t="s">
        <v>1296</v>
      </c>
      <c r="K61" s="118" t="s">
        <v>1299</v>
      </c>
      <c r="L61" s="118">
        <v>0</v>
      </c>
      <c r="M61" s="118">
        <v>0</v>
      </c>
      <c r="N61" s="118">
        <v>0</v>
      </c>
      <c r="O61" s="42" t="s">
        <v>16</v>
      </c>
      <c r="P61" s="42" t="s">
        <v>50</v>
      </c>
      <c r="Q61" s="42" t="s">
        <v>100</v>
      </c>
      <c r="R61" s="42" t="s">
        <v>50</v>
      </c>
      <c r="S61" s="125" t="s">
        <v>50</v>
      </c>
      <c r="T61" s="12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spans="1:46" ht="14.25" customHeight="1" x14ac:dyDescent="0.2">
      <c r="A62" s="118" t="s">
        <v>1300</v>
      </c>
      <c r="B62" s="118" t="s">
        <v>1301</v>
      </c>
      <c r="C62" s="118">
        <v>2026</v>
      </c>
      <c r="D62" s="118" t="s">
        <v>1302</v>
      </c>
      <c r="E62" s="118" t="s">
        <v>1304</v>
      </c>
      <c r="F62" s="118" t="s">
        <v>1305</v>
      </c>
      <c r="G62" s="118" t="s">
        <v>1307</v>
      </c>
      <c r="H62" s="118" t="s">
        <v>15</v>
      </c>
      <c r="I62" s="118" t="s">
        <v>253</v>
      </c>
      <c r="J62" s="118" t="s">
        <v>1303</v>
      </c>
      <c r="K62" s="118" t="s">
        <v>1306</v>
      </c>
      <c r="L62" s="118">
        <v>0</v>
      </c>
      <c r="M62" s="118">
        <v>0</v>
      </c>
      <c r="N62" s="118">
        <v>0</v>
      </c>
      <c r="O62" s="42" t="s">
        <v>16</v>
      </c>
      <c r="P62" s="42" t="s">
        <v>52</v>
      </c>
      <c r="Q62" s="42" t="s">
        <v>100</v>
      </c>
      <c r="R62" s="42" t="s">
        <v>52</v>
      </c>
      <c r="S62" s="125" t="s">
        <v>50</v>
      </c>
      <c r="T62" s="12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pans="1:46" ht="14.25" customHeight="1" x14ac:dyDescent="0.2">
      <c r="A63" s="118" t="s">
        <v>925</v>
      </c>
      <c r="B63" s="118" t="s">
        <v>926</v>
      </c>
      <c r="C63" s="118">
        <v>2023</v>
      </c>
      <c r="D63" s="118" t="s">
        <v>927</v>
      </c>
      <c r="E63" s="118" t="s">
        <v>929</v>
      </c>
      <c r="F63" s="118" t="s">
        <v>930</v>
      </c>
      <c r="G63" s="118">
        <v>0</v>
      </c>
      <c r="H63" s="118" t="s">
        <v>15</v>
      </c>
      <c r="I63" s="118" t="s">
        <v>253</v>
      </c>
      <c r="J63" s="118" t="s">
        <v>928</v>
      </c>
      <c r="K63" s="118">
        <v>0</v>
      </c>
      <c r="L63" s="118">
        <v>0</v>
      </c>
      <c r="M63" s="118">
        <v>0</v>
      </c>
      <c r="N63" s="118">
        <v>0</v>
      </c>
      <c r="O63" s="42" t="s">
        <v>16</v>
      </c>
      <c r="P63" s="42" t="s">
        <v>52</v>
      </c>
      <c r="Q63" s="42" t="s">
        <v>100</v>
      </c>
      <c r="R63" s="42" t="s">
        <v>52</v>
      </c>
      <c r="S63" s="125" t="s">
        <v>50</v>
      </c>
      <c r="T63" s="12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pans="1:46" ht="14.25" customHeight="1" x14ac:dyDescent="0.2">
      <c r="A64" s="118" t="s">
        <v>937</v>
      </c>
      <c r="B64" s="118" t="s">
        <v>938</v>
      </c>
      <c r="C64" s="118">
        <v>2023</v>
      </c>
      <c r="D64" s="118" t="s">
        <v>939</v>
      </c>
      <c r="E64" s="118" t="s">
        <v>941</v>
      </c>
      <c r="F64" s="118">
        <v>0</v>
      </c>
      <c r="G64" s="118" t="s">
        <v>457</v>
      </c>
      <c r="H64" s="118" t="s">
        <v>15</v>
      </c>
      <c r="I64" s="118" t="s">
        <v>253</v>
      </c>
      <c r="J64" s="118" t="s">
        <v>940</v>
      </c>
      <c r="K64" s="118" t="s">
        <v>942</v>
      </c>
      <c r="L64" s="118">
        <v>0</v>
      </c>
      <c r="M64" s="118">
        <v>0</v>
      </c>
      <c r="N64" s="118">
        <v>0</v>
      </c>
      <c r="O64" s="42" t="s">
        <v>16</v>
      </c>
      <c r="P64" s="42" t="s">
        <v>50</v>
      </c>
      <c r="Q64" s="42" t="s">
        <v>100</v>
      </c>
      <c r="R64" s="42" t="s">
        <v>50</v>
      </c>
      <c r="S64" s="125" t="s">
        <v>50</v>
      </c>
      <c r="T64" s="12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pans="1:46" ht="14.25" customHeight="1" x14ac:dyDescent="0.2">
      <c r="A65" s="118" t="s">
        <v>559</v>
      </c>
      <c r="B65" s="118" t="s">
        <v>560</v>
      </c>
      <c r="C65" s="118">
        <v>2026</v>
      </c>
      <c r="D65" s="118" t="s">
        <v>269</v>
      </c>
      <c r="E65" s="118" t="s">
        <v>562</v>
      </c>
      <c r="F65" s="118" t="s">
        <v>563</v>
      </c>
      <c r="G65" s="118" t="s">
        <v>274</v>
      </c>
      <c r="H65" s="118" t="s">
        <v>15</v>
      </c>
      <c r="I65" s="118" t="s">
        <v>253</v>
      </c>
      <c r="J65" s="118" t="s">
        <v>561</v>
      </c>
      <c r="K65" s="118" t="s">
        <v>564</v>
      </c>
      <c r="L65" s="118">
        <v>0</v>
      </c>
      <c r="M65" s="118">
        <v>0</v>
      </c>
      <c r="N65" s="118">
        <v>0</v>
      </c>
      <c r="O65" s="42" t="s">
        <v>16</v>
      </c>
      <c r="P65" s="42" t="s">
        <v>52</v>
      </c>
      <c r="Q65" s="42" t="s">
        <v>100</v>
      </c>
      <c r="R65" s="42" t="s">
        <v>52</v>
      </c>
      <c r="S65" s="125" t="s">
        <v>50</v>
      </c>
      <c r="T65" s="12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pans="1:46" ht="14.25" customHeight="1" x14ac:dyDescent="0.2">
      <c r="A66" s="118" t="s">
        <v>1798</v>
      </c>
      <c r="B66" s="118" t="s">
        <v>1799</v>
      </c>
      <c r="C66" s="118">
        <v>2020</v>
      </c>
      <c r="D66" s="118" t="s">
        <v>1781</v>
      </c>
      <c r="E66" s="118" t="s">
        <v>1800</v>
      </c>
      <c r="F66" s="118" t="s">
        <v>1801</v>
      </c>
      <c r="G66" s="118" t="s">
        <v>1784</v>
      </c>
      <c r="H66" s="118" t="s">
        <v>15</v>
      </c>
      <c r="I66" s="118" t="s">
        <v>253</v>
      </c>
      <c r="J66" s="118">
        <v>0</v>
      </c>
      <c r="K66" s="118" t="s">
        <v>1802</v>
      </c>
      <c r="L66" s="118">
        <v>0</v>
      </c>
      <c r="M66" s="118">
        <v>0</v>
      </c>
      <c r="N66" s="118">
        <v>0</v>
      </c>
      <c r="O66" s="42" t="s">
        <v>16</v>
      </c>
      <c r="P66" s="42" t="s">
        <v>50</v>
      </c>
      <c r="Q66" s="42" t="s">
        <v>100</v>
      </c>
      <c r="R66" s="42" t="s">
        <v>50</v>
      </c>
      <c r="S66" s="125" t="s">
        <v>50</v>
      </c>
      <c r="T66" s="12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pans="1:46" ht="14.25" customHeight="1" x14ac:dyDescent="0.2">
      <c r="A67" s="118" t="s">
        <v>571</v>
      </c>
      <c r="B67" s="118" t="s">
        <v>572</v>
      </c>
      <c r="C67" s="118">
        <v>2025</v>
      </c>
      <c r="D67" s="118" t="s">
        <v>573</v>
      </c>
      <c r="E67" s="118" t="s">
        <v>575</v>
      </c>
      <c r="F67" s="118" t="s">
        <v>576</v>
      </c>
      <c r="G67" s="118" t="s">
        <v>578</v>
      </c>
      <c r="H67" s="118" t="s">
        <v>15</v>
      </c>
      <c r="I67" s="118" t="s">
        <v>253</v>
      </c>
      <c r="J67" s="118" t="s">
        <v>574</v>
      </c>
      <c r="K67" s="118" t="s">
        <v>577</v>
      </c>
      <c r="L67" s="118">
        <v>0</v>
      </c>
      <c r="M67" s="118">
        <v>0</v>
      </c>
      <c r="N67" s="118">
        <v>0</v>
      </c>
      <c r="O67" s="42" t="s">
        <v>16</v>
      </c>
      <c r="P67" s="42" t="s">
        <v>52</v>
      </c>
      <c r="Q67" s="42" t="s">
        <v>100</v>
      </c>
      <c r="R67" s="42" t="s">
        <v>52</v>
      </c>
      <c r="S67" s="125" t="s">
        <v>50</v>
      </c>
      <c r="T67" s="12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pans="1:46" ht="14.25" customHeight="1" x14ac:dyDescent="0.2">
      <c r="A68" s="118" t="s">
        <v>1320</v>
      </c>
      <c r="B68" s="118" t="s">
        <v>1321</v>
      </c>
      <c r="C68" s="118">
        <v>2026</v>
      </c>
      <c r="D68" s="118" t="s">
        <v>1322</v>
      </c>
      <c r="E68" s="118" t="s">
        <v>1324</v>
      </c>
      <c r="F68" s="118" t="s">
        <v>1325</v>
      </c>
      <c r="G68" s="118" t="s">
        <v>282</v>
      </c>
      <c r="H68" s="118" t="s">
        <v>15</v>
      </c>
      <c r="I68" s="118" t="s">
        <v>253</v>
      </c>
      <c r="J68" s="118" t="s">
        <v>1323</v>
      </c>
      <c r="K68" s="118" t="s">
        <v>1326</v>
      </c>
      <c r="L68" s="118">
        <v>0</v>
      </c>
      <c r="M68" s="118">
        <v>0</v>
      </c>
      <c r="N68" s="118">
        <v>0</v>
      </c>
      <c r="O68" s="42" t="s">
        <v>16</v>
      </c>
      <c r="P68" s="42" t="s">
        <v>50</v>
      </c>
      <c r="Q68" s="42" t="s">
        <v>100</v>
      </c>
      <c r="R68" s="42" t="s">
        <v>50</v>
      </c>
      <c r="S68" s="125" t="s">
        <v>50</v>
      </c>
      <c r="T68" s="12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pans="1:46" ht="14.25" customHeight="1" x14ac:dyDescent="0.2">
      <c r="A69" s="118" t="s">
        <v>1715</v>
      </c>
      <c r="B69" s="118" t="s">
        <v>1716</v>
      </c>
      <c r="C69" s="118">
        <v>2025</v>
      </c>
      <c r="D69" s="118" t="s">
        <v>1717</v>
      </c>
      <c r="E69" s="118" t="s">
        <v>1719</v>
      </c>
      <c r="F69" s="118" t="s">
        <v>1720</v>
      </c>
      <c r="G69" s="118" t="s">
        <v>1722</v>
      </c>
      <c r="H69" s="118" t="s">
        <v>15</v>
      </c>
      <c r="I69" s="118" t="s">
        <v>253</v>
      </c>
      <c r="J69" s="118" t="s">
        <v>1718</v>
      </c>
      <c r="K69" s="118" t="s">
        <v>1721</v>
      </c>
      <c r="L69" s="118">
        <v>0</v>
      </c>
      <c r="M69" s="118">
        <v>0</v>
      </c>
      <c r="N69" s="118">
        <v>0</v>
      </c>
      <c r="O69" s="42" t="s">
        <v>16</v>
      </c>
      <c r="P69" s="42" t="s">
        <v>52</v>
      </c>
      <c r="Q69" s="42" t="s">
        <v>100</v>
      </c>
      <c r="R69" s="42" t="s">
        <v>52</v>
      </c>
      <c r="S69" s="125" t="s">
        <v>50</v>
      </c>
      <c r="T69" s="12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spans="1:46" ht="14.25" customHeight="1" x14ac:dyDescent="0.2">
      <c r="A70" s="118" t="s">
        <v>579</v>
      </c>
      <c r="B70" s="118" t="s">
        <v>580</v>
      </c>
      <c r="C70" s="118">
        <v>2023</v>
      </c>
      <c r="D70" s="118" t="s">
        <v>581</v>
      </c>
      <c r="E70" s="118" t="s">
        <v>583</v>
      </c>
      <c r="F70" s="118" t="s">
        <v>584</v>
      </c>
      <c r="G70" s="118" t="s">
        <v>586</v>
      </c>
      <c r="H70" s="118" t="s">
        <v>15</v>
      </c>
      <c r="I70" s="118" t="s">
        <v>253</v>
      </c>
      <c r="J70" s="118" t="s">
        <v>582</v>
      </c>
      <c r="K70" s="118" t="s">
        <v>585</v>
      </c>
      <c r="L70" s="118">
        <v>0</v>
      </c>
      <c r="M70" s="118">
        <v>0</v>
      </c>
      <c r="N70" s="118">
        <v>0</v>
      </c>
      <c r="O70" s="42" t="s">
        <v>16</v>
      </c>
      <c r="P70" s="42" t="s">
        <v>52</v>
      </c>
      <c r="Q70" s="42" t="s">
        <v>100</v>
      </c>
      <c r="R70" s="42" t="s">
        <v>52</v>
      </c>
      <c r="S70" s="125" t="s">
        <v>50</v>
      </c>
      <c r="T70" s="12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spans="1:46" ht="14.25" customHeight="1" x14ac:dyDescent="0.2">
      <c r="A71" s="118" t="s">
        <v>1327</v>
      </c>
      <c r="B71" s="118" t="s">
        <v>1328</v>
      </c>
      <c r="C71" s="118">
        <v>2022</v>
      </c>
      <c r="D71" s="118" t="s">
        <v>331</v>
      </c>
      <c r="E71" s="118" t="s">
        <v>1330</v>
      </c>
      <c r="F71" s="118" t="s">
        <v>1331</v>
      </c>
      <c r="G71" s="118" t="s">
        <v>1333</v>
      </c>
      <c r="H71" s="118" t="s">
        <v>15</v>
      </c>
      <c r="I71" s="118" t="s">
        <v>253</v>
      </c>
      <c r="J71" s="118" t="s">
        <v>1329</v>
      </c>
      <c r="K71" s="118" t="s">
        <v>1332</v>
      </c>
      <c r="L71" s="118">
        <v>0</v>
      </c>
      <c r="M71" s="118">
        <v>0</v>
      </c>
      <c r="N71" s="118">
        <v>0</v>
      </c>
      <c r="O71" s="42" t="s">
        <v>16</v>
      </c>
      <c r="P71" s="42" t="s">
        <v>50</v>
      </c>
      <c r="Q71" s="42" t="s">
        <v>100</v>
      </c>
      <c r="R71" s="42" t="s">
        <v>50</v>
      </c>
      <c r="S71" s="125" t="s">
        <v>50</v>
      </c>
      <c r="T71" s="12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pans="1:46" ht="14.25" customHeight="1" x14ac:dyDescent="0.2">
      <c r="A72" s="118" t="s">
        <v>587</v>
      </c>
      <c r="B72" s="118" t="s">
        <v>588</v>
      </c>
      <c r="C72" s="118">
        <v>2026</v>
      </c>
      <c r="D72" s="118" t="s">
        <v>331</v>
      </c>
      <c r="E72" s="118" t="s">
        <v>590</v>
      </c>
      <c r="F72" s="118" t="s">
        <v>591</v>
      </c>
      <c r="G72" s="118" t="s">
        <v>336</v>
      </c>
      <c r="H72" s="118" t="s">
        <v>15</v>
      </c>
      <c r="I72" s="118" t="s">
        <v>253</v>
      </c>
      <c r="J72" s="118" t="s">
        <v>589</v>
      </c>
      <c r="K72" s="118" t="s">
        <v>592</v>
      </c>
      <c r="L72" s="118">
        <v>0</v>
      </c>
      <c r="M72" s="118">
        <v>0</v>
      </c>
      <c r="N72" s="118">
        <v>0</v>
      </c>
      <c r="O72" s="42" t="s">
        <v>16</v>
      </c>
      <c r="P72" s="42" t="s">
        <v>50</v>
      </c>
      <c r="Q72" s="42" t="s">
        <v>100</v>
      </c>
      <c r="R72" s="42" t="s">
        <v>50</v>
      </c>
      <c r="S72" s="125" t="s">
        <v>50</v>
      </c>
      <c r="T72" s="12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pans="1:46" ht="14.25" customHeight="1" x14ac:dyDescent="0.2">
      <c r="A73" s="118" t="s">
        <v>593</v>
      </c>
      <c r="B73" s="118" t="s">
        <v>594</v>
      </c>
      <c r="C73" s="118">
        <v>2022</v>
      </c>
      <c r="D73" s="118" t="s">
        <v>277</v>
      </c>
      <c r="E73" s="118" t="s">
        <v>596</v>
      </c>
      <c r="F73" s="118" t="s">
        <v>597</v>
      </c>
      <c r="G73" s="118" t="s">
        <v>586</v>
      </c>
      <c r="H73" s="118" t="s">
        <v>15</v>
      </c>
      <c r="I73" s="118" t="s">
        <v>253</v>
      </c>
      <c r="J73" s="118" t="s">
        <v>595</v>
      </c>
      <c r="K73" s="118" t="s">
        <v>598</v>
      </c>
      <c r="L73" s="118">
        <v>0</v>
      </c>
      <c r="M73" s="118">
        <v>0</v>
      </c>
      <c r="N73" s="118">
        <v>0</v>
      </c>
      <c r="O73" s="42" t="s">
        <v>16</v>
      </c>
      <c r="P73" s="42" t="s">
        <v>52</v>
      </c>
      <c r="Q73" s="42" t="s">
        <v>100</v>
      </c>
      <c r="R73" s="42" t="s">
        <v>52</v>
      </c>
      <c r="S73" s="125" t="s">
        <v>50</v>
      </c>
      <c r="T73" s="12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pans="1:46" ht="14.25" customHeight="1" x14ac:dyDescent="0.2">
      <c r="A74" s="118" t="s">
        <v>1803</v>
      </c>
      <c r="B74" s="118" t="s">
        <v>1804</v>
      </c>
      <c r="C74" s="118">
        <v>2020</v>
      </c>
      <c r="D74" s="118" t="s">
        <v>317</v>
      </c>
      <c r="E74" s="118" t="s">
        <v>1806</v>
      </c>
      <c r="F74" s="118" t="s">
        <v>1807</v>
      </c>
      <c r="G74" s="118" t="s">
        <v>322</v>
      </c>
      <c r="H74" s="118" t="s">
        <v>15</v>
      </c>
      <c r="I74" s="118" t="s">
        <v>253</v>
      </c>
      <c r="J74" s="118" t="s">
        <v>1805</v>
      </c>
      <c r="K74" s="118" t="s">
        <v>1808</v>
      </c>
      <c r="L74" s="118">
        <v>0</v>
      </c>
      <c r="M74" s="118">
        <v>0</v>
      </c>
      <c r="N74" s="118">
        <v>0</v>
      </c>
      <c r="O74" s="42" t="s">
        <v>16</v>
      </c>
      <c r="P74" s="42" t="s">
        <v>52</v>
      </c>
      <c r="Q74" s="42" t="s">
        <v>100</v>
      </c>
      <c r="R74" s="42" t="s">
        <v>52</v>
      </c>
      <c r="S74" s="125" t="s">
        <v>50</v>
      </c>
      <c r="T74" s="12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pans="1:46" ht="14.25" customHeight="1" x14ac:dyDescent="0.2">
      <c r="A75" s="118" t="s">
        <v>1809</v>
      </c>
      <c r="B75" s="118" t="s">
        <v>1810</v>
      </c>
      <c r="C75" s="118">
        <v>2020</v>
      </c>
      <c r="D75" s="118" t="s">
        <v>371</v>
      </c>
      <c r="E75" s="118" t="s">
        <v>1812</v>
      </c>
      <c r="F75" s="118" t="s">
        <v>1813</v>
      </c>
      <c r="G75" s="118" t="s">
        <v>376</v>
      </c>
      <c r="H75" s="118" t="s">
        <v>15</v>
      </c>
      <c r="I75" s="118" t="s">
        <v>253</v>
      </c>
      <c r="J75" s="118" t="s">
        <v>1811</v>
      </c>
      <c r="K75" s="118" t="s">
        <v>1814</v>
      </c>
      <c r="L75" s="118">
        <v>0</v>
      </c>
      <c r="M75" s="118">
        <v>0</v>
      </c>
      <c r="N75" s="118">
        <v>0</v>
      </c>
      <c r="O75" s="42" t="s">
        <v>16</v>
      </c>
      <c r="P75" s="42" t="s">
        <v>50</v>
      </c>
      <c r="Q75" s="42" t="s">
        <v>100</v>
      </c>
      <c r="R75" s="42" t="s">
        <v>50</v>
      </c>
      <c r="S75" s="125" t="s">
        <v>50</v>
      </c>
      <c r="T75" s="12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pans="1:46" ht="14.25" customHeight="1" x14ac:dyDescent="0.2">
      <c r="A76" s="118" t="s">
        <v>1729</v>
      </c>
      <c r="B76" s="118" t="s">
        <v>1730</v>
      </c>
      <c r="C76" s="118">
        <v>2024</v>
      </c>
      <c r="D76" s="118" t="s">
        <v>256</v>
      </c>
      <c r="E76" s="118" t="s">
        <v>1732</v>
      </c>
      <c r="F76" s="118" t="s">
        <v>1733</v>
      </c>
      <c r="G76" s="118" t="s">
        <v>260</v>
      </c>
      <c r="H76" s="118" t="s">
        <v>15</v>
      </c>
      <c r="I76" s="118" t="s">
        <v>253</v>
      </c>
      <c r="J76" s="118" t="s">
        <v>1731</v>
      </c>
      <c r="K76" s="118" t="s">
        <v>1734</v>
      </c>
      <c r="L76" s="118">
        <v>0</v>
      </c>
      <c r="M76" s="118">
        <v>0</v>
      </c>
      <c r="N76" s="118">
        <v>0</v>
      </c>
      <c r="O76" s="42" t="s">
        <v>16</v>
      </c>
      <c r="P76" s="42" t="s">
        <v>52</v>
      </c>
      <c r="Q76" s="42" t="s">
        <v>100</v>
      </c>
      <c r="R76" s="42" t="s">
        <v>52</v>
      </c>
      <c r="S76" s="125" t="s">
        <v>50</v>
      </c>
      <c r="T76" s="12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pans="1:46" ht="14.25" customHeight="1" x14ac:dyDescent="0.2">
      <c r="A77" s="118" t="s">
        <v>975</v>
      </c>
      <c r="B77" s="118" t="s">
        <v>976</v>
      </c>
      <c r="C77" s="118">
        <v>2022</v>
      </c>
      <c r="D77" s="118" t="s">
        <v>977</v>
      </c>
      <c r="E77" s="118" t="s">
        <v>979</v>
      </c>
      <c r="F77" s="118" t="s">
        <v>980</v>
      </c>
      <c r="G77" s="118" t="s">
        <v>473</v>
      </c>
      <c r="H77" s="118" t="s">
        <v>15</v>
      </c>
      <c r="I77" s="118" t="s">
        <v>253</v>
      </c>
      <c r="J77" s="118" t="s">
        <v>978</v>
      </c>
      <c r="K77" s="118" t="s">
        <v>981</v>
      </c>
      <c r="L77" s="118">
        <v>0</v>
      </c>
      <c r="M77" s="118">
        <v>0</v>
      </c>
      <c r="N77" s="118">
        <v>0</v>
      </c>
      <c r="O77" s="42" t="s">
        <v>16</v>
      </c>
      <c r="P77" s="42" t="s">
        <v>52</v>
      </c>
      <c r="Q77" s="42" t="s">
        <v>100</v>
      </c>
      <c r="R77" s="42" t="s">
        <v>52</v>
      </c>
      <c r="S77" s="125" t="s">
        <v>50</v>
      </c>
      <c r="T77" s="12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spans="1:46" ht="14.25" customHeight="1" x14ac:dyDescent="0.2">
      <c r="A78" s="118" t="s">
        <v>611</v>
      </c>
      <c r="B78" s="118" t="s">
        <v>612</v>
      </c>
      <c r="C78" s="118">
        <v>2023</v>
      </c>
      <c r="D78" s="118" t="s">
        <v>317</v>
      </c>
      <c r="E78" s="118" t="s">
        <v>614</v>
      </c>
      <c r="F78" s="118" t="s">
        <v>615</v>
      </c>
      <c r="G78" s="118" t="s">
        <v>322</v>
      </c>
      <c r="H78" s="118" t="s">
        <v>15</v>
      </c>
      <c r="I78" s="118" t="s">
        <v>253</v>
      </c>
      <c r="J78" s="118" t="s">
        <v>613</v>
      </c>
      <c r="K78" s="118" t="s">
        <v>616</v>
      </c>
      <c r="L78" s="118">
        <v>0</v>
      </c>
      <c r="M78" s="118">
        <v>0</v>
      </c>
      <c r="N78" s="118">
        <v>0</v>
      </c>
      <c r="O78" s="42" t="s">
        <v>16</v>
      </c>
      <c r="P78" s="42" t="s">
        <v>50</v>
      </c>
      <c r="Q78" s="42" t="s">
        <v>100</v>
      </c>
      <c r="R78" s="42" t="s">
        <v>50</v>
      </c>
      <c r="S78" s="125" t="s">
        <v>50</v>
      </c>
      <c r="T78" s="12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pans="1:46" ht="14.25" customHeight="1" x14ac:dyDescent="0.2">
      <c r="A79" s="118" t="s">
        <v>1815</v>
      </c>
      <c r="B79" s="118" t="s">
        <v>1816</v>
      </c>
      <c r="C79" s="118">
        <v>2020</v>
      </c>
      <c r="D79" s="118" t="s">
        <v>394</v>
      </c>
      <c r="E79" s="118" t="s">
        <v>1818</v>
      </c>
      <c r="F79" s="118" t="s">
        <v>1819</v>
      </c>
      <c r="G79" s="118" t="s">
        <v>274</v>
      </c>
      <c r="H79" s="118" t="s">
        <v>15</v>
      </c>
      <c r="I79" s="118" t="s">
        <v>253</v>
      </c>
      <c r="J79" s="118" t="s">
        <v>1817</v>
      </c>
      <c r="K79" s="118" t="s">
        <v>1820</v>
      </c>
      <c r="L79" s="118">
        <v>0</v>
      </c>
      <c r="M79" s="118">
        <v>0</v>
      </c>
      <c r="N79" s="118">
        <v>0</v>
      </c>
      <c r="O79" s="42" t="s">
        <v>16</v>
      </c>
      <c r="P79" s="42" t="s">
        <v>52</v>
      </c>
      <c r="Q79" s="42" t="s">
        <v>100</v>
      </c>
      <c r="R79" s="42" t="s">
        <v>52</v>
      </c>
      <c r="S79" s="125" t="s">
        <v>50</v>
      </c>
      <c r="T79" s="12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pans="1:46" ht="14.25" customHeight="1" x14ac:dyDescent="0.2">
      <c r="A80" s="118" t="s">
        <v>1747</v>
      </c>
      <c r="B80" s="118" t="s">
        <v>1748</v>
      </c>
      <c r="C80" s="118">
        <v>2025</v>
      </c>
      <c r="D80" s="118" t="s">
        <v>460</v>
      </c>
      <c r="E80" s="118" t="s">
        <v>1750</v>
      </c>
      <c r="F80" s="118" t="s">
        <v>1751</v>
      </c>
      <c r="G80" s="118" t="s">
        <v>465</v>
      </c>
      <c r="H80" s="118" t="s">
        <v>15</v>
      </c>
      <c r="I80" s="118" t="s">
        <v>253</v>
      </c>
      <c r="J80" s="118" t="s">
        <v>1749</v>
      </c>
      <c r="K80" s="118" t="s">
        <v>1752</v>
      </c>
      <c r="L80" s="118">
        <v>0</v>
      </c>
      <c r="M80" s="118">
        <v>0</v>
      </c>
      <c r="N80" s="118">
        <v>0</v>
      </c>
      <c r="O80" s="42" t="s">
        <v>16</v>
      </c>
      <c r="P80" s="42" t="s">
        <v>50</v>
      </c>
      <c r="Q80" s="42" t="s">
        <v>100</v>
      </c>
      <c r="R80" s="42" t="s">
        <v>50</v>
      </c>
      <c r="S80" s="125" t="s">
        <v>50</v>
      </c>
      <c r="T80" s="12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pans="1:46" ht="14.25" customHeight="1" x14ac:dyDescent="0.2">
      <c r="A81" s="118" t="s">
        <v>1366</v>
      </c>
      <c r="B81" s="118" t="s">
        <v>1367</v>
      </c>
      <c r="C81" s="118">
        <v>2025</v>
      </c>
      <c r="D81" s="118" t="s">
        <v>394</v>
      </c>
      <c r="E81" s="118" t="s">
        <v>1369</v>
      </c>
      <c r="F81" s="118" t="s">
        <v>1370</v>
      </c>
      <c r="G81" s="118" t="s">
        <v>274</v>
      </c>
      <c r="H81" s="118" t="s">
        <v>15</v>
      </c>
      <c r="I81" s="118" t="s">
        <v>253</v>
      </c>
      <c r="J81" s="118" t="s">
        <v>1368</v>
      </c>
      <c r="K81" s="118" t="s">
        <v>1371</v>
      </c>
      <c r="L81" s="118">
        <v>0</v>
      </c>
      <c r="M81" s="118">
        <v>0</v>
      </c>
      <c r="N81" s="118">
        <v>0</v>
      </c>
      <c r="O81" s="42" t="s">
        <v>16</v>
      </c>
      <c r="P81" s="42" t="s">
        <v>52</v>
      </c>
      <c r="Q81" s="42" t="s">
        <v>100</v>
      </c>
      <c r="R81" s="42" t="s">
        <v>52</v>
      </c>
      <c r="S81" s="125" t="s">
        <v>50</v>
      </c>
      <c r="T81" s="12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spans="1:46" ht="14.25" customHeight="1" x14ac:dyDescent="0.2">
      <c r="A82" s="118" t="s">
        <v>221</v>
      </c>
      <c r="B82" s="118" t="s">
        <v>222</v>
      </c>
      <c r="C82" s="118">
        <v>2025</v>
      </c>
      <c r="D82" s="118" t="s">
        <v>223</v>
      </c>
      <c r="E82" s="118" t="s">
        <v>225</v>
      </c>
      <c r="F82" s="118" t="s">
        <v>226</v>
      </c>
      <c r="G82" s="118" t="s">
        <v>228</v>
      </c>
      <c r="H82" s="118" t="s">
        <v>15</v>
      </c>
      <c r="I82" s="118" t="s">
        <v>230</v>
      </c>
      <c r="J82" s="118" t="s">
        <v>224</v>
      </c>
      <c r="K82" s="118" t="s">
        <v>227</v>
      </c>
      <c r="L82" s="118">
        <v>0</v>
      </c>
      <c r="M82" s="118">
        <v>0</v>
      </c>
      <c r="N82" s="118">
        <v>0</v>
      </c>
      <c r="O82" s="42" t="s">
        <v>16</v>
      </c>
      <c r="P82" s="42" t="s">
        <v>50</v>
      </c>
      <c r="Q82" s="42" t="s">
        <v>100</v>
      </c>
      <c r="R82" s="42" t="s">
        <v>50</v>
      </c>
      <c r="S82" s="125" t="s">
        <v>50</v>
      </c>
      <c r="T82" s="12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ht="14.25" customHeight="1" x14ac:dyDescent="0.2">
      <c r="A83" s="118" t="s">
        <v>231</v>
      </c>
      <c r="B83" s="118" t="s">
        <v>232</v>
      </c>
      <c r="C83" s="118">
        <v>2024</v>
      </c>
      <c r="D83" s="118" t="s">
        <v>233</v>
      </c>
      <c r="E83" s="118" t="s">
        <v>235</v>
      </c>
      <c r="F83" s="118" t="s">
        <v>236</v>
      </c>
      <c r="G83" s="118" t="s">
        <v>238</v>
      </c>
      <c r="H83" s="118" t="s">
        <v>15</v>
      </c>
      <c r="I83" s="118" t="s">
        <v>230</v>
      </c>
      <c r="J83" s="118" t="s">
        <v>234</v>
      </c>
      <c r="K83" s="118" t="s">
        <v>237</v>
      </c>
      <c r="L83" s="118">
        <v>0</v>
      </c>
      <c r="M83" s="118">
        <v>0</v>
      </c>
      <c r="N83" s="118">
        <v>0</v>
      </c>
      <c r="O83" s="42" t="s">
        <v>16</v>
      </c>
      <c r="P83" s="42" t="s">
        <v>52</v>
      </c>
      <c r="Q83" s="42" t="s">
        <v>100</v>
      </c>
      <c r="R83" s="42" t="s">
        <v>52</v>
      </c>
      <c r="S83" s="125" t="s">
        <v>50</v>
      </c>
      <c r="T83" s="12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ht="14.25" customHeight="1" x14ac:dyDescent="0.2">
      <c r="A84" s="118" t="s">
        <v>239</v>
      </c>
      <c r="B84" s="118" t="s">
        <v>240</v>
      </c>
      <c r="C84" s="118">
        <v>2024</v>
      </c>
      <c r="D84" s="118" t="s">
        <v>233</v>
      </c>
      <c r="E84" s="118" t="s">
        <v>242</v>
      </c>
      <c r="F84" s="118" t="s">
        <v>243</v>
      </c>
      <c r="G84" s="118" t="s">
        <v>238</v>
      </c>
      <c r="H84" s="118" t="s">
        <v>15</v>
      </c>
      <c r="I84" s="118" t="s">
        <v>230</v>
      </c>
      <c r="J84" s="118" t="s">
        <v>241</v>
      </c>
      <c r="K84" s="118" t="s">
        <v>244</v>
      </c>
      <c r="L84" s="118">
        <v>0</v>
      </c>
      <c r="M84" s="118">
        <v>0</v>
      </c>
      <c r="N84" s="118">
        <v>0</v>
      </c>
      <c r="O84" s="42" t="s">
        <v>16</v>
      </c>
      <c r="P84" s="42" t="s">
        <v>52</v>
      </c>
      <c r="Q84" s="42" t="s">
        <v>100</v>
      </c>
      <c r="R84" s="42" t="s">
        <v>52</v>
      </c>
      <c r="S84" s="125" t="s">
        <v>50</v>
      </c>
      <c r="T84" s="12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ht="14.25" customHeight="1" x14ac:dyDescent="0.2">
      <c r="A85" s="118" t="s">
        <v>245</v>
      </c>
      <c r="B85" s="118" t="s">
        <v>246</v>
      </c>
      <c r="C85" s="118">
        <v>2025</v>
      </c>
      <c r="D85" s="118" t="s">
        <v>247</v>
      </c>
      <c r="E85" s="118" t="s">
        <v>249</v>
      </c>
      <c r="F85" s="118" t="s">
        <v>250</v>
      </c>
      <c r="G85" s="118" t="s">
        <v>252</v>
      </c>
      <c r="H85" s="118" t="s">
        <v>15</v>
      </c>
      <c r="I85" s="118" t="s">
        <v>253</v>
      </c>
      <c r="J85" s="118" t="s">
        <v>248</v>
      </c>
      <c r="K85" s="118" t="s">
        <v>251</v>
      </c>
      <c r="L85" s="118">
        <v>0</v>
      </c>
      <c r="M85" s="118">
        <v>0</v>
      </c>
      <c r="N85" s="118">
        <v>0</v>
      </c>
      <c r="O85" s="42" t="s">
        <v>16</v>
      </c>
      <c r="P85" s="42" t="s">
        <v>50</v>
      </c>
      <c r="Q85" s="42" t="s">
        <v>100</v>
      </c>
      <c r="R85" s="42" t="s">
        <v>50</v>
      </c>
      <c r="S85" s="125" t="s">
        <v>50</v>
      </c>
      <c r="T85" s="12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pans="1:46" ht="14.25" customHeight="1" x14ac:dyDescent="0.2">
      <c r="A86" s="118" t="s">
        <v>254</v>
      </c>
      <c r="B86" s="118" t="s">
        <v>255</v>
      </c>
      <c r="C86" s="118">
        <v>2024</v>
      </c>
      <c r="D86" s="118" t="s">
        <v>256</v>
      </c>
      <c r="E86" s="118" t="s">
        <v>258</v>
      </c>
      <c r="F86" s="118">
        <v>0</v>
      </c>
      <c r="G86" s="118" t="s">
        <v>260</v>
      </c>
      <c r="H86" s="118" t="s">
        <v>15</v>
      </c>
      <c r="I86" s="118" t="s">
        <v>253</v>
      </c>
      <c r="J86" s="118" t="s">
        <v>257</v>
      </c>
      <c r="K86" s="118" t="s">
        <v>259</v>
      </c>
      <c r="L86" s="118">
        <v>0</v>
      </c>
      <c r="M86" s="118">
        <v>0</v>
      </c>
      <c r="N86" s="118">
        <v>0</v>
      </c>
      <c r="O86" s="42" t="s">
        <v>16</v>
      </c>
      <c r="P86" s="42" t="s">
        <v>50</v>
      </c>
      <c r="Q86" s="42" t="s">
        <v>100</v>
      </c>
      <c r="R86" s="42" t="s">
        <v>50</v>
      </c>
      <c r="S86" s="125" t="s">
        <v>50</v>
      </c>
      <c r="T86" s="12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spans="1:46" ht="14.25" customHeight="1" x14ac:dyDescent="0.2">
      <c r="A87" s="118" t="s">
        <v>261</v>
      </c>
      <c r="B87" s="118" t="s">
        <v>262</v>
      </c>
      <c r="C87" s="118">
        <v>2024</v>
      </c>
      <c r="D87" s="118" t="s">
        <v>233</v>
      </c>
      <c r="E87" s="118" t="s">
        <v>264</v>
      </c>
      <c r="F87" s="118" t="s">
        <v>265</v>
      </c>
      <c r="G87" s="118" t="s">
        <v>238</v>
      </c>
      <c r="H87" s="118" t="s">
        <v>15</v>
      </c>
      <c r="I87" s="118" t="s">
        <v>230</v>
      </c>
      <c r="J87" s="118" t="s">
        <v>263</v>
      </c>
      <c r="K87" s="118" t="s">
        <v>266</v>
      </c>
      <c r="L87" s="118">
        <v>0</v>
      </c>
      <c r="M87" s="118">
        <v>0</v>
      </c>
      <c r="N87" s="118">
        <v>0</v>
      </c>
      <c r="O87" s="42" t="s">
        <v>16</v>
      </c>
      <c r="P87" s="42" t="s">
        <v>52</v>
      </c>
      <c r="Q87" s="42" t="s">
        <v>100</v>
      </c>
      <c r="R87" s="42" t="s">
        <v>52</v>
      </c>
      <c r="S87" s="125" t="s">
        <v>50</v>
      </c>
      <c r="T87" s="12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spans="1:46" ht="14.25" customHeight="1" x14ac:dyDescent="0.2">
      <c r="A88" s="118" t="s">
        <v>267</v>
      </c>
      <c r="B88" s="118" t="s">
        <v>268</v>
      </c>
      <c r="C88" s="118">
        <v>2025</v>
      </c>
      <c r="D88" s="118" t="s">
        <v>269</v>
      </c>
      <c r="E88" s="118" t="s">
        <v>271</v>
      </c>
      <c r="F88" s="118" t="s">
        <v>272</v>
      </c>
      <c r="G88" s="118" t="s">
        <v>274</v>
      </c>
      <c r="H88" s="118" t="s">
        <v>15</v>
      </c>
      <c r="I88" s="118" t="s">
        <v>253</v>
      </c>
      <c r="J88" s="118" t="s">
        <v>270</v>
      </c>
      <c r="K88" s="118" t="s">
        <v>273</v>
      </c>
      <c r="L88" s="118">
        <v>0</v>
      </c>
      <c r="M88" s="118">
        <v>0</v>
      </c>
      <c r="N88" s="118">
        <v>0</v>
      </c>
      <c r="O88" s="42" t="s">
        <v>16</v>
      </c>
      <c r="P88" s="42" t="s">
        <v>52</v>
      </c>
      <c r="Q88" s="42" t="s">
        <v>100</v>
      </c>
      <c r="R88" s="42" t="s">
        <v>52</v>
      </c>
      <c r="S88" s="125" t="s">
        <v>50</v>
      </c>
      <c r="T88" s="12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spans="1:46" ht="14.25" customHeight="1" x14ac:dyDescent="0.2">
      <c r="A89" s="118" t="s">
        <v>275</v>
      </c>
      <c r="B89" s="118" t="s">
        <v>276</v>
      </c>
      <c r="C89" s="118">
        <v>2026</v>
      </c>
      <c r="D89" s="118" t="s">
        <v>277</v>
      </c>
      <c r="E89" s="118" t="s">
        <v>279</v>
      </c>
      <c r="F89" s="118" t="s">
        <v>280</v>
      </c>
      <c r="G89" s="118" t="s">
        <v>282</v>
      </c>
      <c r="H89" s="118" t="s">
        <v>15</v>
      </c>
      <c r="I89" s="118" t="s">
        <v>253</v>
      </c>
      <c r="J89" s="118" t="s">
        <v>278</v>
      </c>
      <c r="K89" s="118" t="s">
        <v>281</v>
      </c>
      <c r="L89" s="118">
        <v>0</v>
      </c>
      <c r="M89" s="118">
        <v>0</v>
      </c>
      <c r="N89" s="118">
        <v>0</v>
      </c>
      <c r="O89" s="42" t="s">
        <v>16</v>
      </c>
      <c r="P89" s="42" t="s">
        <v>50</v>
      </c>
      <c r="Q89" s="42" t="s">
        <v>100</v>
      </c>
      <c r="R89" s="42" t="s">
        <v>50</v>
      </c>
      <c r="S89" s="125" t="s">
        <v>50</v>
      </c>
      <c r="T89" s="12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pans="1:46" ht="14.25" customHeight="1" x14ac:dyDescent="0.2">
      <c r="A90" s="118" t="s">
        <v>283</v>
      </c>
      <c r="B90" s="118" t="s">
        <v>284</v>
      </c>
      <c r="C90" s="118">
        <v>2022</v>
      </c>
      <c r="D90" s="118" t="s">
        <v>233</v>
      </c>
      <c r="E90" s="118" t="s">
        <v>286</v>
      </c>
      <c r="F90" s="118" t="s">
        <v>287</v>
      </c>
      <c r="G90" s="118" t="s">
        <v>238</v>
      </c>
      <c r="H90" s="118" t="s">
        <v>15</v>
      </c>
      <c r="I90" s="118" t="s">
        <v>230</v>
      </c>
      <c r="J90" s="118" t="s">
        <v>285</v>
      </c>
      <c r="K90" s="118">
        <v>0</v>
      </c>
      <c r="L90" s="118">
        <v>0</v>
      </c>
      <c r="M90" s="118">
        <v>0</v>
      </c>
      <c r="N90" s="118">
        <v>0</v>
      </c>
      <c r="O90" s="42" t="s">
        <v>16</v>
      </c>
      <c r="P90" s="42" t="s">
        <v>52</v>
      </c>
      <c r="Q90" s="42" t="s">
        <v>100</v>
      </c>
      <c r="R90" s="42" t="s">
        <v>52</v>
      </c>
      <c r="S90" s="125" t="s">
        <v>50</v>
      </c>
      <c r="T90" s="12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spans="1:46" ht="14.25" customHeight="1" x14ac:dyDescent="0.2">
      <c r="A91" s="118" t="s">
        <v>288</v>
      </c>
      <c r="B91" s="118" t="s">
        <v>289</v>
      </c>
      <c r="C91" s="118">
        <v>2022</v>
      </c>
      <c r="D91" s="118" t="s">
        <v>290</v>
      </c>
      <c r="E91" s="118" t="s">
        <v>292</v>
      </c>
      <c r="F91" s="118" t="s">
        <v>293</v>
      </c>
      <c r="G91" s="118" t="s">
        <v>228</v>
      </c>
      <c r="H91" s="118" t="s">
        <v>15</v>
      </c>
      <c r="I91" s="118" t="s">
        <v>253</v>
      </c>
      <c r="J91" s="118" t="s">
        <v>291</v>
      </c>
      <c r="K91" s="118" t="s">
        <v>294</v>
      </c>
      <c r="L91" s="118">
        <v>0</v>
      </c>
      <c r="M91" s="118">
        <v>0</v>
      </c>
      <c r="N91" s="118">
        <v>0</v>
      </c>
      <c r="O91" s="42" t="s">
        <v>16</v>
      </c>
      <c r="P91" s="42" t="s">
        <v>52</v>
      </c>
      <c r="Q91" s="42" t="s">
        <v>100</v>
      </c>
      <c r="R91" s="42" t="s">
        <v>52</v>
      </c>
      <c r="S91" s="125" t="s">
        <v>50</v>
      </c>
      <c r="T91" s="12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pans="1:46" ht="14.25" customHeight="1" x14ac:dyDescent="0.2">
      <c r="A92" s="118" t="s">
        <v>295</v>
      </c>
      <c r="B92" s="118" t="s">
        <v>296</v>
      </c>
      <c r="C92" s="118">
        <v>2023</v>
      </c>
      <c r="D92" s="118" t="s">
        <v>297</v>
      </c>
      <c r="E92" s="118" t="s">
        <v>299</v>
      </c>
      <c r="F92" s="118" t="s">
        <v>300</v>
      </c>
      <c r="G92" s="118" t="s">
        <v>282</v>
      </c>
      <c r="H92" s="118" t="s">
        <v>15</v>
      </c>
      <c r="I92" s="118" t="s">
        <v>302</v>
      </c>
      <c r="J92" s="118" t="s">
        <v>298</v>
      </c>
      <c r="K92" s="118" t="s">
        <v>301</v>
      </c>
      <c r="L92" s="118">
        <v>0</v>
      </c>
      <c r="M92" s="118">
        <v>0</v>
      </c>
      <c r="N92" s="118">
        <v>0</v>
      </c>
      <c r="O92" s="42" t="s">
        <v>16</v>
      </c>
      <c r="P92" s="42" t="s">
        <v>50</v>
      </c>
      <c r="Q92" s="42" t="s">
        <v>100</v>
      </c>
      <c r="R92" s="42" t="s">
        <v>50</v>
      </c>
      <c r="S92" s="125" t="s">
        <v>51</v>
      </c>
      <c r="T92" s="123" t="s">
        <v>208</v>
      </c>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pans="1:46" ht="14.25" customHeight="1" x14ac:dyDescent="0.2">
      <c r="A93" s="118" t="s">
        <v>303</v>
      </c>
      <c r="B93" s="118" t="s">
        <v>304</v>
      </c>
      <c r="C93" s="118">
        <v>2025</v>
      </c>
      <c r="D93" s="118" t="s">
        <v>233</v>
      </c>
      <c r="E93" s="118" t="s">
        <v>306</v>
      </c>
      <c r="F93" s="118" t="s">
        <v>307</v>
      </c>
      <c r="G93" s="118" t="s">
        <v>238</v>
      </c>
      <c r="H93" s="118" t="s">
        <v>15</v>
      </c>
      <c r="I93" s="118" t="s">
        <v>230</v>
      </c>
      <c r="J93" s="118" t="s">
        <v>305</v>
      </c>
      <c r="K93" s="118" t="s">
        <v>308</v>
      </c>
      <c r="L93" s="118">
        <v>0</v>
      </c>
      <c r="M93" s="118">
        <v>0</v>
      </c>
      <c r="N93" s="118">
        <v>0</v>
      </c>
      <c r="O93" s="42" t="s">
        <v>16</v>
      </c>
      <c r="P93" s="42" t="s">
        <v>52</v>
      </c>
      <c r="Q93" s="42" t="s">
        <v>100</v>
      </c>
      <c r="R93" s="42" t="s">
        <v>52</v>
      </c>
      <c r="S93" s="125" t="s">
        <v>51</v>
      </c>
      <c r="T93" s="123" t="s">
        <v>199</v>
      </c>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ht="14.25" customHeight="1" x14ac:dyDescent="0.2">
      <c r="A94" s="118" t="s">
        <v>309</v>
      </c>
      <c r="B94" s="118" t="s">
        <v>310</v>
      </c>
      <c r="C94" s="118">
        <v>2023</v>
      </c>
      <c r="D94" s="118" t="s">
        <v>233</v>
      </c>
      <c r="E94" s="118" t="s">
        <v>312</v>
      </c>
      <c r="F94" s="118" t="s">
        <v>313</v>
      </c>
      <c r="G94" s="118" t="s">
        <v>238</v>
      </c>
      <c r="H94" s="118" t="s">
        <v>15</v>
      </c>
      <c r="I94" s="118" t="s">
        <v>230</v>
      </c>
      <c r="J94" s="118" t="s">
        <v>311</v>
      </c>
      <c r="K94" s="118" t="s">
        <v>314</v>
      </c>
      <c r="L94" s="118">
        <v>0</v>
      </c>
      <c r="M94" s="118">
        <v>0</v>
      </c>
      <c r="N94" s="118">
        <v>0</v>
      </c>
      <c r="O94" s="42" t="s">
        <v>16</v>
      </c>
      <c r="P94" s="42" t="s">
        <v>50</v>
      </c>
      <c r="Q94" s="42" t="s">
        <v>100</v>
      </c>
      <c r="R94" s="42" t="s">
        <v>50</v>
      </c>
      <c r="S94" s="125" t="s">
        <v>51</v>
      </c>
      <c r="T94" s="123" t="s">
        <v>200</v>
      </c>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ht="14.25" customHeight="1" x14ac:dyDescent="0.2">
      <c r="A95" s="118" t="s">
        <v>315</v>
      </c>
      <c r="B95" s="118" t="s">
        <v>316</v>
      </c>
      <c r="C95" s="118">
        <v>2024</v>
      </c>
      <c r="D95" s="118" t="s">
        <v>317</v>
      </c>
      <c r="E95" s="118" t="s">
        <v>319</v>
      </c>
      <c r="F95" s="118" t="s">
        <v>320</v>
      </c>
      <c r="G95" s="118" t="s">
        <v>322</v>
      </c>
      <c r="H95" s="118" t="s">
        <v>15</v>
      </c>
      <c r="I95" s="118" t="s">
        <v>253</v>
      </c>
      <c r="J95" s="118" t="s">
        <v>318</v>
      </c>
      <c r="K95" s="118" t="s">
        <v>321</v>
      </c>
      <c r="L95" s="118">
        <v>0</v>
      </c>
      <c r="M95" s="118">
        <v>0</v>
      </c>
      <c r="N95" s="118">
        <v>0</v>
      </c>
      <c r="O95" s="42" t="s">
        <v>16</v>
      </c>
      <c r="P95" s="42" t="s">
        <v>52</v>
      </c>
      <c r="Q95" s="42" t="s">
        <v>100</v>
      </c>
      <c r="R95" s="42" t="s">
        <v>52</v>
      </c>
      <c r="S95" s="125" t="s">
        <v>51</v>
      </c>
      <c r="T95" s="123" t="s">
        <v>201</v>
      </c>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ht="14.25" customHeight="1" x14ac:dyDescent="0.2">
      <c r="A96" s="118" t="s">
        <v>323</v>
      </c>
      <c r="B96" s="118" t="s">
        <v>324</v>
      </c>
      <c r="C96" s="118">
        <v>2022</v>
      </c>
      <c r="D96" s="118" t="s">
        <v>233</v>
      </c>
      <c r="E96" s="118" t="s">
        <v>326</v>
      </c>
      <c r="F96" s="118" t="s">
        <v>327</v>
      </c>
      <c r="G96" s="118" t="s">
        <v>238</v>
      </c>
      <c r="H96" s="118" t="s">
        <v>15</v>
      </c>
      <c r="I96" s="118" t="s">
        <v>230</v>
      </c>
      <c r="J96" s="118" t="s">
        <v>325</v>
      </c>
      <c r="K96" s="118" t="s">
        <v>328</v>
      </c>
      <c r="L96" s="118">
        <v>0</v>
      </c>
      <c r="M96" s="118">
        <v>0</v>
      </c>
      <c r="N96" s="118">
        <v>0</v>
      </c>
      <c r="O96" s="42" t="s">
        <v>16</v>
      </c>
      <c r="P96" s="42" t="s">
        <v>50</v>
      </c>
      <c r="Q96" s="42" t="s">
        <v>100</v>
      </c>
      <c r="R96" s="42" t="s">
        <v>50</v>
      </c>
      <c r="S96" s="125" t="s">
        <v>51</v>
      </c>
      <c r="T96" s="123" t="s">
        <v>202</v>
      </c>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ht="14.25" customHeight="1" x14ac:dyDescent="0.2">
      <c r="A97" s="118" t="s">
        <v>329</v>
      </c>
      <c r="B97" s="118" t="s">
        <v>330</v>
      </c>
      <c r="C97" s="118">
        <v>2025</v>
      </c>
      <c r="D97" s="118" t="s">
        <v>331</v>
      </c>
      <c r="E97" s="118" t="s">
        <v>333</v>
      </c>
      <c r="F97" s="118" t="s">
        <v>334</v>
      </c>
      <c r="G97" s="118" t="s">
        <v>336</v>
      </c>
      <c r="H97" s="118" t="s">
        <v>15</v>
      </c>
      <c r="I97" s="118" t="s">
        <v>302</v>
      </c>
      <c r="J97" s="118" t="s">
        <v>332</v>
      </c>
      <c r="K97" s="118" t="s">
        <v>335</v>
      </c>
      <c r="L97" s="118">
        <v>0</v>
      </c>
      <c r="M97" s="118">
        <v>0</v>
      </c>
      <c r="N97" s="118">
        <v>0</v>
      </c>
      <c r="O97" s="42" t="s">
        <v>16</v>
      </c>
      <c r="P97" s="42" t="s">
        <v>52</v>
      </c>
      <c r="Q97" s="42" t="s">
        <v>100</v>
      </c>
      <c r="R97" s="42" t="s">
        <v>52</v>
      </c>
      <c r="S97" s="125" t="s">
        <v>51</v>
      </c>
      <c r="T97" s="123" t="s">
        <v>203</v>
      </c>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ht="14.25" customHeight="1" x14ac:dyDescent="0.2">
      <c r="A98" s="118" t="s">
        <v>337</v>
      </c>
      <c r="B98" s="118" t="s">
        <v>338</v>
      </c>
      <c r="C98" s="118">
        <v>2025</v>
      </c>
      <c r="D98" s="118" t="s">
        <v>233</v>
      </c>
      <c r="E98" s="118" t="s">
        <v>340</v>
      </c>
      <c r="F98" s="118" t="s">
        <v>341</v>
      </c>
      <c r="G98" s="118" t="s">
        <v>238</v>
      </c>
      <c r="H98" s="118" t="s">
        <v>15</v>
      </c>
      <c r="I98" s="118" t="s">
        <v>230</v>
      </c>
      <c r="J98" s="118" t="s">
        <v>339</v>
      </c>
      <c r="K98" s="118" t="s">
        <v>342</v>
      </c>
      <c r="L98" s="118">
        <v>0</v>
      </c>
      <c r="M98" s="118">
        <v>0</v>
      </c>
      <c r="N98" s="118">
        <v>0</v>
      </c>
      <c r="O98" s="42" t="s">
        <v>16</v>
      </c>
      <c r="P98" s="42" t="s">
        <v>52</v>
      </c>
      <c r="Q98" s="42" t="s">
        <v>100</v>
      </c>
      <c r="R98" s="42" t="s">
        <v>52</v>
      </c>
      <c r="S98" s="125" t="s">
        <v>51</v>
      </c>
      <c r="T98" s="123" t="s">
        <v>204</v>
      </c>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ht="14.25" customHeight="1" x14ac:dyDescent="0.2">
      <c r="A99" s="118" t="s">
        <v>343</v>
      </c>
      <c r="B99" s="118" t="s">
        <v>344</v>
      </c>
      <c r="C99" s="118">
        <v>2025</v>
      </c>
      <c r="D99" s="118" t="s">
        <v>345</v>
      </c>
      <c r="E99" s="118" t="s">
        <v>347</v>
      </c>
      <c r="F99" s="118" t="s">
        <v>348</v>
      </c>
      <c r="G99" s="118" t="s">
        <v>350</v>
      </c>
      <c r="H99" s="118" t="s">
        <v>15</v>
      </c>
      <c r="I99" s="118" t="s">
        <v>253</v>
      </c>
      <c r="J99" s="118" t="s">
        <v>346</v>
      </c>
      <c r="K99" s="118" t="s">
        <v>349</v>
      </c>
      <c r="L99" s="118">
        <v>0</v>
      </c>
      <c r="M99" s="118">
        <v>0</v>
      </c>
      <c r="N99" s="118">
        <v>0</v>
      </c>
      <c r="O99" s="42" t="s">
        <v>16</v>
      </c>
      <c r="P99" s="42" t="s">
        <v>50</v>
      </c>
      <c r="Q99" s="42" t="s">
        <v>100</v>
      </c>
      <c r="R99" s="42" t="s">
        <v>50</v>
      </c>
      <c r="S99" s="125" t="s">
        <v>51</v>
      </c>
      <c r="T99" s="123" t="s">
        <v>205</v>
      </c>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ht="14.25" customHeight="1" x14ac:dyDescent="0.2">
      <c r="A100" s="118" t="s">
        <v>351</v>
      </c>
      <c r="B100" s="118" t="s">
        <v>352</v>
      </c>
      <c r="C100" s="118">
        <v>2022</v>
      </c>
      <c r="D100" s="118" t="s">
        <v>233</v>
      </c>
      <c r="E100" s="118" t="s">
        <v>354</v>
      </c>
      <c r="F100" s="118" t="s">
        <v>355</v>
      </c>
      <c r="G100" s="118" t="s">
        <v>238</v>
      </c>
      <c r="H100" s="118" t="s">
        <v>15</v>
      </c>
      <c r="I100" s="118" t="s">
        <v>230</v>
      </c>
      <c r="J100" s="118" t="s">
        <v>353</v>
      </c>
      <c r="K100" s="118" t="s">
        <v>356</v>
      </c>
      <c r="L100" s="118">
        <v>0</v>
      </c>
      <c r="M100" s="118">
        <v>0</v>
      </c>
      <c r="N100" s="118">
        <v>0</v>
      </c>
      <c r="O100" s="42" t="s">
        <v>16</v>
      </c>
      <c r="P100" s="42" t="s">
        <v>50</v>
      </c>
      <c r="Q100" s="42" t="s">
        <v>100</v>
      </c>
      <c r="R100" s="42" t="s">
        <v>50</v>
      </c>
      <c r="S100" s="125" t="s">
        <v>51</v>
      </c>
      <c r="T100" s="123" t="s">
        <v>206</v>
      </c>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ht="14.25" customHeight="1" x14ac:dyDescent="0.2">
      <c r="A101" s="118" t="s">
        <v>357</v>
      </c>
      <c r="B101" s="118" t="s">
        <v>358</v>
      </c>
      <c r="C101" s="118">
        <v>2022</v>
      </c>
      <c r="D101" s="118" t="s">
        <v>233</v>
      </c>
      <c r="E101" s="118" t="s">
        <v>360</v>
      </c>
      <c r="F101" s="118" t="s">
        <v>361</v>
      </c>
      <c r="G101" s="118" t="s">
        <v>238</v>
      </c>
      <c r="H101" s="118" t="s">
        <v>15</v>
      </c>
      <c r="I101" s="118" t="s">
        <v>230</v>
      </c>
      <c r="J101" s="118" t="s">
        <v>359</v>
      </c>
      <c r="K101" s="118" t="s">
        <v>362</v>
      </c>
      <c r="L101" s="118">
        <v>0</v>
      </c>
      <c r="M101" s="118">
        <v>0</v>
      </c>
      <c r="N101" s="118">
        <v>0</v>
      </c>
      <c r="O101" s="42" t="s">
        <v>16</v>
      </c>
      <c r="P101" s="42" t="s">
        <v>52</v>
      </c>
      <c r="Q101" s="42" t="s">
        <v>100</v>
      </c>
      <c r="R101" s="42" t="s">
        <v>52</v>
      </c>
      <c r="S101" s="125" t="s">
        <v>51</v>
      </c>
      <c r="T101" s="123" t="s">
        <v>207</v>
      </c>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ht="14.25" customHeight="1" x14ac:dyDescent="0.2">
      <c r="A102" s="118" t="s">
        <v>363</v>
      </c>
      <c r="B102" s="118" t="s">
        <v>364</v>
      </c>
      <c r="C102" s="118">
        <v>2025</v>
      </c>
      <c r="D102" s="118" t="s">
        <v>277</v>
      </c>
      <c r="E102" s="118" t="s">
        <v>366</v>
      </c>
      <c r="F102" s="118" t="s">
        <v>367</v>
      </c>
      <c r="G102" s="118" t="s">
        <v>282</v>
      </c>
      <c r="H102" s="118" t="s">
        <v>15</v>
      </c>
      <c r="I102" s="118" t="s">
        <v>253</v>
      </c>
      <c r="J102" s="118" t="s">
        <v>365</v>
      </c>
      <c r="K102" s="118" t="s">
        <v>368</v>
      </c>
      <c r="L102" s="118">
        <v>0</v>
      </c>
      <c r="M102" s="118">
        <v>0</v>
      </c>
      <c r="N102" s="118">
        <v>0</v>
      </c>
      <c r="O102" s="42" t="s">
        <v>16</v>
      </c>
      <c r="P102" s="42" t="s">
        <v>52</v>
      </c>
      <c r="Q102" s="42" t="s">
        <v>100</v>
      </c>
      <c r="R102" s="42" t="s">
        <v>52</v>
      </c>
      <c r="S102" s="125" t="s">
        <v>51</v>
      </c>
      <c r="T102" s="123" t="s">
        <v>208</v>
      </c>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ht="14.25" customHeight="1" x14ac:dyDescent="0.2">
      <c r="A103" s="118" t="s">
        <v>369</v>
      </c>
      <c r="B103" s="118" t="s">
        <v>370</v>
      </c>
      <c r="C103" s="118">
        <v>2022</v>
      </c>
      <c r="D103" s="118" t="s">
        <v>371</v>
      </c>
      <c r="E103" s="118" t="s">
        <v>373</v>
      </c>
      <c r="F103" s="118" t="s">
        <v>374</v>
      </c>
      <c r="G103" s="118" t="s">
        <v>376</v>
      </c>
      <c r="H103" s="118" t="s">
        <v>15</v>
      </c>
      <c r="I103" s="118" t="s">
        <v>253</v>
      </c>
      <c r="J103" s="118" t="s">
        <v>372</v>
      </c>
      <c r="K103" s="118" t="s">
        <v>375</v>
      </c>
      <c r="L103" s="118">
        <v>0</v>
      </c>
      <c r="M103" s="118">
        <v>0</v>
      </c>
      <c r="N103" s="118">
        <v>0</v>
      </c>
      <c r="O103" s="42" t="s">
        <v>16</v>
      </c>
      <c r="P103" s="42" t="s">
        <v>50</v>
      </c>
      <c r="Q103" s="42" t="s">
        <v>100</v>
      </c>
      <c r="R103" s="42" t="s">
        <v>50</v>
      </c>
      <c r="S103" s="125" t="s">
        <v>51</v>
      </c>
      <c r="T103" s="123" t="s">
        <v>209</v>
      </c>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ht="14.25" customHeight="1" x14ac:dyDescent="0.2">
      <c r="A104" s="118" t="s">
        <v>377</v>
      </c>
      <c r="B104" s="118" t="s">
        <v>378</v>
      </c>
      <c r="C104" s="118">
        <v>2025</v>
      </c>
      <c r="D104" s="118" t="s">
        <v>233</v>
      </c>
      <c r="E104" s="118" t="s">
        <v>380</v>
      </c>
      <c r="F104" s="118" t="s">
        <v>381</v>
      </c>
      <c r="G104" s="118" t="s">
        <v>238</v>
      </c>
      <c r="H104" s="118" t="s">
        <v>15</v>
      </c>
      <c r="I104" s="118" t="s">
        <v>230</v>
      </c>
      <c r="J104" s="118" t="s">
        <v>379</v>
      </c>
      <c r="K104" s="118" t="s">
        <v>382</v>
      </c>
      <c r="L104" s="118">
        <v>0</v>
      </c>
      <c r="M104" s="118">
        <v>0</v>
      </c>
      <c r="N104" s="118">
        <v>0</v>
      </c>
      <c r="O104" s="42" t="s">
        <v>16</v>
      </c>
      <c r="P104" s="42" t="s">
        <v>52</v>
      </c>
      <c r="Q104" s="42" t="s">
        <v>100</v>
      </c>
      <c r="R104" s="42" t="s">
        <v>51</v>
      </c>
      <c r="S104" s="125" t="s">
        <v>51</v>
      </c>
      <c r="T104" s="123" t="s">
        <v>210</v>
      </c>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ht="14.25" customHeight="1" x14ac:dyDescent="0.2">
      <c r="A105" s="118" t="s">
        <v>383</v>
      </c>
      <c r="B105" s="118" t="s">
        <v>384</v>
      </c>
      <c r="C105" s="118">
        <v>2024</v>
      </c>
      <c r="D105" s="118" t="s">
        <v>385</v>
      </c>
      <c r="E105" s="118" t="s">
        <v>387</v>
      </c>
      <c r="F105" s="118" t="s">
        <v>388</v>
      </c>
      <c r="G105" s="118" t="s">
        <v>282</v>
      </c>
      <c r="H105" s="118" t="s">
        <v>15</v>
      </c>
      <c r="I105" s="118" t="s">
        <v>253</v>
      </c>
      <c r="J105" s="118" t="s">
        <v>386</v>
      </c>
      <c r="K105" s="118" t="s">
        <v>389</v>
      </c>
      <c r="L105" s="118">
        <v>0</v>
      </c>
      <c r="M105" s="118">
        <v>0</v>
      </c>
      <c r="N105" s="118">
        <v>0</v>
      </c>
      <c r="O105" s="42" t="s">
        <v>16</v>
      </c>
      <c r="P105" s="42" t="s">
        <v>52</v>
      </c>
      <c r="Q105" s="42" t="s">
        <v>100</v>
      </c>
      <c r="R105" s="42" t="s">
        <v>51</v>
      </c>
      <c r="S105" s="125" t="s">
        <v>51</v>
      </c>
      <c r="T105" s="123" t="s">
        <v>211</v>
      </c>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ht="14.25" customHeight="1" x14ac:dyDescent="0.2">
      <c r="A106" s="118">
        <v>0</v>
      </c>
      <c r="B106" s="118" t="s">
        <v>229</v>
      </c>
      <c r="C106" s="118">
        <v>2025</v>
      </c>
      <c r="D106" s="118" t="s">
        <v>223</v>
      </c>
      <c r="E106" s="118" t="s">
        <v>390</v>
      </c>
      <c r="F106" s="118">
        <v>0</v>
      </c>
      <c r="G106" s="118" t="s">
        <v>228</v>
      </c>
      <c r="H106" s="118" t="s">
        <v>15</v>
      </c>
      <c r="I106" s="118" t="s">
        <v>391</v>
      </c>
      <c r="J106" s="118">
        <v>0</v>
      </c>
      <c r="K106" s="118">
        <v>0</v>
      </c>
      <c r="L106" s="118">
        <v>0</v>
      </c>
      <c r="M106" s="118">
        <v>0</v>
      </c>
      <c r="N106" s="118">
        <v>0</v>
      </c>
      <c r="O106" s="42" t="s">
        <v>16</v>
      </c>
      <c r="P106" s="42" t="s">
        <v>50</v>
      </c>
      <c r="Q106" s="42" t="s">
        <v>100</v>
      </c>
      <c r="R106" s="42" t="s">
        <v>51</v>
      </c>
      <c r="S106" s="125" t="s">
        <v>51</v>
      </c>
      <c r="T106" s="123" t="s">
        <v>212</v>
      </c>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ht="14.25" customHeight="1" x14ac:dyDescent="0.2">
      <c r="A107" s="118" t="s">
        <v>392</v>
      </c>
      <c r="B107" s="118" t="s">
        <v>393</v>
      </c>
      <c r="C107" s="118">
        <v>2023</v>
      </c>
      <c r="D107" s="118" t="s">
        <v>394</v>
      </c>
      <c r="E107" s="118" t="s">
        <v>396</v>
      </c>
      <c r="F107" s="118" t="s">
        <v>397</v>
      </c>
      <c r="G107" s="118" t="s">
        <v>274</v>
      </c>
      <c r="H107" s="118" t="s">
        <v>15</v>
      </c>
      <c r="I107" s="118" t="s">
        <v>253</v>
      </c>
      <c r="J107" s="118" t="s">
        <v>395</v>
      </c>
      <c r="K107" s="118" t="s">
        <v>398</v>
      </c>
      <c r="L107" s="118">
        <v>0</v>
      </c>
      <c r="M107" s="118">
        <v>0</v>
      </c>
      <c r="N107" s="118">
        <v>0</v>
      </c>
      <c r="O107" s="42" t="s">
        <v>16</v>
      </c>
      <c r="P107" s="42" t="s">
        <v>52</v>
      </c>
      <c r="Q107" s="42" t="s">
        <v>100</v>
      </c>
      <c r="R107" s="42" t="s">
        <v>51</v>
      </c>
      <c r="S107" s="125" t="s">
        <v>51</v>
      </c>
      <c r="T107" s="123" t="s">
        <v>213</v>
      </c>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ht="14.25" customHeight="1" x14ac:dyDescent="0.2">
      <c r="A108" s="118" t="s">
        <v>399</v>
      </c>
      <c r="B108" s="118" t="s">
        <v>400</v>
      </c>
      <c r="C108" s="118">
        <v>2025</v>
      </c>
      <c r="D108" s="118" t="s">
        <v>331</v>
      </c>
      <c r="E108" s="118" t="s">
        <v>402</v>
      </c>
      <c r="F108" s="118" t="s">
        <v>403</v>
      </c>
      <c r="G108" s="118" t="s">
        <v>336</v>
      </c>
      <c r="H108" s="118" t="s">
        <v>15</v>
      </c>
      <c r="I108" s="118" t="s">
        <v>253</v>
      </c>
      <c r="J108" s="118" t="s">
        <v>401</v>
      </c>
      <c r="K108" s="118" t="s">
        <v>404</v>
      </c>
      <c r="L108" s="118">
        <v>0</v>
      </c>
      <c r="M108" s="118">
        <v>0</v>
      </c>
      <c r="N108" s="118">
        <v>0</v>
      </c>
      <c r="O108" s="42" t="s">
        <v>16</v>
      </c>
      <c r="P108" s="42" t="s">
        <v>50</v>
      </c>
      <c r="Q108" s="42" t="s">
        <v>100</v>
      </c>
      <c r="R108" s="42" t="s">
        <v>52</v>
      </c>
      <c r="S108" s="125" t="s">
        <v>51</v>
      </c>
      <c r="T108" s="123" t="s">
        <v>214</v>
      </c>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ht="14.25" customHeight="1" x14ac:dyDescent="0.2">
      <c r="A109" s="118" t="s">
        <v>405</v>
      </c>
      <c r="B109" s="118" t="s">
        <v>406</v>
      </c>
      <c r="C109" s="118">
        <v>2024</v>
      </c>
      <c r="D109" s="118" t="s">
        <v>233</v>
      </c>
      <c r="E109" s="118" t="s">
        <v>408</v>
      </c>
      <c r="F109" s="118" t="s">
        <v>409</v>
      </c>
      <c r="G109" s="118" t="s">
        <v>238</v>
      </c>
      <c r="H109" s="118" t="s">
        <v>15</v>
      </c>
      <c r="I109" s="118" t="s">
        <v>230</v>
      </c>
      <c r="J109" s="118" t="s">
        <v>407</v>
      </c>
      <c r="K109" s="118" t="s">
        <v>237</v>
      </c>
      <c r="L109" s="118">
        <v>0</v>
      </c>
      <c r="M109" s="118">
        <v>0</v>
      </c>
      <c r="N109" s="118">
        <v>0</v>
      </c>
      <c r="O109" s="42" t="s">
        <v>16</v>
      </c>
      <c r="P109" s="42" t="s">
        <v>52</v>
      </c>
      <c r="Q109" s="42" t="s">
        <v>100</v>
      </c>
      <c r="R109" s="42" t="s">
        <v>51</v>
      </c>
      <c r="S109" s="125" t="s">
        <v>51</v>
      </c>
      <c r="T109" s="123" t="s">
        <v>195</v>
      </c>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ht="14.25" customHeight="1" x14ac:dyDescent="0.2">
      <c r="A110" s="118" t="s">
        <v>410</v>
      </c>
      <c r="B110" s="118" t="s">
        <v>411</v>
      </c>
      <c r="C110" s="118">
        <v>2025</v>
      </c>
      <c r="D110" s="118" t="s">
        <v>233</v>
      </c>
      <c r="E110" s="118" t="s">
        <v>413</v>
      </c>
      <c r="F110" s="118" t="s">
        <v>414</v>
      </c>
      <c r="G110" s="118" t="s">
        <v>238</v>
      </c>
      <c r="H110" s="118" t="s">
        <v>15</v>
      </c>
      <c r="I110" s="118" t="s">
        <v>230</v>
      </c>
      <c r="J110" s="118" t="s">
        <v>412</v>
      </c>
      <c r="K110" s="118" t="s">
        <v>415</v>
      </c>
      <c r="L110" s="118">
        <v>0</v>
      </c>
      <c r="M110" s="118">
        <v>0</v>
      </c>
      <c r="N110" s="118">
        <v>0</v>
      </c>
      <c r="O110" s="42" t="s">
        <v>16</v>
      </c>
      <c r="P110" s="42" t="s">
        <v>50</v>
      </c>
      <c r="Q110" s="42" t="s">
        <v>100</v>
      </c>
      <c r="R110" s="42" t="s">
        <v>51</v>
      </c>
      <c r="S110" s="125" t="s">
        <v>51</v>
      </c>
      <c r="T110" s="123" t="s">
        <v>196</v>
      </c>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ht="14.25" customHeight="1" x14ac:dyDescent="0.2">
      <c r="A111" s="118" t="s">
        <v>416</v>
      </c>
      <c r="B111" s="118" t="s">
        <v>417</v>
      </c>
      <c r="C111" s="118">
        <v>2022</v>
      </c>
      <c r="D111" s="118" t="s">
        <v>233</v>
      </c>
      <c r="E111" s="118" t="s">
        <v>419</v>
      </c>
      <c r="F111" s="118" t="s">
        <v>420</v>
      </c>
      <c r="G111" s="118" t="s">
        <v>238</v>
      </c>
      <c r="H111" s="118" t="s">
        <v>15</v>
      </c>
      <c r="I111" s="118" t="s">
        <v>230</v>
      </c>
      <c r="J111" s="118" t="s">
        <v>418</v>
      </c>
      <c r="K111" s="118" t="s">
        <v>421</v>
      </c>
      <c r="L111" s="118">
        <v>0</v>
      </c>
      <c r="M111" s="118">
        <v>0</v>
      </c>
      <c r="N111" s="118">
        <v>0</v>
      </c>
      <c r="O111" s="42" t="s">
        <v>16</v>
      </c>
      <c r="P111" s="42" t="s">
        <v>52</v>
      </c>
      <c r="Q111" s="42" t="s">
        <v>100</v>
      </c>
      <c r="R111" s="42" t="s">
        <v>51</v>
      </c>
      <c r="S111" s="125" t="s">
        <v>51</v>
      </c>
      <c r="T111" s="123" t="s">
        <v>197</v>
      </c>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ht="14.25" customHeight="1" x14ac:dyDescent="0.2">
      <c r="A112" s="118" t="s">
        <v>422</v>
      </c>
      <c r="B112" s="118" t="s">
        <v>423</v>
      </c>
      <c r="C112" s="118">
        <v>2022</v>
      </c>
      <c r="D112" s="118" t="s">
        <v>233</v>
      </c>
      <c r="E112" s="118" t="s">
        <v>425</v>
      </c>
      <c r="F112" s="118" t="s">
        <v>426</v>
      </c>
      <c r="G112" s="118" t="s">
        <v>238</v>
      </c>
      <c r="H112" s="118" t="s">
        <v>15</v>
      </c>
      <c r="I112" s="118" t="s">
        <v>230</v>
      </c>
      <c r="J112" s="118" t="s">
        <v>424</v>
      </c>
      <c r="K112" s="118" t="s">
        <v>427</v>
      </c>
      <c r="L112" s="118">
        <v>0</v>
      </c>
      <c r="M112" s="118">
        <v>0</v>
      </c>
      <c r="N112" s="118">
        <v>0</v>
      </c>
      <c r="O112" s="42" t="s">
        <v>16</v>
      </c>
      <c r="P112" s="42" t="s">
        <v>52</v>
      </c>
      <c r="Q112" s="42" t="s">
        <v>100</v>
      </c>
      <c r="R112" s="42" t="s">
        <v>51</v>
      </c>
      <c r="S112" s="125" t="s">
        <v>51</v>
      </c>
      <c r="T112" s="123" t="s">
        <v>198</v>
      </c>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ht="14.25" customHeight="1" x14ac:dyDescent="0.2">
      <c r="A113" s="118" t="s">
        <v>428</v>
      </c>
      <c r="B113" s="118" t="s">
        <v>429</v>
      </c>
      <c r="C113" s="118">
        <v>2024</v>
      </c>
      <c r="D113" s="118" t="s">
        <v>233</v>
      </c>
      <c r="E113" s="118" t="s">
        <v>431</v>
      </c>
      <c r="F113" s="118" t="s">
        <v>432</v>
      </c>
      <c r="G113" s="118" t="s">
        <v>238</v>
      </c>
      <c r="H113" s="118" t="s">
        <v>15</v>
      </c>
      <c r="I113" s="118" t="s">
        <v>230</v>
      </c>
      <c r="J113" s="118" t="s">
        <v>430</v>
      </c>
      <c r="K113" s="118" t="s">
        <v>433</v>
      </c>
      <c r="L113" s="118">
        <v>0</v>
      </c>
      <c r="M113" s="118">
        <v>0</v>
      </c>
      <c r="N113" s="118">
        <v>0</v>
      </c>
      <c r="O113" s="42" t="s">
        <v>16</v>
      </c>
      <c r="P113" s="42" t="s">
        <v>50</v>
      </c>
      <c r="Q113" s="42" t="s">
        <v>100</v>
      </c>
      <c r="R113" s="42" t="s">
        <v>51</v>
      </c>
      <c r="S113" s="125" t="s">
        <v>51</v>
      </c>
      <c r="T113" s="123" t="s">
        <v>199</v>
      </c>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ht="14.25" customHeight="1" x14ac:dyDescent="0.2">
      <c r="A114" s="118" t="s">
        <v>434</v>
      </c>
      <c r="B114" s="118" t="s">
        <v>435</v>
      </c>
      <c r="C114" s="118">
        <v>2025</v>
      </c>
      <c r="D114" s="118" t="s">
        <v>233</v>
      </c>
      <c r="E114" s="118" t="s">
        <v>437</v>
      </c>
      <c r="F114" s="118" t="s">
        <v>438</v>
      </c>
      <c r="G114" s="118" t="s">
        <v>238</v>
      </c>
      <c r="H114" s="118" t="s">
        <v>15</v>
      </c>
      <c r="I114" s="118" t="s">
        <v>230</v>
      </c>
      <c r="J114" s="118" t="s">
        <v>436</v>
      </c>
      <c r="K114" s="118">
        <v>0</v>
      </c>
      <c r="L114" s="118">
        <v>0</v>
      </c>
      <c r="M114" s="118">
        <v>0</v>
      </c>
      <c r="N114" s="118">
        <v>0</v>
      </c>
      <c r="O114" s="42" t="s">
        <v>16</v>
      </c>
      <c r="P114" s="42" t="s">
        <v>50</v>
      </c>
      <c r="Q114" s="42" t="s">
        <v>100</v>
      </c>
      <c r="R114" s="42" t="s">
        <v>51</v>
      </c>
      <c r="S114" s="125" t="s">
        <v>51</v>
      </c>
      <c r="T114" s="123" t="s">
        <v>200</v>
      </c>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ht="14.25" customHeight="1" x14ac:dyDescent="0.2">
      <c r="A115" s="118" t="s">
        <v>439</v>
      </c>
      <c r="B115" s="118" t="s">
        <v>440</v>
      </c>
      <c r="C115" s="118">
        <v>2023</v>
      </c>
      <c r="D115" s="118" t="s">
        <v>233</v>
      </c>
      <c r="E115" s="118" t="s">
        <v>442</v>
      </c>
      <c r="F115" s="118" t="s">
        <v>443</v>
      </c>
      <c r="G115" s="118" t="s">
        <v>238</v>
      </c>
      <c r="H115" s="118" t="s">
        <v>15</v>
      </c>
      <c r="I115" s="118" t="s">
        <v>253</v>
      </c>
      <c r="J115" s="118" t="s">
        <v>441</v>
      </c>
      <c r="K115" s="118" t="s">
        <v>444</v>
      </c>
      <c r="L115" s="118">
        <v>0</v>
      </c>
      <c r="M115" s="118">
        <v>0</v>
      </c>
      <c r="N115" s="118">
        <v>0</v>
      </c>
      <c r="O115" s="42" t="s">
        <v>16</v>
      </c>
      <c r="P115" s="42" t="s">
        <v>52</v>
      </c>
      <c r="Q115" s="42" t="s">
        <v>100</v>
      </c>
      <c r="R115" s="42" t="s">
        <v>51</v>
      </c>
      <c r="S115" s="125" t="s">
        <v>51</v>
      </c>
      <c r="T115" s="123" t="s">
        <v>201</v>
      </c>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ht="14.25" customHeight="1" x14ac:dyDescent="0.2">
      <c r="A116" s="118" t="s">
        <v>445</v>
      </c>
      <c r="B116" s="118" t="s">
        <v>446</v>
      </c>
      <c r="C116" s="118">
        <v>2025</v>
      </c>
      <c r="D116" s="118" t="s">
        <v>233</v>
      </c>
      <c r="E116" s="118" t="s">
        <v>448</v>
      </c>
      <c r="F116" s="118" t="s">
        <v>449</v>
      </c>
      <c r="G116" s="118" t="s">
        <v>238</v>
      </c>
      <c r="H116" s="118" t="s">
        <v>15</v>
      </c>
      <c r="I116" s="118" t="s">
        <v>230</v>
      </c>
      <c r="J116" s="118" t="s">
        <v>447</v>
      </c>
      <c r="K116" s="118" t="s">
        <v>450</v>
      </c>
      <c r="L116" s="118">
        <v>0</v>
      </c>
      <c r="M116" s="118">
        <v>0</v>
      </c>
      <c r="N116" s="118">
        <v>0</v>
      </c>
      <c r="O116" s="42" t="s">
        <v>16</v>
      </c>
      <c r="P116" s="42" t="s">
        <v>52</v>
      </c>
      <c r="Q116" s="42" t="s">
        <v>100</v>
      </c>
      <c r="R116" s="42" t="s">
        <v>51</v>
      </c>
      <c r="S116" s="125" t="s">
        <v>51</v>
      </c>
      <c r="T116" s="123" t="s">
        <v>202</v>
      </c>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ht="14.25" customHeight="1" x14ac:dyDescent="0.2">
      <c r="A117" s="118" t="s">
        <v>451</v>
      </c>
      <c r="B117" s="118" t="s">
        <v>452</v>
      </c>
      <c r="C117" s="118">
        <v>2024</v>
      </c>
      <c r="D117" s="118" t="s">
        <v>453</v>
      </c>
      <c r="E117" s="118" t="s">
        <v>455</v>
      </c>
      <c r="F117" s="118">
        <v>0</v>
      </c>
      <c r="G117" s="118" t="s">
        <v>457</v>
      </c>
      <c r="H117" s="118" t="s">
        <v>15</v>
      </c>
      <c r="I117" s="118" t="s">
        <v>253</v>
      </c>
      <c r="J117" s="118" t="s">
        <v>454</v>
      </c>
      <c r="K117" s="118" t="s">
        <v>456</v>
      </c>
      <c r="L117" s="118">
        <v>0</v>
      </c>
      <c r="M117" s="118">
        <v>0</v>
      </c>
      <c r="N117" s="118">
        <v>0</v>
      </c>
      <c r="O117" s="42" t="s">
        <v>16</v>
      </c>
      <c r="P117" s="42" t="s">
        <v>50</v>
      </c>
      <c r="Q117" s="42" t="s">
        <v>100</v>
      </c>
      <c r="R117" s="42" t="s">
        <v>51</v>
      </c>
      <c r="S117" s="125" t="s">
        <v>51</v>
      </c>
      <c r="T117" s="123" t="s">
        <v>203</v>
      </c>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ht="14.25" customHeight="1" x14ac:dyDescent="0.2">
      <c r="A118" s="118" t="s">
        <v>458</v>
      </c>
      <c r="B118" s="118" t="s">
        <v>459</v>
      </c>
      <c r="C118" s="118">
        <v>2024</v>
      </c>
      <c r="D118" s="118" t="s">
        <v>460</v>
      </c>
      <c r="E118" s="118" t="s">
        <v>462</v>
      </c>
      <c r="F118" s="118" t="s">
        <v>463</v>
      </c>
      <c r="G118" s="118" t="s">
        <v>465</v>
      </c>
      <c r="H118" s="118" t="s">
        <v>15</v>
      </c>
      <c r="I118" s="118" t="s">
        <v>253</v>
      </c>
      <c r="J118" s="118" t="s">
        <v>461</v>
      </c>
      <c r="K118" s="118" t="s">
        <v>464</v>
      </c>
      <c r="L118" s="118">
        <v>0</v>
      </c>
      <c r="M118" s="118">
        <v>0</v>
      </c>
      <c r="N118" s="118">
        <v>0</v>
      </c>
      <c r="O118" s="42" t="s">
        <v>16</v>
      </c>
      <c r="P118" s="42" t="s">
        <v>52</v>
      </c>
      <c r="Q118" s="42" t="s">
        <v>100</v>
      </c>
      <c r="R118" s="42" t="s">
        <v>51</v>
      </c>
      <c r="S118" s="125" t="s">
        <v>51</v>
      </c>
      <c r="T118" s="123" t="s">
        <v>204</v>
      </c>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ht="14.25" customHeight="1" x14ac:dyDescent="0.2">
      <c r="A119" s="118" t="s">
        <v>466</v>
      </c>
      <c r="B119" s="118" t="s">
        <v>467</v>
      </c>
      <c r="C119" s="118">
        <v>2025</v>
      </c>
      <c r="D119" s="118" t="s">
        <v>468</v>
      </c>
      <c r="E119" s="118" t="s">
        <v>470</v>
      </c>
      <c r="F119" s="118" t="s">
        <v>471</v>
      </c>
      <c r="G119" s="118" t="s">
        <v>473</v>
      </c>
      <c r="H119" s="118" t="s">
        <v>15</v>
      </c>
      <c r="I119" s="118" t="s">
        <v>230</v>
      </c>
      <c r="J119" s="118" t="s">
        <v>469</v>
      </c>
      <c r="K119" s="118" t="s">
        <v>472</v>
      </c>
      <c r="L119" s="118">
        <v>0</v>
      </c>
      <c r="M119" s="118">
        <v>0</v>
      </c>
      <c r="N119" s="118">
        <v>0</v>
      </c>
      <c r="O119" s="42" t="s">
        <v>16</v>
      </c>
      <c r="P119" s="42" t="s">
        <v>52</v>
      </c>
      <c r="Q119" s="42" t="s">
        <v>100</v>
      </c>
      <c r="R119" s="42" t="s">
        <v>50</v>
      </c>
      <c r="S119" s="125" t="s">
        <v>51</v>
      </c>
      <c r="T119" s="123" t="s">
        <v>205</v>
      </c>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ht="14.25" customHeight="1" x14ac:dyDescent="0.2">
      <c r="A120" s="118" t="s">
        <v>474</v>
      </c>
      <c r="B120" s="118" t="s">
        <v>475</v>
      </c>
      <c r="C120" s="118">
        <v>2023</v>
      </c>
      <c r="D120" s="118" t="s">
        <v>476</v>
      </c>
      <c r="E120" s="118" t="s">
        <v>478</v>
      </c>
      <c r="F120" s="118" t="s">
        <v>479</v>
      </c>
      <c r="G120" s="118" t="s">
        <v>228</v>
      </c>
      <c r="H120" s="118" t="s">
        <v>15</v>
      </c>
      <c r="I120" s="118" t="s">
        <v>230</v>
      </c>
      <c r="J120" s="118" t="s">
        <v>477</v>
      </c>
      <c r="K120" s="118" t="s">
        <v>480</v>
      </c>
      <c r="L120" s="118">
        <v>0</v>
      </c>
      <c r="M120" s="118">
        <v>0</v>
      </c>
      <c r="N120" s="118">
        <v>0</v>
      </c>
      <c r="O120" s="42" t="s">
        <v>16</v>
      </c>
      <c r="P120" s="42" t="s">
        <v>50</v>
      </c>
      <c r="Q120" s="42" t="s">
        <v>100</v>
      </c>
      <c r="R120" s="42" t="s">
        <v>51</v>
      </c>
      <c r="S120" s="125" t="s">
        <v>51</v>
      </c>
      <c r="T120" s="123" t="s">
        <v>206</v>
      </c>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ht="14.25" customHeight="1" x14ac:dyDescent="0.2">
      <c r="A121" s="118" t="s">
        <v>482</v>
      </c>
      <c r="B121" s="118" t="s">
        <v>483</v>
      </c>
      <c r="C121" s="118">
        <v>2024</v>
      </c>
      <c r="D121" s="118" t="s">
        <v>233</v>
      </c>
      <c r="E121" s="118" t="s">
        <v>485</v>
      </c>
      <c r="F121" s="118" t="s">
        <v>486</v>
      </c>
      <c r="G121" s="118" t="s">
        <v>238</v>
      </c>
      <c r="H121" s="118" t="s">
        <v>15</v>
      </c>
      <c r="I121" s="118" t="s">
        <v>230</v>
      </c>
      <c r="J121" s="118" t="s">
        <v>484</v>
      </c>
      <c r="K121" s="118" t="s">
        <v>382</v>
      </c>
      <c r="L121" s="118">
        <v>0</v>
      </c>
      <c r="M121" s="118">
        <v>0</v>
      </c>
      <c r="N121" s="118">
        <v>0</v>
      </c>
      <c r="O121" s="42" t="s">
        <v>16</v>
      </c>
      <c r="P121" s="42" t="s">
        <v>52</v>
      </c>
      <c r="Q121" s="42" t="s">
        <v>100</v>
      </c>
      <c r="R121" s="42" t="s">
        <v>50</v>
      </c>
      <c r="S121" s="125" t="s">
        <v>51</v>
      </c>
      <c r="T121" s="123" t="s">
        <v>207</v>
      </c>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ht="14.25" customHeight="1" x14ac:dyDescent="0.2">
      <c r="A122" s="118" t="s">
        <v>487</v>
      </c>
      <c r="B122" s="118" t="s">
        <v>488</v>
      </c>
      <c r="C122" s="118">
        <v>2022</v>
      </c>
      <c r="D122" s="118" t="s">
        <v>233</v>
      </c>
      <c r="E122" s="118" t="s">
        <v>490</v>
      </c>
      <c r="F122" s="118" t="s">
        <v>491</v>
      </c>
      <c r="G122" s="118" t="s">
        <v>238</v>
      </c>
      <c r="H122" s="118" t="s">
        <v>15</v>
      </c>
      <c r="I122" s="118" t="s">
        <v>230</v>
      </c>
      <c r="J122" s="118" t="s">
        <v>489</v>
      </c>
      <c r="K122" s="118" t="s">
        <v>492</v>
      </c>
      <c r="L122" s="118">
        <v>0</v>
      </c>
      <c r="M122" s="118">
        <v>0</v>
      </c>
      <c r="N122" s="118">
        <v>0</v>
      </c>
      <c r="O122" s="42" t="s">
        <v>16</v>
      </c>
      <c r="P122" s="42" t="s">
        <v>50</v>
      </c>
      <c r="Q122" s="42" t="s">
        <v>100</v>
      </c>
      <c r="R122" s="42" t="s">
        <v>51</v>
      </c>
      <c r="S122" s="125" t="s">
        <v>51</v>
      </c>
      <c r="T122" s="123" t="s">
        <v>208</v>
      </c>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ht="14.25" customHeight="1" x14ac:dyDescent="0.2">
      <c r="A123" s="118" t="s">
        <v>493</v>
      </c>
      <c r="B123" s="118" t="s">
        <v>494</v>
      </c>
      <c r="C123" s="118">
        <v>2026</v>
      </c>
      <c r="D123" s="118" t="s">
        <v>394</v>
      </c>
      <c r="E123" s="118" t="s">
        <v>496</v>
      </c>
      <c r="F123" s="118" t="s">
        <v>497</v>
      </c>
      <c r="G123" s="118" t="s">
        <v>274</v>
      </c>
      <c r="H123" s="118" t="s">
        <v>15</v>
      </c>
      <c r="I123" s="118" t="s">
        <v>253</v>
      </c>
      <c r="J123" s="118" t="s">
        <v>495</v>
      </c>
      <c r="K123" s="118" t="s">
        <v>498</v>
      </c>
      <c r="L123" s="118">
        <v>0</v>
      </c>
      <c r="M123" s="118">
        <v>0</v>
      </c>
      <c r="N123" s="118">
        <v>0</v>
      </c>
      <c r="O123" s="42" t="s">
        <v>16</v>
      </c>
      <c r="P123" s="42" t="s">
        <v>52</v>
      </c>
      <c r="Q123" s="42" t="s">
        <v>100</v>
      </c>
      <c r="R123" s="42" t="s">
        <v>51</v>
      </c>
      <c r="S123" s="125" t="s">
        <v>51</v>
      </c>
      <c r="T123" s="123" t="s">
        <v>199</v>
      </c>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ht="14.25" customHeight="1" x14ac:dyDescent="0.2">
      <c r="A124" s="118" t="s">
        <v>499</v>
      </c>
      <c r="B124" s="118" t="s">
        <v>500</v>
      </c>
      <c r="C124" s="118">
        <v>2024</v>
      </c>
      <c r="D124" s="118" t="s">
        <v>501</v>
      </c>
      <c r="E124" s="118" t="s">
        <v>503</v>
      </c>
      <c r="F124" s="118" t="s">
        <v>504</v>
      </c>
      <c r="G124" s="118" t="s">
        <v>506</v>
      </c>
      <c r="H124" s="118" t="s">
        <v>15</v>
      </c>
      <c r="I124" s="118" t="s">
        <v>253</v>
      </c>
      <c r="J124" s="118" t="s">
        <v>502</v>
      </c>
      <c r="K124" s="118" t="s">
        <v>505</v>
      </c>
      <c r="L124" s="118">
        <v>0</v>
      </c>
      <c r="M124" s="118">
        <v>0</v>
      </c>
      <c r="N124" s="118">
        <v>0</v>
      </c>
      <c r="O124" s="42" t="s">
        <v>16</v>
      </c>
      <c r="P124" s="42" t="s">
        <v>50</v>
      </c>
      <c r="Q124" s="42" t="s">
        <v>100</v>
      </c>
      <c r="R124" s="42" t="s">
        <v>51</v>
      </c>
      <c r="S124" s="125" t="s">
        <v>51</v>
      </c>
      <c r="T124" s="123" t="s">
        <v>200</v>
      </c>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ht="14.25" customHeight="1" x14ac:dyDescent="0.2">
      <c r="A125" s="118" t="s">
        <v>507</v>
      </c>
      <c r="B125" s="118" t="s">
        <v>508</v>
      </c>
      <c r="C125" s="118">
        <v>2022</v>
      </c>
      <c r="D125" s="118" t="s">
        <v>509</v>
      </c>
      <c r="E125" s="118" t="s">
        <v>511</v>
      </c>
      <c r="F125" s="118" t="s">
        <v>512</v>
      </c>
      <c r="G125" s="118" t="s">
        <v>228</v>
      </c>
      <c r="H125" s="118" t="s">
        <v>15</v>
      </c>
      <c r="I125" s="118" t="s">
        <v>230</v>
      </c>
      <c r="J125" s="118" t="s">
        <v>510</v>
      </c>
      <c r="K125" s="118" t="s">
        <v>513</v>
      </c>
      <c r="L125" s="118">
        <v>0</v>
      </c>
      <c r="M125" s="118">
        <v>0</v>
      </c>
      <c r="N125" s="118">
        <v>0</v>
      </c>
      <c r="O125" s="42" t="s">
        <v>16</v>
      </c>
      <c r="P125" s="42" t="s">
        <v>52</v>
      </c>
      <c r="Q125" s="42" t="s">
        <v>100</v>
      </c>
      <c r="R125" s="42" t="s">
        <v>50</v>
      </c>
      <c r="S125" s="125" t="s">
        <v>51</v>
      </c>
      <c r="T125" s="123" t="s">
        <v>201</v>
      </c>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ht="14.25" customHeight="1" x14ac:dyDescent="0.2">
      <c r="A126" s="118" t="s">
        <v>514</v>
      </c>
      <c r="B126" s="118" t="s">
        <v>515</v>
      </c>
      <c r="C126" s="118">
        <v>2026</v>
      </c>
      <c r="D126" s="118" t="s">
        <v>516</v>
      </c>
      <c r="E126" s="118" t="s">
        <v>518</v>
      </c>
      <c r="F126" s="118" t="s">
        <v>519</v>
      </c>
      <c r="G126" s="118" t="s">
        <v>260</v>
      </c>
      <c r="H126" s="118" t="s">
        <v>15</v>
      </c>
      <c r="I126" s="118" t="s">
        <v>253</v>
      </c>
      <c r="J126" s="118" t="s">
        <v>517</v>
      </c>
      <c r="K126" s="118" t="s">
        <v>520</v>
      </c>
      <c r="L126" s="118">
        <v>0</v>
      </c>
      <c r="M126" s="118">
        <v>0</v>
      </c>
      <c r="N126" s="118">
        <v>0</v>
      </c>
      <c r="O126" s="42" t="s">
        <v>16</v>
      </c>
      <c r="P126" s="42" t="s">
        <v>52</v>
      </c>
      <c r="Q126" s="42" t="s">
        <v>100</v>
      </c>
      <c r="R126" s="42" t="s">
        <v>51</v>
      </c>
      <c r="S126" s="125" t="s">
        <v>51</v>
      </c>
      <c r="T126" s="123" t="s">
        <v>202</v>
      </c>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ht="14.25" customHeight="1" x14ac:dyDescent="0.2">
      <c r="A127" s="118" t="s">
        <v>521</v>
      </c>
      <c r="B127" s="118" t="s">
        <v>522</v>
      </c>
      <c r="C127" s="118">
        <v>2024</v>
      </c>
      <c r="D127" s="118" t="s">
        <v>523</v>
      </c>
      <c r="E127" s="118" t="s">
        <v>525</v>
      </c>
      <c r="F127" s="118" t="s">
        <v>526</v>
      </c>
      <c r="G127" s="118" t="s">
        <v>228</v>
      </c>
      <c r="H127" s="118" t="s">
        <v>15</v>
      </c>
      <c r="I127" s="118" t="s">
        <v>230</v>
      </c>
      <c r="J127" s="118" t="s">
        <v>524</v>
      </c>
      <c r="K127" s="118" t="s">
        <v>527</v>
      </c>
      <c r="L127" s="118">
        <v>0</v>
      </c>
      <c r="M127" s="118">
        <v>0</v>
      </c>
      <c r="N127" s="118">
        <v>0</v>
      </c>
      <c r="O127" s="42" t="s">
        <v>16</v>
      </c>
      <c r="P127" s="42" t="s">
        <v>50</v>
      </c>
      <c r="Q127" s="42" t="s">
        <v>100</v>
      </c>
      <c r="R127" s="42" t="s">
        <v>51</v>
      </c>
      <c r="S127" s="125" t="s">
        <v>51</v>
      </c>
      <c r="T127" s="123" t="s">
        <v>203</v>
      </c>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ht="14.25" customHeight="1" x14ac:dyDescent="0.2">
      <c r="A128" s="118" t="s">
        <v>528</v>
      </c>
      <c r="B128" s="118" t="s">
        <v>529</v>
      </c>
      <c r="C128" s="118">
        <v>2024</v>
      </c>
      <c r="D128" s="118" t="s">
        <v>530</v>
      </c>
      <c r="E128" s="118" t="s">
        <v>532</v>
      </c>
      <c r="F128" s="118" t="s">
        <v>533</v>
      </c>
      <c r="G128" s="118" t="s">
        <v>473</v>
      </c>
      <c r="H128" s="118" t="s">
        <v>15</v>
      </c>
      <c r="I128" s="118" t="s">
        <v>230</v>
      </c>
      <c r="J128" s="118" t="s">
        <v>531</v>
      </c>
      <c r="K128" s="118">
        <v>0</v>
      </c>
      <c r="L128" s="118">
        <v>0</v>
      </c>
      <c r="M128" s="118">
        <v>0</v>
      </c>
      <c r="N128" s="118">
        <v>0</v>
      </c>
      <c r="O128" s="42" t="s">
        <v>16</v>
      </c>
      <c r="P128" s="42" t="s">
        <v>50</v>
      </c>
      <c r="Q128" s="42" t="s">
        <v>100</v>
      </c>
      <c r="R128" s="42" t="s">
        <v>51</v>
      </c>
      <c r="S128" s="125" t="s">
        <v>51</v>
      </c>
      <c r="T128" s="123" t="s">
        <v>204</v>
      </c>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ht="14.25" customHeight="1" x14ac:dyDescent="0.2">
      <c r="A129" s="118" t="s">
        <v>534</v>
      </c>
      <c r="B129" s="118" t="s">
        <v>535</v>
      </c>
      <c r="C129" s="118">
        <v>2022</v>
      </c>
      <c r="D129" s="118" t="s">
        <v>536</v>
      </c>
      <c r="E129" s="118" t="s">
        <v>538</v>
      </c>
      <c r="F129" s="118">
        <v>0</v>
      </c>
      <c r="G129" s="118" t="s">
        <v>473</v>
      </c>
      <c r="H129" s="118" t="s">
        <v>15</v>
      </c>
      <c r="I129" s="118" t="s">
        <v>230</v>
      </c>
      <c r="J129" s="118" t="s">
        <v>537</v>
      </c>
      <c r="K129" s="118">
        <v>0</v>
      </c>
      <c r="L129" s="118">
        <v>0</v>
      </c>
      <c r="M129" s="118">
        <v>0</v>
      </c>
      <c r="N129" s="118">
        <v>0</v>
      </c>
      <c r="O129" s="42" t="s">
        <v>16</v>
      </c>
      <c r="P129" s="42" t="s">
        <v>52</v>
      </c>
      <c r="Q129" s="42" t="s">
        <v>100</v>
      </c>
      <c r="R129" s="42" t="s">
        <v>51</v>
      </c>
      <c r="S129" s="125" t="s">
        <v>51</v>
      </c>
      <c r="T129" s="123" t="s">
        <v>205</v>
      </c>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ht="14.25" customHeight="1" x14ac:dyDescent="0.2">
      <c r="A130" s="118" t="s">
        <v>539</v>
      </c>
      <c r="B130" s="118" t="s">
        <v>540</v>
      </c>
      <c r="C130" s="118">
        <v>2022</v>
      </c>
      <c r="D130" s="118" t="s">
        <v>541</v>
      </c>
      <c r="E130" s="118" t="s">
        <v>543</v>
      </c>
      <c r="F130" s="118" t="s">
        <v>544</v>
      </c>
      <c r="G130" s="118" t="s">
        <v>506</v>
      </c>
      <c r="H130" s="118" t="s">
        <v>15</v>
      </c>
      <c r="I130" s="118" t="s">
        <v>545</v>
      </c>
      <c r="J130" s="118" t="s">
        <v>542</v>
      </c>
      <c r="K130" s="118">
        <v>0</v>
      </c>
      <c r="L130" s="118">
        <v>0</v>
      </c>
      <c r="M130" s="118">
        <v>0</v>
      </c>
      <c r="N130" s="118">
        <v>0</v>
      </c>
      <c r="O130" s="42" t="s">
        <v>16</v>
      </c>
      <c r="P130" s="42" t="s">
        <v>52</v>
      </c>
      <c r="Q130" s="42" t="s">
        <v>100</v>
      </c>
      <c r="R130" s="42" t="s">
        <v>52</v>
      </c>
      <c r="S130" s="125" t="s">
        <v>51</v>
      </c>
      <c r="T130" s="123" t="s">
        <v>206</v>
      </c>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ht="14.25" customHeight="1" x14ac:dyDescent="0.2">
      <c r="A131" s="118" t="s">
        <v>546</v>
      </c>
      <c r="B131" s="118" t="s">
        <v>547</v>
      </c>
      <c r="C131" s="118">
        <v>2026</v>
      </c>
      <c r="D131" s="118" t="s">
        <v>548</v>
      </c>
      <c r="E131" s="118" t="s">
        <v>550</v>
      </c>
      <c r="F131" s="118" t="s">
        <v>551</v>
      </c>
      <c r="G131" s="118" t="s">
        <v>228</v>
      </c>
      <c r="H131" s="118" t="s">
        <v>15</v>
      </c>
      <c r="I131" s="118" t="s">
        <v>230</v>
      </c>
      <c r="J131" s="118" t="s">
        <v>549</v>
      </c>
      <c r="K131" s="118" t="s">
        <v>552</v>
      </c>
      <c r="L131" s="118">
        <v>0</v>
      </c>
      <c r="M131" s="118">
        <v>0</v>
      </c>
      <c r="N131" s="118">
        <v>0</v>
      </c>
      <c r="O131" s="42" t="s">
        <v>16</v>
      </c>
      <c r="P131" s="42" t="s">
        <v>50</v>
      </c>
      <c r="Q131" s="42" t="s">
        <v>100</v>
      </c>
      <c r="R131" s="42" t="s">
        <v>51</v>
      </c>
      <c r="S131" s="125" t="s">
        <v>51</v>
      </c>
      <c r="T131" s="123" t="s">
        <v>207</v>
      </c>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ht="14.25" customHeight="1" x14ac:dyDescent="0.2">
      <c r="A132" s="118" t="s">
        <v>553</v>
      </c>
      <c r="B132" s="118" t="s">
        <v>554</v>
      </c>
      <c r="C132" s="118">
        <v>2025</v>
      </c>
      <c r="D132" s="118" t="s">
        <v>233</v>
      </c>
      <c r="E132" s="118" t="s">
        <v>556</v>
      </c>
      <c r="F132" s="118" t="s">
        <v>557</v>
      </c>
      <c r="G132" s="118" t="s">
        <v>238</v>
      </c>
      <c r="H132" s="118" t="s">
        <v>15</v>
      </c>
      <c r="I132" s="118" t="s">
        <v>230</v>
      </c>
      <c r="J132" s="118" t="s">
        <v>555</v>
      </c>
      <c r="K132" s="118" t="s">
        <v>558</v>
      </c>
      <c r="L132" s="118">
        <v>0</v>
      </c>
      <c r="M132" s="118">
        <v>0</v>
      </c>
      <c r="N132" s="118">
        <v>0</v>
      </c>
      <c r="O132" s="42" t="s">
        <v>16</v>
      </c>
      <c r="P132" s="42" t="s">
        <v>52</v>
      </c>
      <c r="Q132" s="42" t="s">
        <v>100</v>
      </c>
      <c r="R132" s="42" t="s">
        <v>51</v>
      </c>
      <c r="S132" s="125" t="s">
        <v>51</v>
      </c>
      <c r="T132" s="123" t="s">
        <v>208</v>
      </c>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ht="14.25" customHeight="1" x14ac:dyDescent="0.2">
      <c r="A133" s="118" t="s">
        <v>559</v>
      </c>
      <c r="B133" s="118" t="s">
        <v>560</v>
      </c>
      <c r="C133" s="118">
        <v>2026</v>
      </c>
      <c r="D133" s="118" t="s">
        <v>269</v>
      </c>
      <c r="E133" s="118" t="s">
        <v>562</v>
      </c>
      <c r="F133" s="118" t="s">
        <v>563</v>
      </c>
      <c r="G133" s="118" t="s">
        <v>274</v>
      </c>
      <c r="H133" s="118" t="s">
        <v>15</v>
      </c>
      <c r="I133" s="118" t="s">
        <v>253</v>
      </c>
      <c r="J133" s="118" t="s">
        <v>561</v>
      </c>
      <c r="K133" s="118" t="s">
        <v>564</v>
      </c>
      <c r="L133" s="118">
        <v>0</v>
      </c>
      <c r="M133" s="118">
        <v>0</v>
      </c>
      <c r="N133" s="118">
        <v>0</v>
      </c>
      <c r="O133" s="42" t="s">
        <v>16</v>
      </c>
      <c r="P133" s="42" t="s">
        <v>52</v>
      </c>
      <c r="Q133" s="42" t="s">
        <v>100</v>
      </c>
      <c r="R133" s="42" t="s">
        <v>51</v>
      </c>
      <c r="S133" s="125" t="s">
        <v>51</v>
      </c>
      <c r="T133" s="123" t="s">
        <v>209</v>
      </c>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ht="14.25" customHeight="1" x14ac:dyDescent="0.2">
      <c r="A134" s="118" t="s">
        <v>565</v>
      </c>
      <c r="B134" s="118" t="s">
        <v>566</v>
      </c>
      <c r="C134" s="118">
        <v>2025</v>
      </c>
      <c r="D134" s="118" t="s">
        <v>523</v>
      </c>
      <c r="E134" s="118" t="s">
        <v>568</v>
      </c>
      <c r="F134" s="118" t="s">
        <v>569</v>
      </c>
      <c r="G134" s="118" t="s">
        <v>228</v>
      </c>
      <c r="H134" s="118" t="s">
        <v>15</v>
      </c>
      <c r="I134" s="118" t="s">
        <v>230</v>
      </c>
      <c r="J134" s="118" t="s">
        <v>567</v>
      </c>
      <c r="K134" s="118" t="s">
        <v>570</v>
      </c>
      <c r="L134" s="118">
        <v>0</v>
      </c>
      <c r="M134" s="118">
        <v>0</v>
      </c>
      <c r="N134" s="118">
        <v>0</v>
      </c>
      <c r="O134" s="42" t="s">
        <v>16</v>
      </c>
      <c r="P134" s="42" t="s">
        <v>50</v>
      </c>
      <c r="Q134" s="42" t="s">
        <v>100</v>
      </c>
      <c r="R134" s="42" t="s">
        <v>51</v>
      </c>
      <c r="S134" s="125" t="s">
        <v>51</v>
      </c>
      <c r="T134" s="123" t="s">
        <v>210</v>
      </c>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ht="14.25" customHeight="1" x14ac:dyDescent="0.2">
      <c r="A135" s="118" t="s">
        <v>571</v>
      </c>
      <c r="B135" s="118" t="s">
        <v>572</v>
      </c>
      <c r="C135" s="118">
        <v>2025</v>
      </c>
      <c r="D135" s="118" t="s">
        <v>573</v>
      </c>
      <c r="E135" s="118" t="s">
        <v>575</v>
      </c>
      <c r="F135" s="118" t="s">
        <v>576</v>
      </c>
      <c r="G135" s="118" t="s">
        <v>578</v>
      </c>
      <c r="H135" s="118" t="s">
        <v>15</v>
      </c>
      <c r="I135" s="118" t="s">
        <v>253</v>
      </c>
      <c r="J135" s="118" t="s">
        <v>574</v>
      </c>
      <c r="K135" s="118" t="s">
        <v>577</v>
      </c>
      <c r="L135" s="118">
        <v>0</v>
      </c>
      <c r="M135" s="118">
        <v>0</v>
      </c>
      <c r="N135" s="118">
        <v>0</v>
      </c>
      <c r="O135" s="42" t="s">
        <v>16</v>
      </c>
      <c r="P135" s="42" t="s">
        <v>52</v>
      </c>
      <c r="Q135" s="42" t="s">
        <v>100</v>
      </c>
      <c r="R135" s="42" t="s">
        <v>52</v>
      </c>
      <c r="S135" s="125" t="s">
        <v>51</v>
      </c>
      <c r="T135" s="123" t="s">
        <v>211</v>
      </c>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ht="14.25" customHeight="1" x14ac:dyDescent="0.2">
      <c r="A136" s="118" t="s">
        <v>579</v>
      </c>
      <c r="B136" s="118" t="s">
        <v>580</v>
      </c>
      <c r="C136" s="118">
        <v>2023</v>
      </c>
      <c r="D136" s="118" t="s">
        <v>581</v>
      </c>
      <c r="E136" s="118" t="s">
        <v>583</v>
      </c>
      <c r="F136" s="118" t="s">
        <v>584</v>
      </c>
      <c r="G136" s="118" t="s">
        <v>586</v>
      </c>
      <c r="H136" s="118" t="s">
        <v>15</v>
      </c>
      <c r="I136" s="118" t="s">
        <v>253</v>
      </c>
      <c r="J136" s="118" t="s">
        <v>582</v>
      </c>
      <c r="K136" s="118" t="s">
        <v>585</v>
      </c>
      <c r="L136" s="118">
        <v>0</v>
      </c>
      <c r="M136" s="118">
        <v>0</v>
      </c>
      <c r="N136" s="118">
        <v>0</v>
      </c>
      <c r="O136" s="42" t="s">
        <v>16</v>
      </c>
      <c r="P136" s="42" t="s">
        <v>50</v>
      </c>
      <c r="Q136" s="42" t="s">
        <v>100</v>
      </c>
      <c r="R136" s="42" t="s">
        <v>51</v>
      </c>
      <c r="S136" s="125" t="s">
        <v>51</v>
      </c>
      <c r="T136" s="123" t="s">
        <v>212</v>
      </c>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ht="14.25" customHeight="1" x14ac:dyDescent="0.2">
      <c r="A137" s="118" t="s">
        <v>587</v>
      </c>
      <c r="B137" s="118" t="s">
        <v>588</v>
      </c>
      <c r="C137" s="118">
        <v>2026</v>
      </c>
      <c r="D137" s="118" t="s">
        <v>331</v>
      </c>
      <c r="E137" s="118" t="s">
        <v>590</v>
      </c>
      <c r="F137" s="118" t="s">
        <v>591</v>
      </c>
      <c r="G137" s="118" t="s">
        <v>336</v>
      </c>
      <c r="H137" s="118" t="s">
        <v>15</v>
      </c>
      <c r="I137" s="118" t="s">
        <v>253</v>
      </c>
      <c r="J137" s="118" t="s">
        <v>589</v>
      </c>
      <c r="K137" s="118" t="s">
        <v>592</v>
      </c>
      <c r="L137" s="118">
        <v>0</v>
      </c>
      <c r="M137" s="118">
        <v>0</v>
      </c>
      <c r="N137" s="118">
        <v>0</v>
      </c>
      <c r="O137" s="42" t="s">
        <v>16</v>
      </c>
      <c r="P137" s="42" t="s">
        <v>52</v>
      </c>
      <c r="Q137" s="42" t="s">
        <v>100</v>
      </c>
      <c r="R137" s="42" t="s">
        <v>51</v>
      </c>
      <c r="S137" s="125" t="s">
        <v>51</v>
      </c>
      <c r="T137" s="123" t="s">
        <v>213</v>
      </c>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ht="14.25" customHeight="1" x14ac:dyDescent="0.2">
      <c r="A138" s="118" t="s">
        <v>593</v>
      </c>
      <c r="B138" s="118" t="s">
        <v>594</v>
      </c>
      <c r="C138" s="118">
        <v>2022</v>
      </c>
      <c r="D138" s="118" t="s">
        <v>277</v>
      </c>
      <c r="E138" s="118" t="s">
        <v>596</v>
      </c>
      <c r="F138" s="118" t="s">
        <v>597</v>
      </c>
      <c r="G138" s="118" t="s">
        <v>586</v>
      </c>
      <c r="H138" s="118" t="s">
        <v>15</v>
      </c>
      <c r="I138" s="118" t="s">
        <v>253</v>
      </c>
      <c r="J138" s="118" t="s">
        <v>595</v>
      </c>
      <c r="K138" s="118" t="s">
        <v>598</v>
      </c>
      <c r="L138" s="118">
        <v>0</v>
      </c>
      <c r="M138" s="118">
        <v>0</v>
      </c>
      <c r="N138" s="118">
        <v>0</v>
      </c>
      <c r="O138" s="42" t="s">
        <v>16</v>
      </c>
      <c r="P138" s="42" t="s">
        <v>50</v>
      </c>
      <c r="Q138" s="42" t="s">
        <v>100</v>
      </c>
      <c r="R138" s="42" t="s">
        <v>51</v>
      </c>
      <c r="S138" s="125" t="s">
        <v>51</v>
      </c>
      <c r="T138" s="123" t="s">
        <v>214</v>
      </c>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ht="14.25" customHeight="1" x14ac:dyDescent="0.2">
      <c r="A139" s="118" t="s">
        <v>599</v>
      </c>
      <c r="B139" s="118" t="s">
        <v>600</v>
      </c>
      <c r="C139" s="118">
        <v>2024</v>
      </c>
      <c r="D139" s="118" t="s">
        <v>233</v>
      </c>
      <c r="E139" s="118" t="s">
        <v>602</v>
      </c>
      <c r="F139" s="118" t="s">
        <v>603</v>
      </c>
      <c r="G139" s="118" t="s">
        <v>238</v>
      </c>
      <c r="H139" s="118" t="s">
        <v>15</v>
      </c>
      <c r="I139" s="118" t="s">
        <v>230</v>
      </c>
      <c r="J139" s="118" t="s">
        <v>601</v>
      </c>
      <c r="K139" s="118" t="s">
        <v>604</v>
      </c>
      <c r="L139" s="118">
        <v>0</v>
      </c>
      <c r="M139" s="118">
        <v>0</v>
      </c>
      <c r="N139" s="118">
        <v>0</v>
      </c>
      <c r="O139" s="42" t="s">
        <v>16</v>
      </c>
      <c r="P139" s="42" t="s">
        <v>52</v>
      </c>
      <c r="Q139" s="42" t="s">
        <v>100</v>
      </c>
      <c r="R139" s="42" t="s">
        <v>51</v>
      </c>
      <c r="S139" s="125" t="s">
        <v>51</v>
      </c>
      <c r="T139" s="123" t="s">
        <v>195</v>
      </c>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ht="14.25" customHeight="1" x14ac:dyDescent="0.2">
      <c r="A140" s="118" t="s">
        <v>605</v>
      </c>
      <c r="B140" s="118" t="s">
        <v>606</v>
      </c>
      <c r="C140" s="118">
        <v>2022</v>
      </c>
      <c r="D140" s="118" t="s">
        <v>607</v>
      </c>
      <c r="E140" s="118" t="s">
        <v>608</v>
      </c>
      <c r="F140" s="118" t="s">
        <v>609</v>
      </c>
      <c r="G140" s="118" t="s">
        <v>610</v>
      </c>
      <c r="H140" s="118" t="s">
        <v>15</v>
      </c>
      <c r="I140" s="118" t="s">
        <v>230</v>
      </c>
      <c r="J140" s="118">
        <v>0</v>
      </c>
      <c r="K140" s="118">
        <v>0</v>
      </c>
      <c r="L140" s="118">
        <v>0</v>
      </c>
      <c r="M140" s="118">
        <v>0</v>
      </c>
      <c r="N140" s="118">
        <v>0</v>
      </c>
      <c r="O140" s="42" t="s">
        <v>16</v>
      </c>
      <c r="P140" s="42" t="s">
        <v>52</v>
      </c>
      <c r="Q140" s="42" t="s">
        <v>100</v>
      </c>
      <c r="R140" s="42" t="s">
        <v>51</v>
      </c>
      <c r="S140" s="125" t="s">
        <v>51</v>
      </c>
      <c r="T140" s="123" t="s">
        <v>196</v>
      </c>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ht="14.25" customHeight="1" x14ac:dyDescent="0.2">
      <c r="A141" s="118">
        <v>0</v>
      </c>
      <c r="B141" s="118" t="s">
        <v>229</v>
      </c>
      <c r="C141" s="118">
        <v>2025</v>
      </c>
      <c r="D141" s="118" t="s">
        <v>223</v>
      </c>
      <c r="E141" s="118" t="s">
        <v>390</v>
      </c>
      <c r="F141" s="118">
        <v>0</v>
      </c>
      <c r="G141" s="118" t="s">
        <v>228</v>
      </c>
      <c r="H141" s="118" t="s">
        <v>15</v>
      </c>
      <c r="I141" s="118" t="s">
        <v>391</v>
      </c>
      <c r="J141" s="118">
        <v>0</v>
      </c>
      <c r="K141" s="118">
        <v>0</v>
      </c>
      <c r="L141" s="118">
        <v>0</v>
      </c>
      <c r="M141" s="118">
        <v>0</v>
      </c>
      <c r="N141" s="118">
        <v>0</v>
      </c>
      <c r="O141" s="42" t="s">
        <v>16</v>
      </c>
      <c r="P141" s="42" t="s">
        <v>50</v>
      </c>
      <c r="Q141" s="42" t="s">
        <v>100</v>
      </c>
      <c r="R141" s="42" t="s">
        <v>51</v>
      </c>
      <c r="S141" s="125" t="s">
        <v>51</v>
      </c>
      <c r="T141" s="123" t="s">
        <v>197</v>
      </c>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ht="14.25" customHeight="1" x14ac:dyDescent="0.2">
      <c r="A142" s="118" t="s">
        <v>611</v>
      </c>
      <c r="B142" s="118" t="s">
        <v>612</v>
      </c>
      <c r="C142" s="118">
        <v>2023</v>
      </c>
      <c r="D142" s="118" t="s">
        <v>317</v>
      </c>
      <c r="E142" s="118" t="s">
        <v>614</v>
      </c>
      <c r="F142" s="118" t="s">
        <v>615</v>
      </c>
      <c r="G142" s="118" t="s">
        <v>322</v>
      </c>
      <c r="H142" s="118" t="s">
        <v>15</v>
      </c>
      <c r="I142" s="118" t="s">
        <v>253</v>
      </c>
      <c r="J142" s="118" t="s">
        <v>613</v>
      </c>
      <c r="K142" s="118" t="s">
        <v>616</v>
      </c>
      <c r="L142" s="118">
        <v>0</v>
      </c>
      <c r="M142" s="118">
        <v>0</v>
      </c>
      <c r="N142" s="118">
        <v>0</v>
      </c>
      <c r="O142" s="42" t="s">
        <v>16</v>
      </c>
      <c r="P142" s="42" t="s">
        <v>50</v>
      </c>
      <c r="Q142" s="42" t="s">
        <v>100</v>
      </c>
      <c r="R142" s="42" t="s">
        <v>51</v>
      </c>
      <c r="S142" s="125" t="s">
        <v>51</v>
      </c>
      <c r="T142" s="123" t="s">
        <v>198</v>
      </c>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ht="14.25" customHeight="1" x14ac:dyDescent="0.2">
      <c r="A143" s="118" t="s">
        <v>507</v>
      </c>
      <c r="B143" s="118" t="s">
        <v>617</v>
      </c>
      <c r="C143" s="118">
        <v>2022</v>
      </c>
      <c r="D143" s="118" t="s">
        <v>509</v>
      </c>
      <c r="E143" s="118" t="s">
        <v>619</v>
      </c>
      <c r="F143" s="118" t="s">
        <v>620</v>
      </c>
      <c r="G143" s="118" t="s">
        <v>228</v>
      </c>
      <c r="H143" s="118" t="s">
        <v>15</v>
      </c>
      <c r="I143" s="118" t="s">
        <v>230</v>
      </c>
      <c r="J143" s="118" t="s">
        <v>618</v>
      </c>
      <c r="K143" s="118" t="s">
        <v>513</v>
      </c>
      <c r="L143" s="118">
        <v>0</v>
      </c>
      <c r="M143" s="118">
        <v>0</v>
      </c>
      <c r="N143" s="118">
        <v>0</v>
      </c>
      <c r="O143" s="42" t="s">
        <v>16</v>
      </c>
      <c r="P143" s="42" t="s">
        <v>52</v>
      </c>
      <c r="Q143" s="42" t="s">
        <v>100</v>
      </c>
      <c r="R143" s="42" t="s">
        <v>51</v>
      </c>
      <c r="S143" s="125" t="s">
        <v>51</v>
      </c>
      <c r="T143" s="123" t="s">
        <v>199</v>
      </c>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ht="14.25" customHeight="1" x14ac:dyDescent="0.2">
      <c r="A144" s="118" t="s">
        <v>621</v>
      </c>
      <c r="B144" s="118" t="s">
        <v>622</v>
      </c>
      <c r="C144" s="118">
        <v>2024</v>
      </c>
      <c r="D144" s="118" t="s">
        <v>233</v>
      </c>
      <c r="E144" s="118" t="s">
        <v>624</v>
      </c>
      <c r="F144" s="118" t="s">
        <v>625</v>
      </c>
      <c r="G144" s="118" t="s">
        <v>238</v>
      </c>
      <c r="H144" s="118" t="s">
        <v>15</v>
      </c>
      <c r="I144" s="118" t="s">
        <v>230</v>
      </c>
      <c r="J144" s="118" t="s">
        <v>623</v>
      </c>
      <c r="K144" s="118">
        <v>0</v>
      </c>
      <c r="L144" s="118">
        <v>0</v>
      </c>
      <c r="M144" s="118">
        <v>0</v>
      </c>
      <c r="N144" s="118">
        <v>0</v>
      </c>
      <c r="O144" s="42" t="s">
        <v>16</v>
      </c>
      <c r="P144" s="42" t="s">
        <v>52</v>
      </c>
      <c r="Q144" s="42" t="s">
        <v>100</v>
      </c>
      <c r="R144" s="42" t="s">
        <v>51</v>
      </c>
      <c r="S144" s="125" t="s">
        <v>51</v>
      </c>
      <c r="T144" s="123" t="s">
        <v>200</v>
      </c>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ht="14.25" customHeight="1" x14ac:dyDescent="0.2">
      <c r="A145" s="118" t="s">
        <v>626</v>
      </c>
      <c r="B145" s="118" t="s">
        <v>627</v>
      </c>
      <c r="C145" s="118">
        <v>2026</v>
      </c>
      <c r="D145" s="118" t="s">
        <v>394</v>
      </c>
      <c r="E145" s="118" t="s">
        <v>629</v>
      </c>
      <c r="F145" s="118" t="s">
        <v>630</v>
      </c>
      <c r="G145" s="118" t="s">
        <v>274</v>
      </c>
      <c r="H145" s="118" t="s">
        <v>15</v>
      </c>
      <c r="I145" s="118" t="s">
        <v>253</v>
      </c>
      <c r="J145" s="118" t="s">
        <v>628</v>
      </c>
      <c r="K145" s="118" t="s">
        <v>631</v>
      </c>
      <c r="L145" s="118">
        <v>0</v>
      </c>
      <c r="M145" s="118">
        <v>0</v>
      </c>
      <c r="N145" s="118">
        <v>0</v>
      </c>
      <c r="O145" s="42" t="s">
        <v>16</v>
      </c>
      <c r="P145" s="42" t="s">
        <v>50</v>
      </c>
      <c r="Q145" s="42" t="s">
        <v>100</v>
      </c>
      <c r="R145" s="42" t="s">
        <v>51</v>
      </c>
      <c r="S145" s="125" t="s">
        <v>51</v>
      </c>
      <c r="T145" s="123" t="s">
        <v>201</v>
      </c>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ht="14.25" customHeight="1" x14ac:dyDescent="0.2">
      <c r="A146" s="118" t="s">
        <v>632</v>
      </c>
      <c r="B146" s="118" t="s">
        <v>633</v>
      </c>
      <c r="C146" s="118">
        <v>2025</v>
      </c>
      <c r="D146" s="118" t="s">
        <v>634</v>
      </c>
      <c r="E146" s="118" t="s">
        <v>636</v>
      </c>
      <c r="F146" s="118" t="s">
        <v>637</v>
      </c>
      <c r="G146" s="118" t="s">
        <v>639</v>
      </c>
      <c r="H146" s="118" t="s">
        <v>15</v>
      </c>
      <c r="I146" s="118" t="s">
        <v>230</v>
      </c>
      <c r="J146" s="118" t="s">
        <v>635</v>
      </c>
      <c r="K146" s="118" t="s">
        <v>638</v>
      </c>
      <c r="L146" s="118">
        <v>0</v>
      </c>
      <c r="M146" s="118">
        <v>0</v>
      </c>
      <c r="N146" s="118">
        <v>0</v>
      </c>
      <c r="O146" s="42" t="s">
        <v>16</v>
      </c>
      <c r="P146" s="42" t="s">
        <v>52</v>
      </c>
      <c r="Q146" s="42" t="s">
        <v>100</v>
      </c>
      <c r="R146" s="42" t="s">
        <v>51</v>
      </c>
      <c r="S146" s="125" t="s">
        <v>51</v>
      </c>
      <c r="T146" s="123" t="s">
        <v>202</v>
      </c>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ht="14.25" customHeight="1" x14ac:dyDescent="0.2">
      <c r="A147" s="118" t="s">
        <v>640</v>
      </c>
      <c r="B147" s="118" t="s">
        <v>641</v>
      </c>
      <c r="C147" s="118">
        <v>2025</v>
      </c>
      <c r="D147" s="118" t="s">
        <v>233</v>
      </c>
      <c r="E147" s="118" t="s">
        <v>643</v>
      </c>
      <c r="F147" s="118" t="s">
        <v>644</v>
      </c>
      <c r="G147" s="118" t="s">
        <v>238</v>
      </c>
      <c r="H147" s="118" t="s">
        <v>15</v>
      </c>
      <c r="I147" s="118" t="s">
        <v>230</v>
      </c>
      <c r="J147" s="118" t="s">
        <v>642</v>
      </c>
      <c r="K147" s="118" t="s">
        <v>645</v>
      </c>
      <c r="L147" s="118">
        <v>0</v>
      </c>
      <c r="M147" s="118">
        <v>0</v>
      </c>
      <c r="N147" s="118">
        <v>0</v>
      </c>
      <c r="O147" s="42" t="s">
        <v>16</v>
      </c>
      <c r="P147" s="42" t="s">
        <v>52</v>
      </c>
      <c r="Q147" s="42" t="s">
        <v>100</v>
      </c>
      <c r="R147" s="42" t="s">
        <v>52</v>
      </c>
      <c r="S147" s="125" t="s">
        <v>51</v>
      </c>
      <c r="T147" s="123" t="s">
        <v>203</v>
      </c>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ht="14.25" customHeight="1" x14ac:dyDescent="0.2">
      <c r="A148" s="118" t="s">
        <v>646</v>
      </c>
      <c r="B148" s="118" t="s">
        <v>647</v>
      </c>
      <c r="C148" s="118">
        <v>2023</v>
      </c>
      <c r="D148" s="118" t="s">
        <v>509</v>
      </c>
      <c r="E148" s="118" t="s">
        <v>649</v>
      </c>
      <c r="F148" s="118" t="s">
        <v>650</v>
      </c>
      <c r="G148" s="118" t="s">
        <v>228</v>
      </c>
      <c r="H148" s="118" t="s">
        <v>15</v>
      </c>
      <c r="I148" s="118" t="s">
        <v>230</v>
      </c>
      <c r="J148" s="118" t="s">
        <v>648</v>
      </c>
      <c r="K148" s="118" t="s">
        <v>651</v>
      </c>
      <c r="L148" s="118">
        <v>0</v>
      </c>
      <c r="M148" s="118">
        <v>0</v>
      </c>
      <c r="N148" s="118">
        <v>0</v>
      </c>
      <c r="O148" s="42" t="s">
        <v>16</v>
      </c>
      <c r="P148" s="42" t="s">
        <v>50</v>
      </c>
      <c r="Q148" s="42" t="s">
        <v>100</v>
      </c>
      <c r="R148" s="42" t="s">
        <v>51</v>
      </c>
      <c r="S148" s="125" t="s">
        <v>51</v>
      </c>
      <c r="T148" s="123" t="s">
        <v>204</v>
      </c>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ht="14.25" customHeight="1" x14ac:dyDescent="0.2">
      <c r="A149" s="118" t="s">
        <v>652</v>
      </c>
      <c r="B149" s="118" t="s">
        <v>653</v>
      </c>
      <c r="C149" s="118">
        <v>2023</v>
      </c>
      <c r="D149" s="118" t="s">
        <v>654</v>
      </c>
      <c r="E149" s="118" t="s">
        <v>656</v>
      </c>
      <c r="F149" s="118" t="s">
        <v>657</v>
      </c>
      <c r="G149" s="118" t="s">
        <v>228</v>
      </c>
      <c r="H149" s="118" t="s">
        <v>15</v>
      </c>
      <c r="I149" s="118" t="s">
        <v>253</v>
      </c>
      <c r="J149" s="118" t="s">
        <v>655</v>
      </c>
      <c r="K149" s="118" t="s">
        <v>658</v>
      </c>
      <c r="L149" s="118">
        <v>0</v>
      </c>
      <c r="M149" s="118">
        <v>0</v>
      </c>
      <c r="N149" s="118">
        <v>0</v>
      </c>
      <c r="O149" s="42" t="s">
        <v>16</v>
      </c>
      <c r="P149" s="42" t="s">
        <v>52</v>
      </c>
      <c r="Q149" s="42" t="s">
        <v>100</v>
      </c>
      <c r="R149" s="42" t="s">
        <v>51</v>
      </c>
      <c r="S149" s="125" t="s">
        <v>51</v>
      </c>
      <c r="T149" s="123" t="s">
        <v>205</v>
      </c>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ht="14.25" customHeight="1" x14ac:dyDescent="0.2">
      <c r="A150" s="118" t="s">
        <v>659</v>
      </c>
      <c r="B150" s="118" t="s">
        <v>660</v>
      </c>
      <c r="C150" s="118">
        <v>2022</v>
      </c>
      <c r="D150" s="118" t="s">
        <v>233</v>
      </c>
      <c r="E150" s="118" t="s">
        <v>662</v>
      </c>
      <c r="F150" s="118" t="s">
        <v>663</v>
      </c>
      <c r="G150" s="118" t="s">
        <v>238</v>
      </c>
      <c r="H150" s="118" t="s">
        <v>15</v>
      </c>
      <c r="I150" s="118" t="s">
        <v>230</v>
      </c>
      <c r="J150" s="118" t="s">
        <v>661</v>
      </c>
      <c r="K150" s="118" t="s">
        <v>664</v>
      </c>
      <c r="L150" s="118">
        <v>0</v>
      </c>
      <c r="M150" s="118">
        <v>0</v>
      </c>
      <c r="N150" s="118">
        <v>0</v>
      </c>
      <c r="O150" s="42" t="s">
        <v>16</v>
      </c>
      <c r="P150" s="42" t="s">
        <v>50</v>
      </c>
      <c r="Q150" s="42" t="s">
        <v>100</v>
      </c>
      <c r="R150" s="42" t="s">
        <v>51</v>
      </c>
      <c r="S150" s="125" t="s">
        <v>51</v>
      </c>
      <c r="T150" s="123" t="s">
        <v>206</v>
      </c>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ht="14.25" customHeight="1" x14ac:dyDescent="0.2">
      <c r="A151" s="118" t="s">
        <v>665</v>
      </c>
      <c r="B151" s="118" t="s">
        <v>666</v>
      </c>
      <c r="C151" s="118">
        <v>2022</v>
      </c>
      <c r="D151" s="118" t="s">
        <v>385</v>
      </c>
      <c r="E151" s="118" t="s">
        <v>668</v>
      </c>
      <c r="F151" s="118" t="s">
        <v>669</v>
      </c>
      <c r="G151" s="118" t="s">
        <v>586</v>
      </c>
      <c r="H151" s="118" t="s">
        <v>15</v>
      </c>
      <c r="I151" s="118" t="s">
        <v>253</v>
      </c>
      <c r="J151" s="118" t="s">
        <v>667</v>
      </c>
      <c r="K151" s="118" t="s">
        <v>670</v>
      </c>
      <c r="L151" s="118">
        <v>0</v>
      </c>
      <c r="M151" s="118">
        <v>0</v>
      </c>
      <c r="N151" s="118">
        <v>0</v>
      </c>
      <c r="O151" s="42" t="s">
        <v>16</v>
      </c>
      <c r="P151" s="42" t="s">
        <v>52</v>
      </c>
      <c r="Q151" s="42" t="s">
        <v>100</v>
      </c>
      <c r="R151" s="42" t="s">
        <v>51</v>
      </c>
      <c r="S151" s="125" t="s">
        <v>51</v>
      </c>
      <c r="T151" s="123" t="s">
        <v>207</v>
      </c>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ht="14.25" customHeight="1" x14ac:dyDescent="0.2">
      <c r="A152" s="118" t="s">
        <v>671</v>
      </c>
      <c r="B152" s="118" t="s">
        <v>672</v>
      </c>
      <c r="C152" s="118">
        <v>2024</v>
      </c>
      <c r="D152" s="118" t="s">
        <v>673</v>
      </c>
      <c r="E152" s="118" t="s">
        <v>675</v>
      </c>
      <c r="F152" s="118" t="s">
        <v>676</v>
      </c>
      <c r="G152" s="118" t="s">
        <v>282</v>
      </c>
      <c r="H152" s="118" t="s">
        <v>15</v>
      </c>
      <c r="I152" s="118" t="s">
        <v>253</v>
      </c>
      <c r="J152" s="118" t="s">
        <v>674</v>
      </c>
      <c r="K152" s="118" t="s">
        <v>677</v>
      </c>
      <c r="L152" s="118">
        <v>0</v>
      </c>
      <c r="M152" s="118">
        <v>0</v>
      </c>
      <c r="N152" s="118">
        <v>0</v>
      </c>
      <c r="O152" s="42" t="s">
        <v>16</v>
      </c>
      <c r="P152" s="42" t="s">
        <v>50</v>
      </c>
      <c r="Q152" s="42" t="s">
        <v>100</v>
      </c>
      <c r="R152" s="42" t="s">
        <v>51</v>
      </c>
      <c r="S152" s="125" t="s">
        <v>51</v>
      </c>
      <c r="T152" s="123" t="s">
        <v>208</v>
      </c>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ht="14.25" customHeight="1" x14ac:dyDescent="0.2">
      <c r="A153" s="118" t="s">
        <v>678</v>
      </c>
      <c r="B153" s="118" t="s">
        <v>679</v>
      </c>
      <c r="C153" s="118">
        <v>2023</v>
      </c>
      <c r="D153" s="118" t="s">
        <v>680</v>
      </c>
      <c r="E153" s="118" t="s">
        <v>682</v>
      </c>
      <c r="F153" s="118">
        <v>0</v>
      </c>
      <c r="G153" s="118" t="s">
        <v>473</v>
      </c>
      <c r="H153" s="118" t="s">
        <v>15</v>
      </c>
      <c r="I153" s="118" t="s">
        <v>230</v>
      </c>
      <c r="J153" s="118" t="s">
        <v>681</v>
      </c>
      <c r="K153" s="118" t="s">
        <v>683</v>
      </c>
      <c r="L153" s="118">
        <v>0</v>
      </c>
      <c r="M153" s="118">
        <v>0</v>
      </c>
      <c r="N153" s="118">
        <v>0</v>
      </c>
      <c r="O153" s="42" t="s">
        <v>16</v>
      </c>
      <c r="P153" s="42" t="s">
        <v>52</v>
      </c>
      <c r="Q153" s="42" t="s">
        <v>100</v>
      </c>
      <c r="R153" s="42" t="s">
        <v>51</v>
      </c>
      <c r="S153" s="125" t="s">
        <v>51</v>
      </c>
      <c r="T153" s="123" t="s">
        <v>199</v>
      </c>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ht="14.25" customHeight="1" x14ac:dyDescent="0.2">
      <c r="A154" s="118" t="s">
        <v>684</v>
      </c>
      <c r="B154" s="118" t="s">
        <v>685</v>
      </c>
      <c r="C154" s="118">
        <v>2025</v>
      </c>
      <c r="D154" s="118" t="s">
        <v>686</v>
      </c>
      <c r="E154" s="118" t="s">
        <v>688</v>
      </c>
      <c r="F154" s="118" t="s">
        <v>689</v>
      </c>
      <c r="G154" s="118" t="s">
        <v>691</v>
      </c>
      <c r="H154" s="118" t="s">
        <v>15</v>
      </c>
      <c r="I154" s="118" t="s">
        <v>253</v>
      </c>
      <c r="J154" s="118" t="s">
        <v>687</v>
      </c>
      <c r="K154" s="118" t="s">
        <v>690</v>
      </c>
      <c r="L154" s="118">
        <v>0</v>
      </c>
      <c r="M154" s="118">
        <v>0</v>
      </c>
      <c r="N154" s="118">
        <v>0</v>
      </c>
      <c r="O154" s="42" t="s">
        <v>16</v>
      </c>
      <c r="P154" s="42" t="s">
        <v>52</v>
      </c>
      <c r="Q154" s="42" t="s">
        <v>100</v>
      </c>
      <c r="R154" s="42" t="s">
        <v>51</v>
      </c>
      <c r="S154" s="125" t="s">
        <v>51</v>
      </c>
      <c r="T154" s="123" t="s">
        <v>200</v>
      </c>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ht="14.25" customHeight="1" x14ac:dyDescent="0.2">
      <c r="A155" s="118" t="s">
        <v>692</v>
      </c>
      <c r="B155" s="118" t="s">
        <v>693</v>
      </c>
      <c r="C155" s="118">
        <v>2025</v>
      </c>
      <c r="D155" s="118" t="s">
        <v>233</v>
      </c>
      <c r="E155" s="118" t="s">
        <v>695</v>
      </c>
      <c r="F155" s="118" t="s">
        <v>696</v>
      </c>
      <c r="G155" s="118" t="s">
        <v>238</v>
      </c>
      <c r="H155" s="118" t="s">
        <v>15</v>
      </c>
      <c r="I155" s="118" t="s">
        <v>230</v>
      </c>
      <c r="J155" s="118" t="s">
        <v>694</v>
      </c>
      <c r="K155" s="118" t="s">
        <v>697</v>
      </c>
      <c r="L155" s="118">
        <v>0</v>
      </c>
      <c r="M155" s="118">
        <v>0</v>
      </c>
      <c r="N155" s="118">
        <v>0</v>
      </c>
      <c r="O155" s="42" t="s">
        <v>16</v>
      </c>
      <c r="P155" s="42" t="s">
        <v>50</v>
      </c>
      <c r="Q155" s="42" t="s">
        <v>100</v>
      </c>
      <c r="R155" s="42" t="s">
        <v>51</v>
      </c>
      <c r="S155" s="125" t="s">
        <v>51</v>
      </c>
      <c r="T155" s="123" t="s">
        <v>201</v>
      </c>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ht="14.25" customHeight="1" x14ac:dyDescent="0.2">
      <c r="A156" s="118">
        <v>0</v>
      </c>
      <c r="B156" s="118" t="s">
        <v>481</v>
      </c>
      <c r="C156" s="118">
        <v>2023</v>
      </c>
      <c r="D156" s="118" t="s">
        <v>476</v>
      </c>
      <c r="E156" s="118" t="s">
        <v>698</v>
      </c>
      <c r="F156" s="118">
        <v>0</v>
      </c>
      <c r="G156" s="118" t="s">
        <v>228</v>
      </c>
      <c r="H156" s="118" t="s">
        <v>15</v>
      </c>
      <c r="I156" s="118" t="s">
        <v>391</v>
      </c>
      <c r="J156" s="118">
        <v>0</v>
      </c>
      <c r="K156" s="118">
        <v>0</v>
      </c>
      <c r="L156" s="118">
        <v>0</v>
      </c>
      <c r="M156" s="118">
        <v>0</v>
      </c>
      <c r="N156" s="118">
        <v>0</v>
      </c>
      <c r="O156" s="42" t="s">
        <v>16</v>
      </c>
      <c r="P156" s="42" t="s">
        <v>50</v>
      </c>
      <c r="Q156" s="42" t="s">
        <v>100</v>
      </c>
      <c r="R156" s="42" t="s">
        <v>51</v>
      </c>
      <c r="S156" s="125" t="s">
        <v>51</v>
      </c>
      <c r="T156" s="123" t="s">
        <v>202</v>
      </c>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ht="14.25" customHeight="1" x14ac:dyDescent="0.2">
      <c r="A157" s="118" t="s">
        <v>699</v>
      </c>
      <c r="B157" s="118" t="s">
        <v>700</v>
      </c>
      <c r="C157" s="118">
        <v>2025</v>
      </c>
      <c r="D157" s="118" t="s">
        <v>233</v>
      </c>
      <c r="E157" s="118" t="s">
        <v>702</v>
      </c>
      <c r="F157" s="118" t="s">
        <v>703</v>
      </c>
      <c r="G157" s="118" t="s">
        <v>238</v>
      </c>
      <c r="H157" s="118" t="s">
        <v>15</v>
      </c>
      <c r="I157" s="118" t="s">
        <v>230</v>
      </c>
      <c r="J157" s="118" t="s">
        <v>701</v>
      </c>
      <c r="K157" s="118" t="s">
        <v>704</v>
      </c>
      <c r="L157" s="118">
        <v>0</v>
      </c>
      <c r="M157" s="118">
        <v>0</v>
      </c>
      <c r="N157" s="118">
        <v>0</v>
      </c>
      <c r="O157" s="42" t="s">
        <v>16</v>
      </c>
      <c r="P157" s="42" t="s">
        <v>52</v>
      </c>
      <c r="Q157" s="42" t="s">
        <v>100</v>
      </c>
      <c r="R157" s="42" t="s">
        <v>51</v>
      </c>
      <c r="S157" s="125" t="s">
        <v>51</v>
      </c>
      <c r="T157" s="123" t="s">
        <v>203</v>
      </c>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ht="14.25" customHeight="1" x14ac:dyDescent="0.2">
      <c r="A158" s="118" t="s">
        <v>705</v>
      </c>
      <c r="B158" s="118" t="s">
        <v>706</v>
      </c>
      <c r="C158" s="118">
        <v>2026</v>
      </c>
      <c r="D158" s="118" t="s">
        <v>707</v>
      </c>
      <c r="E158" s="118" t="s">
        <v>709</v>
      </c>
      <c r="F158" s="118" t="s">
        <v>710</v>
      </c>
      <c r="G158" s="118" t="s">
        <v>252</v>
      </c>
      <c r="H158" s="118" t="s">
        <v>15</v>
      </c>
      <c r="I158" s="118" t="s">
        <v>253</v>
      </c>
      <c r="J158" s="118" t="s">
        <v>708</v>
      </c>
      <c r="K158" s="118" t="s">
        <v>711</v>
      </c>
      <c r="L158" s="118">
        <v>0</v>
      </c>
      <c r="M158" s="118">
        <v>0</v>
      </c>
      <c r="N158" s="118">
        <v>0</v>
      </c>
      <c r="O158" s="42" t="s">
        <v>16</v>
      </c>
      <c r="P158" s="42" t="s">
        <v>52</v>
      </c>
      <c r="Q158" s="42" t="s">
        <v>100</v>
      </c>
      <c r="R158" s="42" t="s">
        <v>50</v>
      </c>
      <c r="S158" s="125" t="s">
        <v>51</v>
      </c>
      <c r="T158" s="123" t="s">
        <v>204</v>
      </c>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ht="14.25" customHeight="1" x14ac:dyDescent="0.2">
      <c r="A159" s="118" t="s">
        <v>712</v>
      </c>
      <c r="B159" s="118" t="s">
        <v>713</v>
      </c>
      <c r="C159" s="118">
        <v>2025</v>
      </c>
      <c r="D159" s="118" t="s">
        <v>233</v>
      </c>
      <c r="E159" s="118" t="s">
        <v>715</v>
      </c>
      <c r="F159" s="118" t="s">
        <v>716</v>
      </c>
      <c r="G159" s="118" t="s">
        <v>238</v>
      </c>
      <c r="H159" s="118" t="s">
        <v>15</v>
      </c>
      <c r="I159" s="118" t="s">
        <v>230</v>
      </c>
      <c r="J159" s="118" t="s">
        <v>714</v>
      </c>
      <c r="K159" s="118" t="s">
        <v>717</v>
      </c>
      <c r="L159" s="118">
        <v>0</v>
      </c>
      <c r="M159" s="118">
        <v>0</v>
      </c>
      <c r="N159" s="118">
        <v>0</v>
      </c>
      <c r="O159" s="42" t="s">
        <v>16</v>
      </c>
      <c r="P159" s="42" t="s">
        <v>50</v>
      </c>
      <c r="Q159" s="42" t="s">
        <v>100</v>
      </c>
      <c r="R159" s="42" t="s">
        <v>51</v>
      </c>
      <c r="S159" s="125" t="s">
        <v>51</v>
      </c>
      <c r="T159" s="123" t="s">
        <v>205</v>
      </c>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ht="14.25" customHeight="1" x14ac:dyDescent="0.2">
      <c r="A160" s="118" t="s">
        <v>718</v>
      </c>
      <c r="B160" s="118" t="s">
        <v>719</v>
      </c>
      <c r="C160" s="118">
        <v>2025</v>
      </c>
      <c r="D160" s="118" t="s">
        <v>460</v>
      </c>
      <c r="E160" s="118" t="s">
        <v>721</v>
      </c>
      <c r="F160" s="118" t="s">
        <v>722</v>
      </c>
      <c r="G160" s="118" t="s">
        <v>465</v>
      </c>
      <c r="H160" s="118" t="s">
        <v>15</v>
      </c>
      <c r="I160" s="118" t="s">
        <v>253</v>
      </c>
      <c r="J160" s="118" t="s">
        <v>720</v>
      </c>
      <c r="K160" s="118" t="s">
        <v>723</v>
      </c>
      <c r="L160" s="118">
        <v>0</v>
      </c>
      <c r="M160" s="118">
        <v>0</v>
      </c>
      <c r="N160" s="118">
        <v>0</v>
      </c>
      <c r="O160" s="42" t="s">
        <v>16</v>
      </c>
      <c r="P160" s="42" t="s">
        <v>52</v>
      </c>
      <c r="Q160" s="42" t="s">
        <v>100</v>
      </c>
      <c r="R160" s="42" t="s">
        <v>50</v>
      </c>
      <c r="S160" s="125" t="s">
        <v>51</v>
      </c>
      <c r="T160" s="123" t="s">
        <v>206</v>
      </c>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ht="14.25" customHeight="1" x14ac:dyDescent="0.2">
      <c r="A161" s="118" t="s">
        <v>724</v>
      </c>
      <c r="B161" s="118" t="s">
        <v>725</v>
      </c>
      <c r="C161" s="118">
        <v>2022</v>
      </c>
      <c r="D161" s="118" t="s">
        <v>394</v>
      </c>
      <c r="E161" s="118" t="s">
        <v>727</v>
      </c>
      <c r="F161" s="118" t="s">
        <v>728</v>
      </c>
      <c r="G161" s="118" t="s">
        <v>274</v>
      </c>
      <c r="H161" s="118" t="s">
        <v>15</v>
      </c>
      <c r="I161" s="118" t="s">
        <v>253</v>
      </c>
      <c r="J161" s="118" t="s">
        <v>726</v>
      </c>
      <c r="K161" s="118" t="s">
        <v>729</v>
      </c>
      <c r="L161" s="118">
        <v>0</v>
      </c>
      <c r="M161" s="118">
        <v>0</v>
      </c>
      <c r="N161" s="118">
        <v>0</v>
      </c>
      <c r="O161" s="42" t="s">
        <v>16</v>
      </c>
      <c r="P161" s="42" t="s">
        <v>52</v>
      </c>
      <c r="Q161" s="42" t="s">
        <v>100</v>
      </c>
      <c r="R161" s="42" t="s">
        <v>51</v>
      </c>
      <c r="S161" s="125" t="s">
        <v>51</v>
      </c>
      <c r="T161" s="123" t="s">
        <v>207</v>
      </c>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ht="14.25" customHeight="1" x14ac:dyDescent="0.2">
      <c r="A162" s="118" t="s">
        <v>730</v>
      </c>
      <c r="B162" s="118" t="s">
        <v>731</v>
      </c>
      <c r="C162" s="118">
        <v>2024</v>
      </c>
      <c r="D162" s="118" t="s">
        <v>233</v>
      </c>
      <c r="E162" s="118" t="s">
        <v>733</v>
      </c>
      <c r="F162" s="118" t="s">
        <v>734</v>
      </c>
      <c r="G162" s="118" t="s">
        <v>238</v>
      </c>
      <c r="H162" s="118" t="s">
        <v>15</v>
      </c>
      <c r="I162" s="118" t="s">
        <v>230</v>
      </c>
      <c r="J162" s="118" t="s">
        <v>732</v>
      </c>
      <c r="K162" s="118" t="s">
        <v>735</v>
      </c>
      <c r="L162" s="118">
        <v>0</v>
      </c>
      <c r="M162" s="118">
        <v>0</v>
      </c>
      <c r="N162" s="118">
        <v>0</v>
      </c>
      <c r="O162" s="42" t="s">
        <v>16</v>
      </c>
      <c r="P162" s="42" t="s">
        <v>50</v>
      </c>
      <c r="Q162" s="42" t="s">
        <v>100</v>
      </c>
      <c r="R162" s="42" t="s">
        <v>51</v>
      </c>
      <c r="S162" s="125" t="s">
        <v>51</v>
      </c>
      <c r="T162" s="123" t="s">
        <v>208</v>
      </c>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ht="14.25" customHeight="1" x14ac:dyDescent="0.2">
      <c r="A163" s="118" t="s">
        <v>736</v>
      </c>
      <c r="B163" s="118" t="s">
        <v>737</v>
      </c>
      <c r="C163" s="118">
        <v>2023</v>
      </c>
      <c r="D163" s="118" t="s">
        <v>738</v>
      </c>
      <c r="E163" s="118" t="s">
        <v>740</v>
      </c>
      <c r="F163" s="118" t="s">
        <v>741</v>
      </c>
      <c r="G163" s="118" t="s">
        <v>743</v>
      </c>
      <c r="H163" s="118" t="s">
        <v>15</v>
      </c>
      <c r="I163" s="118" t="s">
        <v>253</v>
      </c>
      <c r="J163" s="118" t="s">
        <v>739</v>
      </c>
      <c r="K163" s="118" t="s">
        <v>742</v>
      </c>
      <c r="L163" s="118">
        <v>0</v>
      </c>
      <c r="M163" s="118">
        <v>0</v>
      </c>
      <c r="N163" s="118">
        <v>0</v>
      </c>
      <c r="O163" s="42" t="s">
        <v>16</v>
      </c>
      <c r="P163" s="42" t="s">
        <v>52</v>
      </c>
      <c r="Q163" s="42" t="s">
        <v>100</v>
      </c>
      <c r="R163" s="42" t="s">
        <v>51</v>
      </c>
      <c r="S163" s="125" t="s">
        <v>51</v>
      </c>
      <c r="T163" s="123" t="s">
        <v>209</v>
      </c>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ht="14.25" customHeight="1" x14ac:dyDescent="0.2">
      <c r="A164" s="118" t="s">
        <v>744</v>
      </c>
      <c r="B164" s="118" t="s">
        <v>745</v>
      </c>
      <c r="C164" s="118">
        <v>2022</v>
      </c>
      <c r="D164" s="118" t="s">
        <v>746</v>
      </c>
      <c r="E164" s="118" t="s">
        <v>748</v>
      </c>
      <c r="F164" s="118" t="s">
        <v>749</v>
      </c>
      <c r="G164" s="118" t="s">
        <v>473</v>
      </c>
      <c r="H164" s="118" t="s">
        <v>15</v>
      </c>
      <c r="I164" s="118" t="s">
        <v>230</v>
      </c>
      <c r="J164" s="118" t="s">
        <v>747</v>
      </c>
      <c r="K164" s="118">
        <v>0</v>
      </c>
      <c r="L164" s="118">
        <v>0</v>
      </c>
      <c r="M164" s="118">
        <v>0</v>
      </c>
      <c r="N164" s="118">
        <v>0</v>
      </c>
      <c r="O164" s="42" t="s">
        <v>16</v>
      </c>
      <c r="P164" s="42" t="s">
        <v>50</v>
      </c>
      <c r="Q164" s="42" t="s">
        <v>100</v>
      </c>
      <c r="R164" s="42" t="s">
        <v>50</v>
      </c>
      <c r="S164" s="125" t="s">
        <v>51</v>
      </c>
      <c r="T164" s="123" t="s">
        <v>210</v>
      </c>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ht="14.25" customHeight="1" x14ac:dyDescent="0.2">
      <c r="A165" s="118" t="s">
        <v>750</v>
      </c>
      <c r="B165" s="118" t="s">
        <v>751</v>
      </c>
      <c r="C165" s="118">
        <v>2024</v>
      </c>
      <c r="D165" s="118" t="s">
        <v>394</v>
      </c>
      <c r="E165" s="118" t="s">
        <v>753</v>
      </c>
      <c r="F165" s="118" t="s">
        <v>754</v>
      </c>
      <c r="G165" s="118" t="s">
        <v>274</v>
      </c>
      <c r="H165" s="118" t="s">
        <v>15</v>
      </c>
      <c r="I165" s="118" t="s">
        <v>253</v>
      </c>
      <c r="J165" s="118" t="s">
        <v>752</v>
      </c>
      <c r="K165" s="118" t="s">
        <v>755</v>
      </c>
      <c r="L165" s="118">
        <v>0</v>
      </c>
      <c r="M165" s="118">
        <v>0</v>
      </c>
      <c r="N165" s="118">
        <v>0</v>
      </c>
      <c r="O165" s="42" t="s">
        <v>16</v>
      </c>
      <c r="P165" s="42" t="s">
        <v>52</v>
      </c>
      <c r="Q165" s="42" t="s">
        <v>100</v>
      </c>
      <c r="R165" s="42" t="s">
        <v>51</v>
      </c>
      <c r="S165" s="125" t="s">
        <v>51</v>
      </c>
      <c r="T165" s="123" t="s">
        <v>211</v>
      </c>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ht="14.25" customHeight="1" x14ac:dyDescent="0.2">
      <c r="A166" s="118" t="s">
        <v>756</v>
      </c>
      <c r="B166" s="118" t="s">
        <v>757</v>
      </c>
      <c r="C166" s="118">
        <v>2022</v>
      </c>
      <c r="D166" s="118" t="s">
        <v>233</v>
      </c>
      <c r="E166" s="118" t="s">
        <v>759</v>
      </c>
      <c r="F166" s="118" t="s">
        <v>760</v>
      </c>
      <c r="G166" s="118" t="s">
        <v>238</v>
      </c>
      <c r="H166" s="118" t="s">
        <v>15</v>
      </c>
      <c r="I166" s="118" t="s">
        <v>230</v>
      </c>
      <c r="J166" s="118" t="s">
        <v>758</v>
      </c>
      <c r="K166" s="118" t="s">
        <v>761</v>
      </c>
      <c r="L166" s="118">
        <v>0</v>
      </c>
      <c r="M166" s="118">
        <v>0</v>
      </c>
      <c r="N166" s="118">
        <v>0</v>
      </c>
      <c r="O166" s="42" t="s">
        <v>16</v>
      </c>
      <c r="P166" s="42" t="s">
        <v>50</v>
      </c>
      <c r="Q166" s="42" t="s">
        <v>100</v>
      </c>
      <c r="R166" s="42" t="s">
        <v>51</v>
      </c>
      <c r="S166" s="125" t="s">
        <v>51</v>
      </c>
      <c r="T166" s="123" t="s">
        <v>212</v>
      </c>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ht="14.25" customHeight="1" x14ac:dyDescent="0.2">
      <c r="A167" s="118" t="s">
        <v>762</v>
      </c>
      <c r="B167" s="118" t="s">
        <v>763</v>
      </c>
      <c r="C167" s="118">
        <v>2024</v>
      </c>
      <c r="D167" s="118" t="s">
        <v>764</v>
      </c>
      <c r="E167" s="118" t="s">
        <v>766</v>
      </c>
      <c r="F167" s="118" t="s">
        <v>767</v>
      </c>
      <c r="G167" s="118" t="s">
        <v>473</v>
      </c>
      <c r="H167" s="118" t="s">
        <v>15</v>
      </c>
      <c r="I167" s="118" t="s">
        <v>230</v>
      </c>
      <c r="J167" s="118" t="s">
        <v>765</v>
      </c>
      <c r="K167" s="118" t="s">
        <v>768</v>
      </c>
      <c r="L167" s="118">
        <v>0</v>
      </c>
      <c r="M167" s="118">
        <v>0</v>
      </c>
      <c r="N167" s="118">
        <v>0</v>
      </c>
      <c r="O167" s="42" t="s">
        <v>16</v>
      </c>
      <c r="P167" s="42" t="s">
        <v>52</v>
      </c>
      <c r="Q167" s="42" t="s">
        <v>100</v>
      </c>
      <c r="R167" s="42" t="s">
        <v>51</v>
      </c>
      <c r="S167" s="125" t="s">
        <v>51</v>
      </c>
      <c r="T167" s="123" t="s">
        <v>213</v>
      </c>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ht="14.25" customHeight="1" x14ac:dyDescent="0.2">
      <c r="A168" s="118" t="s">
        <v>769</v>
      </c>
      <c r="B168" s="118" t="s">
        <v>770</v>
      </c>
      <c r="C168" s="118">
        <v>2023</v>
      </c>
      <c r="D168" s="118" t="s">
        <v>771</v>
      </c>
      <c r="E168" s="118" t="s">
        <v>773</v>
      </c>
      <c r="F168" s="118" t="s">
        <v>774</v>
      </c>
      <c r="G168" s="118" t="s">
        <v>228</v>
      </c>
      <c r="H168" s="118" t="s">
        <v>15</v>
      </c>
      <c r="I168" s="118" t="s">
        <v>230</v>
      </c>
      <c r="J168" s="118" t="s">
        <v>772</v>
      </c>
      <c r="K168" s="118" t="s">
        <v>775</v>
      </c>
      <c r="L168" s="118">
        <v>0</v>
      </c>
      <c r="M168" s="118">
        <v>0</v>
      </c>
      <c r="N168" s="118">
        <v>0</v>
      </c>
      <c r="O168" s="42" t="s">
        <v>16</v>
      </c>
      <c r="P168" s="42" t="s">
        <v>52</v>
      </c>
      <c r="Q168" s="42" t="s">
        <v>100</v>
      </c>
      <c r="R168" s="42" t="s">
        <v>51</v>
      </c>
      <c r="S168" s="125" t="s">
        <v>51</v>
      </c>
      <c r="T168" s="123" t="s">
        <v>214</v>
      </c>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ht="14.25" customHeight="1" x14ac:dyDescent="0.2">
      <c r="A169" s="118" t="s">
        <v>776</v>
      </c>
      <c r="B169" s="118" t="s">
        <v>777</v>
      </c>
      <c r="C169" s="118">
        <v>2023</v>
      </c>
      <c r="D169" s="118" t="s">
        <v>233</v>
      </c>
      <c r="E169" s="118" t="s">
        <v>779</v>
      </c>
      <c r="F169" s="118" t="s">
        <v>780</v>
      </c>
      <c r="G169" s="118" t="s">
        <v>238</v>
      </c>
      <c r="H169" s="118" t="s">
        <v>15</v>
      </c>
      <c r="I169" s="118" t="s">
        <v>230</v>
      </c>
      <c r="J169" s="118" t="s">
        <v>778</v>
      </c>
      <c r="K169" s="118" t="s">
        <v>781</v>
      </c>
      <c r="L169" s="118">
        <v>0</v>
      </c>
      <c r="M169" s="118">
        <v>0</v>
      </c>
      <c r="N169" s="118">
        <v>0</v>
      </c>
      <c r="O169" s="42" t="s">
        <v>16</v>
      </c>
      <c r="P169" s="42" t="s">
        <v>50</v>
      </c>
      <c r="Q169" s="42" t="s">
        <v>100</v>
      </c>
      <c r="R169" s="42" t="s">
        <v>52</v>
      </c>
      <c r="S169" s="125" t="s">
        <v>51</v>
      </c>
      <c r="T169" s="123" t="s">
        <v>195</v>
      </c>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ht="14.25" customHeight="1" x14ac:dyDescent="0.2">
      <c r="A170" s="118" t="s">
        <v>782</v>
      </c>
      <c r="B170" s="118" t="s">
        <v>783</v>
      </c>
      <c r="C170" s="118">
        <v>2026</v>
      </c>
      <c r="D170" s="118" t="s">
        <v>784</v>
      </c>
      <c r="E170" s="118" t="s">
        <v>786</v>
      </c>
      <c r="F170" s="118" t="s">
        <v>787</v>
      </c>
      <c r="G170" s="118" t="s">
        <v>789</v>
      </c>
      <c r="H170" s="118" t="s">
        <v>15</v>
      </c>
      <c r="I170" s="118" t="s">
        <v>230</v>
      </c>
      <c r="J170" s="118" t="s">
        <v>785</v>
      </c>
      <c r="K170" s="118" t="s">
        <v>788</v>
      </c>
      <c r="L170" s="118">
        <v>0</v>
      </c>
      <c r="M170" s="118">
        <v>0</v>
      </c>
      <c r="N170" s="118">
        <v>0</v>
      </c>
      <c r="O170" s="42" t="s">
        <v>16</v>
      </c>
      <c r="P170" s="42" t="s">
        <v>50</v>
      </c>
      <c r="Q170" s="42" t="s">
        <v>100</v>
      </c>
      <c r="R170" s="42" t="s">
        <v>51</v>
      </c>
      <c r="S170" s="125" t="s">
        <v>51</v>
      </c>
      <c r="T170" s="123" t="s">
        <v>196</v>
      </c>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ht="14.25" customHeight="1" x14ac:dyDescent="0.2">
      <c r="A171" s="118" t="s">
        <v>790</v>
      </c>
      <c r="B171" s="118" t="s">
        <v>791</v>
      </c>
      <c r="C171" s="118">
        <v>2022</v>
      </c>
      <c r="D171" s="118" t="s">
        <v>233</v>
      </c>
      <c r="E171" s="118" t="s">
        <v>793</v>
      </c>
      <c r="F171" s="118" t="s">
        <v>794</v>
      </c>
      <c r="G171" s="118" t="s">
        <v>238</v>
      </c>
      <c r="H171" s="118" t="s">
        <v>15</v>
      </c>
      <c r="I171" s="118" t="s">
        <v>230</v>
      </c>
      <c r="J171" s="118" t="s">
        <v>792</v>
      </c>
      <c r="K171" s="118" t="s">
        <v>795</v>
      </c>
      <c r="L171" s="118">
        <v>0</v>
      </c>
      <c r="M171" s="118">
        <v>0</v>
      </c>
      <c r="N171" s="118">
        <v>0</v>
      </c>
      <c r="O171" s="42" t="s">
        <v>16</v>
      </c>
      <c r="P171" s="42" t="s">
        <v>52</v>
      </c>
      <c r="Q171" s="42" t="s">
        <v>100</v>
      </c>
      <c r="R171" s="42" t="s">
        <v>51</v>
      </c>
      <c r="S171" s="125" t="s">
        <v>51</v>
      </c>
      <c r="T171" s="123" t="s">
        <v>197</v>
      </c>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ht="14.25" customHeight="1" x14ac:dyDescent="0.2">
      <c r="A172" s="118" t="s">
        <v>796</v>
      </c>
      <c r="B172" s="118" t="s">
        <v>797</v>
      </c>
      <c r="C172" s="118">
        <v>2025</v>
      </c>
      <c r="D172" s="118" t="s">
        <v>798</v>
      </c>
      <c r="E172" s="118" t="s">
        <v>800</v>
      </c>
      <c r="F172" s="118" t="s">
        <v>801</v>
      </c>
      <c r="G172" s="118" t="s">
        <v>803</v>
      </c>
      <c r="H172" s="118" t="s">
        <v>15</v>
      </c>
      <c r="I172" s="118" t="s">
        <v>253</v>
      </c>
      <c r="J172" s="118" t="s">
        <v>799</v>
      </c>
      <c r="K172" s="118" t="s">
        <v>802</v>
      </c>
      <c r="L172" s="118">
        <v>0</v>
      </c>
      <c r="M172" s="118">
        <v>0</v>
      </c>
      <c r="N172" s="118">
        <v>0</v>
      </c>
      <c r="O172" s="42" t="s">
        <v>16</v>
      </c>
      <c r="P172" s="42" t="s">
        <v>52</v>
      </c>
      <c r="Q172" s="42" t="s">
        <v>100</v>
      </c>
      <c r="R172" s="42" t="s">
        <v>51</v>
      </c>
      <c r="S172" s="125" t="s">
        <v>51</v>
      </c>
      <c r="T172" s="123" t="s">
        <v>198</v>
      </c>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ht="14.25" customHeight="1" x14ac:dyDescent="0.2">
      <c r="A173" s="118" t="s">
        <v>804</v>
      </c>
      <c r="B173" s="118" t="s">
        <v>805</v>
      </c>
      <c r="C173" s="118">
        <v>2025</v>
      </c>
      <c r="D173" s="118" t="s">
        <v>806</v>
      </c>
      <c r="E173" s="118" t="s">
        <v>808</v>
      </c>
      <c r="F173" s="118" t="s">
        <v>809</v>
      </c>
      <c r="G173" s="118" t="s">
        <v>465</v>
      </c>
      <c r="H173" s="118" t="s">
        <v>15</v>
      </c>
      <c r="I173" s="118" t="s">
        <v>545</v>
      </c>
      <c r="J173" s="118" t="s">
        <v>807</v>
      </c>
      <c r="K173" s="118" t="s">
        <v>810</v>
      </c>
      <c r="L173" s="118">
        <v>0</v>
      </c>
      <c r="M173" s="118">
        <v>0</v>
      </c>
      <c r="N173" s="118">
        <v>0</v>
      </c>
      <c r="O173" s="42" t="s">
        <v>16</v>
      </c>
      <c r="P173" s="42" t="s">
        <v>50</v>
      </c>
      <c r="Q173" s="42" t="s">
        <v>100</v>
      </c>
      <c r="R173" s="42" t="s">
        <v>51</v>
      </c>
      <c r="S173" s="125" t="s">
        <v>51</v>
      </c>
      <c r="T173" s="123" t="s">
        <v>199</v>
      </c>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ht="14.25" customHeight="1" x14ac:dyDescent="0.2">
      <c r="A174" s="118" t="s">
        <v>811</v>
      </c>
      <c r="B174" s="118" t="s">
        <v>812</v>
      </c>
      <c r="C174" s="118">
        <v>2024</v>
      </c>
      <c r="D174" s="118" t="s">
        <v>460</v>
      </c>
      <c r="E174" s="118" t="s">
        <v>814</v>
      </c>
      <c r="F174" s="118" t="s">
        <v>815</v>
      </c>
      <c r="G174" s="118" t="s">
        <v>465</v>
      </c>
      <c r="H174" s="118" t="s">
        <v>15</v>
      </c>
      <c r="I174" s="118" t="s">
        <v>253</v>
      </c>
      <c r="J174" s="118" t="s">
        <v>813</v>
      </c>
      <c r="K174" s="118" t="s">
        <v>816</v>
      </c>
      <c r="L174" s="118">
        <v>0</v>
      </c>
      <c r="M174" s="118">
        <v>0</v>
      </c>
      <c r="N174" s="118">
        <v>0</v>
      </c>
      <c r="O174" s="42" t="s">
        <v>16</v>
      </c>
      <c r="P174" s="42" t="s">
        <v>52</v>
      </c>
      <c r="Q174" s="42" t="s">
        <v>100</v>
      </c>
      <c r="R174" s="42" t="s">
        <v>52</v>
      </c>
      <c r="S174" s="125" t="s">
        <v>51</v>
      </c>
      <c r="T174" s="123" t="s">
        <v>200</v>
      </c>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ht="14.25" customHeight="1" x14ac:dyDescent="0.2">
      <c r="A175" s="118" t="s">
        <v>817</v>
      </c>
      <c r="B175" s="118" t="s">
        <v>818</v>
      </c>
      <c r="C175" s="118">
        <v>2022</v>
      </c>
      <c r="D175" s="118" t="s">
        <v>819</v>
      </c>
      <c r="E175" s="118" t="s">
        <v>821</v>
      </c>
      <c r="F175" s="118" t="s">
        <v>822</v>
      </c>
      <c r="G175" s="118" t="s">
        <v>823</v>
      </c>
      <c r="H175" s="118" t="s">
        <v>15</v>
      </c>
      <c r="I175" s="118" t="s">
        <v>230</v>
      </c>
      <c r="J175" s="118" t="s">
        <v>820</v>
      </c>
      <c r="K175" s="118">
        <v>0</v>
      </c>
      <c r="L175" s="118">
        <v>0</v>
      </c>
      <c r="M175" s="118">
        <v>0</v>
      </c>
      <c r="N175" s="118">
        <v>0</v>
      </c>
      <c r="O175" s="42" t="s">
        <v>16</v>
      </c>
      <c r="P175" s="42" t="s">
        <v>52</v>
      </c>
      <c r="Q175" s="42" t="s">
        <v>100</v>
      </c>
      <c r="R175" s="42" t="s">
        <v>51</v>
      </c>
      <c r="S175" s="125" t="s">
        <v>51</v>
      </c>
      <c r="T175" s="123" t="s">
        <v>201</v>
      </c>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ht="14.25" customHeight="1" x14ac:dyDescent="0.2">
      <c r="A176" s="118" t="s">
        <v>824</v>
      </c>
      <c r="B176" s="118" t="s">
        <v>825</v>
      </c>
      <c r="C176" s="118">
        <v>2025</v>
      </c>
      <c r="D176" s="118" t="s">
        <v>269</v>
      </c>
      <c r="E176" s="118" t="s">
        <v>827</v>
      </c>
      <c r="F176" s="118" t="s">
        <v>828</v>
      </c>
      <c r="G176" s="118" t="s">
        <v>274</v>
      </c>
      <c r="H176" s="118" t="s">
        <v>15</v>
      </c>
      <c r="I176" s="118" t="s">
        <v>253</v>
      </c>
      <c r="J176" s="118" t="s">
        <v>826</v>
      </c>
      <c r="K176" s="118" t="s">
        <v>829</v>
      </c>
      <c r="L176" s="118">
        <v>0</v>
      </c>
      <c r="M176" s="118">
        <v>0</v>
      </c>
      <c r="N176" s="118">
        <v>0</v>
      </c>
      <c r="O176" s="42" t="s">
        <v>16</v>
      </c>
      <c r="P176" s="42" t="s">
        <v>50</v>
      </c>
      <c r="Q176" s="42" t="s">
        <v>100</v>
      </c>
      <c r="R176" s="42" t="s">
        <v>51</v>
      </c>
      <c r="S176" s="125" t="s">
        <v>51</v>
      </c>
      <c r="T176" s="123" t="s">
        <v>202</v>
      </c>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ht="14.25" customHeight="1" x14ac:dyDescent="0.2">
      <c r="A177" s="118" t="s">
        <v>830</v>
      </c>
      <c r="B177" s="118" t="s">
        <v>831</v>
      </c>
      <c r="C177" s="118">
        <v>2023</v>
      </c>
      <c r="D177" s="118" t="s">
        <v>832</v>
      </c>
      <c r="E177" s="118" t="s">
        <v>834</v>
      </c>
      <c r="F177" s="118" t="s">
        <v>835</v>
      </c>
      <c r="G177" s="118" t="s">
        <v>473</v>
      </c>
      <c r="H177" s="118" t="s">
        <v>15</v>
      </c>
      <c r="I177" s="118" t="s">
        <v>230</v>
      </c>
      <c r="J177" s="118" t="s">
        <v>833</v>
      </c>
      <c r="K177" s="118" t="s">
        <v>836</v>
      </c>
      <c r="L177" s="118">
        <v>0</v>
      </c>
      <c r="M177" s="118">
        <v>0</v>
      </c>
      <c r="N177" s="118">
        <v>0</v>
      </c>
      <c r="O177" s="42" t="s">
        <v>16</v>
      </c>
      <c r="P177" s="42" t="s">
        <v>52</v>
      </c>
      <c r="Q177" s="42" t="s">
        <v>100</v>
      </c>
      <c r="R177" s="42" t="s">
        <v>51</v>
      </c>
      <c r="S177" s="125" t="s">
        <v>51</v>
      </c>
      <c r="T177" s="123" t="s">
        <v>203</v>
      </c>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ht="14.25" customHeight="1" x14ac:dyDescent="0.2">
      <c r="A178" s="118" t="s">
        <v>837</v>
      </c>
      <c r="B178" s="118" t="s">
        <v>838</v>
      </c>
      <c r="C178" s="118">
        <v>2024</v>
      </c>
      <c r="D178" s="118" t="s">
        <v>839</v>
      </c>
      <c r="E178" s="118" t="s">
        <v>841</v>
      </c>
      <c r="F178" s="118" t="s">
        <v>842</v>
      </c>
      <c r="G178" s="118" t="s">
        <v>473</v>
      </c>
      <c r="H178" s="118" t="s">
        <v>15</v>
      </c>
      <c r="I178" s="118" t="s">
        <v>230</v>
      </c>
      <c r="J178" s="118" t="s">
        <v>840</v>
      </c>
      <c r="K178" s="118">
        <v>0</v>
      </c>
      <c r="L178" s="118">
        <v>0</v>
      </c>
      <c r="M178" s="118">
        <v>0</v>
      </c>
      <c r="N178" s="118">
        <v>0</v>
      </c>
      <c r="O178" s="42" t="s">
        <v>16</v>
      </c>
      <c r="P178" s="42" t="s">
        <v>50</v>
      </c>
      <c r="Q178" s="42" t="s">
        <v>100</v>
      </c>
      <c r="R178" s="42" t="s">
        <v>51</v>
      </c>
      <c r="S178" s="125" t="s">
        <v>51</v>
      </c>
      <c r="T178" s="123" t="s">
        <v>204</v>
      </c>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ht="14.25" customHeight="1" x14ac:dyDescent="0.2">
      <c r="A179" s="118" t="s">
        <v>843</v>
      </c>
      <c r="B179" s="118" t="s">
        <v>844</v>
      </c>
      <c r="C179" s="118">
        <v>2022</v>
      </c>
      <c r="D179" s="118" t="s">
        <v>233</v>
      </c>
      <c r="E179" s="118" t="s">
        <v>846</v>
      </c>
      <c r="F179" s="118" t="s">
        <v>847</v>
      </c>
      <c r="G179" s="118" t="s">
        <v>238</v>
      </c>
      <c r="H179" s="118" t="s">
        <v>15</v>
      </c>
      <c r="I179" s="118" t="s">
        <v>230</v>
      </c>
      <c r="J179" s="118" t="s">
        <v>845</v>
      </c>
      <c r="K179" s="118" t="s">
        <v>848</v>
      </c>
      <c r="L179" s="118">
        <v>0</v>
      </c>
      <c r="M179" s="118">
        <v>0</v>
      </c>
      <c r="N179" s="118">
        <v>0</v>
      </c>
      <c r="O179" s="42" t="s">
        <v>16</v>
      </c>
      <c r="P179" s="42" t="s">
        <v>52</v>
      </c>
      <c r="Q179" s="42" t="s">
        <v>100</v>
      </c>
      <c r="R179" s="42" t="s">
        <v>51</v>
      </c>
      <c r="S179" s="125" t="s">
        <v>51</v>
      </c>
      <c r="T179" s="123" t="s">
        <v>205</v>
      </c>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ht="14.25" customHeight="1" x14ac:dyDescent="0.2">
      <c r="A180" s="118" t="s">
        <v>849</v>
      </c>
      <c r="B180" s="118" t="s">
        <v>850</v>
      </c>
      <c r="C180" s="118">
        <v>2025</v>
      </c>
      <c r="D180" s="118" t="s">
        <v>371</v>
      </c>
      <c r="E180" s="118" t="s">
        <v>852</v>
      </c>
      <c r="F180" s="118" t="s">
        <v>853</v>
      </c>
      <c r="G180" s="118" t="s">
        <v>376</v>
      </c>
      <c r="H180" s="118" t="s">
        <v>15</v>
      </c>
      <c r="I180" s="118" t="s">
        <v>253</v>
      </c>
      <c r="J180" s="118" t="s">
        <v>851</v>
      </c>
      <c r="K180" s="118" t="s">
        <v>854</v>
      </c>
      <c r="L180" s="118">
        <v>0</v>
      </c>
      <c r="M180" s="118">
        <v>0</v>
      </c>
      <c r="N180" s="118">
        <v>0</v>
      </c>
      <c r="O180" s="42" t="s">
        <v>16</v>
      </c>
      <c r="P180" s="42" t="s">
        <v>50</v>
      </c>
      <c r="Q180" s="42" t="s">
        <v>100</v>
      </c>
      <c r="R180" s="42" t="s">
        <v>51</v>
      </c>
      <c r="S180" s="125" t="s">
        <v>51</v>
      </c>
      <c r="T180" s="123" t="s">
        <v>206</v>
      </c>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ht="14.25" customHeight="1" x14ac:dyDescent="0.2">
      <c r="A181" s="118" t="s">
        <v>855</v>
      </c>
      <c r="B181" s="118" t="s">
        <v>856</v>
      </c>
      <c r="C181" s="118">
        <v>2026</v>
      </c>
      <c r="D181" s="118" t="s">
        <v>233</v>
      </c>
      <c r="E181" s="118" t="s">
        <v>858</v>
      </c>
      <c r="F181" s="118" t="s">
        <v>859</v>
      </c>
      <c r="G181" s="118" t="s">
        <v>238</v>
      </c>
      <c r="H181" s="118" t="s">
        <v>15</v>
      </c>
      <c r="I181" s="118" t="s">
        <v>230</v>
      </c>
      <c r="J181" s="118" t="s">
        <v>857</v>
      </c>
      <c r="K181" s="118" t="s">
        <v>860</v>
      </c>
      <c r="L181" s="118">
        <v>0</v>
      </c>
      <c r="M181" s="118">
        <v>0</v>
      </c>
      <c r="N181" s="118">
        <v>0</v>
      </c>
      <c r="O181" s="42" t="s">
        <v>16</v>
      </c>
      <c r="P181" s="42" t="s">
        <v>52</v>
      </c>
      <c r="Q181" s="42" t="s">
        <v>100</v>
      </c>
      <c r="R181" s="42" t="s">
        <v>51</v>
      </c>
      <c r="S181" s="125" t="s">
        <v>51</v>
      </c>
      <c r="T181" s="123" t="s">
        <v>207</v>
      </c>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ht="14.25" customHeight="1" x14ac:dyDescent="0.2">
      <c r="A182" s="118" t="s">
        <v>861</v>
      </c>
      <c r="B182" s="118" t="s">
        <v>862</v>
      </c>
      <c r="C182" s="118">
        <v>2024</v>
      </c>
      <c r="D182" s="118" t="s">
        <v>863</v>
      </c>
      <c r="E182" s="118" t="s">
        <v>864</v>
      </c>
      <c r="F182" s="118" t="s">
        <v>865</v>
      </c>
      <c r="G182" s="118" t="s">
        <v>866</v>
      </c>
      <c r="H182" s="118" t="s">
        <v>15</v>
      </c>
      <c r="I182" s="118" t="s">
        <v>230</v>
      </c>
      <c r="J182" s="118">
        <v>0</v>
      </c>
      <c r="K182" s="118">
        <v>0</v>
      </c>
      <c r="L182" s="118">
        <v>0</v>
      </c>
      <c r="M182" s="118">
        <v>0</v>
      </c>
      <c r="N182" s="118">
        <v>0</v>
      </c>
      <c r="O182" s="42" t="s">
        <v>16</v>
      </c>
      <c r="P182" s="42" t="s">
        <v>52</v>
      </c>
      <c r="Q182" s="42" t="s">
        <v>100</v>
      </c>
      <c r="R182" s="42" t="s">
        <v>51</v>
      </c>
      <c r="S182" s="125" t="s">
        <v>51</v>
      </c>
      <c r="T182" s="123" t="s">
        <v>208</v>
      </c>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ht="14.25" customHeight="1" x14ac:dyDescent="0.2">
      <c r="A183" s="118" t="s">
        <v>867</v>
      </c>
      <c r="B183" s="118" t="s">
        <v>868</v>
      </c>
      <c r="C183" s="118">
        <v>2024</v>
      </c>
      <c r="D183" s="118" t="s">
        <v>233</v>
      </c>
      <c r="E183" s="118" t="s">
        <v>870</v>
      </c>
      <c r="F183" s="118" t="s">
        <v>871</v>
      </c>
      <c r="G183" s="118" t="s">
        <v>238</v>
      </c>
      <c r="H183" s="118" t="s">
        <v>15</v>
      </c>
      <c r="I183" s="118" t="s">
        <v>230</v>
      </c>
      <c r="J183" s="118" t="s">
        <v>869</v>
      </c>
      <c r="K183" s="118" t="s">
        <v>872</v>
      </c>
      <c r="L183" s="118">
        <v>0</v>
      </c>
      <c r="M183" s="118">
        <v>0</v>
      </c>
      <c r="N183" s="118">
        <v>0</v>
      </c>
      <c r="O183" s="42" t="s">
        <v>16</v>
      </c>
      <c r="P183" s="42" t="s">
        <v>50</v>
      </c>
      <c r="Q183" s="42" t="s">
        <v>100</v>
      </c>
      <c r="R183" s="42" t="s">
        <v>51</v>
      </c>
      <c r="S183" s="125" t="s">
        <v>51</v>
      </c>
      <c r="T183" s="123" t="s">
        <v>195</v>
      </c>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ht="14.25" customHeight="1" x14ac:dyDescent="0.2">
      <c r="A184" s="118" t="s">
        <v>873</v>
      </c>
      <c r="B184" s="118" t="s">
        <v>874</v>
      </c>
      <c r="C184" s="118">
        <v>2024</v>
      </c>
      <c r="D184" s="118" t="s">
        <v>233</v>
      </c>
      <c r="E184" s="118" t="s">
        <v>876</v>
      </c>
      <c r="F184" s="118" t="s">
        <v>877</v>
      </c>
      <c r="G184" s="118" t="s">
        <v>238</v>
      </c>
      <c r="H184" s="118" t="s">
        <v>15</v>
      </c>
      <c r="I184" s="118" t="s">
        <v>230</v>
      </c>
      <c r="J184" s="118" t="s">
        <v>875</v>
      </c>
      <c r="K184" s="118" t="s">
        <v>878</v>
      </c>
      <c r="L184" s="118">
        <v>0</v>
      </c>
      <c r="M184" s="118">
        <v>0</v>
      </c>
      <c r="N184" s="118">
        <v>0</v>
      </c>
      <c r="O184" s="42" t="s">
        <v>16</v>
      </c>
      <c r="P184" s="42" t="s">
        <v>50</v>
      </c>
      <c r="Q184" s="42" t="s">
        <v>100</v>
      </c>
      <c r="R184" s="42" t="s">
        <v>51</v>
      </c>
      <c r="S184" s="125" t="s">
        <v>51</v>
      </c>
      <c r="T184" s="123" t="s">
        <v>196</v>
      </c>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ht="14.25" customHeight="1" x14ac:dyDescent="0.2">
      <c r="A185" s="118" t="s">
        <v>879</v>
      </c>
      <c r="B185" s="118" t="s">
        <v>880</v>
      </c>
      <c r="C185" s="118">
        <v>2025</v>
      </c>
      <c r="D185" s="118" t="s">
        <v>881</v>
      </c>
      <c r="E185" s="118" t="s">
        <v>883</v>
      </c>
      <c r="F185" s="118" t="s">
        <v>884</v>
      </c>
      <c r="G185" s="118" t="s">
        <v>473</v>
      </c>
      <c r="H185" s="118" t="s">
        <v>15</v>
      </c>
      <c r="I185" s="118" t="s">
        <v>230</v>
      </c>
      <c r="J185" s="118" t="s">
        <v>882</v>
      </c>
      <c r="K185" s="118" t="s">
        <v>885</v>
      </c>
      <c r="L185" s="118">
        <v>0</v>
      </c>
      <c r="M185" s="118">
        <v>0</v>
      </c>
      <c r="N185" s="118">
        <v>0</v>
      </c>
      <c r="O185" s="42" t="s">
        <v>16</v>
      </c>
      <c r="P185" s="42" t="s">
        <v>52</v>
      </c>
      <c r="Q185" s="42" t="s">
        <v>100</v>
      </c>
      <c r="R185" s="42" t="s">
        <v>51</v>
      </c>
      <c r="S185" s="125" t="s">
        <v>51</v>
      </c>
      <c r="T185" s="123" t="s">
        <v>197</v>
      </c>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ht="14.25" customHeight="1" x14ac:dyDescent="0.2">
      <c r="A186" s="118" t="s">
        <v>886</v>
      </c>
      <c r="B186" s="118" t="s">
        <v>887</v>
      </c>
      <c r="C186" s="118">
        <v>2023</v>
      </c>
      <c r="D186" s="118" t="s">
        <v>607</v>
      </c>
      <c r="E186" s="118" t="s">
        <v>888</v>
      </c>
      <c r="F186" s="118" t="s">
        <v>889</v>
      </c>
      <c r="G186" s="118" t="s">
        <v>610</v>
      </c>
      <c r="H186" s="118" t="s">
        <v>15</v>
      </c>
      <c r="I186" s="118" t="s">
        <v>230</v>
      </c>
      <c r="J186" s="118">
        <v>0</v>
      </c>
      <c r="K186" s="118" t="s">
        <v>890</v>
      </c>
      <c r="L186" s="118">
        <v>0</v>
      </c>
      <c r="M186" s="118">
        <v>0</v>
      </c>
      <c r="N186" s="118">
        <v>0</v>
      </c>
      <c r="O186" s="42" t="s">
        <v>16</v>
      </c>
      <c r="P186" s="42" t="s">
        <v>52</v>
      </c>
      <c r="Q186" s="42" t="s">
        <v>100</v>
      </c>
      <c r="R186" s="42" t="s">
        <v>52</v>
      </c>
      <c r="S186" s="125" t="s">
        <v>51</v>
      </c>
      <c r="T186" s="123" t="s">
        <v>198</v>
      </c>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ht="14.25" customHeight="1" x14ac:dyDescent="0.2">
      <c r="A187" s="118" t="s">
        <v>891</v>
      </c>
      <c r="B187" s="118" t="s">
        <v>892</v>
      </c>
      <c r="C187" s="118">
        <v>2022</v>
      </c>
      <c r="D187" s="118" t="s">
        <v>893</v>
      </c>
      <c r="E187" s="118" t="s">
        <v>894</v>
      </c>
      <c r="F187" s="118">
        <v>0</v>
      </c>
      <c r="G187" s="118" t="s">
        <v>895</v>
      </c>
      <c r="H187" s="118" t="s">
        <v>15</v>
      </c>
      <c r="I187" s="118" t="s">
        <v>230</v>
      </c>
      <c r="J187" s="118">
        <v>0</v>
      </c>
      <c r="K187" s="118">
        <v>0</v>
      </c>
      <c r="L187" s="118">
        <v>0</v>
      </c>
      <c r="M187" s="118">
        <v>0</v>
      </c>
      <c r="N187" s="118">
        <v>0</v>
      </c>
      <c r="O187" s="42" t="s">
        <v>16</v>
      </c>
      <c r="P187" s="42" t="s">
        <v>50</v>
      </c>
      <c r="Q187" s="42" t="s">
        <v>100</v>
      </c>
      <c r="R187" s="42" t="s">
        <v>51</v>
      </c>
      <c r="S187" s="125" t="s">
        <v>51</v>
      </c>
      <c r="T187" s="123" t="s">
        <v>199</v>
      </c>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ht="14.25" customHeight="1" x14ac:dyDescent="0.2">
      <c r="A188" s="118" t="s">
        <v>896</v>
      </c>
      <c r="B188" s="118" t="s">
        <v>897</v>
      </c>
      <c r="C188" s="118">
        <v>2025</v>
      </c>
      <c r="D188" s="118" t="s">
        <v>898</v>
      </c>
      <c r="E188" s="118" t="s">
        <v>900</v>
      </c>
      <c r="F188" s="118" t="s">
        <v>901</v>
      </c>
      <c r="G188" s="118" t="s">
        <v>473</v>
      </c>
      <c r="H188" s="118" t="s">
        <v>15</v>
      </c>
      <c r="I188" s="118" t="s">
        <v>230</v>
      </c>
      <c r="J188" s="118" t="s">
        <v>899</v>
      </c>
      <c r="K188" s="118">
        <v>0</v>
      </c>
      <c r="L188" s="118">
        <v>0</v>
      </c>
      <c r="M188" s="118">
        <v>0</v>
      </c>
      <c r="N188" s="118">
        <v>0</v>
      </c>
      <c r="O188" s="42" t="s">
        <v>16</v>
      </c>
      <c r="P188" s="42" t="s">
        <v>52</v>
      </c>
      <c r="Q188" s="42" t="s">
        <v>100</v>
      </c>
      <c r="R188" s="42" t="s">
        <v>51</v>
      </c>
      <c r="S188" s="125" t="s">
        <v>51</v>
      </c>
      <c r="T188" s="123" t="s">
        <v>200</v>
      </c>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ht="14.25" customHeight="1" x14ac:dyDescent="0.2">
      <c r="A189" s="118" t="s">
        <v>902</v>
      </c>
      <c r="B189" s="118" t="s">
        <v>903</v>
      </c>
      <c r="C189" s="118">
        <v>2025</v>
      </c>
      <c r="D189" s="118" t="s">
        <v>904</v>
      </c>
      <c r="E189" s="118" t="s">
        <v>905</v>
      </c>
      <c r="F189" s="118" t="s">
        <v>906</v>
      </c>
      <c r="G189" s="118" t="s">
        <v>908</v>
      </c>
      <c r="H189" s="118" t="s">
        <v>15</v>
      </c>
      <c r="I189" s="118" t="s">
        <v>545</v>
      </c>
      <c r="J189" s="118">
        <v>0</v>
      </c>
      <c r="K189" s="118" t="s">
        <v>907</v>
      </c>
      <c r="L189" s="118">
        <v>0</v>
      </c>
      <c r="M189" s="118">
        <v>0</v>
      </c>
      <c r="N189" s="118">
        <v>0</v>
      </c>
      <c r="O189" s="42" t="s">
        <v>16</v>
      </c>
      <c r="P189" s="42" t="s">
        <v>52</v>
      </c>
      <c r="Q189" s="42" t="s">
        <v>100</v>
      </c>
      <c r="R189" s="42" t="s">
        <v>51</v>
      </c>
      <c r="S189" s="125" t="s">
        <v>51</v>
      </c>
      <c r="T189" s="123" t="s">
        <v>201</v>
      </c>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ht="14.25" customHeight="1" x14ac:dyDescent="0.2">
      <c r="A190" s="118" t="s">
        <v>909</v>
      </c>
      <c r="B190" s="118" t="s">
        <v>910</v>
      </c>
      <c r="C190" s="118">
        <v>2022</v>
      </c>
      <c r="D190" s="118" t="s">
        <v>607</v>
      </c>
      <c r="E190" s="118" t="s">
        <v>911</v>
      </c>
      <c r="F190" s="118" t="s">
        <v>912</v>
      </c>
      <c r="G190" s="118" t="s">
        <v>610</v>
      </c>
      <c r="H190" s="118" t="s">
        <v>15</v>
      </c>
      <c r="I190" s="118" t="s">
        <v>230</v>
      </c>
      <c r="J190" s="118">
        <v>0</v>
      </c>
      <c r="K190" s="118">
        <v>0</v>
      </c>
      <c r="L190" s="118">
        <v>0</v>
      </c>
      <c r="M190" s="118">
        <v>0</v>
      </c>
      <c r="N190" s="118">
        <v>0</v>
      </c>
      <c r="O190" s="42" t="s">
        <v>16</v>
      </c>
      <c r="P190" s="42" t="s">
        <v>50</v>
      </c>
      <c r="Q190" s="42" t="s">
        <v>100</v>
      </c>
      <c r="R190" s="42" t="s">
        <v>51</v>
      </c>
      <c r="S190" s="125" t="s">
        <v>51</v>
      </c>
      <c r="T190" s="123" t="s">
        <v>202</v>
      </c>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ht="14.25" customHeight="1" x14ac:dyDescent="0.2">
      <c r="A191" s="118" t="s">
        <v>605</v>
      </c>
      <c r="B191" s="118" t="s">
        <v>913</v>
      </c>
      <c r="C191" s="118">
        <v>2025</v>
      </c>
      <c r="D191" s="118" t="s">
        <v>914</v>
      </c>
      <c r="E191" s="118" t="s">
        <v>916</v>
      </c>
      <c r="F191" s="118" t="s">
        <v>917</v>
      </c>
      <c r="G191" s="118" t="s">
        <v>228</v>
      </c>
      <c r="H191" s="118" t="s">
        <v>15</v>
      </c>
      <c r="I191" s="118" t="s">
        <v>230</v>
      </c>
      <c r="J191" s="118" t="s">
        <v>915</v>
      </c>
      <c r="K191" s="118" t="s">
        <v>918</v>
      </c>
      <c r="L191" s="118">
        <v>0</v>
      </c>
      <c r="M191" s="118">
        <v>0</v>
      </c>
      <c r="N191" s="118">
        <v>0</v>
      </c>
      <c r="O191" s="42" t="s">
        <v>16</v>
      </c>
      <c r="P191" s="42" t="s">
        <v>52</v>
      </c>
      <c r="Q191" s="42" t="s">
        <v>100</v>
      </c>
      <c r="R191" s="42" t="s">
        <v>51</v>
      </c>
      <c r="S191" s="125" t="s">
        <v>51</v>
      </c>
      <c r="T191" s="123" t="s">
        <v>203</v>
      </c>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ht="14.25" customHeight="1" x14ac:dyDescent="0.2">
      <c r="A192" s="118" t="s">
        <v>919</v>
      </c>
      <c r="B192" s="118" t="s">
        <v>920</v>
      </c>
      <c r="C192" s="118">
        <v>2025</v>
      </c>
      <c r="D192" s="118" t="s">
        <v>233</v>
      </c>
      <c r="E192" s="118" t="s">
        <v>922</v>
      </c>
      <c r="F192" s="118" t="s">
        <v>923</v>
      </c>
      <c r="G192" s="118" t="s">
        <v>238</v>
      </c>
      <c r="H192" s="118" t="s">
        <v>15</v>
      </c>
      <c r="I192" s="118" t="s">
        <v>230</v>
      </c>
      <c r="J192" s="118" t="s">
        <v>921</v>
      </c>
      <c r="K192" s="118" t="s">
        <v>924</v>
      </c>
      <c r="L192" s="118">
        <v>0</v>
      </c>
      <c r="M192" s="118">
        <v>0</v>
      </c>
      <c r="N192" s="118">
        <v>0</v>
      </c>
      <c r="O192" s="42" t="s">
        <v>16</v>
      </c>
      <c r="P192" s="42" t="s">
        <v>50</v>
      </c>
      <c r="Q192" s="42" t="s">
        <v>100</v>
      </c>
      <c r="R192" s="42" t="s">
        <v>51</v>
      </c>
      <c r="S192" s="125" t="s">
        <v>51</v>
      </c>
      <c r="T192" s="123" t="s">
        <v>204</v>
      </c>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ht="14.25" customHeight="1" x14ac:dyDescent="0.2">
      <c r="A193" s="118" t="s">
        <v>925</v>
      </c>
      <c r="B193" s="118" t="s">
        <v>926</v>
      </c>
      <c r="C193" s="118">
        <v>2023</v>
      </c>
      <c r="D193" s="118" t="s">
        <v>927</v>
      </c>
      <c r="E193" s="118" t="s">
        <v>929</v>
      </c>
      <c r="F193" s="118" t="s">
        <v>930</v>
      </c>
      <c r="G193" s="118">
        <v>0</v>
      </c>
      <c r="H193" s="118" t="s">
        <v>15</v>
      </c>
      <c r="I193" s="118" t="s">
        <v>253</v>
      </c>
      <c r="J193" s="118" t="s">
        <v>928</v>
      </c>
      <c r="K193" s="118">
        <v>0</v>
      </c>
      <c r="L193" s="118">
        <v>0</v>
      </c>
      <c r="M193" s="118">
        <v>0</v>
      </c>
      <c r="N193" s="118">
        <v>0</v>
      </c>
      <c r="O193" s="42" t="s">
        <v>16</v>
      </c>
      <c r="P193" s="42" t="s">
        <v>52</v>
      </c>
      <c r="Q193" s="42" t="s">
        <v>100</v>
      </c>
      <c r="R193" s="42" t="s">
        <v>51</v>
      </c>
      <c r="S193" s="125" t="s">
        <v>51</v>
      </c>
      <c r="T193" s="123" t="s">
        <v>205</v>
      </c>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ht="14.25" customHeight="1" x14ac:dyDescent="0.2">
      <c r="A194" s="118" t="s">
        <v>931</v>
      </c>
      <c r="B194" s="118" t="s">
        <v>932</v>
      </c>
      <c r="C194" s="118">
        <v>2022</v>
      </c>
      <c r="D194" s="118" t="s">
        <v>233</v>
      </c>
      <c r="E194" s="118" t="s">
        <v>934</v>
      </c>
      <c r="F194" s="118" t="s">
        <v>935</v>
      </c>
      <c r="G194" s="118" t="s">
        <v>238</v>
      </c>
      <c r="H194" s="118" t="s">
        <v>15</v>
      </c>
      <c r="I194" s="118" t="s">
        <v>230</v>
      </c>
      <c r="J194" s="118" t="s">
        <v>933</v>
      </c>
      <c r="K194" s="118" t="s">
        <v>936</v>
      </c>
      <c r="L194" s="118">
        <v>0</v>
      </c>
      <c r="M194" s="118">
        <v>0</v>
      </c>
      <c r="N194" s="118">
        <v>0</v>
      </c>
      <c r="O194" s="42" t="s">
        <v>16</v>
      </c>
      <c r="P194" s="42" t="s">
        <v>50</v>
      </c>
      <c r="Q194" s="42" t="s">
        <v>100</v>
      </c>
      <c r="R194" s="42" t="s">
        <v>51</v>
      </c>
      <c r="S194" s="125" t="s">
        <v>51</v>
      </c>
      <c r="T194" s="123" t="s">
        <v>206</v>
      </c>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ht="14.25" customHeight="1" x14ac:dyDescent="0.2">
      <c r="A195" s="118" t="s">
        <v>937</v>
      </c>
      <c r="B195" s="118" t="s">
        <v>938</v>
      </c>
      <c r="C195" s="118">
        <v>2023</v>
      </c>
      <c r="D195" s="118" t="s">
        <v>939</v>
      </c>
      <c r="E195" s="118" t="s">
        <v>941</v>
      </c>
      <c r="F195" s="118">
        <v>0</v>
      </c>
      <c r="G195" s="118" t="s">
        <v>457</v>
      </c>
      <c r="H195" s="118" t="s">
        <v>15</v>
      </c>
      <c r="I195" s="118" t="s">
        <v>253</v>
      </c>
      <c r="J195" s="118" t="s">
        <v>940</v>
      </c>
      <c r="K195" s="118" t="s">
        <v>942</v>
      </c>
      <c r="L195" s="118">
        <v>0</v>
      </c>
      <c r="M195" s="118">
        <v>0</v>
      </c>
      <c r="N195" s="118">
        <v>0</v>
      </c>
      <c r="O195" s="42" t="s">
        <v>16</v>
      </c>
      <c r="P195" s="42" t="s">
        <v>52</v>
      </c>
      <c r="Q195" s="42" t="s">
        <v>100</v>
      </c>
      <c r="R195" s="42" t="s">
        <v>51</v>
      </c>
      <c r="S195" s="125" t="s">
        <v>51</v>
      </c>
      <c r="T195" s="123" t="s">
        <v>207</v>
      </c>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ht="14.25" customHeight="1" x14ac:dyDescent="0.2">
      <c r="A196" s="118" t="s">
        <v>943</v>
      </c>
      <c r="B196" s="118" t="s">
        <v>944</v>
      </c>
      <c r="C196" s="118">
        <v>2023</v>
      </c>
      <c r="D196" s="118" t="s">
        <v>233</v>
      </c>
      <c r="E196" s="118" t="s">
        <v>946</v>
      </c>
      <c r="F196" s="118" t="s">
        <v>947</v>
      </c>
      <c r="G196" s="118" t="s">
        <v>238</v>
      </c>
      <c r="H196" s="118" t="s">
        <v>15</v>
      </c>
      <c r="I196" s="118" t="s">
        <v>230</v>
      </c>
      <c r="J196" s="118" t="s">
        <v>945</v>
      </c>
      <c r="K196" s="118" t="s">
        <v>948</v>
      </c>
      <c r="L196" s="118">
        <v>0</v>
      </c>
      <c r="M196" s="118">
        <v>0</v>
      </c>
      <c r="N196" s="118">
        <v>0</v>
      </c>
      <c r="O196" s="42" t="s">
        <v>16</v>
      </c>
      <c r="P196" s="42" t="s">
        <v>52</v>
      </c>
      <c r="Q196" s="42" t="s">
        <v>100</v>
      </c>
      <c r="R196" s="42" t="s">
        <v>51</v>
      </c>
      <c r="S196" s="125" t="s">
        <v>51</v>
      </c>
      <c r="T196" s="123" t="s">
        <v>208</v>
      </c>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ht="14.25" customHeight="1" x14ac:dyDescent="0.2">
      <c r="A197" s="118" t="s">
        <v>949</v>
      </c>
      <c r="B197" s="118" t="s">
        <v>950</v>
      </c>
      <c r="C197" s="118">
        <v>2024</v>
      </c>
      <c r="D197" s="118" t="s">
        <v>233</v>
      </c>
      <c r="E197" s="118" t="s">
        <v>952</v>
      </c>
      <c r="F197" s="118" t="s">
        <v>953</v>
      </c>
      <c r="G197" s="118" t="s">
        <v>238</v>
      </c>
      <c r="H197" s="118" t="s">
        <v>15</v>
      </c>
      <c r="I197" s="118" t="s">
        <v>230</v>
      </c>
      <c r="J197" s="118" t="s">
        <v>951</v>
      </c>
      <c r="K197" s="118" t="s">
        <v>954</v>
      </c>
      <c r="L197" s="118">
        <v>0</v>
      </c>
      <c r="M197" s="118">
        <v>0</v>
      </c>
      <c r="N197" s="118">
        <v>0</v>
      </c>
      <c r="O197" s="42" t="s">
        <v>16</v>
      </c>
      <c r="P197" s="42" t="s">
        <v>50</v>
      </c>
      <c r="Q197" s="42" t="s">
        <v>100</v>
      </c>
      <c r="R197" s="42" t="s">
        <v>50</v>
      </c>
      <c r="S197" s="125" t="s">
        <v>51</v>
      </c>
      <c r="T197" s="123" t="s">
        <v>209</v>
      </c>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ht="14.25" customHeight="1" x14ac:dyDescent="0.2">
      <c r="A198" s="118" t="s">
        <v>955</v>
      </c>
      <c r="B198" s="118" t="s">
        <v>956</v>
      </c>
      <c r="C198" s="118">
        <v>2024</v>
      </c>
      <c r="D198" s="118" t="s">
        <v>957</v>
      </c>
      <c r="E198" s="118" t="s">
        <v>959</v>
      </c>
      <c r="F198" s="118" t="s">
        <v>960</v>
      </c>
      <c r="G198" s="118" t="s">
        <v>473</v>
      </c>
      <c r="H198" s="118" t="s">
        <v>961</v>
      </c>
      <c r="I198" s="118" t="s">
        <v>230</v>
      </c>
      <c r="J198" s="118" t="s">
        <v>958</v>
      </c>
      <c r="K198" s="118">
        <v>0</v>
      </c>
      <c r="L198" s="118">
        <v>0</v>
      </c>
      <c r="M198" s="118">
        <v>0</v>
      </c>
      <c r="N198" s="118">
        <v>0</v>
      </c>
      <c r="O198" s="42" t="s">
        <v>16</v>
      </c>
      <c r="P198" s="42" t="s">
        <v>51</v>
      </c>
      <c r="Q198" s="42" t="s">
        <v>100</v>
      </c>
      <c r="R198" s="42" t="s">
        <v>51</v>
      </c>
      <c r="S198" s="125" t="s">
        <v>51</v>
      </c>
      <c r="T198" s="123" t="s">
        <v>210</v>
      </c>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ht="14.25" customHeight="1" x14ac:dyDescent="0.2">
      <c r="A199" s="118" t="s">
        <v>962</v>
      </c>
      <c r="B199" s="118" t="s">
        <v>963</v>
      </c>
      <c r="C199" s="118">
        <v>2025</v>
      </c>
      <c r="D199" s="118" t="s">
        <v>476</v>
      </c>
      <c r="E199" s="118" t="s">
        <v>965</v>
      </c>
      <c r="F199" s="118" t="s">
        <v>966</v>
      </c>
      <c r="G199" s="118" t="s">
        <v>228</v>
      </c>
      <c r="H199" s="118" t="s">
        <v>15</v>
      </c>
      <c r="I199" s="118" t="s">
        <v>230</v>
      </c>
      <c r="J199" s="118" t="s">
        <v>964</v>
      </c>
      <c r="K199" s="118" t="s">
        <v>967</v>
      </c>
      <c r="L199" s="118">
        <v>0</v>
      </c>
      <c r="M199" s="118">
        <v>0</v>
      </c>
      <c r="N199" s="118">
        <v>0</v>
      </c>
      <c r="O199" s="42" t="s">
        <v>16</v>
      </c>
      <c r="P199" s="42" t="s">
        <v>51</v>
      </c>
      <c r="Q199" s="42" t="s">
        <v>100</v>
      </c>
      <c r="R199" s="42" t="s">
        <v>50</v>
      </c>
      <c r="S199" s="125" t="s">
        <v>51</v>
      </c>
      <c r="T199" s="123" t="s">
        <v>211</v>
      </c>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ht="14.25" customHeight="1" x14ac:dyDescent="0.2">
      <c r="A200" s="118" t="s">
        <v>968</v>
      </c>
      <c r="B200" s="118" t="s">
        <v>969</v>
      </c>
      <c r="C200" s="118">
        <v>2026</v>
      </c>
      <c r="D200" s="118" t="s">
        <v>970</v>
      </c>
      <c r="E200" s="118" t="s">
        <v>972</v>
      </c>
      <c r="F200" s="118" t="s">
        <v>973</v>
      </c>
      <c r="G200" s="118" t="s">
        <v>228</v>
      </c>
      <c r="H200" s="118" t="s">
        <v>15</v>
      </c>
      <c r="I200" s="118" t="s">
        <v>230</v>
      </c>
      <c r="J200" s="118" t="s">
        <v>971</v>
      </c>
      <c r="K200" s="118" t="s">
        <v>974</v>
      </c>
      <c r="L200" s="118">
        <v>0</v>
      </c>
      <c r="M200" s="118">
        <v>0</v>
      </c>
      <c r="N200" s="118">
        <v>0</v>
      </c>
      <c r="O200" s="42" t="s">
        <v>16</v>
      </c>
      <c r="P200" s="42" t="s">
        <v>51</v>
      </c>
      <c r="Q200" s="42" t="s">
        <v>100</v>
      </c>
      <c r="R200" s="42" t="s">
        <v>51</v>
      </c>
      <c r="S200" s="125" t="s">
        <v>51</v>
      </c>
      <c r="T200" s="123" t="s">
        <v>212</v>
      </c>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ht="14.25" customHeight="1" x14ac:dyDescent="0.2">
      <c r="A201" s="118" t="s">
        <v>975</v>
      </c>
      <c r="B201" s="118" t="s">
        <v>976</v>
      </c>
      <c r="C201" s="118">
        <v>2022</v>
      </c>
      <c r="D201" s="118" t="s">
        <v>977</v>
      </c>
      <c r="E201" s="118" t="s">
        <v>979</v>
      </c>
      <c r="F201" s="118" t="s">
        <v>980</v>
      </c>
      <c r="G201" s="118" t="s">
        <v>473</v>
      </c>
      <c r="H201" s="118" t="s">
        <v>15</v>
      </c>
      <c r="I201" s="118" t="s">
        <v>253</v>
      </c>
      <c r="J201" s="118" t="s">
        <v>978</v>
      </c>
      <c r="K201" s="118" t="s">
        <v>981</v>
      </c>
      <c r="L201" s="118">
        <v>0</v>
      </c>
      <c r="M201" s="118">
        <v>0</v>
      </c>
      <c r="N201" s="118">
        <v>0</v>
      </c>
      <c r="O201" s="42" t="s">
        <v>16</v>
      </c>
      <c r="P201" s="42" t="s">
        <v>51</v>
      </c>
      <c r="Q201" s="42" t="s">
        <v>100</v>
      </c>
      <c r="R201" s="42" t="s">
        <v>51</v>
      </c>
      <c r="S201" s="125" t="s">
        <v>51</v>
      </c>
      <c r="T201" s="123" t="s">
        <v>213</v>
      </c>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ht="14.25" customHeight="1" x14ac:dyDescent="0.2">
      <c r="A202" s="118" t="s">
        <v>487</v>
      </c>
      <c r="B202" s="118" t="s">
        <v>982</v>
      </c>
      <c r="C202" s="118">
        <v>2023</v>
      </c>
      <c r="D202" s="118" t="s">
        <v>983</v>
      </c>
      <c r="E202" s="118" t="s">
        <v>985</v>
      </c>
      <c r="F202" s="118" t="s">
        <v>986</v>
      </c>
      <c r="G202" s="118" t="s">
        <v>987</v>
      </c>
      <c r="H202" s="118" t="s">
        <v>15</v>
      </c>
      <c r="I202" s="118" t="s">
        <v>230</v>
      </c>
      <c r="J202" s="118" t="s">
        <v>984</v>
      </c>
      <c r="K202" s="118">
        <v>0</v>
      </c>
      <c r="L202" s="118">
        <v>0</v>
      </c>
      <c r="M202" s="118">
        <v>0</v>
      </c>
      <c r="N202" s="118">
        <v>0</v>
      </c>
      <c r="O202" s="42" t="s">
        <v>16</v>
      </c>
      <c r="P202" s="42" t="s">
        <v>50</v>
      </c>
      <c r="Q202" s="42" t="s">
        <v>100</v>
      </c>
      <c r="R202" s="42" t="s">
        <v>51</v>
      </c>
      <c r="S202" s="125" t="s">
        <v>51</v>
      </c>
      <c r="T202" s="123" t="s">
        <v>214</v>
      </c>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ht="14.25" customHeight="1" x14ac:dyDescent="0.2">
      <c r="A203" s="118" t="s">
        <v>988</v>
      </c>
      <c r="B203" s="118" t="s">
        <v>989</v>
      </c>
      <c r="C203" s="118">
        <v>2024</v>
      </c>
      <c r="D203" s="118" t="s">
        <v>523</v>
      </c>
      <c r="E203" s="118" t="s">
        <v>991</v>
      </c>
      <c r="F203" s="118" t="s">
        <v>992</v>
      </c>
      <c r="G203" s="118" t="s">
        <v>228</v>
      </c>
      <c r="H203" s="118" t="s">
        <v>15</v>
      </c>
      <c r="I203" s="118" t="s">
        <v>230</v>
      </c>
      <c r="J203" s="118" t="s">
        <v>990</v>
      </c>
      <c r="K203" s="118" t="s">
        <v>993</v>
      </c>
      <c r="L203" s="118">
        <v>0</v>
      </c>
      <c r="M203" s="118">
        <v>0</v>
      </c>
      <c r="N203" s="118">
        <v>0</v>
      </c>
      <c r="O203" s="42" t="s">
        <v>16</v>
      </c>
      <c r="P203" s="42" t="s">
        <v>51</v>
      </c>
      <c r="Q203" s="42" t="s">
        <v>100</v>
      </c>
      <c r="R203" s="42" t="s">
        <v>50</v>
      </c>
      <c r="S203" s="125" t="s">
        <v>51</v>
      </c>
      <c r="T203" s="123" t="s">
        <v>195</v>
      </c>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ht="14.25" customHeight="1" x14ac:dyDescent="0.2">
      <c r="A204" s="118" t="s">
        <v>995</v>
      </c>
      <c r="B204" s="118" t="s">
        <v>996</v>
      </c>
      <c r="C204" s="118">
        <v>2025</v>
      </c>
      <c r="D204" s="118" t="s">
        <v>233</v>
      </c>
      <c r="E204" s="118" t="s">
        <v>998</v>
      </c>
      <c r="F204" s="118" t="s">
        <v>999</v>
      </c>
      <c r="G204" s="118" t="s">
        <v>238</v>
      </c>
      <c r="H204" s="118" t="s">
        <v>15</v>
      </c>
      <c r="I204" s="118" t="s">
        <v>230</v>
      </c>
      <c r="J204" s="118" t="s">
        <v>997</v>
      </c>
      <c r="K204" s="118" t="s">
        <v>1000</v>
      </c>
      <c r="L204" s="118">
        <v>0</v>
      </c>
      <c r="M204" s="118">
        <v>0</v>
      </c>
      <c r="N204" s="118">
        <v>0</v>
      </c>
      <c r="O204" s="42" t="s">
        <v>16</v>
      </c>
      <c r="P204" s="42" t="s">
        <v>51</v>
      </c>
      <c r="Q204" s="42" t="s">
        <v>100</v>
      </c>
      <c r="R204" s="42" t="s">
        <v>51</v>
      </c>
      <c r="S204" s="125" t="s">
        <v>51</v>
      </c>
      <c r="T204" s="123" t="s">
        <v>196</v>
      </c>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ht="14.25" customHeight="1" x14ac:dyDescent="0.2">
      <c r="A205" s="118" t="s">
        <v>1001</v>
      </c>
      <c r="B205" s="118" t="s">
        <v>1002</v>
      </c>
      <c r="C205" s="118">
        <v>2023</v>
      </c>
      <c r="D205" s="118" t="s">
        <v>1003</v>
      </c>
      <c r="E205" s="118" t="s">
        <v>1005</v>
      </c>
      <c r="F205" s="118" t="s">
        <v>1006</v>
      </c>
      <c r="G205" s="118" t="s">
        <v>350</v>
      </c>
      <c r="H205" s="118" t="s">
        <v>15</v>
      </c>
      <c r="I205" s="118" t="s">
        <v>230</v>
      </c>
      <c r="J205" s="118" t="s">
        <v>1004</v>
      </c>
      <c r="K205" s="118" t="s">
        <v>1007</v>
      </c>
      <c r="L205" s="118">
        <v>0</v>
      </c>
      <c r="M205" s="118">
        <v>0</v>
      </c>
      <c r="N205" s="118">
        <v>0</v>
      </c>
      <c r="O205" s="42" t="s">
        <v>16</v>
      </c>
      <c r="P205" s="42" t="s">
        <v>51</v>
      </c>
      <c r="Q205" s="42" t="s">
        <v>100</v>
      </c>
      <c r="R205" s="42" t="s">
        <v>51</v>
      </c>
      <c r="S205" s="125" t="s">
        <v>51</v>
      </c>
      <c r="T205" s="123" t="s">
        <v>197</v>
      </c>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ht="14.25" customHeight="1" x14ac:dyDescent="0.2">
      <c r="A206" s="118" t="s">
        <v>1008</v>
      </c>
      <c r="B206" s="118" t="s">
        <v>1009</v>
      </c>
      <c r="C206" s="118">
        <v>2023</v>
      </c>
      <c r="D206" s="118" t="s">
        <v>233</v>
      </c>
      <c r="E206" s="118" t="s">
        <v>1011</v>
      </c>
      <c r="F206" s="118" t="s">
        <v>1012</v>
      </c>
      <c r="G206" s="118" t="s">
        <v>238</v>
      </c>
      <c r="H206" s="118" t="s">
        <v>15</v>
      </c>
      <c r="I206" s="118" t="s">
        <v>230</v>
      </c>
      <c r="J206" s="118" t="s">
        <v>1010</v>
      </c>
      <c r="K206" s="118" t="s">
        <v>1013</v>
      </c>
      <c r="L206" s="118">
        <v>0</v>
      </c>
      <c r="M206" s="118">
        <v>0</v>
      </c>
      <c r="N206" s="118">
        <v>0</v>
      </c>
      <c r="O206" s="42" t="s">
        <v>16</v>
      </c>
      <c r="P206" s="42" t="s">
        <v>51</v>
      </c>
      <c r="Q206" s="42" t="s">
        <v>100</v>
      </c>
      <c r="R206" s="42" t="s">
        <v>51</v>
      </c>
      <c r="S206" s="125" t="s">
        <v>51</v>
      </c>
      <c r="T206" s="123" t="s">
        <v>198</v>
      </c>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ht="14.25" customHeight="1" x14ac:dyDescent="0.2">
      <c r="A207" s="118" t="s">
        <v>1014</v>
      </c>
      <c r="B207" s="118" t="s">
        <v>1015</v>
      </c>
      <c r="C207" s="118">
        <v>2024</v>
      </c>
      <c r="D207" s="118" t="s">
        <v>233</v>
      </c>
      <c r="E207" s="118" t="s">
        <v>1017</v>
      </c>
      <c r="F207" s="118" t="s">
        <v>1018</v>
      </c>
      <c r="G207" s="118" t="s">
        <v>238</v>
      </c>
      <c r="H207" s="118" t="s">
        <v>15</v>
      </c>
      <c r="I207" s="118" t="s">
        <v>230</v>
      </c>
      <c r="J207" s="118" t="s">
        <v>1016</v>
      </c>
      <c r="K207" s="118" t="s">
        <v>1019</v>
      </c>
      <c r="L207" s="118">
        <v>0</v>
      </c>
      <c r="M207" s="118">
        <v>0</v>
      </c>
      <c r="N207" s="118">
        <v>0</v>
      </c>
      <c r="O207" s="42" t="s">
        <v>16</v>
      </c>
      <c r="P207" s="42" t="s">
        <v>51</v>
      </c>
      <c r="Q207" s="42" t="s">
        <v>100</v>
      </c>
      <c r="R207" s="42" t="s">
        <v>51</v>
      </c>
      <c r="S207" s="125" t="s">
        <v>51</v>
      </c>
      <c r="T207" s="123" t="s">
        <v>199</v>
      </c>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ht="14.25" customHeight="1" x14ac:dyDescent="0.2">
      <c r="A208" s="118" t="s">
        <v>1020</v>
      </c>
      <c r="B208" s="118" t="s">
        <v>1021</v>
      </c>
      <c r="C208" s="118">
        <v>2023</v>
      </c>
      <c r="D208" s="118" t="s">
        <v>1022</v>
      </c>
      <c r="E208" s="118" t="s">
        <v>1023</v>
      </c>
      <c r="F208" s="118">
        <v>0</v>
      </c>
      <c r="G208" s="118" t="s">
        <v>895</v>
      </c>
      <c r="H208" s="118" t="s">
        <v>15</v>
      </c>
      <c r="I208" s="118" t="s">
        <v>230</v>
      </c>
      <c r="J208" s="118">
        <v>0</v>
      </c>
      <c r="K208" s="118">
        <v>0</v>
      </c>
      <c r="L208" s="118">
        <v>0</v>
      </c>
      <c r="M208" s="118">
        <v>0</v>
      </c>
      <c r="N208" s="118">
        <v>0</v>
      </c>
      <c r="O208" s="42" t="s">
        <v>16</v>
      </c>
      <c r="P208" s="42" t="s">
        <v>51</v>
      </c>
      <c r="Q208" s="42" t="s">
        <v>100</v>
      </c>
      <c r="R208" s="42" t="s">
        <v>52</v>
      </c>
      <c r="S208" s="125" t="s">
        <v>51</v>
      </c>
      <c r="T208" s="123" t="s">
        <v>200</v>
      </c>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ht="14.25" customHeight="1" x14ac:dyDescent="0.2">
      <c r="A209" s="118" t="s">
        <v>1024</v>
      </c>
      <c r="B209" s="118" t="s">
        <v>1025</v>
      </c>
      <c r="C209" s="118">
        <v>2025</v>
      </c>
      <c r="D209" s="118" t="s">
        <v>233</v>
      </c>
      <c r="E209" s="118" t="s">
        <v>1027</v>
      </c>
      <c r="F209" s="118" t="s">
        <v>1028</v>
      </c>
      <c r="G209" s="118" t="s">
        <v>238</v>
      </c>
      <c r="H209" s="118" t="s">
        <v>15</v>
      </c>
      <c r="I209" s="118" t="s">
        <v>230</v>
      </c>
      <c r="J209" s="118" t="s">
        <v>1026</v>
      </c>
      <c r="K209" s="118" t="s">
        <v>1029</v>
      </c>
      <c r="L209" s="118">
        <v>0</v>
      </c>
      <c r="M209" s="118">
        <v>0</v>
      </c>
      <c r="N209" s="118">
        <v>0</v>
      </c>
      <c r="O209" s="42" t="s">
        <v>16</v>
      </c>
      <c r="P209" s="42" t="s">
        <v>51</v>
      </c>
      <c r="Q209" s="42" t="s">
        <v>100</v>
      </c>
      <c r="R209" s="42" t="s">
        <v>51</v>
      </c>
      <c r="S209" s="125" t="s">
        <v>51</v>
      </c>
      <c r="T209" s="123" t="s">
        <v>201</v>
      </c>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ht="14.25" customHeight="1" x14ac:dyDescent="0.2">
      <c r="A210" s="118" t="s">
        <v>1030</v>
      </c>
      <c r="B210" s="118" t="s">
        <v>1031</v>
      </c>
      <c r="C210" s="118">
        <v>2023</v>
      </c>
      <c r="D210" s="118" t="s">
        <v>345</v>
      </c>
      <c r="E210" s="118" t="s">
        <v>1033</v>
      </c>
      <c r="F210" s="118" t="s">
        <v>1034</v>
      </c>
      <c r="G210" s="118" t="s">
        <v>350</v>
      </c>
      <c r="H210" s="118" t="s">
        <v>15</v>
      </c>
      <c r="I210" s="118" t="s">
        <v>253</v>
      </c>
      <c r="J210" s="118" t="s">
        <v>1032</v>
      </c>
      <c r="K210" s="118" t="s">
        <v>1035</v>
      </c>
      <c r="L210" s="118">
        <v>0</v>
      </c>
      <c r="M210" s="118">
        <v>0</v>
      </c>
      <c r="N210" s="118">
        <v>0</v>
      </c>
      <c r="O210" s="42" t="s">
        <v>16</v>
      </c>
      <c r="P210" s="42" t="s">
        <v>51</v>
      </c>
      <c r="Q210" s="42" t="s">
        <v>100</v>
      </c>
      <c r="R210" s="42" t="s">
        <v>51</v>
      </c>
      <c r="S210" s="125" t="s">
        <v>51</v>
      </c>
      <c r="T210" s="123" t="s">
        <v>202</v>
      </c>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ht="14.25" customHeight="1" x14ac:dyDescent="0.2">
      <c r="A211" s="118" t="s">
        <v>1036</v>
      </c>
      <c r="B211" s="118" t="s">
        <v>1037</v>
      </c>
      <c r="C211" s="118">
        <v>2025</v>
      </c>
      <c r="D211" s="118" t="s">
        <v>233</v>
      </c>
      <c r="E211" s="118" t="s">
        <v>1039</v>
      </c>
      <c r="F211" s="118" t="s">
        <v>1040</v>
      </c>
      <c r="G211" s="118" t="s">
        <v>238</v>
      </c>
      <c r="H211" s="118" t="s">
        <v>15</v>
      </c>
      <c r="I211" s="118" t="s">
        <v>230</v>
      </c>
      <c r="J211" s="118" t="s">
        <v>1038</v>
      </c>
      <c r="K211" s="118" t="s">
        <v>1041</v>
      </c>
      <c r="L211" s="118">
        <v>0</v>
      </c>
      <c r="M211" s="118">
        <v>0</v>
      </c>
      <c r="N211" s="118">
        <v>0</v>
      </c>
      <c r="O211" s="42" t="s">
        <v>16</v>
      </c>
      <c r="P211" s="42" t="s">
        <v>51</v>
      </c>
      <c r="Q211" s="42" t="s">
        <v>100</v>
      </c>
      <c r="R211" s="42" t="s">
        <v>51</v>
      </c>
      <c r="S211" s="125" t="s">
        <v>51</v>
      </c>
      <c r="T211" s="123" t="s">
        <v>203</v>
      </c>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ht="14.25" customHeight="1" x14ac:dyDescent="0.2">
      <c r="A212" s="118" t="s">
        <v>1042</v>
      </c>
      <c r="B212" s="118" t="s">
        <v>1043</v>
      </c>
      <c r="C212" s="118">
        <v>2026</v>
      </c>
      <c r="D212" s="118" t="s">
        <v>548</v>
      </c>
      <c r="E212" s="118" t="s">
        <v>1045</v>
      </c>
      <c r="F212" s="118" t="s">
        <v>1046</v>
      </c>
      <c r="G212" s="118" t="s">
        <v>228</v>
      </c>
      <c r="H212" s="118" t="s">
        <v>15</v>
      </c>
      <c r="I212" s="118" t="s">
        <v>230</v>
      </c>
      <c r="J212" s="118" t="s">
        <v>1044</v>
      </c>
      <c r="K212" s="118" t="s">
        <v>1047</v>
      </c>
      <c r="L212" s="118">
        <v>0</v>
      </c>
      <c r="M212" s="118">
        <v>0</v>
      </c>
      <c r="N212" s="118">
        <v>0</v>
      </c>
      <c r="O212" s="42" t="s">
        <v>16</v>
      </c>
      <c r="P212" s="42" t="s">
        <v>51</v>
      </c>
      <c r="Q212" s="42" t="s">
        <v>100</v>
      </c>
      <c r="R212" s="42" t="s">
        <v>51</v>
      </c>
      <c r="S212" s="125" t="s">
        <v>51</v>
      </c>
      <c r="T212" s="123" t="s">
        <v>204</v>
      </c>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ht="14.25" customHeight="1" x14ac:dyDescent="0.2">
      <c r="A213" s="118" t="s">
        <v>1048</v>
      </c>
      <c r="B213" s="118" t="s">
        <v>1049</v>
      </c>
      <c r="C213" s="118">
        <v>2024</v>
      </c>
      <c r="D213" s="118" t="s">
        <v>233</v>
      </c>
      <c r="E213" s="118" t="s">
        <v>1051</v>
      </c>
      <c r="F213" s="118" t="s">
        <v>1052</v>
      </c>
      <c r="G213" s="118" t="s">
        <v>238</v>
      </c>
      <c r="H213" s="118" t="s">
        <v>15</v>
      </c>
      <c r="I213" s="118" t="s">
        <v>230</v>
      </c>
      <c r="J213" s="118" t="s">
        <v>1050</v>
      </c>
      <c r="K213" s="118" t="s">
        <v>1053</v>
      </c>
      <c r="L213" s="118">
        <v>0</v>
      </c>
      <c r="M213" s="118">
        <v>0</v>
      </c>
      <c r="N213" s="118">
        <v>0</v>
      </c>
      <c r="O213" s="42" t="s">
        <v>16</v>
      </c>
      <c r="P213" s="42" t="s">
        <v>51</v>
      </c>
      <c r="Q213" s="42" t="s">
        <v>100</v>
      </c>
      <c r="R213" s="42" t="s">
        <v>52</v>
      </c>
      <c r="S213" s="125" t="s">
        <v>51</v>
      </c>
      <c r="T213" s="123" t="s">
        <v>205</v>
      </c>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ht="14.25" customHeight="1" x14ac:dyDescent="0.2">
      <c r="A214" s="118" t="s">
        <v>1054</v>
      </c>
      <c r="B214" s="118" t="s">
        <v>1055</v>
      </c>
      <c r="C214" s="118">
        <v>2023</v>
      </c>
      <c r="D214" s="118" t="s">
        <v>233</v>
      </c>
      <c r="E214" s="118" t="s">
        <v>1057</v>
      </c>
      <c r="F214" s="118" t="s">
        <v>1058</v>
      </c>
      <c r="G214" s="118" t="s">
        <v>238</v>
      </c>
      <c r="H214" s="118" t="s">
        <v>15</v>
      </c>
      <c r="I214" s="118" t="s">
        <v>230</v>
      </c>
      <c r="J214" s="118" t="s">
        <v>1056</v>
      </c>
      <c r="K214" s="118" t="s">
        <v>1059</v>
      </c>
      <c r="L214" s="118">
        <v>0</v>
      </c>
      <c r="M214" s="118">
        <v>0</v>
      </c>
      <c r="N214" s="118">
        <v>0</v>
      </c>
      <c r="O214" s="42" t="s">
        <v>16</v>
      </c>
      <c r="P214" s="42" t="s">
        <v>51</v>
      </c>
      <c r="Q214" s="42" t="s">
        <v>100</v>
      </c>
      <c r="R214" s="42" t="s">
        <v>51</v>
      </c>
      <c r="S214" s="125" t="s">
        <v>51</v>
      </c>
      <c r="T214" s="123" t="s">
        <v>206</v>
      </c>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ht="14.25" customHeight="1" x14ac:dyDescent="0.2">
      <c r="A215" s="118" t="s">
        <v>1060</v>
      </c>
      <c r="B215" s="118" t="s">
        <v>1061</v>
      </c>
      <c r="C215" s="118">
        <v>2025</v>
      </c>
      <c r="D215" s="118" t="s">
        <v>1062</v>
      </c>
      <c r="E215" s="118" t="s">
        <v>1064</v>
      </c>
      <c r="F215" s="118" t="s">
        <v>1065</v>
      </c>
      <c r="G215" s="118" t="s">
        <v>691</v>
      </c>
      <c r="H215" s="118" t="s">
        <v>15</v>
      </c>
      <c r="I215" s="118" t="s">
        <v>253</v>
      </c>
      <c r="J215" s="118" t="s">
        <v>1063</v>
      </c>
      <c r="K215" s="118" t="s">
        <v>1066</v>
      </c>
      <c r="L215" s="118">
        <v>0</v>
      </c>
      <c r="M215" s="118">
        <v>0</v>
      </c>
      <c r="N215" s="118">
        <v>0</v>
      </c>
      <c r="O215" s="42" t="s">
        <v>16</v>
      </c>
      <c r="P215" s="42" t="s">
        <v>51</v>
      </c>
      <c r="Q215" s="42" t="s">
        <v>100</v>
      </c>
      <c r="R215" s="42" t="s">
        <v>51</v>
      </c>
      <c r="S215" s="125" t="s">
        <v>51</v>
      </c>
      <c r="T215" s="123" t="s">
        <v>207</v>
      </c>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ht="14.25" customHeight="1" x14ac:dyDescent="0.2">
      <c r="A216" s="118" t="s">
        <v>1067</v>
      </c>
      <c r="B216" s="118" t="s">
        <v>1068</v>
      </c>
      <c r="C216" s="118">
        <v>2023</v>
      </c>
      <c r="D216" s="118" t="s">
        <v>233</v>
      </c>
      <c r="E216" s="118" t="s">
        <v>1070</v>
      </c>
      <c r="F216" s="118" t="s">
        <v>1071</v>
      </c>
      <c r="G216" s="118" t="s">
        <v>238</v>
      </c>
      <c r="H216" s="118" t="s">
        <v>15</v>
      </c>
      <c r="I216" s="118" t="s">
        <v>230</v>
      </c>
      <c r="J216" s="118" t="s">
        <v>1069</v>
      </c>
      <c r="K216" s="118" t="s">
        <v>1072</v>
      </c>
      <c r="L216" s="118">
        <v>0</v>
      </c>
      <c r="M216" s="118">
        <v>0</v>
      </c>
      <c r="N216" s="118">
        <v>0</v>
      </c>
      <c r="O216" s="42" t="s">
        <v>16</v>
      </c>
      <c r="P216" s="42" t="s">
        <v>51</v>
      </c>
      <c r="Q216" s="42" t="s">
        <v>100</v>
      </c>
      <c r="R216" s="42" t="s">
        <v>51</v>
      </c>
      <c r="S216" s="125" t="s">
        <v>51</v>
      </c>
      <c r="T216" s="123" t="s">
        <v>208</v>
      </c>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ht="14.25" customHeight="1" x14ac:dyDescent="0.2">
      <c r="A217" s="118" t="s">
        <v>1073</v>
      </c>
      <c r="B217" s="118" t="s">
        <v>1074</v>
      </c>
      <c r="C217" s="118">
        <v>2024</v>
      </c>
      <c r="D217" s="118" t="s">
        <v>233</v>
      </c>
      <c r="E217" s="118" t="s">
        <v>1076</v>
      </c>
      <c r="F217" s="118" t="s">
        <v>1077</v>
      </c>
      <c r="G217" s="118" t="s">
        <v>238</v>
      </c>
      <c r="H217" s="118" t="s">
        <v>15</v>
      </c>
      <c r="I217" s="118" t="s">
        <v>230</v>
      </c>
      <c r="J217" s="118" t="s">
        <v>1075</v>
      </c>
      <c r="K217" s="118" t="s">
        <v>1078</v>
      </c>
      <c r="L217" s="118">
        <v>0</v>
      </c>
      <c r="M217" s="118">
        <v>0</v>
      </c>
      <c r="N217" s="118">
        <v>0</v>
      </c>
      <c r="O217" s="42" t="s">
        <v>16</v>
      </c>
      <c r="P217" s="42" t="s">
        <v>51</v>
      </c>
      <c r="Q217" s="42" t="s">
        <v>100</v>
      </c>
      <c r="R217" s="42" t="s">
        <v>51</v>
      </c>
      <c r="S217" s="125" t="s">
        <v>51</v>
      </c>
      <c r="T217" s="123" t="s">
        <v>209</v>
      </c>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ht="14.25" customHeight="1" x14ac:dyDescent="0.2">
      <c r="A218" s="118" t="s">
        <v>1079</v>
      </c>
      <c r="B218" s="118" t="s">
        <v>1080</v>
      </c>
      <c r="C218" s="118">
        <v>2023</v>
      </c>
      <c r="D218" s="118" t="s">
        <v>1081</v>
      </c>
      <c r="E218" s="118" t="s">
        <v>1083</v>
      </c>
      <c r="F218" s="118" t="s">
        <v>1084</v>
      </c>
      <c r="G218" s="118" t="s">
        <v>1086</v>
      </c>
      <c r="H218" s="118" t="s">
        <v>15</v>
      </c>
      <c r="I218" s="118" t="s">
        <v>253</v>
      </c>
      <c r="J218" s="118" t="s">
        <v>1082</v>
      </c>
      <c r="K218" s="118" t="s">
        <v>1085</v>
      </c>
      <c r="L218" s="118">
        <v>0</v>
      </c>
      <c r="M218" s="118">
        <v>0</v>
      </c>
      <c r="N218" s="118">
        <v>0</v>
      </c>
      <c r="O218" s="42" t="s">
        <v>16</v>
      </c>
      <c r="P218" s="42" t="s">
        <v>50</v>
      </c>
      <c r="Q218" s="42" t="s">
        <v>100</v>
      </c>
      <c r="R218" s="42" t="s">
        <v>51</v>
      </c>
      <c r="S218" s="125" t="s">
        <v>51</v>
      </c>
      <c r="T218" s="123" t="s">
        <v>210</v>
      </c>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ht="14.25" customHeight="1" x14ac:dyDescent="0.2">
      <c r="A219" s="118" t="s">
        <v>744</v>
      </c>
      <c r="B219" s="118" t="s">
        <v>1087</v>
      </c>
      <c r="C219" s="118">
        <v>2022</v>
      </c>
      <c r="D219" s="118" t="s">
        <v>1088</v>
      </c>
      <c r="E219" s="118" t="s">
        <v>1090</v>
      </c>
      <c r="F219" s="118" t="s">
        <v>1091</v>
      </c>
      <c r="G219" s="118" t="s">
        <v>473</v>
      </c>
      <c r="H219" s="118" t="s">
        <v>15</v>
      </c>
      <c r="I219" s="118" t="s">
        <v>230</v>
      </c>
      <c r="J219" s="118" t="s">
        <v>1089</v>
      </c>
      <c r="K219" s="118">
        <v>0</v>
      </c>
      <c r="L219" s="118">
        <v>0</v>
      </c>
      <c r="M219" s="118">
        <v>0</v>
      </c>
      <c r="N219" s="118">
        <v>0</v>
      </c>
      <c r="O219" s="42" t="s">
        <v>16</v>
      </c>
      <c r="P219" s="42" t="s">
        <v>51</v>
      </c>
      <c r="Q219" s="42" t="s">
        <v>100</v>
      </c>
      <c r="R219" s="42" t="s">
        <v>51</v>
      </c>
      <c r="S219" s="125" t="s">
        <v>51</v>
      </c>
      <c r="T219" s="123" t="s">
        <v>211</v>
      </c>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ht="14.25" customHeight="1" x14ac:dyDescent="0.2">
      <c r="A220" s="118" t="s">
        <v>1092</v>
      </c>
      <c r="B220" s="118" t="s">
        <v>1093</v>
      </c>
      <c r="C220" s="118">
        <v>2024</v>
      </c>
      <c r="D220" s="118" t="s">
        <v>233</v>
      </c>
      <c r="E220" s="118" t="s">
        <v>1095</v>
      </c>
      <c r="F220" s="118" t="s">
        <v>1096</v>
      </c>
      <c r="G220" s="118" t="s">
        <v>238</v>
      </c>
      <c r="H220" s="118" t="s">
        <v>15</v>
      </c>
      <c r="I220" s="118" t="s">
        <v>230</v>
      </c>
      <c r="J220" s="118" t="s">
        <v>1094</v>
      </c>
      <c r="K220" s="118" t="s">
        <v>1097</v>
      </c>
      <c r="L220" s="118">
        <v>0</v>
      </c>
      <c r="M220" s="118">
        <v>0</v>
      </c>
      <c r="N220" s="118">
        <v>0</v>
      </c>
      <c r="O220" s="42" t="s">
        <v>16</v>
      </c>
      <c r="P220" s="42" t="s">
        <v>52</v>
      </c>
      <c r="Q220" s="42" t="s">
        <v>100</v>
      </c>
      <c r="R220" s="42" t="s">
        <v>51</v>
      </c>
      <c r="S220" s="125" t="s">
        <v>51</v>
      </c>
      <c r="T220" s="123" t="s">
        <v>212</v>
      </c>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ht="14.25" customHeight="1" x14ac:dyDescent="0.2">
      <c r="A221" s="118" t="s">
        <v>1098</v>
      </c>
      <c r="B221" s="118" t="s">
        <v>1099</v>
      </c>
      <c r="C221" s="118">
        <v>2025</v>
      </c>
      <c r="D221" s="118" t="s">
        <v>233</v>
      </c>
      <c r="E221" s="118" t="s">
        <v>1101</v>
      </c>
      <c r="F221" s="118" t="s">
        <v>1102</v>
      </c>
      <c r="G221" s="118" t="s">
        <v>238</v>
      </c>
      <c r="H221" s="118" t="s">
        <v>15</v>
      </c>
      <c r="I221" s="118" t="s">
        <v>230</v>
      </c>
      <c r="J221" s="118" t="s">
        <v>1100</v>
      </c>
      <c r="K221" s="118" t="s">
        <v>1103</v>
      </c>
      <c r="L221" s="118">
        <v>0</v>
      </c>
      <c r="M221" s="118">
        <v>0</v>
      </c>
      <c r="N221" s="118">
        <v>0</v>
      </c>
      <c r="O221" s="42" t="s">
        <v>16</v>
      </c>
      <c r="P221" s="42" t="s">
        <v>51</v>
      </c>
      <c r="Q221" s="42" t="s">
        <v>100</v>
      </c>
      <c r="R221" s="42" t="s">
        <v>51</v>
      </c>
      <c r="S221" s="125" t="s">
        <v>51</v>
      </c>
      <c r="T221" s="123" t="s">
        <v>213</v>
      </c>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ht="14.25" customHeight="1" x14ac:dyDescent="0.2">
      <c r="A222" s="118" t="s">
        <v>1104</v>
      </c>
      <c r="B222" s="118" t="s">
        <v>1105</v>
      </c>
      <c r="C222" s="118">
        <v>2025</v>
      </c>
      <c r="D222" s="118" t="s">
        <v>233</v>
      </c>
      <c r="E222" s="118" t="s">
        <v>1107</v>
      </c>
      <c r="F222" s="118" t="s">
        <v>1108</v>
      </c>
      <c r="G222" s="118" t="s">
        <v>238</v>
      </c>
      <c r="H222" s="118" t="s">
        <v>15</v>
      </c>
      <c r="I222" s="118" t="s">
        <v>230</v>
      </c>
      <c r="J222" s="118" t="s">
        <v>1106</v>
      </c>
      <c r="K222" s="118" t="s">
        <v>1109</v>
      </c>
      <c r="L222" s="118">
        <v>0</v>
      </c>
      <c r="M222" s="118">
        <v>0</v>
      </c>
      <c r="N222" s="118">
        <v>0</v>
      </c>
      <c r="O222" s="42" t="s">
        <v>16</v>
      </c>
      <c r="P222" s="42" t="s">
        <v>51</v>
      </c>
      <c r="Q222" s="42" t="s">
        <v>100</v>
      </c>
      <c r="R222" s="42" t="s">
        <v>51</v>
      </c>
      <c r="S222" s="125" t="s">
        <v>51</v>
      </c>
      <c r="T222" s="123" t="s">
        <v>214</v>
      </c>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ht="14.25" customHeight="1" x14ac:dyDescent="0.2">
      <c r="A223" s="118" t="s">
        <v>1110</v>
      </c>
      <c r="B223" s="118" t="s">
        <v>1111</v>
      </c>
      <c r="C223" s="118">
        <v>2024</v>
      </c>
      <c r="D223" s="118" t="s">
        <v>233</v>
      </c>
      <c r="E223" s="118" t="s">
        <v>1113</v>
      </c>
      <c r="F223" s="118" t="s">
        <v>1114</v>
      </c>
      <c r="G223" s="118" t="s">
        <v>238</v>
      </c>
      <c r="H223" s="118" t="s">
        <v>15</v>
      </c>
      <c r="I223" s="118" t="s">
        <v>230</v>
      </c>
      <c r="J223" s="118" t="s">
        <v>1112</v>
      </c>
      <c r="K223" s="118" t="s">
        <v>1115</v>
      </c>
      <c r="L223" s="118">
        <v>0</v>
      </c>
      <c r="M223" s="118">
        <v>0</v>
      </c>
      <c r="N223" s="118">
        <v>0</v>
      </c>
      <c r="O223" s="42" t="s">
        <v>16</v>
      </c>
      <c r="P223" s="42" t="s">
        <v>51</v>
      </c>
      <c r="Q223" s="42" t="s">
        <v>100</v>
      </c>
      <c r="R223" s="42" t="s">
        <v>51</v>
      </c>
      <c r="S223" s="125" t="s">
        <v>51</v>
      </c>
      <c r="T223" s="123" t="s">
        <v>199</v>
      </c>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ht="14.25" customHeight="1" x14ac:dyDescent="0.2">
      <c r="A224" s="118" t="s">
        <v>1116</v>
      </c>
      <c r="B224" s="118" t="s">
        <v>1117</v>
      </c>
      <c r="C224" s="118">
        <v>2025</v>
      </c>
      <c r="D224" s="118" t="s">
        <v>1118</v>
      </c>
      <c r="E224" s="118" t="s">
        <v>1120</v>
      </c>
      <c r="F224" s="118" t="s">
        <v>1121</v>
      </c>
      <c r="G224" s="118" t="s">
        <v>473</v>
      </c>
      <c r="H224" s="118" t="s">
        <v>15</v>
      </c>
      <c r="I224" s="118" t="s">
        <v>230</v>
      </c>
      <c r="J224" s="118" t="s">
        <v>1119</v>
      </c>
      <c r="K224" s="118">
        <v>0</v>
      </c>
      <c r="L224" s="118">
        <v>0</v>
      </c>
      <c r="M224" s="118">
        <v>0</v>
      </c>
      <c r="N224" s="118">
        <v>0</v>
      </c>
      <c r="O224" s="42" t="s">
        <v>16</v>
      </c>
      <c r="P224" s="42" t="s">
        <v>51</v>
      </c>
      <c r="Q224" s="42" t="s">
        <v>100</v>
      </c>
      <c r="R224" s="42" t="s">
        <v>51</v>
      </c>
      <c r="S224" s="125" t="s">
        <v>51</v>
      </c>
      <c r="T224" s="123" t="s">
        <v>200</v>
      </c>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ht="14.25" customHeight="1" x14ac:dyDescent="0.2">
      <c r="A225" s="118" t="s">
        <v>1122</v>
      </c>
      <c r="B225" s="118" t="s">
        <v>1123</v>
      </c>
      <c r="C225" s="118">
        <v>2026</v>
      </c>
      <c r="D225" s="118" t="s">
        <v>1124</v>
      </c>
      <c r="E225" s="118" t="s">
        <v>1126</v>
      </c>
      <c r="F225" s="118" t="s">
        <v>1127</v>
      </c>
      <c r="G225" s="118" t="s">
        <v>260</v>
      </c>
      <c r="H225" s="118" t="s">
        <v>15</v>
      </c>
      <c r="I225" s="118" t="s">
        <v>253</v>
      </c>
      <c r="J225" s="118" t="s">
        <v>1125</v>
      </c>
      <c r="K225" s="118" t="s">
        <v>1128</v>
      </c>
      <c r="L225" s="118">
        <v>0</v>
      </c>
      <c r="M225" s="118">
        <v>0</v>
      </c>
      <c r="N225" s="118">
        <v>0</v>
      </c>
      <c r="O225" s="42" t="s">
        <v>16</v>
      </c>
      <c r="P225" s="42" t="s">
        <v>51</v>
      </c>
      <c r="Q225" s="42" t="s">
        <v>100</v>
      </c>
      <c r="R225" s="42" t="s">
        <v>52</v>
      </c>
      <c r="S225" s="125" t="s">
        <v>51</v>
      </c>
      <c r="T225" s="123" t="s">
        <v>201</v>
      </c>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ht="14.25" customHeight="1" x14ac:dyDescent="0.2">
      <c r="A226" s="118" t="s">
        <v>1129</v>
      </c>
      <c r="B226" s="118" t="s">
        <v>1130</v>
      </c>
      <c r="C226" s="118">
        <v>2025</v>
      </c>
      <c r="D226" s="118" t="s">
        <v>233</v>
      </c>
      <c r="E226" s="118" t="s">
        <v>1132</v>
      </c>
      <c r="F226" s="118" t="s">
        <v>1133</v>
      </c>
      <c r="G226" s="118" t="s">
        <v>238</v>
      </c>
      <c r="H226" s="118" t="s">
        <v>15</v>
      </c>
      <c r="I226" s="118" t="s">
        <v>230</v>
      </c>
      <c r="J226" s="118" t="s">
        <v>1131</v>
      </c>
      <c r="K226" s="118">
        <v>0</v>
      </c>
      <c r="L226" s="118">
        <v>0</v>
      </c>
      <c r="M226" s="118">
        <v>0</v>
      </c>
      <c r="N226" s="118">
        <v>0</v>
      </c>
      <c r="O226" s="42" t="s">
        <v>16</v>
      </c>
      <c r="P226" s="42" t="s">
        <v>51</v>
      </c>
      <c r="Q226" s="42" t="s">
        <v>100</v>
      </c>
      <c r="R226" s="42" t="s">
        <v>51</v>
      </c>
      <c r="S226" s="125" t="s">
        <v>51</v>
      </c>
      <c r="T226" s="123" t="s">
        <v>202</v>
      </c>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ht="14.25" customHeight="1" x14ac:dyDescent="0.2">
      <c r="A227" s="118" t="s">
        <v>1134</v>
      </c>
      <c r="B227" s="118" t="s">
        <v>1135</v>
      </c>
      <c r="C227" s="118">
        <v>2025</v>
      </c>
      <c r="D227" s="118" t="s">
        <v>331</v>
      </c>
      <c r="E227" s="118" t="s">
        <v>1137</v>
      </c>
      <c r="F227" s="118" t="s">
        <v>1138</v>
      </c>
      <c r="G227" s="118" t="s">
        <v>336</v>
      </c>
      <c r="H227" s="118" t="s">
        <v>15</v>
      </c>
      <c r="I227" s="118" t="s">
        <v>302</v>
      </c>
      <c r="J227" s="118" t="s">
        <v>1136</v>
      </c>
      <c r="K227" s="118" t="s">
        <v>1139</v>
      </c>
      <c r="L227" s="118">
        <v>0</v>
      </c>
      <c r="M227" s="118">
        <v>0</v>
      </c>
      <c r="N227" s="118">
        <v>0</v>
      </c>
      <c r="O227" s="42" t="s">
        <v>16</v>
      </c>
      <c r="P227" s="42" t="s">
        <v>51</v>
      </c>
      <c r="Q227" s="42" t="s">
        <v>100</v>
      </c>
      <c r="R227" s="42" t="s">
        <v>51</v>
      </c>
      <c r="S227" s="125" t="s">
        <v>51</v>
      </c>
      <c r="T227" s="123" t="s">
        <v>203</v>
      </c>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ht="14.25" customHeight="1" x14ac:dyDescent="0.2">
      <c r="A228" s="118" t="s">
        <v>1140</v>
      </c>
      <c r="B228" s="118" t="s">
        <v>1141</v>
      </c>
      <c r="C228" s="118">
        <v>2022</v>
      </c>
      <c r="D228" s="118" t="s">
        <v>1142</v>
      </c>
      <c r="E228" s="118" t="s">
        <v>1144</v>
      </c>
      <c r="F228" s="118" t="s">
        <v>1145</v>
      </c>
      <c r="G228" s="118" t="s">
        <v>238</v>
      </c>
      <c r="H228" s="118" t="s">
        <v>15</v>
      </c>
      <c r="I228" s="118" t="s">
        <v>253</v>
      </c>
      <c r="J228" s="118" t="s">
        <v>1143</v>
      </c>
      <c r="K228" s="118" t="s">
        <v>1146</v>
      </c>
      <c r="L228" s="118">
        <v>0</v>
      </c>
      <c r="M228" s="118">
        <v>0</v>
      </c>
      <c r="N228" s="118">
        <v>0</v>
      </c>
      <c r="O228" s="42" t="s">
        <v>16</v>
      </c>
      <c r="P228" s="42" t="s">
        <v>51</v>
      </c>
      <c r="Q228" s="42" t="s">
        <v>100</v>
      </c>
      <c r="R228" s="42" t="s">
        <v>51</v>
      </c>
      <c r="S228" s="125" t="s">
        <v>51</v>
      </c>
      <c r="T228" s="123" t="s">
        <v>204</v>
      </c>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ht="14.25" customHeight="1" x14ac:dyDescent="0.2">
      <c r="A229" s="118" t="s">
        <v>1147</v>
      </c>
      <c r="B229" s="118" t="s">
        <v>1148</v>
      </c>
      <c r="C229" s="118">
        <v>2021</v>
      </c>
      <c r="D229" s="118" t="s">
        <v>1149</v>
      </c>
      <c r="E229" s="118" t="s">
        <v>1151</v>
      </c>
      <c r="F229" s="118" t="s">
        <v>1152</v>
      </c>
      <c r="G229" s="118" t="s">
        <v>274</v>
      </c>
      <c r="H229" s="118" t="s">
        <v>15</v>
      </c>
      <c r="I229" s="118" t="s">
        <v>253</v>
      </c>
      <c r="J229" s="118" t="s">
        <v>1150</v>
      </c>
      <c r="K229" s="118" t="s">
        <v>1153</v>
      </c>
      <c r="L229" s="118">
        <v>0</v>
      </c>
      <c r="M229" s="118">
        <v>0</v>
      </c>
      <c r="N229" s="118">
        <v>0</v>
      </c>
      <c r="O229" s="42" t="s">
        <v>16</v>
      </c>
      <c r="P229" s="42" t="s">
        <v>51</v>
      </c>
      <c r="Q229" s="42" t="s">
        <v>100</v>
      </c>
      <c r="R229" s="42" t="s">
        <v>51</v>
      </c>
      <c r="S229" s="125" t="s">
        <v>51</v>
      </c>
      <c r="T229" s="123" t="s">
        <v>205</v>
      </c>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ht="14.25" customHeight="1" x14ac:dyDescent="0.2">
      <c r="A230" s="118" t="s">
        <v>1154</v>
      </c>
      <c r="B230" s="118" t="s">
        <v>1155</v>
      </c>
      <c r="C230" s="118">
        <v>2023</v>
      </c>
      <c r="D230" s="118" t="s">
        <v>233</v>
      </c>
      <c r="E230" s="118" t="s">
        <v>1157</v>
      </c>
      <c r="F230" s="118" t="s">
        <v>1158</v>
      </c>
      <c r="G230" s="118" t="s">
        <v>238</v>
      </c>
      <c r="H230" s="118" t="s">
        <v>15</v>
      </c>
      <c r="I230" s="118" t="s">
        <v>230</v>
      </c>
      <c r="J230" s="118" t="s">
        <v>1156</v>
      </c>
      <c r="K230" s="118" t="s">
        <v>1159</v>
      </c>
      <c r="L230" s="118">
        <v>0</v>
      </c>
      <c r="M230" s="118">
        <v>0</v>
      </c>
      <c r="N230" s="118">
        <v>0</v>
      </c>
      <c r="O230" s="42" t="s">
        <v>16</v>
      </c>
      <c r="P230" s="42" t="s">
        <v>51</v>
      </c>
      <c r="Q230" s="42" t="s">
        <v>100</v>
      </c>
      <c r="R230" s="42" t="s">
        <v>51</v>
      </c>
      <c r="S230" s="125" t="s">
        <v>51</v>
      </c>
      <c r="T230" s="123" t="s">
        <v>206</v>
      </c>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ht="14.25" customHeight="1" x14ac:dyDescent="0.2">
      <c r="A231" s="118" t="s">
        <v>1160</v>
      </c>
      <c r="B231" s="118" t="s">
        <v>1161</v>
      </c>
      <c r="C231" s="118">
        <v>2024</v>
      </c>
      <c r="D231" s="118" t="s">
        <v>233</v>
      </c>
      <c r="E231" s="118" t="s">
        <v>1163</v>
      </c>
      <c r="F231" s="118" t="s">
        <v>1164</v>
      </c>
      <c r="G231" s="118" t="s">
        <v>238</v>
      </c>
      <c r="H231" s="118" t="s">
        <v>15</v>
      </c>
      <c r="I231" s="118" t="s">
        <v>230</v>
      </c>
      <c r="J231" s="118" t="s">
        <v>1162</v>
      </c>
      <c r="K231" s="118" t="s">
        <v>1165</v>
      </c>
      <c r="L231" s="118">
        <v>0</v>
      </c>
      <c r="M231" s="118">
        <v>0</v>
      </c>
      <c r="N231" s="118">
        <v>0</v>
      </c>
      <c r="O231" s="42" t="s">
        <v>16</v>
      </c>
      <c r="P231" s="42" t="s">
        <v>51</v>
      </c>
      <c r="Q231" s="42" t="s">
        <v>100</v>
      </c>
      <c r="R231" s="42" t="s">
        <v>51</v>
      </c>
      <c r="S231" s="125" t="s">
        <v>51</v>
      </c>
      <c r="T231" s="123" t="s">
        <v>207</v>
      </c>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ht="14.25" customHeight="1" x14ac:dyDescent="0.2">
      <c r="A232" s="118" t="s">
        <v>1166</v>
      </c>
      <c r="B232" s="118" t="s">
        <v>1167</v>
      </c>
      <c r="C232" s="118">
        <v>2024</v>
      </c>
      <c r="D232" s="118" t="s">
        <v>233</v>
      </c>
      <c r="E232" s="118" t="s">
        <v>1169</v>
      </c>
      <c r="F232" s="118" t="s">
        <v>1170</v>
      </c>
      <c r="G232" s="118" t="s">
        <v>238</v>
      </c>
      <c r="H232" s="118" t="s">
        <v>15</v>
      </c>
      <c r="I232" s="118" t="s">
        <v>230</v>
      </c>
      <c r="J232" s="118" t="s">
        <v>1168</v>
      </c>
      <c r="K232" s="118" t="s">
        <v>1171</v>
      </c>
      <c r="L232" s="118">
        <v>0</v>
      </c>
      <c r="M232" s="118">
        <v>0</v>
      </c>
      <c r="N232" s="118">
        <v>0</v>
      </c>
      <c r="O232" s="42" t="s">
        <v>16</v>
      </c>
      <c r="P232" s="42" t="s">
        <v>51</v>
      </c>
      <c r="Q232" s="42" t="s">
        <v>100</v>
      </c>
      <c r="R232" s="42" t="s">
        <v>51</v>
      </c>
      <c r="S232" s="125" t="s">
        <v>51</v>
      </c>
      <c r="T232" s="123" t="s">
        <v>208</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ht="14.25" customHeight="1" x14ac:dyDescent="0.2">
      <c r="A233" s="118" t="s">
        <v>1172</v>
      </c>
      <c r="B233" s="118" t="s">
        <v>1173</v>
      </c>
      <c r="C233" s="118">
        <v>2023</v>
      </c>
      <c r="D233" s="118" t="s">
        <v>233</v>
      </c>
      <c r="E233" s="118" t="s">
        <v>1175</v>
      </c>
      <c r="F233" s="118" t="s">
        <v>1176</v>
      </c>
      <c r="G233" s="118" t="s">
        <v>238</v>
      </c>
      <c r="H233" s="118" t="s">
        <v>15</v>
      </c>
      <c r="I233" s="118" t="s">
        <v>230</v>
      </c>
      <c r="J233" s="118" t="s">
        <v>1174</v>
      </c>
      <c r="K233" s="118" t="s">
        <v>1177</v>
      </c>
      <c r="L233" s="118">
        <v>0</v>
      </c>
      <c r="M233" s="118">
        <v>0</v>
      </c>
      <c r="N233" s="118">
        <v>0</v>
      </c>
      <c r="O233" s="42" t="s">
        <v>16</v>
      </c>
      <c r="P233" s="42" t="s">
        <v>51</v>
      </c>
      <c r="Q233" s="42" t="s">
        <v>100</v>
      </c>
      <c r="R233" s="42" t="s">
        <v>51</v>
      </c>
      <c r="S233" s="125" t="s">
        <v>51</v>
      </c>
      <c r="T233" s="123" t="s">
        <v>209</v>
      </c>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ht="14.25" customHeight="1" x14ac:dyDescent="0.2">
      <c r="A234" s="118" t="s">
        <v>1178</v>
      </c>
      <c r="B234" s="118" t="s">
        <v>1179</v>
      </c>
      <c r="C234" s="118">
        <v>2024</v>
      </c>
      <c r="D234" s="118" t="s">
        <v>233</v>
      </c>
      <c r="E234" s="118" t="s">
        <v>1181</v>
      </c>
      <c r="F234" s="118" t="s">
        <v>1182</v>
      </c>
      <c r="G234" s="118" t="s">
        <v>238</v>
      </c>
      <c r="H234" s="118" t="s">
        <v>15</v>
      </c>
      <c r="I234" s="118" t="s">
        <v>230</v>
      </c>
      <c r="J234" s="118" t="s">
        <v>1180</v>
      </c>
      <c r="K234" s="118" t="s">
        <v>1183</v>
      </c>
      <c r="L234" s="118">
        <v>0</v>
      </c>
      <c r="M234" s="118">
        <v>0</v>
      </c>
      <c r="N234" s="118">
        <v>0</v>
      </c>
      <c r="O234" s="42" t="s">
        <v>16</v>
      </c>
      <c r="P234" s="42" t="s">
        <v>52</v>
      </c>
      <c r="Q234" s="42" t="s">
        <v>100</v>
      </c>
      <c r="R234" s="42" t="s">
        <v>51</v>
      </c>
      <c r="S234" s="125" t="s">
        <v>51</v>
      </c>
      <c r="T234" s="123" t="s">
        <v>210</v>
      </c>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ht="14.25" customHeight="1" x14ac:dyDescent="0.2">
      <c r="A235" s="118" t="s">
        <v>1184</v>
      </c>
      <c r="B235" s="118" t="s">
        <v>1185</v>
      </c>
      <c r="C235" s="118">
        <v>2024</v>
      </c>
      <c r="D235" s="118" t="s">
        <v>233</v>
      </c>
      <c r="E235" s="118" t="s">
        <v>1187</v>
      </c>
      <c r="F235" s="118" t="s">
        <v>1188</v>
      </c>
      <c r="G235" s="118" t="s">
        <v>238</v>
      </c>
      <c r="H235" s="118" t="s">
        <v>15</v>
      </c>
      <c r="I235" s="118" t="s">
        <v>230</v>
      </c>
      <c r="J235" s="118" t="s">
        <v>1186</v>
      </c>
      <c r="K235" s="118" t="s">
        <v>1189</v>
      </c>
      <c r="L235" s="118">
        <v>0</v>
      </c>
      <c r="M235" s="118">
        <v>0</v>
      </c>
      <c r="N235" s="118">
        <v>0</v>
      </c>
      <c r="O235" s="42" t="s">
        <v>16</v>
      </c>
      <c r="P235" s="42" t="s">
        <v>51</v>
      </c>
      <c r="Q235" s="42" t="s">
        <v>100</v>
      </c>
      <c r="R235" s="42" t="s">
        <v>51</v>
      </c>
      <c r="S235" s="125" t="s">
        <v>51</v>
      </c>
      <c r="T235" s="123" t="s">
        <v>211</v>
      </c>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ht="14.25" customHeight="1" x14ac:dyDescent="0.2">
      <c r="A236" s="118" t="s">
        <v>1190</v>
      </c>
      <c r="B236" s="118" t="s">
        <v>1191</v>
      </c>
      <c r="C236" s="118">
        <v>2022</v>
      </c>
      <c r="D236" s="118" t="s">
        <v>233</v>
      </c>
      <c r="E236" s="118" t="s">
        <v>1193</v>
      </c>
      <c r="F236" s="118" t="s">
        <v>1194</v>
      </c>
      <c r="G236" s="118" t="s">
        <v>238</v>
      </c>
      <c r="H236" s="118" t="s">
        <v>15</v>
      </c>
      <c r="I236" s="118" t="s">
        <v>230</v>
      </c>
      <c r="J236" s="118" t="s">
        <v>1192</v>
      </c>
      <c r="K236" s="118" t="s">
        <v>1195</v>
      </c>
      <c r="L236" s="118">
        <v>0</v>
      </c>
      <c r="M236" s="118">
        <v>0</v>
      </c>
      <c r="N236" s="118">
        <v>0</v>
      </c>
      <c r="O236" s="42" t="s">
        <v>16</v>
      </c>
      <c r="P236" s="42" t="s">
        <v>51</v>
      </c>
      <c r="Q236" s="42" t="s">
        <v>100</v>
      </c>
      <c r="R236" s="42" t="s">
        <v>50</v>
      </c>
      <c r="S236" s="125" t="s">
        <v>51</v>
      </c>
      <c r="T236" s="123" t="s">
        <v>212</v>
      </c>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ht="14.25" customHeight="1" x14ac:dyDescent="0.2">
      <c r="A237" s="118" t="s">
        <v>1196</v>
      </c>
      <c r="B237" s="118" t="s">
        <v>1197</v>
      </c>
      <c r="C237" s="118">
        <v>2025</v>
      </c>
      <c r="D237" s="118" t="s">
        <v>1198</v>
      </c>
      <c r="E237" s="118" t="s">
        <v>1200</v>
      </c>
      <c r="F237" s="118" t="s">
        <v>1201</v>
      </c>
      <c r="G237" s="118" t="s">
        <v>1203</v>
      </c>
      <c r="H237" s="118" t="s">
        <v>15</v>
      </c>
      <c r="I237" s="118" t="s">
        <v>230</v>
      </c>
      <c r="J237" s="118" t="s">
        <v>1199</v>
      </c>
      <c r="K237" s="118" t="s">
        <v>1202</v>
      </c>
      <c r="L237" s="118">
        <v>0</v>
      </c>
      <c r="M237" s="118">
        <v>0</v>
      </c>
      <c r="N237" s="118">
        <v>0</v>
      </c>
      <c r="O237" s="42" t="s">
        <v>16</v>
      </c>
      <c r="P237" s="42" t="s">
        <v>51</v>
      </c>
      <c r="Q237" s="42" t="s">
        <v>100</v>
      </c>
      <c r="R237" s="42" t="s">
        <v>51</v>
      </c>
      <c r="S237" s="125" t="s">
        <v>51</v>
      </c>
      <c r="T237" s="123" t="s">
        <v>213</v>
      </c>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ht="14.25" customHeight="1" x14ac:dyDescent="0.2">
      <c r="A238" s="118" t="s">
        <v>1204</v>
      </c>
      <c r="B238" s="118" t="s">
        <v>1205</v>
      </c>
      <c r="C238" s="118">
        <v>2023</v>
      </c>
      <c r="D238" s="118" t="s">
        <v>1206</v>
      </c>
      <c r="E238" s="118" t="s">
        <v>1208</v>
      </c>
      <c r="F238" s="118" t="s">
        <v>1209</v>
      </c>
      <c r="G238" s="118" t="s">
        <v>1210</v>
      </c>
      <c r="H238" s="118" t="s">
        <v>1211</v>
      </c>
      <c r="I238" s="118" t="s">
        <v>253</v>
      </c>
      <c r="J238" s="118" t="s">
        <v>1207</v>
      </c>
      <c r="K238" s="118">
        <v>0</v>
      </c>
      <c r="L238" s="118">
        <v>0</v>
      </c>
      <c r="M238" s="118">
        <v>0</v>
      </c>
      <c r="N238" s="118">
        <v>0</v>
      </c>
      <c r="O238" s="42" t="s">
        <v>16</v>
      </c>
      <c r="P238" s="42" t="s">
        <v>51</v>
      </c>
      <c r="Q238" s="42" t="s">
        <v>100</v>
      </c>
      <c r="R238" s="42" t="s">
        <v>50</v>
      </c>
      <c r="S238" s="125" t="s">
        <v>51</v>
      </c>
      <c r="T238" s="123" t="s">
        <v>214</v>
      </c>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ht="14.25" customHeight="1" x14ac:dyDescent="0.2">
      <c r="A239" s="118" t="s">
        <v>1212</v>
      </c>
      <c r="B239" s="118" t="s">
        <v>1213</v>
      </c>
      <c r="C239" s="118">
        <v>2025</v>
      </c>
      <c r="D239" s="118" t="s">
        <v>277</v>
      </c>
      <c r="E239" s="118" t="s">
        <v>1215</v>
      </c>
      <c r="F239" s="118" t="s">
        <v>1216</v>
      </c>
      <c r="G239" s="118" t="s">
        <v>282</v>
      </c>
      <c r="H239" s="118" t="s">
        <v>15</v>
      </c>
      <c r="I239" s="118" t="s">
        <v>253</v>
      </c>
      <c r="J239" s="118" t="s">
        <v>1214</v>
      </c>
      <c r="K239" s="118" t="s">
        <v>1217</v>
      </c>
      <c r="L239" s="118">
        <v>0</v>
      </c>
      <c r="M239" s="118">
        <v>0</v>
      </c>
      <c r="N239" s="118">
        <v>0</v>
      </c>
      <c r="O239" s="42" t="s">
        <v>16</v>
      </c>
      <c r="P239" s="42" t="s">
        <v>51</v>
      </c>
      <c r="Q239" s="42" t="s">
        <v>100</v>
      </c>
      <c r="R239" s="42" t="s">
        <v>51</v>
      </c>
      <c r="S239" s="125" t="s">
        <v>51</v>
      </c>
      <c r="T239" s="123" t="s">
        <v>195</v>
      </c>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ht="14.25" customHeight="1" x14ac:dyDescent="0.2">
      <c r="A240" s="118" t="s">
        <v>1218</v>
      </c>
      <c r="B240" s="118" t="s">
        <v>1219</v>
      </c>
      <c r="C240" s="118">
        <v>2023</v>
      </c>
      <c r="D240" s="118" t="s">
        <v>394</v>
      </c>
      <c r="E240" s="118" t="s">
        <v>1221</v>
      </c>
      <c r="F240" s="118" t="s">
        <v>1222</v>
      </c>
      <c r="G240" s="118" t="s">
        <v>274</v>
      </c>
      <c r="H240" s="118" t="s">
        <v>15</v>
      </c>
      <c r="I240" s="118" t="s">
        <v>253</v>
      </c>
      <c r="J240" s="118" t="s">
        <v>1220</v>
      </c>
      <c r="K240" s="118" t="s">
        <v>1223</v>
      </c>
      <c r="L240" s="118">
        <v>0</v>
      </c>
      <c r="M240" s="118">
        <v>0</v>
      </c>
      <c r="N240" s="118">
        <v>0</v>
      </c>
      <c r="O240" s="42" t="s">
        <v>16</v>
      </c>
      <c r="P240" s="42" t="s">
        <v>51</v>
      </c>
      <c r="Q240" s="42" t="s">
        <v>100</v>
      </c>
      <c r="R240" s="42" t="s">
        <v>51</v>
      </c>
      <c r="S240" s="125" t="s">
        <v>51</v>
      </c>
      <c r="T240" s="123" t="s">
        <v>196</v>
      </c>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ht="14.25" customHeight="1" x14ac:dyDescent="0.2">
      <c r="A241" s="118" t="s">
        <v>1224</v>
      </c>
      <c r="B241" s="118" t="s">
        <v>1225</v>
      </c>
      <c r="C241" s="118">
        <v>2023</v>
      </c>
      <c r="D241" s="118" t="s">
        <v>331</v>
      </c>
      <c r="E241" s="118" t="s">
        <v>1227</v>
      </c>
      <c r="F241" s="118" t="s">
        <v>1228</v>
      </c>
      <c r="G241" s="118" t="s">
        <v>336</v>
      </c>
      <c r="H241" s="118" t="s">
        <v>15</v>
      </c>
      <c r="I241" s="118" t="s">
        <v>253</v>
      </c>
      <c r="J241" s="118" t="s">
        <v>1226</v>
      </c>
      <c r="K241" s="118" t="s">
        <v>505</v>
      </c>
      <c r="L241" s="118">
        <v>0</v>
      </c>
      <c r="M241" s="118">
        <v>0</v>
      </c>
      <c r="N241" s="118">
        <v>0</v>
      </c>
      <c r="O241" s="42" t="s">
        <v>16</v>
      </c>
      <c r="P241" s="42" t="s">
        <v>50</v>
      </c>
      <c r="Q241" s="42" t="s">
        <v>100</v>
      </c>
      <c r="R241" s="42" t="s">
        <v>51</v>
      </c>
      <c r="S241" s="125" t="s">
        <v>51</v>
      </c>
      <c r="T241" s="123" t="s">
        <v>197</v>
      </c>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ht="14.25" customHeight="1" x14ac:dyDescent="0.2">
      <c r="A242" s="118" t="s">
        <v>1229</v>
      </c>
      <c r="B242" s="118" t="s">
        <v>1230</v>
      </c>
      <c r="C242" s="118">
        <v>2022</v>
      </c>
      <c r="D242" s="118" t="s">
        <v>1231</v>
      </c>
      <c r="E242" s="118" t="s">
        <v>1233</v>
      </c>
      <c r="F242" s="118" t="s">
        <v>1234</v>
      </c>
      <c r="G242" s="118" t="s">
        <v>473</v>
      </c>
      <c r="H242" s="118" t="s">
        <v>15</v>
      </c>
      <c r="I242" s="118" t="s">
        <v>230</v>
      </c>
      <c r="J242" s="118" t="s">
        <v>1232</v>
      </c>
      <c r="K242" s="118">
        <v>0</v>
      </c>
      <c r="L242" s="118">
        <v>0</v>
      </c>
      <c r="M242" s="118">
        <v>0</v>
      </c>
      <c r="N242" s="118">
        <v>0</v>
      </c>
      <c r="O242" s="42" t="s">
        <v>16</v>
      </c>
      <c r="P242" s="42" t="s">
        <v>51</v>
      </c>
      <c r="Q242" s="42" t="s">
        <v>100</v>
      </c>
      <c r="R242" s="42" t="s">
        <v>50</v>
      </c>
      <c r="S242" s="125" t="s">
        <v>51</v>
      </c>
      <c r="T242" s="123" t="s">
        <v>198</v>
      </c>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ht="14.25" customHeight="1" x14ac:dyDescent="0.2">
      <c r="A243" s="118" t="s">
        <v>1235</v>
      </c>
      <c r="B243" s="118" t="s">
        <v>1236</v>
      </c>
      <c r="C243" s="118">
        <v>2025</v>
      </c>
      <c r="D243" s="118" t="s">
        <v>317</v>
      </c>
      <c r="E243" s="118" t="s">
        <v>1238</v>
      </c>
      <c r="F243" s="118" t="s">
        <v>1239</v>
      </c>
      <c r="G243" s="118" t="s">
        <v>322</v>
      </c>
      <c r="H243" s="118" t="s">
        <v>15</v>
      </c>
      <c r="I243" s="118" t="s">
        <v>253</v>
      </c>
      <c r="J243" s="118" t="s">
        <v>1237</v>
      </c>
      <c r="K243" s="118" t="s">
        <v>1240</v>
      </c>
      <c r="L243" s="118">
        <v>0</v>
      </c>
      <c r="M243" s="118">
        <v>0</v>
      </c>
      <c r="N243" s="118">
        <v>0</v>
      </c>
      <c r="O243" s="42" t="s">
        <v>16</v>
      </c>
      <c r="P243" s="42" t="s">
        <v>51</v>
      </c>
      <c r="Q243" s="42" t="s">
        <v>100</v>
      </c>
      <c r="R243" s="42" t="s">
        <v>51</v>
      </c>
      <c r="S243" s="125" t="s">
        <v>51</v>
      </c>
      <c r="T243" s="123" t="s">
        <v>199</v>
      </c>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ht="14.25" customHeight="1" x14ac:dyDescent="0.2">
      <c r="A244" s="118" t="s">
        <v>1241</v>
      </c>
      <c r="B244" s="118" t="s">
        <v>1242</v>
      </c>
      <c r="C244" s="118">
        <v>2025</v>
      </c>
      <c r="D244" s="118" t="s">
        <v>1003</v>
      </c>
      <c r="E244" s="118" t="s">
        <v>1244</v>
      </c>
      <c r="F244" s="118" t="s">
        <v>1245</v>
      </c>
      <c r="G244" s="118" t="s">
        <v>350</v>
      </c>
      <c r="H244" s="118" t="s">
        <v>15</v>
      </c>
      <c r="I244" s="118" t="s">
        <v>230</v>
      </c>
      <c r="J244" s="118" t="s">
        <v>1243</v>
      </c>
      <c r="K244" s="118" t="s">
        <v>1246</v>
      </c>
      <c r="L244" s="118">
        <v>0</v>
      </c>
      <c r="M244" s="118">
        <v>0</v>
      </c>
      <c r="N244" s="118">
        <v>0</v>
      </c>
      <c r="O244" s="42" t="s">
        <v>16</v>
      </c>
      <c r="P244" s="42" t="s">
        <v>51</v>
      </c>
      <c r="Q244" s="42" t="s">
        <v>100</v>
      </c>
      <c r="R244" s="42" t="s">
        <v>51</v>
      </c>
      <c r="S244" s="125" t="s">
        <v>51</v>
      </c>
      <c r="T244" s="123" t="s">
        <v>200</v>
      </c>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ht="14.25" customHeight="1" x14ac:dyDescent="0.2">
      <c r="A245" s="118" t="s">
        <v>1247</v>
      </c>
      <c r="B245" s="118" t="s">
        <v>1248</v>
      </c>
      <c r="C245" s="118">
        <v>2022</v>
      </c>
      <c r="D245" s="118" t="s">
        <v>233</v>
      </c>
      <c r="E245" s="118" t="s">
        <v>1250</v>
      </c>
      <c r="F245" s="118" t="s">
        <v>1251</v>
      </c>
      <c r="G245" s="118" t="s">
        <v>238</v>
      </c>
      <c r="H245" s="118" t="s">
        <v>15</v>
      </c>
      <c r="I245" s="118" t="s">
        <v>230</v>
      </c>
      <c r="J245" s="118" t="s">
        <v>1249</v>
      </c>
      <c r="K245" s="118" t="s">
        <v>1252</v>
      </c>
      <c r="L245" s="118">
        <v>0</v>
      </c>
      <c r="M245" s="118">
        <v>0</v>
      </c>
      <c r="N245" s="118">
        <v>0</v>
      </c>
      <c r="O245" s="42" t="s">
        <v>16</v>
      </c>
      <c r="P245" s="42" t="s">
        <v>51</v>
      </c>
      <c r="Q245" s="42" t="s">
        <v>100</v>
      </c>
      <c r="R245" s="42" t="s">
        <v>51</v>
      </c>
      <c r="S245" s="125" t="s">
        <v>51</v>
      </c>
      <c r="T245" s="123" t="s">
        <v>201</v>
      </c>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ht="14.25" customHeight="1" x14ac:dyDescent="0.2">
      <c r="A246" s="118" t="s">
        <v>1253</v>
      </c>
      <c r="B246" s="118" t="s">
        <v>1254</v>
      </c>
      <c r="C246" s="118">
        <v>2025</v>
      </c>
      <c r="D246" s="118" t="s">
        <v>233</v>
      </c>
      <c r="E246" s="118" t="s">
        <v>1256</v>
      </c>
      <c r="F246" s="118" t="s">
        <v>1257</v>
      </c>
      <c r="G246" s="118" t="s">
        <v>238</v>
      </c>
      <c r="H246" s="118" t="s">
        <v>15</v>
      </c>
      <c r="I246" s="118" t="s">
        <v>230</v>
      </c>
      <c r="J246" s="118" t="s">
        <v>1255</v>
      </c>
      <c r="K246" s="118" t="s">
        <v>1258</v>
      </c>
      <c r="L246" s="118">
        <v>0</v>
      </c>
      <c r="M246" s="118">
        <v>0</v>
      </c>
      <c r="N246" s="118">
        <v>0</v>
      </c>
      <c r="O246" s="42" t="s">
        <v>16</v>
      </c>
      <c r="P246" s="42" t="s">
        <v>51</v>
      </c>
      <c r="Q246" s="42" t="s">
        <v>100</v>
      </c>
      <c r="R246" s="42" t="s">
        <v>51</v>
      </c>
      <c r="S246" s="125" t="s">
        <v>51</v>
      </c>
      <c r="T246" s="123" t="s">
        <v>202</v>
      </c>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ht="14.25" customHeight="1" x14ac:dyDescent="0.2">
      <c r="A247" s="118" t="s">
        <v>1259</v>
      </c>
      <c r="B247" s="118" t="s">
        <v>1260</v>
      </c>
      <c r="C247" s="118">
        <v>2025</v>
      </c>
      <c r="D247" s="118" t="s">
        <v>1261</v>
      </c>
      <c r="E247" s="118" t="s">
        <v>1263</v>
      </c>
      <c r="F247" s="118" t="s">
        <v>1264</v>
      </c>
      <c r="G247" s="118" t="s">
        <v>238</v>
      </c>
      <c r="H247" s="118" t="s">
        <v>15</v>
      </c>
      <c r="I247" s="118" t="s">
        <v>230</v>
      </c>
      <c r="J247" s="118" t="s">
        <v>1262</v>
      </c>
      <c r="K247" s="118">
        <v>0</v>
      </c>
      <c r="L247" s="118">
        <v>0</v>
      </c>
      <c r="M247" s="118">
        <v>0</v>
      </c>
      <c r="N247" s="118">
        <v>0</v>
      </c>
      <c r="O247" s="42" t="s">
        <v>16</v>
      </c>
      <c r="P247" s="42" t="s">
        <v>51</v>
      </c>
      <c r="Q247" s="42" t="s">
        <v>100</v>
      </c>
      <c r="R247" s="42" t="s">
        <v>52</v>
      </c>
      <c r="S247" s="125" t="s">
        <v>51</v>
      </c>
      <c r="T247" s="123" t="s">
        <v>203</v>
      </c>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ht="14.25" customHeight="1" x14ac:dyDescent="0.2">
      <c r="A248" s="118" t="s">
        <v>1265</v>
      </c>
      <c r="B248" s="118" t="s">
        <v>1266</v>
      </c>
      <c r="C248" s="118">
        <v>2022</v>
      </c>
      <c r="D248" s="118" t="s">
        <v>1081</v>
      </c>
      <c r="E248" s="118" t="s">
        <v>1268</v>
      </c>
      <c r="F248" s="118" t="s">
        <v>1269</v>
      </c>
      <c r="G248" s="118" t="s">
        <v>1086</v>
      </c>
      <c r="H248" s="118" t="s">
        <v>15</v>
      </c>
      <c r="I248" s="118" t="s">
        <v>253</v>
      </c>
      <c r="J248" s="118" t="s">
        <v>1267</v>
      </c>
      <c r="K248" s="118" t="s">
        <v>1270</v>
      </c>
      <c r="L248" s="118">
        <v>0</v>
      </c>
      <c r="M248" s="118">
        <v>0</v>
      </c>
      <c r="N248" s="118">
        <v>0</v>
      </c>
      <c r="O248" s="42" t="s">
        <v>16</v>
      </c>
      <c r="P248" s="42" t="s">
        <v>51</v>
      </c>
      <c r="Q248" s="42" t="s">
        <v>100</v>
      </c>
      <c r="R248" s="42" t="s">
        <v>51</v>
      </c>
      <c r="S248" s="125" t="s">
        <v>51</v>
      </c>
      <c r="T248" s="123" t="s">
        <v>204</v>
      </c>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ht="14.25" customHeight="1" x14ac:dyDescent="0.2">
      <c r="A249" s="118" t="s">
        <v>1271</v>
      </c>
      <c r="B249" s="118" t="s">
        <v>1272</v>
      </c>
      <c r="C249" s="118">
        <v>2023</v>
      </c>
      <c r="D249" s="118" t="s">
        <v>927</v>
      </c>
      <c r="E249" s="118" t="s">
        <v>1274</v>
      </c>
      <c r="F249" s="118" t="s">
        <v>1275</v>
      </c>
      <c r="G249" s="118">
        <v>0</v>
      </c>
      <c r="H249" s="118" t="s">
        <v>15</v>
      </c>
      <c r="I249" s="118" t="s">
        <v>253</v>
      </c>
      <c r="J249" s="118" t="s">
        <v>1273</v>
      </c>
      <c r="K249" s="118">
        <v>0</v>
      </c>
      <c r="L249" s="118">
        <v>0</v>
      </c>
      <c r="M249" s="118">
        <v>0</v>
      </c>
      <c r="N249" s="118">
        <v>0</v>
      </c>
      <c r="O249" s="42" t="s">
        <v>16</v>
      </c>
      <c r="P249" s="42" t="s">
        <v>51</v>
      </c>
      <c r="Q249" s="42" t="s">
        <v>100</v>
      </c>
      <c r="R249" s="42" t="s">
        <v>51</v>
      </c>
      <c r="S249" s="125" t="s">
        <v>51</v>
      </c>
      <c r="T249" s="123" t="s">
        <v>205</v>
      </c>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ht="14.25" customHeight="1" x14ac:dyDescent="0.2">
      <c r="A250" s="118" t="s">
        <v>1276</v>
      </c>
      <c r="B250" s="118" t="s">
        <v>1277</v>
      </c>
      <c r="C250" s="118">
        <v>2022</v>
      </c>
      <c r="D250" s="118" t="s">
        <v>233</v>
      </c>
      <c r="E250" s="118" t="s">
        <v>1279</v>
      </c>
      <c r="F250" s="118" t="s">
        <v>1280</v>
      </c>
      <c r="G250" s="118" t="s">
        <v>238</v>
      </c>
      <c r="H250" s="118" t="s">
        <v>15</v>
      </c>
      <c r="I250" s="118" t="s">
        <v>230</v>
      </c>
      <c r="J250" s="118" t="s">
        <v>1278</v>
      </c>
      <c r="K250" s="118" t="s">
        <v>1281</v>
      </c>
      <c r="L250" s="118">
        <v>0</v>
      </c>
      <c r="M250" s="118">
        <v>0</v>
      </c>
      <c r="N250" s="118">
        <v>0</v>
      </c>
      <c r="O250" s="42" t="s">
        <v>16</v>
      </c>
      <c r="P250" s="42" t="s">
        <v>51</v>
      </c>
      <c r="Q250" s="42" t="s">
        <v>100</v>
      </c>
      <c r="R250" s="42" t="s">
        <v>51</v>
      </c>
      <c r="S250" s="125" t="s">
        <v>51</v>
      </c>
      <c r="T250" s="123" t="s">
        <v>206</v>
      </c>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ht="14.25" customHeight="1" x14ac:dyDescent="0.2">
      <c r="A251" s="118" t="s">
        <v>1282</v>
      </c>
      <c r="B251" s="118" t="s">
        <v>1283</v>
      </c>
      <c r="C251" s="118">
        <v>2022</v>
      </c>
      <c r="D251" s="118" t="s">
        <v>233</v>
      </c>
      <c r="E251" s="118" t="s">
        <v>1285</v>
      </c>
      <c r="F251" s="118" t="s">
        <v>1286</v>
      </c>
      <c r="G251" s="118" t="s">
        <v>238</v>
      </c>
      <c r="H251" s="118" t="s">
        <v>15</v>
      </c>
      <c r="I251" s="118" t="s">
        <v>230</v>
      </c>
      <c r="J251" s="118" t="s">
        <v>1284</v>
      </c>
      <c r="K251" s="118" t="s">
        <v>1287</v>
      </c>
      <c r="L251" s="118">
        <v>0</v>
      </c>
      <c r="M251" s="118">
        <v>0</v>
      </c>
      <c r="N251" s="118">
        <v>0</v>
      </c>
      <c r="O251" s="42" t="s">
        <v>16</v>
      </c>
      <c r="P251" s="42" t="s">
        <v>51</v>
      </c>
      <c r="Q251" s="42" t="s">
        <v>100</v>
      </c>
      <c r="R251" s="42" t="s">
        <v>51</v>
      </c>
      <c r="S251" s="125" t="s">
        <v>51</v>
      </c>
      <c r="T251" s="123" t="s">
        <v>207</v>
      </c>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ht="14.25" customHeight="1" x14ac:dyDescent="0.2">
      <c r="A252" s="118" t="s">
        <v>1288</v>
      </c>
      <c r="B252" s="118" t="s">
        <v>1289</v>
      </c>
      <c r="C252" s="118">
        <v>2023</v>
      </c>
      <c r="D252" s="118" t="s">
        <v>1290</v>
      </c>
      <c r="E252" s="118" t="s">
        <v>1291</v>
      </c>
      <c r="F252" s="118" t="s">
        <v>1292</v>
      </c>
      <c r="G252" s="118" t="s">
        <v>1293</v>
      </c>
      <c r="H252" s="118" t="s">
        <v>15</v>
      </c>
      <c r="I252" s="118" t="s">
        <v>230</v>
      </c>
      <c r="J252" s="118">
        <v>0</v>
      </c>
      <c r="K252" s="118">
        <v>0</v>
      </c>
      <c r="L252" s="118">
        <v>0</v>
      </c>
      <c r="M252" s="118">
        <v>0</v>
      </c>
      <c r="N252" s="118">
        <v>0</v>
      </c>
      <c r="O252" s="42" t="s">
        <v>16</v>
      </c>
      <c r="P252" s="42" t="s">
        <v>51</v>
      </c>
      <c r="Q252" s="42" t="s">
        <v>100</v>
      </c>
      <c r="R252" s="42" t="s">
        <v>52</v>
      </c>
      <c r="S252" s="125" t="s">
        <v>51</v>
      </c>
      <c r="T252" s="123" t="s">
        <v>208</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ht="14.25" customHeight="1" x14ac:dyDescent="0.2">
      <c r="A253" s="118" t="s">
        <v>1294</v>
      </c>
      <c r="B253" s="118" t="s">
        <v>1295</v>
      </c>
      <c r="C253" s="118">
        <v>2025</v>
      </c>
      <c r="D253" s="118" t="s">
        <v>331</v>
      </c>
      <c r="E253" s="118" t="s">
        <v>1297</v>
      </c>
      <c r="F253" s="118" t="s">
        <v>1298</v>
      </c>
      <c r="G253" s="118" t="s">
        <v>336</v>
      </c>
      <c r="H253" s="118" t="s">
        <v>15</v>
      </c>
      <c r="I253" s="118" t="s">
        <v>253</v>
      </c>
      <c r="J253" s="118" t="s">
        <v>1296</v>
      </c>
      <c r="K253" s="118" t="s">
        <v>1299</v>
      </c>
      <c r="L253" s="118">
        <v>0</v>
      </c>
      <c r="M253" s="118">
        <v>0</v>
      </c>
      <c r="N253" s="118">
        <v>0</v>
      </c>
      <c r="O253" s="42" t="s">
        <v>16</v>
      </c>
      <c r="P253" s="42" t="s">
        <v>51</v>
      </c>
      <c r="Q253" s="42" t="s">
        <v>100</v>
      </c>
      <c r="R253" s="42" t="s">
        <v>51</v>
      </c>
      <c r="S253" s="125" t="s">
        <v>51</v>
      </c>
      <c r="T253" s="123" t="s">
        <v>199</v>
      </c>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ht="14.25" customHeight="1" x14ac:dyDescent="0.2">
      <c r="A254" s="118" t="s">
        <v>1300</v>
      </c>
      <c r="B254" s="118" t="s">
        <v>1301</v>
      </c>
      <c r="C254" s="118">
        <v>2026</v>
      </c>
      <c r="D254" s="118" t="s">
        <v>1302</v>
      </c>
      <c r="E254" s="118" t="s">
        <v>1304</v>
      </c>
      <c r="F254" s="118" t="s">
        <v>1305</v>
      </c>
      <c r="G254" s="118" t="s">
        <v>1307</v>
      </c>
      <c r="H254" s="118" t="s">
        <v>15</v>
      </c>
      <c r="I254" s="118" t="s">
        <v>253</v>
      </c>
      <c r="J254" s="118" t="s">
        <v>1303</v>
      </c>
      <c r="K254" s="118" t="s">
        <v>1306</v>
      </c>
      <c r="L254" s="118">
        <v>0</v>
      </c>
      <c r="M254" s="118">
        <v>0</v>
      </c>
      <c r="N254" s="118">
        <v>0</v>
      </c>
      <c r="O254" s="42" t="s">
        <v>16</v>
      </c>
      <c r="P254" s="42" t="s">
        <v>51</v>
      </c>
      <c r="Q254" s="42" t="s">
        <v>100</v>
      </c>
      <c r="R254" s="42" t="s">
        <v>51</v>
      </c>
      <c r="S254" s="125" t="s">
        <v>51</v>
      </c>
      <c r="T254" s="123" t="s">
        <v>200</v>
      </c>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ht="14.25" customHeight="1" x14ac:dyDescent="0.2">
      <c r="A255" s="118" t="s">
        <v>1308</v>
      </c>
      <c r="B255" s="118" t="s">
        <v>1309</v>
      </c>
      <c r="C255" s="118">
        <v>2023</v>
      </c>
      <c r="D255" s="118" t="s">
        <v>233</v>
      </c>
      <c r="E255" s="118" t="s">
        <v>1311</v>
      </c>
      <c r="F255" s="118" t="s">
        <v>1312</v>
      </c>
      <c r="G255" s="118" t="s">
        <v>238</v>
      </c>
      <c r="H255" s="118" t="s">
        <v>15</v>
      </c>
      <c r="I255" s="118" t="s">
        <v>230</v>
      </c>
      <c r="J255" s="118" t="s">
        <v>1310</v>
      </c>
      <c r="K255" s="118" t="s">
        <v>1313</v>
      </c>
      <c r="L255" s="118">
        <v>0</v>
      </c>
      <c r="M255" s="118">
        <v>0</v>
      </c>
      <c r="N255" s="118">
        <v>0</v>
      </c>
      <c r="O255" s="42" t="s">
        <v>16</v>
      </c>
      <c r="P255" s="42" t="s">
        <v>51</v>
      </c>
      <c r="Q255" s="42" t="s">
        <v>100</v>
      </c>
      <c r="R255" s="42" t="s">
        <v>51</v>
      </c>
      <c r="S255" s="125" t="s">
        <v>51</v>
      </c>
      <c r="T255" s="123" t="s">
        <v>201</v>
      </c>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ht="14.25" customHeight="1" x14ac:dyDescent="0.2">
      <c r="A256" s="118" t="s">
        <v>1314</v>
      </c>
      <c r="B256" s="118" t="s">
        <v>1315</v>
      </c>
      <c r="C256" s="118">
        <v>2025</v>
      </c>
      <c r="D256" s="118" t="s">
        <v>233</v>
      </c>
      <c r="E256" s="118" t="s">
        <v>1317</v>
      </c>
      <c r="F256" s="118" t="s">
        <v>1318</v>
      </c>
      <c r="G256" s="118" t="s">
        <v>238</v>
      </c>
      <c r="H256" s="118" t="s">
        <v>15</v>
      </c>
      <c r="I256" s="118" t="s">
        <v>230</v>
      </c>
      <c r="J256" s="118" t="s">
        <v>1316</v>
      </c>
      <c r="K256" s="118" t="s">
        <v>1319</v>
      </c>
      <c r="L256" s="118">
        <v>0</v>
      </c>
      <c r="M256" s="118">
        <v>0</v>
      </c>
      <c r="N256" s="118">
        <v>0</v>
      </c>
      <c r="O256" s="42" t="s">
        <v>16</v>
      </c>
      <c r="P256" s="42" t="s">
        <v>51</v>
      </c>
      <c r="Q256" s="42" t="s">
        <v>100</v>
      </c>
      <c r="R256" s="42" t="s">
        <v>51</v>
      </c>
      <c r="S256" s="125" t="s">
        <v>51</v>
      </c>
      <c r="T256" s="123" t="s">
        <v>202</v>
      </c>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ht="14.25" customHeight="1" x14ac:dyDescent="0.2">
      <c r="A257" s="118" t="s">
        <v>1320</v>
      </c>
      <c r="B257" s="118" t="s">
        <v>1321</v>
      </c>
      <c r="C257" s="118">
        <v>2026</v>
      </c>
      <c r="D257" s="118" t="s">
        <v>1322</v>
      </c>
      <c r="E257" s="118" t="s">
        <v>1324</v>
      </c>
      <c r="F257" s="118" t="s">
        <v>1325</v>
      </c>
      <c r="G257" s="118" t="s">
        <v>282</v>
      </c>
      <c r="H257" s="118" t="s">
        <v>15</v>
      </c>
      <c r="I257" s="118" t="s">
        <v>253</v>
      </c>
      <c r="J257" s="118" t="s">
        <v>1323</v>
      </c>
      <c r="K257" s="118" t="s">
        <v>1326</v>
      </c>
      <c r="L257" s="118">
        <v>0</v>
      </c>
      <c r="M257" s="118">
        <v>0</v>
      </c>
      <c r="N257" s="118">
        <v>0</v>
      </c>
      <c r="O257" s="42" t="s">
        <v>16</v>
      </c>
      <c r="P257" s="42" t="s">
        <v>50</v>
      </c>
      <c r="Q257" s="42" t="s">
        <v>100</v>
      </c>
      <c r="R257" s="42" t="s">
        <v>51</v>
      </c>
      <c r="S257" s="125" t="s">
        <v>51</v>
      </c>
      <c r="T257" s="123" t="s">
        <v>203</v>
      </c>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ht="14.25" customHeight="1" x14ac:dyDescent="0.2">
      <c r="A258" s="118" t="s">
        <v>1327</v>
      </c>
      <c r="B258" s="118" t="s">
        <v>1328</v>
      </c>
      <c r="C258" s="118">
        <v>2022</v>
      </c>
      <c r="D258" s="118" t="s">
        <v>331</v>
      </c>
      <c r="E258" s="118" t="s">
        <v>1330</v>
      </c>
      <c r="F258" s="118" t="s">
        <v>1331</v>
      </c>
      <c r="G258" s="118" t="s">
        <v>1333</v>
      </c>
      <c r="H258" s="118" t="s">
        <v>15</v>
      </c>
      <c r="I258" s="118" t="s">
        <v>253</v>
      </c>
      <c r="J258" s="118" t="s">
        <v>1329</v>
      </c>
      <c r="K258" s="118" t="s">
        <v>1332</v>
      </c>
      <c r="L258" s="118">
        <v>0</v>
      </c>
      <c r="M258" s="118">
        <v>0</v>
      </c>
      <c r="N258" s="118">
        <v>0</v>
      </c>
      <c r="O258" s="42" t="s">
        <v>16</v>
      </c>
      <c r="P258" s="42" t="s">
        <v>51</v>
      </c>
      <c r="Q258" s="42" t="s">
        <v>100</v>
      </c>
      <c r="R258" s="42" t="s">
        <v>51</v>
      </c>
      <c r="S258" s="125" t="s">
        <v>51</v>
      </c>
      <c r="T258" s="123" t="s">
        <v>204</v>
      </c>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ht="14.25" customHeight="1" x14ac:dyDescent="0.2">
      <c r="A259" s="118" t="s">
        <v>1334</v>
      </c>
      <c r="B259" s="118" t="s">
        <v>1335</v>
      </c>
      <c r="C259" s="118">
        <v>2023</v>
      </c>
      <c r="D259" s="118" t="s">
        <v>233</v>
      </c>
      <c r="E259" s="118" t="s">
        <v>1337</v>
      </c>
      <c r="F259" s="118" t="s">
        <v>1338</v>
      </c>
      <c r="G259" s="118" t="s">
        <v>238</v>
      </c>
      <c r="H259" s="118" t="s">
        <v>15</v>
      </c>
      <c r="I259" s="118" t="s">
        <v>230</v>
      </c>
      <c r="J259" s="118" t="s">
        <v>1336</v>
      </c>
      <c r="K259" s="118" t="s">
        <v>1339</v>
      </c>
      <c r="L259" s="118">
        <v>0</v>
      </c>
      <c r="M259" s="118">
        <v>0</v>
      </c>
      <c r="N259" s="118">
        <v>0</v>
      </c>
      <c r="O259" s="42" t="s">
        <v>16</v>
      </c>
      <c r="P259" s="42" t="s">
        <v>52</v>
      </c>
      <c r="Q259" s="42" t="s">
        <v>100</v>
      </c>
      <c r="R259" s="42" t="s">
        <v>51</v>
      </c>
      <c r="S259" s="125" t="s">
        <v>51</v>
      </c>
      <c r="T259" s="123" t="s">
        <v>205</v>
      </c>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ht="14.25" customHeight="1" x14ac:dyDescent="0.2">
      <c r="A260" s="118" t="s">
        <v>1340</v>
      </c>
      <c r="B260" s="118" t="s">
        <v>1341</v>
      </c>
      <c r="C260" s="118">
        <v>2023</v>
      </c>
      <c r="D260" s="118" t="s">
        <v>1342</v>
      </c>
      <c r="E260" s="118" t="s">
        <v>1344</v>
      </c>
      <c r="F260" s="118" t="s">
        <v>1345</v>
      </c>
      <c r="G260" s="118" t="s">
        <v>473</v>
      </c>
      <c r="H260" s="118" t="s">
        <v>15</v>
      </c>
      <c r="I260" s="118" t="s">
        <v>230</v>
      </c>
      <c r="J260" s="118" t="s">
        <v>1343</v>
      </c>
      <c r="K260" s="118">
        <v>0</v>
      </c>
      <c r="L260" s="118">
        <v>0</v>
      </c>
      <c r="M260" s="118">
        <v>0</v>
      </c>
      <c r="N260" s="118">
        <v>0</v>
      </c>
      <c r="O260" s="42" t="s">
        <v>16</v>
      </c>
      <c r="P260" s="42" t="s">
        <v>51</v>
      </c>
      <c r="Q260" s="42" t="s">
        <v>100</v>
      </c>
      <c r="R260" s="42" t="s">
        <v>51</v>
      </c>
      <c r="S260" s="125" t="s">
        <v>51</v>
      </c>
      <c r="T260" s="123" t="s">
        <v>206</v>
      </c>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ht="14.25" customHeight="1" x14ac:dyDescent="0.2">
      <c r="A261" s="118" t="s">
        <v>1346</v>
      </c>
      <c r="B261" s="118" t="s">
        <v>1347</v>
      </c>
      <c r="C261" s="118">
        <v>2023</v>
      </c>
      <c r="D261" s="118" t="s">
        <v>233</v>
      </c>
      <c r="E261" s="118" t="s">
        <v>1349</v>
      </c>
      <c r="F261" s="118" t="s">
        <v>1350</v>
      </c>
      <c r="G261" s="118" t="s">
        <v>238</v>
      </c>
      <c r="H261" s="118" t="s">
        <v>15</v>
      </c>
      <c r="I261" s="118" t="s">
        <v>230</v>
      </c>
      <c r="J261" s="118" t="s">
        <v>1348</v>
      </c>
      <c r="K261" s="118" t="s">
        <v>1351</v>
      </c>
      <c r="L261" s="118">
        <v>0</v>
      </c>
      <c r="M261" s="118">
        <v>0</v>
      </c>
      <c r="N261" s="118">
        <v>0</v>
      </c>
      <c r="O261" s="42" t="s">
        <v>16</v>
      </c>
      <c r="P261" s="42" t="s">
        <v>51</v>
      </c>
      <c r="Q261" s="42" t="s">
        <v>100</v>
      </c>
      <c r="R261" s="42" t="s">
        <v>51</v>
      </c>
      <c r="S261" s="125" t="s">
        <v>51</v>
      </c>
      <c r="T261" s="123" t="s">
        <v>207</v>
      </c>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ht="14.25" customHeight="1" x14ac:dyDescent="0.2">
      <c r="A262" s="118" t="s">
        <v>1352</v>
      </c>
      <c r="B262" s="118" t="s">
        <v>1353</v>
      </c>
      <c r="C262" s="118">
        <v>2025</v>
      </c>
      <c r="D262" s="118" t="s">
        <v>1354</v>
      </c>
      <c r="E262" s="118" t="s">
        <v>1356</v>
      </c>
      <c r="F262" s="118" t="s">
        <v>1357</v>
      </c>
      <c r="G262" s="118" t="s">
        <v>473</v>
      </c>
      <c r="H262" s="118" t="s">
        <v>15</v>
      </c>
      <c r="I262" s="118" t="s">
        <v>230</v>
      </c>
      <c r="J262" s="118" t="s">
        <v>1355</v>
      </c>
      <c r="K262" s="118">
        <v>0</v>
      </c>
      <c r="L262" s="118">
        <v>0</v>
      </c>
      <c r="M262" s="118">
        <v>0</v>
      </c>
      <c r="N262" s="118">
        <v>0</v>
      </c>
      <c r="O262" s="42" t="s">
        <v>16</v>
      </c>
      <c r="P262" s="42" t="s">
        <v>51</v>
      </c>
      <c r="Q262" s="42" t="s">
        <v>100</v>
      </c>
      <c r="R262" s="42" t="s">
        <v>51</v>
      </c>
      <c r="S262" s="125" t="s">
        <v>51</v>
      </c>
      <c r="T262" s="123" t="s">
        <v>208</v>
      </c>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ht="14.25" customHeight="1" x14ac:dyDescent="0.2">
      <c r="A263" s="118" t="s">
        <v>1358</v>
      </c>
      <c r="B263" s="118" t="s">
        <v>1359</v>
      </c>
      <c r="C263" s="118">
        <v>2024</v>
      </c>
      <c r="D263" s="118" t="s">
        <v>1360</v>
      </c>
      <c r="E263" s="118" t="s">
        <v>1362</v>
      </c>
      <c r="F263" s="118" t="s">
        <v>1363</v>
      </c>
      <c r="G263" s="118" t="s">
        <v>1365</v>
      </c>
      <c r="H263" s="118" t="s">
        <v>15</v>
      </c>
      <c r="I263" s="118" t="s">
        <v>302</v>
      </c>
      <c r="J263" s="118" t="s">
        <v>1361</v>
      </c>
      <c r="K263" s="118" t="s">
        <v>1364</v>
      </c>
      <c r="L263" s="118">
        <v>0</v>
      </c>
      <c r="M263" s="118">
        <v>0</v>
      </c>
      <c r="N263" s="118">
        <v>0</v>
      </c>
      <c r="O263" s="42" t="s">
        <v>16</v>
      </c>
      <c r="P263" s="42" t="s">
        <v>51</v>
      </c>
      <c r="Q263" s="42" t="s">
        <v>100</v>
      </c>
      <c r="R263" s="42" t="s">
        <v>51</v>
      </c>
      <c r="S263" s="125" t="s">
        <v>51</v>
      </c>
      <c r="T263" s="123" t="s">
        <v>209</v>
      </c>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ht="14.25" customHeight="1" x14ac:dyDescent="0.2">
      <c r="A264" s="118" t="s">
        <v>1366</v>
      </c>
      <c r="B264" s="118" t="s">
        <v>1367</v>
      </c>
      <c r="C264" s="118">
        <v>2025</v>
      </c>
      <c r="D264" s="118" t="s">
        <v>394</v>
      </c>
      <c r="E264" s="118" t="s">
        <v>1369</v>
      </c>
      <c r="F264" s="118" t="s">
        <v>1370</v>
      </c>
      <c r="G264" s="118" t="s">
        <v>274</v>
      </c>
      <c r="H264" s="118" t="s">
        <v>15</v>
      </c>
      <c r="I264" s="118" t="s">
        <v>253</v>
      </c>
      <c r="J264" s="118" t="s">
        <v>1368</v>
      </c>
      <c r="K264" s="118" t="s">
        <v>1371</v>
      </c>
      <c r="L264" s="118">
        <v>0</v>
      </c>
      <c r="M264" s="118">
        <v>0</v>
      </c>
      <c r="N264" s="118">
        <v>0</v>
      </c>
      <c r="O264" s="42" t="s">
        <v>16</v>
      </c>
      <c r="P264" s="42" t="s">
        <v>51</v>
      </c>
      <c r="Q264" s="42" t="s">
        <v>100</v>
      </c>
      <c r="R264" s="42" t="s">
        <v>52</v>
      </c>
      <c r="S264" s="125" t="s">
        <v>51</v>
      </c>
      <c r="T264" s="123" t="s">
        <v>210</v>
      </c>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ht="14.25" customHeight="1" x14ac:dyDescent="0.2">
      <c r="A265" s="118" t="s">
        <v>1372</v>
      </c>
      <c r="B265" s="118" t="s">
        <v>1373</v>
      </c>
      <c r="C265" s="118">
        <v>2024</v>
      </c>
      <c r="D265" s="118" t="s">
        <v>1360</v>
      </c>
      <c r="E265" s="118" t="s">
        <v>1375</v>
      </c>
      <c r="F265" s="118" t="s">
        <v>1376</v>
      </c>
      <c r="G265" s="118" t="s">
        <v>1365</v>
      </c>
      <c r="H265" s="118" t="s">
        <v>15</v>
      </c>
      <c r="I265" s="118" t="s">
        <v>302</v>
      </c>
      <c r="J265" s="118" t="s">
        <v>1374</v>
      </c>
      <c r="K265" s="118" t="s">
        <v>1377</v>
      </c>
      <c r="L265" s="118">
        <v>0</v>
      </c>
      <c r="M265" s="118">
        <v>0</v>
      </c>
      <c r="N265" s="118">
        <v>0</v>
      </c>
      <c r="O265" s="42" t="s">
        <v>16</v>
      </c>
      <c r="P265" s="42" t="s">
        <v>51</v>
      </c>
      <c r="Q265" s="42" t="s">
        <v>100</v>
      </c>
      <c r="R265" s="42" t="s">
        <v>51</v>
      </c>
      <c r="S265" s="125" t="s">
        <v>51</v>
      </c>
      <c r="T265" s="123" t="s">
        <v>211</v>
      </c>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ht="14.25" customHeight="1" x14ac:dyDescent="0.2">
      <c r="A266" s="118" t="s">
        <v>1378</v>
      </c>
      <c r="B266" s="118" t="s">
        <v>1379</v>
      </c>
      <c r="C266" s="118">
        <v>2024</v>
      </c>
      <c r="D266" s="118" t="s">
        <v>233</v>
      </c>
      <c r="E266" s="118" t="s">
        <v>1381</v>
      </c>
      <c r="F266" s="118" t="s">
        <v>1382</v>
      </c>
      <c r="G266" s="118" t="s">
        <v>238</v>
      </c>
      <c r="H266" s="118" t="s">
        <v>15</v>
      </c>
      <c r="I266" s="118" t="s">
        <v>230</v>
      </c>
      <c r="J266" s="118" t="s">
        <v>1380</v>
      </c>
      <c r="K266" s="118" t="s">
        <v>1383</v>
      </c>
      <c r="L266" s="118">
        <v>0</v>
      </c>
      <c r="M266" s="118">
        <v>0</v>
      </c>
      <c r="N266" s="118">
        <v>0</v>
      </c>
      <c r="O266" s="42" t="s">
        <v>16</v>
      </c>
      <c r="P266" s="42" t="s">
        <v>51</v>
      </c>
      <c r="Q266" s="42" t="s">
        <v>100</v>
      </c>
      <c r="R266" s="42" t="s">
        <v>51</v>
      </c>
      <c r="S266" s="125" t="s">
        <v>51</v>
      </c>
      <c r="T266" s="123" t="s">
        <v>212</v>
      </c>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ht="14.25" customHeight="1" x14ac:dyDescent="0.2">
      <c r="A267" s="118" t="s">
        <v>1384</v>
      </c>
      <c r="B267" s="118" t="s">
        <v>1385</v>
      </c>
      <c r="C267" s="118">
        <v>2025</v>
      </c>
      <c r="D267" s="118" t="s">
        <v>233</v>
      </c>
      <c r="E267" s="118" t="s">
        <v>1387</v>
      </c>
      <c r="F267" s="118" t="s">
        <v>1388</v>
      </c>
      <c r="G267" s="118" t="s">
        <v>238</v>
      </c>
      <c r="H267" s="118" t="s">
        <v>15</v>
      </c>
      <c r="I267" s="118" t="s">
        <v>230</v>
      </c>
      <c r="J267" s="118" t="s">
        <v>1386</v>
      </c>
      <c r="K267" s="118" t="s">
        <v>697</v>
      </c>
      <c r="L267" s="118">
        <v>0</v>
      </c>
      <c r="M267" s="118">
        <v>0</v>
      </c>
      <c r="N267" s="118">
        <v>0</v>
      </c>
      <c r="O267" s="42" t="s">
        <v>16</v>
      </c>
      <c r="P267" s="42" t="s">
        <v>51</v>
      </c>
      <c r="Q267" s="42" t="s">
        <v>100</v>
      </c>
      <c r="R267" s="42" t="s">
        <v>51</v>
      </c>
      <c r="S267" s="125" t="s">
        <v>51</v>
      </c>
      <c r="T267" s="123" t="s">
        <v>213</v>
      </c>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ht="14.25" customHeight="1" x14ac:dyDescent="0.2">
      <c r="A268" s="118" t="s">
        <v>1389</v>
      </c>
      <c r="B268" s="118" t="s">
        <v>1390</v>
      </c>
      <c r="C268" s="118">
        <v>2025</v>
      </c>
      <c r="D268" s="118" t="s">
        <v>1391</v>
      </c>
      <c r="E268" s="118" t="s">
        <v>1393</v>
      </c>
      <c r="F268" s="118" t="s">
        <v>1394</v>
      </c>
      <c r="G268" s="118" t="s">
        <v>1395</v>
      </c>
      <c r="H268" s="118" t="s">
        <v>15</v>
      </c>
      <c r="I268" s="118" t="s">
        <v>253</v>
      </c>
      <c r="J268" s="118" t="s">
        <v>1392</v>
      </c>
      <c r="K268" s="118" t="s">
        <v>1821</v>
      </c>
      <c r="L268" s="118">
        <v>0</v>
      </c>
      <c r="M268" s="118">
        <v>0</v>
      </c>
      <c r="N268" s="118">
        <v>0</v>
      </c>
      <c r="O268" s="42" t="s">
        <v>16</v>
      </c>
      <c r="P268" s="42" t="s">
        <v>51</v>
      </c>
      <c r="Q268" s="42" t="s">
        <v>100</v>
      </c>
      <c r="R268" s="42" t="s">
        <v>51</v>
      </c>
      <c r="S268" s="125" t="s">
        <v>51</v>
      </c>
      <c r="T268" s="123" t="s">
        <v>214</v>
      </c>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ht="14.25" customHeight="1" x14ac:dyDescent="0.2">
      <c r="A269" s="118" t="s">
        <v>1396</v>
      </c>
      <c r="B269" s="118" t="s">
        <v>1397</v>
      </c>
      <c r="C269" s="118">
        <v>2024</v>
      </c>
      <c r="D269" s="118" t="s">
        <v>233</v>
      </c>
      <c r="E269" s="118" t="s">
        <v>1399</v>
      </c>
      <c r="F269" s="118" t="s">
        <v>1400</v>
      </c>
      <c r="G269" s="118" t="s">
        <v>238</v>
      </c>
      <c r="H269" s="118" t="s">
        <v>15</v>
      </c>
      <c r="I269" s="118" t="s">
        <v>230</v>
      </c>
      <c r="J269" s="118" t="s">
        <v>1398</v>
      </c>
      <c r="K269" s="118" t="s">
        <v>1401</v>
      </c>
      <c r="L269" s="118">
        <v>0</v>
      </c>
      <c r="M269" s="118">
        <v>0</v>
      </c>
      <c r="N269" s="118">
        <v>0</v>
      </c>
      <c r="O269" s="42" t="s">
        <v>16</v>
      </c>
      <c r="P269" s="42" t="s">
        <v>51</v>
      </c>
      <c r="Q269" s="42" t="s">
        <v>100</v>
      </c>
      <c r="R269" s="42" t="s">
        <v>51</v>
      </c>
      <c r="S269" s="125" t="s">
        <v>51</v>
      </c>
      <c r="T269" s="123" t="s">
        <v>195</v>
      </c>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ht="14.25" customHeight="1" x14ac:dyDescent="0.2">
      <c r="A270" s="118" t="s">
        <v>1402</v>
      </c>
      <c r="B270" s="118" t="s">
        <v>1403</v>
      </c>
      <c r="C270" s="118">
        <v>2025</v>
      </c>
      <c r="D270" s="118" t="s">
        <v>233</v>
      </c>
      <c r="E270" s="118" t="s">
        <v>1405</v>
      </c>
      <c r="F270" s="118" t="s">
        <v>1406</v>
      </c>
      <c r="G270" s="118" t="s">
        <v>238</v>
      </c>
      <c r="H270" s="118" t="s">
        <v>15</v>
      </c>
      <c r="I270" s="118" t="s">
        <v>230</v>
      </c>
      <c r="J270" s="118" t="s">
        <v>1404</v>
      </c>
      <c r="K270" s="118" t="s">
        <v>1407</v>
      </c>
      <c r="L270" s="118">
        <v>0</v>
      </c>
      <c r="M270" s="118">
        <v>0</v>
      </c>
      <c r="N270" s="118">
        <v>0</v>
      </c>
      <c r="O270" s="42" t="s">
        <v>16</v>
      </c>
      <c r="P270" s="42" t="s">
        <v>51</v>
      </c>
      <c r="Q270" s="42" t="s">
        <v>100</v>
      </c>
      <c r="R270" s="42" t="s">
        <v>51</v>
      </c>
      <c r="S270" s="125" t="s">
        <v>51</v>
      </c>
      <c r="T270" s="123" t="s">
        <v>196</v>
      </c>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ht="14.25" customHeight="1" x14ac:dyDescent="0.2">
      <c r="A271" s="118">
        <v>0</v>
      </c>
      <c r="B271" s="118" t="s">
        <v>994</v>
      </c>
      <c r="C271" s="118">
        <v>2024</v>
      </c>
      <c r="D271" s="118" t="s">
        <v>523</v>
      </c>
      <c r="E271" s="118" t="s">
        <v>1408</v>
      </c>
      <c r="F271" s="118">
        <v>0</v>
      </c>
      <c r="G271" s="118" t="s">
        <v>228</v>
      </c>
      <c r="H271" s="118" t="s">
        <v>15</v>
      </c>
      <c r="I271" s="118" t="s">
        <v>391</v>
      </c>
      <c r="J271" s="118">
        <v>0</v>
      </c>
      <c r="K271" s="118">
        <v>0</v>
      </c>
      <c r="L271" s="118">
        <v>0</v>
      </c>
      <c r="M271" s="118">
        <v>0</v>
      </c>
      <c r="N271" s="118">
        <v>0</v>
      </c>
      <c r="O271" s="42" t="s">
        <v>16</v>
      </c>
      <c r="P271" s="42" t="s">
        <v>51</v>
      </c>
      <c r="Q271" s="42" t="s">
        <v>100</v>
      </c>
      <c r="R271" s="42" t="s">
        <v>51</v>
      </c>
      <c r="S271" s="125" t="s">
        <v>51</v>
      </c>
      <c r="T271" s="123" t="s">
        <v>197</v>
      </c>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ht="14.25" customHeight="1" x14ac:dyDescent="0.2">
      <c r="A272" s="118" t="s">
        <v>1409</v>
      </c>
      <c r="B272" s="118" t="s">
        <v>1410</v>
      </c>
      <c r="C272" s="118">
        <v>2025</v>
      </c>
      <c r="D272" s="118" t="s">
        <v>233</v>
      </c>
      <c r="E272" s="118" t="s">
        <v>1412</v>
      </c>
      <c r="F272" s="118" t="s">
        <v>1413</v>
      </c>
      <c r="G272" s="118" t="s">
        <v>238</v>
      </c>
      <c r="H272" s="118" t="s">
        <v>15</v>
      </c>
      <c r="I272" s="118" t="s">
        <v>230</v>
      </c>
      <c r="J272" s="118" t="s">
        <v>1411</v>
      </c>
      <c r="K272" s="118" t="s">
        <v>1414</v>
      </c>
      <c r="L272" s="118">
        <v>0</v>
      </c>
      <c r="M272" s="118">
        <v>0</v>
      </c>
      <c r="N272" s="118">
        <v>0</v>
      </c>
      <c r="O272" s="42" t="s">
        <v>16</v>
      </c>
      <c r="P272" s="42" t="s">
        <v>51</v>
      </c>
      <c r="Q272" s="42" t="s">
        <v>100</v>
      </c>
      <c r="R272" s="42" t="s">
        <v>51</v>
      </c>
      <c r="S272" s="125" t="s">
        <v>51</v>
      </c>
      <c r="T272" s="123" t="s">
        <v>198</v>
      </c>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ht="14.25" customHeight="1" x14ac:dyDescent="0.2">
      <c r="A273" s="118" t="s">
        <v>1415</v>
      </c>
      <c r="B273" s="118" t="s">
        <v>1416</v>
      </c>
      <c r="C273" s="118">
        <v>2024</v>
      </c>
      <c r="D273" s="118" t="s">
        <v>233</v>
      </c>
      <c r="E273" s="118" t="s">
        <v>1418</v>
      </c>
      <c r="F273" s="118" t="s">
        <v>1419</v>
      </c>
      <c r="G273" s="118" t="s">
        <v>238</v>
      </c>
      <c r="H273" s="118" t="s">
        <v>15</v>
      </c>
      <c r="I273" s="118" t="s">
        <v>230</v>
      </c>
      <c r="J273" s="118" t="s">
        <v>1417</v>
      </c>
      <c r="K273" s="118" t="s">
        <v>1420</v>
      </c>
      <c r="L273" s="118">
        <v>0</v>
      </c>
      <c r="M273" s="118">
        <v>0</v>
      </c>
      <c r="N273" s="118">
        <v>0</v>
      </c>
      <c r="O273" s="42" t="s">
        <v>16</v>
      </c>
      <c r="P273" s="42" t="s">
        <v>52</v>
      </c>
      <c r="Q273" s="42" t="s">
        <v>100</v>
      </c>
      <c r="R273" s="42" t="s">
        <v>51</v>
      </c>
      <c r="S273" s="125" t="s">
        <v>51</v>
      </c>
      <c r="T273" s="123" t="s">
        <v>199</v>
      </c>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spans="1:46" ht="14.25" customHeight="1" x14ac:dyDescent="0.2">
      <c r="A274" s="118" t="s">
        <v>1421</v>
      </c>
      <c r="B274" s="118" t="s">
        <v>1422</v>
      </c>
      <c r="C274" s="118">
        <v>2023</v>
      </c>
      <c r="D274" s="118" t="s">
        <v>277</v>
      </c>
      <c r="E274" s="118" t="s">
        <v>1424</v>
      </c>
      <c r="F274" s="118" t="s">
        <v>1425</v>
      </c>
      <c r="G274" s="118" t="s">
        <v>586</v>
      </c>
      <c r="H274" s="118" t="s">
        <v>15</v>
      </c>
      <c r="I274" s="118" t="s">
        <v>253</v>
      </c>
      <c r="J274" s="118" t="s">
        <v>1423</v>
      </c>
      <c r="K274" s="118" t="s">
        <v>1822</v>
      </c>
      <c r="L274" s="118">
        <v>0</v>
      </c>
      <c r="M274" s="118">
        <v>0</v>
      </c>
      <c r="N274" s="118">
        <v>0</v>
      </c>
      <c r="O274" s="42" t="s">
        <v>16</v>
      </c>
      <c r="P274" s="42" t="s">
        <v>51</v>
      </c>
      <c r="Q274" s="42" t="s">
        <v>100</v>
      </c>
      <c r="R274" s="42" t="s">
        <v>51</v>
      </c>
      <c r="S274" s="125" t="s">
        <v>51</v>
      </c>
      <c r="T274" s="123" t="s">
        <v>200</v>
      </c>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spans="1:46" ht="14.25" customHeight="1" x14ac:dyDescent="0.2">
      <c r="A275" s="118">
        <v>0</v>
      </c>
      <c r="B275" s="118" t="s">
        <v>1426</v>
      </c>
      <c r="C275" s="118">
        <v>2022</v>
      </c>
      <c r="D275" s="118" t="s">
        <v>607</v>
      </c>
      <c r="E275" s="118" t="s">
        <v>1427</v>
      </c>
      <c r="F275" s="118">
        <v>0</v>
      </c>
      <c r="G275" s="118" t="s">
        <v>610</v>
      </c>
      <c r="H275" s="118" t="s">
        <v>15</v>
      </c>
      <c r="I275" s="118" t="s">
        <v>391</v>
      </c>
      <c r="J275" s="118">
        <v>0</v>
      </c>
      <c r="K275" s="118">
        <v>0</v>
      </c>
      <c r="L275" s="118">
        <v>0</v>
      </c>
      <c r="M275" s="118">
        <v>0</v>
      </c>
      <c r="N275" s="118">
        <v>0</v>
      </c>
      <c r="O275" s="42" t="s">
        <v>16</v>
      </c>
      <c r="P275" s="42" t="s">
        <v>51</v>
      </c>
      <c r="Q275" s="42" t="s">
        <v>100</v>
      </c>
      <c r="R275" s="42" t="s">
        <v>50</v>
      </c>
      <c r="S275" s="125" t="s">
        <v>51</v>
      </c>
      <c r="T275" s="123" t="s">
        <v>201</v>
      </c>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spans="1:46" ht="14.25" customHeight="1" x14ac:dyDescent="0.2">
      <c r="A276" s="118" t="s">
        <v>1428</v>
      </c>
      <c r="B276" s="118" t="s">
        <v>1429</v>
      </c>
      <c r="C276" s="118">
        <v>2024</v>
      </c>
      <c r="D276" s="118" t="s">
        <v>509</v>
      </c>
      <c r="E276" s="118" t="s">
        <v>1431</v>
      </c>
      <c r="F276" s="118" t="s">
        <v>1432</v>
      </c>
      <c r="G276" s="118" t="s">
        <v>228</v>
      </c>
      <c r="H276" s="118" t="s">
        <v>15</v>
      </c>
      <c r="I276" s="118" t="s">
        <v>230</v>
      </c>
      <c r="J276" s="118" t="s">
        <v>1430</v>
      </c>
      <c r="K276" s="118" t="s">
        <v>1433</v>
      </c>
      <c r="L276" s="118">
        <v>0</v>
      </c>
      <c r="M276" s="118">
        <v>0</v>
      </c>
      <c r="N276" s="118">
        <v>0</v>
      </c>
      <c r="O276" s="42" t="s">
        <v>16</v>
      </c>
      <c r="P276" s="42" t="s">
        <v>51</v>
      </c>
      <c r="Q276" s="42" t="s">
        <v>100</v>
      </c>
      <c r="R276" s="42" t="s">
        <v>51</v>
      </c>
      <c r="S276" s="125" t="s">
        <v>51</v>
      </c>
      <c r="T276" s="123" t="s">
        <v>202</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spans="1:46" ht="14.25" customHeight="1" x14ac:dyDescent="0.2">
      <c r="A277" s="118" t="s">
        <v>1434</v>
      </c>
      <c r="B277" s="118" t="s">
        <v>1435</v>
      </c>
      <c r="C277" s="118">
        <v>2023</v>
      </c>
      <c r="D277" s="118" t="s">
        <v>233</v>
      </c>
      <c r="E277" s="118" t="s">
        <v>1437</v>
      </c>
      <c r="F277" s="118" t="s">
        <v>1438</v>
      </c>
      <c r="G277" s="118" t="s">
        <v>238</v>
      </c>
      <c r="H277" s="118" t="s">
        <v>15</v>
      </c>
      <c r="I277" s="118" t="s">
        <v>230</v>
      </c>
      <c r="J277" s="118" t="s">
        <v>1436</v>
      </c>
      <c r="K277" s="118" t="s">
        <v>1439</v>
      </c>
      <c r="L277" s="118">
        <v>0</v>
      </c>
      <c r="M277" s="118">
        <v>0</v>
      </c>
      <c r="N277" s="118">
        <v>0</v>
      </c>
      <c r="O277" s="42" t="s">
        <v>16</v>
      </c>
      <c r="P277" s="42" t="s">
        <v>51</v>
      </c>
      <c r="Q277" s="42" t="s">
        <v>100</v>
      </c>
      <c r="R277" s="42" t="s">
        <v>50</v>
      </c>
      <c r="S277" s="125" t="s">
        <v>51</v>
      </c>
      <c r="T277" s="123" t="s">
        <v>203</v>
      </c>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spans="1:46" ht="14.25" customHeight="1" x14ac:dyDescent="0.2">
      <c r="A278" s="118" t="s">
        <v>1440</v>
      </c>
      <c r="B278" s="118" t="s">
        <v>1441</v>
      </c>
      <c r="C278" s="118">
        <v>2023</v>
      </c>
      <c r="D278" s="118" t="s">
        <v>233</v>
      </c>
      <c r="E278" s="118" t="s">
        <v>1443</v>
      </c>
      <c r="F278" s="118" t="s">
        <v>1444</v>
      </c>
      <c r="G278" s="118" t="s">
        <v>238</v>
      </c>
      <c r="H278" s="118" t="s">
        <v>15</v>
      </c>
      <c r="I278" s="118" t="s">
        <v>230</v>
      </c>
      <c r="J278" s="118" t="s">
        <v>1442</v>
      </c>
      <c r="K278" s="118" t="s">
        <v>1445</v>
      </c>
      <c r="L278" s="118">
        <v>0</v>
      </c>
      <c r="M278" s="118">
        <v>0</v>
      </c>
      <c r="N278" s="118">
        <v>0</v>
      </c>
      <c r="O278" s="42" t="s">
        <v>16</v>
      </c>
      <c r="P278" s="42" t="s">
        <v>51</v>
      </c>
      <c r="Q278" s="42" t="s">
        <v>100</v>
      </c>
      <c r="R278" s="42" t="s">
        <v>51</v>
      </c>
      <c r="S278" s="125" t="s">
        <v>51</v>
      </c>
      <c r="T278" s="123" t="s">
        <v>204</v>
      </c>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spans="1:46" ht="14.25" customHeight="1" x14ac:dyDescent="0.2">
      <c r="A279" s="118" t="s">
        <v>1446</v>
      </c>
      <c r="B279" s="118" t="s">
        <v>1447</v>
      </c>
      <c r="C279" s="118">
        <v>2024</v>
      </c>
      <c r="D279" s="118" t="s">
        <v>233</v>
      </c>
      <c r="E279" s="118" t="s">
        <v>1449</v>
      </c>
      <c r="F279" s="118" t="s">
        <v>1450</v>
      </c>
      <c r="G279" s="118" t="s">
        <v>238</v>
      </c>
      <c r="H279" s="118" t="s">
        <v>15</v>
      </c>
      <c r="I279" s="118" t="s">
        <v>230</v>
      </c>
      <c r="J279" s="118" t="s">
        <v>1448</v>
      </c>
      <c r="K279" s="118" t="s">
        <v>1451</v>
      </c>
      <c r="L279" s="118">
        <v>0</v>
      </c>
      <c r="M279" s="118">
        <v>0</v>
      </c>
      <c r="N279" s="118">
        <v>0</v>
      </c>
      <c r="O279" s="42" t="s">
        <v>16</v>
      </c>
      <c r="P279" s="42" t="s">
        <v>51</v>
      </c>
      <c r="Q279" s="42" t="s">
        <v>100</v>
      </c>
      <c r="R279" s="42" t="s">
        <v>51</v>
      </c>
      <c r="S279" s="125" t="s">
        <v>51</v>
      </c>
      <c r="T279" s="123" t="s">
        <v>205</v>
      </c>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spans="1:46" ht="14.25" customHeight="1" x14ac:dyDescent="0.2">
      <c r="A280" s="118" t="s">
        <v>1452</v>
      </c>
      <c r="B280" s="118" t="s">
        <v>1453</v>
      </c>
      <c r="C280" s="118">
        <v>2024</v>
      </c>
      <c r="D280" s="118" t="s">
        <v>233</v>
      </c>
      <c r="E280" s="118" t="s">
        <v>1455</v>
      </c>
      <c r="F280" s="118" t="s">
        <v>1456</v>
      </c>
      <c r="G280" s="118" t="s">
        <v>238</v>
      </c>
      <c r="H280" s="118" t="s">
        <v>15</v>
      </c>
      <c r="I280" s="118" t="s">
        <v>230</v>
      </c>
      <c r="J280" s="118" t="s">
        <v>1454</v>
      </c>
      <c r="K280" s="118" t="s">
        <v>1457</v>
      </c>
      <c r="L280" s="118">
        <v>0</v>
      </c>
      <c r="M280" s="118">
        <v>0</v>
      </c>
      <c r="N280" s="118">
        <v>0</v>
      </c>
      <c r="O280" s="42" t="s">
        <v>16</v>
      </c>
      <c r="P280" s="42" t="s">
        <v>50</v>
      </c>
      <c r="Q280" s="42" t="s">
        <v>100</v>
      </c>
      <c r="R280" s="42" t="s">
        <v>51</v>
      </c>
      <c r="S280" s="125" t="s">
        <v>51</v>
      </c>
      <c r="T280" s="123" t="s">
        <v>206</v>
      </c>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spans="1:46" ht="14.25" customHeight="1" x14ac:dyDescent="0.2">
      <c r="A281" s="118" t="s">
        <v>744</v>
      </c>
      <c r="B281" s="118" t="s">
        <v>1458</v>
      </c>
      <c r="C281" s="118">
        <v>2022</v>
      </c>
      <c r="D281" s="118" t="s">
        <v>1459</v>
      </c>
      <c r="E281" s="118" t="s">
        <v>1461</v>
      </c>
      <c r="F281" s="118" t="s">
        <v>1462</v>
      </c>
      <c r="G281" s="118" t="s">
        <v>473</v>
      </c>
      <c r="H281" s="118" t="s">
        <v>15</v>
      </c>
      <c r="I281" s="118" t="s">
        <v>230</v>
      </c>
      <c r="J281" s="118" t="s">
        <v>1460</v>
      </c>
      <c r="K281" s="118">
        <v>0</v>
      </c>
      <c r="L281" s="118">
        <v>0</v>
      </c>
      <c r="M281" s="118">
        <v>0</v>
      </c>
      <c r="N281" s="118">
        <v>0</v>
      </c>
      <c r="O281" s="42" t="s">
        <v>16</v>
      </c>
      <c r="P281" s="42" t="s">
        <v>51</v>
      </c>
      <c r="Q281" s="42" t="s">
        <v>100</v>
      </c>
      <c r="R281" s="42" t="s">
        <v>50</v>
      </c>
      <c r="S281" s="125" t="s">
        <v>51</v>
      </c>
      <c r="T281" s="123" t="s">
        <v>207</v>
      </c>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spans="1:46" ht="14.25" customHeight="1" x14ac:dyDescent="0.2">
      <c r="A282" s="118" t="s">
        <v>1463</v>
      </c>
      <c r="B282" s="118" t="s">
        <v>1464</v>
      </c>
      <c r="C282" s="118">
        <v>2022</v>
      </c>
      <c r="D282" s="118" t="s">
        <v>297</v>
      </c>
      <c r="E282" s="118" t="s">
        <v>1466</v>
      </c>
      <c r="F282" s="118" t="s">
        <v>1467</v>
      </c>
      <c r="G282" s="118" t="s">
        <v>586</v>
      </c>
      <c r="H282" s="118" t="s">
        <v>15</v>
      </c>
      <c r="I282" s="118" t="s">
        <v>253</v>
      </c>
      <c r="J282" s="118" t="s">
        <v>1465</v>
      </c>
      <c r="K282" s="118" t="s">
        <v>1468</v>
      </c>
      <c r="L282" s="118">
        <v>0</v>
      </c>
      <c r="M282" s="118">
        <v>0</v>
      </c>
      <c r="N282" s="118">
        <v>0</v>
      </c>
      <c r="O282" s="42" t="s">
        <v>16</v>
      </c>
      <c r="P282" s="42" t="s">
        <v>51</v>
      </c>
      <c r="Q282" s="42" t="s">
        <v>100</v>
      </c>
      <c r="R282" s="42" t="s">
        <v>51</v>
      </c>
      <c r="S282" s="125" t="s">
        <v>51</v>
      </c>
      <c r="T282" s="123" t="s">
        <v>208</v>
      </c>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spans="1:46" ht="14.25" customHeight="1" x14ac:dyDescent="0.2">
      <c r="A283" s="118" t="s">
        <v>1469</v>
      </c>
      <c r="B283" s="118" t="s">
        <v>1470</v>
      </c>
      <c r="C283" s="118">
        <v>2025</v>
      </c>
      <c r="D283" s="118" t="s">
        <v>1003</v>
      </c>
      <c r="E283" s="118" t="s">
        <v>1472</v>
      </c>
      <c r="F283" s="118" t="s">
        <v>1473</v>
      </c>
      <c r="G283" s="118" t="s">
        <v>350</v>
      </c>
      <c r="H283" s="118" t="s">
        <v>15</v>
      </c>
      <c r="I283" s="118" t="s">
        <v>230</v>
      </c>
      <c r="J283" s="118" t="s">
        <v>1471</v>
      </c>
      <c r="K283" s="118" t="s">
        <v>1474</v>
      </c>
      <c r="L283" s="118">
        <v>0</v>
      </c>
      <c r="M283" s="118">
        <v>0</v>
      </c>
      <c r="N283" s="118">
        <v>0</v>
      </c>
      <c r="O283" s="42" t="s">
        <v>16</v>
      </c>
      <c r="P283" s="42" t="s">
        <v>51</v>
      </c>
      <c r="Q283" s="42" t="s">
        <v>100</v>
      </c>
      <c r="R283" s="42" t="s">
        <v>51</v>
      </c>
      <c r="S283" s="125" t="s">
        <v>51</v>
      </c>
      <c r="T283" s="123" t="s">
        <v>199</v>
      </c>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spans="1:46" ht="14.25" customHeight="1" x14ac:dyDescent="0.2">
      <c r="A284" s="118" t="s">
        <v>1475</v>
      </c>
      <c r="B284" s="118" t="s">
        <v>1476</v>
      </c>
      <c r="C284" s="118">
        <v>2025</v>
      </c>
      <c r="D284" s="118" t="s">
        <v>233</v>
      </c>
      <c r="E284" s="118" t="s">
        <v>1478</v>
      </c>
      <c r="F284" s="118" t="s">
        <v>1479</v>
      </c>
      <c r="G284" s="118" t="s">
        <v>238</v>
      </c>
      <c r="H284" s="118" t="s">
        <v>15</v>
      </c>
      <c r="I284" s="118" t="s">
        <v>230</v>
      </c>
      <c r="J284" s="118" t="s">
        <v>1477</v>
      </c>
      <c r="K284" s="118" t="s">
        <v>1480</v>
      </c>
      <c r="L284" s="118">
        <v>0</v>
      </c>
      <c r="M284" s="118">
        <v>0</v>
      </c>
      <c r="N284" s="118">
        <v>0</v>
      </c>
      <c r="O284" s="42" t="s">
        <v>16</v>
      </c>
      <c r="P284" s="42" t="s">
        <v>51</v>
      </c>
      <c r="Q284" s="42" t="s">
        <v>100</v>
      </c>
      <c r="R284" s="42" t="s">
        <v>51</v>
      </c>
      <c r="S284" s="125" t="s">
        <v>51</v>
      </c>
      <c r="T284" s="123" t="s">
        <v>200</v>
      </c>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spans="1:46" ht="14.25" customHeight="1" x14ac:dyDescent="0.2">
      <c r="A285" s="118" t="s">
        <v>1481</v>
      </c>
      <c r="B285" s="118" t="s">
        <v>1482</v>
      </c>
      <c r="C285" s="118">
        <v>2024</v>
      </c>
      <c r="D285" s="118" t="s">
        <v>233</v>
      </c>
      <c r="E285" s="118" t="s">
        <v>1484</v>
      </c>
      <c r="F285" s="118" t="s">
        <v>1485</v>
      </c>
      <c r="G285" s="118" t="s">
        <v>238</v>
      </c>
      <c r="H285" s="118" t="s">
        <v>15</v>
      </c>
      <c r="I285" s="118" t="s">
        <v>230</v>
      </c>
      <c r="J285" s="118" t="s">
        <v>1483</v>
      </c>
      <c r="K285" s="118" t="s">
        <v>1486</v>
      </c>
      <c r="L285" s="118">
        <v>0</v>
      </c>
      <c r="M285" s="118">
        <v>0</v>
      </c>
      <c r="N285" s="118">
        <v>0</v>
      </c>
      <c r="O285" s="42" t="s">
        <v>16</v>
      </c>
      <c r="P285" s="42" t="s">
        <v>51</v>
      </c>
      <c r="Q285" s="42" t="s">
        <v>100</v>
      </c>
      <c r="R285" s="42" t="s">
        <v>51</v>
      </c>
      <c r="S285" s="125" t="s">
        <v>51</v>
      </c>
      <c r="T285" s="123" t="s">
        <v>201</v>
      </c>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spans="1:46" ht="14.25" customHeight="1" x14ac:dyDescent="0.2">
      <c r="A286" s="118" t="s">
        <v>1487</v>
      </c>
      <c r="B286" s="118" t="s">
        <v>1488</v>
      </c>
      <c r="C286" s="118">
        <v>2025</v>
      </c>
      <c r="D286" s="118" t="s">
        <v>233</v>
      </c>
      <c r="E286" s="118" t="s">
        <v>1490</v>
      </c>
      <c r="F286" s="118" t="s">
        <v>1491</v>
      </c>
      <c r="G286" s="118" t="s">
        <v>238</v>
      </c>
      <c r="H286" s="118" t="s">
        <v>15</v>
      </c>
      <c r="I286" s="118" t="s">
        <v>230</v>
      </c>
      <c r="J286" s="118" t="s">
        <v>1489</v>
      </c>
      <c r="K286" s="118" t="s">
        <v>1492</v>
      </c>
      <c r="L286" s="118">
        <v>0</v>
      </c>
      <c r="M286" s="118">
        <v>0</v>
      </c>
      <c r="N286" s="118">
        <v>0</v>
      </c>
      <c r="O286" s="42" t="s">
        <v>16</v>
      </c>
      <c r="P286" s="42" t="s">
        <v>51</v>
      </c>
      <c r="Q286" s="42" t="s">
        <v>100</v>
      </c>
      <c r="R286" s="42" t="s">
        <v>52</v>
      </c>
      <c r="S286" s="125" t="s">
        <v>51</v>
      </c>
      <c r="T286" s="123" t="s">
        <v>202</v>
      </c>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spans="1:46" ht="14.25" customHeight="1" x14ac:dyDescent="0.2">
      <c r="A287" s="118" t="s">
        <v>1493</v>
      </c>
      <c r="B287" s="118" t="s">
        <v>1494</v>
      </c>
      <c r="C287" s="118">
        <v>2024</v>
      </c>
      <c r="D287" s="118" t="s">
        <v>223</v>
      </c>
      <c r="E287" s="118" t="s">
        <v>1496</v>
      </c>
      <c r="F287" s="118" t="s">
        <v>1497</v>
      </c>
      <c r="G287" s="118" t="s">
        <v>228</v>
      </c>
      <c r="H287" s="118" t="s">
        <v>15</v>
      </c>
      <c r="I287" s="118" t="s">
        <v>230</v>
      </c>
      <c r="J287" s="118" t="s">
        <v>1495</v>
      </c>
      <c r="K287" s="118" t="s">
        <v>1498</v>
      </c>
      <c r="L287" s="118">
        <v>0</v>
      </c>
      <c r="M287" s="118">
        <v>0</v>
      </c>
      <c r="N287" s="118">
        <v>0</v>
      </c>
      <c r="O287" s="42" t="s">
        <v>16</v>
      </c>
      <c r="P287" s="42" t="s">
        <v>51</v>
      </c>
      <c r="Q287" s="42" t="s">
        <v>100</v>
      </c>
      <c r="R287" s="42" t="s">
        <v>51</v>
      </c>
      <c r="S287" s="125" t="s">
        <v>51</v>
      </c>
      <c r="T287" s="123" t="s">
        <v>203</v>
      </c>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spans="1:46" ht="14.25" customHeight="1" x14ac:dyDescent="0.2">
      <c r="A288" s="118" t="s">
        <v>1499</v>
      </c>
      <c r="B288" s="118" t="s">
        <v>1500</v>
      </c>
      <c r="C288" s="118">
        <v>2025</v>
      </c>
      <c r="D288" s="118" t="s">
        <v>1501</v>
      </c>
      <c r="E288" s="118" t="s">
        <v>1823</v>
      </c>
      <c r="F288" s="118" t="s">
        <v>1503</v>
      </c>
      <c r="G288" s="118" t="s">
        <v>987</v>
      </c>
      <c r="H288" s="118" t="s">
        <v>15</v>
      </c>
      <c r="I288" s="118" t="s">
        <v>253</v>
      </c>
      <c r="J288" s="118" t="s">
        <v>1502</v>
      </c>
      <c r="K288" s="118">
        <v>0</v>
      </c>
      <c r="L288" s="118">
        <v>0</v>
      </c>
      <c r="M288" s="118">
        <v>0</v>
      </c>
      <c r="N288" s="118">
        <v>0</v>
      </c>
      <c r="O288" s="42" t="s">
        <v>16</v>
      </c>
      <c r="P288" s="42" t="s">
        <v>51</v>
      </c>
      <c r="Q288" s="42" t="s">
        <v>100</v>
      </c>
      <c r="R288" s="42" t="s">
        <v>51</v>
      </c>
      <c r="S288" s="125" t="s">
        <v>51</v>
      </c>
      <c r="T288" s="123" t="s">
        <v>204</v>
      </c>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spans="1:46" ht="14.25" customHeight="1" x14ac:dyDescent="0.2">
      <c r="A289" s="118" t="s">
        <v>1504</v>
      </c>
      <c r="B289" s="118" t="s">
        <v>1505</v>
      </c>
      <c r="C289" s="118">
        <v>2025</v>
      </c>
      <c r="D289" s="118" t="s">
        <v>233</v>
      </c>
      <c r="E289" s="118" t="s">
        <v>1507</v>
      </c>
      <c r="F289" s="118" t="s">
        <v>1508</v>
      </c>
      <c r="G289" s="118" t="s">
        <v>238</v>
      </c>
      <c r="H289" s="118" t="s">
        <v>15</v>
      </c>
      <c r="I289" s="118" t="s">
        <v>230</v>
      </c>
      <c r="J289" s="118" t="s">
        <v>1506</v>
      </c>
      <c r="K289" s="118" t="s">
        <v>1509</v>
      </c>
      <c r="L289" s="118">
        <v>0</v>
      </c>
      <c r="M289" s="118">
        <v>0</v>
      </c>
      <c r="N289" s="118">
        <v>0</v>
      </c>
      <c r="O289" s="42" t="s">
        <v>16</v>
      </c>
      <c r="P289" s="42" t="s">
        <v>51</v>
      </c>
      <c r="Q289" s="42" t="s">
        <v>100</v>
      </c>
      <c r="R289" s="42" t="s">
        <v>51</v>
      </c>
      <c r="S289" s="125" t="s">
        <v>51</v>
      </c>
      <c r="T289" s="123" t="s">
        <v>205</v>
      </c>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spans="1:46" ht="14.25" customHeight="1" x14ac:dyDescent="0.2">
      <c r="A290" s="118" t="s">
        <v>1510</v>
      </c>
      <c r="B290" s="118" t="s">
        <v>1511</v>
      </c>
      <c r="C290" s="118">
        <v>2025</v>
      </c>
      <c r="D290" s="118" t="s">
        <v>1512</v>
      </c>
      <c r="E290" s="118" t="s">
        <v>1514</v>
      </c>
      <c r="F290" s="118" t="s">
        <v>1515</v>
      </c>
      <c r="G290" s="118" t="s">
        <v>473</v>
      </c>
      <c r="H290" s="118" t="s">
        <v>15</v>
      </c>
      <c r="I290" s="118" t="s">
        <v>230</v>
      </c>
      <c r="J290" s="118" t="s">
        <v>1513</v>
      </c>
      <c r="K290" s="118">
        <v>0</v>
      </c>
      <c r="L290" s="118">
        <v>0</v>
      </c>
      <c r="M290" s="118">
        <v>0</v>
      </c>
      <c r="N290" s="118">
        <v>0</v>
      </c>
      <c r="O290" s="42" t="s">
        <v>16</v>
      </c>
      <c r="P290" s="42" t="s">
        <v>51</v>
      </c>
      <c r="Q290" s="42" t="s">
        <v>100</v>
      </c>
      <c r="R290" s="42" t="s">
        <v>51</v>
      </c>
      <c r="S290" s="125" t="s">
        <v>51</v>
      </c>
      <c r="T290" s="123" t="s">
        <v>206</v>
      </c>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spans="1:46" ht="14.25" customHeight="1" x14ac:dyDescent="0.2">
      <c r="A291" s="118" t="s">
        <v>1516</v>
      </c>
      <c r="B291" s="118" t="s">
        <v>1517</v>
      </c>
      <c r="C291" s="118">
        <v>2023</v>
      </c>
      <c r="D291" s="118" t="s">
        <v>297</v>
      </c>
      <c r="E291" s="118" t="s">
        <v>1519</v>
      </c>
      <c r="F291" s="118" t="s">
        <v>1520</v>
      </c>
      <c r="G291" s="118" t="s">
        <v>282</v>
      </c>
      <c r="H291" s="118" t="s">
        <v>15</v>
      </c>
      <c r="I291" s="118" t="s">
        <v>253</v>
      </c>
      <c r="J291" s="118" t="s">
        <v>1518</v>
      </c>
      <c r="K291" s="118" t="s">
        <v>1521</v>
      </c>
      <c r="L291" s="118">
        <v>0</v>
      </c>
      <c r="M291" s="118">
        <v>0</v>
      </c>
      <c r="N291" s="118">
        <v>0</v>
      </c>
      <c r="O291" s="42" t="s">
        <v>16</v>
      </c>
      <c r="P291" s="42" t="s">
        <v>51</v>
      </c>
      <c r="Q291" s="42" t="s">
        <v>100</v>
      </c>
      <c r="R291" s="42" t="s">
        <v>52</v>
      </c>
      <c r="S291" s="125" t="s">
        <v>51</v>
      </c>
      <c r="T291" s="123" t="s">
        <v>207</v>
      </c>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spans="1:46" ht="14.25" customHeight="1" x14ac:dyDescent="0.2">
      <c r="A292" s="118" t="s">
        <v>1522</v>
      </c>
      <c r="B292" s="118" t="s">
        <v>1523</v>
      </c>
      <c r="C292" s="118">
        <v>2023</v>
      </c>
      <c r="D292" s="118" t="s">
        <v>476</v>
      </c>
      <c r="E292" s="118" t="s">
        <v>1525</v>
      </c>
      <c r="F292" s="118" t="s">
        <v>1526</v>
      </c>
      <c r="G292" s="118" t="s">
        <v>228</v>
      </c>
      <c r="H292" s="118" t="s">
        <v>15</v>
      </c>
      <c r="I292" s="118" t="s">
        <v>230</v>
      </c>
      <c r="J292" s="118" t="s">
        <v>1524</v>
      </c>
      <c r="K292" s="118" t="s">
        <v>1527</v>
      </c>
      <c r="L292" s="118">
        <v>0</v>
      </c>
      <c r="M292" s="118">
        <v>0</v>
      </c>
      <c r="N292" s="118">
        <v>0</v>
      </c>
      <c r="O292" s="42" t="s">
        <v>16</v>
      </c>
      <c r="P292" s="42" t="s">
        <v>51</v>
      </c>
      <c r="Q292" s="42" t="s">
        <v>100</v>
      </c>
      <c r="R292" s="42" t="s">
        <v>51</v>
      </c>
      <c r="S292" s="125" t="s">
        <v>51</v>
      </c>
      <c r="T292" s="123" t="s">
        <v>208</v>
      </c>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spans="1:46" ht="14.25" customHeight="1" x14ac:dyDescent="0.2">
      <c r="A293" s="118" t="s">
        <v>1346</v>
      </c>
      <c r="B293" s="118" t="s">
        <v>1528</v>
      </c>
      <c r="C293" s="118">
        <v>2023</v>
      </c>
      <c r="D293" s="118" t="s">
        <v>233</v>
      </c>
      <c r="E293" s="118" t="s">
        <v>1530</v>
      </c>
      <c r="F293" s="118" t="s">
        <v>1531</v>
      </c>
      <c r="G293" s="118" t="s">
        <v>238</v>
      </c>
      <c r="H293" s="118" t="s">
        <v>15</v>
      </c>
      <c r="I293" s="118" t="s">
        <v>230</v>
      </c>
      <c r="J293" s="118" t="s">
        <v>1529</v>
      </c>
      <c r="K293" s="118" t="s">
        <v>1532</v>
      </c>
      <c r="L293" s="118">
        <v>0</v>
      </c>
      <c r="M293" s="118">
        <v>0</v>
      </c>
      <c r="N293" s="118">
        <v>0</v>
      </c>
      <c r="O293" s="42" t="s">
        <v>16</v>
      </c>
      <c r="P293" s="42" t="s">
        <v>51</v>
      </c>
      <c r="Q293" s="42" t="s">
        <v>100</v>
      </c>
      <c r="R293" s="42" t="s">
        <v>51</v>
      </c>
      <c r="S293" s="125" t="s">
        <v>51</v>
      </c>
      <c r="T293" s="123" t="s">
        <v>209</v>
      </c>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spans="1:46" ht="14.25" customHeight="1" x14ac:dyDescent="0.2">
      <c r="A294" s="118" t="s">
        <v>1533</v>
      </c>
      <c r="B294" s="118" t="s">
        <v>1534</v>
      </c>
      <c r="C294" s="118">
        <v>2024</v>
      </c>
      <c r="D294" s="118" t="s">
        <v>233</v>
      </c>
      <c r="E294" s="118" t="s">
        <v>1536</v>
      </c>
      <c r="F294" s="118" t="s">
        <v>1537</v>
      </c>
      <c r="G294" s="118" t="s">
        <v>238</v>
      </c>
      <c r="H294" s="118" t="s">
        <v>15</v>
      </c>
      <c r="I294" s="118" t="s">
        <v>230</v>
      </c>
      <c r="J294" s="118" t="s">
        <v>1535</v>
      </c>
      <c r="K294" s="118" t="s">
        <v>1538</v>
      </c>
      <c r="L294" s="118">
        <v>0</v>
      </c>
      <c r="M294" s="118">
        <v>0</v>
      </c>
      <c r="N294" s="118">
        <v>0</v>
      </c>
      <c r="O294" s="42" t="s">
        <v>16</v>
      </c>
      <c r="P294" s="42" t="s">
        <v>51</v>
      </c>
      <c r="Q294" s="42" t="s">
        <v>100</v>
      </c>
      <c r="R294" s="42" t="s">
        <v>51</v>
      </c>
      <c r="S294" s="125" t="s">
        <v>51</v>
      </c>
      <c r="T294" s="123" t="s">
        <v>210</v>
      </c>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spans="1:46" ht="14.25" customHeight="1" x14ac:dyDescent="0.2">
      <c r="A295" s="118" t="s">
        <v>1539</v>
      </c>
      <c r="B295" s="118" t="s">
        <v>1540</v>
      </c>
      <c r="C295" s="118">
        <v>2025</v>
      </c>
      <c r="D295" s="118" t="s">
        <v>223</v>
      </c>
      <c r="E295" s="118" t="s">
        <v>1542</v>
      </c>
      <c r="F295" s="118" t="s">
        <v>1543</v>
      </c>
      <c r="G295" s="118" t="s">
        <v>228</v>
      </c>
      <c r="H295" s="118" t="s">
        <v>15</v>
      </c>
      <c r="I295" s="118" t="s">
        <v>230</v>
      </c>
      <c r="J295" s="118" t="s">
        <v>1541</v>
      </c>
      <c r="K295" s="118" t="s">
        <v>1826</v>
      </c>
      <c r="L295" s="118">
        <v>0</v>
      </c>
      <c r="M295" s="118">
        <v>0</v>
      </c>
      <c r="N295" s="118">
        <v>0</v>
      </c>
      <c r="O295" s="42" t="s">
        <v>16</v>
      </c>
      <c r="P295" s="42" t="s">
        <v>51</v>
      </c>
      <c r="Q295" s="42" t="s">
        <v>100</v>
      </c>
      <c r="R295" s="42" t="s">
        <v>51</v>
      </c>
      <c r="S295" s="125" t="s">
        <v>51</v>
      </c>
      <c r="T295" s="123" t="s">
        <v>211</v>
      </c>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spans="1:46" ht="14.25" customHeight="1" x14ac:dyDescent="0.2">
      <c r="A296" s="118" t="s">
        <v>1544</v>
      </c>
      <c r="B296" s="118" t="s">
        <v>1545</v>
      </c>
      <c r="C296" s="118">
        <v>2023</v>
      </c>
      <c r="D296" s="118" t="s">
        <v>1290</v>
      </c>
      <c r="E296" s="118" t="s">
        <v>1546</v>
      </c>
      <c r="F296" s="118" t="s">
        <v>1547</v>
      </c>
      <c r="G296" s="118" t="s">
        <v>1293</v>
      </c>
      <c r="H296" s="118" t="s">
        <v>15</v>
      </c>
      <c r="I296" s="118" t="s">
        <v>230</v>
      </c>
      <c r="J296" s="118">
        <v>0</v>
      </c>
      <c r="K296" s="118">
        <v>0</v>
      </c>
      <c r="L296" s="118">
        <v>0</v>
      </c>
      <c r="M296" s="118">
        <v>0</v>
      </c>
      <c r="N296" s="118">
        <v>0</v>
      </c>
      <c r="O296" s="42" t="s">
        <v>16</v>
      </c>
      <c r="P296" s="42" t="s">
        <v>50</v>
      </c>
      <c r="Q296" s="42" t="s">
        <v>100</v>
      </c>
      <c r="R296" s="42" t="s">
        <v>51</v>
      </c>
      <c r="S296" s="125" t="s">
        <v>51</v>
      </c>
      <c r="T296" s="123" t="s">
        <v>212</v>
      </c>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spans="1:46" ht="14.25" customHeight="1" x14ac:dyDescent="0.2">
      <c r="A297" s="118" t="s">
        <v>1548</v>
      </c>
      <c r="B297" s="118" t="s">
        <v>1549</v>
      </c>
      <c r="C297" s="118">
        <v>2025</v>
      </c>
      <c r="D297" s="118" t="s">
        <v>607</v>
      </c>
      <c r="E297" s="118" t="s">
        <v>1550</v>
      </c>
      <c r="F297" s="118" t="s">
        <v>1551</v>
      </c>
      <c r="G297" s="118" t="s">
        <v>610</v>
      </c>
      <c r="H297" s="118" t="s">
        <v>15</v>
      </c>
      <c r="I297" s="118" t="s">
        <v>230</v>
      </c>
      <c r="J297" s="118">
        <v>0</v>
      </c>
      <c r="K297" s="118" t="s">
        <v>1552</v>
      </c>
      <c r="L297" s="118">
        <v>0</v>
      </c>
      <c r="M297" s="118">
        <v>0</v>
      </c>
      <c r="N297" s="118">
        <v>0</v>
      </c>
      <c r="O297" s="42" t="s">
        <v>16</v>
      </c>
      <c r="P297" s="42" t="s">
        <v>51</v>
      </c>
      <c r="Q297" s="42" t="s">
        <v>100</v>
      </c>
      <c r="R297" s="42" t="s">
        <v>51</v>
      </c>
      <c r="S297" s="125" t="s">
        <v>51</v>
      </c>
      <c r="T297" s="123" t="s">
        <v>213</v>
      </c>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spans="1:46" ht="14.25" customHeight="1" x14ac:dyDescent="0.2">
      <c r="A298" s="118" t="s">
        <v>1553</v>
      </c>
      <c r="B298" s="118" t="s">
        <v>1554</v>
      </c>
      <c r="C298" s="118">
        <v>2024</v>
      </c>
      <c r="D298" s="118" t="s">
        <v>1555</v>
      </c>
      <c r="E298" s="118" t="s">
        <v>1557</v>
      </c>
      <c r="F298" s="118" t="s">
        <v>1558</v>
      </c>
      <c r="G298" s="118" t="s">
        <v>473</v>
      </c>
      <c r="H298" s="118" t="s">
        <v>15</v>
      </c>
      <c r="I298" s="118" t="s">
        <v>230</v>
      </c>
      <c r="J298" s="118" t="s">
        <v>1556</v>
      </c>
      <c r="K298" s="118" t="s">
        <v>1559</v>
      </c>
      <c r="L298" s="118">
        <v>0</v>
      </c>
      <c r="M298" s="118">
        <v>0</v>
      </c>
      <c r="N298" s="118">
        <v>0</v>
      </c>
      <c r="O298" s="42" t="s">
        <v>16</v>
      </c>
      <c r="P298" s="42" t="s">
        <v>52</v>
      </c>
      <c r="Q298" s="42" t="s">
        <v>100</v>
      </c>
      <c r="R298" s="42" t="s">
        <v>51</v>
      </c>
      <c r="S298" s="125" t="s">
        <v>51</v>
      </c>
      <c r="T298" s="123" t="s">
        <v>214</v>
      </c>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spans="1:46" ht="14.25" customHeight="1" x14ac:dyDescent="0.2">
      <c r="A299" s="118" t="s">
        <v>405</v>
      </c>
      <c r="B299" s="118" t="s">
        <v>1560</v>
      </c>
      <c r="C299" s="118">
        <v>2023</v>
      </c>
      <c r="D299" s="118" t="s">
        <v>233</v>
      </c>
      <c r="E299" s="118" t="s">
        <v>1562</v>
      </c>
      <c r="F299" s="118" t="s">
        <v>409</v>
      </c>
      <c r="G299" s="118" t="s">
        <v>238</v>
      </c>
      <c r="H299" s="118" t="s">
        <v>15</v>
      </c>
      <c r="I299" s="118" t="s">
        <v>230</v>
      </c>
      <c r="J299" s="118" t="s">
        <v>1561</v>
      </c>
      <c r="K299" s="118" t="s">
        <v>237</v>
      </c>
      <c r="L299" s="118">
        <v>0</v>
      </c>
      <c r="M299" s="118">
        <v>0</v>
      </c>
      <c r="N299" s="118">
        <v>0</v>
      </c>
      <c r="O299" s="42" t="s">
        <v>16</v>
      </c>
      <c r="P299" s="42" t="s">
        <v>51</v>
      </c>
      <c r="Q299" s="42" t="s">
        <v>100</v>
      </c>
      <c r="R299" s="42" t="s">
        <v>51</v>
      </c>
      <c r="S299" s="125" t="s">
        <v>51</v>
      </c>
      <c r="T299" s="123" t="s">
        <v>195</v>
      </c>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spans="1:46" ht="14.25" customHeight="1" x14ac:dyDescent="0.2">
      <c r="A300" s="118" t="s">
        <v>1563</v>
      </c>
      <c r="B300" s="118" t="s">
        <v>1564</v>
      </c>
      <c r="C300" s="118">
        <v>2022</v>
      </c>
      <c r="D300" s="118" t="s">
        <v>1565</v>
      </c>
      <c r="E300" s="118" t="s">
        <v>1567</v>
      </c>
      <c r="F300" s="118" t="s">
        <v>1568</v>
      </c>
      <c r="G300" s="118" t="s">
        <v>987</v>
      </c>
      <c r="H300" s="118" t="s">
        <v>15</v>
      </c>
      <c r="I300" s="118" t="s">
        <v>230</v>
      </c>
      <c r="J300" s="118" t="s">
        <v>1566</v>
      </c>
      <c r="K300" s="118">
        <v>0</v>
      </c>
      <c r="L300" s="118">
        <v>0</v>
      </c>
      <c r="M300" s="118">
        <v>0</v>
      </c>
      <c r="N300" s="118">
        <v>0</v>
      </c>
      <c r="O300" s="42" t="s">
        <v>16</v>
      </c>
      <c r="P300" s="42" t="s">
        <v>51</v>
      </c>
      <c r="Q300" s="42" t="s">
        <v>100</v>
      </c>
      <c r="R300" s="42" t="s">
        <v>51</v>
      </c>
      <c r="S300" s="125" t="s">
        <v>51</v>
      </c>
      <c r="T300" s="123" t="s">
        <v>196</v>
      </c>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spans="1:46" ht="14.25" customHeight="1" x14ac:dyDescent="0.2">
      <c r="A301" s="118" t="s">
        <v>1569</v>
      </c>
      <c r="B301" s="118" t="s">
        <v>1570</v>
      </c>
      <c r="C301" s="118">
        <v>2024</v>
      </c>
      <c r="D301" s="118" t="s">
        <v>1322</v>
      </c>
      <c r="E301" s="118" t="s">
        <v>1572</v>
      </c>
      <c r="F301" s="118" t="s">
        <v>1573</v>
      </c>
      <c r="G301" s="118" t="s">
        <v>282</v>
      </c>
      <c r="H301" s="118" t="s">
        <v>15</v>
      </c>
      <c r="I301" s="118" t="s">
        <v>253</v>
      </c>
      <c r="J301" s="118" t="s">
        <v>1571</v>
      </c>
      <c r="K301" s="118" t="s">
        <v>1574</v>
      </c>
      <c r="L301" s="118">
        <v>0</v>
      </c>
      <c r="M301" s="118">
        <v>0</v>
      </c>
      <c r="N301" s="118">
        <v>0</v>
      </c>
      <c r="O301" s="42" t="s">
        <v>16</v>
      </c>
      <c r="P301" s="42" t="s">
        <v>51</v>
      </c>
      <c r="Q301" s="42" t="s">
        <v>100</v>
      </c>
      <c r="R301" s="42" t="s">
        <v>51</v>
      </c>
      <c r="S301" s="125" t="s">
        <v>51</v>
      </c>
      <c r="T301" s="123" t="s">
        <v>197</v>
      </c>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spans="1:46" ht="14.25" customHeight="1" x14ac:dyDescent="0.2">
      <c r="A302" s="118" t="s">
        <v>1575</v>
      </c>
      <c r="B302" s="118" t="s">
        <v>1576</v>
      </c>
      <c r="C302" s="118">
        <v>2025</v>
      </c>
      <c r="D302" s="118" t="s">
        <v>1577</v>
      </c>
      <c r="E302" s="118" t="s">
        <v>1579</v>
      </c>
      <c r="F302" s="118" t="s">
        <v>1580</v>
      </c>
      <c r="G302" s="118" t="s">
        <v>473</v>
      </c>
      <c r="H302" s="118" t="s">
        <v>15</v>
      </c>
      <c r="I302" s="118" t="s">
        <v>230</v>
      </c>
      <c r="J302" s="118" t="s">
        <v>1578</v>
      </c>
      <c r="K302" s="118" t="s">
        <v>1581</v>
      </c>
      <c r="L302" s="118">
        <v>0</v>
      </c>
      <c r="M302" s="118">
        <v>0</v>
      </c>
      <c r="N302" s="118">
        <v>0</v>
      </c>
      <c r="O302" s="42" t="s">
        <v>16</v>
      </c>
      <c r="P302" s="42" t="s">
        <v>51</v>
      </c>
      <c r="Q302" s="42" t="s">
        <v>100</v>
      </c>
      <c r="R302" s="42" t="s">
        <v>51</v>
      </c>
      <c r="S302" s="125" t="s">
        <v>51</v>
      </c>
      <c r="T302" s="123" t="s">
        <v>198</v>
      </c>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spans="1:46" ht="14.25" customHeight="1" x14ac:dyDescent="0.2">
      <c r="A303" s="118" t="s">
        <v>1582</v>
      </c>
      <c r="B303" s="118" t="s">
        <v>1583</v>
      </c>
      <c r="C303" s="118">
        <v>2024</v>
      </c>
      <c r="D303" s="118" t="s">
        <v>819</v>
      </c>
      <c r="E303" s="118" t="s">
        <v>1585</v>
      </c>
      <c r="F303" s="118" t="s">
        <v>1586</v>
      </c>
      <c r="G303" s="118" t="s">
        <v>823</v>
      </c>
      <c r="H303" s="118" t="s">
        <v>15</v>
      </c>
      <c r="I303" s="118" t="s">
        <v>230</v>
      </c>
      <c r="J303" s="118" t="s">
        <v>1584</v>
      </c>
      <c r="K303" s="118">
        <v>0</v>
      </c>
      <c r="L303" s="118">
        <v>0</v>
      </c>
      <c r="M303" s="118">
        <v>0</v>
      </c>
      <c r="N303" s="118">
        <v>0</v>
      </c>
      <c r="O303" s="42" t="s">
        <v>16</v>
      </c>
      <c r="P303" s="42" t="s">
        <v>51</v>
      </c>
      <c r="Q303" s="42" t="s">
        <v>100</v>
      </c>
      <c r="R303" s="42" t="s">
        <v>52</v>
      </c>
      <c r="S303" s="125" t="s">
        <v>51</v>
      </c>
      <c r="T303" s="123" t="s">
        <v>199</v>
      </c>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spans="1:46" ht="14.25" customHeight="1" x14ac:dyDescent="0.2">
      <c r="A304" s="118" t="s">
        <v>1587</v>
      </c>
      <c r="B304" s="118" t="s">
        <v>1588</v>
      </c>
      <c r="C304" s="118">
        <v>2022</v>
      </c>
      <c r="D304" s="118" t="s">
        <v>233</v>
      </c>
      <c r="E304" s="118" t="s">
        <v>1590</v>
      </c>
      <c r="F304" s="118" t="s">
        <v>1591</v>
      </c>
      <c r="G304" s="118" t="s">
        <v>238</v>
      </c>
      <c r="H304" s="118" t="s">
        <v>15</v>
      </c>
      <c r="I304" s="118" t="s">
        <v>230</v>
      </c>
      <c r="J304" s="118" t="s">
        <v>1589</v>
      </c>
      <c r="K304" s="118" t="s">
        <v>1592</v>
      </c>
      <c r="L304" s="118">
        <v>0</v>
      </c>
      <c r="M304" s="118">
        <v>0</v>
      </c>
      <c r="N304" s="118">
        <v>0</v>
      </c>
      <c r="O304" s="42" t="s">
        <v>16</v>
      </c>
      <c r="P304" s="42" t="s">
        <v>51</v>
      </c>
      <c r="Q304" s="42" t="s">
        <v>100</v>
      </c>
      <c r="R304" s="42" t="s">
        <v>51</v>
      </c>
      <c r="S304" s="125" t="s">
        <v>51</v>
      </c>
      <c r="T304" s="123" t="s">
        <v>200</v>
      </c>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spans="1:46" ht="14.25" customHeight="1" x14ac:dyDescent="0.2">
      <c r="A305" s="118" t="s">
        <v>1593</v>
      </c>
      <c r="B305" s="118" t="s">
        <v>1594</v>
      </c>
      <c r="C305" s="118">
        <v>2024</v>
      </c>
      <c r="D305" s="118" t="s">
        <v>1595</v>
      </c>
      <c r="E305" s="118" t="s">
        <v>1597</v>
      </c>
      <c r="F305" s="118" t="s">
        <v>1598</v>
      </c>
      <c r="G305" s="118" t="s">
        <v>336</v>
      </c>
      <c r="H305" s="118" t="s">
        <v>15</v>
      </c>
      <c r="I305" s="118" t="s">
        <v>253</v>
      </c>
      <c r="J305" s="118" t="s">
        <v>1596</v>
      </c>
      <c r="K305" s="118" t="s">
        <v>1599</v>
      </c>
      <c r="L305" s="118">
        <v>0</v>
      </c>
      <c r="M305" s="118">
        <v>0</v>
      </c>
      <c r="N305" s="118">
        <v>0</v>
      </c>
      <c r="O305" s="42" t="s">
        <v>16</v>
      </c>
      <c r="P305" s="42" t="s">
        <v>51</v>
      </c>
      <c r="Q305" s="42" t="s">
        <v>100</v>
      </c>
      <c r="R305" s="42" t="s">
        <v>51</v>
      </c>
      <c r="S305" s="125" t="s">
        <v>51</v>
      </c>
      <c r="T305" s="123" t="s">
        <v>201</v>
      </c>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spans="1:46" ht="14.25" customHeight="1" x14ac:dyDescent="0.2">
      <c r="A306" s="118" t="s">
        <v>1600</v>
      </c>
      <c r="B306" s="118" t="s">
        <v>1601</v>
      </c>
      <c r="C306" s="118">
        <v>2025</v>
      </c>
      <c r="D306" s="118" t="s">
        <v>1602</v>
      </c>
      <c r="E306" s="118" t="s">
        <v>1604</v>
      </c>
      <c r="F306" s="118" t="s">
        <v>1605</v>
      </c>
      <c r="G306" s="118" t="s">
        <v>1606</v>
      </c>
      <c r="H306" s="118" t="s">
        <v>15</v>
      </c>
      <c r="I306" s="118" t="s">
        <v>230</v>
      </c>
      <c r="J306" s="118" t="s">
        <v>1603</v>
      </c>
      <c r="K306" s="118">
        <v>0</v>
      </c>
      <c r="L306" s="118">
        <v>0</v>
      </c>
      <c r="M306" s="118">
        <v>0</v>
      </c>
      <c r="N306" s="118">
        <v>0</v>
      </c>
      <c r="O306" s="42" t="s">
        <v>16</v>
      </c>
      <c r="P306" s="42" t="s">
        <v>51</v>
      </c>
      <c r="Q306" s="42" t="s">
        <v>100</v>
      </c>
      <c r="R306" s="42" t="s">
        <v>51</v>
      </c>
      <c r="S306" s="125" t="s">
        <v>51</v>
      </c>
      <c r="T306" s="123" t="s">
        <v>202</v>
      </c>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spans="1:46" ht="14.25" customHeight="1" x14ac:dyDescent="0.2">
      <c r="A307" s="118" t="s">
        <v>1607</v>
      </c>
      <c r="B307" s="118" t="s">
        <v>1608</v>
      </c>
      <c r="C307" s="118">
        <v>2022</v>
      </c>
      <c r="D307" s="118" t="s">
        <v>233</v>
      </c>
      <c r="E307" s="118" t="s">
        <v>1610</v>
      </c>
      <c r="F307" s="118" t="s">
        <v>1611</v>
      </c>
      <c r="G307" s="118" t="s">
        <v>238</v>
      </c>
      <c r="H307" s="118" t="s">
        <v>15</v>
      </c>
      <c r="I307" s="118" t="s">
        <v>230</v>
      </c>
      <c r="J307" s="118" t="s">
        <v>1609</v>
      </c>
      <c r="K307" s="118" t="s">
        <v>1612</v>
      </c>
      <c r="L307" s="118">
        <v>0</v>
      </c>
      <c r="M307" s="118">
        <v>0</v>
      </c>
      <c r="N307" s="118">
        <v>0</v>
      </c>
      <c r="O307" s="42" t="s">
        <v>16</v>
      </c>
      <c r="P307" s="42" t="s">
        <v>51</v>
      </c>
      <c r="Q307" s="42" t="s">
        <v>100</v>
      </c>
      <c r="R307" s="42" t="s">
        <v>51</v>
      </c>
      <c r="S307" s="125" t="s">
        <v>51</v>
      </c>
      <c r="T307" s="123" t="s">
        <v>203</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ht="14.25" customHeight="1" x14ac:dyDescent="0.2">
      <c r="A308" s="118" t="s">
        <v>1613</v>
      </c>
      <c r="B308" s="118" t="s">
        <v>1614</v>
      </c>
      <c r="C308" s="118">
        <v>2022</v>
      </c>
      <c r="D308" s="118" t="s">
        <v>1615</v>
      </c>
      <c r="E308" s="118" t="s">
        <v>1617</v>
      </c>
      <c r="F308" s="118" t="s">
        <v>1618</v>
      </c>
      <c r="G308" s="118" t="s">
        <v>473</v>
      </c>
      <c r="H308" s="118" t="s">
        <v>15</v>
      </c>
      <c r="I308" s="118" t="s">
        <v>230</v>
      </c>
      <c r="J308" s="118" t="s">
        <v>1616</v>
      </c>
      <c r="K308" s="118" t="s">
        <v>1619</v>
      </c>
      <c r="L308" s="118">
        <v>0</v>
      </c>
      <c r="M308" s="118">
        <v>0</v>
      </c>
      <c r="N308" s="118">
        <v>0</v>
      </c>
      <c r="O308" s="42" t="s">
        <v>16</v>
      </c>
      <c r="P308" s="42" t="s">
        <v>51</v>
      </c>
      <c r="Q308" s="42" t="s">
        <v>100</v>
      </c>
      <c r="R308" s="42" t="s">
        <v>51</v>
      </c>
      <c r="S308" s="125" t="s">
        <v>51</v>
      </c>
      <c r="T308" s="123" t="s">
        <v>204</v>
      </c>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ht="14.25" customHeight="1" x14ac:dyDescent="0.2">
      <c r="A309" s="118" t="s">
        <v>1620</v>
      </c>
      <c r="B309" s="118" t="s">
        <v>1621</v>
      </c>
      <c r="C309" s="118">
        <v>2025</v>
      </c>
      <c r="D309" s="118" t="s">
        <v>1622</v>
      </c>
      <c r="E309" s="118" t="s">
        <v>1624</v>
      </c>
      <c r="F309" s="118" t="s">
        <v>1625</v>
      </c>
      <c r="G309" s="118" t="s">
        <v>1626</v>
      </c>
      <c r="H309" s="118" t="s">
        <v>15</v>
      </c>
      <c r="I309" s="118" t="s">
        <v>253</v>
      </c>
      <c r="J309" s="118" t="s">
        <v>1623</v>
      </c>
      <c r="K309" s="118" t="s">
        <v>1825</v>
      </c>
      <c r="L309" s="118">
        <v>0</v>
      </c>
      <c r="M309" s="118">
        <v>0</v>
      </c>
      <c r="N309" s="118">
        <v>0</v>
      </c>
      <c r="O309" s="42" t="s">
        <v>16</v>
      </c>
      <c r="P309" s="42" t="s">
        <v>51</v>
      </c>
      <c r="Q309" s="42" t="s">
        <v>100</v>
      </c>
      <c r="R309" s="42" t="s">
        <v>51</v>
      </c>
      <c r="S309" s="125" t="s">
        <v>51</v>
      </c>
      <c r="T309" s="123" t="s">
        <v>205</v>
      </c>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ht="14.25" customHeight="1" x14ac:dyDescent="0.2">
      <c r="A310" s="118" t="s">
        <v>1627</v>
      </c>
      <c r="B310" s="118" t="s">
        <v>1628</v>
      </c>
      <c r="C310" s="118">
        <v>2025</v>
      </c>
      <c r="D310" s="118" t="s">
        <v>1629</v>
      </c>
      <c r="E310" s="118" t="s">
        <v>1631</v>
      </c>
      <c r="F310" s="118" t="s">
        <v>1632</v>
      </c>
      <c r="G310" s="118" t="s">
        <v>1606</v>
      </c>
      <c r="H310" s="118" t="s">
        <v>15</v>
      </c>
      <c r="I310" s="118" t="s">
        <v>230</v>
      </c>
      <c r="J310" s="118" t="s">
        <v>1630</v>
      </c>
      <c r="K310" s="118">
        <v>0</v>
      </c>
      <c r="L310" s="118">
        <v>0</v>
      </c>
      <c r="M310" s="118">
        <v>0</v>
      </c>
      <c r="N310" s="118">
        <v>0</v>
      </c>
      <c r="O310" s="42" t="s">
        <v>16</v>
      </c>
      <c r="P310" s="42" t="s">
        <v>51</v>
      </c>
      <c r="Q310" s="42" t="s">
        <v>100</v>
      </c>
      <c r="R310" s="42" t="s">
        <v>51</v>
      </c>
      <c r="S310" s="125" t="s">
        <v>51</v>
      </c>
      <c r="T310" s="123" t="s">
        <v>206</v>
      </c>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ht="14.25" customHeight="1" x14ac:dyDescent="0.2">
      <c r="A311" s="118" t="s">
        <v>1633</v>
      </c>
      <c r="B311" s="118" t="s">
        <v>1634</v>
      </c>
      <c r="C311" s="118">
        <v>2026</v>
      </c>
      <c r="D311" s="118" t="s">
        <v>1635</v>
      </c>
      <c r="E311" s="118" t="s">
        <v>1637</v>
      </c>
      <c r="F311" s="118" t="s">
        <v>1638</v>
      </c>
      <c r="G311" s="118" t="s">
        <v>1639</v>
      </c>
      <c r="H311" s="118" t="s">
        <v>15</v>
      </c>
      <c r="I311" s="118" t="s">
        <v>545</v>
      </c>
      <c r="J311" s="118" t="s">
        <v>1636</v>
      </c>
      <c r="K311" s="118">
        <v>0</v>
      </c>
      <c r="L311" s="118">
        <v>0</v>
      </c>
      <c r="M311" s="118">
        <v>0</v>
      </c>
      <c r="N311" s="118">
        <v>0</v>
      </c>
      <c r="O311" s="42" t="s">
        <v>16</v>
      </c>
      <c r="P311" s="42" t="s">
        <v>51</v>
      </c>
      <c r="Q311" s="42" t="s">
        <v>100</v>
      </c>
      <c r="R311" s="42" t="s">
        <v>51</v>
      </c>
      <c r="S311" s="125" t="s">
        <v>51</v>
      </c>
      <c r="T311" s="123" t="s">
        <v>207</v>
      </c>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ht="14.25" customHeight="1" x14ac:dyDescent="0.2">
      <c r="A312" s="118" t="s">
        <v>1640</v>
      </c>
      <c r="B312" s="118" t="s">
        <v>1641</v>
      </c>
      <c r="C312" s="118">
        <v>2025</v>
      </c>
      <c r="D312" s="118" t="s">
        <v>1003</v>
      </c>
      <c r="E312" s="118" t="s">
        <v>1643</v>
      </c>
      <c r="F312" s="118" t="s">
        <v>1644</v>
      </c>
      <c r="G312" s="118" t="s">
        <v>350</v>
      </c>
      <c r="H312" s="118" t="s">
        <v>15</v>
      </c>
      <c r="I312" s="118" t="s">
        <v>230</v>
      </c>
      <c r="J312" s="118" t="s">
        <v>1642</v>
      </c>
      <c r="K312" s="118" t="s">
        <v>1645</v>
      </c>
      <c r="L312" s="118">
        <v>0</v>
      </c>
      <c r="M312" s="118">
        <v>0</v>
      </c>
      <c r="N312" s="118">
        <v>0</v>
      </c>
      <c r="O312" s="42" t="s">
        <v>16</v>
      </c>
      <c r="P312" s="42" t="s">
        <v>52</v>
      </c>
      <c r="Q312" s="42" t="s">
        <v>100</v>
      </c>
      <c r="R312" s="42" t="s">
        <v>51</v>
      </c>
      <c r="S312" s="125" t="s">
        <v>51</v>
      </c>
      <c r="T312" s="123" t="s">
        <v>208</v>
      </c>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ht="14.25" customHeight="1" x14ac:dyDescent="0.2">
      <c r="A313" s="118" t="s">
        <v>1646</v>
      </c>
      <c r="B313" s="118" t="s">
        <v>1647</v>
      </c>
      <c r="C313" s="118">
        <v>2024</v>
      </c>
      <c r="D313" s="118" t="s">
        <v>233</v>
      </c>
      <c r="E313" s="118" t="s">
        <v>1649</v>
      </c>
      <c r="F313" s="118" t="s">
        <v>1650</v>
      </c>
      <c r="G313" s="118" t="s">
        <v>238</v>
      </c>
      <c r="H313" s="118" t="s">
        <v>15</v>
      </c>
      <c r="I313" s="118" t="s">
        <v>230</v>
      </c>
      <c r="J313" s="118" t="s">
        <v>1648</v>
      </c>
      <c r="K313" s="118" t="s">
        <v>1651</v>
      </c>
      <c r="L313" s="118">
        <v>0</v>
      </c>
      <c r="M313" s="118">
        <v>0</v>
      </c>
      <c r="N313" s="118">
        <v>0</v>
      </c>
      <c r="O313" s="42" t="s">
        <v>16</v>
      </c>
      <c r="P313" s="42" t="s">
        <v>51</v>
      </c>
      <c r="Q313" s="42" t="s">
        <v>100</v>
      </c>
      <c r="R313" s="42" t="s">
        <v>51</v>
      </c>
      <c r="S313" s="125" t="s">
        <v>51</v>
      </c>
      <c r="T313" s="123" t="s">
        <v>199</v>
      </c>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ht="14.25" customHeight="1" x14ac:dyDescent="0.2">
      <c r="A314" s="118" t="s">
        <v>1652</v>
      </c>
      <c r="B314" s="118" t="s">
        <v>1653</v>
      </c>
      <c r="C314" s="118">
        <v>2025</v>
      </c>
      <c r="D314" s="118" t="s">
        <v>1654</v>
      </c>
      <c r="E314" s="118" t="s">
        <v>1656</v>
      </c>
      <c r="F314" s="118" t="s">
        <v>1657</v>
      </c>
      <c r="G314" s="118" t="s">
        <v>473</v>
      </c>
      <c r="H314" s="118" t="s">
        <v>15</v>
      </c>
      <c r="I314" s="118" t="s">
        <v>230</v>
      </c>
      <c r="J314" s="118" t="s">
        <v>1655</v>
      </c>
      <c r="K314" s="118" t="s">
        <v>1658</v>
      </c>
      <c r="L314" s="118">
        <v>0</v>
      </c>
      <c r="M314" s="118">
        <v>0</v>
      </c>
      <c r="N314" s="118">
        <v>0</v>
      </c>
      <c r="O314" s="42" t="s">
        <v>16</v>
      </c>
      <c r="P314" s="42" t="s">
        <v>51</v>
      </c>
      <c r="Q314" s="42" t="s">
        <v>100</v>
      </c>
      <c r="R314" s="42" t="s">
        <v>50</v>
      </c>
      <c r="S314" s="125" t="s">
        <v>51</v>
      </c>
      <c r="T314" s="123" t="s">
        <v>200</v>
      </c>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ht="14.25" customHeight="1" x14ac:dyDescent="0.2">
      <c r="A315" s="118" t="s">
        <v>744</v>
      </c>
      <c r="B315" s="118" t="s">
        <v>1659</v>
      </c>
      <c r="C315" s="118">
        <v>2023</v>
      </c>
      <c r="D315" s="118" t="s">
        <v>1660</v>
      </c>
      <c r="E315" s="118" t="s">
        <v>1662</v>
      </c>
      <c r="F315" s="118" t="s">
        <v>1663</v>
      </c>
      <c r="G315" s="118" t="s">
        <v>473</v>
      </c>
      <c r="H315" s="118" t="s">
        <v>15</v>
      </c>
      <c r="I315" s="118" t="s">
        <v>230</v>
      </c>
      <c r="J315" s="118" t="s">
        <v>1661</v>
      </c>
      <c r="K315" s="118">
        <v>0</v>
      </c>
      <c r="L315" s="118">
        <v>0</v>
      </c>
      <c r="M315" s="118">
        <v>0</v>
      </c>
      <c r="N315" s="118">
        <v>0</v>
      </c>
      <c r="O315" s="42" t="s">
        <v>16</v>
      </c>
      <c r="P315" s="42" t="s">
        <v>51</v>
      </c>
      <c r="Q315" s="42" t="s">
        <v>100</v>
      </c>
      <c r="R315" s="42" t="s">
        <v>51</v>
      </c>
      <c r="S315" s="125" t="s">
        <v>51</v>
      </c>
      <c r="T315" s="123" t="s">
        <v>201</v>
      </c>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ht="14.25" customHeight="1" x14ac:dyDescent="0.2">
      <c r="A316" s="118" t="s">
        <v>1247</v>
      </c>
      <c r="B316" s="118" t="s">
        <v>1664</v>
      </c>
      <c r="C316" s="118">
        <v>2022</v>
      </c>
      <c r="D316" s="118" t="s">
        <v>233</v>
      </c>
      <c r="E316" s="118" t="s">
        <v>1666</v>
      </c>
      <c r="F316" s="118" t="s">
        <v>1251</v>
      </c>
      <c r="G316" s="118" t="s">
        <v>238</v>
      </c>
      <c r="H316" s="118" t="s">
        <v>15</v>
      </c>
      <c r="I316" s="118" t="s">
        <v>230</v>
      </c>
      <c r="J316" s="118" t="s">
        <v>1665</v>
      </c>
      <c r="K316" s="118" t="s">
        <v>1667</v>
      </c>
      <c r="L316" s="118">
        <v>0</v>
      </c>
      <c r="M316" s="118">
        <v>0</v>
      </c>
      <c r="N316" s="118">
        <v>0</v>
      </c>
      <c r="O316" s="42" t="s">
        <v>16</v>
      </c>
      <c r="P316" s="42" t="s">
        <v>51</v>
      </c>
      <c r="Q316" s="42" t="s">
        <v>100</v>
      </c>
      <c r="R316" s="42" t="s">
        <v>50</v>
      </c>
      <c r="S316" s="125" t="s">
        <v>51</v>
      </c>
      <c r="T316" s="123" t="s">
        <v>202</v>
      </c>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ht="14.25" customHeight="1" x14ac:dyDescent="0.2">
      <c r="A317" s="118" t="s">
        <v>1668</v>
      </c>
      <c r="B317" s="118" t="s">
        <v>1669</v>
      </c>
      <c r="C317" s="118">
        <v>2024</v>
      </c>
      <c r="D317" s="118" t="s">
        <v>233</v>
      </c>
      <c r="E317" s="118" t="s">
        <v>1671</v>
      </c>
      <c r="F317" s="118" t="s">
        <v>1672</v>
      </c>
      <c r="G317" s="118" t="s">
        <v>238</v>
      </c>
      <c r="H317" s="118" t="s">
        <v>15</v>
      </c>
      <c r="I317" s="118" t="s">
        <v>230</v>
      </c>
      <c r="J317" s="118" t="s">
        <v>1670</v>
      </c>
      <c r="K317" s="118">
        <v>0</v>
      </c>
      <c r="L317" s="118">
        <v>0</v>
      </c>
      <c r="M317" s="118">
        <v>0</v>
      </c>
      <c r="N317" s="118">
        <v>0</v>
      </c>
      <c r="O317" s="42" t="s">
        <v>16</v>
      </c>
      <c r="P317" s="42" t="s">
        <v>51</v>
      </c>
      <c r="Q317" s="42" t="s">
        <v>100</v>
      </c>
      <c r="R317" s="42" t="s">
        <v>51</v>
      </c>
      <c r="S317" s="125" t="s">
        <v>51</v>
      </c>
      <c r="T317" s="123" t="s">
        <v>203</v>
      </c>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ht="14.25" customHeight="1" x14ac:dyDescent="0.2">
      <c r="A318" s="118" t="s">
        <v>1673</v>
      </c>
      <c r="B318" s="118" t="s">
        <v>1674</v>
      </c>
      <c r="C318" s="118">
        <v>2025</v>
      </c>
      <c r="D318" s="118" t="s">
        <v>233</v>
      </c>
      <c r="E318" s="118" t="s">
        <v>1676</v>
      </c>
      <c r="F318" s="118" t="s">
        <v>1677</v>
      </c>
      <c r="G318" s="118" t="s">
        <v>238</v>
      </c>
      <c r="H318" s="118" t="s">
        <v>15</v>
      </c>
      <c r="I318" s="118" t="s">
        <v>230</v>
      </c>
      <c r="J318" s="118" t="s">
        <v>1675</v>
      </c>
      <c r="K318" s="118" t="s">
        <v>1678</v>
      </c>
      <c r="L318" s="118">
        <v>0</v>
      </c>
      <c r="M318" s="118">
        <v>0</v>
      </c>
      <c r="N318" s="118">
        <v>0</v>
      </c>
      <c r="O318" s="42" t="s">
        <v>16</v>
      </c>
      <c r="P318" s="42" t="s">
        <v>51</v>
      </c>
      <c r="Q318" s="42" t="s">
        <v>100</v>
      </c>
      <c r="R318" s="42" t="s">
        <v>51</v>
      </c>
      <c r="S318" s="125" t="s">
        <v>51</v>
      </c>
      <c r="T318" s="123" t="s">
        <v>204</v>
      </c>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ht="14.25" customHeight="1" x14ac:dyDescent="0.2">
      <c r="A319" s="118" t="s">
        <v>1679</v>
      </c>
      <c r="B319" s="118" t="s">
        <v>1680</v>
      </c>
      <c r="C319" s="118">
        <v>2025</v>
      </c>
      <c r="D319" s="118" t="s">
        <v>1681</v>
      </c>
      <c r="E319" s="118" t="s">
        <v>1683</v>
      </c>
      <c r="F319" s="118" t="s">
        <v>1684</v>
      </c>
      <c r="G319" s="118" t="s">
        <v>473</v>
      </c>
      <c r="H319" s="118" t="s">
        <v>15</v>
      </c>
      <c r="I319" s="118" t="s">
        <v>230</v>
      </c>
      <c r="J319" s="118" t="s">
        <v>1682</v>
      </c>
      <c r="K319" s="118" t="s">
        <v>1685</v>
      </c>
      <c r="L319" s="118">
        <v>0</v>
      </c>
      <c r="M319" s="118">
        <v>0</v>
      </c>
      <c r="N319" s="118">
        <v>0</v>
      </c>
      <c r="O319" s="42" t="s">
        <v>16</v>
      </c>
      <c r="P319" s="42" t="s">
        <v>50</v>
      </c>
      <c r="Q319" s="42" t="s">
        <v>100</v>
      </c>
      <c r="R319" s="42" t="s">
        <v>51</v>
      </c>
      <c r="S319" s="125" t="s">
        <v>51</v>
      </c>
      <c r="T319" s="123" t="s">
        <v>205</v>
      </c>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ht="14.25" customHeight="1" x14ac:dyDescent="0.2">
      <c r="A320" s="118" t="s">
        <v>1686</v>
      </c>
      <c r="B320" s="118" t="s">
        <v>1687</v>
      </c>
      <c r="C320" s="118">
        <v>2025</v>
      </c>
      <c r="D320" s="118" t="s">
        <v>233</v>
      </c>
      <c r="E320" s="118" t="s">
        <v>1689</v>
      </c>
      <c r="F320" s="118" t="s">
        <v>1690</v>
      </c>
      <c r="G320" s="118" t="s">
        <v>238</v>
      </c>
      <c r="H320" s="118" t="s">
        <v>15</v>
      </c>
      <c r="I320" s="118" t="s">
        <v>230</v>
      </c>
      <c r="J320" s="118" t="s">
        <v>1688</v>
      </c>
      <c r="K320" s="118" t="s">
        <v>1691</v>
      </c>
      <c r="L320" s="118">
        <v>0</v>
      </c>
      <c r="M320" s="118">
        <v>0</v>
      </c>
      <c r="N320" s="118">
        <v>0</v>
      </c>
      <c r="O320" s="42" t="s">
        <v>16</v>
      </c>
      <c r="P320" s="42" t="s">
        <v>51</v>
      </c>
      <c r="Q320" s="42" t="s">
        <v>100</v>
      </c>
      <c r="R320" s="42" t="s">
        <v>50</v>
      </c>
      <c r="S320" s="125" t="s">
        <v>51</v>
      </c>
      <c r="T320" s="123" t="s">
        <v>206</v>
      </c>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ht="14.25" customHeight="1" x14ac:dyDescent="0.2">
      <c r="A321" s="118" t="s">
        <v>1692</v>
      </c>
      <c r="B321" s="118" t="s">
        <v>1693</v>
      </c>
      <c r="C321" s="118">
        <v>2022</v>
      </c>
      <c r="D321" s="118" t="s">
        <v>233</v>
      </c>
      <c r="E321" s="118" t="s">
        <v>1695</v>
      </c>
      <c r="F321" s="118" t="s">
        <v>1696</v>
      </c>
      <c r="G321" s="118" t="s">
        <v>238</v>
      </c>
      <c r="H321" s="118" t="s">
        <v>15</v>
      </c>
      <c r="I321" s="118" t="s">
        <v>230</v>
      </c>
      <c r="J321" s="118" t="s">
        <v>1694</v>
      </c>
      <c r="K321" s="118" t="s">
        <v>1697</v>
      </c>
      <c r="L321" s="118">
        <v>0</v>
      </c>
      <c r="M321" s="118">
        <v>0</v>
      </c>
      <c r="N321" s="118">
        <v>0</v>
      </c>
      <c r="O321" s="42" t="s">
        <v>16</v>
      </c>
      <c r="P321" s="42" t="s">
        <v>51</v>
      </c>
      <c r="Q321" s="42" t="s">
        <v>100</v>
      </c>
      <c r="R321" s="42" t="s">
        <v>51</v>
      </c>
      <c r="S321" s="125" t="s">
        <v>51</v>
      </c>
      <c r="T321" s="123" t="s">
        <v>207</v>
      </c>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ht="14.25" customHeight="1" x14ac:dyDescent="0.2">
      <c r="A322" s="118" t="s">
        <v>1698</v>
      </c>
      <c r="B322" s="118" t="s">
        <v>1699</v>
      </c>
      <c r="C322" s="118">
        <v>2023</v>
      </c>
      <c r="D322" s="118" t="s">
        <v>233</v>
      </c>
      <c r="E322" s="118" t="s">
        <v>1701</v>
      </c>
      <c r="F322" s="118" t="s">
        <v>1702</v>
      </c>
      <c r="G322" s="118" t="s">
        <v>238</v>
      </c>
      <c r="H322" s="118" t="s">
        <v>15</v>
      </c>
      <c r="I322" s="118" t="s">
        <v>230</v>
      </c>
      <c r="J322" s="118" t="s">
        <v>1700</v>
      </c>
      <c r="K322" s="118" t="s">
        <v>1703</v>
      </c>
      <c r="L322" s="118">
        <v>0</v>
      </c>
      <c r="M322" s="118">
        <v>0</v>
      </c>
      <c r="N322" s="118">
        <v>0</v>
      </c>
      <c r="O322" s="42" t="s">
        <v>16</v>
      </c>
      <c r="P322" s="42" t="s">
        <v>51</v>
      </c>
      <c r="Q322" s="42" t="s">
        <v>100</v>
      </c>
      <c r="R322" s="42" t="s">
        <v>51</v>
      </c>
      <c r="S322" s="125" t="s">
        <v>51</v>
      </c>
      <c r="T322" s="123" t="s">
        <v>208</v>
      </c>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ht="14.25" customHeight="1" x14ac:dyDescent="0.2">
      <c r="A323" s="118" t="s">
        <v>1704</v>
      </c>
      <c r="B323" s="118" t="s">
        <v>1705</v>
      </c>
      <c r="C323" s="118">
        <v>2022</v>
      </c>
      <c r="D323" s="118" t="s">
        <v>607</v>
      </c>
      <c r="E323" s="118" t="s">
        <v>1706</v>
      </c>
      <c r="F323" s="118" t="s">
        <v>1707</v>
      </c>
      <c r="G323" s="118" t="s">
        <v>610</v>
      </c>
      <c r="H323" s="118" t="s">
        <v>15</v>
      </c>
      <c r="I323" s="118" t="s">
        <v>230</v>
      </c>
      <c r="J323" s="118">
        <v>0</v>
      </c>
      <c r="K323" s="118" t="s">
        <v>1708</v>
      </c>
      <c r="L323" s="118">
        <v>0</v>
      </c>
      <c r="M323" s="118">
        <v>0</v>
      </c>
      <c r="N323" s="118">
        <v>0</v>
      </c>
      <c r="O323" s="42" t="s">
        <v>16</v>
      </c>
      <c r="P323" s="42" t="s">
        <v>51</v>
      </c>
      <c r="Q323" s="42" t="s">
        <v>100</v>
      </c>
      <c r="R323" s="42" t="s">
        <v>51</v>
      </c>
      <c r="S323" s="125" t="s">
        <v>51</v>
      </c>
      <c r="T323" s="123" t="s">
        <v>209</v>
      </c>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ht="14.25" customHeight="1" x14ac:dyDescent="0.2">
      <c r="A324" s="118" t="s">
        <v>1709</v>
      </c>
      <c r="B324" s="118" t="s">
        <v>1710</v>
      </c>
      <c r="C324" s="118">
        <v>2022</v>
      </c>
      <c r="D324" s="118" t="s">
        <v>1711</v>
      </c>
      <c r="E324" s="118" t="s">
        <v>1713</v>
      </c>
      <c r="F324" s="118" t="s">
        <v>1714</v>
      </c>
      <c r="G324" s="118" t="s">
        <v>473</v>
      </c>
      <c r="H324" s="118" t="s">
        <v>15</v>
      </c>
      <c r="I324" s="118" t="s">
        <v>230</v>
      </c>
      <c r="J324" s="118" t="s">
        <v>1712</v>
      </c>
      <c r="K324" s="118">
        <v>0</v>
      </c>
      <c r="L324" s="118">
        <v>0</v>
      </c>
      <c r="M324" s="118">
        <v>0</v>
      </c>
      <c r="N324" s="118">
        <v>0</v>
      </c>
      <c r="O324" s="42" t="s">
        <v>16</v>
      </c>
      <c r="P324" s="42" t="s">
        <v>51</v>
      </c>
      <c r="Q324" s="42" t="s">
        <v>100</v>
      </c>
      <c r="R324" s="42" t="s">
        <v>51</v>
      </c>
      <c r="S324" s="125" t="s">
        <v>51</v>
      </c>
      <c r="T324" s="123" t="s">
        <v>210</v>
      </c>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ht="14.25" customHeight="1" x14ac:dyDescent="0.2">
      <c r="A325" s="118" t="s">
        <v>1715</v>
      </c>
      <c r="B325" s="118" t="s">
        <v>1716</v>
      </c>
      <c r="C325" s="118">
        <v>2025</v>
      </c>
      <c r="D325" s="118" t="s">
        <v>1717</v>
      </c>
      <c r="E325" s="118" t="s">
        <v>1719</v>
      </c>
      <c r="F325" s="118" t="s">
        <v>1720</v>
      </c>
      <c r="G325" s="118" t="s">
        <v>1722</v>
      </c>
      <c r="H325" s="118" t="s">
        <v>15</v>
      </c>
      <c r="I325" s="118" t="s">
        <v>253</v>
      </c>
      <c r="J325" s="118" t="s">
        <v>1718</v>
      </c>
      <c r="K325" s="118" t="s">
        <v>1721</v>
      </c>
      <c r="L325" s="118">
        <v>0</v>
      </c>
      <c r="M325" s="118">
        <v>0</v>
      </c>
      <c r="N325" s="118">
        <v>0</v>
      </c>
      <c r="O325" s="42" t="s">
        <v>16</v>
      </c>
      <c r="P325" s="42" t="s">
        <v>51</v>
      </c>
      <c r="Q325" s="42" t="s">
        <v>100</v>
      </c>
      <c r="R325" s="42" t="s">
        <v>52</v>
      </c>
      <c r="S325" s="125" t="s">
        <v>51</v>
      </c>
      <c r="T325" s="123" t="s">
        <v>211</v>
      </c>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ht="14.25" customHeight="1" x14ac:dyDescent="0.2">
      <c r="A326" s="118" t="s">
        <v>1723</v>
      </c>
      <c r="B326" s="118" t="s">
        <v>1724</v>
      </c>
      <c r="C326" s="118">
        <v>2022</v>
      </c>
      <c r="D326" s="118" t="s">
        <v>233</v>
      </c>
      <c r="E326" s="118" t="s">
        <v>1726</v>
      </c>
      <c r="F326" s="118" t="s">
        <v>1727</v>
      </c>
      <c r="G326" s="118" t="s">
        <v>238</v>
      </c>
      <c r="H326" s="118" t="s">
        <v>15</v>
      </c>
      <c r="I326" s="118" t="s">
        <v>230</v>
      </c>
      <c r="J326" s="118" t="s">
        <v>1725</v>
      </c>
      <c r="K326" s="118" t="s">
        <v>1728</v>
      </c>
      <c r="L326" s="118">
        <v>0</v>
      </c>
      <c r="M326" s="118">
        <v>0</v>
      </c>
      <c r="N326" s="118">
        <v>0</v>
      </c>
      <c r="O326" s="42" t="s">
        <v>16</v>
      </c>
      <c r="P326" s="42" t="s">
        <v>51</v>
      </c>
      <c r="Q326" s="42" t="s">
        <v>100</v>
      </c>
      <c r="R326" s="42" t="s">
        <v>51</v>
      </c>
      <c r="S326" s="125" t="s">
        <v>51</v>
      </c>
      <c r="T326" s="123" t="s">
        <v>212</v>
      </c>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ht="14.25" customHeight="1" x14ac:dyDescent="0.2">
      <c r="A327" s="118" t="s">
        <v>1729</v>
      </c>
      <c r="B327" s="118" t="s">
        <v>1730</v>
      </c>
      <c r="C327" s="118">
        <v>2024</v>
      </c>
      <c r="D327" s="118" t="s">
        <v>256</v>
      </c>
      <c r="E327" s="118" t="s">
        <v>1732</v>
      </c>
      <c r="F327" s="118" t="s">
        <v>1733</v>
      </c>
      <c r="G327" s="118" t="s">
        <v>260</v>
      </c>
      <c r="H327" s="118" t="s">
        <v>15</v>
      </c>
      <c r="I327" s="118" t="s">
        <v>253</v>
      </c>
      <c r="J327" s="118" t="s">
        <v>1731</v>
      </c>
      <c r="K327" s="118" t="s">
        <v>1734</v>
      </c>
      <c r="L327" s="118">
        <v>0</v>
      </c>
      <c r="M327" s="118">
        <v>0</v>
      </c>
      <c r="N327" s="118">
        <v>0</v>
      </c>
      <c r="O327" s="42" t="s">
        <v>16</v>
      </c>
      <c r="P327" s="42" t="s">
        <v>51</v>
      </c>
      <c r="Q327" s="42" t="s">
        <v>100</v>
      </c>
      <c r="R327" s="42" t="s">
        <v>51</v>
      </c>
      <c r="S327" s="125" t="s">
        <v>51</v>
      </c>
      <c r="T327" s="123" t="s">
        <v>213</v>
      </c>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ht="14.25" customHeight="1" x14ac:dyDescent="0.2">
      <c r="A328" s="118" t="s">
        <v>1735</v>
      </c>
      <c r="B328" s="118" t="s">
        <v>1736</v>
      </c>
      <c r="C328" s="118">
        <v>2025</v>
      </c>
      <c r="D328" s="118" t="s">
        <v>1737</v>
      </c>
      <c r="E328" s="118" t="s">
        <v>1739</v>
      </c>
      <c r="F328" s="118" t="s">
        <v>1740</v>
      </c>
      <c r="G328" s="118" t="s">
        <v>473</v>
      </c>
      <c r="H328" s="118" t="s">
        <v>15</v>
      </c>
      <c r="I328" s="118" t="s">
        <v>230</v>
      </c>
      <c r="J328" s="118" t="s">
        <v>1738</v>
      </c>
      <c r="K328" s="118" t="s">
        <v>1827</v>
      </c>
      <c r="L328" s="118">
        <v>0</v>
      </c>
      <c r="M328" s="118">
        <v>0</v>
      </c>
      <c r="N328" s="118">
        <v>0</v>
      </c>
      <c r="O328" s="42" t="s">
        <v>16</v>
      </c>
      <c r="P328" s="42" t="s">
        <v>51</v>
      </c>
      <c r="Q328" s="42" t="s">
        <v>100</v>
      </c>
      <c r="R328" s="42" t="s">
        <v>51</v>
      </c>
      <c r="S328" s="125" t="s">
        <v>51</v>
      </c>
      <c r="T328" s="123" t="s">
        <v>214</v>
      </c>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ht="14.25" customHeight="1" x14ac:dyDescent="0.2">
      <c r="A329" s="118" t="s">
        <v>1741</v>
      </c>
      <c r="B329" s="118" t="s">
        <v>1742</v>
      </c>
      <c r="C329" s="118">
        <v>2025</v>
      </c>
      <c r="D329" s="118" t="s">
        <v>1743</v>
      </c>
      <c r="E329" s="118" t="s">
        <v>1745</v>
      </c>
      <c r="F329" s="118" t="s">
        <v>1746</v>
      </c>
      <c r="G329" s="118" t="s">
        <v>473</v>
      </c>
      <c r="H329" s="118" t="s">
        <v>15</v>
      </c>
      <c r="I329" s="118" t="s">
        <v>230</v>
      </c>
      <c r="J329" s="118" t="s">
        <v>1744</v>
      </c>
      <c r="K329" s="118">
        <v>0</v>
      </c>
      <c r="L329" s="118">
        <v>0</v>
      </c>
      <c r="M329" s="118">
        <v>0</v>
      </c>
      <c r="N329" s="118">
        <v>0</v>
      </c>
      <c r="O329" s="42" t="s">
        <v>16</v>
      </c>
      <c r="P329" s="42" t="s">
        <v>51</v>
      </c>
      <c r="Q329" s="42" t="s">
        <v>100</v>
      </c>
      <c r="R329" s="42" t="s">
        <v>51</v>
      </c>
      <c r="S329" s="125" t="s">
        <v>51</v>
      </c>
      <c r="T329" s="123" t="s">
        <v>195</v>
      </c>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ht="14.25" customHeight="1" x14ac:dyDescent="0.2">
      <c r="A330" s="118" t="s">
        <v>1747</v>
      </c>
      <c r="B330" s="118" t="s">
        <v>1748</v>
      </c>
      <c r="C330" s="118">
        <v>2025</v>
      </c>
      <c r="D330" s="118" t="s">
        <v>460</v>
      </c>
      <c r="E330" s="118" t="s">
        <v>1750</v>
      </c>
      <c r="F330" s="118" t="s">
        <v>1751</v>
      </c>
      <c r="G330" s="118" t="s">
        <v>465</v>
      </c>
      <c r="H330" s="118" t="s">
        <v>15</v>
      </c>
      <c r="I330" s="118" t="s">
        <v>253</v>
      </c>
      <c r="J330" s="118" t="s">
        <v>1749</v>
      </c>
      <c r="K330" s="118" t="s">
        <v>1752</v>
      </c>
      <c r="L330" s="118">
        <v>0</v>
      </c>
      <c r="M330" s="118">
        <v>0</v>
      </c>
      <c r="N330" s="118">
        <v>0</v>
      </c>
      <c r="O330" s="42" t="s">
        <v>16</v>
      </c>
      <c r="P330" s="42" t="s">
        <v>51</v>
      </c>
      <c r="Q330" s="42" t="s">
        <v>100</v>
      </c>
      <c r="R330" s="42" t="s">
        <v>52</v>
      </c>
      <c r="S330" s="125" t="s">
        <v>51</v>
      </c>
      <c r="T330" s="123" t="s">
        <v>196</v>
      </c>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ht="14.25" customHeight="1" x14ac:dyDescent="0.2">
      <c r="A331" s="118" t="s">
        <v>1753</v>
      </c>
      <c r="B331" s="118" t="s">
        <v>1754</v>
      </c>
      <c r="C331" s="118">
        <v>2023</v>
      </c>
      <c r="D331" s="118" t="s">
        <v>233</v>
      </c>
      <c r="E331" s="118" t="s">
        <v>1756</v>
      </c>
      <c r="F331" s="118" t="s">
        <v>1757</v>
      </c>
      <c r="G331" s="118" t="s">
        <v>238</v>
      </c>
      <c r="H331" s="118" t="s">
        <v>15</v>
      </c>
      <c r="I331" s="118" t="s">
        <v>230</v>
      </c>
      <c r="J331" s="118" t="s">
        <v>1755</v>
      </c>
      <c r="K331" s="118" t="s">
        <v>1758</v>
      </c>
      <c r="L331" s="118">
        <v>0</v>
      </c>
      <c r="M331" s="118">
        <v>0</v>
      </c>
      <c r="N331" s="118">
        <v>0</v>
      </c>
      <c r="O331" s="42" t="s">
        <v>16</v>
      </c>
      <c r="P331" s="42" t="s">
        <v>51</v>
      </c>
      <c r="Q331" s="42" t="s">
        <v>100</v>
      </c>
      <c r="R331" s="42" t="s">
        <v>51</v>
      </c>
      <c r="S331" s="125" t="s">
        <v>51</v>
      </c>
      <c r="T331" s="123" t="s">
        <v>197</v>
      </c>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ht="14.25" customHeight="1" x14ac:dyDescent="0.2">
      <c r="A332" s="118"/>
      <c r="B332" s="118"/>
      <c r="C332" s="118"/>
      <c r="D332" s="118"/>
      <c r="E332" s="118"/>
      <c r="F332" s="118"/>
      <c r="G332" s="118"/>
      <c r="H332" s="118"/>
      <c r="I332" s="118"/>
      <c r="J332" s="118"/>
      <c r="K332" s="118"/>
      <c r="L332" s="118"/>
      <c r="M332" s="118"/>
      <c r="N332" s="118"/>
      <c r="O332" s="42"/>
      <c r="P332" s="42"/>
      <c r="Q332" s="42"/>
      <c r="R332" s="42"/>
      <c r="S332" s="125"/>
      <c r="T332" s="12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ht="14.25" customHeight="1" x14ac:dyDescent="0.2">
      <c r="A333" s="118"/>
      <c r="B333" s="118"/>
      <c r="C333" s="118"/>
      <c r="D333" s="118"/>
      <c r="E333" s="118"/>
      <c r="F333" s="118"/>
      <c r="G333" s="118"/>
      <c r="H333" s="118"/>
      <c r="I333" s="118"/>
      <c r="J333" s="118"/>
      <c r="K333" s="118"/>
      <c r="L333" s="118"/>
      <c r="M333" s="118"/>
      <c r="N333" s="118"/>
      <c r="O333" s="42"/>
      <c r="P333" s="42"/>
      <c r="Q333" s="42"/>
      <c r="R333" s="42"/>
      <c r="S333" s="125"/>
      <c r="T333" s="12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ht="14.25" customHeight="1" x14ac:dyDescent="0.2">
      <c r="A334" s="118"/>
      <c r="B334" s="118"/>
      <c r="C334" s="118"/>
      <c r="D334" s="118"/>
      <c r="E334" s="118"/>
      <c r="F334" s="118"/>
      <c r="G334" s="118"/>
      <c r="H334" s="118"/>
      <c r="I334" s="118"/>
      <c r="J334" s="118"/>
      <c r="K334" s="118"/>
      <c r="L334" s="118"/>
      <c r="M334" s="118"/>
      <c r="N334" s="118"/>
      <c r="O334" s="42"/>
      <c r="P334" s="42"/>
      <c r="Q334" s="42"/>
      <c r="R334" s="42"/>
      <c r="S334" s="125"/>
      <c r="T334" s="12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ht="14.25" customHeight="1" x14ac:dyDescent="0.2">
      <c r="A335" s="118"/>
      <c r="B335" s="118"/>
      <c r="C335" s="118"/>
      <c r="D335" s="118"/>
      <c r="E335" s="118"/>
      <c r="F335" s="118"/>
      <c r="G335" s="118"/>
      <c r="H335" s="118"/>
      <c r="I335" s="118"/>
      <c r="J335" s="118"/>
      <c r="K335" s="118"/>
      <c r="L335" s="118"/>
      <c r="M335" s="118"/>
      <c r="N335" s="118"/>
      <c r="O335" s="42"/>
      <c r="P335" s="42"/>
      <c r="Q335" s="42"/>
      <c r="R335" s="42"/>
      <c r="S335" s="125"/>
      <c r="T335" s="12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ht="14.25" customHeight="1" x14ac:dyDescent="0.2">
      <c r="A336" s="118"/>
      <c r="B336" s="118"/>
      <c r="C336" s="118"/>
      <c r="D336" s="118"/>
      <c r="E336" s="118"/>
      <c r="F336" s="118"/>
      <c r="G336" s="118"/>
      <c r="H336" s="118"/>
      <c r="I336" s="118"/>
      <c r="J336" s="118"/>
      <c r="K336" s="118"/>
      <c r="L336" s="118"/>
      <c r="M336" s="118"/>
      <c r="N336" s="118"/>
      <c r="O336" s="42"/>
      <c r="P336" s="42"/>
      <c r="Q336" s="42"/>
      <c r="R336" s="42"/>
      <c r="S336" s="125"/>
      <c r="T336" s="12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ht="14.25" customHeight="1" x14ac:dyDescent="0.2">
      <c r="A337" s="118"/>
      <c r="B337" s="118"/>
      <c r="C337" s="118"/>
      <c r="D337" s="118"/>
      <c r="E337" s="118"/>
      <c r="F337" s="118"/>
      <c r="G337" s="118"/>
      <c r="H337" s="118"/>
      <c r="I337" s="118"/>
      <c r="J337" s="118"/>
      <c r="K337" s="118"/>
      <c r="L337" s="118"/>
      <c r="M337" s="118"/>
      <c r="N337" s="118"/>
      <c r="O337" s="42"/>
      <c r="P337" s="42"/>
      <c r="Q337" s="42"/>
      <c r="R337" s="42"/>
      <c r="S337" s="125"/>
      <c r="T337" s="12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ht="14.25" customHeight="1" x14ac:dyDescent="0.2">
      <c r="A338" s="118"/>
      <c r="B338" s="118"/>
      <c r="C338" s="118"/>
      <c r="D338" s="118"/>
      <c r="E338" s="118"/>
      <c r="F338" s="118"/>
      <c r="G338" s="118"/>
      <c r="H338" s="118"/>
      <c r="I338" s="118"/>
      <c r="J338" s="118"/>
      <c r="K338" s="118"/>
      <c r="L338" s="118"/>
      <c r="M338" s="118"/>
      <c r="N338" s="118"/>
      <c r="O338" s="42"/>
      <c r="P338" s="42"/>
      <c r="Q338" s="42"/>
      <c r="R338" s="42"/>
      <c r="S338" s="125"/>
      <c r="T338" s="12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ht="14.25" customHeight="1" x14ac:dyDescent="0.2">
      <c r="A339" s="118"/>
      <c r="B339" s="118"/>
      <c r="C339" s="118"/>
      <c r="D339" s="118"/>
      <c r="E339" s="118"/>
      <c r="F339" s="118"/>
      <c r="G339" s="118"/>
      <c r="H339" s="118"/>
      <c r="I339" s="118"/>
      <c r="J339" s="118"/>
      <c r="K339" s="118"/>
      <c r="L339" s="118"/>
      <c r="M339" s="118"/>
      <c r="N339" s="118"/>
      <c r="O339" s="42"/>
      <c r="P339" s="42"/>
      <c r="Q339" s="42"/>
      <c r="R339" s="42"/>
      <c r="S339" s="125"/>
      <c r="T339" s="12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ht="14.25" customHeight="1" x14ac:dyDescent="0.2">
      <c r="A340" s="118"/>
      <c r="B340" s="118"/>
      <c r="C340" s="118"/>
      <c r="D340" s="118"/>
      <c r="E340" s="118"/>
      <c r="F340" s="118"/>
      <c r="G340" s="118"/>
      <c r="H340" s="118"/>
      <c r="I340" s="118"/>
      <c r="J340" s="118"/>
      <c r="K340" s="118"/>
      <c r="L340" s="118"/>
      <c r="M340" s="118"/>
      <c r="N340" s="118"/>
      <c r="O340" s="42"/>
      <c r="P340" s="42"/>
      <c r="Q340" s="42"/>
      <c r="R340" s="42"/>
      <c r="S340" s="125"/>
      <c r="T340" s="12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ht="14.25" customHeight="1" x14ac:dyDescent="0.2">
      <c r="A341" s="118"/>
      <c r="B341" s="118"/>
      <c r="C341" s="118"/>
      <c r="D341" s="118"/>
      <c r="E341" s="118"/>
      <c r="F341" s="118"/>
      <c r="G341" s="118"/>
      <c r="H341" s="118"/>
      <c r="I341" s="118"/>
      <c r="J341" s="118"/>
      <c r="K341" s="118"/>
      <c r="L341" s="118"/>
      <c r="M341" s="118"/>
      <c r="N341" s="118"/>
      <c r="O341" s="42"/>
      <c r="P341" s="42"/>
      <c r="Q341" s="42"/>
      <c r="R341" s="42"/>
      <c r="S341" s="125"/>
      <c r="T341" s="12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ht="14.25" customHeight="1" x14ac:dyDescent="0.2">
      <c r="A342" s="118"/>
      <c r="B342" s="118"/>
      <c r="C342" s="118"/>
      <c r="D342" s="118"/>
      <c r="E342" s="118"/>
      <c r="F342" s="118"/>
      <c r="G342" s="118"/>
      <c r="H342" s="118"/>
      <c r="I342" s="118"/>
      <c r="J342" s="118"/>
      <c r="K342" s="118"/>
      <c r="L342" s="118"/>
      <c r="M342" s="118"/>
      <c r="N342" s="118"/>
      <c r="O342" s="42"/>
      <c r="P342" s="42"/>
      <c r="Q342" s="42"/>
      <c r="R342" s="42"/>
      <c r="S342" s="125"/>
      <c r="T342" s="12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ht="14.25" customHeight="1" x14ac:dyDescent="0.2">
      <c r="A343" s="118"/>
      <c r="B343" s="118"/>
      <c r="C343" s="118"/>
      <c r="D343" s="118"/>
      <c r="E343" s="118"/>
      <c r="F343" s="118"/>
      <c r="G343" s="118"/>
      <c r="H343" s="118"/>
      <c r="I343" s="118"/>
      <c r="J343" s="118"/>
      <c r="K343" s="118"/>
      <c r="L343" s="118"/>
      <c r="M343" s="118"/>
      <c r="N343" s="118"/>
      <c r="O343" s="42"/>
      <c r="P343" s="42"/>
      <c r="Q343" s="42"/>
      <c r="R343" s="42"/>
      <c r="S343" s="125"/>
      <c r="T343" s="12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ht="14.25" customHeight="1" x14ac:dyDescent="0.2">
      <c r="A344" s="118"/>
      <c r="B344" s="118"/>
      <c r="C344" s="118"/>
      <c r="D344" s="118"/>
      <c r="E344" s="118"/>
      <c r="F344" s="118"/>
      <c r="G344" s="118"/>
      <c r="H344" s="118"/>
      <c r="I344" s="118"/>
      <c r="J344" s="118"/>
      <c r="K344" s="118"/>
      <c r="L344" s="118"/>
      <c r="M344" s="118"/>
      <c r="N344" s="118"/>
      <c r="O344" s="42"/>
      <c r="P344" s="42"/>
      <c r="Q344" s="42"/>
      <c r="R344" s="42"/>
      <c r="S344" s="125"/>
      <c r="T344" s="12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ht="14.25" customHeight="1" x14ac:dyDescent="0.2">
      <c r="A345" s="118"/>
      <c r="B345" s="118"/>
      <c r="C345" s="118"/>
      <c r="D345" s="118"/>
      <c r="E345" s="118"/>
      <c r="F345" s="118"/>
      <c r="G345" s="118"/>
      <c r="H345" s="118"/>
      <c r="I345" s="118"/>
      <c r="J345" s="118"/>
      <c r="K345" s="118"/>
      <c r="L345" s="118"/>
      <c r="M345" s="118"/>
      <c r="N345" s="118"/>
      <c r="O345" s="42"/>
      <c r="P345" s="42"/>
      <c r="Q345" s="42"/>
      <c r="R345" s="42"/>
      <c r="S345" s="125"/>
      <c r="T345" s="12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ht="14.25" customHeight="1" x14ac:dyDescent="0.2">
      <c r="A346" s="118"/>
      <c r="B346" s="118"/>
      <c r="C346" s="118"/>
      <c r="D346" s="118"/>
      <c r="E346" s="118"/>
      <c r="F346" s="118"/>
      <c r="G346" s="118"/>
      <c r="H346" s="118"/>
      <c r="I346" s="118"/>
      <c r="J346" s="118"/>
      <c r="K346" s="118"/>
      <c r="L346" s="118"/>
      <c r="M346" s="118"/>
      <c r="N346" s="118"/>
      <c r="O346" s="42"/>
      <c r="P346" s="42"/>
      <c r="Q346" s="42"/>
      <c r="R346" s="42"/>
      <c r="S346" s="125"/>
      <c r="T346" s="12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ht="14.25" customHeight="1" x14ac:dyDescent="0.2">
      <c r="A347" s="118"/>
      <c r="B347" s="118"/>
      <c r="C347" s="118"/>
      <c r="D347" s="118"/>
      <c r="E347" s="118"/>
      <c r="F347" s="118"/>
      <c r="G347" s="118"/>
      <c r="H347" s="118"/>
      <c r="I347" s="118"/>
      <c r="J347" s="118"/>
      <c r="K347" s="118"/>
      <c r="L347" s="118"/>
      <c r="M347" s="118"/>
      <c r="N347" s="118"/>
      <c r="O347" s="42"/>
      <c r="P347" s="42"/>
      <c r="Q347" s="42"/>
      <c r="R347" s="42"/>
      <c r="S347" s="125"/>
      <c r="T347" s="12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ht="14.25" customHeight="1" x14ac:dyDescent="0.2">
      <c r="A348" s="118"/>
      <c r="B348" s="118"/>
      <c r="C348" s="118"/>
      <c r="D348" s="118"/>
      <c r="E348" s="118"/>
      <c r="F348" s="118"/>
      <c r="G348" s="118"/>
      <c r="H348" s="118"/>
      <c r="I348" s="118"/>
      <c r="J348" s="118"/>
      <c r="K348" s="118"/>
      <c r="L348" s="118"/>
      <c r="M348" s="118"/>
      <c r="N348" s="118"/>
      <c r="O348" s="42"/>
      <c r="P348" s="42"/>
      <c r="Q348" s="42"/>
      <c r="R348" s="42"/>
      <c r="S348" s="125"/>
      <c r="T348" s="12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ht="14.25" customHeight="1" x14ac:dyDescent="0.2">
      <c r="A349" s="118"/>
      <c r="B349" s="118"/>
      <c r="C349" s="118"/>
      <c r="D349" s="118"/>
      <c r="E349" s="118"/>
      <c r="F349" s="118"/>
      <c r="G349" s="118"/>
      <c r="H349" s="118"/>
      <c r="I349" s="118"/>
      <c r="J349" s="118"/>
      <c r="K349" s="118"/>
      <c r="L349" s="118"/>
      <c r="M349" s="118"/>
      <c r="N349" s="118"/>
      <c r="O349" s="42"/>
      <c r="P349" s="42"/>
      <c r="Q349" s="42"/>
      <c r="R349" s="42"/>
      <c r="S349" s="125"/>
      <c r="T349" s="12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ht="14.25" customHeight="1" x14ac:dyDescent="0.2">
      <c r="A350" s="118"/>
      <c r="B350" s="118"/>
      <c r="C350" s="118"/>
      <c r="D350" s="118"/>
      <c r="E350" s="118"/>
      <c r="F350" s="118"/>
      <c r="G350" s="118"/>
      <c r="H350" s="118"/>
      <c r="I350" s="118"/>
      <c r="J350" s="118"/>
      <c r="K350" s="118"/>
      <c r="L350" s="118"/>
      <c r="M350" s="118"/>
      <c r="N350" s="118"/>
      <c r="O350" s="42"/>
      <c r="P350" s="42"/>
      <c r="Q350" s="42"/>
      <c r="R350" s="42"/>
      <c r="S350" s="125"/>
      <c r="T350" s="12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ht="14.25" customHeight="1" x14ac:dyDescent="0.2">
      <c r="A351" s="118"/>
      <c r="B351" s="118"/>
      <c r="C351" s="118"/>
      <c r="D351" s="118"/>
      <c r="E351" s="118"/>
      <c r="F351" s="118"/>
      <c r="G351" s="118"/>
      <c r="H351" s="118"/>
      <c r="I351" s="118"/>
      <c r="J351" s="118"/>
      <c r="K351" s="118"/>
      <c r="L351" s="118"/>
      <c r="M351" s="118"/>
      <c r="N351" s="118"/>
      <c r="O351" s="42"/>
      <c r="P351" s="42"/>
      <c r="Q351" s="42"/>
      <c r="R351" s="42"/>
      <c r="S351" s="125"/>
      <c r="T351" s="12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ht="14.25" customHeight="1" x14ac:dyDescent="0.2">
      <c r="A352" s="118"/>
      <c r="B352" s="118"/>
      <c r="C352" s="118"/>
      <c r="D352" s="118"/>
      <c r="E352" s="118"/>
      <c r="F352" s="118"/>
      <c r="G352" s="118"/>
      <c r="H352" s="118"/>
      <c r="I352" s="118"/>
      <c r="J352" s="118"/>
      <c r="K352" s="118"/>
      <c r="L352" s="118"/>
      <c r="M352" s="118"/>
      <c r="N352" s="118"/>
      <c r="O352" s="42"/>
      <c r="P352" s="42"/>
      <c r="Q352" s="42"/>
      <c r="R352" s="42"/>
      <c r="S352" s="125"/>
      <c r="T352" s="12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ht="14.25" customHeight="1" x14ac:dyDescent="0.2">
      <c r="A353" s="118"/>
      <c r="B353" s="118"/>
      <c r="C353" s="118"/>
      <c r="D353" s="118"/>
      <c r="E353" s="118"/>
      <c r="F353" s="118"/>
      <c r="G353" s="118"/>
      <c r="H353" s="118"/>
      <c r="I353" s="118"/>
      <c r="J353" s="118"/>
      <c r="K353" s="118"/>
      <c r="L353" s="118"/>
      <c r="M353" s="118"/>
      <c r="N353" s="118"/>
      <c r="O353" s="42"/>
      <c r="P353" s="42"/>
      <c r="Q353" s="42"/>
      <c r="R353" s="42"/>
      <c r="S353" s="125"/>
      <c r="T353" s="12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ht="14.25" customHeight="1" x14ac:dyDescent="0.2">
      <c r="A354" s="118"/>
      <c r="B354" s="118"/>
      <c r="C354" s="118"/>
      <c r="D354" s="118"/>
      <c r="E354" s="118"/>
      <c r="F354" s="118"/>
      <c r="G354" s="118"/>
      <c r="H354" s="118"/>
      <c r="I354" s="118"/>
      <c r="J354" s="118"/>
      <c r="K354" s="118"/>
      <c r="L354" s="118"/>
      <c r="M354" s="118"/>
      <c r="N354" s="118"/>
      <c r="O354" s="42"/>
      <c r="P354" s="42"/>
      <c r="Q354" s="42"/>
      <c r="R354" s="42"/>
      <c r="S354" s="125"/>
      <c r="T354" s="12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ht="14.25" customHeight="1" x14ac:dyDescent="0.2">
      <c r="A355" s="118"/>
      <c r="B355" s="118"/>
      <c r="C355" s="118"/>
      <c r="D355" s="118"/>
      <c r="E355" s="118"/>
      <c r="F355" s="118"/>
      <c r="G355" s="118"/>
      <c r="H355" s="118"/>
      <c r="I355" s="118"/>
      <c r="J355" s="118"/>
      <c r="K355" s="118"/>
      <c r="L355" s="118"/>
      <c r="M355" s="118"/>
      <c r="N355" s="118"/>
      <c r="O355" s="42"/>
      <c r="P355" s="42"/>
      <c r="Q355" s="42"/>
      <c r="R355" s="42"/>
      <c r="S355" s="125"/>
      <c r="T355" s="12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ht="14.25" customHeight="1" x14ac:dyDescent="0.2">
      <c r="A356" s="118"/>
      <c r="B356" s="118"/>
      <c r="C356" s="118"/>
      <c r="D356" s="118"/>
      <c r="E356" s="118"/>
      <c r="F356" s="118"/>
      <c r="G356" s="118"/>
      <c r="H356" s="118"/>
      <c r="I356" s="118"/>
      <c r="J356" s="118"/>
      <c r="K356" s="118"/>
      <c r="L356" s="118"/>
      <c r="M356" s="118"/>
      <c r="N356" s="118"/>
      <c r="O356" s="42"/>
      <c r="P356" s="42"/>
      <c r="Q356" s="42"/>
      <c r="R356" s="42"/>
      <c r="S356" s="125"/>
      <c r="T356" s="12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ht="14.25" customHeight="1" x14ac:dyDescent="0.2">
      <c r="A357" s="118"/>
      <c r="B357" s="118"/>
      <c r="C357" s="118"/>
      <c r="D357" s="118"/>
      <c r="E357" s="118"/>
      <c r="F357" s="118"/>
      <c r="G357" s="118"/>
      <c r="H357" s="118"/>
      <c r="I357" s="118"/>
      <c r="J357" s="118"/>
      <c r="K357" s="118"/>
      <c r="L357" s="118"/>
      <c r="M357" s="118"/>
      <c r="N357" s="118"/>
      <c r="O357" s="42"/>
      <c r="P357" s="42"/>
      <c r="Q357" s="42"/>
      <c r="R357" s="42"/>
      <c r="S357" s="125"/>
      <c r="T357" s="12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ht="14.25" customHeight="1" x14ac:dyDescent="0.2">
      <c r="A358" s="118"/>
      <c r="B358" s="118"/>
      <c r="C358" s="118"/>
      <c r="D358" s="118"/>
      <c r="E358" s="118"/>
      <c r="F358" s="118"/>
      <c r="G358" s="118"/>
      <c r="H358" s="118"/>
      <c r="I358" s="118"/>
      <c r="J358" s="118"/>
      <c r="K358" s="118"/>
      <c r="L358" s="118"/>
      <c r="M358" s="118"/>
      <c r="N358" s="118"/>
      <c r="O358" s="42"/>
      <c r="P358" s="42"/>
      <c r="Q358" s="42"/>
      <c r="R358" s="42"/>
      <c r="S358" s="125"/>
      <c r="T358" s="12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ht="14.25" customHeight="1" x14ac:dyDescent="0.2">
      <c r="A359" s="118"/>
      <c r="B359" s="118"/>
      <c r="C359" s="118"/>
      <c r="D359" s="118"/>
      <c r="E359" s="118"/>
      <c r="F359" s="118"/>
      <c r="G359" s="118"/>
      <c r="H359" s="118"/>
      <c r="I359" s="118"/>
      <c r="J359" s="118"/>
      <c r="K359" s="118"/>
      <c r="L359" s="118"/>
      <c r="M359" s="118"/>
      <c r="N359" s="118"/>
      <c r="O359" s="42"/>
      <c r="P359" s="42"/>
      <c r="Q359" s="42"/>
      <c r="R359" s="42"/>
      <c r="S359" s="125"/>
      <c r="T359" s="12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ht="14.25" customHeight="1" x14ac:dyDescent="0.2">
      <c r="A360" s="118"/>
      <c r="B360" s="118"/>
      <c r="C360" s="118"/>
      <c r="D360" s="118"/>
      <c r="E360" s="118"/>
      <c r="F360" s="118"/>
      <c r="G360" s="118"/>
      <c r="H360" s="118"/>
      <c r="I360" s="118"/>
      <c r="J360" s="118"/>
      <c r="K360" s="118"/>
      <c r="L360" s="118"/>
      <c r="M360" s="118"/>
      <c r="N360" s="118"/>
      <c r="O360" s="42"/>
      <c r="P360" s="42"/>
      <c r="Q360" s="42"/>
      <c r="R360" s="42"/>
      <c r="S360" s="125"/>
      <c r="T360" s="12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ht="14.25" customHeight="1" x14ac:dyDescent="0.2">
      <c r="A361" s="118"/>
      <c r="B361" s="118"/>
      <c r="C361" s="118"/>
      <c r="D361" s="118"/>
      <c r="E361" s="118"/>
      <c r="F361" s="118"/>
      <c r="G361" s="118"/>
      <c r="H361" s="118"/>
      <c r="I361" s="118"/>
      <c r="J361" s="118"/>
      <c r="K361" s="118"/>
      <c r="L361" s="118"/>
      <c r="M361" s="118"/>
      <c r="N361" s="118"/>
      <c r="O361" s="42"/>
      <c r="P361" s="42"/>
      <c r="Q361" s="42"/>
      <c r="R361" s="42"/>
      <c r="S361" s="125"/>
      <c r="T361" s="12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ht="14.25" customHeight="1" x14ac:dyDescent="0.2">
      <c r="A362" s="118"/>
      <c r="B362" s="118"/>
      <c r="C362" s="118"/>
      <c r="D362" s="118"/>
      <c r="E362" s="118"/>
      <c r="F362" s="118"/>
      <c r="G362" s="118"/>
      <c r="H362" s="118"/>
      <c r="I362" s="118"/>
      <c r="J362" s="118"/>
      <c r="K362" s="118"/>
      <c r="L362" s="118"/>
      <c r="M362" s="118"/>
      <c r="N362" s="118"/>
      <c r="O362" s="42"/>
      <c r="P362" s="42"/>
      <c r="Q362" s="42"/>
      <c r="R362" s="42"/>
      <c r="S362" s="125"/>
      <c r="T362" s="12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ht="14.25" customHeight="1" x14ac:dyDescent="0.2">
      <c r="A363" s="118"/>
      <c r="B363" s="118"/>
      <c r="C363" s="118"/>
      <c r="D363" s="118"/>
      <c r="E363" s="118"/>
      <c r="F363" s="118"/>
      <c r="G363" s="118"/>
      <c r="H363" s="118"/>
      <c r="I363" s="118"/>
      <c r="J363" s="118"/>
      <c r="K363" s="118"/>
      <c r="L363" s="118"/>
      <c r="M363" s="118"/>
      <c r="N363" s="118"/>
      <c r="O363" s="42"/>
      <c r="P363" s="42"/>
      <c r="Q363" s="42"/>
      <c r="R363" s="42"/>
      <c r="S363" s="125"/>
      <c r="T363" s="12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ht="14.25" customHeight="1" x14ac:dyDescent="0.2">
      <c r="A364" s="118"/>
      <c r="B364" s="118"/>
      <c r="C364" s="118"/>
      <c r="D364" s="118"/>
      <c r="E364" s="118"/>
      <c r="F364" s="118"/>
      <c r="G364" s="118"/>
      <c r="H364" s="118"/>
      <c r="I364" s="118"/>
      <c r="J364" s="118"/>
      <c r="K364" s="118"/>
      <c r="L364" s="118"/>
      <c r="M364" s="118"/>
      <c r="N364" s="118"/>
      <c r="O364" s="42"/>
      <c r="P364" s="42"/>
      <c r="Q364" s="42"/>
      <c r="R364" s="42"/>
      <c r="S364" s="125"/>
      <c r="T364" s="12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ht="14.25" customHeight="1" x14ac:dyDescent="0.2">
      <c r="A365" s="118"/>
      <c r="B365" s="118"/>
      <c r="C365" s="118"/>
      <c r="D365" s="118"/>
      <c r="E365" s="118"/>
      <c r="F365" s="118"/>
      <c r="G365" s="118"/>
      <c r="H365" s="118"/>
      <c r="I365" s="118"/>
      <c r="J365" s="118"/>
      <c r="K365" s="118"/>
      <c r="L365" s="118"/>
      <c r="M365" s="118"/>
      <c r="N365" s="118"/>
      <c r="O365" s="42"/>
      <c r="P365" s="42"/>
      <c r="Q365" s="42"/>
      <c r="R365" s="42"/>
      <c r="S365" s="125"/>
      <c r="T365" s="12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ht="14.25" customHeight="1" x14ac:dyDescent="0.2">
      <c r="A366" s="118"/>
      <c r="B366" s="118"/>
      <c r="C366" s="118"/>
      <c r="D366" s="118"/>
      <c r="E366" s="118"/>
      <c r="F366" s="118"/>
      <c r="G366" s="118"/>
      <c r="H366" s="118"/>
      <c r="I366" s="118"/>
      <c r="J366" s="118"/>
      <c r="K366" s="118"/>
      <c r="L366" s="118"/>
      <c r="M366" s="118"/>
      <c r="N366" s="118"/>
      <c r="O366" s="42"/>
      <c r="P366" s="42"/>
      <c r="Q366" s="42"/>
      <c r="R366" s="42"/>
      <c r="S366" s="125"/>
      <c r="T366" s="12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ht="14.25" customHeight="1" x14ac:dyDescent="0.2">
      <c r="A367" s="118"/>
      <c r="B367" s="118"/>
      <c r="C367" s="118"/>
      <c r="D367" s="118"/>
      <c r="E367" s="118"/>
      <c r="F367" s="118"/>
      <c r="G367" s="118"/>
      <c r="H367" s="118"/>
      <c r="I367" s="118"/>
      <c r="J367" s="118"/>
      <c r="K367" s="118"/>
      <c r="L367" s="118"/>
      <c r="M367" s="118"/>
      <c r="N367" s="118"/>
      <c r="O367" s="42"/>
      <c r="P367" s="42"/>
      <c r="Q367" s="42"/>
      <c r="R367" s="42"/>
      <c r="S367" s="125"/>
      <c r="T367" s="12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ht="14.25" customHeight="1" x14ac:dyDescent="0.2">
      <c r="A368" s="118"/>
      <c r="B368" s="118"/>
      <c r="C368" s="118"/>
      <c r="D368" s="118"/>
      <c r="E368" s="118"/>
      <c r="F368" s="118"/>
      <c r="G368" s="118"/>
      <c r="H368" s="118"/>
      <c r="I368" s="118"/>
      <c r="J368" s="118"/>
      <c r="K368" s="118"/>
      <c r="L368" s="118"/>
      <c r="M368" s="118"/>
      <c r="N368" s="118"/>
      <c r="O368" s="42"/>
      <c r="P368" s="42"/>
      <c r="Q368" s="42"/>
      <c r="R368" s="42"/>
      <c r="S368" s="125"/>
      <c r="T368" s="12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ht="14.25" customHeight="1" x14ac:dyDescent="0.2">
      <c r="A369" s="118"/>
      <c r="B369" s="118"/>
      <c r="C369" s="118"/>
      <c r="D369" s="118"/>
      <c r="E369" s="118"/>
      <c r="F369" s="118"/>
      <c r="G369" s="118"/>
      <c r="H369" s="118"/>
      <c r="I369" s="118"/>
      <c r="J369" s="118"/>
      <c r="K369" s="118"/>
      <c r="L369" s="118"/>
      <c r="M369" s="118"/>
      <c r="N369" s="118"/>
      <c r="O369" s="42"/>
      <c r="P369" s="42"/>
      <c r="Q369" s="42"/>
      <c r="R369" s="42"/>
      <c r="S369" s="125"/>
      <c r="T369" s="12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ht="14.25" customHeight="1" x14ac:dyDescent="0.2">
      <c r="A370" s="118"/>
      <c r="B370" s="118"/>
      <c r="C370" s="118"/>
      <c r="D370" s="118"/>
      <c r="E370" s="118"/>
      <c r="F370" s="118"/>
      <c r="G370" s="118"/>
      <c r="H370" s="118"/>
      <c r="I370" s="118"/>
      <c r="J370" s="118"/>
      <c r="K370" s="118"/>
      <c r="L370" s="118"/>
      <c r="M370" s="118"/>
      <c r="N370" s="118"/>
      <c r="O370" s="42"/>
      <c r="P370" s="42"/>
      <c r="Q370" s="42"/>
      <c r="R370" s="42"/>
      <c r="S370" s="125"/>
      <c r="T370" s="12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ht="14.25" customHeight="1" x14ac:dyDescent="0.2">
      <c r="A371" s="118"/>
      <c r="B371" s="118"/>
      <c r="C371" s="118"/>
      <c r="D371" s="118"/>
      <c r="E371" s="118"/>
      <c r="F371" s="118"/>
      <c r="G371" s="118"/>
      <c r="H371" s="118"/>
      <c r="I371" s="118"/>
      <c r="J371" s="118"/>
      <c r="K371" s="118"/>
      <c r="L371" s="118"/>
      <c r="M371" s="118"/>
      <c r="N371" s="118"/>
      <c r="O371" s="42"/>
      <c r="P371" s="42"/>
      <c r="Q371" s="42"/>
      <c r="R371" s="42"/>
      <c r="S371" s="125"/>
      <c r="T371" s="12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ht="14.25" customHeight="1" x14ac:dyDescent="0.2">
      <c r="A372" s="118"/>
      <c r="B372" s="118"/>
      <c r="C372" s="118"/>
      <c r="D372" s="118"/>
      <c r="E372" s="118"/>
      <c r="F372" s="118"/>
      <c r="G372" s="118"/>
      <c r="H372" s="118"/>
      <c r="I372" s="118"/>
      <c r="J372" s="118"/>
      <c r="K372" s="118"/>
      <c r="L372" s="118"/>
      <c r="M372" s="118"/>
      <c r="N372" s="118"/>
      <c r="O372" s="42"/>
      <c r="P372" s="42"/>
      <c r="Q372" s="42"/>
      <c r="R372" s="42"/>
      <c r="S372" s="125"/>
      <c r="T372" s="12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ht="14.25" customHeight="1" x14ac:dyDescent="0.2">
      <c r="A373" s="118"/>
      <c r="B373" s="118"/>
      <c r="C373" s="118"/>
      <c r="D373" s="118"/>
      <c r="E373" s="118"/>
      <c r="F373" s="118"/>
      <c r="G373" s="118"/>
      <c r="H373" s="118"/>
      <c r="I373" s="118"/>
      <c r="J373" s="118"/>
      <c r="K373" s="118"/>
      <c r="L373" s="118"/>
      <c r="M373" s="118"/>
      <c r="N373" s="118"/>
      <c r="O373" s="42"/>
      <c r="P373" s="42"/>
      <c r="Q373" s="42"/>
      <c r="R373" s="42"/>
      <c r="S373" s="125"/>
      <c r="T373" s="12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ht="14.25" customHeight="1" x14ac:dyDescent="0.2">
      <c r="A374" s="118"/>
      <c r="B374" s="118"/>
      <c r="C374" s="118"/>
      <c r="D374" s="118"/>
      <c r="E374" s="118"/>
      <c r="F374" s="118"/>
      <c r="G374" s="118"/>
      <c r="H374" s="118"/>
      <c r="I374" s="118"/>
      <c r="J374" s="118"/>
      <c r="K374" s="118"/>
      <c r="L374" s="118"/>
      <c r="M374" s="118"/>
      <c r="N374" s="118"/>
      <c r="O374" s="42"/>
      <c r="P374" s="42"/>
      <c r="Q374" s="42"/>
      <c r="R374" s="42"/>
      <c r="S374" s="125"/>
      <c r="T374" s="12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ht="14.25" customHeight="1" x14ac:dyDescent="0.2">
      <c r="A375" s="118"/>
      <c r="B375" s="118"/>
      <c r="C375" s="118"/>
      <c r="D375" s="118"/>
      <c r="E375" s="118"/>
      <c r="F375" s="118"/>
      <c r="G375" s="118"/>
      <c r="H375" s="118"/>
      <c r="I375" s="118"/>
      <c r="J375" s="118"/>
      <c r="K375" s="118"/>
      <c r="L375" s="118"/>
      <c r="M375" s="118"/>
      <c r="N375" s="118"/>
      <c r="O375" s="42"/>
      <c r="P375" s="42"/>
      <c r="Q375" s="42"/>
      <c r="R375" s="42"/>
      <c r="S375" s="125"/>
      <c r="T375" s="12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ht="14.25" customHeight="1" x14ac:dyDescent="0.2">
      <c r="A376" s="118"/>
      <c r="B376" s="118"/>
      <c r="C376" s="118"/>
      <c r="D376" s="118"/>
      <c r="E376" s="118"/>
      <c r="F376" s="118"/>
      <c r="G376" s="118"/>
      <c r="H376" s="118"/>
      <c r="I376" s="118"/>
      <c r="J376" s="118"/>
      <c r="K376" s="118"/>
      <c r="L376" s="118"/>
      <c r="M376" s="118"/>
      <c r="N376" s="118"/>
      <c r="O376" s="42"/>
      <c r="P376" s="42"/>
      <c r="Q376" s="42"/>
      <c r="R376" s="42"/>
      <c r="S376" s="125"/>
      <c r="T376" s="12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ht="14.25" customHeight="1" x14ac:dyDescent="0.2">
      <c r="A377" s="118"/>
      <c r="B377" s="118"/>
      <c r="C377" s="118"/>
      <c r="D377" s="118"/>
      <c r="E377" s="118"/>
      <c r="F377" s="118"/>
      <c r="G377" s="118"/>
      <c r="H377" s="118"/>
      <c r="I377" s="118"/>
      <c r="J377" s="118"/>
      <c r="K377" s="118"/>
      <c r="L377" s="118"/>
      <c r="M377" s="118"/>
      <c r="N377" s="118"/>
      <c r="O377" s="42"/>
      <c r="P377" s="42"/>
      <c r="Q377" s="42"/>
      <c r="R377" s="42"/>
      <c r="S377" s="125"/>
      <c r="T377" s="12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ht="14.25" customHeight="1" x14ac:dyDescent="0.2">
      <c r="A378" s="118"/>
      <c r="B378" s="118"/>
      <c r="C378" s="118"/>
      <c r="D378" s="118"/>
      <c r="E378" s="118"/>
      <c r="F378" s="118"/>
      <c r="G378" s="118"/>
      <c r="H378" s="118"/>
      <c r="I378" s="118"/>
      <c r="J378" s="118"/>
      <c r="K378" s="118"/>
      <c r="L378" s="118"/>
      <c r="M378" s="118"/>
      <c r="N378" s="118"/>
      <c r="O378" s="42"/>
      <c r="P378" s="42"/>
      <c r="Q378" s="42"/>
      <c r="R378" s="42"/>
      <c r="S378" s="125"/>
      <c r="T378" s="12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ht="14.25" customHeight="1" x14ac:dyDescent="0.2">
      <c r="A379" s="118"/>
      <c r="B379" s="118"/>
      <c r="C379" s="118"/>
      <c r="D379" s="118"/>
      <c r="E379" s="118"/>
      <c r="F379" s="118"/>
      <c r="G379" s="118"/>
      <c r="H379" s="118"/>
      <c r="I379" s="118"/>
      <c r="J379" s="118"/>
      <c r="K379" s="118"/>
      <c r="L379" s="118"/>
      <c r="M379" s="118"/>
      <c r="N379" s="118"/>
      <c r="O379" s="42"/>
      <c r="P379" s="42"/>
      <c r="Q379" s="42"/>
      <c r="R379" s="42"/>
      <c r="S379" s="125"/>
      <c r="T379" s="12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ht="14.25" customHeight="1" x14ac:dyDescent="0.2">
      <c r="A380" s="118"/>
      <c r="B380" s="118"/>
      <c r="C380" s="118"/>
      <c r="D380" s="118"/>
      <c r="E380" s="118"/>
      <c r="F380" s="118"/>
      <c r="G380" s="118"/>
      <c r="H380" s="118"/>
      <c r="I380" s="118"/>
      <c r="J380" s="118"/>
      <c r="K380" s="118"/>
      <c r="L380" s="118"/>
      <c r="M380" s="118"/>
      <c r="N380" s="118"/>
      <c r="O380" s="42"/>
      <c r="P380" s="42"/>
      <c r="Q380" s="42"/>
      <c r="R380" s="42"/>
      <c r="S380" s="125"/>
      <c r="T380" s="12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ht="14.25" customHeight="1" x14ac:dyDescent="0.2">
      <c r="A381" s="118"/>
      <c r="B381" s="118"/>
      <c r="C381" s="118"/>
      <c r="D381" s="118"/>
      <c r="E381" s="118"/>
      <c r="F381" s="118"/>
      <c r="G381" s="118"/>
      <c r="H381" s="118"/>
      <c r="I381" s="118"/>
      <c r="J381" s="118"/>
      <c r="K381" s="118"/>
      <c r="L381" s="118"/>
      <c r="M381" s="118"/>
      <c r="N381" s="118"/>
      <c r="O381" s="42"/>
      <c r="P381" s="42"/>
      <c r="Q381" s="42"/>
      <c r="R381" s="42"/>
      <c r="S381" s="125"/>
      <c r="T381" s="12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ht="14.25" customHeight="1" x14ac:dyDescent="0.2">
      <c r="A382" s="118"/>
      <c r="B382" s="118"/>
      <c r="C382" s="118"/>
      <c r="D382" s="118"/>
      <c r="E382" s="118"/>
      <c r="F382" s="118"/>
      <c r="G382" s="118"/>
      <c r="H382" s="118"/>
      <c r="I382" s="118"/>
      <c r="J382" s="118"/>
      <c r="K382" s="118"/>
      <c r="L382" s="118"/>
      <c r="M382" s="118"/>
      <c r="N382" s="118"/>
      <c r="O382" s="42"/>
      <c r="P382" s="42"/>
      <c r="Q382" s="42"/>
      <c r="R382" s="42"/>
      <c r="S382" s="125"/>
      <c r="T382" s="12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ht="14.25" customHeight="1" x14ac:dyDescent="0.2">
      <c r="A383" s="118"/>
      <c r="B383" s="118"/>
      <c r="C383" s="118"/>
      <c r="D383" s="118"/>
      <c r="E383" s="118"/>
      <c r="F383" s="118"/>
      <c r="G383" s="118"/>
      <c r="H383" s="118"/>
      <c r="I383" s="118"/>
      <c r="J383" s="118"/>
      <c r="K383" s="118"/>
      <c r="L383" s="118"/>
      <c r="M383" s="118"/>
      <c r="N383" s="118"/>
      <c r="O383" s="42"/>
      <c r="P383" s="42"/>
      <c r="Q383" s="42"/>
      <c r="R383" s="42"/>
      <c r="S383" s="125"/>
      <c r="T383" s="12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ht="14.25" customHeight="1" x14ac:dyDescent="0.2">
      <c r="A384" s="118"/>
      <c r="B384" s="118"/>
      <c r="C384" s="118"/>
      <c r="D384" s="118"/>
      <c r="E384" s="118"/>
      <c r="F384" s="118"/>
      <c r="G384" s="118"/>
      <c r="H384" s="118"/>
      <c r="I384" s="118"/>
      <c r="J384" s="118"/>
      <c r="K384" s="118"/>
      <c r="L384" s="118"/>
      <c r="M384" s="118"/>
      <c r="N384" s="118"/>
      <c r="O384" s="42"/>
      <c r="P384" s="42"/>
      <c r="Q384" s="42"/>
      <c r="R384" s="42"/>
      <c r="S384" s="125"/>
      <c r="T384" s="12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ht="14.25" customHeight="1" x14ac:dyDescent="0.2">
      <c r="A385" s="118"/>
      <c r="B385" s="118"/>
      <c r="C385" s="118"/>
      <c r="D385" s="118"/>
      <c r="E385" s="118"/>
      <c r="F385" s="118"/>
      <c r="G385" s="118"/>
      <c r="H385" s="118"/>
      <c r="I385" s="118"/>
      <c r="J385" s="118"/>
      <c r="K385" s="118"/>
      <c r="L385" s="118"/>
      <c r="M385" s="118"/>
      <c r="N385" s="118"/>
      <c r="O385" s="42"/>
      <c r="P385" s="42"/>
      <c r="Q385" s="42"/>
      <c r="R385" s="42"/>
      <c r="S385" s="125"/>
      <c r="T385" s="12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ht="15.75" customHeight="1" x14ac:dyDescent="0.2">
      <c r="A386" s="118"/>
      <c r="B386" s="118"/>
      <c r="C386" s="118"/>
      <c r="D386" s="118"/>
      <c r="E386" s="118"/>
      <c r="F386" s="118"/>
      <c r="G386" s="118"/>
      <c r="H386" s="118"/>
      <c r="I386" s="118"/>
      <c r="J386" s="118"/>
      <c r="K386" s="118"/>
      <c r="L386" s="118"/>
      <c r="M386" s="118"/>
      <c r="N386" s="118"/>
      <c r="O386" s="42"/>
      <c r="P386" s="42"/>
      <c r="Q386" s="42"/>
      <c r="R386" s="42"/>
      <c r="S386" s="125"/>
      <c r="T386" s="12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ht="15.75" customHeight="1" x14ac:dyDescent="0.2">
      <c r="A387" s="118"/>
      <c r="B387" s="118"/>
      <c r="C387" s="118"/>
      <c r="D387" s="118"/>
      <c r="E387" s="118"/>
      <c r="F387" s="118"/>
      <c r="G387" s="118"/>
      <c r="H387" s="118"/>
      <c r="I387" s="118"/>
      <c r="J387" s="118"/>
      <c r="K387" s="118"/>
      <c r="L387" s="118"/>
      <c r="M387" s="118"/>
      <c r="N387" s="118"/>
      <c r="O387" s="42"/>
      <c r="P387" s="42"/>
      <c r="Q387" s="42"/>
      <c r="R387" s="42"/>
      <c r="S387" s="125"/>
      <c r="T387" s="12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ht="15.75" customHeight="1" x14ac:dyDescent="0.2">
      <c r="A388" s="118"/>
      <c r="B388" s="118"/>
      <c r="C388" s="118"/>
      <c r="D388" s="118"/>
      <c r="E388" s="118"/>
      <c r="F388" s="118"/>
      <c r="G388" s="118"/>
      <c r="H388" s="118"/>
      <c r="I388" s="118"/>
      <c r="J388" s="118"/>
      <c r="K388" s="118"/>
      <c r="L388" s="118"/>
      <c r="M388" s="118"/>
      <c r="N388" s="118"/>
      <c r="O388" s="42"/>
      <c r="P388" s="42"/>
      <c r="Q388" s="42"/>
      <c r="R388" s="42"/>
      <c r="S388" s="125"/>
      <c r="T388" s="12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ht="15.75" customHeight="1" x14ac:dyDescent="0.2">
      <c r="A389" s="118"/>
      <c r="B389" s="118"/>
      <c r="C389" s="118"/>
      <c r="D389" s="118"/>
      <c r="E389" s="118"/>
      <c r="F389" s="118"/>
      <c r="G389" s="118"/>
      <c r="H389" s="118"/>
      <c r="I389" s="118"/>
      <c r="J389" s="118"/>
      <c r="K389" s="118"/>
      <c r="L389" s="118"/>
      <c r="M389" s="118"/>
      <c r="N389" s="118"/>
      <c r="O389" s="42"/>
      <c r="P389" s="42"/>
      <c r="Q389" s="42"/>
      <c r="R389" s="42"/>
      <c r="S389" s="125"/>
      <c r="T389" s="12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ht="15.75" customHeight="1" x14ac:dyDescent="0.2">
      <c r="A390" s="118"/>
      <c r="B390" s="118"/>
      <c r="C390" s="118"/>
      <c r="D390" s="118"/>
      <c r="E390" s="118"/>
      <c r="F390" s="118"/>
      <c r="G390" s="118"/>
      <c r="H390" s="118"/>
      <c r="I390" s="118"/>
      <c r="J390" s="118"/>
      <c r="K390" s="118"/>
      <c r="L390" s="118"/>
      <c r="M390" s="118"/>
      <c r="N390" s="118"/>
      <c r="O390" s="42"/>
      <c r="P390" s="42"/>
      <c r="Q390" s="42"/>
      <c r="R390" s="42"/>
      <c r="S390" s="125"/>
      <c r="T390" s="12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ht="15.75" customHeight="1" x14ac:dyDescent="0.2">
      <c r="A391" s="118"/>
      <c r="B391" s="118"/>
      <c r="C391" s="118"/>
      <c r="D391" s="118"/>
      <c r="E391" s="118"/>
      <c r="F391" s="118"/>
      <c r="G391" s="118"/>
      <c r="H391" s="118"/>
      <c r="I391" s="118"/>
      <c r="J391" s="118"/>
      <c r="K391" s="118"/>
      <c r="L391" s="118"/>
      <c r="M391" s="118"/>
      <c r="N391" s="118"/>
      <c r="O391" s="42"/>
      <c r="P391" s="42"/>
      <c r="Q391" s="42"/>
      <c r="R391" s="42"/>
      <c r="S391" s="125"/>
      <c r="T391" s="12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ht="15.75" customHeight="1" x14ac:dyDescent="0.2">
      <c r="A392" s="118"/>
      <c r="B392" s="118"/>
      <c r="C392" s="118"/>
      <c r="D392" s="118"/>
      <c r="E392" s="118"/>
      <c r="F392" s="118"/>
      <c r="G392" s="118"/>
      <c r="H392" s="118"/>
      <c r="I392" s="118"/>
      <c r="J392" s="118"/>
      <c r="K392" s="118"/>
      <c r="L392" s="118"/>
      <c r="M392" s="118"/>
      <c r="N392" s="118"/>
      <c r="O392" s="42"/>
      <c r="P392" s="42"/>
      <c r="Q392" s="42"/>
      <c r="R392" s="42"/>
      <c r="S392" s="125"/>
      <c r="T392" s="12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ht="15.75" customHeight="1" x14ac:dyDescent="0.2">
      <c r="A393" s="118"/>
      <c r="B393" s="118"/>
      <c r="C393" s="118"/>
      <c r="D393" s="118"/>
      <c r="E393" s="118"/>
      <c r="F393" s="118"/>
      <c r="G393" s="118"/>
      <c r="H393" s="118"/>
      <c r="I393" s="118"/>
      <c r="J393" s="118"/>
      <c r="K393" s="118"/>
      <c r="L393" s="118"/>
      <c r="M393" s="118"/>
      <c r="N393" s="118"/>
      <c r="O393" s="42"/>
      <c r="P393" s="42"/>
      <c r="Q393" s="42"/>
      <c r="R393" s="42"/>
      <c r="S393" s="125"/>
      <c r="T393" s="12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ht="15.75" customHeight="1" x14ac:dyDescent="0.2">
      <c r="A394" s="118"/>
      <c r="B394" s="118"/>
      <c r="C394" s="118"/>
      <c r="D394" s="118"/>
      <c r="E394" s="118"/>
      <c r="F394" s="118"/>
      <c r="G394" s="118"/>
      <c r="H394" s="118"/>
      <c r="I394" s="118"/>
      <c r="J394" s="118"/>
      <c r="K394" s="118"/>
      <c r="L394" s="118"/>
      <c r="M394" s="118"/>
      <c r="N394" s="118"/>
      <c r="O394" s="42"/>
      <c r="P394" s="42"/>
      <c r="Q394" s="42"/>
      <c r="R394" s="42"/>
      <c r="S394" s="125"/>
      <c r="T394" s="12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ht="15.75" customHeight="1" x14ac:dyDescent="0.2">
      <c r="A395" s="118"/>
      <c r="B395" s="118"/>
      <c r="C395" s="118"/>
      <c r="D395" s="118"/>
      <c r="E395" s="118"/>
      <c r="F395" s="118"/>
      <c r="G395" s="118"/>
      <c r="H395" s="118"/>
      <c r="I395" s="118"/>
      <c r="J395" s="118"/>
      <c r="K395" s="118"/>
      <c r="L395" s="118"/>
      <c r="M395" s="118"/>
      <c r="N395" s="118"/>
      <c r="O395" s="42"/>
      <c r="P395" s="42"/>
      <c r="Q395" s="42"/>
      <c r="R395" s="42"/>
      <c r="S395" s="125"/>
      <c r="T395" s="12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ht="15.75" customHeight="1" x14ac:dyDescent="0.2">
      <c r="A396" s="118"/>
      <c r="B396" s="118"/>
      <c r="C396" s="118"/>
      <c r="D396" s="118"/>
      <c r="E396" s="118"/>
      <c r="F396" s="118"/>
      <c r="G396" s="118"/>
      <c r="H396" s="118"/>
      <c r="I396" s="118"/>
      <c r="J396" s="118"/>
      <c r="K396" s="118"/>
      <c r="L396" s="118"/>
      <c r="M396" s="118"/>
      <c r="N396" s="118"/>
      <c r="O396" s="42"/>
      <c r="P396" s="42"/>
      <c r="Q396" s="42"/>
      <c r="R396" s="42"/>
      <c r="S396" s="125"/>
      <c r="T396" s="12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ht="15.75" customHeight="1" x14ac:dyDescent="0.2">
      <c r="A397" s="118"/>
      <c r="B397" s="118"/>
      <c r="C397" s="118"/>
      <c r="D397" s="118"/>
      <c r="E397" s="118"/>
      <c r="F397" s="118"/>
      <c r="G397" s="118"/>
      <c r="H397" s="118"/>
      <c r="I397" s="118"/>
      <c r="J397" s="118"/>
      <c r="K397" s="118"/>
      <c r="L397" s="118"/>
      <c r="M397" s="118"/>
      <c r="N397" s="118"/>
      <c r="O397" s="42"/>
      <c r="P397" s="42"/>
      <c r="Q397" s="42"/>
      <c r="R397" s="42"/>
      <c r="S397" s="125"/>
      <c r="T397" s="12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ht="15.75" customHeight="1" x14ac:dyDescent="0.2">
      <c r="A398" s="118"/>
      <c r="B398" s="118"/>
      <c r="C398" s="118"/>
      <c r="D398" s="118"/>
      <c r="E398" s="118"/>
      <c r="F398" s="118"/>
      <c r="G398" s="118"/>
      <c r="H398" s="118"/>
      <c r="I398" s="118"/>
      <c r="J398" s="118"/>
      <c r="K398" s="118"/>
      <c r="L398" s="118"/>
      <c r="M398" s="118"/>
      <c r="N398" s="118"/>
      <c r="O398" s="42"/>
      <c r="P398" s="42"/>
      <c r="Q398" s="42"/>
      <c r="R398" s="42"/>
      <c r="S398" s="125"/>
      <c r="T398" s="12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ht="15.75" customHeight="1" x14ac:dyDescent="0.2">
      <c r="A399" s="118"/>
      <c r="B399" s="118"/>
      <c r="C399" s="118"/>
      <c r="D399" s="118"/>
      <c r="E399" s="118"/>
      <c r="F399" s="118"/>
      <c r="G399" s="118"/>
      <c r="H399" s="118"/>
      <c r="I399" s="118"/>
      <c r="J399" s="118"/>
      <c r="K399" s="118"/>
      <c r="L399" s="118"/>
      <c r="M399" s="118"/>
      <c r="N399" s="118"/>
      <c r="O399" s="42"/>
      <c r="P399" s="42"/>
      <c r="Q399" s="42"/>
      <c r="R399" s="42"/>
      <c r="S399" s="125"/>
      <c r="T399" s="12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ht="15.75" customHeight="1" x14ac:dyDescent="0.2">
      <c r="A400" s="118"/>
      <c r="B400" s="118"/>
      <c r="C400" s="118"/>
      <c r="D400" s="118"/>
      <c r="E400" s="118"/>
      <c r="F400" s="118"/>
      <c r="G400" s="118"/>
      <c r="H400" s="118"/>
      <c r="I400" s="118"/>
      <c r="J400" s="118"/>
      <c r="K400" s="118"/>
      <c r="L400" s="118"/>
      <c r="M400" s="118"/>
      <c r="N400" s="118"/>
      <c r="O400" s="42"/>
      <c r="P400" s="42"/>
      <c r="Q400" s="42"/>
      <c r="R400" s="42"/>
      <c r="S400" s="125"/>
      <c r="T400" s="12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ht="15.75" customHeight="1" x14ac:dyDescent="0.2">
      <c r="A401" s="118"/>
      <c r="B401" s="118"/>
      <c r="C401" s="118"/>
      <c r="D401" s="118"/>
      <c r="E401" s="118"/>
      <c r="F401" s="118"/>
      <c r="G401" s="118"/>
      <c r="H401" s="118"/>
      <c r="I401" s="118"/>
      <c r="J401" s="118"/>
      <c r="K401" s="118"/>
      <c r="L401" s="118"/>
      <c r="M401" s="118"/>
      <c r="N401" s="118"/>
      <c r="O401" s="42"/>
      <c r="P401" s="42"/>
      <c r="Q401" s="42"/>
      <c r="R401" s="42"/>
      <c r="S401" s="125"/>
      <c r="T401" s="12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ht="15.75" customHeight="1" x14ac:dyDescent="0.2">
      <c r="A402" s="118"/>
      <c r="B402" s="118"/>
      <c r="C402" s="118"/>
      <c r="D402" s="118"/>
      <c r="E402" s="118"/>
      <c r="F402" s="118"/>
      <c r="G402" s="118"/>
      <c r="H402" s="118"/>
      <c r="I402" s="118"/>
      <c r="J402" s="118"/>
      <c r="K402" s="118"/>
      <c r="L402" s="118"/>
      <c r="M402" s="118"/>
      <c r="N402" s="118"/>
      <c r="O402" s="42"/>
      <c r="P402" s="42"/>
      <c r="Q402" s="42"/>
      <c r="R402" s="42"/>
      <c r="S402" s="125"/>
      <c r="T402" s="12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ht="15.75" customHeight="1" x14ac:dyDescent="0.2">
      <c r="A403" s="118"/>
      <c r="B403" s="118"/>
      <c r="C403" s="118"/>
      <c r="D403" s="118"/>
      <c r="E403" s="118"/>
      <c r="F403" s="118"/>
      <c r="G403" s="118"/>
      <c r="H403" s="118"/>
      <c r="I403" s="118"/>
      <c r="J403" s="118"/>
      <c r="K403" s="118"/>
      <c r="L403" s="118"/>
      <c r="M403" s="118"/>
      <c r="N403" s="118"/>
      <c r="O403" s="42"/>
      <c r="P403" s="42"/>
      <c r="Q403" s="42"/>
      <c r="R403" s="42"/>
      <c r="S403" s="125"/>
      <c r="T403" s="12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ht="15.75" customHeight="1" x14ac:dyDescent="0.2">
      <c r="A404" s="118"/>
      <c r="B404" s="118"/>
      <c r="C404" s="118"/>
      <c r="D404" s="118"/>
      <c r="E404" s="118"/>
      <c r="F404" s="118"/>
      <c r="G404" s="118"/>
      <c r="H404" s="118"/>
      <c r="I404" s="118"/>
      <c r="J404" s="118"/>
      <c r="K404" s="118"/>
      <c r="L404" s="118"/>
      <c r="M404" s="118"/>
      <c r="N404" s="118"/>
      <c r="O404" s="42"/>
      <c r="P404" s="42"/>
      <c r="Q404" s="42"/>
      <c r="R404" s="42"/>
      <c r="S404" s="125"/>
      <c r="T404" s="12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ht="15.75" customHeight="1" x14ac:dyDescent="0.2">
      <c r="A405" s="118"/>
      <c r="B405" s="118"/>
      <c r="C405" s="118"/>
      <c r="D405" s="118"/>
      <c r="E405" s="118"/>
      <c r="F405" s="118"/>
      <c r="G405" s="118"/>
      <c r="H405" s="118"/>
      <c r="I405" s="118"/>
      <c r="J405" s="118"/>
      <c r="K405" s="118"/>
      <c r="L405" s="118"/>
      <c r="M405" s="118"/>
      <c r="N405" s="118"/>
      <c r="O405" s="42"/>
      <c r="P405" s="42"/>
      <c r="Q405" s="42"/>
      <c r="R405" s="42"/>
      <c r="S405" s="125"/>
      <c r="T405" s="12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ht="15.75" customHeight="1" x14ac:dyDescent="0.2">
      <c r="A406" s="118"/>
      <c r="B406" s="118"/>
      <c r="C406" s="118"/>
      <c r="D406" s="118"/>
      <c r="E406" s="118"/>
      <c r="F406" s="118"/>
      <c r="G406" s="118"/>
      <c r="H406" s="118"/>
      <c r="I406" s="118"/>
      <c r="J406" s="118"/>
      <c r="K406" s="118"/>
      <c r="L406" s="118"/>
      <c r="M406" s="118"/>
      <c r="N406" s="118"/>
      <c r="O406" s="42"/>
      <c r="P406" s="42"/>
      <c r="Q406" s="42"/>
      <c r="R406" s="42"/>
      <c r="S406" s="125"/>
      <c r="T406" s="12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ht="15.75" customHeight="1" x14ac:dyDescent="0.2">
      <c r="A407" s="118"/>
      <c r="B407" s="118"/>
      <c r="C407" s="118"/>
      <c r="D407" s="118"/>
      <c r="E407" s="118"/>
      <c r="F407" s="118"/>
      <c r="G407" s="118"/>
      <c r="H407" s="118"/>
      <c r="I407" s="118"/>
      <c r="J407" s="118"/>
      <c r="K407" s="118"/>
      <c r="L407" s="118"/>
      <c r="M407" s="118"/>
      <c r="N407" s="118"/>
      <c r="O407" s="42"/>
      <c r="P407" s="42"/>
      <c r="Q407" s="42"/>
      <c r="R407" s="42"/>
      <c r="S407" s="125"/>
      <c r="T407" s="12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ht="15.75" customHeight="1" x14ac:dyDescent="0.2">
      <c r="A408" s="118"/>
      <c r="B408" s="118"/>
      <c r="C408" s="118"/>
      <c r="D408" s="118"/>
      <c r="E408" s="118"/>
      <c r="F408" s="118"/>
      <c r="G408" s="118"/>
      <c r="H408" s="118"/>
      <c r="I408" s="118"/>
      <c r="J408" s="118"/>
      <c r="K408" s="118"/>
      <c r="L408" s="118"/>
      <c r="M408" s="118"/>
      <c r="N408" s="118"/>
      <c r="O408" s="42"/>
      <c r="P408" s="42"/>
      <c r="Q408" s="42"/>
      <c r="R408" s="42"/>
      <c r="S408" s="125"/>
      <c r="T408" s="12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ht="15.75" customHeight="1" x14ac:dyDescent="0.2">
      <c r="A409" s="118"/>
      <c r="B409" s="118"/>
      <c r="C409" s="118"/>
      <c r="D409" s="118"/>
      <c r="E409" s="118"/>
      <c r="F409" s="118"/>
      <c r="G409" s="118"/>
      <c r="H409" s="118"/>
      <c r="I409" s="118"/>
      <c r="J409" s="118"/>
      <c r="K409" s="118"/>
      <c r="L409" s="118"/>
      <c r="M409" s="118"/>
      <c r="N409" s="118"/>
      <c r="O409" s="42"/>
      <c r="P409" s="42"/>
      <c r="Q409" s="42"/>
      <c r="R409" s="42"/>
      <c r="S409" s="125"/>
      <c r="T409" s="12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ht="15.75" customHeight="1" x14ac:dyDescent="0.2">
      <c r="A410" s="118"/>
      <c r="B410" s="118"/>
      <c r="C410" s="118"/>
      <c r="D410" s="118"/>
      <c r="E410" s="118"/>
      <c r="F410" s="118"/>
      <c r="G410" s="118"/>
      <c r="H410" s="118"/>
      <c r="I410" s="118"/>
      <c r="J410" s="118"/>
      <c r="K410" s="118"/>
      <c r="L410" s="118"/>
      <c r="M410" s="118"/>
      <c r="N410" s="118"/>
      <c r="O410" s="42"/>
      <c r="P410" s="42"/>
      <c r="Q410" s="42"/>
      <c r="R410" s="42"/>
      <c r="S410" s="125"/>
      <c r="T410" s="12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ht="15.75" customHeight="1" x14ac:dyDescent="0.2">
      <c r="A411" s="118"/>
      <c r="B411" s="118"/>
      <c r="C411" s="118"/>
      <c r="D411" s="118"/>
      <c r="E411" s="118"/>
      <c r="F411" s="118"/>
      <c r="G411" s="118"/>
      <c r="H411" s="118"/>
      <c r="I411" s="118"/>
      <c r="J411" s="118"/>
      <c r="K411" s="118"/>
      <c r="L411" s="118"/>
      <c r="M411" s="118"/>
      <c r="N411" s="118"/>
      <c r="O411" s="42"/>
      <c r="P411" s="42"/>
      <c r="Q411" s="42"/>
      <c r="R411" s="42"/>
      <c r="S411" s="125"/>
      <c r="T411" s="12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ht="15.75" customHeight="1" x14ac:dyDescent="0.2">
      <c r="A412" s="118"/>
      <c r="B412" s="118"/>
      <c r="C412" s="118"/>
      <c r="D412" s="118"/>
      <c r="E412" s="118"/>
      <c r="F412" s="118"/>
      <c r="G412" s="118"/>
      <c r="H412" s="118"/>
      <c r="I412" s="118"/>
      <c r="J412" s="118"/>
      <c r="K412" s="118"/>
      <c r="L412" s="118"/>
      <c r="M412" s="118"/>
      <c r="N412" s="118"/>
      <c r="O412" s="42"/>
      <c r="P412" s="42"/>
      <c r="Q412" s="42"/>
      <c r="R412" s="42"/>
      <c r="S412" s="125"/>
      <c r="T412" s="12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ht="15.75" customHeight="1" x14ac:dyDescent="0.2">
      <c r="A413" s="118"/>
      <c r="B413" s="118"/>
      <c r="C413" s="118"/>
      <c r="D413" s="118"/>
      <c r="E413" s="118"/>
      <c r="F413" s="118"/>
      <c r="G413" s="118"/>
      <c r="H413" s="118"/>
      <c r="I413" s="118"/>
      <c r="J413" s="118"/>
      <c r="K413" s="118"/>
      <c r="L413" s="118"/>
      <c r="M413" s="118"/>
      <c r="N413" s="118"/>
      <c r="O413" s="42"/>
      <c r="P413" s="42"/>
      <c r="Q413" s="42"/>
      <c r="R413" s="42"/>
      <c r="S413" s="125"/>
      <c r="T413" s="12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ht="15.75" customHeight="1" x14ac:dyDescent="0.2">
      <c r="A414" s="118"/>
      <c r="B414" s="118"/>
      <c r="C414" s="118"/>
      <c r="D414" s="118"/>
      <c r="E414" s="118"/>
      <c r="F414" s="118"/>
      <c r="G414" s="118"/>
      <c r="H414" s="118"/>
      <c r="I414" s="118"/>
      <c r="J414" s="118"/>
      <c r="K414" s="118"/>
      <c r="L414" s="118"/>
      <c r="M414" s="118"/>
      <c r="N414" s="118"/>
      <c r="O414" s="42"/>
      <c r="P414" s="42"/>
      <c r="Q414" s="42"/>
      <c r="R414" s="42"/>
      <c r="S414" s="125"/>
      <c r="T414" s="12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ht="15.75" customHeight="1" x14ac:dyDescent="0.2">
      <c r="A415" s="118"/>
      <c r="B415" s="118"/>
      <c r="C415" s="118"/>
      <c r="D415" s="118"/>
      <c r="E415" s="118"/>
      <c r="F415" s="118"/>
      <c r="G415" s="118"/>
      <c r="H415" s="118"/>
      <c r="I415" s="118"/>
      <c r="J415" s="118"/>
      <c r="K415" s="118"/>
      <c r="L415" s="118"/>
      <c r="M415" s="118"/>
      <c r="N415" s="118"/>
      <c r="O415" s="42"/>
      <c r="P415" s="42"/>
      <c r="Q415" s="42"/>
      <c r="R415" s="42"/>
      <c r="S415" s="125"/>
      <c r="T415" s="12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ht="15.75" customHeight="1" x14ac:dyDescent="0.2">
      <c r="A416" s="118"/>
      <c r="B416" s="118"/>
      <c r="C416" s="118"/>
      <c r="D416" s="118"/>
      <c r="E416" s="118"/>
      <c r="F416" s="118"/>
      <c r="G416" s="118"/>
      <c r="H416" s="118"/>
      <c r="I416" s="118"/>
      <c r="J416" s="118"/>
      <c r="K416" s="118"/>
      <c r="L416" s="118"/>
      <c r="M416" s="118"/>
      <c r="N416" s="118"/>
      <c r="O416" s="42"/>
      <c r="P416" s="42"/>
      <c r="Q416" s="42"/>
      <c r="R416" s="42"/>
      <c r="S416" s="125"/>
      <c r="T416" s="12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ht="15.75" customHeight="1" x14ac:dyDescent="0.2">
      <c r="A417" s="118"/>
      <c r="B417" s="118"/>
      <c r="C417" s="118"/>
      <c r="D417" s="118"/>
      <c r="E417" s="118"/>
      <c r="F417" s="118"/>
      <c r="G417" s="118"/>
      <c r="H417" s="118"/>
      <c r="I417" s="118"/>
      <c r="J417" s="118"/>
      <c r="K417" s="118"/>
      <c r="L417" s="118"/>
      <c r="M417" s="118"/>
      <c r="N417" s="118"/>
      <c r="O417" s="42"/>
      <c r="P417" s="42"/>
      <c r="Q417" s="42"/>
      <c r="R417" s="42"/>
      <c r="S417" s="125"/>
      <c r="T417" s="12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ht="15.75" customHeight="1" x14ac:dyDescent="0.2">
      <c r="A418" s="118"/>
      <c r="B418" s="118"/>
      <c r="C418" s="118"/>
      <c r="D418" s="118"/>
      <c r="E418" s="118"/>
      <c r="F418" s="118"/>
      <c r="G418" s="118"/>
      <c r="H418" s="118"/>
      <c r="I418" s="118"/>
      <c r="J418" s="118"/>
      <c r="K418" s="118"/>
      <c r="L418" s="118"/>
      <c r="M418" s="118"/>
      <c r="N418" s="118"/>
      <c r="O418" s="42"/>
      <c r="P418" s="42"/>
      <c r="Q418" s="42"/>
      <c r="R418" s="42"/>
      <c r="S418" s="125"/>
      <c r="T418" s="12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ht="15.75" customHeight="1" x14ac:dyDescent="0.2">
      <c r="A419" s="118"/>
      <c r="B419" s="118"/>
      <c r="C419" s="118"/>
      <c r="D419" s="118"/>
      <c r="E419" s="118"/>
      <c r="F419" s="118"/>
      <c r="G419" s="118"/>
      <c r="H419" s="118"/>
      <c r="I419" s="118"/>
      <c r="J419" s="118"/>
      <c r="K419" s="118"/>
      <c r="L419" s="118"/>
      <c r="M419" s="118"/>
      <c r="N419" s="118"/>
      <c r="O419" s="42"/>
      <c r="P419" s="42"/>
      <c r="Q419" s="42"/>
      <c r="R419" s="42"/>
      <c r="S419" s="125"/>
      <c r="T419" s="12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ht="15.75" customHeight="1" x14ac:dyDescent="0.2">
      <c r="A420" s="118"/>
      <c r="B420" s="118"/>
      <c r="C420" s="118"/>
      <c r="D420" s="118"/>
      <c r="E420" s="118"/>
      <c r="F420" s="118"/>
      <c r="G420" s="118"/>
      <c r="H420" s="118"/>
      <c r="I420" s="118"/>
      <c r="J420" s="118"/>
      <c r="K420" s="118"/>
      <c r="L420" s="118"/>
      <c r="M420" s="118"/>
      <c r="N420" s="118"/>
      <c r="O420" s="42"/>
      <c r="P420" s="42"/>
      <c r="Q420" s="42"/>
      <c r="R420" s="42"/>
      <c r="S420" s="125"/>
      <c r="T420" s="12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ht="15.75" customHeight="1" x14ac:dyDescent="0.2">
      <c r="A421" s="118"/>
      <c r="B421" s="118"/>
      <c r="C421" s="118"/>
      <c r="D421" s="118"/>
      <c r="E421" s="118"/>
      <c r="F421" s="118"/>
      <c r="G421" s="118"/>
      <c r="H421" s="118"/>
      <c r="I421" s="118"/>
      <c r="J421" s="118"/>
      <c r="K421" s="118"/>
      <c r="L421" s="118"/>
      <c r="M421" s="118"/>
      <c r="N421" s="118"/>
      <c r="O421" s="42"/>
      <c r="P421" s="42"/>
      <c r="Q421" s="42"/>
      <c r="R421" s="42"/>
      <c r="S421" s="125"/>
      <c r="T421" s="12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ht="15.75" customHeight="1" x14ac:dyDescent="0.2">
      <c r="A422" s="118"/>
      <c r="B422" s="118"/>
      <c r="C422" s="118"/>
      <c r="D422" s="118"/>
      <c r="E422" s="118"/>
      <c r="F422" s="118"/>
      <c r="G422" s="118"/>
      <c r="H422" s="118"/>
      <c r="I422" s="118"/>
      <c r="J422" s="118"/>
      <c r="K422" s="118"/>
      <c r="L422" s="118"/>
      <c r="M422" s="118"/>
      <c r="N422" s="118"/>
      <c r="O422" s="42"/>
      <c r="P422" s="42"/>
      <c r="Q422" s="42"/>
      <c r="R422" s="42"/>
      <c r="S422" s="125"/>
      <c r="T422" s="12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ht="15.75" customHeight="1" x14ac:dyDescent="0.2">
      <c r="A423" s="118"/>
      <c r="B423" s="118"/>
      <c r="C423" s="118"/>
      <c r="D423" s="118"/>
      <c r="E423" s="118"/>
      <c r="F423" s="118"/>
      <c r="G423" s="118"/>
      <c r="H423" s="118"/>
      <c r="I423" s="118"/>
      <c r="J423" s="118"/>
      <c r="K423" s="118"/>
      <c r="L423" s="118"/>
      <c r="M423" s="118"/>
      <c r="N423" s="118"/>
      <c r="O423" s="42"/>
      <c r="P423" s="42"/>
      <c r="Q423" s="42"/>
      <c r="R423" s="42"/>
      <c r="S423" s="125"/>
      <c r="T423" s="12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ht="15.75" customHeight="1" x14ac:dyDescent="0.2">
      <c r="A424" s="118"/>
      <c r="B424" s="118"/>
      <c r="C424" s="118"/>
      <c r="D424" s="118"/>
      <c r="E424" s="118"/>
      <c r="F424" s="118"/>
      <c r="G424" s="118"/>
      <c r="H424" s="118"/>
      <c r="I424" s="118"/>
      <c r="J424" s="118"/>
      <c r="K424" s="118"/>
      <c r="L424" s="118"/>
      <c r="M424" s="118"/>
      <c r="N424" s="118"/>
      <c r="O424" s="42"/>
      <c r="P424" s="42"/>
      <c r="Q424" s="42"/>
      <c r="R424" s="42"/>
      <c r="S424" s="125"/>
      <c r="T424" s="12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ht="15.75" customHeight="1" x14ac:dyDescent="0.2">
      <c r="A425" s="118"/>
      <c r="B425" s="118"/>
      <c r="C425" s="118"/>
      <c r="D425" s="118"/>
      <c r="E425" s="118"/>
      <c r="F425" s="118"/>
      <c r="G425" s="118"/>
      <c r="H425" s="118"/>
      <c r="I425" s="118"/>
      <c r="J425" s="118"/>
      <c r="K425" s="118"/>
      <c r="L425" s="118"/>
      <c r="M425" s="118"/>
      <c r="N425" s="118"/>
      <c r="O425" s="42"/>
      <c r="P425" s="42"/>
      <c r="Q425" s="42"/>
      <c r="R425" s="42"/>
      <c r="S425" s="125"/>
      <c r="T425" s="12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ht="15.75" customHeight="1" x14ac:dyDescent="0.2">
      <c r="A426" s="118"/>
      <c r="B426" s="118"/>
      <c r="C426" s="118"/>
      <c r="D426" s="118"/>
      <c r="E426" s="118"/>
      <c r="F426" s="118"/>
      <c r="G426" s="118"/>
      <c r="H426" s="118"/>
      <c r="I426" s="118"/>
      <c r="J426" s="118"/>
      <c r="K426" s="118"/>
      <c r="L426" s="118"/>
      <c r="M426" s="118"/>
      <c r="N426" s="118"/>
      <c r="O426" s="42"/>
      <c r="P426" s="42"/>
      <c r="Q426" s="42"/>
      <c r="R426" s="42"/>
      <c r="S426" s="125"/>
      <c r="T426" s="12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ht="15.75" customHeight="1" x14ac:dyDescent="0.2">
      <c r="A427" s="118"/>
      <c r="B427" s="118"/>
      <c r="C427" s="118"/>
      <c r="D427" s="118"/>
      <c r="E427" s="118"/>
      <c r="F427" s="118"/>
      <c r="G427" s="118"/>
      <c r="H427" s="118"/>
      <c r="I427" s="118"/>
      <c r="J427" s="118"/>
      <c r="K427" s="118"/>
      <c r="L427" s="118"/>
      <c r="M427" s="118"/>
      <c r="N427" s="118"/>
      <c r="O427" s="42"/>
      <c r="P427" s="42"/>
      <c r="Q427" s="42"/>
      <c r="R427" s="42"/>
      <c r="S427" s="125"/>
      <c r="T427" s="12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ht="15.75" customHeight="1" x14ac:dyDescent="0.2">
      <c r="A428" s="118"/>
      <c r="B428" s="118"/>
      <c r="C428" s="118"/>
      <c r="D428" s="118"/>
      <c r="E428" s="118"/>
      <c r="F428" s="118"/>
      <c r="G428" s="118"/>
      <c r="H428" s="118"/>
      <c r="I428" s="118"/>
      <c r="J428" s="118"/>
      <c r="K428" s="118"/>
      <c r="L428" s="118"/>
      <c r="M428" s="118"/>
      <c r="N428" s="118"/>
      <c r="O428" s="42"/>
      <c r="P428" s="42"/>
      <c r="Q428" s="42"/>
      <c r="R428" s="42"/>
      <c r="S428" s="125"/>
      <c r="T428" s="12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ht="15.75" customHeight="1" x14ac:dyDescent="0.2">
      <c r="A429" s="118"/>
      <c r="B429" s="118"/>
      <c r="C429" s="118"/>
      <c r="D429" s="118"/>
      <c r="E429" s="118"/>
      <c r="F429" s="118"/>
      <c r="G429" s="118"/>
      <c r="H429" s="118"/>
      <c r="I429" s="118"/>
      <c r="J429" s="118"/>
      <c r="K429" s="118"/>
      <c r="L429" s="118"/>
      <c r="M429" s="118"/>
      <c r="N429" s="118"/>
      <c r="O429" s="42"/>
      <c r="P429" s="42"/>
      <c r="Q429" s="42"/>
      <c r="R429" s="42"/>
      <c r="S429" s="125"/>
      <c r="T429" s="12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ht="15.75" customHeight="1" x14ac:dyDescent="0.2">
      <c r="A430" s="118"/>
      <c r="B430" s="118"/>
      <c r="C430" s="118"/>
      <c r="D430" s="118"/>
      <c r="E430" s="118"/>
      <c r="F430" s="118"/>
      <c r="G430" s="118"/>
      <c r="H430" s="118"/>
      <c r="I430" s="118"/>
      <c r="J430" s="118"/>
      <c r="K430" s="118"/>
      <c r="L430" s="118"/>
      <c r="M430" s="118"/>
      <c r="N430" s="118"/>
      <c r="O430" s="42"/>
      <c r="P430" s="42"/>
      <c r="Q430" s="42"/>
      <c r="R430" s="42"/>
      <c r="S430" s="125"/>
      <c r="T430" s="12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ht="15.75" customHeight="1" x14ac:dyDescent="0.2">
      <c r="A431" s="118"/>
      <c r="B431" s="118"/>
      <c r="C431" s="118"/>
      <c r="D431" s="118"/>
      <c r="E431" s="118"/>
      <c r="F431" s="118"/>
      <c r="G431" s="118"/>
      <c r="H431" s="118"/>
      <c r="I431" s="118"/>
      <c r="J431" s="118"/>
      <c r="K431" s="118"/>
      <c r="L431" s="118"/>
      <c r="M431" s="118"/>
      <c r="N431" s="118"/>
      <c r="O431" s="42"/>
      <c r="P431" s="42"/>
      <c r="Q431" s="42"/>
      <c r="R431" s="42"/>
      <c r="S431" s="125"/>
      <c r="T431" s="12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ht="15.75" customHeight="1" x14ac:dyDescent="0.2">
      <c r="A432" s="118"/>
      <c r="B432" s="118"/>
      <c r="C432" s="118"/>
      <c r="D432" s="118"/>
      <c r="E432" s="118"/>
      <c r="F432" s="118"/>
      <c r="G432" s="118"/>
      <c r="H432" s="118"/>
      <c r="I432" s="118"/>
      <c r="J432" s="118"/>
      <c r="K432" s="118"/>
      <c r="L432" s="118"/>
      <c r="M432" s="118"/>
      <c r="N432" s="118"/>
      <c r="O432" s="42"/>
      <c r="P432" s="42"/>
      <c r="Q432" s="42"/>
      <c r="R432" s="42"/>
      <c r="S432" s="125"/>
      <c r="T432" s="12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ht="15.75" customHeight="1" x14ac:dyDescent="0.2">
      <c r="A433" s="118"/>
      <c r="B433" s="118"/>
      <c r="C433" s="118"/>
      <c r="D433" s="118"/>
      <c r="E433" s="118"/>
      <c r="F433" s="118"/>
      <c r="G433" s="118"/>
      <c r="H433" s="118"/>
      <c r="I433" s="118"/>
      <c r="J433" s="118"/>
      <c r="K433" s="118"/>
      <c r="L433" s="118"/>
      <c r="M433" s="118"/>
      <c r="N433" s="118"/>
      <c r="O433" s="42"/>
      <c r="P433" s="42"/>
      <c r="Q433" s="42"/>
      <c r="R433" s="42"/>
      <c r="S433" s="125"/>
      <c r="T433" s="12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ht="15.75" customHeight="1" x14ac:dyDescent="0.2">
      <c r="A434" s="118"/>
      <c r="B434" s="118"/>
      <c r="C434" s="118"/>
      <c r="D434" s="118"/>
      <c r="E434" s="118"/>
      <c r="F434" s="118"/>
      <c r="G434" s="118"/>
      <c r="H434" s="118"/>
      <c r="I434" s="118"/>
      <c r="J434" s="118"/>
      <c r="K434" s="118"/>
      <c r="L434" s="118"/>
      <c r="M434" s="118"/>
      <c r="N434" s="118"/>
      <c r="O434" s="42"/>
      <c r="P434" s="42"/>
      <c r="Q434" s="42"/>
      <c r="R434" s="42"/>
      <c r="S434" s="125"/>
      <c r="T434" s="12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ht="15.75" customHeight="1" x14ac:dyDescent="0.2">
      <c r="A435" s="118"/>
      <c r="B435" s="118"/>
      <c r="C435" s="118"/>
      <c r="D435" s="118"/>
      <c r="E435" s="118"/>
      <c r="F435" s="118"/>
      <c r="G435" s="118"/>
      <c r="H435" s="118"/>
      <c r="I435" s="118"/>
      <c r="J435" s="118"/>
      <c r="K435" s="118"/>
      <c r="L435" s="118"/>
      <c r="M435" s="118"/>
      <c r="N435" s="118"/>
      <c r="O435" s="42"/>
      <c r="P435" s="42"/>
      <c r="Q435" s="42"/>
      <c r="R435" s="42"/>
      <c r="S435" s="125"/>
      <c r="T435" s="12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ht="15.75" customHeight="1" x14ac:dyDescent="0.2">
      <c r="A436" s="118"/>
      <c r="B436" s="118"/>
      <c r="C436" s="118"/>
      <c r="D436" s="118"/>
      <c r="E436" s="118"/>
      <c r="F436" s="118"/>
      <c r="G436" s="118"/>
      <c r="H436" s="118"/>
      <c r="I436" s="118"/>
      <c r="J436" s="118"/>
      <c r="K436" s="118"/>
      <c r="L436" s="118"/>
      <c r="M436" s="118"/>
      <c r="N436" s="118"/>
      <c r="O436" s="42"/>
      <c r="P436" s="42"/>
      <c r="Q436" s="42"/>
      <c r="R436" s="42"/>
      <c r="S436" s="125"/>
      <c r="T436" s="12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ht="15.75" customHeight="1" x14ac:dyDescent="0.2">
      <c r="A437" s="118"/>
      <c r="B437" s="118"/>
      <c r="C437" s="118"/>
      <c r="D437" s="118"/>
      <c r="E437" s="118"/>
      <c r="F437" s="118"/>
      <c r="G437" s="118"/>
      <c r="H437" s="118"/>
      <c r="I437" s="118"/>
      <c r="J437" s="118"/>
      <c r="K437" s="118"/>
      <c r="L437" s="118"/>
      <c r="M437" s="118"/>
      <c r="N437" s="118"/>
      <c r="O437" s="42"/>
      <c r="P437" s="42"/>
      <c r="Q437" s="42"/>
      <c r="R437" s="42"/>
      <c r="S437" s="125"/>
      <c r="T437" s="12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ht="15.75" customHeight="1" x14ac:dyDescent="0.2">
      <c r="A438" s="118"/>
      <c r="B438" s="118"/>
      <c r="C438" s="118"/>
      <c r="D438" s="118"/>
      <c r="E438" s="118"/>
      <c r="F438" s="118"/>
      <c r="G438" s="118"/>
      <c r="H438" s="118"/>
      <c r="I438" s="118"/>
      <c r="J438" s="118"/>
      <c r="K438" s="118"/>
      <c r="L438" s="118"/>
      <c r="M438" s="118"/>
      <c r="N438" s="118"/>
      <c r="O438" s="42"/>
      <c r="P438" s="42"/>
      <c r="Q438" s="42"/>
      <c r="R438" s="42"/>
      <c r="S438" s="125"/>
      <c r="T438" s="12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ht="15.75" customHeight="1" x14ac:dyDescent="0.2">
      <c r="A439" s="118"/>
      <c r="B439" s="118"/>
      <c r="C439" s="118"/>
      <c r="D439" s="118"/>
      <c r="E439" s="118"/>
      <c r="F439" s="118"/>
      <c r="G439" s="118"/>
      <c r="H439" s="118"/>
      <c r="I439" s="118"/>
      <c r="J439" s="118"/>
      <c r="K439" s="118"/>
      <c r="L439" s="118"/>
      <c r="M439" s="118"/>
      <c r="N439" s="118"/>
      <c r="O439" s="42"/>
      <c r="P439" s="42"/>
      <c r="Q439" s="42"/>
      <c r="R439" s="42"/>
      <c r="S439" s="125"/>
      <c r="T439" s="12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ht="15.75" customHeight="1" x14ac:dyDescent="0.2">
      <c r="A440" s="118"/>
      <c r="B440" s="118"/>
      <c r="C440" s="118"/>
      <c r="D440" s="118"/>
      <c r="E440" s="118"/>
      <c r="F440" s="118"/>
      <c r="G440" s="118"/>
      <c r="H440" s="118"/>
      <c r="I440" s="118"/>
      <c r="J440" s="118"/>
      <c r="K440" s="118"/>
      <c r="L440" s="118"/>
      <c r="M440" s="118"/>
      <c r="N440" s="118"/>
      <c r="O440" s="42"/>
      <c r="P440" s="42"/>
      <c r="Q440" s="42"/>
      <c r="R440" s="42"/>
      <c r="S440" s="125"/>
      <c r="T440" s="12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ht="15.75" customHeight="1" x14ac:dyDescent="0.2">
      <c r="A441" s="118"/>
      <c r="B441" s="118"/>
      <c r="C441" s="118"/>
      <c r="D441" s="118"/>
      <c r="E441" s="118"/>
      <c r="F441" s="118"/>
      <c r="G441" s="118"/>
      <c r="H441" s="118"/>
      <c r="I441" s="118"/>
      <c r="J441" s="118"/>
      <c r="K441" s="118"/>
      <c r="L441" s="118"/>
      <c r="M441" s="118"/>
      <c r="N441" s="118"/>
      <c r="O441" s="42"/>
      <c r="P441" s="42"/>
      <c r="Q441" s="42"/>
      <c r="R441" s="42"/>
      <c r="S441" s="125"/>
      <c r="T441" s="12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ht="15.75" customHeight="1" x14ac:dyDescent="0.2">
      <c r="A442" s="118"/>
      <c r="B442" s="118"/>
      <c r="C442" s="118"/>
      <c r="D442" s="118"/>
      <c r="E442" s="118"/>
      <c r="F442" s="118"/>
      <c r="G442" s="118"/>
      <c r="H442" s="118"/>
      <c r="I442" s="118"/>
      <c r="J442" s="118"/>
      <c r="K442" s="118"/>
      <c r="L442" s="118"/>
      <c r="M442" s="118"/>
      <c r="N442" s="118"/>
      <c r="O442" s="42"/>
      <c r="P442" s="42"/>
      <c r="Q442" s="42"/>
      <c r="R442" s="42"/>
      <c r="S442" s="125"/>
      <c r="T442" s="12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ht="15.75" customHeight="1" x14ac:dyDescent="0.2">
      <c r="A443" s="118"/>
      <c r="B443" s="118"/>
      <c r="C443" s="118"/>
      <c r="D443" s="118"/>
      <c r="E443" s="118"/>
      <c r="F443" s="118"/>
      <c r="G443" s="118"/>
      <c r="H443" s="118"/>
      <c r="I443" s="118"/>
      <c r="J443" s="118"/>
      <c r="K443" s="118"/>
      <c r="L443" s="118"/>
      <c r="M443" s="118"/>
      <c r="N443" s="118"/>
      <c r="O443" s="42"/>
      <c r="P443" s="42"/>
      <c r="Q443" s="42"/>
      <c r="R443" s="42"/>
      <c r="S443" s="125"/>
      <c r="T443" s="12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ht="15.75" customHeight="1" x14ac:dyDescent="0.2">
      <c r="A444" s="118"/>
      <c r="B444" s="118"/>
      <c r="C444" s="118"/>
      <c r="D444" s="118"/>
      <c r="E444" s="118"/>
      <c r="F444" s="118"/>
      <c r="G444" s="118"/>
      <c r="H444" s="118"/>
      <c r="I444" s="118"/>
      <c r="J444" s="118"/>
      <c r="K444" s="118"/>
      <c r="L444" s="118"/>
      <c r="M444" s="118"/>
      <c r="N444" s="118"/>
      <c r="O444" s="42"/>
      <c r="P444" s="42"/>
      <c r="Q444" s="42"/>
      <c r="R444" s="42"/>
      <c r="S444" s="125"/>
      <c r="T444" s="12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ht="15.75" customHeight="1" x14ac:dyDescent="0.2">
      <c r="A445" s="118"/>
      <c r="B445" s="118"/>
      <c r="C445" s="118"/>
      <c r="D445" s="118"/>
      <c r="E445" s="118"/>
      <c r="F445" s="118"/>
      <c r="G445" s="118"/>
      <c r="H445" s="118"/>
      <c r="I445" s="118"/>
      <c r="J445" s="118"/>
      <c r="K445" s="118"/>
      <c r="L445" s="118"/>
      <c r="M445" s="118"/>
      <c r="N445" s="118"/>
      <c r="O445" s="42"/>
      <c r="P445" s="42"/>
      <c r="Q445" s="42"/>
      <c r="R445" s="42"/>
      <c r="S445" s="125"/>
      <c r="T445" s="12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ht="15.75" customHeight="1" x14ac:dyDescent="0.2">
      <c r="A446" s="118"/>
      <c r="B446" s="118"/>
      <c r="C446" s="118"/>
      <c r="D446" s="118"/>
      <c r="E446" s="118"/>
      <c r="F446" s="118"/>
      <c r="G446" s="118"/>
      <c r="H446" s="118"/>
      <c r="I446" s="118"/>
      <c r="J446" s="118"/>
      <c r="K446" s="118"/>
      <c r="L446" s="118"/>
      <c r="M446" s="118"/>
      <c r="N446" s="118"/>
      <c r="O446" s="42"/>
      <c r="P446" s="42"/>
      <c r="Q446" s="42"/>
      <c r="R446" s="42"/>
      <c r="S446" s="125"/>
      <c r="T446" s="12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ht="15.75" customHeight="1" x14ac:dyDescent="0.2">
      <c r="A447" s="118"/>
      <c r="B447" s="118"/>
      <c r="C447" s="118"/>
      <c r="D447" s="118"/>
      <c r="E447" s="118"/>
      <c r="F447" s="118"/>
      <c r="G447" s="118"/>
      <c r="H447" s="118"/>
      <c r="I447" s="118"/>
      <c r="J447" s="118"/>
      <c r="K447" s="118"/>
      <c r="L447" s="118"/>
      <c r="M447" s="118"/>
      <c r="N447" s="118"/>
      <c r="O447" s="42"/>
      <c r="P447" s="42"/>
      <c r="Q447" s="42"/>
      <c r="R447" s="42"/>
      <c r="S447" s="125"/>
      <c r="T447" s="12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ht="15.75" customHeight="1" x14ac:dyDescent="0.2">
      <c r="A448" s="118"/>
      <c r="B448" s="118"/>
      <c r="C448" s="118"/>
      <c r="D448" s="118"/>
      <c r="E448" s="118"/>
      <c r="F448" s="118"/>
      <c r="G448" s="118"/>
      <c r="H448" s="118"/>
      <c r="I448" s="118"/>
      <c r="J448" s="118"/>
      <c r="K448" s="118"/>
      <c r="L448" s="118"/>
      <c r="M448" s="118"/>
      <c r="N448" s="118"/>
      <c r="O448" s="42"/>
      <c r="P448" s="42"/>
      <c r="Q448" s="42"/>
      <c r="R448" s="42"/>
      <c r="S448" s="125"/>
      <c r="T448" s="12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ht="15.75" customHeight="1" x14ac:dyDescent="0.2">
      <c r="A449" s="118"/>
      <c r="B449" s="118"/>
      <c r="C449" s="118"/>
      <c r="D449" s="118"/>
      <c r="E449" s="118"/>
      <c r="F449" s="118"/>
      <c r="G449" s="118"/>
      <c r="H449" s="118"/>
      <c r="I449" s="118"/>
      <c r="J449" s="118"/>
      <c r="K449" s="118"/>
      <c r="L449" s="118"/>
      <c r="M449" s="118"/>
      <c r="N449" s="118"/>
      <c r="O449" s="42"/>
      <c r="P449" s="42"/>
      <c r="Q449" s="42"/>
      <c r="R449" s="42"/>
      <c r="S449" s="125"/>
      <c r="T449" s="12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ht="15.75" customHeight="1" x14ac:dyDescent="0.2">
      <c r="A450" s="118"/>
      <c r="B450" s="118"/>
      <c r="C450" s="118"/>
      <c r="D450" s="118"/>
      <c r="E450" s="118"/>
      <c r="F450" s="118"/>
      <c r="G450" s="118"/>
      <c r="H450" s="118"/>
      <c r="I450" s="118"/>
      <c r="J450" s="118"/>
      <c r="K450" s="118"/>
      <c r="L450" s="118"/>
      <c r="M450" s="118"/>
      <c r="N450" s="118"/>
      <c r="O450" s="42"/>
      <c r="P450" s="42"/>
      <c r="Q450" s="42"/>
      <c r="R450" s="42"/>
      <c r="S450" s="125"/>
      <c r="T450" s="12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ht="15.75" customHeight="1" x14ac:dyDescent="0.2">
      <c r="A451" s="118"/>
      <c r="B451" s="118"/>
      <c r="C451" s="118"/>
      <c r="D451" s="118"/>
      <c r="E451" s="118"/>
      <c r="F451" s="118"/>
      <c r="G451" s="118"/>
      <c r="H451" s="118"/>
      <c r="I451" s="118"/>
      <c r="J451" s="118"/>
      <c r="K451" s="118"/>
      <c r="L451" s="118"/>
      <c r="M451" s="118"/>
      <c r="N451" s="118"/>
      <c r="O451" s="42"/>
      <c r="P451" s="42"/>
      <c r="Q451" s="42"/>
      <c r="R451" s="42"/>
      <c r="S451" s="125"/>
      <c r="T451" s="12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ht="15.75" customHeight="1" x14ac:dyDescent="0.2">
      <c r="A452" s="118"/>
      <c r="B452" s="118"/>
      <c r="C452" s="118"/>
      <c r="D452" s="118"/>
      <c r="E452" s="118"/>
      <c r="F452" s="118"/>
      <c r="G452" s="118"/>
      <c r="H452" s="118"/>
      <c r="I452" s="118"/>
      <c r="J452" s="118"/>
      <c r="K452" s="118"/>
      <c r="L452" s="118"/>
      <c r="M452" s="118"/>
      <c r="N452" s="118"/>
      <c r="O452" s="42"/>
      <c r="P452" s="42"/>
      <c r="Q452" s="42"/>
      <c r="R452" s="42"/>
      <c r="S452" s="125"/>
      <c r="T452" s="12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ht="15.75" customHeight="1" x14ac:dyDescent="0.2">
      <c r="A453" s="118"/>
      <c r="B453" s="118"/>
      <c r="C453" s="118"/>
      <c r="D453" s="118"/>
      <c r="E453" s="118"/>
      <c r="F453" s="118"/>
      <c r="G453" s="118"/>
      <c r="H453" s="118"/>
      <c r="I453" s="118"/>
      <c r="J453" s="118"/>
      <c r="K453" s="118"/>
      <c r="L453" s="118"/>
      <c r="M453" s="118"/>
      <c r="N453" s="118"/>
      <c r="O453" s="42"/>
      <c r="P453" s="42"/>
      <c r="Q453" s="42"/>
      <c r="R453" s="42"/>
      <c r="S453" s="125"/>
      <c r="T453" s="12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ht="15.75" customHeight="1" x14ac:dyDescent="0.2">
      <c r="A454" s="118"/>
      <c r="B454" s="118"/>
      <c r="C454" s="118"/>
      <c r="D454" s="118"/>
      <c r="E454" s="118"/>
      <c r="F454" s="118"/>
      <c r="G454" s="118"/>
      <c r="H454" s="118"/>
      <c r="I454" s="118"/>
      <c r="J454" s="118"/>
      <c r="K454" s="118"/>
      <c r="L454" s="118"/>
      <c r="M454" s="118"/>
      <c r="N454" s="118"/>
      <c r="O454" s="42"/>
      <c r="P454" s="42"/>
      <c r="Q454" s="42"/>
      <c r="R454" s="42"/>
      <c r="S454" s="125"/>
      <c r="T454" s="12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ht="15.75" customHeight="1" x14ac:dyDescent="0.2">
      <c r="A455" s="118"/>
      <c r="B455" s="118"/>
      <c r="C455" s="118"/>
      <c r="D455" s="118"/>
      <c r="E455" s="118"/>
      <c r="F455" s="118"/>
      <c r="G455" s="118"/>
      <c r="H455" s="118"/>
      <c r="I455" s="118"/>
      <c r="J455" s="118"/>
      <c r="K455" s="118"/>
      <c r="L455" s="118"/>
      <c r="M455" s="118"/>
      <c r="N455" s="118"/>
      <c r="O455" s="42"/>
      <c r="P455" s="42"/>
      <c r="Q455" s="42"/>
      <c r="R455" s="42"/>
      <c r="S455" s="125"/>
      <c r="T455" s="12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ht="15.75" customHeight="1" x14ac:dyDescent="0.2">
      <c r="A456" s="118"/>
      <c r="B456" s="118"/>
      <c r="C456" s="118"/>
      <c r="D456" s="118"/>
      <c r="E456" s="118"/>
      <c r="F456" s="118"/>
      <c r="G456" s="118"/>
      <c r="H456" s="118"/>
      <c r="I456" s="118"/>
      <c r="J456" s="118"/>
      <c r="K456" s="118"/>
      <c r="L456" s="118"/>
      <c r="M456" s="118"/>
      <c r="N456" s="118"/>
      <c r="O456" s="42"/>
      <c r="P456" s="42"/>
      <c r="Q456" s="42"/>
      <c r="R456" s="42"/>
      <c r="S456" s="125"/>
      <c r="T456" s="12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ht="15.75" customHeight="1" x14ac:dyDescent="0.2">
      <c r="A457" s="118"/>
      <c r="B457" s="118"/>
      <c r="C457" s="118"/>
      <c r="D457" s="118"/>
      <c r="E457" s="118"/>
      <c r="F457" s="118"/>
      <c r="G457" s="118"/>
      <c r="H457" s="118"/>
      <c r="I457" s="118"/>
      <c r="J457" s="118"/>
      <c r="K457" s="118"/>
      <c r="L457" s="118"/>
      <c r="M457" s="118"/>
      <c r="N457" s="118"/>
      <c r="O457" s="42"/>
      <c r="P457" s="42"/>
      <c r="Q457" s="42"/>
      <c r="R457" s="42"/>
      <c r="S457" s="125"/>
      <c r="T457" s="12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ht="15.75" customHeight="1" x14ac:dyDescent="0.2">
      <c r="A458" s="118"/>
      <c r="B458" s="118"/>
      <c r="C458" s="118"/>
      <c r="D458" s="118"/>
      <c r="E458" s="118"/>
      <c r="F458" s="118"/>
      <c r="G458" s="118"/>
      <c r="H458" s="118"/>
      <c r="I458" s="118"/>
      <c r="J458" s="118"/>
      <c r="K458" s="118"/>
      <c r="L458" s="118"/>
      <c r="M458" s="118"/>
      <c r="N458" s="118"/>
      <c r="O458" s="42"/>
      <c r="P458" s="42"/>
      <c r="Q458" s="42"/>
      <c r="R458" s="42"/>
      <c r="S458" s="125"/>
      <c r="T458" s="12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ht="15.75" customHeight="1" x14ac:dyDescent="0.2">
      <c r="A459" s="118"/>
      <c r="B459" s="118"/>
      <c r="C459" s="118"/>
      <c r="D459" s="118"/>
      <c r="E459" s="118"/>
      <c r="F459" s="118"/>
      <c r="G459" s="118"/>
      <c r="H459" s="118"/>
      <c r="I459" s="118"/>
      <c r="J459" s="118"/>
      <c r="K459" s="118"/>
      <c r="L459" s="118"/>
      <c r="M459" s="118"/>
      <c r="N459" s="118"/>
      <c r="O459" s="42"/>
      <c r="P459" s="42"/>
      <c r="Q459" s="42"/>
      <c r="R459" s="42"/>
      <c r="S459" s="125"/>
      <c r="T459" s="12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ht="15.75" customHeight="1" x14ac:dyDescent="0.2">
      <c r="A460" s="118"/>
      <c r="B460" s="118"/>
      <c r="C460" s="118"/>
      <c r="D460" s="118"/>
      <c r="E460" s="118"/>
      <c r="F460" s="118"/>
      <c r="G460" s="118"/>
      <c r="H460" s="118"/>
      <c r="I460" s="118"/>
      <c r="J460" s="118"/>
      <c r="K460" s="118"/>
      <c r="L460" s="118"/>
      <c r="M460" s="118"/>
      <c r="N460" s="118"/>
      <c r="O460" s="42"/>
      <c r="P460" s="42"/>
      <c r="Q460" s="42"/>
      <c r="R460" s="42"/>
      <c r="S460" s="125"/>
      <c r="T460" s="12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ht="15.75" customHeight="1" x14ac:dyDescent="0.2">
      <c r="A461" s="118"/>
      <c r="B461" s="118"/>
      <c r="C461" s="118"/>
      <c r="D461" s="118"/>
      <c r="E461" s="118"/>
      <c r="F461" s="118"/>
      <c r="G461" s="118"/>
      <c r="H461" s="118"/>
      <c r="I461" s="118"/>
      <c r="J461" s="118"/>
      <c r="K461" s="118"/>
      <c r="L461" s="118"/>
      <c r="M461" s="118"/>
      <c r="N461" s="118"/>
      <c r="O461" s="42"/>
      <c r="P461" s="42"/>
      <c r="Q461" s="42"/>
      <c r="R461" s="42"/>
      <c r="S461" s="125"/>
      <c r="T461" s="12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ht="15.75" customHeight="1" x14ac:dyDescent="0.2">
      <c r="A462" s="118"/>
      <c r="B462" s="118"/>
      <c r="C462" s="118"/>
      <c r="D462" s="118"/>
      <c r="E462" s="118"/>
      <c r="F462" s="118"/>
      <c r="G462" s="118"/>
      <c r="H462" s="118"/>
      <c r="I462" s="118"/>
      <c r="J462" s="118"/>
      <c r="K462" s="118"/>
      <c r="L462" s="118"/>
      <c r="M462" s="118"/>
      <c r="N462" s="118"/>
      <c r="O462" s="42"/>
      <c r="P462" s="42"/>
      <c r="Q462" s="42"/>
      <c r="R462" s="42"/>
      <c r="S462" s="125"/>
      <c r="T462" s="12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ht="15.75" customHeight="1" x14ac:dyDescent="0.2">
      <c r="A463" s="118"/>
      <c r="B463" s="118"/>
      <c r="C463" s="118"/>
      <c r="D463" s="118"/>
      <c r="E463" s="118"/>
      <c r="F463" s="118"/>
      <c r="G463" s="118"/>
      <c r="H463" s="118"/>
      <c r="I463" s="118"/>
      <c r="J463" s="118"/>
      <c r="K463" s="118"/>
      <c r="L463" s="118"/>
      <c r="M463" s="118"/>
      <c r="N463" s="118"/>
      <c r="O463" s="42"/>
      <c r="P463" s="42"/>
      <c r="Q463" s="42"/>
      <c r="R463" s="42"/>
      <c r="S463" s="125"/>
      <c r="T463" s="12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ht="15.75" customHeight="1" x14ac:dyDescent="0.2">
      <c r="A464" s="118"/>
      <c r="B464" s="118"/>
      <c r="C464" s="118"/>
      <c r="D464" s="118"/>
      <c r="E464" s="118"/>
      <c r="F464" s="118"/>
      <c r="G464" s="118"/>
      <c r="H464" s="118"/>
      <c r="I464" s="118"/>
      <c r="J464" s="118"/>
      <c r="K464" s="118"/>
      <c r="L464" s="118"/>
      <c r="M464" s="118"/>
      <c r="N464" s="118"/>
      <c r="O464" s="42"/>
      <c r="P464" s="42"/>
      <c r="Q464" s="42"/>
      <c r="R464" s="42"/>
      <c r="S464" s="125"/>
      <c r="T464" s="12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ht="15.75" customHeight="1" x14ac:dyDescent="0.2">
      <c r="A465" s="118"/>
      <c r="B465" s="118"/>
      <c r="C465" s="118"/>
      <c r="D465" s="118"/>
      <c r="E465" s="118"/>
      <c r="F465" s="118"/>
      <c r="G465" s="118"/>
      <c r="H465" s="118"/>
      <c r="I465" s="118"/>
      <c r="J465" s="118"/>
      <c r="K465" s="118"/>
      <c r="L465" s="118"/>
      <c r="M465" s="118"/>
      <c r="N465" s="118"/>
      <c r="O465" s="42"/>
      <c r="P465" s="42"/>
      <c r="Q465" s="42"/>
      <c r="R465" s="42"/>
      <c r="S465" s="125"/>
      <c r="T465" s="12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ht="15.75" customHeight="1" x14ac:dyDescent="0.2">
      <c r="A466" s="118"/>
      <c r="B466" s="118"/>
      <c r="C466" s="118"/>
      <c r="D466" s="118"/>
      <c r="E466" s="118"/>
      <c r="F466" s="118"/>
      <c r="G466" s="118"/>
      <c r="H466" s="118"/>
      <c r="I466" s="118"/>
      <c r="J466" s="118"/>
      <c r="K466" s="118"/>
      <c r="L466" s="118"/>
      <c r="M466" s="118"/>
      <c r="N466" s="118"/>
      <c r="O466" s="42"/>
      <c r="P466" s="42"/>
      <c r="Q466" s="42"/>
      <c r="R466" s="42"/>
      <c r="S466" s="125"/>
      <c r="T466" s="12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ht="15.75" customHeight="1" x14ac:dyDescent="0.2">
      <c r="A467" s="118"/>
      <c r="B467" s="118"/>
      <c r="C467" s="118"/>
      <c r="D467" s="118"/>
      <c r="E467" s="118"/>
      <c r="F467" s="118"/>
      <c r="G467" s="118"/>
      <c r="H467" s="118"/>
      <c r="I467" s="118"/>
      <c r="J467" s="118"/>
      <c r="K467" s="118"/>
      <c r="L467" s="118"/>
      <c r="M467" s="118"/>
      <c r="N467" s="118"/>
      <c r="O467" s="42"/>
      <c r="P467" s="42"/>
      <c r="Q467" s="42"/>
      <c r="R467" s="42"/>
      <c r="S467" s="125"/>
      <c r="T467" s="12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ht="15.75" customHeight="1" x14ac:dyDescent="0.2">
      <c r="A468" s="118"/>
      <c r="B468" s="118"/>
      <c r="C468" s="118"/>
      <c r="D468" s="118"/>
      <c r="E468" s="118"/>
      <c r="F468" s="118"/>
      <c r="G468" s="118"/>
      <c r="H468" s="118"/>
      <c r="I468" s="118"/>
      <c r="J468" s="118"/>
      <c r="K468" s="118"/>
      <c r="L468" s="118"/>
      <c r="M468" s="118"/>
      <c r="N468" s="118"/>
      <c r="O468" s="42"/>
      <c r="P468" s="42"/>
      <c r="Q468" s="42"/>
      <c r="R468" s="42"/>
      <c r="S468" s="125"/>
      <c r="T468" s="12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ht="15.75" customHeight="1" x14ac:dyDescent="0.2">
      <c r="A469" s="118"/>
      <c r="B469" s="118"/>
      <c r="C469" s="118"/>
      <c r="D469" s="118"/>
      <c r="E469" s="118"/>
      <c r="F469" s="118"/>
      <c r="G469" s="118"/>
      <c r="H469" s="118"/>
      <c r="I469" s="118"/>
      <c r="J469" s="118"/>
      <c r="K469" s="118"/>
      <c r="L469" s="118"/>
      <c r="M469" s="118"/>
      <c r="N469" s="118"/>
      <c r="O469" s="42"/>
      <c r="P469" s="42"/>
      <c r="Q469" s="42"/>
      <c r="R469" s="42"/>
      <c r="S469" s="125"/>
      <c r="T469" s="12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ht="15.75" customHeight="1" x14ac:dyDescent="0.2">
      <c r="A470" s="118"/>
      <c r="B470" s="118"/>
      <c r="C470" s="118"/>
      <c r="D470" s="118"/>
      <c r="E470" s="118"/>
      <c r="F470" s="118"/>
      <c r="G470" s="118"/>
      <c r="H470" s="118"/>
      <c r="I470" s="118"/>
      <c r="J470" s="118"/>
      <c r="K470" s="118"/>
      <c r="L470" s="118"/>
      <c r="M470" s="118"/>
      <c r="N470" s="118"/>
      <c r="O470" s="42"/>
      <c r="P470" s="42"/>
      <c r="Q470" s="42"/>
      <c r="R470" s="42"/>
      <c r="S470" s="125"/>
      <c r="T470" s="12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ht="15.75" customHeight="1" x14ac:dyDescent="0.2">
      <c r="A471" s="118"/>
      <c r="B471" s="118"/>
      <c r="C471" s="118"/>
      <c r="D471" s="118"/>
      <c r="E471" s="118"/>
      <c r="F471" s="118"/>
      <c r="G471" s="118"/>
      <c r="H471" s="118"/>
      <c r="I471" s="118"/>
      <c r="J471" s="118"/>
      <c r="K471" s="118"/>
      <c r="L471" s="118"/>
      <c r="M471" s="118"/>
      <c r="N471" s="118"/>
      <c r="O471" s="42"/>
      <c r="P471" s="42"/>
      <c r="Q471" s="42"/>
      <c r="R471" s="42"/>
      <c r="S471" s="125"/>
      <c r="T471" s="12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ht="15.75" customHeight="1" x14ac:dyDescent="0.2">
      <c r="A472" s="118"/>
      <c r="B472" s="118"/>
      <c r="C472" s="118"/>
      <c r="D472" s="118"/>
      <c r="E472" s="118"/>
      <c r="F472" s="118"/>
      <c r="G472" s="118"/>
      <c r="H472" s="118"/>
      <c r="I472" s="118"/>
      <c r="J472" s="118"/>
      <c r="K472" s="118"/>
      <c r="L472" s="118"/>
      <c r="M472" s="118"/>
      <c r="N472" s="118"/>
      <c r="O472" s="42"/>
      <c r="P472" s="42"/>
      <c r="Q472" s="42"/>
      <c r="R472" s="42"/>
      <c r="S472" s="125"/>
      <c r="T472" s="12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ht="15.75" customHeight="1" x14ac:dyDescent="0.2">
      <c r="A473" s="118"/>
      <c r="B473" s="118"/>
      <c r="C473" s="118"/>
      <c r="D473" s="118"/>
      <c r="E473" s="118"/>
      <c r="F473" s="118"/>
      <c r="G473" s="118"/>
      <c r="H473" s="118"/>
      <c r="I473" s="118"/>
      <c r="J473" s="118"/>
      <c r="K473" s="118"/>
      <c r="L473" s="118"/>
      <c r="M473" s="118"/>
      <c r="N473" s="118"/>
      <c r="O473" s="42"/>
      <c r="P473" s="42"/>
      <c r="Q473" s="42"/>
      <c r="R473" s="42"/>
      <c r="S473" s="125"/>
      <c r="T473" s="12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ht="15.75" customHeight="1" x14ac:dyDescent="0.2">
      <c r="A474" s="118"/>
      <c r="B474" s="118"/>
      <c r="C474" s="118"/>
      <c r="D474" s="118"/>
      <c r="E474" s="118"/>
      <c r="F474" s="118"/>
      <c r="G474" s="118"/>
      <c r="H474" s="118"/>
      <c r="I474" s="118"/>
      <c r="J474" s="118"/>
      <c r="K474" s="118"/>
      <c r="L474" s="118"/>
      <c r="M474" s="118"/>
      <c r="N474" s="118"/>
      <c r="O474" s="42"/>
      <c r="P474" s="42"/>
      <c r="Q474" s="42"/>
      <c r="R474" s="42"/>
      <c r="S474" s="125"/>
      <c r="T474" s="12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ht="15.75" customHeight="1" x14ac:dyDescent="0.2">
      <c r="A475" s="118"/>
      <c r="B475" s="118"/>
      <c r="C475" s="118"/>
      <c r="D475" s="118"/>
      <c r="E475" s="118"/>
      <c r="F475" s="118"/>
      <c r="G475" s="118"/>
      <c r="H475" s="118"/>
      <c r="I475" s="118"/>
      <c r="J475" s="118"/>
      <c r="K475" s="118"/>
      <c r="L475" s="118"/>
      <c r="M475" s="118"/>
      <c r="N475" s="118"/>
      <c r="O475" s="42"/>
      <c r="P475" s="42"/>
      <c r="Q475" s="42"/>
      <c r="R475" s="42"/>
      <c r="S475" s="125"/>
      <c r="T475" s="12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ht="15.75" customHeight="1" x14ac:dyDescent="0.2">
      <c r="A476" s="118"/>
      <c r="B476" s="118"/>
      <c r="C476" s="118"/>
      <c r="D476" s="118"/>
      <c r="E476" s="118"/>
      <c r="F476" s="118"/>
      <c r="G476" s="118"/>
      <c r="H476" s="118"/>
      <c r="I476" s="118"/>
      <c r="J476" s="118"/>
      <c r="K476" s="118"/>
      <c r="L476" s="118"/>
      <c r="M476" s="118"/>
      <c r="N476" s="118"/>
      <c r="O476" s="42"/>
      <c r="P476" s="42"/>
      <c r="Q476" s="42"/>
      <c r="R476" s="42"/>
      <c r="S476" s="125"/>
      <c r="T476" s="12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ht="15.75" customHeight="1" x14ac:dyDescent="0.2">
      <c r="A477" s="118"/>
      <c r="B477" s="118"/>
      <c r="C477" s="118"/>
      <c r="D477" s="118"/>
      <c r="E477" s="118"/>
      <c r="F477" s="118"/>
      <c r="G477" s="118"/>
      <c r="H477" s="118"/>
      <c r="I477" s="118"/>
      <c r="J477" s="118"/>
      <c r="K477" s="118"/>
      <c r="L477" s="118"/>
      <c r="M477" s="118"/>
      <c r="N477" s="118"/>
      <c r="O477" s="42"/>
      <c r="P477" s="42"/>
      <c r="Q477" s="42"/>
      <c r="R477" s="42"/>
      <c r="S477" s="125"/>
      <c r="T477" s="12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ht="15.75" customHeight="1" x14ac:dyDescent="0.2">
      <c r="A478" s="118"/>
      <c r="B478" s="118"/>
      <c r="C478" s="118"/>
      <c r="D478" s="118"/>
      <c r="E478" s="118"/>
      <c r="F478" s="118"/>
      <c r="G478" s="118"/>
      <c r="H478" s="118"/>
      <c r="I478" s="118"/>
      <c r="J478" s="118"/>
      <c r="K478" s="118"/>
      <c r="L478" s="118"/>
      <c r="M478" s="118"/>
      <c r="N478" s="118"/>
      <c r="O478" s="42"/>
      <c r="P478" s="42"/>
      <c r="Q478" s="42"/>
      <c r="R478" s="42"/>
      <c r="S478" s="125"/>
      <c r="T478" s="12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ht="15.75" customHeight="1" x14ac:dyDescent="0.2">
      <c r="A479" s="118"/>
      <c r="B479" s="118"/>
      <c r="C479" s="118"/>
      <c r="D479" s="118"/>
      <c r="E479" s="118"/>
      <c r="F479" s="118"/>
      <c r="G479" s="118"/>
      <c r="H479" s="118"/>
      <c r="I479" s="118"/>
      <c r="J479" s="118"/>
      <c r="K479" s="118"/>
      <c r="L479" s="118"/>
      <c r="M479" s="118"/>
      <c r="N479" s="118"/>
      <c r="O479" s="42"/>
      <c r="P479" s="42"/>
      <c r="Q479" s="42"/>
      <c r="R479" s="42"/>
      <c r="S479" s="125"/>
      <c r="T479" s="12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ht="15.75" customHeight="1" x14ac:dyDescent="0.2">
      <c r="A480" s="118"/>
      <c r="B480" s="118"/>
      <c r="C480" s="118"/>
      <c r="D480" s="118"/>
      <c r="E480" s="118"/>
      <c r="F480" s="118"/>
      <c r="G480" s="118"/>
      <c r="H480" s="118"/>
      <c r="I480" s="118"/>
      <c r="J480" s="118"/>
      <c r="K480" s="118"/>
      <c r="L480" s="118"/>
      <c r="M480" s="118"/>
      <c r="N480" s="118"/>
      <c r="O480" s="42"/>
      <c r="P480" s="42"/>
      <c r="Q480" s="42"/>
      <c r="R480" s="42"/>
      <c r="S480" s="125"/>
      <c r="T480" s="12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ht="15.75" customHeight="1" x14ac:dyDescent="0.2">
      <c r="A481" s="118"/>
      <c r="B481" s="118"/>
      <c r="C481" s="118"/>
      <c r="D481" s="118"/>
      <c r="E481" s="118"/>
      <c r="F481" s="118"/>
      <c r="G481" s="118"/>
      <c r="H481" s="118"/>
      <c r="I481" s="118"/>
      <c r="J481" s="118"/>
      <c r="K481" s="118"/>
      <c r="L481" s="118"/>
      <c r="M481" s="118"/>
      <c r="N481" s="118"/>
      <c r="O481" s="42"/>
      <c r="P481" s="42"/>
      <c r="Q481" s="42"/>
      <c r="R481" s="42"/>
      <c r="S481" s="125"/>
      <c r="T481" s="12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ht="15.75" customHeight="1" x14ac:dyDescent="0.2">
      <c r="A482" s="118"/>
      <c r="B482" s="118"/>
      <c r="C482" s="118"/>
      <c r="D482" s="118"/>
      <c r="E482" s="118"/>
      <c r="F482" s="118"/>
      <c r="G482" s="118"/>
      <c r="H482" s="118"/>
      <c r="I482" s="118"/>
      <c r="J482" s="118"/>
      <c r="K482" s="118"/>
      <c r="L482" s="118"/>
      <c r="M482" s="118"/>
      <c r="N482" s="118"/>
      <c r="O482" s="42"/>
      <c r="P482" s="42"/>
      <c r="Q482" s="42"/>
      <c r="R482" s="42"/>
      <c r="S482" s="125"/>
      <c r="T482" s="12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ht="15.75" customHeight="1" x14ac:dyDescent="0.2">
      <c r="A483" s="118"/>
      <c r="B483" s="118"/>
      <c r="C483" s="118"/>
      <c r="D483" s="118"/>
      <c r="E483" s="118"/>
      <c r="F483" s="118"/>
      <c r="G483" s="118"/>
      <c r="H483" s="118"/>
      <c r="I483" s="118"/>
      <c r="J483" s="118"/>
      <c r="K483" s="118"/>
      <c r="L483" s="118"/>
      <c r="M483" s="118"/>
      <c r="N483" s="118"/>
      <c r="O483" s="42"/>
      <c r="P483" s="42"/>
      <c r="Q483" s="42"/>
      <c r="R483" s="42"/>
      <c r="S483" s="125"/>
      <c r="T483" s="12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ht="15.75" customHeight="1" x14ac:dyDescent="0.2">
      <c r="A484" s="118"/>
      <c r="B484" s="118"/>
      <c r="C484" s="118"/>
      <c r="D484" s="118"/>
      <c r="E484" s="118"/>
      <c r="F484" s="118"/>
      <c r="G484" s="118"/>
      <c r="H484" s="118"/>
      <c r="I484" s="118"/>
      <c r="J484" s="118"/>
      <c r="K484" s="118"/>
      <c r="L484" s="118"/>
      <c r="M484" s="118"/>
      <c r="N484" s="118"/>
      <c r="O484" s="42"/>
      <c r="P484" s="42"/>
      <c r="Q484" s="42"/>
      <c r="R484" s="42"/>
      <c r="S484" s="125"/>
      <c r="T484" s="12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ht="15.75" customHeight="1" x14ac:dyDescent="0.2">
      <c r="A485" s="118"/>
      <c r="B485" s="118"/>
      <c r="C485" s="118"/>
      <c r="D485" s="118"/>
      <c r="E485" s="118"/>
      <c r="F485" s="118"/>
      <c r="G485" s="118"/>
      <c r="H485" s="118"/>
      <c r="I485" s="118"/>
      <c r="J485" s="118"/>
      <c r="K485" s="118"/>
      <c r="L485" s="118"/>
      <c r="M485" s="118"/>
      <c r="N485" s="118"/>
      <c r="O485" s="42"/>
      <c r="P485" s="42"/>
      <c r="Q485" s="42"/>
      <c r="R485" s="42"/>
      <c r="S485" s="125"/>
      <c r="T485" s="12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ht="15.75" customHeight="1" x14ac:dyDescent="0.2">
      <c r="A486" s="118"/>
      <c r="B486" s="118"/>
      <c r="C486" s="118"/>
      <c r="D486" s="118"/>
      <c r="E486" s="118"/>
      <c r="F486" s="118"/>
      <c r="G486" s="118"/>
      <c r="H486" s="118"/>
      <c r="I486" s="118"/>
      <c r="J486" s="118"/>
      <c r="K486" s="118"/>
      <c r="L486" s="118"/>
      <c r="M486" s="118"/>
      <c r="N486" s="118"/>
      <c r="O486" s="42"/>
      <c r="P486" s="42"/>
      <c r="Q486" s="42"/>
      <c r="R486" s="42"/>
      <c r="S486" s="125"/>
      <c r="T486" s="12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ht="15.75" customHeight="1" x14ac:dyDescent="0.2">
      <c r="A487" s="118"/>
      <c r="B487" s="118"/>
      <c r="C487" s="118"/>
      <c r="D487" s="118"/>
      <c r="E487" s="118"/>
      <c r="F487" s="118"/>
      <c r="G487" s="118"/>
      <c r="H487" s="118"/>
      <c r="I487" s="118"/>
      <c r="J487" s="118"/>
      <c r="K487" s="118"/>
      <c r="L487" s="118"/>
      <c r="M487" s="118"/>
      <c r="N487" s="118"/>
      <c r="O487" s="42"/>
      <c r="P487" s="42"/>
      <c r="Q487" s="42"/>
      <c r="R487" s="42"/>
      <c r="S487" s="125"/>
      <c r="T487" s="12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ht="15.75" customHeight="1" x14ac:dyDescent="0.2">
      <c r="A488" s="118"/>
      <c r="B488" s="118"/>
      <c r="C488" s="118"/>
      <c r="D488" s="118"/>
      <c r="E488" s="118"/>
      <c r="F488" s="118"/>
      <c r="G488" s="118"/>
      <c r="H488" s="118"/>
      <c r="I488" s="118"/>
      <c r="J488" s="118"/>
      <c r="K488" s="118"/>
      <c r="L488" s="118"/>
      <c r="M488" s="118"/>
      <c r="N488" s="118"/>
      <c r="O488" s="42"/>
      <c r="P488" s="42"/>
      <c r="Q488" s="42"/>
      <c r="R488" s="42"/>
      <c r="S488" s="125"/>
      <c r="T488" s="12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ht="15.75" customHeight="1" x14ac:dyDescent="0.2">
      <c r="A489" s="118"/>
      <c r="B489" s="118"/>
      <c r="C489" s="118"/>
      <c r="D489" s="118"/>
      <c r="E489" s="118"/>
      <c r="F489" s="118"/>
      <c r="G489" s="118"/>
      <c r="H489" s="118"/>
      <c r="I489" s="118"/>
      <c r="J489" s="118"/>
      <c r="K489" s="118"/>
      <c r="L489" s="118"/>
      <c r="M489" s="118"/>
      <c r="N489" s="118"/>
      <c r="O489" s="42"/>
      <c r="P489" s="42"/>
      <c r="Q489" s="42"/>
      <c r="R489" s="42"/>
      <c r="S489" s="125"/>
      <c r="T489" s="12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ht="15.75" customHeight="1" x14ac:dyDescent="0.2">
      <c r="A490" s="118"/>
      <c r="B490" s="118"/>
      <c r="C490" s="118"/>
      <c r="D490" s="118"/>
      <c r="E490" s="118"/>
      <c r="F490" s="118"/>
      <c r="G490" s="118"/>
      <c r="H490" s="118"/>
      <c r="I490" s="118"/>
      <c r="J490" s="118"/>
      <c r="K490" s="118"/>
      <c r="L490" s="118"/>
      <c r="M490" s="118"/>
      <c r="N490" s="118"/>
      <c r="O490" s="42"/>
      <c r="P490" s="42"/>
      <c r="Q490" s="42"/>
      <c r="R490" s="42"/>
      <c r="S490" s="125"/>
      <c r="T490" s="12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ht="15.75" customHeight="1" x14ac:dyDescent="0.2">
      <c r="A491" s="118"/>
      <c r="B491" s="118"/>
      <c r="C491" s="118"/>
      <c r="D491" s="118"/>
      <c r="E491" s="118"/>
      <c r="F491" s="118"/>
      <c r="G491" s="118"/>
      <c r="H491" s="118"/>
      <c r="I491" s="118"/>
      <c r="J491" s="118"/>
      <c r="K491" s="118"/>
      <c r="L491" s="118"/>
      <c r="M491" s="118"/>
      <c r="N491" s="118"/>
      <c r="O491" s="42"/>
      <c r="P491" s="42"/>
      <c r="Q491" s="42"/>
      <c r="R491" s="42"/>
      <c r="S491" s="125"/>
      <c r="T491" s="12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ht="15.75" customHeight="1" x14ac:dyDescent="0.2">
      <c r="A492" s="118"/>
      <c r="B492" s="118"/>
      <c r="C492" s="118"/>
      <c r="D492" s="118"/>
      <c r="E492" s="118"/>
      <c r="F492" s="118"/>
      <c r="G492" s="118"/>
      <c r="H492" s="118"/>
      <c r="I492" s="118"/>
      <c r="J492" s="118"/>
      <c r="K492" s="118"/>
      <c r="L492" s="118"/>
      <c r="M492" s="118"/>
      <c r="N492" s="118"/>
      <c r="O492" s="42"/>
      <c r="P492" s="42"/>
      <c r="Q492" s="42"/>
      <c r="R492" s="42"/>
      <c r="S492" s="125"/>
      <c r="T492" s="12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ht="15.75" customHeight="1" x14ac:dyDescent="0.2">
      <c r="A493" s="118"/>
      <c r="B493" s="118"/>
      <c r="C493" s="118"/>
      <c r="D493" s="118"/>
      <c r="E493" s="118"/>
      <c r="F493" s="118"/>
      <c r="G493" s="118"/>
      <c r="H493" s="118"/>
      <c r="I493" s="118"/>
      <c r="J493" s="118"/>
      <c r="K493" s="118"/>
      <c r="L493" s="118"/>
      <c r="M493" s="118"/>
      <c r="N493" s="118"/>
      <c r="O493" s="42"/>
      <c r="P493" s="42"/>
      <c r="Q493" s="42"/>
      <c r="R493" s="42"/>
      <c r="S493" s="125"/>
      <c r="T493" s="12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ht="15.75" customHeight="1" x14ac:dyDescent="0.2">
      <c r="A494" s="118"/>
      <c r="B494" s="118"/>
      <c r="C494" s="118"/>
      <c r="D494" s="118"/>
      <c r="E494" s="118"/>
      <c r="F494" s="118"/>
      <c r="G494" s="118"/>
      <c r="H494" s="118"/>
      <c r="I494" s="118"/>
      <c r="J494" s="118"/>
      <c r="K494" s="118"/>
      <c r="L494" s="118"/>
      <c r="M494" s="118"/>
      <c r="N494" s="118"/>
      <c r="O494" s="42"/>
      <c r="P494" s="42"/>
      <c r="Q494" s="42"/>
      <c r="R494" s="42"/>
      <c r="S494" s="125"/>
      <c r="T494" s="12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ht="15.75" customHeight="1" x14ac:dyDescent="0.2">
      <c r="A495" s="118"/>
      <c r="B495" s="118"/>
      <c r="C495" s="118"/>
      <c r="D495" s="118"/>
      <c r="E495" s="118"/>
      <c r="F495" s="118"/>
      <c r="G495" s="118"/>
      <c r="H495" s="118"/>
      <c r="I495" s="118"/>
      <c r="J495" s="118"/>
      <c r="K495" s="118"/>
      <c r="L495" s="118"/>
      <c r="M495" s="118"/>
      <c r="N495" s="118"/>
      <c r="O495" s="42"/>
      <c r="P495" s="42"/>
      <c r="Q495" s="42"/>
      <c r="R495" s="42"/>
      <c r="S495" s="125"/>
      <c r="T495" s="12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ht="15.75" customHeight="1" x14ac:dyDescent="0.2">
      <c r="A496" s="118"/>
      <c r="B496" s="118"/>
      <c r="C496" s="118"/>
      <c r="D496" s="118"/>
      <c r="E496" s="118"/>
      <c r="F496" s="118"/>
      <c r="G496" s="118"/>
      <c r="H496" s="118"/>
      <c r="I496" s="118"/>
      <c r="J496" s="118"/>
      <c r="K496" s="118"/>
      <c r="L496" s="118"/>
      <c r="M496" s="118"/>
      <c r="N496" s="118"/>
      <c r="O496" s="42"/>
      <c r="P496" s="42"/>
      <c r="Q496" s="42"/>
      <c r="R496" s="42"/>
      <c r="S496" s="125"/>
      <c r="T496" s="12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ht="15.75" customHeight="1" x14ac:dyDescent="0.2">
      <c r="A497" s="118"/>
      <c r="B497" s="118"/>
      <c r="C497" s="118"/>
      <c r="D497" s="118"/>
      <c r="E497" s="118"/>
      <c r="F497" s="118"/>
      <c r="G497" s="118"/>
      <c r="H497" s="118"/>
      <c r="I497" s="118"/>
      <c r="J497" s="118"/>
      <c r="K497" s="118"/>
      <c r="L497" s="118"/>
      <c r="M497" s="118"/>
      <c r="N497" s="118"/>
      <c r="O497" s="42"/>
      <c r="P497" s="42"/>
      <c r="Q497" s="42"/>
      <c r="R497" s="42"/>
      <c r="S497" s="125"/>
      <c r="T497" s="12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ht="15.75" customHeight="1" x14ac:dyDescent="0.2">
      <c r="A498" s="118"/>
      <c r="B498" s="118"/>
      <c r="C498" s="118"/>
      <c r="D498" s="118"/>
      <c r="E498" s="118"/>
      <c r="F498" s="118"/>
      <c r="G498" s="118"/>
      <c r="H498" s="118"/>
      <c r="I498" s="118"/>
      <c r="J498" s="118"/>
      <c r="K498" s="118"/>
      <c r="L498" s="118"/>
      <c r="M498" s="118"/>
      <c r="N498" s="118"/>
      <c r="O498" s="42"/>
      <c r="P498" s="42"/>
      <c r="Q498" s="42"/>
      <c r="R498" s="42"/>
      <c r="S498" s="125"/>
      <c r="T498" s="12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ht="15.75" customHeight="1" x14ac:dyDescent="0.2">
      <c r="A499" s="118"/>
      <c r="B499" s="118"/>
      <c r="C499" s="118"/>
      <c r="D499" s="118"/>
      <c r="E499" s="118"/>
      <c r="F499" s="118"/>
      <c r="G499" s="118"/>
      <c r="H499" s="118"/>
      <c r="I499" s="118"/>
      <c r="J499" s="118"/>
      <c r="K499" s="118"/>
      <c r="L499" s="118"/>
      <c r="M499" s="118"/>
      <c r="N499" s="118"/>
      <c r="O499" s="42"/>
      <c r="P499" s="42"/>
      <c r="Q499" s="42"/>
      <c r="R499" s="42"/>
      <c r="S499" s="125"/>
      <c r="T499" s="12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ht="15.75" customHeight="1" x14ac:dyDescent="0.2">
      <c r="A500" s="118"/>
      <c r="B500" s="118"/>
      <c r="C500" s="118"/>
      <c r="D500" s="118"/>
      <c r="E500" s="118"/>
      <c r="F500" s="118"/>
      <c r="G500" s="118"/>
      <c r="H500" s="118"/>
      <c r="I500" s="118"/>
      <c r="J500" s="118"/>
      <c r="K500" s="118"/>
      <c r="L500" s="118"/>
      <c r="M500" s="118"/>
      <c r="N500" s="118"/>
      <c r="O500" s="42"/>
      <c r="P500" s="42"/>
      <c r="Q500" s="42"/>
      <c r="R500" s="42"/>
      <c r="S500" s="125"/>
      <c r="T500" s="12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ht="15.75" customHeight="1" x14ac:dyDescent="0.2">
      <c r="A501" s="118"/>
      <c r="B501" s="118"/>
      <c r="C501" s="118"/>
      <c r="D501" s="118"/>
      <c r="E501" s="118"/>
      <c r="F501" s="118"/>
      <c r="G501" s="118"/>
      <c r="H501" s="118"/>
      <c r="I501" s="118"/>
      <c r="J501" s="118"/>
      <c r="K501" s="118"/>
      <c r="L501" s="118"/>
      <c r="M501" s="118"/>
      <c r="N501" s="118"/>
      <c r="O501" s="42"/>
      <c r="P501" s="42"/>
      <c r="Q501" s="42"/>
      <c r="R501" s="42"/>
      <c r="S501" s="125"/>
      <c r="T501" s="12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ht="15.75" customHeight="1" x14ac:dyDescent="0.2">
      <c r="A502" s="118"/>
      <c r="B502" s="118"/>
      <c r="C502" s="118"/>
      <c r="D502" s="118"/>
      <c r="E502" s="118"/>
      <c r="F502" s="118"/>
      <c r="G502" s="118"/>
      <c r="H502" s="118"/>
      <c r="I502" s="118"/>
      <c r="J502" s="118"/>
      <c r="K502" s="118"/>
      <c r="L502" s="118"/>
      <c r="M502" s="118"/>
      <c r="N502" s="118"/>
      <c r="O502" s="42"/>
      <c r="P502" s="42"/>
      <c r="Q502" s="42"/>
      <c r="R502" s="42"/>
      <c r="S502" s="125"/>
      <c r="T502" s="12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ht="15.75" customHeight="1" x14ac:dyDescent="0.2">
      <c r="A503" s="118"/>
      <c r="B503" s="118"/>
      <c r="C503" s="118"/>
      <c r="D503" s="118"/>
      <c r="E503" s="118"/>
      <c r="F503" s="118"/>
      <c r="G503" s="118"/>
      <c r="H503" s="118"/>
      <c r="I503" s="118"/>
      <c r="J503" s="118"/>
      <c r="K503" s="118"/>
      <c r="L503" s="118"/>
      <c r="M503" s="118"/>
      <c r="N503" s="118"/>
      <c r="O503" s="42"/>
      <c r="P503" s="42"/>
      <c r="Q503" s="42"/>
      <c r="R503" s="42"/>
      <c r="S503" s="125"/>
      <c r="T503" s="12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ht="15.75" customHeight="1" x14ac:dyDescent="0.2">
      <c r="A504" s="118"/>
      <c r="B504" s="118"/>
      <c r="C504" s="118"/>
      <c r="D504" s="118"/>
      <c r="E504" s="118"/>
      <c r="F504" s="118"/>
      <c r="G504" s="118"/>
      <c r="H504" s="118"/>
      <c r="I504" s="118"/>
      <c r="J504" s="118"/>
      <c r="K504" s="118"/>
      <c r="L504" s="118"/>
      <c r="M504" s="118"/>
      <c r="N504" s="118"/>
      <c r="O504" s="42"/>
      <c r="P504" s="42"/>
      <c r="Q504" s="42"/>
      <c r="R504" s="42"/>
      <c r="S504" s="125"/>
      <c r="T504" s="12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ht="15.75" customHeight="1" x14ac:dyDescent="0.2">
      <c r="A505" s="118"/>
      <c r="B505" s="118"/>
      <c r="C505" s="118"/>
      <c r="D505" s="118"/>
      <c r="E505" s="118"/>
      <c r="F505" s="118"/>
      <c r="G505" s="118"/>
      <c r="H505" s="118"/>
      <c r="I505" s="118"/>
      <c r="J505" s="118"/>
      <c r="K505" s="118"/>
      <c r="L505" s="118"/>
      <c r="M505" s="118"/>
      <c r="N505" s="118"/>
      <c r="O505" s="42"/>
      <c r="P505" s="42"/>
      <c r="Q505" s="42"/>
      <c r="R505" s="42"/>
      <c r="S505" s="125"/>
      <c r="T505" s="12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ht="15.75" customHeight="1" x14ac:dyDescent="0.2">
      <c r="A506" s="118"/>
      <c r="B506" s="118"/>
      <c r="C506" s="118"/>
      <c r="D506" s="118"/>
      <c r="E506" s="118"/>
      <c r="F506" s="118"/>
      <c r="G506" s="118"/>
      <c r="H506" s="118"/>
      <c r="I506" s="118"/>
      <c r="J506" s="118"/>
      <c r="K506" s="118"/>
      <c r="L506" s="118"/>
      <c r="M506" s="118"/>
      <c r="N506" s="118"/>
      <c r="O506" s="42"/>
      <c r="P506" s="42"/>
      <c r="Q506" s="42"/>
      <c r="R506" s="42"/>
      <c r="S506" s="125"/>
      <c r="T506" s="12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ht="15.75" customHeight="1" x14ac:dyDescent="0.2">
      <c r="A507" s="118"/>
      <c r="B507" s="118"/>
      <c r="C507" s="118"/>
      <c r="D507" s="118"/>
      <c r="E507" s="118"/>
      <c r="F507" s="118"/>
      <c r="G507" s="118"/>
      <c r="H507" s="118"/>
      <c r="I507" s="118"/>
      <c r="J507" s="118"/>
      <c r="K507" s="118"/>
      <c r="L507" s="118"/>
      <c r="M507" s="118"/>
      <c r="N507" s="118"/>
      <c r="O507" s="42"/>
      <c r="P507" s="42"/>
      <c r="Q507" s="42"/>
      <c r="R507" s="42"/>
      <c r="S507" s="125"/>
      <c r="T507" s="12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ht="15.75" customHeight="1" x14ac:dyDescent="0.2">
      <c r="A508" s="118"/>
      <c r="B508" s="118"/>
      <c r="C508" s="118"/>
      <c r="D508" s="118"/>
      <c r="E508" s="118"/>
      <c r="F508" s="118"/>
      <c r="G508" s="118"/>
      <c r="H508" s="118"/>
      <c r="I508" s="118"/>
      <c r="J508" s="118"/>
      <c r="K508" s="118"/>
      <c r="L508" s="118"/>
      <c r="M508" s="118"/>
      <c r="N508" s="118"/>
      <c r="O508" s="42"/>
      <c r="P508" s="42"/>
      <c r="Q508" s="42"/>
      <c r="R508" s="42"/>
      <c r="S508" s="125"/>
      <c r="T508" s="12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ht="15.75" customHeight="1" x14ac:dyDescent="0.2">
      <c r="A509" s="118"/>
      <c r="B509" s="118"/>
      <c r="C509" s="118"/>
      <c r="D509" s="118"/>
      <c r="E509" s="118"/>
      <c r="F509" s="118"/>
      <c r="G509" s="118"/>
      <c r="H509" s="118"/>
      <c r="I509" s="118"/>
      <c r="J509" s="118"/>
      <c r="K509" s="118"/>
      <c r="L509" s="118"/>
      <c r="M509" s="118"/>
      <c r="N509" s="118"/>
      <c r="O509" s="42"/>
      <c r="P509" s="42"/>
      <c r="Q509" s="42"/>
      <c r="R509" s="42"/>
      <c r="S509" s="125"/>
      <c r="T509" s="12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ht="15.75" customHeight="1" x14ac:dyDescent="0.2">
      <c r="A510" s="118"/>
      <c r="B510" s="118"/>
      <c r="C510" s="118"/>
      <c r="D510" s="118"/>
      <c r="E510" s="118"/>
      <c r="F510" s="118"/>
      <c r="G510" s="118"/>
      <c r="H510" s="118"/>
      <c r="I510" s="118"/>
      <c r="J510" s="118"/>
      <c r="K510" s="118"/>
      <c r="L510" s="118"/>
      <c r="M510" s="118"/>
      <c r="N510" s="118"/>
      <c r="O510" s="42"/>
      <c r="P510" s="42"/>
      <c r="Q510" s="42"/>
      <c r="R510" s="42"/>
      <c r="S510" s="125"/>
      <c r="T510" s="12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ht="15.75" customHeight="1" x14ac:dyDescent="0.2">
      <c r="A511" s="118"/>
      <c r="B511" s="118"/>
      <c r="C511" s="118"/>
      <c r="D511" s="118"/>
      <c r="E511" s="118"/>
      <c r="F511" s="118"/>
      <c r="G511" s="118"/>
      <c r="H511" s="118"/>
      <c r="I511" s="118"/>
      <c r="J511" s="118"/>
      <c r="K511" s="118"/>
      <c r="L511" s="118"/>
      <c r="M511" s="118"/>
      <c r="N511" s="118"/>
      <c r="O511" s="42"/>
      <c r="P511" s="42"/>
      <c r="Q511" s="42"/>
      <c r="R511" s="42"/>
      <c r="S511" s="125"/>
      <c r="T511" s="12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ht="15.75" customHeight="1" x14ac:dyDescent="0.2">
      <c r="A512" s="118"/>
      <c r="B512" s="118"/>
      <c r="C512" s="118"/>
      <c r="D512" s="118"/>
      <c r="E512" s="118"/>
      <c r="F512" s="118"/>
      <c r="G512" s="118"/>
      <c r="H512" s="118"/>
      <c r="I512" s="118"/>
      <c r="J512" s="118"/>
      <c r="K512" s="118"/>
      <c r="L512" s="118"/>
      <c r="M512" s="118"/>
      <c r="N512" s="118"/>
      <c r="O512" s="42"/>
      <c r="P512" s="42"/>
      <c r="Q512" s="42"/>
      <c r="R512" s="42"/>
      <c r="S512" s="125"/>
      <c r="T512" s="12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ht="15.75" customHeight="1" x14ac:dyDescent="0.2">
      <c r="A513" s="118"/>
      <c r="B513" s="118"/>
      <c r="C513" s="118"/>
      <c r="D513" s="118"/>
      <c r="E513" s="118"/>
      <c r="F513" s="118"/>
      <c r="G513" s="118"/>
      <c r="H513" s="118"/>
      <c r="I513" s="118"/>
      <c r="J513" s="118"/>
      <c r="K513" s="118"/>
      <c r="L513" s="118"/>
      <c r="M513" s="118"/>
      <c r="N513" s="118"/>
      <c r="O513" s="42"/>
      <c r="P513" s="42"/>
      <c r="Q513" s="42"/>
      <c r="R513" s="42"/>
      <c r="S513" s="125"/>
      <c r="T513" s="12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ht="15.75" customHeight="1" x14ac:dyDescent="0.2">
      <c r="A514" s="118"/>
      <c r="B514" s="118"/>
      <c r="C514" s="118"/>
      <c r="D514" s="118"/>
      <c r="E514" s="118"/>
      <c r="F514" s="118"/>
      <c r="G514" s="118"/>
      <c r="H514" s="118"/>
      <c r="I514" s="118"/>
      <c r="J514" s="118"/>
      <c r="K514" s="118"/>
      <c r="L514" s="118"/>
      <c r="M514" s="118"/>
      <c r="N514" s="118"/>
      <c r="O514" s="42"/>
      <c r="P514" s="42"/>
      <c r="Q514" s="42"/>
      <c r="R514" s="42"/>
      <c r="S514" s="125"/>
      <c r="T514" s="12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ht="15.75" customHeight="1" x14ac:dyDescent="0.2">
      <c r="A515" s="118"/>
      <c r="B515" s="118"/>
      <c r="C515" s="118"/>
      <c r="D515" s="118"/>
      <c r="E515" s="118"/>
      <c r="F515" s="118"/>
      <c r="G515" s="118"/>
      <c r="H515" s="118"/>
      <c r="I515" s="118"/>
      <c r="J515" s="118"/>
      <c r="K515" s="118"/>
      <c r="L515" s="118"/>
      <c r="M515" s="118"/>
      <c r="N515" s="118"/>
      <c r="O515" s="42"/>
      <c r="P515" s="42"/>
      <c r="Q515" s="42"/>
      <c r="R515" s="42"/>
      <c r="S515" s="125"/>
      <c r="T515" s="12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ht="15.75" customHeight="1" x14ac:dyDescent="0.2">
      <c r="A516" s="118"/>
      <c r="B516" s="118"/>
      <c r="C516" s="118"/>
      <c r="D516" s="118"/>
      <c r="E516" s="118"/>
      <c r="F516" s="118"/>
      <c r="G516" s="118"/>
      <c r="H516" s="118"/>
      <c r="I516" s="118"/>
      <c r="J516" s="118"/>
      <c r="K516" s="118"/>
      <c r="L516" s="118"/>
      <c r="M516" s="118"/>
      <c r="N516" s="118"/>
      <c r="O516" s="42"/>
      <c r="P516" s="42"/>
      <c r="Q516" s="42"/>
      <c r="R516" s="42"/>
      <c r="S516" s="125"/>
      <c r="T516" s="12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ht="15.75" customHeight="1" x14ac:dyDescent="0.2">
      <c r="A517" s="118"/>
      <c r="B517" s="118"/>
      <c r="C517" s="118"/>
      <c r="D517" s="118"/>
      <c r="E517" s="118"/>
      <c r="F517" s="118"/>
      <c r="G517" s="118"/>
      <c r="H517" s="118"/>
      <c r="I517" s="118"/>
      <c r="J517" s="118"/>
      <c r="K517" s="118"/>
      <c r="L517" s="118"/>
      <c r="M517" s="118"/>
      <c r="N517" s="118"/>
      <c r="O517" s="42"/>
      <c r="P517" s="42"/>
      <c r="Q517" s="42"/>
      <c r="R517" s="42"/>
      <c r="S517" s="125"/>
      <c r="T517" s="12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ht="15.75" customHeight="1" x14ac:dyDescent="0.2">
      <c r="A518" s="118"/>
      <c r="B518" s="118"/>
      <c r="C518" s="118"/>
      <c r="D518" s="118"/>
      <c r="E518" s="118"/>
      <c r="F518" s="118"/>
      <c r="G518" s="118"/>
      <c r="H518" s="118"/>
      <c r="I518" s="118"/>
      <c r="J518" s="118"/>
      <c r="K518" s="118"/>
      <c r="L518" s="118"/>
      <c r="M518" s="118"/>
      <c r="N518" s="118"/>
      <c r="O518" s="42"/>
      <c r="P518" s="42"/>
      <c r="Q518" s="42"/>
      <c r="R518" s="42"/>
      <c r="S518" s="125"/>
      <c r="T518" s="12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ht="15.75" customHeight="1" x14ac:dyDescent="0.2">
      <c r="A519" s="118"/>
      <c r="B519" s="118"/>
      <c r="C519" s="118"/>
      <c r="D519" s="118"/>
      <c r="E519" s="118"/>
      <c r="F519" s="118"/>
      <c r="G519" s="118"/>
      <c r="H519" s="118"/>
      <c r="I519" s="118"/>
      <c r="J519" s="118"/>
      <c r="K519" s="118"/>
      <c r="L519" s="118"/>
      <c r="M519" s="118"/>
      <c r="N519" s="118"/>
      <c r="O519" s="42"/>
      <c r="P519" s="42"/>
      <c r="Q519" s="42"/>
      <c r="R519" s="42"/>
      <c r="S519" s="125"/>
      <c r="T519" s="12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ht="15.75" customHeight="1" x14ac:dyDescent="0.2">
      <c r="A520" s="118"/>
      <c r="B520" s="118"/>
      <c r="C520" s="118"/>
      <c r="D520" s="118"/>
      <c r="E520" s="118"/>
      <c r="F520" s="118"/>
      <c r="G520" s="118"/>
      <c r="H520" s="118"/>
      <c r="I520" s="118"/>
      <c r="J520" s="118"/>
      <c r="K520" s="118"/>
      <c r="L520" s="118"/>
      <c r="M520" s="118"/>
      <c r="N520" s="118"/>
      <c r="O520" s="42"/>
      <c r="P520" s="42"/>
      <c r="Q520" s="42"/>
      <c r="R520" s="42"/>
      <c r="S520" s="125"/>
      <c r="T520" s="12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ht="15.75" customHeight="1" x14ac:dyDescent="0.2">
      <c r="A521" s="118"/>
      <c r="B521" s="118"/>
      <c r="C521" s="118"/>
      <c r="D521" s="118"/>
      <c r="E521" s="118"/>
      <c r="F521" s="118"/>
      <c r="G521" s="118"/>
      <c r="H521" s="118"/>
      <c r="I521" s="118"/>
      <c r="J521" s="118"/>
      <c r="K521" s="118"/>
      <c r="L521" s="118"/>
      <c r="M521" s="118"/>
      <c r="N521" s="118"/>
      <c r="O521" s="42"/>
      <c r="P521" s="42"/>
      <c r="Q521" s="42"/>
      <c r="R521" s="42"/>
      <c r="S521" s="125"/>
      <c r="T521" s="12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ht="15.75" customHeight="1" x14ac:dyDescent="0.2">
      <c r="A522" s="118"/>
      <c r="B522" s="118"/>
      <c r="C522" s="118"/>
      <c r="D522" s="118"/>
      <c r="E522" s="118"/>
      <c r="F522" s="118"/>
      <c r="G522" s="118"/>
      <c r="H522" s="118"/>
      <c r="I522" s="118"/>
      <c r="J522" s="118"/>
      <c r="K522" s="118"/>
      <c r="L522" s="118"/>
      <c r="M522" s="118"/>
      <c r="N522" s="118"/>
      <c r="O522" s="42"/>
      <c r="P522" s="42"/>
      <c r="Q522" s="42"/>
      <c r="R522" s="42"/>
      <c r="S522" s="125"/>
      <c r="T522" s="12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ht="15.75" customHeight="1" x14ac:dyDescent="0.2">
      <c r="A523" s="118"/>
      <c r="B523" s="118"/>
      <c r="C523" s="118"/>
      <c r="D523" s="118"/>
      <c r="E523" s="118"/>
      <c r="F523" s="118"/>
      <c r="G523" s="118"/>
      <c r="H523" s="118"/>
      <c r="I523" s="118"/>
      <c r="J523" s="118"/>
      <c r="K523" s="118"/>
      <c r="L523" s="118"/>
      <c r="M523" s="118"/>
      <c r="N523" s="118"/>
      <c r="O523" s="42"/>
      <c r="P523" s="42"/>
      <c r="Q523" s="42"/>
      <c r="R523" s="42"/>
      <c r="S523" s="125"/>
      <c r="T523" s="12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ht="15.75" customHeight="1" x14ac:dyDescent="0.2">
      <c r="A524" s="118"/>
      <c r="B524" s="118"/>
      <c r="C524" s="118"/>
      <c r="D524" s="118"/>
      <c r="E524" s="118"/>
      <c r="F524" s="118"/>
      <c r="G524" s="118"/>
      <c r="H524" s="118"/>
      <c r="I524" s="118"/>
      <c r="J524" s="118"/>
      <c r="K524" s="118"/>
      <c r="L524" s="118"/>
      <c r="M524" s="118"/>
      <c r="N524" s="118"/>
      <c r="O524" s="42"/>
      <c r="P524" s="42"/>
      <c r="Q524" s="42"/>
      <c r="R524" s="42"/>
      <c r="S524" s="125"/>
      <c r="T524" s="12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ht="15.75" customHeight="1" x14ac:dyDescent="0.2">
      <c r="A525" s="118"/>
      <c r="B525" s="118"/>
      <c r="C525" s="118"/>
      <c r="D525" s="118"/>
      <c r="E525" s="118"/>
      <c r="F525" s="118"/>
      <c r="G525" s="118"/>
      <c r="H525" s="118"/>
      <c r="I525" s="118"/>
      <c r="J525" s="118"/>
      <c r="K525" s="118"/>
      <c r="L525" s="118"/>
      <c r="M525" s="118"/>
      <c r="N525" s="118"/>
      <c r="O525" s="42"/>
      <c r="P525" s="42"/>
      <c r="Q525" s="42"/>
      <c r="R525" s="42"/>
      <c r="S525" s="125"/>
      <c r="T525" s="12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ht="15.75" customHeight="1" x14ac:dyDescent="0.2">
      <c r="A526" s="118"/>
      <c r="B526" s="118"/>
      <c r="C526" s="118"/>
      <c r="D526" s="118"/>
      <c r="E526" s="118"/>
      <c r="F526" s="118"/>
      <c r="G526" s="118"/>
      <c r="H526" s="118"/>
      <c r="I526" s="118"/>
      <c r="J526" s="118"/>
      <c r="K526" s="118"/>
      <c r="L526" s="118"/>
      <c r="M526" s="118"/>
      <c r="N526" s="118"/>
      <c r="O526" s="42"/>
      <c r="P526" s="42"/>
      <c r="Q526" s="42"/>
      <c r="R526" s="42"/>
      <c r="S526" s="125"/>
      <c r="T526" s="12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ht="15.75" customHeight="1" x14ac:dyDescent="0.2">
      <c r="A527" s="118"/>
      <c r="B527" s="118"/>
      <c r="C527" s="118"/>
      <c r="D527" s="118"/>
      <c r="E527" s="118"/>
      <c r="F527" s="118"/>
      <c r="G527" s="118"/>
      <c r="H527" s="118"/>
      <c r="I527" s="118"/>
      <c r="J527" s="118"/>
      <c r="K527" s="118"/>
      <c r="L527" s="118"/>
      <c r="M527" s="118"/>
      <c r="N527" s="118"/>
      <c r="O527" s="42"/>
      <c r="P527" s="42"/>
      <c r="Q527" s="42"/>
      <c r="R527" s="42"/>
      <c r="S527" s="125"/>
      <c r="T527" s="12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ht="15.75" customHeight="1" x14ac:dyDescent="0.2">
      <c r="A528" s="118"/>
      <c r="B528" s="118"/>
      <c r="C528" s="118"/>
      <c r="D528" s="118"/>
      <c r="E528" s="118"/>
      <c r="F528" s="118"/>
      <c r="G528" s="118"/>
      <c r="H528" s="118"/>
      <c r="I528" s="118"/>
      <c r="J528" s="118"/>
      <c r="K528" s="118"/>
      <c r="L528" s="118"/>
      <c r="M528" s="118"/>
      <c r="N528" s="118"/>
      <c r="O528" s="42"/>
      <c r="P528" s="42"/>
      <c r="Q528" s="42"/>
      <c r="R528" s="42"/>
      <c r="S528" s="125"/>
      <c r="T528" s="12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ht="15.75" customHeight="1" x14ac:dyDescent="0.2">
      <c r="A529" s="118"/>
      <c r="B529" s="118"/>
      <c r="C529" s="118"/>
      <c r="D529" s="118"/>
      <c r="E529" s="118"/>
      <c r="F529" s="118"/>
      <c r="G529" s="118"/>
      <c r="H529" s="118"/>
      <c r="I529" s="118"/>
      <c r="J529" s="118"/>
      <c r="K529" s="118"/>
      <c r="L529" s="118"/>
      <c r="M529" s="118"/>
      <c r="N529" s="118"/>
      <c r="O529" s="42"/>
      <c r="P529" s="42"/>
      <c r="Q529" s="42"/>
      <c r="R529" s="42"/>
      <c r="S529" s="125"/>
      <c r="T529" s="12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ht="15.75" customHeight="1" x14ac:dyDescent="0.2">
      <c r="A530" s="118"/>
      <c r="B530" s="118"/>
      <c r="C530" s="118"/>
      <c r="D530" s="118"/>
      <c r="E530" s="118"/>
      <c r="F530" s="118"/>
      <c r="G530" s="118"/>
      <c r="H530" s="118"/>
      <c r="I530" s="118"/>
      <c r="J530" s="118"/>
      <c r="K530" s="118"/>
      <c r="L530" s="118"/>
      <c r="M530" s="118"/>
      <c r="N530" s="118"/>
      <c r="O530" s="42"/>
      <c r="P530" s="42"/>
      <c r="Q530" s="42"/>
      <c r="R530" s="42"/>
      <c r="S530" s="125"/>
      <c r="T530" s="12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ht="15.75" customHeight="1" x14ac:dyDescent="0.2">
      <c r="A531" s="118"/>
      <c r="B531" s="118"/>
      <c r="C531" s="118"/>
      <c r="D531" s="118"/>
      <c r="E531" s="118"/>
      <c r="F531" s="118"/>
      <c r="G531" s="118"/>
      <c r="H531" s="118"/>
      <c r="I531" s="118"/>
      <c r="J531" s="118"/>
      <c r="K531" s="118"/>
      <c r="L531" s="118"/>
      <c r="M531" s="118"/>
      <c r="N531" s="118"/>
      <c r="O531" s="42"/>
      <c r="P531" s="42"/>
      <c r="Q531" s="42"/>
      <c r="R531" s="42"/>
      <c r="S531" s="125"/>
      <c r="T531" s="12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ht="15.75" customHeight="1" x14ac:dyDescent="0.2">
      <c r="A532" s="118"/>
      <c r="B532" s="118"/>
      <c r="C532" s="118"/>
      <c r="D532" s="118"/>
      <c r="E532" s="118"/>
      <c r="F532" s="118"/>
      <c r="G532" s="118"/>
      <c r="H532" s="118"/>
      <c r="I532" s="118"/>
      <c r="J532" s="118"/>
      <c r="K532" s="118"/>
      <c r="L532" s="118"/>
      <c r="M532" s="118"/>
      <c r="N532" s="118"/>
      <c r="O532" s="42"/>
      <c r="P532" s="42"/>
      <c r="Q532" s="42"/>
      <c r="R532" s="42"/>
      <c r="S532" s="125"/>
      <c r="T532" s="12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ht="15.75" customHeight="1" x14ac:dyDescent="0.2">
      <c r="A533" s="118"/>
      <c r="B533" s="118"/>
      <c r="C533" s="118"/>
      <c r="D533" s="118"/>
      <c r="E533" s="118"/>
      <c r="F533" s="118"/>
      <c r="G533" s="118"/>
      <c r="H533" s="118"/>
      <c r="I533" s="118"/>
      <c r="J533" s="118"/>
      <c r="K533" s="118"/>
      <c r="L533" s="118"/>
      <c r="M533" s="118"/>
      <c r="N533" s="118"/>
      <c r="O533" s="42"/>
      <c r="P533" s="42"/>
      <c r="Q533" s="42"/>
      <c r="R533" s="42"/>
      <c r="S533" s="125"/>
      <c r="T533" s="12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ht="15.75" customHeight="1" x14ac:dyDescent="0.2">
      <c r="A534" s="118"/>
      <c r="B534" s="118"/>
      <c r="C534" s="118"/>
      <c r="D534" s="118"/>
      <c r="E534" s="118"/>
      <c r="F534" s="118"/>
      <c r="G534" s="118"/>
      <c r="H534" s="118"/>
      <c r="I534" s="118"/>
      <c r="J534" s="118"/>
      <c r="K534" s="118"/>
      <c r="L534" s="118"/>
      <c r="M534" s="118"/>
      <c r="N534" s="118"/>
      <c r="O534" s="42"/>
      <c r="P534" s="42"/>
      <c r="Q534" s="42"/>
      <c r="R534" s="42"/>
      <c r="S534" s="125"/>
      <c r="T534" s="12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ht="15.75" customHeight="1" x14ac:dyDescent="0.2">
      <c r="A535" s="118"/>
      <c r="B535" s="118"/>
      <c r="C535" s="118"/>
      <c r="D535" s="118"/>
      <c r="E535" s="118"/>
      <c r="F535" s="118"/>
      <c r="G535" s="118"/>
      <c r="H535" s="118"/>
      <c r="I535" s="118"/>
      <c r="J535" s="118"/>
      <c r="K535" s="118"/>
      <c r="L535" s="118"/>
      <c r="M535" s="118"/>
      <c r="N535" s="118"/>
      <c r="O535" s="42"/>
      <c r="P535" s="42"/>
      <c r="Q535" s="42"/>
      <c r="R535" s="42"/>
      <c r="S535" s="125"/>
      <c r="T535" s="12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ht="15.75" customHeight="1" x14ac:dyDescent="0.2">
      <c r="A536" s="118"/>
      <c r="B536" s="118"/>
      <c r="C536" s="118"/>
      <c r="D536" s="118"/>
      <c r="E536" s="118"/>
      <c r="F536" s="118"/>
      <c r="G536" s="118"/>
      <c r="H536" s="118"/>
      <c r="I536" s="118"/>
      <c r="J536" s="118"/>
      <c r="K536" s="118"/>
      <c r="L536" s="118"/>
      <c r="M536" s="118"/>
      <c r="N536" s="118"/>
      <c r="O536" s="42"/>
      <c r="P536" s="42"/>
      <c r="Q536" s="42"/>
      <c r="R536" s="42"/>
      <c r="S536" s="125"/>
      <c r="T536" s="12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ht="15.75" customHeight="1" x14ac:dyDescent="0.2">
      <c r="A537" s="118"/>
      <c r="B537" s="118"/>
      <c r="C537" s="118"/>
      <c r="D537" s="118"/>
      <c r="E537" s="118"/>
      <c r="F537" s="118"/>
      <c r="G537" s="118"/>
      <c r="H537" s="118"/>
      <c r="I537" s="118"/>
      <c r="J537" s="118"/>
      <c r="K537" s="118"/>
      <c r="L537" s="118"/>
      <c r="M537" s="118"/>
      <c r="N537" s="118"/>
      <c r="O537" s="42"/>
      <c r="P537" s="42"/>
      <c r="Q537" s="42"/>
      <c r="R537" s="42"/>
      <c r="S537" s="125"/>
      <c r="T537" s="12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ht="15.75" customHeight="1" x14ac:dyDescent="0.2">
      <c r="A538" s="118"/>
      <c r="B538" s="118"/>
      <c r="C538" s="118"/>
      <c r="D538" s="118"/>
      <c r="E538" s="118"/>
      <c r="F538" s="118"/>
      <c r="G538" s="118"/>
      <c r="H538" s="118"/>
      <c r="I538" s="118"/>
      <c r="J538" s="118"/>
      <c r="K538" s="118"/>
      <c r="L538" s="118"/>
      <c r="M538" s="118"/>
      <c r="N538" s="118"/>
      <c r="O538" s="42"/>
      <c r="P538" s="42"/>
      <c r="Q538" s="42"/>
      <c r="R538" s="42"/>
      <c r="S538" s="125"/>
      <c r="T538" s="12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ht="15.75" customHeight="1" x14ac:dyDescent="0.2">
      <c r="A539" s="118"/>
      <c r="B539" s="118"/>
      <c r="C539" s="118"/>
      <c r="D539" s="118"/>
      <c r="E539" s="118"/>
      <c r="F539" s="118"/>
      <c r="G539" s="118"/>
      <c r="H539" s="118"/>
      <c r="I539" s="118"/>
      <c r="J539" s="118"/>
      <c r="K539" s="118"/>
      <c r="L539" s="118"/>
      <c r="M539" s="118"/>
      <c r="N539" s="118"/>
      <c r="O539" s="42"/>
      <c r="P539" s="42"/>
      <c r="Q539" s="42"/>
      <c r="R539" s="42"/>
      <c r="S539" s="125"/>
      <c r="T539" s="12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ht="15.75" customHeight="1" x14ac:dyDescent="0.2">
      <c r="A540" s="118"/>
      <c r="B540" s="118"/>
      <c r="C540" s="118"/>
      <c r="D540" s="118"/>
      <c r="E540" s="118"/>
      <c r="F540" s="118"/>
      <c r="G540" s="118"/>
      <c r="H540" s="118"/>
      <c r="I540" s="118"/>
      <c r="J540" s="118"/>
      <c r="K540" s="118"/>
      <c r="L540" s="118"/>
      <c r="M540" s="118"/>
      <c r="N540" s="118"/>
      <c r="O540" s="42"/>
      <c r="P540" s="42"/>
      <c r="Q540" s="42"/>
      <c r="R540" s="42"/>
      <c r="S540" s="125"/>
      <c r="T540" s="12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ht="15.75" customHeight="1" x14ac:dyDescent="0.2">
      <c r="A541" s="118"/>
      <c r="B541" s="118"/>
      <c r="C541" s="118"/>
      <c r="D541" s="118"/>
      <c r="E541" s="118"/>
      <c r="F541" s="118"/>
      <c r="G541" s="118"/>
      <c r="H541" s="118"/>
      <c r="I541" s="118"/>
      <c r="J541" s="118"/>
      <c r="K541" s="118"/>
      <c r="L541" s="118"/>
      <c r="M541" s="118"/>
      <c r="N541" s="118"/>
      <c r="O541" s="42"/>
      <c r="P541" s="42"/>
      <c r="Q541" s="42"/>
      <c r="R541" s="42"/>
      <c r="S541" s="125"/>
      <c r="T541" s="12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ht="15.75" customHeight="1" x14ac:dyDescent="0.2">
      <c r="A542" s="118"/>
      <c r="B542" s="118"/>
      <c r="C542" s="118"/>
      <c r="D542" s="118"/>
      <c r="E542" s="118"/>
      <c r="F542" s="118"/>
      <c r="G542" s="118"/>
      <c r="H542" s="118"/>
      <c r="I542" s="118"/>
      <c r="J542" s="118"/>
      <c r="K542" s="118"/>
      <c r="L542" s="118"/>
      <c r="M542" s="118"/>
      <c r="N542" s="118"/>
      <c r="O542" s="42"/>
      <c r="P542" s="42"/>
      <c r="Q542" s="42"/>
      <c r="R542" s="42"/>
      <c r="S542" s="125"/>
      <c r="T542" s="12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ht="15.75" customHeight="1" x14ac:dyDescent="0.2">
      <c r="A543" s="118"/>
      <c r="B543" s="118"/>
      <c r="C543" s="118"/>
      <c r="D543" s="118"/>
      <c r="E543" s="118"/>
      <c r="F543" s="118"/>
      <c r="G543" s="118"/>
      <c r="H543" s="118"/>
      <c r="I543" s="118"/>
      <c r="J543" s="118"/>
      <c r="K543" s="118"/>
      <c r="L543" s="118"/>
      <c r="M543" s="118"/>
      <c r="N543" s="118"/>
      <c r="O543" s="42"/>
      <c r="P543" s="42"/>
      <c r="Q543" s="42"/>
      <c r="R543" s="42"/>
      <c r="S543" s="125"/>
      <c r="T543" s="12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ht="15.75" customHeight="1" x14ac:dyDescent="0.2">
      <c r="A544" s="118"/>
      <c r="B544" s="118"/>
      <c r="C544" s="118"/>
      <c r="D544" s="118"/>
      <c r="E544" s="118"/>
      <c r="F544" s="118"/>
      <c r="G544" s="118"/>
      <c r="H544" s="118"/>
      <c r="I544" s="118"/>
      <c r="J544" s="118"/>
      <c r="K544" s="118"/>
      <c r="L544" s="118"/>
      <c r="M544" s="118"/>
      <c r="N544" s="118"/>
      <c r="O544" s="42"/>
      <c r="P544" s="42"/>
      <c r="Q544" s="42"/>
      <c r="R544" s="42"/>
      <c r="S544" s="125"/>
      <c r="T544" s="12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ht="15.75" customHeight="1" x14ac:dyDescent="0.2">
      <c r="A545" s="118"/>
      <c r="B545" s="118"/>
      <c r="C545" s="118"/>
      <c r="D545" s="118"/>
      <c r="E545" s="118"/>
      <c r="F545" s="118"/>
      <c r="G545" s="118"/>
      <c r="H545" s="118"/>
      <c r="I545" s="118"/>
      <c r="J545" s="118"/>
      <c r="K545" s="118"/>
      <c r="L545" s="118"/>
      <c r="M545" s="118"/>
      <c r="N545" s="118"/>
      <c r="O545" s="42"/>
      <c r="P545" s="42"/>
      <c r="Q545" s="42"/>
      <c r="R545" s="42"/>
      <c r="S545" s="125"/>
      <c r="T545" s="12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ht="15.75" customHeight="1" x14ac:dyDescent="0.2">
      <c r="A546" s="118"/>
      <c r="B546" s="118"/>
      <c r="C546" s="118"/>
      <c r="D546" s="118"/>
      <c r="E546" s="118"/>
      <c r="F546" s="118"/>
      <c r="G546" s="118"/>
      <c r="H546" s="118"/>
      <c r="I546" s="118"/>
      <c r="J546" s="118"/>
      <c r="K546" s="118"/>
      <c r="L546" s="118"/>
      <c r="M546" s="118"/>
      <c r="N546" s="118"/>
      <c r="O546" s="42"/>
      <c r="P546" s="42"/>
      <c r="Q546" s="42"/>
      <c r="R546" s="42"/>
      <c r="S546" s="125"/>
      <c r="T546" s="12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ht="15.75" customHeight="1" x14ac:dyDescent="0.2">
      <c r="A547" s="118"/>
      <c r="B547" s="118"/>
      <c r="C547" s="118"/>
      <c r="D547" s="118"/>
      <c r="E547" s="118"/>
      <c r="F547" s="118"/>
      <c r="G547" s="118"/>
      <c r="H547" s="118"/>
      <c r="I547" s="118"/>
      <c r="J547" s="118"/>
      <c r="K547" s="118"/>
      <c r="L547" s="118"/>
      <c r="M547" s="118"/>
      <c r="N547" s="118"/>
      <c r="O547" s="42"/>
      <c r="P547" s="42"/>
      <c r="Q547" s="42"/>
      <c r="R547" s="42"/>
      <c r="S547" s="125"/>
      <c r="T547" s="12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ht="15.75" customHeight="1" x14ac:dyDescent="0.2">
      <c r="A548" s="118"/>
      <c r="B548" s="118"/>
      <c r="C548" s="118"/>
      <c r="D548" s="118"/>
      <c r="E548" s="118"/>
      <c r="F548" s="118"/>
      <c r="G548" s="118"/>
      <c r="H548" s="118"/>
      <c r="I548" s="118"/>
      <c r="J548" s="118"/>
      <c r="K548" s="118"/>
      <c r="L548" s="118"/>
      <c r="M548" s="118"/>
      <c r="N548" s="118"/>
      <c r="O548" s="42"/>
      <c r="P548" s="42"/>
      <c r="Q548" s="42"/>
      <c r="R548" s="42"/>
      <c r="S548" s="125"/>
      <c r="T548" s="12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ht="15.75" customHeight="1" x14ac:dyDescent="0.2">
      <c r="A549" s="118"/>
      <c r="B549" s="118"/>
      <c r="C549" s="118"/>
      <c r="D549" s="118"/>
      <c r="E549" s="118"/>
      <c r="F549" s="118"/>
      <c r="G549" s="118"/>
      <c r="H549" s="118"/>
      <c r="I549" s="118"/>
      <c r="J549" s="118"/>
      <c r="K549" s="118"/>
      <c r="L549" s="118"/>
      <c r="M549" s="118"/>
      <c r="N549" s="118"/>
      <c r="O549" s="42"/>
      <c r="P549" s="42"/>
      <c r="Q549" s="42"/>
      <c r="R549" s="42"/>
      <c r="S549" s="125"/>
      <c r="T549" s="12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ht="15.75" customHeight="1" x14ac:dyDescent="0.2">
      <c r="A550" s="118"/>
      <c r="B550" s="118"/>
      <c r="C550" s="118"/>
      <c r="D550" s="118"/>
      <c r="E550" s="118"/>
      <c r="F550" s="118"/>
      <c r="G550" s="118"/>
      <c r="H550" s="118"/>
      <c r="I550" s="118"/>
      <c r="J550" s="118"/>
      <c r="K550" s="118"/>
      <c r="L550" s="118"/>
      <c r="M550" s="118"/>
      <c r="N550" s="118"/>
      <c r="O550" s="42"/>
      <c r="P550" s="42"/>
      <c r="Q550" s="42"/>
      <c r="R550" s="42"/>
      <c r="S550" s="125"/>
      <c r="T550" s="12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ht="15.75" customHeight="1" x14ac:dyDescent="0.2">
      <c r="A551" s="118"/>
      <c r="B551" s="118"/>
      <c r="C551" s="118"/>
      <c r="D551" s="118"/>
      <c r="E551" s="118"/>
      <c r="F551" s="118"/>
      <c r="G551" s="118"/>
      <c r="H551" s="118"/>
      <c r="I551" s="118"/>
      <c r="J551" s="118"/>
      <c r="K551" s="118"/>
      <c r="L551" s="118"/>
      <c r="M551" s="118"/>
      <c r="N551" s="118"/>
      <c r="O551" s="42"/>
      <c r="P551" s="42"/>
      <c r="Q551" s="42"/>
      <c r="R551" s="42"/>
      <c r="S551" s="125"/>
      <c r="T551" s="12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ht="15.75" customHeight="1" x14ac:dyDescent="0.2">
      <c r="A552" s="118"/>
      <c r="B552" s="118"/>
      <c r="C552" s="118"/>
      <c r="D552" s="118"/>
      <c r="E552" s="118"/>
      <c r="F552" s="118"/>
      <c r="G552" s="118"/>
      <c r="H552" s="118"/>
      <c r="I552" s="118"/>
      <c r="J552" s="118"/>
      <c r="K552" s="118"/>
      <c r="L552" s="118"/>
      <c r="M552" s="118"/>
      <c r="N552" s="118"/>
      <c r="O552" s="42"/>
      <c r="P552" s="42"/>
      <c r="Q552" s="42"/>
      <c r="R552" s="42"/>
      <c r="S552" s="125"/>
      <c r="T552" s="12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ht="15.75" customHeight="1" x14ac:dyDescent="0.2">
      <c r="A553" s="118"/>
      <c r="B553" s="118"/>
      <c r="C553" s="118"/>
      <c r="D553" s="118"/>
      <c r="E553" s="118"/>
      <c r="F553" s="118"/>
      <c r="G553" s="118"/>
      <c r="H553" s="118"/>
      <c r="I553" s="118"/>
      <c r="J553" s="118"/>
      <c r="K553" s="118"/>
      <c r="L553" s="118"/>
      <c r="M553" s="118"/>
      <c r="N553" s="118"/>
      <c r="O553" s="42"/>
      <c r="P553" s="42"/>
      <c r="Q553" s="42"/>
      <c r="R553" s="42"/>
      <c r="S553" s="125"/>
      <c r="T553" s="12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ht="15.75" customHeight="1" x14ac:dyDescent="0.2">
      <c r="A554" s="118"/>
      <c r="B554" s="118"/>
      <c r="C554" s="118"/>
      <c r="D554" s="118"/>
      <c r="E554" s="118"/>
      <c r="F554" s="118"/>
      <c r="G554" s="118"/>
      <c r="H554" s="118"/>
      <c r="I554" s="118"/>
      <c r="J554" s="118"/>
      <c r="K554" s="118"/>
      <c r="L554" s="118"/>
      <c r="M554" s="118"/>
      <c r="N554" s="118"/>
      <c r="O554" s="42"/>
      <c r="P554" s="42"/>
      <c r="Q554" s="42"/>
      <c r="R554" s="42"/>
      <c r="S554" s="125"/>
      <c r="T554" s="12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ht="15.75" customHeight="1" x14ac:dyDescent="0.2">
      <c r="A555" s="118"/>
      <c r="B555" s="118"/>
      <c r="C555" s="118"/>
      <c r="D555" s="118"/>
      <c r="E555" s="118"/>
      <c r="F555" s="118"/>
      <c r="G555" s="118"/>
      <c r="H555" s="118"/>
      <c r="I555" s="118"/>
      <c r="J555" s="118"/>
      <c r="K555" s="118"/>
      <c r="L555" s="118"/>
      <c r="M555" s="118"/>
      <c r="N555" s="118"/>
      <c r="O555" s="42"/>
      <c r="P555" s="42"/>
      <c r="Q555" s="42"/>
      <c r="R555" s="42"/>
      <c r="S555" s="125"/>
      <c r="T555" s="12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ht="15.75" customHeight="1" x14ac:dyDescent="0.2">
      <c r="A556" s="118"/>
      <c r="B556" s="118"/>
      <c r="C556" s="118"/>
      <c r="D556" s="118"/>
      <c r="E556" s="118"/>
      <c r="F556" s="118"/>
      <c r="G556" s="118"/>
      <c r="H556" s="118"/>
      <c r="I556" s="118"/>
      <c r="J556" s="118"/>
      <c r="K556" s="118"/>
      <c r="L556" s="118"/>
      <c r="M556" s="118"/>
      <c r="N556" s="118"/>
      <c r="O556" s="42"/>
      <c r="P556" s="42"/>
      <c r="Q556" s="42"/>
      <c r="R556" s="42"/>
      <c r="S556" s="125"/>
      <c r="T556" s="12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ht="15.75" customHeight="1" x14ac:dyDescent="0.2">
      <c r="A557" s="118"/>
      <c r="B557" s="118"/>
      <c r="C557" s="118"/>
      <c r="D557" s="118"/>
      <c r="E557" s="118"/>
      <c r="F557" s="118"/>
      <c r="G557" s="118"/>
      <c r="H557" s="118"/>
      <c r="I557" s="118"/>
      <c r="J557" s="118"/>
      <c r="K557" s="118"/>
      <c r="L557" s="118"/>
      <c r="M557" s="118"/>
      <c r="N557" s="118"/>
      <c r="O557" s="42"/>
      <c r="P557" s="42"/>
      <c r="Q557" s="42"/>
      <c r="R557" s="42"/>
      <c r="S557" s="125"/>
      <c r="T557" s="12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ht="15.75" customHeight="1" x14ac:dyDescent="0.2">
      <c r="A558" s="118"/>
      <c r="B558" s="118"/>
      <c r="C558" s="118"/>
      <c r="D558" s="118"/>
      <c r="E558" s="118"/>
      <c r="F558" s="118"/>
      <c r="G558" s="118"/>
      <c r="H558" s="118"/>
      <c r="I558" s="118"/>
      <c r="J558" s="118"/>
      <c r="K558" s="118"/>
      <c r="L558" s="118"/>
      <c r="M558" s="118"/>
      <c r="N558" s="118"/>
      <c r="O558" s="42"/>
      <c r="P558" s="42"/>
      <c r="Q558" s="42"/>
      <c r="R558" s="42"/>
      <c r="S558" s="125"/>
      <c r="T558" s="12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ht="15.75" customHeight="1" x14ac:dyDescent="0.2">
      <c r="A559" s="118"/>
      <c r="B559" s="118"/>
      <c r="C559" s="118"/>
      <c r="D559" s="118"/>
      <c r="E559" s="118"/>
      <c r="F559" s="118"/>
      <c r="G559" s="118"/>
      <c r="H559" s="118"/>
      <c r="I559" s="118"/>
      <c r="J559" s="118"/>
      <c r="K559" s="118"/>
      <c r="L559" s="118"/>
      <c r="M559" s="118"/>
      <c r="N559" s="118"/>
      <c r="O559" s="42"/>
      <c r="P559" s="42"/>
      <c r="Q559" s="42"/>
      <c r="R559" s="42"/>
      <c r="S559" s="125"/>
      <c r="T559" s="12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ht="15.75" customHeight="1" x14ac:dyDescent="0.2">
      <c r="A560" s="118"/>
      <c r="B560" s="118"/>
      <c r="C560" s="118"/>
      <c r="D560" s="118"/>
      <c r="E560" s="118"/>
      <c r="F560" s="118"/>
      <c r="G560" s="118"/>
      <c r="H560" s="118"/>
      <c r="I560" s="118"/>
      <c r="J560" s="118"/>
      <c r="K560" s="118"/>
      <c r="L560" s="118"/>
      <c r="M560" s="118"/>
      <c r="N560" s="118"/>
      <c r="O560" s="42"/>
      <c r="P560" s="42"/>
      <c r="Q560" s="42"/>
      <c r="R560" s="42"/>
      <c r="S560" s="125"/>
      <c r="T560" s="12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ht="15.75" customHeight="1" x14ac:dyDescent="0.2">
      <c r="A561" s="118"/>
      <c r="B561" s="118"/>
      <c r="C561" s="118"/>
      <c r="D561" s="118"/>
      <c r="E561" s="118"/>
      <c r="F561" s="118"/>
      <c r="G561" s="118"/>
      <c r="H561" s="118"/>
      <c r="I561" s="118"/>
      <c r="J561" s="118"/>
      <c r="K561" s="118"/>
      <c r="L561" s="118"/>
      <c r="M561" s="118"/>
      <c r="N561" s="118"/>
      <c r="O561" s="42"/>
      <c r="P561" s="42"/>
      <c r="Q561" s="42"/>
      <c r="R561" s="42"/>
      <c r="S561" s="125"/>
      <c r="T561" s="12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ht="15.75" customHeight="1" x14ac:dyDescent="0.2">
      <c r="A562" s="118"/>
      <c r="B562" s="118"/>
      <c r="C562" s="118"/>
      <c r="D562" s="118"/>
      <c r="E562" s="118"/>
      <c r="F562" s="118"/>
      <c r="G562" s="118"/>
      <c r="H562" s="118"/>
      <c r="I562" s="118"/>
      <c r="J562" s="118"/>
      <c r="K562" s="118"/>
      <c r="L562" s="118"/>
      <c r="M562" s="118"/>
      <c r="N562" s="118"/>
      <c r="O562" s="42"/>
      <c r="P562" s="42"/>
      <c r="Q562" s="42"/>
      <c r="R562" s="42"/>
      <c r="S562" s="125"/>
      <c r="T562" s="12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ht="15.75" customHeight="1" x14ac:dyDescent="0.2">
      <c r="A563" s="118"/>
      <c r="B563" s="118"/>
      <c r="C563" s="118"/>
      <c r="D563" s="118"/>
      <c r="E563" s="118"/>
      <c r="F563" s="118"/>
      <c r="G563" s="118"/>
      <c r="H563" s="118"/>
      <c r="I563" s="118"/>
      <c r="J563" s="118"/>
      <c r="K563" s="118"/>
      <c r="L563" s="118"/>
      <c r="M563" s="118"/>
      <c r="N563" s="118"/>
      <c r="O563" s="42"/>
      <c r="P563" s="42"/>
      <c r="Q563" s="42"/>
      <c r="R563" s="42"/>
      <c r="S563" s="125"/>
      <c r="T563" s="12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ht="15.75" customHeight="1" x14ac:dyDescent="0.2">
      <c r="A564" s="118"/>
      <c r="B564" s="118"/>
      <c r="C564" s="118"/>
      <c r="D564" s="118"/>
      <c r="E564" s="118"/>
      <c r="F564" s="118"/>
      <c r="G564" s="118"/>
      <c r="H564" s="118"/>
      <c r="I564" s="118"/>
      <c r="J564" s="118"/>
      <c r="K564" s="118"/>
      <c r="L564" s="118"/>
      <c r="M564" s="118"/>
      <c r="N564" s="118"/>
      <c r="O564" s="42"/>
      <c r="P564" s="42"/>
      <c r="Q564" s="42"/>
      <c r="R564" s="42"/>
      <c r="S564" s="125"/>
      <c r="T564" s="12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ht="15.75" customHeight="1" x14ac:dyDescent="0.2">
      <c r="A565" s="118"/>
      <c r="B565" s="118"/>
      <c r="C565" s="118"/>
      <c r="D565" s="118"/>
      <c r="E565" s="118"/>
      <c r="F565" s="118"/>
      <c r="G565" s="118"/>
      <c r="H565" s="118"/>
      <c r="I565" s="118"/>
      <c r="J565" s="118"/>
      <c r="K565" s="118"/>
      <c r="L565" s="118"/>
      <c r="M565" s="118"/>
      <c r="N565" s="118"/>
      <c r="O565" s="42"/>
      <c r="P565" s="42"/>
      <c r="Q565" s="42"/>
      <c r="R565" s="42"/>
      <c r="S565" s="125"/>
      <c r="T565" s="12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ht="15.75" customHeight="1" x14ac:dyDescent="0.2">
      <c r="A566" s="118"/>
      <c r="B566" s="118"/>
      <c r="C566" s="118"/>
      <c r="D566" s="118"/>
      <c r="E566" s="118"/>
      <c r="F566" s="118"/>
      <c r="G566" s="118"/>
      <c r="H566" s="118"/>
      <c r="I566" s="118"/>
      <c r="J566" s="118"/>
      <c r="K566" s="118"/>
      <c r="L566" s="118"/>
      <c r="M566" s="118"/>
      <c r="N566" s="118"/>
      <c r="O566" s="42"/>
      <c r="P566" s="42"/>
      <c r="Q566" s="42"/>
      <c r="R566" s="42"/>
      <c r="S566" s="125"/>
      <c r="T566" s="12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ht="15.75" customHeight="1" x14ac:dyDescent="0.2">
      <c r="A567" s="118"/>
      <c r="B567" s="118"/>
      <c r="C567" s="118"/>
      <c r="D567" s="118"/>
      <c r="E567" s="118"/>
      <c r="F567" s="118"/>
      <c r="G567" s="118"/>
      <c r="H567" s="118"/>
      <c r="I567" s="118"/>
      <c r="J567" s="118"/>
      <c r="K567" s="118"/>
      <c r="L567" s="118"/>
      <c r="M567" s="118"/>
      <c r="N567" s="118"/>
      <c r="O567" s="42"/>
      <c r="P567" s="42"/>
      <c r="Q567" s="42"/>
      <c r="R567" s="42"/>
      <c r="S567" s="125"/>
      <c r="T567" s="12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ht="15.75" customHeight="1" x14ac:dyDescent="0.2">
      <c r="A568" s="118"/>
      <c r="B568" s="118"/>
      <c r="C568" s="118"/>
      <c r="D568" s="118"/>
      <c r="E568" s="118"/>
      <c r="F568" s="118"/>
      <c r="G568" s="118"/>
      <c r="H568" s="118"/>
      <c r="I568" s="118"/>
      <c r="J568" s="118"/>
      <c r="K568" s="118"/>
      <c r="L568" s="118"/>
      <c r="M568" s="118"/>
      <c r="N568" s="118"/>
      <c r="O568" s="42"/>
      <c r="P568" s="42"/>
      <c r="Q568" s="42"/>
      <c r="R568" s="42"/>
      <c r="S568" s="125"/>
      <c r="T568" s="12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ht="15.75" customHeight="1" x14ac:dyDescent="0.2">
      <c r="A569" s="118"/>
      <c r="B569" s="118"/>
      <c r="C569" s="118"/>
      <c r="D569" s="118"/>
      <c r="E569" s="118"/>
      <c r="F569" s="118"/>
      <c r="G569" s="118"/>
      <c r="H569" s="118"/>
      <c r="I569" s="118"/>
      <c r="J569" s="118"/>
      <c r="K569" s="118"/>
      <c r="L569" s="118"/>
      <c r="M569" s="118"/>
      <c r="N569" s="118"/>
      <c r="O569" s="42"/>
      <c r="P569" s="42"/>
      <c r="Q569" s="42"/>
      <c r="R569" s="42"/>
      <c r="S569" s="125"/>
      <c r="T569" s="12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ht="15.75" customHeight="1" x14ac:dyDescent="0.2">
      <c r="A570" s="118"/>
      <c r="B570" s="118"/>
      <c r="C570" s="118"/>
      <c r="D570" s="118"/>
      <c r="E570" s="118"/>
      <c r="F570" s="118"/>
      <c r="G570" s="118"/>
      <c r="H570" s="118"/>
      <c r="I570" s="118"/>
      <c r="J570" s="118"/>
      <c r="K570" s="118"/>
      <c r="L570" s="118"/>
      <c r="M570" s="118"/>
      <c r="N570" s="118"/>
      <c r="O570" s="42"/>
      <c r="P570" s="42"/>
      <c r="Q570" s="42"/>
      <c r="R570" s="42"/>
      <c r="S570" s="125"/>
      <c r="T570" s="12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ht="15.75" customHeight="1" x14ac:dyDescent="0.2">
      <c r="A571" s="118"/>
      <c r="B571" s="118"/>
      <c r="C571" s="118"/>
      <c r="D571" s="118"/>
      <c r="E571" s="118"/>
      <c r="F571" s="118"/>
      <c r="G571" s="118"/>
      <c r="H571" s="118"/>
      <c r="I571" s="118"/>
      <c r="J571" s="118"/>
      <c r="K571" s="118"/>
      <c r="L571" s="118"/>
      <c r="M571" s="118"/>
      <c r="N571" s="118"/>
      <c r="O571" s="42"/>
      <c r="P571" s="42"/>
      <c r="Q571" s="42"/>
      <c r="R571" s="42"/>
      <c r="S571" s="125"/>
      <c r="T571" s="12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ht="15.75" customHeight="1" x14ac:dyDescent="0.2">
      <c r="A572" s="118"/>
      <c r="B572" s="118"/>
      <c r="C572" s="118"/>
      <c r="D572" s="118"/>
      <c r="E572" s="118"/>
      <c r="F572" s="118"/>
      <c r="G572" s="118"/>
      <c r="H572" s="118"/>
      <c r="I572" s="118"/>
      <c r="J572" s="118"/>
      <c r="K572" s="118"/>
      <c r="L572" s="118"/>
      <c r="M572" s="118"/>
      <c r="N572" s="118"/>
      <c r="O572" s="42"/>
      <c r="P572" s="42"/>
      <c r="Q572" s="42"/>
      <c r="R572" s="42"/>
      <c r="S572" s="125"/>
      <c r="T572" s="12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ht="15.75" customHeight="1" x14ac:dyDescent="0.2">
      <c r="A573" s="118"/>
      <c r="B573" s="118"/>
      <c r="C573" s="118"/>
      <c r="D573" s="118"/>
      <c r="E573" s="118"/>
      <c r="F573" s="118"/>
      <c r="G573" s="118"/>
      <c r="H573" s="118"/>
      <c r="I573" s="118"/>
      <c r="J573" s="118"/>
      <c r="K573" s="118"/>
      <c r="L573" s="118"/>
      <c r="M573" s="118"/>
      <c r="N573" s="118"/>
      <c r="O573" s="42"/>
      <c r="P573" s="42"/>
      <c r="Q573" s="42"/>
      <c r="R573" s="42"/>
      <c r="S573" s="125"/>
      <c r="T573" s="12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ht="15.75" customHeight="1" x14ac:dyDescent="0.2">
      <c r="A574" s="118"/>
      <c r="B574" s="118"/>
      <c r="C574" s="118"/>
      <c r="D574" s="118"/>
      <c r="E574" s="118"/>
      <c r="F574" s="118"/>
      <c r="G574" s="118"/>
      <c r="H574" s="118"/>
      <c r="I574" s="118"/>
      <c r="J574" s="118"/>
      <c r="K574" s="118"/>
      <c r="L574" s="118"/>
      <c r="M574" s="118"/>
      <c r="N574" s="118"/>
      <c r="O574" s="42"/>
      <c r="P574" s="42"/>
      <c r="Q574" s="42"/>
      <c r="R574" s="42"/>
      <c r="S574" s="125"/>
      <c r="T574" s="12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row r="575" spans="1:46" ht="15.75" customHeight="1" x14ac:dyDescent="0.2">
      <c r="A575" s="118"/>
      <c r="B575" s="118"/>
      <c r="C575" s="118"/>
      <c r="D575" s="118"/>
      <c r="E575" s="118"/>
      <c r="F575" s="118"/>
      <c r="G575" s="118"/>
      <c r="H575" s="118"/>
      <c r="I575" s="118"/>
      <c r="J575" s="118"/>
      <c r="K575" s="118"/>
      <c r="L575" s="118"/>
      <c r="M575" s="118"/>
      <c r="N575" s="118"/>
      <c r="O575" s="42"/>
      <c r="P575" s="42"/>
      <c r="Q575" s="42"/>
      <c r="R575" s="42"/>
      <c r="S575" s="125"/>
      <c r="T575" s="12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row>
    <row r="576" spans="1:46" ht="15.75" customHeight="1" x14ac:dyDescent="0.2">
      <c r="A576" s="118"/>
      <c r="B576" s="118"/>
      <c r="C576" s="118"/>
      <c r="D576" s="118"/>
      <c r="E576" s="118"/>
      <c r="F576" s="118"/>
      <c r="G576" s="118"/>
      <c r="H576" s="118"/>
      <c r="I576" s="118"/>
      <c r="J576" s="118"/>
      <c r="K576" s="118"/>
      <c r="L576" s="118"/>
      <c r="M576" s="118"/>
      <c r="N576" s="118"/>
      <c r="O576" s="42"/>
      <c r="P576" s="42"/>
      <c r="Q576" s="42"/>
      <c r="R576" s="42"/>
      <c r="S576" s="125"/>
      <c r="T576" s="12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row>
    <row r="577" spans="1:46" ht="15.75" customHeight="1" x14ac:dyDescent="0.2">
      <c r="A577" s="118"/>
      <c r="B577" s="118"/>
      <c r="C577" s="118"/>
      <c r="D577" s="118"/>
      <c r="E577" s="118"/>
      <c r="F577" s="118"/>
      <c r="G577" s="118"/>
      <c r="H577" s="118"/>
      <c r="I577" s="118"/>
      <c r="J577" s="118"/>
      <c r="K577" s="118"/>
      <c r="L577" s="118"/>
      <c r="M577" s="118"/>
      <c r="N577" s="118"/>
      <c r="O577" s="42"/>
      <c r="P577" s="42"/>
      <c r="Q577" s="42"/>
      <c r="R577" s="42"/>
      <c r="S577" s="125"/>
      <c r="T577" s="12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row>
    <row r="578" spans="1:46" ht="15.75" customHeight="1" x14ac:dyDescent="0.2">
      <c r="A578" s="118"/>
      <c r="B578" s="118"/>
      <c r="C578" s="118"/>
      <c r="D578" s="118"/>
      <c r="E578" s="118"/>
      <c r="F578" s="118"/>
      <c r="G578" s="118"/>
      <c r="H578" s="118"/>
      <c r="I578" s="118"/>
      <c r="J578" s="118"/>
      <c r="K578" s="118"/>
      <c r="L578" s="118"/>
      <c r="M578" s="118"/>
      <c r="N578" s="118"/>
      <c r="O578" s="42"/>
      <c r="P578" s="42"/>
      <c r="Q578" s="42"/>
      <c r="R578" s="42"/>
      <c r="S578" s="125"/>
      <c r="T578" s="12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row>
    <row r="579" spans="1:46" ht="15.75" customHeight="1" x14ac:dyDescent="0.2">
      <c r="A579" s="118"/>
      <c r="B579" s="118"/>
      <c r="C579" s="118"/>
      <c r="D579" s="118"/>
      <c r="E579" s="118"/>
      <c r="F579" s="118"/>
      <c r="G579" s="118"/>
      <c r="H579" s="118"/>
      <c r="I579" s="118"/>
      <c r="J579" s="118"/>
      <c r="K579" s="118"/>
      <c r="L579" s="118"/>
      <c r="M579" s="118"/>
      <c r="N579" s="118"/>
      <c r="O579" s="42"/>
      <c r="P579" s="42"/>
      <c r="Q579" s="42"/>
      <c r="R579" s="42"/>
      <c r="S579" s="125"/>
      <c r="T579" s="12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row>
    <row r="580" spans="1:46" ht="15.75" customHeight="1" x14ac:dyDescent="0.2">
      <c r="A580" s="118"/>
      <c r="B580" s="118"/>
      <c r="C580" s="118"/>
      <c r="D580" s="118"/>
      <c r="E580" s="118"/>
      <c r="F580" s="118"/>
      <c r="G580" s="118"/>
      <c r="H580" s="118"/>
      <c r="I580" s="118"/>
      <c r="J580" s="118"/>
      <c r="K580" s="118"/>
      <c r="L580" s="118"/>
      <c r="M580" s="118"/>
      <c r="N580" s="118"/>
      <c r="O580" s="42"/>
      <c r="P580" s="42"/>
      <c r="Q580" s="42"/>
      <c r="R580" s="42"/>
      <c r="S580" s="125"/>
      <c r="T580" s="12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row>
    <row r="581" spans="1:46" ht="15.75" customHeight="1" x14ac:dyDescent="0.2">
      <c r="A581" s="118"/>
      <c r="B581" s="118"/>
      <c r="C581" s="118"/>
      <c r="D581" s="118"/>
      <c r="E581" s="118"/>
      <c r="F581" s="118"/>
      <c r="G581" s="118"/>
      <c r="H581" s="118"/>
      <c r="I581" s="118"/>
      <c r="J581" s="118"/>
      <c r="K581" s="118"/>
      <c r="L581" s="118"/>
      <c r="M581" s="118"/>
      <c r="N581" s="118"/>
      <c r="O581" s="42"/>
      <c r="P581" s="42"/>
      <c r="Q581" s="42"/>
      <c r="R581" s="42"/>
      <c r="S581" s="125"/>
      <c r="T581" s="12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row>
    <row r="582" spans="1:46" ht="15.75" customHeight="1" x14ac:dyDescent="0.2">
      <c r="A582" s="118"/>
      <c r="B582" s="118"/>
      <c r="C582" s="118"/>
      <c r="D582" s="118"/>
      <c r="E582" s="118"/>
      <c r="F582" s="118"/>
      <c r="G582" s="118"/>
      <c r="H582" s="118"/>
      <c r="I582" s="118"/>
      <c r="J582" s="118"/>
      <c r="K582" s="118"/>
      <c r="L582" s="118"/>
      <c r="M582" s="118"/>
      <c r="N582" s="118"/>
      <c r="O582" s="42"/>
      <c r="P582" s="42"/>
      <c r="Q582" s="42"/>
      <c r="R582" s="42"/>
      <c r="S582" s="125"/>
      <c r="T582" s="12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row>
    <row r="583" spans="1:46" ht="15.75" customHeight="1" x14ac:dyDescent="0.2">
      <c r="A583" s="118"/>
      <c r="B583" s="118"/>
      <c r="C583" s="118"/>
      <c r="D583" s="118"/>
      <c r="E583" s="118"/>
      <c r="F583" s="118"/>
      <c r="G583" s="118"/>
      <c r="H583" s="118"/>
      <c r="I583" s="118"/>
      <c r="J583" s="118"/>
      <c r="K583" s="118"/>
      <c r="L583" s="118"/>
      <c r="M583" s="118"/>
      <c r="N583" s="118"/>
      <c r="O583" s="42"/>
      <c r="P583" s="42"/>
      <c r="Q583" s="42"/>
      <c r="R583" s="42"/>
      <c r="S583" s="125"/>
      <c r="T583" s="12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row>
    <row r="584" spans="1:46" ht="15.75" customHeight="1" x14ac:dyDescent="0.2">
      <c r="A584" s="118"/>
      <c r="B584" s="118"/>
      <c r="C584" s="118"/>
      <c r="D584" s="118"/>
      <c r="E584" s="118"/>
      <c r="F584" s="118"/>
      <c r="G584" s="118"/>
      <c r="H584" s="118"/>
      <c r="I584" s="118"/>
      <c r="J584" s="118"/>
      <c r="K584" s="118"/>
      <c r="L584" s="118"/>
      <c r="M584" s="118"/>
      <c r="N584" s="118"/>
      <c r="O584" s="42"/>
      <c r="P584" s="42"/>
      <c r="Q584" s="42"/>
      <c r="R584" s="42"/>
      <c r="S584" s="125"/>
      <c r="T584" s="12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row>
    <row r="585" spans="1:46" ht="15.75" customHeight="1" x14ac:dyDescent="0.2">
      <c r="A585" s="118"/>
      <c r="B585" s="118"/>
      <c r="C585" s="118"/>
      <c r="D585" s="118"/>
      <c r="E585" s="118"/>
      <c r="F585" s="118"/>
      <c r="G585" s="118"/>
      <c r="H585" s="118"/>
      <c r="I585" s="118"/>
      <c r="J585" s="118"/>
      <c r="K585" s="118"/>
      <c r="L585" s="118"/>
      <c r="M585" s="118"/>
      <c r="N585" s="118"/>
      <c r="O585" s="42"/>
      <c r="P585" s="42"/>
      <c r="Q585" s="42"/>
      <c r="R585" s="42"/>
      <c r="S585" s="125"/>
      <c r="T585" s="12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row>
    <row r="586" spans="1:46" ht="15.75" customHeight="1" x14ac:dyDescent="0.2">
      <c r="A586" s="118"/>
      <c r="B586" s="118"/>
      <c r="C586" s="118"/>
      <c r="D586" s="118"/>
      <c r="E586" s="118"/>
      <c r="F586" s="118"/>
      <c r="G586" s="118"/>
      <c r="H586" s="118"/>
      <c r="I586" s="118"/>
      <c r="J586" s="118"/>
      <c r="K586" s="118"/>
      <c r="L586" s="118"/>
      <c r="M586" s="118"/>
      <c r="N586" s="118"/>
      <c r="O586" s="42"/>
      <c r="P586" s="42"/>
      <c r="Q586" s="42"/>
      <c r="R586" s="42"/>
      <c r="S586" s="125"/>
      <c r="T586" s="12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row>
    <row r="587" spans="1:46" ht="15.75" customHeight="1" x14ac:dyDescent="0.2">
      <c r="A587" s="118"/>
      <c r="B587" s="118"/>
      <c r="C587" s="118"/>
      <c r="D587" s="118"/>
      <c r="E587" s="118"/>
      <c r="F587" s="118"/>
      <c r="G587" s="118"/>
      <c r="H587" s="118"/>
      <c r="I587" s="118"/>
      <c r="J587" s="118"/>
      <c r="K587" s="118"/>
      <c r="L587" s="118"/>
      <c r="M587" s="118"/>
      <c r="N587" s="118"/>
      <c r="O587" s="42"/>
      <c r="P587" s="42"/>
      <c r="Q587" s="42"/>
      <c r="R587" s="42"/>
      <c r="S587" s="125"/>
      <c r="T587" s="12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row>
    <row r="588" spans="1:46" ht="15.75" customHeight="1" x14ac:dyDescent="0.2">
      <c r="A588" s="118"/>
      <c r="B588" s="118"/>
      <c r="C588" s="118"/>
      <c r="D588" s="118"/>
      <c r="E588" s="118"/>
      <c r="F588" s="118"/>
      <c r="G588" s="118"/>
      <c r="H588" s="118"/>
      <c r="I588" s="118"/>
      <c r="J588" s="118"/>
      <c r="K588" s="118"/>
      <c r="L588" s="118"/>
      <c r="M588" s="118"/>
      <c r="N588" s="118"/>
      <c r="O588" s="42"/>
      <c r="P588" s="42"/>
      <c r="Q588" s="42"/>
      <c r="R588" s="42"/>
      <c r="S588" s="125"/>
      <c r="T588" s="12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row>
    <row r="589" spans="1:46" ht="15.75" customHeight="1" x14ac:dyDescent="0.2">
      <c r="A589" s="118"/>
      <c r="B589" s="118"/>
      <c r="C589" s="118"/>
      <c r="D589" s="118"/>
      <c r="E589" s="118"/>
      <c r="F589" s="118"/>
      <c r="G589" s="118"/>
      <c r="H589" s="118"/>
      <c r="I589" s="118"/>
      <c r="J589" s="118"/>
      <c r="K589" s="118"/>
      <c r="L589" s="118"/>
      <c r="M589" s="118"/>
      <c r="N589" s="118"/>
      <c r="O589" s="42"/>
      <c r="P589" s="42"/>
      <c r="Q589" s="42"/>
      <c r="R589" s="42"/>
      <c r="S589" s="125"/>
      <c r="T589" s="12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row>
    <row r="590" spans="1:46" ht="15.75" customHeight="1" x14ac:dyDescent="0.2">
      <c r="A590" s="118"/>
      <c r="B590" s="118"/>
      <c r="C590" s="118"/>
      <c r="D590" s="118"/>
      <c r="E590" s="118"/>
      <c r="F590" s="118"/>
      <c r="G590" s="118"/>
      <c r="H590" s="118"/>
      <c r="I590" s="118"/>
      <c r="J590" s="118"/>
      <c r="K590" s="118"/>
      <c r="L590" s="118"/>
      <c r="M590" s="118"/>
      <c r="N590" s="118"/>
      <c r="O590" s="42"/>
      <c r="P590" s="42"/>
      <c r="Q590" s="42"/>
      <c r="R590" s="42"/>
      <c r="S590" s="125"/>
      <c r="T590" s="12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row>
    <row r="591" spans="1:46" ht="15.75" customHeight="1" x14ac:dyDescent="0.2">
      <c r="A591" s="118"/>
      <c r="B591" s="118"/>
      <c r="C591" s="118"/>
      <c r="D591" s="118"/>
      <c r="E591" s="118"/>
      <c r="F591" s="118"/>
      <c r="G591" s="118"/>
      <c r="H591" s="118"/>
      <c r="I591" s="118"/>
      <c r="J591" s="118"/>
      <c r="K591" s="118"/>
      <c r="L591" s="118"/>
      <c r="M591" s="118"/>
      <c r="N591" s="118"/>
      <c r="O591" s="42"/>
      <c r="P591" s="42"/>
      <c r="Q591" s="42"/>
      <c r="R591" s="42"/>
      <c r="S591" s="125"/>
      <c r="T591" s="12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row>
    <row r="592" spans="1:46" ht="15.75" customHeight="1" x14ac:dyDescent="0.2">
      <c r="A592" s="118"/>
      <c r="B592" s="118"/>
      <c r="C592" s="118"/>
      <c r="D592" s="118"/>
      <c r="E592" s="118"/>
      <c r="F592" s="118"/>
      <c r="G592" s="118"/>
      <c r="H592" s="118"/>
      <c r="I592" s="118"/>
      <c r="J592" s="118"/>
      <c r="K592" s="118"/>
      <c r="L592" s="118"/>
      <c r="M592" s="118"/>
      <c r="N592" s="118"/>
      <c r="O592" s="42"/>
      <c r="P592" s="42"/>
      <c r="Q592" s="42"/>
      <c r="R592" s="42"/>
      <c r="S592" s="125"/>
      <c r="T592" s="12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row>
    <row r="593" spans="1:46" ht="15.75" customHeight="1" x14ac:dyDescent="0.2">
      <c r="A593" s="118"/>
      <c r="B593" s="118"/>
      <c r="C593" s="118"/>
      <c r="D593" s="118"/>
      <c r="E593" s="118"/>
      <c r="F593" s="118"/>
      <c r="G593" s="118"/>
      <c r="H593" s="118"/>
      <c r="I593" s="118"/>
      <c r="J593" s="118"/>
      <c r="K593" s="118"/>
      <c r="L593" s="118"/>
      <c r="M593" s="118"/>
      <c r="N593" s="118"/>
      <c r="O593" s="42"/>
      <c r="P593" s="42"/>
      <c r="Q593" s="42"/>
      <c r="R593" s="42"/>
      <c r="S593" s="125"/>
      <c r="T593" s="12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row>
    <row r="594" spans="1:46" ht="15.75" customHeight="1" x14ac:dyDescent="0.2">
      <c r="A594" s="118"/>
      <c r="B594" s="118"/>
      <c r="C594" s="118"/>
      <c r="D594" s="118"/>
      <c r="E594" s="118"/>
      <c r="F594" s="118"/>
      <c r="G594" s="118"/>
      <c r="H594" s="118"/>
      <c r="I594" s="118"/>
      <c r="J594" s="118"/>
      <c r="K594" s="118"/>
      <c r="L594" s="118"/>
      <c r="M594" s="118"/>
      <c r="N594" s="118"/>
      <c r="O594" s="42"/>
      <c r="P594" s="42"/>
      <c r="Q594" s="42"/>
      <c r="R594" s="42"/>
      <c r="S594" s="125"/>
      <c r="T594" s="12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row>
    <row r="595" spans="1:46" ht="15.75" customHeight="1" x14ac:dyDescent="0.2">
      <c r="A595" s="118"/>
      <c r="B595" s="118"/>
      <c r="C595" s="118"/>
      <c r="D595" s="118"/>
      <c r="E595" s="118"/>
      <c r="F595" s="118"/>
      <c r="G595" s="118"/>
      <c r="H595" s="118"/>
      <c r="I595" s="118"/>
      <c r="J595" s="118"/>
      <c r="K595" s="118"/>
      <c r="L595" s="118"/>
      <c r="M595" s="118"/>
      <c r="N595" s="118"/>
      <c r="O595" s="42"/>
      <c r="P595" s="42"/>
      <c r="Q595" s="42"/>
      <c r="R595" s="42"/>
      <c r="S595" s="125"/>
      <c r="T595" s="12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row>
    <row r="596" spans="1:46" ht="15.75" customHeight="1" x14ac:dyDescent="0.2">
      <c r="A596" s="118"/>
      <c r="B596" s="118"/>
      <c r="C596" s="118"/>
      <c r="D596" s="118"/>
      <c r="E596" s="118"/>
      <c r="F596" s="118"/>
      <c r="G596" s="118"/>
      <c r="H596" s="118"/>
      <c r="I596" s="118"/>
      <c r="J596" s="118"/>
      <c r="K596" s="118"/>
      <c r="L596" s="118"/>
      <c r="M596" s="118"/>
      <c r="N596" s="118"/>
      <c r="O596" s="42"/>
      <c r="P596" s="42"/>
      <c r="Q596" s="42"/>
      <c r="R596" s="42"/>
      <c r="S596" s="125"/>
      <c r="T596" s="12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row>
    <row r="597" spans="1:46" ht="15.75" customHeight="1" x14ac:dyDescent="0.2">
      <c r="A597" s="118"/>
      <c r="B597" s="118"/>
      <c r="C597" s="118"/>
      <c r="D597" s="118"/>
      <c r="E597" s="118"/>
      <c r="F597" s="118"/>
      <c r="G597" s="118"/>
      <c r="H597" s="118"/>
      <c r="I597" s="118"/>
      <c r="J597" s="118"/>
      <c r="K597" s="118"/>
      <c r="L597" s="118"/>
      <c r="M597" s="118"/>
      <c r="N597" s="118"/>
      <c r="O597" s="42"/>
      <c r="P597" s="42"/>
      <c r="Q597" s="42"/>
      <c r="R597" s="42"/>
      <c r="S597" s="125"/>
      <c r="T597" s="12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row>
    <row r="598" spans="1:46" ht="15.75" customHeight="1" x14ac:dyDescent="0.2">
      <c r="A598" s="118"/>
      <c r="B598" s="118"/>
      <c r="C598" s="118"/>
      <c r="D598" s="118"/>
      <c r="E598" s="118"/>
      <c r="F598" s="118"/>
      <c r="G598" s="118"/>
      <c r="H598" s="118"/>
      <c r="I598" s="118"/>
      <c r="J598" s="118"/>
      <c r="K598" s="118"/>
      <c r="L598" s="118"/>
      <c r="M598" s="118"/>
      <c r="N598" s="118"/>
      <c r="O598" s="42"/>
      <c r="P598" s="42"/>
      <c r="Q598" s="42"/>
      <c r="R598" s="42"/>
      <c r="S598" s="125"/>
      <c r="T598" s="12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row>
    <row r="599" spans="1:46" ht="15.75" customHeight="1" x14ac:dyDescent="0.2">
      <c r="A599" s="118"/>
      <c r="B599" s="118"/>
      <c r="C599" s="118"/>
      <c r="D599" s="118"/>
      <c r="E599" s="118"/>
      <c r="F599" s="118"/>
      <c r="G599" s="118"/>
      <c r="H599" s="118"/>
      <c r="I599" s="118"/>
      <c r="J599" s="118"/>
      <c r="K599" s="118"/>
      <c r="L599" s="118"/>
      <c r="M599" s="118"/>
      <c r="N599" s="118"/>
      <c r="O599" s="42"/>
      <c r="P599" s="42"/>
      <c r="Q599" s="42"/>
      <c r="R599" s="42"/>
      <c r="S599" s="125"/>
      <c r="T599" s="12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row>
    <row r="600" spans="1:46" ht="15.75" customHeight="1" x14ac:dyDescent="0.2">
      <c r="A600" s="118"/>
      <c r="B600" s="118"/>
      <c r="C600" s="118"/>
      <c r="D600" s="118"/>
      <c r="E600" s="118"/>
      <c r="F600" s="118"/>
      <c r="G600" s="118"/>
      <c r="H600" s="118"/>
      <c r="I600" s="118"/>
      <c r="J600" s="118"/>
      <c r="K600" s="118"/>
      <c r="L600" s="118"/>
      <c r="M600" s="118"/>
      <c r="N600" s="118"/>
      <c r="O600" s="42"/>
      <c r="P600" s="42"/>
      <c r="Q600" s="42"/>
      <c r="R600" s="42"/>
      <c r="S600" s="125"/>
      <c r="T600" s="12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row>
    <row r="601" spans="1:46" ht="15.75" customHeight="1" x14ac:dyDescent="0.2">
      <c r="A601" s="118"/>
      <c r="B601" s="118"/>
      <c r="C601" s="118"/>
      <c r="D601" s="118"/>
      <c r="E601" s="118"/>
      <c r="F601" s="118"/>
      <c r="G601" s="118"/>
      <c r="H601" s="118"/>
      <c r="I601" s="118"/>
      <c r="J601" s="118"/>
      <c r="K601" s="118"/>
      <c r="L601" s="118"/>
      <c r="M601" s="118"/>
      <c r="N601" s="118"/>
      <c r="O601" s="42"/>
      <c r="P601" s="42"/>
      <c r="Q601" s="42"/>
      <c r="R601" s="42"/>
      <c r="S601" s="125"/>
      <c r="T601" s="12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row>
    <row r="602" spans="1:46" ht="15.75" customHeight="1" x14ac:dyDescent="0.2">
      <c r="A602" s="118"/>
      <c r="B602" s="118"/>
      <c r="C602" s="118"/>
      <c r="D602" s="118"/>
      <c r="E602" s="118"/>
      <c r="F602" s="118"/>
      <c r="G602" s="118"/>
      <c r="H602" s="118"/>
      <c r="I602" s="118"/>
      <c r="J602" s="118"/>
      <c r="K602" s="118"/>
      <c r="L602" s="118"/>
      <c r="M602" s="118"/>
      <c r="N602" s="118"/>
      <c r="O602" s="42"/>
      <c r="P602" s="42"/>
      <c r="Q602" s="42"/>
      <c r="R602" s="42"/>
      <c r="S602" s="125"/>
      <c r="T602" s="12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row>
    <row r="603" spans="1:46" ht="15.75" customHeight="1" x14ac:dyDescent="0.2">
      <c r="A603" s="118"/>
      <c r="B603" s="118"/>
      <c r="C603" s="118"/>
      <c r="D603" s="118"/>
      <c r="E603" s="118"/>
      <c r="F603" s="118"/>
      <c r="G603" s="118"/>
      <c r="H603" s="118"/>
      <c r="I603" s="118"/>
      <c r="J603" s="118"/>
      <c r="K603" s="118"/>
      <c r="L603" s="118"/>
      <c r="M603" s="118"/>
      <c r="N603" s="118"/>
      <c r="O603" s="42"/>
      <c r="P603" s="42"/>
      <c r="Q603" s="42"/>
      <c r="R603" s="42"/>
      <c r="S603" s="125"/>
      <c r="T603" s="12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row>
    <row r="604" spans="1:46" ht="15.75" customHeight="1" x14ac:dyDescent="0.2">
      <c r="A604" s="118"/>
      <c r="B604" s="118"/>
      <c r="C604" s="118"/>
      <c r="D604" s="118"/>
      <c r="E604" s="118"/>
      <c r="F604" s="118"/>
      <c r="G604" s="118"/>
      <c r="H604" s="118"/>
      <c r="I604" s="118"/>
      <c r="J604" s="118"/>
      <c r="K604" s="118"/>
      <c r="L604" s="118"/>
      <c r="M604" s="118"/>
      <c r="N604" s="118"/>
      <c r="O604" s="42"/>
      <c r="P604" s="42"/>
      <c r="Q604" s="42"/>
      <c r="R604" s="42"/>
      <c r="S604" s="125"/>
      <c r="T604" s="12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row>
    <row r="605" spans="1:46" ht="15.75" customHeight="1" x14ac:dyDescent="0.2">
      <c r="A605" s="118"/>
      <c r="B605" s="118"/>
      <c r="C605" s="118"/>
      <c r="D605" s="118"/>
      <c r="E605" s="118"/>
      <c r="F605" s="118"/>
      <c r="G605" s="118"/>
      <c r="H605" s="118"/>
      <c r="I605" s="118"/>
      <c r="J605" s="118"/>
      <c r="K605" s="118"/>
      <c r="L605" s="118"/>
      <c r="M605" s="118"/>
      <c r="N605" s="118"/>
      <c r="O605" s="42"/>
      <c r="P605" s="42"/>
      <c r="Q605" s="42"/>
      <c r="R605" s="42"/>
      <c r="S605" s="125"/>
      <c r="T605" s="12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row>
    <row r="606" spans="1:46" ht="15.75" customHeight="1" x14ac:dyDescent="0.2">
      <c r="A606" s="118"/>
      <c r="B606" s="118"/>
      <c r="C606" s="118"/>
      <c r="D606" s="118"/>
      <c r="E606" s="118"/>
      <c r="F606" s="118"/>
      <c r="G606" s="118"/>
      <c r="H606" s="118"/>
      <c r="I606" s="118"/>
      <c r="J606" s="118"/>
      <c r="K606" s="118"/>
      <c r="L606" s="118"/>
      <c r="M606" s="118"/>
      <c r="N606" s="118"/>
      <c r="O606" s="42"/>
      <c r="P606" s="42"/>
      <c r="Q606" s="42"/>
      <c r="R606" s="42"/>
      <c r="S606" s="125"/>
      <c r="T606" s="12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row>
    <row r="607" spans="1:46" ht="15.75" customHeight="1" x14ac:dyDescent="0.2">
      <c r="A607" s="118"/>
      <c r="B607" s="118"/>
      <c r="C607" s="118"/>
      <c r="D607" s="118"/>
      <c r="E607" s="118"/>
      <c r="F607" s="118"/>
      <c r="G607" s="118"/>
      <c r="H607" s="118"/>
      <c r="I607" s="118"/>
      <c r="J607" s="118"/>
      <c r="K607" s="118"/>
      <c r="L607" s="118"/>
      <c r="M607" s="118"/>
      <c r="N607" s="118"/>
      <c r="O607" s="42"/>
      <c r="P607" s="42"/>
      <c r="Q607" s="42"/>
      <c r="R607" s="42"/>
      <c r="S607" s="125"/>
      <c r="T607" s="12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row>
    <row r="608" spans="1:46" ht="15.75" customHeight="1" x14ac:dyDescent="0.2">
      <c r="A608" s="118"/>
      <c r="B608" s="118"/>
      <c r="C608" s="118"/>
      <c r="D608" s="118"/>
      <c r="E608" s="118"/>
      <c r="F608" s="118"/>
      <c r="G608" s="118"/>
      <c r="H608" s="118"/>
      <c r="I608" s="118"/>
      <c r="J608" s="118"/>
      <c r="K608" s="118"/>
      <c r="L608" s="118"/>
      <c r="M608" s="118"/>
      <c r="N608" s="118"/>
      <c r="O608" s="42"/>
      <c r="P608" s="42"/>
      <c r="Q608" s="42"/>
      <c r="R608" s="42"/>
      <c r="S608" s="125"/>
      <c r="T608" s="12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row>
    <row r="609" spans="1:46" ht="15.75" customHeight="1" x14ac:dyDescent="0.2">
      <c r="A609" s="118"/>
      <c r="B609" s="118"/>
      <c r="C609" s="118"/>
      <c r="D609" s="118"/>
      <c r="E609" s="118"/>
      <c r="F609" s="118"/>
      <c r="G609" s="118"/>
      <c r="H609" s="118"/>
      <c r="I609" s="118"/>
      <c r="J609" s="118"/>
      <c r="K609" s="118"/>
      <c r="L609" s="118"/>
      <c r="M609" s="118"/>
      <c r="N609" s="118"/>
      <c r="O609" s="42"/>
      <c r="P609" s="42"/>
      <c r="Q609" s="42"/>
      <c r="R609" s="42"/>
      <c r="S609" s="125"/>
      <c r="T609" s="12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row>
    <row r="610" spans="1:46" ht="15.75" customHeight="1" x14ac:dyDescent="0.2">
      <c r="A610" s="118"/>
      <c r="B610" s="118"/>
      <c r="C610" s="118"/>
      <c r="D610" s="118"/>
      <c r="E610" s="118"/>
      <c r="F610" s="118"/>
      <c r="G610" s="118"/>
      <c r="H610" s="118"/>
      <c r="I610" s="118"/>
      <c r="J610" s="118"/>
      <c r="K610" s="118"/>
      <c r="L610" s="118"/>
      <c r="M610" s="118"/>
      <c r="N610" s="118"/>
      <c r="O610" s="42"/>
      <c r="P610" s="42"/>
      <c r="Q610" s="42"/>
      <c r="R610" s="42"/>
      <c r="S610" s="125"/>
      <c r="T610" s="12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row>
    <row r="611" spans="1:46" ht="15.75" customHeight="1" x14ac:dyDescent="0.2">
      <c r="A611" s="118"/>
      <c r="B611" s="118"/>
      <c r="C611" s="118"/>
      <c r="D611" s="118"/>
      <c r="E611" s="118"/>
      <c r="F611" s="118"/>
      <c r="G611" s="118"/>
      <c r="H611" s="118"/>
      <c r="I611" s="118"/>
      <c r="J611" s="118"/>
      <c r="K611" s="118"/>
      <c r="L611" s="118"/>
      <c r="M611" s="118"/>
      <c r="N611" s="118"/>
      <c r="O611" s="42"/>
      <c r="P611" s="42"/>
      <c r="Q611" s="42"/>
      <c r="R611" s="42"/>
      <c r="S611" s="125"/>
      <c r="T611" s="12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row>
    <row r="612" spans="1:46" ht="15.75" customHeight="1" x14ac:dyDescent="0.2">
      <c r="A612" s="118"/>
      <c r="B612" s="118"/>
      <c r="C612" s="118"/>
      <c r="D612" s="118"/>
      <c r="E612" s="118"/>
      <c r="F612" s="118"/>
      <c r="G612" s="118"/>
      <c r="H612" s="118"/>
      <c r="I612" s="118"/>
      <c r="J612" s="118"/>
      <c r="K612" s="118"/>
      <c r="L612" s="118"/>
      <c r="M612" s="118"/>
      <c r="N612" s="118"/>
      <c r="O612" s="42"/>
      <c r="P612" s="42"/>
      <c r="Q612" s="42"/>
      <c r="R612" s="42"/>
      <c r="S612" s="125"/>
      <c r="T612" s="12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row>
    <row r="613" spans="1:46" ht="15.75" customHeight="1" x14ac:dyDescent="0.2">
      <c r="A613" s="118"/>
      <c r="B613" s="118"/>
      <c r="C613" s="118"/>
      <c r="D613" s="118"/>
      <c r="E613" s="118"/>
      <c r="F613" s="118"/>
      <c r="G613" s="118"/>
      <c r="H613" s="118"/>
      <c r="I613" s="118"/>
      <c r="J613" s="118"/>
      <c r="K613" s="118"/>
      <c r="L613" s="118"/>
      <c r="M613" s="118"/>
      <c r="N613" s="118"/>
      <c r="O613" s="42"/>
      <c r="P613" s="42"/>
      <c r="Q613" s="42"/>
      <c r="R613" s="42"/>
      <c r="S613" s="125"/>
      <c r="T613" s="12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row>
    <row r="614" spans="1:46" ht="15.75" customHeight="1" x14ac:dyDescent="0.2">
      <c r="A614" s="118"/>
      <c r="B614" s="118"/>
      <c r="C614" s="118"/>
      <c r="D614" s="118"/>
      <c r="E614" s="118"/>
      <c r="F614" s="118"/>
      <c r="G614" s="118"/>
      <c r="H614" s="118"/>
      <c r="I614" s="118"/>
      <c r="J614" s="118"/>
      <c r="K614" s="118"/>
      <c r="L614" s="118"/>
      <c r="M614" s="118"/>
      <c r="N614" s="118"/>
      <c r="O614" s="42"/>
      <c r="P614" s="42"/>
      <c r="Q614" s="42"/>
      <c r="R614" s="42"/>
      <c r="S614" s="125"/>
      <c r="T614" s="12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row>
    <row r="615" spans="1:46" ht="15.75" customHeight="1" x14ac:dyDescent="0.2">
      <c r="A615" s="118"/>
      <c r="B615" s="118"/>
      <c r="C615" s="118"/>
      <c r="D615" s="118"/>
      <c r="E615" s="118"/>
      <c r="F615" s="118"/>
      <c r="G615" s="118"/>
      <c r="H615" s="118"/>
      <c r="I615" s="118"/>
      <c r="J615" s="118"/>
      <c r="K615" s="118"/>
      <c r="L615" s="118"/>
      <c r="M615" s="118"/>
      <c r="N615" s="118"/>
      <c r="O615" s="42"/>
      <c r="P615" s="42"/>
      <c r="Q615" s="42"/>
      <c r="R615" s="42"/>
      <c r="S615" s="125"/>
      <c r="T615" s="12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row>
    <row r="616" spans="1:46" ht="15.75" customHeight="1" x14ac:dyDescent="0.2">
      <c r="A616" s="118"/>
      <c r="B616" s="118"/>
      <c r="C616" s="118"/>
      <c r="D616" s="118"/>
      <c r="E616" s="118"/>
      <c r="F616" s="118"/>
      <c r="G616" s="118"/>
      <c r="H616" s="118"/>
      <c r="I616" s="118"/>
      <c r="J616" s="118"/>
      <c r="K616" s="118"/>
      <c r="L616" s="118"/>
      <c r="M616" s="118"/>
      <c r="N616" s="118"/>
      <c r="O616" s="42"/>
      <c r="P616" s="42"/>
      <c r="Q616" s="42"/>
      <c r="R616" s="42"/>
      <c r="S616" s="125"/>
      <c r="T616" s="12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row>
    <row r="617" spans="1:46" ht="15.75" customHeight="1" x14ac:dyDescent="0.2">
      <c r="A617" s="118"/>
      <c r="B617" s="118"/>
      <c r="C617" s="118"/>
      <c r="D617" s="118"/>
      <c r="E617" s="118"/>
      <c r="F617" s="118"/>
      <c r="G617" s="118"/>
      <c r="H617" s="118"/>
      <c r="I617" s="118"/>
      <c r="J617" s="118"/>
      <c r="K617" s="118"/>
      <c r="L617" s="118"/>
      <c r="M617" s="118"/>
      <c r="N617" s="118"/>
      <c r="O617" s="42"/>
      <c r="P617" s="42"/>
      <c r="Q617" s="42"/>
      <c r="R617" s="42"/>
      <c r="S617" s="125"/>
      <c r="T617" s="12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row>
    <row r="618" spans="1:46" ht="15.75" customHeight="1" x14ac:dyDescent="0.2">
      <c r="A618" s="118"/>
      <c r="B618" s="118"/>
      <c r="C618" s="118"/>
      <c r="D618" s="118"/>
      <c r="E618" s="118"/>
      <c r="F618" s="118"/>
      <c r="G618" s="118"/>
      <c r="H618" s="118"/>
      <c r="I618" s="118"/>
      <c r="J618" s="118"/>
      <c r="K618" s="118"/>
      <c r="L618" s="118"/>
      <c r="M618" s="118"/>
      <c r="N618" s="118"/>
      <c r="O618" s="42"/>
      <c r="P618" s="42"/>
      <c r="Q618" s="42"/>
      <c r="R618" s="42"/>
      <c r="S618" s="125"/>
      <c r="T618" s="12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row>
    <row r="619" spans="1:46" ht="15.75" customHeight="1" x14ac:dyDescent="0.2">
      <c r="A619" s="118"/>
      <c r="B619" s="118"/>
      <c r="C619" s="118"/>
      <c r="D619" s="118"/>
      <c r="E619" s="118"/>
      <c r="F619" s="118"/>
      <c r="G619" s="118"/>
      <c r="H619" s="118"/>
      <c r="I619" s="118"/>
      <c r="J619" s="118"/>
      <c r="K619" s="118"/>
      <c r="L619" s="118"/>
      <c r="M619" s="118"/>
      <c r="N619" s="118"/>
      <c r="O619" s="42"/>
      <c r="P619" s="42"/>
      <c r="Q619" s="42"/>
      <c r="R619" s="42"/>
      <c r="S619" s="125"/>
      <c r="T619" s="12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row>
    <row r="620" spans="1:46" ht="15.75" customHeight="1" x14ac:dyDescent="0.2">
      <c r="A620" s="118"/>
      <c r="B620" s="118"/>
      <c r="C620" s="118"/>
      <c r="D620" s="118"/>
      <c r="E620" s="118"/>
      <c r="F620" s="118"/>
      <c r="G620" s="118"/>
      <c r="H620" s="118"/>
      <c r="I620" s="118"/>
      <c r="J620" s="118"/>
      <c r="K620" s="118"/>
      <c r="L620" s="118"/>
      <c r="M620" s="118"/>
      <c r="N620" s="118"/>
      <c r="O620" s="42"/>
      <c r="P620" s="42"/>
      <c r="Q620" s="42"/>
      <c r="R620" s="42"/>
      <c r="S620" s="125"/>
      <c r="T620" s="12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row>
    <row r="621" spans="1:46" ht="15.75" customHeight="1" x14ac:dyDescent="0.2">
      <c r="A621" s="118"/>
      <c r="B621" s="118"/>
      <c r="C621" s="118"/>
      <c r="D621" s="118"/>
      <c r="E621" s="118"/>
      <c r="F621" s="118"/>
      <c r="G621" s="118"/>
      <c r="H621" s="118"/>
      <c r="I621" s="118"/>
      <c r="J621" s="118"/>
      <c r="K621" s="118"/>
      <c r="L621" s="118"/>
      <c r="M621" s="118"/>
      <c r="N621" s="118"/>
      <c r="O621" s="42"/>
      <c r="P621" s="42"/>
      <c r="Q621" s="42"/>
      <c r="R621" s="42"/>
      <c r="S621" s="125"/>
      <c r="T621" s="12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row>
    <row r="622" spans="1:46" ht="15.75" customHeight="1" x14ac:dyDescent="0.2">
      <c r="A622" s="118"/>
      <c r="B622" s="118"/>
      <c r="C622" s="118"/>
      <c r="D622" s="118"/>
      <c r="E622" s="118"/>
      <c r="F622" s="118"/>
      <c r="G622" s="118"/>
      <c r="H622" s="118"/>
      <c r="I622" s="118"/>
      <c r="J622" s="118"/>
      <c r="K622" s="118"/>
      <c r="L622" s="118"/>
      <c r="M622" s="118"/>
      <c r="N622" s="118"/>
      <c r="O622" s="42"/>
      <c r="P622" s="42"/>
      <c r="Q622" s="42"/>
      <c r="R622" s="42"/>
      <c r="S622" s="125"/>
      <c r="T622" s="12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row>
    <row r="623" spans="1:46" ht="15.75" customHeight="1" x14ac:dyDescent="0.2">
      <c r="A623" s="118"/>
      <c r="B623" s="118"/>
      <c r="C623" s="118"/>
      <c r="D623" s="118"/>
      <c r="E623" s="118"/>
      <c r="F623" s="118"/>
      <c r="G623" s="118"/>
      <c r="H623" s="118"/>
      <c r="I623" s="118"/>
      <c r="J623" s="118"/>
      <c r="K623" s="118"/>
      <c r="L623" s="118"/>
      <c r="M623" s="118"/>
      <c r="N623" s="118"/>
      <c r="O623" s="42"/>
      <c r="P623" s="42"/>
      <c r="Q623" s="42"/>
      <c r="R623" s="42"/>
      <c r="S623" s="125"/>
      <c r="T623" s="12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row>
    <row r="624" spans="1:46" ht="15.75" customHeight="1" x14ac:dyDescent="0.2">
      <c r="A624" s="118"/>
      <c r="B624" s="118"/>
      <c r="C624" s="118"/>
      <c r="D624" s="118"/>
      <c r="E624" s="118"/>
      <c r="F624" s="118"/>
      <c r="G624" s="118"/>
      <c r="H624" s="118"/>
      <c r="I624" s="118"/>
      <c r="J624" s="118"/>
      <c r="K624" s="118"/>
      <c r="L624" s="118"/>
      <c r="M624" s="118"/>
      <c r="N624" s="118"/>
      <c r="O624" s="42"/>
      <c r="P624" s="42"/>
      <c r="Q624" s="42"/>
      <c r="R624" s="42"/>
      <c r="S624" s="125"/>
      <c r="T624" s="12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row>
    <row r="625" spans="1:46" ht="15.75" customHeight="1" x14ac:dyDescent="0.2">
      <c r="A625" s="118"/>
      <c r="B625" s="118"/>
      <c r="C625" s="118"/>
      <c r="D625" s="118"/>
      <c r="E625" s="118"/>
      <c r="F625" s="118"/>
      <c r="G625" s="118"/>
      <c r="H625" s="118"/>
      <c r="I625" s="118"/>
      <c r="J625" s="118"/>
      <c r="K625" s="118"/>
      <c r="L625" s="118"/>
      <c r="M625" s="118"/>
      <c r="N625" s="118"/>
      <c r="O625" s="42"/>
      <c r="P625" s="42"/>
      <c r="Q625" s="42"/>
      <c r="R625" s="42"/>
      <c r="S625" s="125"/>
      <c r="T625" s="12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row>
    <row r="626" spans="1:46" ht="15.75" customHeight="1" x14ac:dyDescent="0.2">
      <c r="A626" s="118"/>
      <c r="B626" s="118"/>
      <c r="C626" s="118"/>
      <c r="D626" s="118"/>
      <c r="E626" s="118"/>
      <c r="F626" s="118"/>
      <c r="G626" s="118"/>
      <c r="H626" s="118"/>
      <c r="I626" s="118"/>
      <c r="J626" s="118"/>
      <c r="K626" s="118"/>
      <c r="L626" s="118"/>
      <c r="M626" s="118"/>
      <c r="N626" s="118"/>
      <c r="O626" s="42"/>
      <c r="P626" s="42"/>
      <c r="Q626" s="42"/>
      <c r="R626" s="42"/>
      <c r="S626" s="125"/>
      <c r="T626" s="12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row>
    <row r="627" spans="1:46" ht="15.75" customHeight="1" x14ac:dyDescent="0.2">
      <c r="A627" s="118"/>
      <c r="B627" s="118"/>
      <c r="C627" s="118"/>
      <c r="D627" s="118"/>
      <c r="E627" s="118"/>
      <c r="F627" s="118"/>
      <c r="G627" s="118"/>
      <c r="H627" s="118"/>
      <c r="I627" s="118"/>
      <c r="J627" s="118"/>
      <c r="K627" s="118"/>
      <c r="L627" s="118"/>
      <c r="M627" s="118"/>
      <c r="N627" s="118"/>
      <c r="O627" s="42"/>
      <c r="P627" s="42"/>
      <c r="Q627" s="42"/>
      <c r="R627" s="42"/>
      <c r="S627" s="125"/>
      <c r="T627" s="12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row>
    <row r="628" spans="1:46" ht="15.75" customHeight="1" x14ac:dyDescent="0.2">
      <c r="A628" s="118"/>
      <c r="B628" s="118"/>
      <c r="C628" s="118"/>
      <c r="D628" s="118"/>
      <c r="E628" s="118"/>
      <c r="F628" s="118"/>
      <c r="G628" s="118"/>
      <c r="H628" s="118"/>
      <c r="I628" s="118"/>
      <c r="J628" s="118"/>
      <c r="K628" s="118"/>
      <c r="L628" s="118"/>
      <c r="M628" s="118"/>
      <c r="N628" s="118"/>
      <c r="O628" s="42"/>
      <c r="P628" s="42"/>
      <c r="Q628" s="42"/>
      <c r="R628" s="42"/>
      <c r="S628" s="125"/>
      <c r="T628" s="12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row>
    <row r="629" spans="1:46" ht="15.75" customHeight="1" x14ac:dyDescent="0.2">
      <c r="A629" s="118"/>
      <c r="B629" s="118"/>
      <c r="C629" s="118"/>
      <c r="D629" s="118"/>
      <c r="E629" s="118"/>
      <c r="F629" s="118"/>
      <c r="G629" s="118"/>
      <c r="H629" s="118"/>
      <c r="I629" s="118"/>
      <c r="J629" s="118"/>
      <c r="K629" s="118"/>
      <c r="L629" s="118"/>
      <c r="M629" s="118"/>
      <c r="N629" s="118"/>
      <c r="O629" s="42"/>
      <c r="P629" s="42"/>
      <c r="Q629" s="42"/>
      <c r="R629" s="42"/>
      <c r="S629" s="125"/>
      <c r="T629" s="12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row>
    <row r="630" spans="1:46" ht="15.75" customHeight="1" x14ac:dyDescent="0.2">
      <c r="A630" s="118"/>
      <c r="B630" s="118"/>
      <c r="C630" s="118"/>
      <c r="D630" s="118"/>
      <c r="E630" s="118"/>
      <c r="F630" s="118"/>
      <c r="G630" s="118"/>
      <c r="H630" s="118"/>
      <c r="I630" s="118"/>
      <c r="J630" s="118"/>
      <c r="K630" s="118"/>
      <c r="L630" s="118"/>
      <c r="M630" s="118"/>
      <c r="N630" s="118"/>
      <c r="O630" s="42"/>
      <c r="P630" s="42"/>
      <c r="Q630" s="42"/>
      <c r="R630" s="42"/>
      <c r="S630" s="125"/>
      <c r="T630" s="12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row>
    <row r="631" spans="1:46" ht="15.75" customHeight="1" x14ac:dyDescent="0.2">
      <c r="A631" s="118"/>
      <c r="B631" s="118"/>
      <c r="C631" s="118"/>
      <c r="D631" s="118"/>
      <c r="E631" s="118"/>
      <c r="F631" s="118"/>
      <c r="G631" s="118"/>
      <c r="H631" s="118"/>
      <c r="I631" s="118"/>
      <c r="J631" s="118"/>
      <c r="K631" s="118"/>
      <c r="L631" s="118"/>
      <c r="M631" s="118"/>
      <c r="N631" s="118"/>
      <c r="O631" s="42"/>
      <c r="P631" s="42"/>
      <c r="Q631" s="42"/>
      <c r="R631" s="42"/>
      <c r="S631" s="125"/>
      <c r="T631" s="12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row>
    <row r="632" spans="1:46" ht="15.75" customHeight="1" x14ac:dyDescent="0.2">
      <c r="A632" s="118"/>
      <c r="B632" s="118"/>
      <c r="C632" s="118"/>
      <c r="D632" s="118"/>
      <c r="E632" s="118"/>
      <c r="F632" s="118"/>
      <c r="G632" s="118"/>
      <c r="H632" s="118"/>
      <c r="I632" s="118"/>
      <c r="J632" s="118"/>
      <c r="K632" s="118"/>
      <c r="L632" s="118"/>
      <c r="M632" s="118"/>
      <c r="N632" s="118"/>
      <c r="O632" s="42"/>
      <c r="P632" s="42"/>
      <c r="Q632" s="42"/>
      <c r="R632" s="42"/>
      <c r="S632" s="125"/>
      <c r="T632" s="12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row>
    <row r="633" spans="1:46" ht="15.75" customHeight="1" x14ac:dyDescent="0.2">
      <c r="A633" s="118"/>
      <c r="B633" s="118"/>
      <c r="C633" s="118"/>
      <c r="D633" s="118"/>
      <c r="E633" s="118"/>
      <c r="F633" s="118"/>
      <c r="G633" s="118"/>
      <c r="H633" s="118"/>
      <c r="I633" s="118"/>
      <c r="J633" s="118"/>
      <c r="K633" s="118"/>
      <c r="L633" s="118"/>
      <c r="M633" s="118"/>
      <c r="N633" s="118"/>
      <c r="O633" s="42"/>
      <c r="P633" s="42"/>
      <c r="Q633" s="42"/>
      <c r="R633" s="42"/>
      <c r="S633" s="125"/>
      <c r="T633" s="12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row>
    <row r="634" spans="1:46" ht="15.75" customHeight="1" x14ac:dyDescent="0.2">
      <c r="A634" s="118"/>
      <c r="B634" s="118"/>
      <c r="C634" s="118"/>
      <c r="D634" s="118"/>
      <c r="E634" s="118"/>
      <c r="F634" s="118"/>
      <c r="G634" s="118"/>
      <c r="H634" s="118"/>
      <c r="I634" s="118"/>
      <c r="J634" s="118"/>
      <c r="K634" s="118"/>
      <c r="L634" s="118"/>
      <c r="M634" s="118"/>
      <c r="N634" s="118"/>
      <c r="O634" s="42"/>
      <c r="P634" s="42"/>
      <c r="Q634" s="42"/>
      <c r="R634" s="42"/>
      <c r="S634" s="125"/>
      <c r="T634" s="12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row>
    <row r="635" spans="1:46" ht="15.75" customHeight="1" x14ac:dyDescent="0.2">
      <c r="A635" s="118"/>
      <c r="B635" s="118"/>
      <c r="C635" s="118"/>
      <c r="D635" s="118"/>
      <c r="E635" s="118"/>
      <c r="F635" s="118"/>
      <c r="G635" s="118"/>
      <c r="H635" s="118"/>
      <c r="I635" s="118"/>
      <c r="J635" s="118"/>
      <c r="K635" s="118"/>
      <c r="L635" s="118"/>
      <c r="M635" s="118"/>
      <c r="N635" s="118"/>
      <c r="O635" s="42"/>
      <c r="P635" s="42"/>
      <c r="Q635" s="42"/>
      <c r="R635" s="42"/>
      <c r="S635" s="125"/>
      <c r="T635" s="12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row>
    <row r="636" spans="1:46" ht="15.75" customHeight="1" x14ac:dyDescent="0.2">
      <c r="A636" s="118"/>
      <c r="B636" s="118"/>
      <c r="C636" s="118"/>
      <c r="D636" s="118"/>
      <c r="E636" s="118"/>
      <c r="F636" s="118"/>
      <c r="G636" s="118"/>
      <c r="H636" s="118"/>
      <c r="I636" s="118"/>
      <c r="J636" s="118"/>
      <c r="K636" s="118"/>
      <c r="L636" s="118"/>
      <c r="M636" s="118"/>
      <c r="N636" s="118"/>
      <c r="O636" s="42"/>
      <c r="P636" s="42"/>
      <c r="Q636" s="42"/>
      <c r="R636" s="42"/>
      <c r="S636" s="125"/>
      <c r="T636" s="12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row>
    <row r="637" spans="1:46" ht="15.75" customHeight="1" x14ac:dyDescent="0.2">
      <c r="A637" s="118"/>
      <c r="B637" s="118"/>
      <c r="C637" s="118"/>
      <c r="D637" s="118"/>
      <c r="E637" s="118"/>
      <c r="F637" s="118"/>
      <c r="G637" s="118"/>
      <c r="H637" s="118"/>
      <c r="I637" s="118"/>
      <c r="J637" s="118"/>
      <c r="K637" s="118"/>
      <c r="L637" s="118"/>
      <c r="M637" s="118"/>
      <c r="N637" s="118"/>
      <c r="O637" s="42"/>
      <c r="P637" s="42"/>
      <c r="Q637" s="42"/>
      <c r="R637" s="42"/>
      <c r="S637" s="125"/>
      <c r="T637" s="12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row>
    <row r="638" spans="1:46" ht="15.75" customHeight="1" x14ac:dyDescent="0.2">
      <c r="A638" s="118"/>
      <c r="B638" s="118"/>
      <c r="C638" s="118"/>
      <c r="D638" s="118"/>
      <c r="E638" s="118"/>
      <c r="F638" s="118"/>
      <c r="G638" s="118"/>
      <c r="H638" s="118"/>
      <c r="I638" s="118"/>
      <c r="J638" s="118"/>
      <c r="K638" s="118"/>
      <c r="L638" s="118"/>
      <c r="M638" s="118"/>
      <c r="N638" s="118"/>
      <c r="O638" s="42"/>
      <c r="P638" s="42"/>
      <c r="Q638" s="42"/>
      <c r="R638" s="42"/>
      <c r="S638" s="125"/>
      <c r="T638" s="12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row>
    <row r="639" spans="1:46" ht="15.75" customHeight="1" x14ac:dyDescent="0.2">
      <c r="A639" s="118"/>
      <c r="B639" s="118"/>
      <c r="C639" s="118"/>
      <c r="D639" s="118"/>
      <c r="E639" s="118"/>
      <c r="F639" s="118"/>
      <c r="G639" s="118"/>
      <c r="H639" s="118"/>
      <c r="I639" s="118"/>
      <c r="J639" s="118"/>
      <c r="K639" s="118"/>
      <c r="L639" s="118"/>
      <c r="M639" s="118"/>
      <c r="N639" s="118"/>
      <c r="O639" s="42"/>
      <c r="P639" s="42"/>
      <c r="Q639" s="42"/>
      <c r="R639" s="42"/>
      <c r="S639" s="125"/>
      <c r="T639" s="12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row>
    <row r="640" spans="1:46" ht="15.75" customHeight="1" x14ac:dyDescent="0.2">
      <c r="A640" s="118"/>
      <c r="B640" s="118"/>
      <c r="C640" s="118"/>
      <c r="D640" s="118"/>
      <c r="E640" s="118"/>
      <c r="F640" s="118"/>
      <c r="G640" s="118"/>
      <c r="H640" s="118"/>
      <c r="I640" s="118"/>
      <c r="J640" s="118"/>
      <c r="K640" s="118"/>
      <c r="L640" s="118"/>
      <c r="M640" s="118"/>
      <c r="N640" s="118"/>
      <c r="O640" s="42"/>
      <c r="P640" s="42"/>
      <c r="Q640" s="42"/>
      <c r="R640" s="42"/>
      <c r="S640" s="125"/>
      <c r="T640" s="12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row>
    <row r="641" spans="1:46" ht="15.75" customHeight="1" x14ac:dyDescent="0.2">
      <c r="A641" s="118"/>
      <c r="B641" s="118"/>
      <c r="C641" s="118"/>
      <c r="D641" s="118"/>
      <c r="E641" s="118"/>
      <c r="F641" s="118"/>
      <c r="G641" s="118"/>
      <c r="H641" s="118"/>
      <c r="I641" s="118"/>
      <c r="J641" s="118"/>
      <c r="K641" s="118"/>
      <c r="L641" s="118"/>
      <c r="M641" s="118"/>
      <c r="N641" s="118"/>
      <c r="O641" s="42"/>
      <c r="P641" s="42"/>
      <c r="Q641" s="42"/>
      <c r="R641" s="42"/>
      <c r="S641" s="125"/>
      <c r="T641" s="12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row>
    <row r="642" spans="1:46" ht="15.75" customHeight="1" x14ac:dyDescent="0.2">
      <c r="A642" s="118"/>
      <c r="B642" s="118"/>
      <c r="C642" s="118"/>
      <c r="D642" s="118"/>
      <c r="E642" s="118"/>
      <c r="F642" s="118"/>
      <c r="G642" s="118"/>
      <c r="H642" s="118"/>
      <c r="I642" s="118"/>
      <c r="J642" s="118"/>
      <c r="K642" s="118"/>
      <c r="L642" s="118"/>
      <c r="M642" s="118"/>
      <c r="N642" s="118"/>
      <c r="O642" s="42"/>
      <c r="P642" s="42"/>
      <c r="Q642" s="42"/>
      <c r="R642" s="42"/>
      <c r="S642" s="125"/>
      <c r="T642" s="12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row>
    <row r="643" spans="1:46" ht="15.75" customHeight="1" x14ac:dyDescent="0.2">
      <c r="A643" s="118"/>
      <c r="B643" s="118"/>
      <c r="C643" s="118"/>
      <c r="D643" s="118"/>
      <c r="E643" s="118"/>
      <c r="F643" s="118"/>
      <c r="G643" s="118"/>
      <c r="H643" s="118"/>
      <c r="I643" s="118"/>
      <c r="J643" s="118"/>
      <c r="K643" s="118"/>
      <c r="L643" s="118"/>
      <c r="M643" s="118"/>
      <c r="N643" s="118"/>
      <c r="O643" s="42"/>
      <c r="P643" s="42"/>
      <c r="Q643" s="42"/>
      <c r="R643" s="42"/>
      <c r="S643" s="125"/>
      <c r="T643" s="12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row>
    <row r="644" spans="1:46" ht="15.75" customHeight="1" x14ac:dyDescent="0.2">
      <c r="A644" s="118"/>
      <c r="B644" s="118"/>
      <c r="C644" s="118"/>
      <c r="D644" s="118"/>
      <c r="E644" s="118"/>
      <c r="F644" s="118"/>
      <c r="G644" s="118"/>
      <c r="H644" s="118"/>
      <c r="I644" s="118"/>
      <c r="J644" s="118"/>
      <c r="K644" s="118"/>
      <c r="L644" s="118"/>
      <c r="M644" s="118"/>
      <c r="N644" s="118"/>
      <c r="O644" s="42"/>
      <c r="P644" s="42"/>
      <c r="Q644" s="42"/>
      <c r="R644" s="42"/>
      <c r="S644" s="125"/>
      <c r="T644" s="12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row>
    <row r="645" spans="1:46" ht="15.75" customHeight="1" x14ac:dyDescent="0.2">
      <c r="A645" s="118"/>
      <c r="B645" s="118"/>
      <c r="C645" s="118"/>
      <c r="D645" s="118"/>
      <c r="E645" s="118"/>
      <c r="F645" s="118"/>
      <c r="G645" s="118"/>
      <c r="H645" s="118"/>
      <c r="I645" s="118"/>
      <c r="J645" s="118"/>
      <c r="K645" s="118"/>
      <c r="L645" s="118"/>
      <c r="M645" s="118"/>
      <c r="N645" s="118"/>
      <c r="O645" s="42"/>
      <c r="P645" s="42"/>
      <c r="Q645" s="42"/>
      <c r="R645" s="42"/>
      <c r="S645" s="125"/>
      <c r="T645" s="12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row>
    <row r="646" spans="1:46" ht="15.75" customHeight="1" x14ac:dyDescent="0.2">
      <c r="A646" s="118"/>
      <c r="B646" s="118"/>
      <c r="C646" s="118"/>
      <c r="D646" s="118"/>
      <c r="E646" s="118"/>
      <c r="F646" s="118"/>
      <c r="G646" s="118"/>
      <c r="H646" s="118"/>
      <c r="I646" s="118"/>
      <c r="J646" s="118"/>
      <c r="K646" s="118"/>
      <c r="L646" s="118"/>
      <c r="M646" s="118"/>
      <c r="N646" s="118"/>
      <c r="O646" s="42"/>
      <c r="P646" s="42"/>
      <c r="Q646" s="42"/>
      <c r="R646" s="42"/>
      <c r="S646" s="125"/>
      <c r="T646" s="12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row>
    <row r="647" spans="1:46" ht="15.75" customHeight="1" x14ac:dyDescent="0.2">
      <c r="A647" s="118"/>
      <c r="B647" s="118"/>
      <c r="C647" s="118"/>
      <c r="D647" s="118"/>
      <c r="E647" s="118"/>
      <c r="F647" s="118"/>
      <c r="G647" s="118"/>
      <c r="H647" s="118"/>
      <c r="I647" s="118"/>
      <c r="J647" s="118"/>
      <c r="K647" s="118"/>
      <c r="L647" s="118"/>
      <c r="M647" s="118"/>
      <c r="N647" s="118"/>
      <c r="O647" s="42"/>
      <c r="P647" s="42"/>
      <c r="Q647" s="42"/>
      <c r="R647" s="42"/>
      <c r="S647" s="125"/>
      <c r="T647" s="12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row>
    <row r="648" spans="1:46" ht="15.75" customHeight="1" x14ac:dyDescent="0.2">
      <c r="A648" s="118"/>
      <c r="B648" s="118"/>
      <c r="C648" s="118"/>
      <c r="D648" s="118"/>
      <c r="E648" s="118"/>
      <c r="F648" s="118"/>
      <c r="G648" s="118"/>
      <c r="H648" s="118"/>
      <c r="I648" s="118"/>
      <c r="J648" s="118"/>
      <c r="K648" s="118"/>
      <c r="L648" s="118"/>
      <c r="M648" s="118"/>
      <c r="N648" s="118"/>
      <c r="O648" s="42"/>
      <c r="P648" s="42"/>
      <c r="Q648" s="42"/>
      <c r="R648" s="42"/>
      <c r="S648" s="125"/>
      <c r="T648" s="12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row>
    <row r="649" spans="1:46" ht="15.75" customHeight="1" x14ac:dyDescent="0.2">
      <c r="A649" s="118"/>
      <c r="B649" s="118"/>
      <c r="C649" s="118"/>
      <c r="D649" s="118"/>
      <c r="E649" s="118"/>
      <c r="F649" s="118"/>
      <c r="G649" s="118"/>
      <c r="H649" s="118"/>
      <c r="I649" s="118"/>
      <c r="J649" s="118"/>
      <c r="K649" s="118"/>
      <c r="L649" s="118"/>
      <c r="M649" s="118"/>
      <c r="N649" s="118"/>
      <c r="O649" s="42"/>
      <c r="P649" s="42"/>
      <c r="Q649" s="42"/>
      <c r="R649" s="42"/>
      <c r="S649" s="125"/>
      <c r="T649" s="12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spans="1:46" ht="15.75" customHeight="1" x14ac:dyDescent="0.2">
      <c r="A650" s="118"/>
      <c r="B650" s="118"/>
      <c r="C650" s="118"/>
      <c r="D650" s="118"/>
      <c r="E650" s="118"/>
      <c r="F650" s="118"/>
      <c r="G650" s="118"/>
      <c r="H650" s="118"/>
      <c r="I650" s="118"/>
      <c r="J650" s="118"/>
      <c r="K650" s="118"/>
      <c r="L650" s="118"/>
      <c r="M650" s="118"/>
      <c r="N650" s="118"/>
      <c r="O650" s="42"/>
      <c r="P650" s="42"/>
      <c r="Q650" s="42"/>
      <c r="R650" s="42"/>
      <c r="S650" s="125"/>
      <c r="T650" s="12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spans="1:46" ht="15.75" customHeight="1" x14ac:dyDescent="0.2">
      <c r="A651" s="118"/>
      <c r="B651" s="118"/>
      <c r="C651" s="118"/>
      <c r="D651" s="118"/>
      <c r="E651" s="118"/>
      <c r="F651" s="118"/>
      <c r="G651" s="118"/>
      <c r="H651" s="118"/>
      <c r="I651" s="118"/>
      <c r="J651" s="118"/>
      <c r="K651" s="118"/>
      <c r="L651" s="118"/>
      <c r="M651" s="118"/>
      <c r="N651" s="118"/>
      <c r="O651" s="42"/>
      <c r="P651" s="42"/>
      <c r="Q651" s="42"/>
      <c r="R651" s="42"/>
      <c r="S651" s="125"/>
      <c r="T651" s="12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spans="1:46" ht="15.75" customHeight="1" x14ac:dyDescent="0.2">
      <c r="A652" s="118"/>
      <c r="B652" s="118"/>
      <c r="C652" s="118"/>
      <c r="D652" s="118"/>
      <c r="E652" s="118"/>
      <c r="F652" s="118"/>
      <c r="G652" s="118"/>
      <c r="H652" s="118"/>
      <c r="I652" s="118"/>
      <c r="J652" s="118"/>
      <c r="K652" s="118"/>
      <c r="L652" s="118"/>
      <c r="M652" s="118"/>
      <c r="N652" s="118"/>
      <c r="O652" s="42"/>
      <c r="P652" s="42"/>
      <c r="Q652" s="42"/>
      <c r="R652" s="42"/>
      <c r="S652" s="125"/>
      <c r="T652" s="12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spans="1:46" ht="15.75" customHeight="1" x14ac:dyDescent="0.2">
      <c r="A653" s="118"/>
      <c r="B653" s="118"/>
      <c r="C653" s="118"/>
      <c r="D653" s="118"/>
      <c r="E653" s="118"/>
      <c r="F653" s="118"/>
      <c r="G653" s="118"/>
      <c r="H653" s="118"/>
      <c r="I653" s="118"/>
      <c r="J653" s="118"/>
      <c r="K653" s="118"/>
      <c r="L653" s="118"/>
      <c r="M653" s="118"/>
      <c r="N653" s="118"/>
      <c r="O653" s="42"/>
      <c r="P653" s="42"/>
      <c r="Q653" s="42"/>
      <c r="R653" s="42"/>
      <c r="S653" s="125"/>
      <c r="T653" s="12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spans="1:46" ht="15.75" customHeight="1" x14ac:dyDescent="0.2">
      <c r="A654" s="118"/>
      <c r="B654" s="118"/>
      <c r="C654" s="118"/>
      <c r="D654" s="118"/>
      <c r="E654" s="118"/>
      <c r="F654" s="118"/>
      <c r="G654" s="118"/>
      <c r="H654" s="118"/>
      <c r="I654" s="118"/>
      <c r="J654" s="118"/>
      <c r="K654" s="118"/>
      <c r="L654" s="118"/>
      <c r="M654" s="118"/>
      <c r="N654" s="118"/>
      <c r="O654" s="42"/>
      <c r="P654" s="42"/>
      <c r="Q654" s="42"/>
      <c r="R654" s="42"/>
      <c r="S654" s="125"/>
      <c r="T654" s="12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spans="1:46" ht="15.75" customHeight="1" x14ac:dyDescent="0.2">
      <c r="A655" s="118"/>
      <c r="B655" s="118"/>
      <c r="C655" s="118"/>
      <c r="D655" s="118"/>
      <c r="E655" s="118"/>
      <c r="F655" s="118"/>
      <c r="G655" s="118"/>
      <c r="H655" s="118"/>
      <c r="I655" s="118"/>
      <c r="J655" s="118"/>
      <c r="K655" s="118"/>
      <c r="L655" s="118"/>
      <c r="M655" s="118"/>
      <c r="N655" s="118"/>
      <c r="O655" s="42"/>
      <c r="P655" s="42"/>
      <c r="Q655" s="42"/>
      <c r="R655" s="42"/>
      <c r="S655" s="125"/>
      <c r="T655" s="12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spans="1:46" ht="15.75" customHeight="1" x14ac:dyDescent="0.2">
      <c r="A656" s="118"/>
      <c r="B656" s="118"/>
      <c r="C656" s="118"/>
      <c r="D656" s="118"/>
      <c r="E656" s="118"/>
      <c r="F656" s="118"/>
      <c r="G656" s="118"/>
      <c r="H656" s="118"/>
      <c r="I656" s="118"/>
      <c r="J656" s="118"/>
      <c r="K656" s="118"/>
      <c r="L656" s="118"/>
      <c r="M656" s="118"/>
      <c r="N656" s="118"/>
      <c r="O656" s="42"/>
      <c r="P656" s="42"/>
      <c r="Q656" s="42"/>
      <c r="R656" s="42"/>
      <c r="S656" s="125"/>
      <c r="T656" s="12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spans="1:46" ht="15.75" customHeight="1" x14ac:dyDescent="0.2">
      <c r="A657" s="118"/>
      <c r="B657" s="118"/>
      <c r="C657" s="118"/>
      <c r="D657" s="118"/>
      <c r="E657" s="118"/>
      <c r="F657" s="118"/>
      <c r="G657" s="118"/>
      <c r="H657" s="118"/>
      <c r="I657" s="118"/>
      <c r="J657" s="118"/>
      <c r="K657" s="118"/>
      <c r="L657" s="118"/>
      <c r="M657" s="118"/>
      <c r="N657" s="118"/>
      <c r="O657" s="42"/>
      <c r="P657" s="42"/>
      <c r="Q657" s="42"/>
      <c r="R657" s="42"/>
      <c r="S657" s="125"/>
      <c r="T657" s="12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spans="1:46" ht="15.75" customHeight="1" x14ac:dyDescent="0.2">
      <c r="A658" s="118"/>
      <c r="B658" s="118"/>
      <c r="C658" s="118"/>
      <c r="D658" s="118"/>
      <c r="E658" s="118"/>
      <c r="F658" s="118"/>
      <c r="G658" s="118"/>
      <c r="H658" s="118"/>
      <c r="I658" s="118"/>
      <c r="J658" s="118"/>
      <c r="K658" s="118"/>
      <c r="L658" s="118"/>
      <c r="M658" s="118"/>
      <c r="N658" s="118"/>
      <c r="O658" s="42"/>
      <c r="P658" s="42"/>
      <c r="Q658" s="42"/>
      <c r="R658" s="42"/>
      <c r="S658" s="125"/>
      <c r="T658" s="12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spans="1:46" ht="15.75" customHeight="1" x14ac:dyDescent="0.2">
      <c r="A659" s="118"/>
      <c r="B659" s="118"/>
      <c r="C659" s="118"/>
      <c r="D659" s="118"/>
      <c r="E659" s="118"/>
      <c r="F659" s="118"/>
      <c r="G659" s="118"/>
      <c r="H659" s="118"/>
      <c r="I659" s="118"/>
      <c r="J659" s="118"/>
      <c r="K659" s="118"/>
      <c r="L659" s="118"/>
      <c r="M659" s="118"/>
      <c r="N659" s="118"/>
      <c r="O659" s="42"/>
      <c r="P659" s="42"/>
      <c r="Q659" s="42"/>
      <c r="R659" s="42"/>
      <c r="S659" s="125"/>
      <c r="T659" s="12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spans="1:46" ht="15.75" customHeight="1" x14ac:dyDescent="0.2">
      <c r="A660" s="118"/>
      <c r="B660" s="118"/>
      <c r="C660" s="118"/>
      <c r="D660" s="118"/>
      <c r="E660" s="118"/>
      <c r="F660" s="118"/>
      <c r="G660" s="118"/>
      <c r="H660" s="118"/>
      <c r="I660" s="118"/>
      <c r="J660" s="118"/>
      <c r="K660" s="118"/>
      <c r="L660" s="118"/>
      <c r="M660" s="118"/>
      <c r="N660" s="118"/>
      <c r="O660" s="42"/>
      <c r="P660" s="42"/>
      <c r="Q660" s="42"/>
      <c r="R660" s="42"/>
      <c r="S660" s="125"/>
      <c r="T660" s="12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spans="1:46" ht="15.75" customHeight="1" x14ac:dyDescent="0.2">
      <c r="A661" s="118"/>
      <c r="B661" s="118"/>
      <c r="C661" s="118"/>
      <c r="D661" s="118"/>
      <c r="E661" s="118"/>
      <c r="F661" s="118"/>
      <c r="G661" s="118"/>
      <c r="H661" s="118"/>
      <c r="I661" s="118"/>
      <c r="J661" s="118"/>
      <c r="K661" s="118"/>
      <c r="L661" s="118"/>
      <c r="M661" s="118"/>
      <c r="N661" s="118"/>
      <c r="O661" s="42"/>
      <c r="P661" s="42"/>
      <c r="Q661" s="42"/>
      <c r="R661" s="42"/>
      <c r="S661" s="125"/>
      <c r="T661" s="12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spans="1:46" ht="15.75" customHeight="1" x14ac:dyDescent="0.2">
      <c r="A662" s="118"/>
      <c r="B662" s="118"/>
      <c r="C662" s="118"/>
      <c r="D662" s="118"/>
      <c r="E662" s="118"/>
      <c r="F662" s="118"/>
      <c r="G662" s="118"/>
      <c r="H662" s="118"/>
      <c r="I662" s="118"/>
      <c r="J662" s="118"/>
      <c r="K662" s="118"/>
      <c r="L662" s="118"/>
      <c r="M662" s="118"/>
      <c r="N662" s="118"/>
      <c r="O662" s="42"/>
      <c r="P662" s="42"/>
      <c r="Q662" s="42"/>
      <c r="R662" s="42"/>
      <c r="S662" s="125"/>
      <c r="T662" s="12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spans="1:46" ht="15.75" customHeight="1" x14ac:dyDescent="0.2">
      <c r="A663" s="118"/>
      <c r="B663" s="118"/>
      <c r="C663" s="118"/>
      <c r="D663" s="118"/>
      <c r="E663" s="118"/>
      <c r="F663" s="118"/>
      <c r="G663" s="118"/>
      <c r="H663" s="118"/>
      <c r="I663" s="118"/>
      <c r="J663" s="118"/>
      <c r="K663" s="118"/>
      <c r="L663" s="118"/>
      <c r="M663" s="118"/>
      <c r="N663" s="118"/>
      <c r="O663" s="42"/>
      <c r="P663" s="42"/>
      <c r="Q663" s="42"/>
      <c r="R663" s="42"/>
      <c r="S663" s="125"/>
      <c r="T663" s="12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spans="1:46" ht="15.75" customHeight="1" x14ac:dyDescent="0.2">
      <c r="A664" s="118"/>
      <c r="B664" s="118"/>
      <c r="C664" s="118"/>
      <c r="D664" s="118"/>
      <c r="E664" s="118"/>
      <c r="F664" s="118"/>
      <c r="G664" s="118"/>
      <c r="H664" s="118"/>
      <c r="I664" s="118"/>
      <c r="J664" s="118"/>
      <c r="K664" s="118"/>
      <c r="L664" s="118"/>
      <c r="M664" s="118"/>
      <c r="N664" s="118"/>
      <c r="O664" s="42"/>
      <c r="P664" s="42"/>
      <c r="Q664" s="42"/>
      <c r="R664" s="42"/>
      <c r="S664" s="125"/>
      <c r="T664" s="12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spans="1:46" ht="15.75" customHeight="1" x14ac:dyDescent="0.2">
      <c r="A665" s="118"/>
      <c r="B665" s="118"/>
      <c r="C665" s="118"/>
      <c r="D665" s="118"/>
      <c r="E665" s="118"/>
      <c r="F665" s="118"/>
      <c r="G665" s="118"/>
      <c r="H665" s="118"/>
      <c r="I665" s="118"/>
      <c r="J665" s="118"/>
      <c r="K665" s="118"/>
      <c r="L665" s="118"/>
      <c r="M665" s="118"/>
      <c r="N665" s="118"/>
      <c r="O665" s="42"/>
      <c r="P665" s="42"/>
      <c r="Q665" s="42"/>
      <c r="R665" s="42"/>
      <c r="S665" s="125"/>
      <c r="T665" s="12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spans="1:46" ht="15.75" customHeight="1" x14ac:dyDescent="0.2">
      <c r="A666" s="118"/>
      <c r="B666" s="118"/>
      <c r="C666" s="118"/>
      <c r="D666" s="118"/>
      <c r="E666" s="118"/>
      <c r="F666" s="118"/>
      <c r="G666" s="118"/>
      <c r="H666" s="118"/>
      <c r="I666" s="118"/>
      <c r="J666" s="118"/>
      <c r="K666" s="118"/>
      <c r="L666" s="118"/>
      <c r="M666" s="118"/>
      <c r="N666" s="118"/>
      <c r="O666" s="42"/>
      <c r="P666" s="42"/>
      <c r="Q666" s="42"/>
      <c r="R666" s="42"/>
      <c r="S666" s="125"/>
      <c r="T666" s="12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spans="1:46" ht="15.75" customHeight="1" x14ac:dyDescent="0.2">
      <c r="A667" s="118"/>
      <c r="B667" s="118"/>
      <c r="C667" s="118"/>
      <c r="D667" s="118"/>
      <c r="E667" s="118"/>
      <c r="F667" s="118"/>
      <c r="G667" s="118"/>
      <c r="H667" s="118"/>
      <c r="I667" s="118"/>
      <c r="J667" s="118"/>
      <c r="K667" s="118"/>
      <c r="L667" s="118"/>
      <c r="M667" s="118"/>
      <c r="N667" s="118"/>
      <c r="O667" s="42"/>
      <c r="P667" s="42"/>
      <c r="Q667" s="42"/>
      <c r="R667" s="42"/>
      <c r="S667" s="125"/>
      <c r="T667" s="12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spans="1:46" ht="15.75" customHeight="1" x14ac:dyDescent="0.2">
      <c r="A668" s="118"/>
      <c r="B668" s="118"/>
      <c r="C668" s="118"/>
      <c r="D668" s="118"/>
      <c r="E668" s="118"/>
      <c r="F668" s="118"/>
      <c r="G668" s="118"/>
      <c r="H668" s="118"/>
      <c r="I668" s="118"/>
      <c r="J668" s="118"/>
      <c r="K668" s="118"/>
      <c r="L668" s="118"/>
      <c r="M668" s="118"/>
      <c r="N668" s="118"/>
      <c r="O668" s="42"/>
      <c r="P668" s="42"/>
      <c r="Q668" s="42"/>
      <c r="R668" s="42"/>
      <c r="S668" s="125"/>
      <c r="T668" s="12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spans="1:46" ht="15.75" customHeight="1" x14ac:dyDescent="0.2">
      <c r="A669" s="118"/>
      <c r="B669" s="118"/>
      <c r="C669" s="118"/>
      <c r="D669" s="118"/>
      <c r="E669" s="118"/>
      <c r="F669" s="118"/>
      <c r="G669" s="118"/>
      <c r="H669" s="118"/>
      <c r="I669" s="118"/>
      <c r="J669" s="118"/>
      <c r="K669" s="118"/>
      <c r="L669" s="118"/>
      <c r="M669" s="118"/>
      <c r="N669" s="118"/>
      <c r="O669" s="42"/>
      <c r="P669" s="42"/>
      <c r="Q669" s="42"/>
      <c r="R669" s="42"/>
      <c r="S669" s="125"/>
      <c r="T669" s="12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spans="1:46" ht="15.75" customHeight="1" x14ac:dyDescent="0.2">
      <c r="A670" s="118"/>
      <c r="B670" s="118"/>
      <c r="C670" s="118"/>
      <c r="D670" s="118"/>
      <c r="E670" s="118"/>
      <c r="F670" s="118"/>
      <c r="G670" s="118"/>
      <c r="H670" s="118"/>
      <c r="I670" s="118"/>
      <c r="J670" s="118"/>
      <c r="K670" s="118"/>
      <c r="L670" s="118"/>
      <c r="M670" s="118"/>
      <c r="N670" s="118"/>
      <c r="O670" s="42"/>
      <c r="P670" s="42"/>
      <c r="Q670" s="42"/>
      <c r="R670" s="42"/>
      <c r="S670" s="125"/>
      <c r="T670" s="12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spans="1:46" ht="15.75" customHeight="1" x14ac:dyDescent="0.2">
      <c r="A671" s="118"/>
      <c r="B671" s="118"/>
      <c r="C671" s="118"/>
      <c r="D671" s="118"/>
      <c r="E671" s="118"/>
      <c r="F671" s="118"/>
      <c r="G671" s="118"/>
      <c r="H671" s="118"/>
      <c r="I671" s="118"/>
      <c r="J671" s="118"/>
      <c r="K671" s="118"/>
      <c r="L671" s="118"/>
      <c r="M671" s="118"/>
      <c r="N671" s="118"/>
      <c r="O671" s="42"/>
      <c r="P671" s="42"/>
      <c r="Q671" s="42"/>
      <c r="R671" s="42"/>
      <c r="S671" s="125"/>
      <c r="T671" s="12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spans="1:46" ht="15.75" customHeight="1" x14ac:dyDescent="0.2">
      <c r="A672" s="118"/>
      <c r="B672" s="118"/>
      <c r="C672" s="118"/>
      <c r="D672" s="118"/>
      <c r="E672" s="118"/>
      <c r="F672" s="118"/>
      <c r="G672" s="118"/>
      <c r="H672" s="118"/>
      <c r="I672" s="118"/>
      <c r="J672" s="118"/>
      <c r="K672" s="118"/>
      <c r="L672" s="118"/>
      <c r="M672" s="118"/>
      <c r="N672" s="118"/>
      <c r="O672" s="42"/>
      <c r="P672" s="42"/>
      <c r="Q672" s="42"/>
      <c r="R672" s="42"/>
      <c r="S672" s="125"/>
      <c r="T672" s="12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spans="1:46" ht="15.75" customHeight="1" x14ac:dyDescent="0.2">
      <c r="A673" s="118"/>
      <c r="B673" s="118"/>
      <c r="C673" s="118"/>
      <c r="D673" s="118"/>
      <c r="E673" s="118"/>
      <c r="F673" s="118"/>
      <c r="G673" s="118"/>
      <c r="H673" s="118"/>
      <c r="I673" s="118"/>
      <c r="J673" s="118"/>
      <c r="K673" s="118"/>
      <c r="L673" s="118"/>
      <c r="M673" s="118"/>
      <c r="N673" s="118"/>
      <c r="O673" s="42"/>
      <c r="P673" s="42"/>
      <c r="Q673" s="42"/>
      <c r="R673" s="42"/>
      <c r="S673" s="125"/>
      <c r="T673" s="12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spans="1:46" ht="15.75" customHeight="1" x14ac:dyDescent="0.2">
      <c r="A674" s="118"/>
      <c r="B674" s="118"/>
      <c r="C674" s="118"/>
      <c r="D674" s="118"/>
      <c r="E674" s="118"/>
      <c r="F674" s="118"/>
      <c r="G674" s="118"/>
      <c r="H674" s="118"/>
      <c r="I674" s="118"/>
      <c r="J674" s="118"/>
      <c r="K674" s="118"/>
      <c r="L674" s="118"/>
      <c r="M674" s="118"/>
      <c r="N674" s="118"/>
      <c r="O674" s="42"/>
      <c r="P674" s="42"/>
      <c r="Q674" s="42"/>
      <c r="R674" s="42"/>
      <c r="S674" s="125"/>
      <c r="T674" s="12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spans="1:46" ht="15.75" customHeight="1" x14ac:dyDescent="0.2">
      <c r="A675" s="118"/>
      <c r="B675" s="118"/>
      <c r="C675" s="118"/>
      <c r="D675" s="118"/>
      <c r="E675" s="118"/>
      <c r="F675" s="118"/>
      <c r="G675" s="118"/>
      <c r="H675" s="118"/>
      <c r="I675" s="118"/>
      <c r="J675" s="118"/>
      <c r="K675" s="118"/>
      <c r="L675" s="118"/>
      <c r="M675" s="118"/>
      <c r="N675" s="118"/>
      <c r="O675" s="42"/>
      <c r="P675" s="42"/>
      <c r="Q675" s="42"/>
      <c r="R675" s="42"/>
      <c r="S675" s="125"/>
      <c r="T675" s="12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spans="1:46" ht="15.75" customHeight="1" x14ac:dyDescent="0.2">
      <c r="A676" s="118"/>
      <c r="B676" s="118"/>
      <c r="C676" s="118"/>
      <c r="D676" s="118"/>
      <c r="E676" s="118"/>
      <c r="F676" s="118"/>
      <c r="G676" s="118"/>
      <c r="H676" s="118"/>
      <c r="I676" s="118"/>
      <c r="J676" s="118"/>
      <c r="K676" s="118"/>
      <c r="L676" s="118"/>
      <c r="M676" s="118"/>
      <c r="N676" s="118"/>
      <c r="O676" s="42"/>
      <c r="P676" s="42"/>
      <c r="Q676" s="42"/>
      <c r="R676" s="42"/>
      <c r="S676" s="125"/>
      <c r="T676" s="12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spans="1:46" ht="15.75" customHeight="1" x14ac:dyDescent="0.2">
      <c r="A677" s="118"/>
      <c r="B677" s="118"/>
      <c r="C677" s="118"/>
      <c r="D677" s="118"/>
      <c r="E677" s="118"/>
      <c r="F677" s="118"/>
      <c r="G677" s="118"/>
      <c r="H677" s="118"/>
      <c r="I677" s="118"/>
      <c r="J677" s="118"/>
      <c r="K677" s="118"/>
      <c r="L677" s="118"/>
      <c r="M677" s="118"/>
      <c r="N677" s="118"/>
      <c r="O677" s="42"/>
      <c r="P677" s="42"/>
      <c r="Q677" s="42"/>
      <c r="R677" s="42"/>
      <c r="S677" s="125"/>
      <c r="T677" s="12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spans="1:46" ht="15.75" customHeight="1" x14ac:dyDescent="0.2">
      <c r="A678" s="118"/>
      <c r="B678" s="118"/>
      <c r="C678" s="118"/>
      <c r="D678" s="118"/>
      <c r="E678" s="118"/>
      <c r="F678" s="118"/>
      <c r="G678" s="118"/>
      <c r="H678" s="118"/>
      <c r="I678" s="118"/>
      <c r="J678" s="118"/>
      <c r="K678" s="118"/>
      <c r="L678" s="118"/>
      <c r="M678" s="118"/>
      <c r="N678" s="118"/>
      <c r="O678" s="42"/>
      <c r="P678" s="42"/>
      <c r="Q678" s="42"/>
      <c r="R678" s="42"/>
      <c r="S678" s="125"/>
      <c r="T678" s="12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spans="1:46" ht="15.75" customHeight="1" x14ac:dyDescent="0.2">
      <c r="A679" s="118"/>
      <c r="B679" s="118"/>
      <c r="C679" s="118"/>
      <c r="D679" s="118"/>
      <c r="E679" s="118"/>
      <c r="F679" s="118"/>
      <c r="G679" s="118"/>
      <c r="H679" s="118"/>
      <c r="I679" s="118"/>
      <c r="J679" s="118"/>
      <c r="K679" s="118"/>
      <c r="L679" s="118"/>
      <c r="M679" s="118"/>
      <c r="N679" s="118"/>
      <c r="O679" s="42"/>
      <c r="P679" s="42"/>
      <c r="Q679" s="42"/>
      <c r="R679" s="42"/>
      <c r="S679" s="125"/>
      <c r="T679" s="12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spans="1:46" ht="15.75" customHeight="1" x14ac:dyDescent="0.2">
      <c r="A680" s="118"/>
      <c r="B680" s="118"/>
      <c r="C680" s="118"/>
      <c r="D680" s="118"/>
      <c r="E680" s="118"/>
      <c r="F680" s="118"/>
      <c r="G680" s="118"/>
      <c r="H680" s="118"/>
      <c r="I680" s="118"/>
      <c r="J680" s="118"/>
      <c r="K680" s="118"/>
      <c r="L680" s="118"/>
      <c r="M680" s="118"/>
      <c r="N680" s="118"/>
      <c r="O680" s="42"/>
      <c r="P680" s="42"/>
      <c r="Q680" s="42"/>
      <c r="R680" s="42"/>
      <c r="S680" s="125"/>
      <c r="T680" s="12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spans="1:46" ht="15.75" customHeight="1" x14ac:dyDescent="0.2">
      <c r="A681" s="118"/>
      <c r="B681" s="118"/>
      <c r="C681" s="118"/>
      <c r="D681" s="118"/>
      <c r="E681" s="118"/>
      <c r="F681" s="118"/>
      <c r="G681" s="118"/>
      <c r="H681" s="118"/>
      <c r="I681" s="118"/>
      <c r="J681" s="118"/>
      <c r="K681" s="118"/>
      <c r="L681" s="118"/>
      <c r="M681" s="118"/>
      <c r="N681" s="118"/>
      <c r="O681" s="42"/>
      <c r="P681" s="42"/>
      <c r="Q681" s="42"/>
      <c r="R681" s="42"/>
      <c r="S681" s="125"/>
      <c r="T681" s="12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spans="1:46" ht="15.75" customHeight="1" x14ac:dyDescent="0.2">
      <c r="A682" s="118"/>
      <c r="B682" s="118"/>
      <c r="C682" s="118"/>
      <c r="D682" s="118"/>
      <c r="E682" s="118"/>
      <c r="F682" s="118"/>
      <c r="G682" s="118"/>
      <c r="H682" s="118"/>
      <c r="I682" s="118"/>
      <c r="J682" s="118"/>
      <c r="K682" s="118"/>
      <c r="L682" s="118"/>
      <c r="M682" s="118"/>
      <c r="N682" s="118"/>
      <c r="O682" s="42"/>
      <c r="P682" s="42"/>
      <c r="Q682" s="42"/>
      <c r="R682" s="42"/>
      <c r="S682" s="125"/>
      <c r="T682" s="12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spans="1:46" ht="15.75" customHeight="1" x14ac:dyDescent="0.2">
      <c r="A683" s="118"/>
      <c r="B683" s="118"/>
      <c r="C683" s="118"/>
      <c r="D683" s="118"/>
      <c r="E683" s="118"/>
      <c r="F683" s="118"/>
      <c r="G683" s="118"/>
      <c r="H683" s="118"/>
      <c r="I683" s="118"/>
      <c r="J683" s="118"/>
      <c r="K683" s="118"/>
      <c r="L683" s="118"/>
      <c r="M683" s="118"/>
      <c r="N683" s="118"/>
      <c r="O683" s="42"/>
      <c r="P683" s="42"/>
      <c r="Q683" s="42"/>
      <c r="R683" s="42"/>
      <c r="S683" s="125"/>
      <c r="T683" s="12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spans="1:46" ht="15.75" customHeight="1" x14ac:dyDescent="0.2">
      <c r="A684" s="118"/>
      <c r="B684" s="118"/>
      <c r="C684" s="118"/>
      <c r="D684" s="118"/>
      <c r="E684" s="118"/>
      <c r="F684" s="118"/>
      <c r="G684" s="118"/>
      <c r="H684" s="118"/>
      <c r="I684" s="118"/>
      <c r="J684" s="118"/>
      <c r="K684" s="118"/>
      <c r="L684" s="118"/>
      <c r="M684" s="118"/>
      <c r="N684" s="118"/>
      <c r="O684" s="42"/>
      <c r="P684" s="42"/>
      <c r="Q684" s="42"/>
      <c r="R684" s="42"/>
      <c r="S684" s="125"/>
      <c r="T684" s="12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spans="1:46" ht="15.75" customHeight="1" x14ac:dyDescent="0.2">
      <c r="A685" s="118"/>
      <c r="B685" s="118"/>
      <c r="C685" s="118"/>
      <c r="D685" s="118"/>
      <c r="E685" s="118"/>
      <c r="F685" s="118"/>
      <c r="G685" s="118"/>
      <c r="H685" s="118"/>
      <c r="I685" s="118"/>
      <c r="J685" s="118"/>
      <c r="K685" s="118"/>
      <c r="L685" s="118"/>
      <c r="M685" s="118"/>
      <c r="N685" s="118"/>
      <c r="O685" s="42"/>
      <c r="P685" s="42"/>
      <c r="Q685" s="42"/>
      <c r="R685" s="42"/>
      <c r="S685" s="125"/>
      <c r="T685" s="12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spans="1:46" ht="15.75" customHeight="1" x14ac:dyDescent="0.2">
      <c r="A686" s="118"/>
      <c r="B686" s="118"/>
      <c r="C686" s="118"/>
      <c r="D686" s="118"/>
      <c r="E686" s="118"/>
      <c r="F686" s="118"/>
      <c r="G686" s="118"/>
      <c r="H686" s="118"/>
      <c r="I686" s="118"/>
      <c r="J686" s="118"/>
      <c r="K686" s="118"/>
      <c r="L686" s="118"/>
      <c r="M686" s="118"/>
      <c r="N686" s="118"/>
      <c r="O686" s="42"/>
      <c r="P686" s="42"/>
      <c r="Q686" s="42"/>
      <c r="R686" s="42"/>
      <c r="S686" s="125"/>
      <c r="T686" s="12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spans="1:46" ht="15.75" customHeight="1" x14ac:dyDescent="0.2">
      <c r="A687" s="118"/>
      <c r="B687" s="118"/>
      <c r="C687" s="118"/>
      <c r="D687" s="118"/>
      <c r="E687" s="118"/>
      <c r="F687" s="118"/>
      <c r="G687" s="118"/>
      <c r="H687" s="118"/>
      <c r="I687" s="118"/>
      <c r="J687" s="118"/>
      <c r="K687" s="118"/>
      <c r="L687" s="118"/>
      <c r="M687" s="118"/>
      <c r="N687" s="118"/>
      <c r="O687" s="42"/>
      <c r="P687" s="42"/>
      <c r="Q687" s="42"/>
      <c r="R687" s="42"/>
      <c r="S687" s="125"/>
      <c r="T687" s="12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spans="1:46" ht="15.75" customHeight="1" x14ac:dyDescent="0.2">
      <c r="A688" s="118"/>
      <c r="B688" s="118"/>
      <c r="C688" s="118"/>
      <c r="D688" s="118"/>
      <c r="E688" s="118"/>
      <c r="F688" s="118"/>
      <c r="G688" s="118"/>
      <c r="H688" s="118"/>
      <c r="I688" s="118"/>
      <c r="J688" s="118"/>
      <c r="K688" s="118"/>
      <c r="L688" s="118"/>
      <c r="M688" s="118"/>
      <c r="N688" s="118"/>
      <c r="O688" s="42"/>
      <c r="P688" s="42"/>
      <c r="Q688" s="42"/>
      <c r="R688" s="42"/>
      <c r="S688" s="125"/>
      <c r="T688" s="12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spans="1:46" ht="15.75" customHeight="1" x14ac:dyDescent="0.2">
      <c r="A689" s="118"/>
      <c r="B689" s="118"/>
      <c r="C689" s="118"/>
      <c r="D689" s="118"/>
      <c r="E689" s="118"/>
      <c r="F689" s="118"/>
      <c r="G689" s="118"/>
      <c r="H689" s="118"/>
      <c r="I689" s="118"/>
      <c r="J689" s="118"/>
      <c r="K689" s="118"/>
      <c r="L689" s="118"/>
      <c r="M689" s="118"/>
      <c r="N689" s="118"/>
      <c r="O689" s="42"/>
      <c r="P689" s="42"/>
      <c r="Q689" s="42"/>
      <c r="R689" s="42"/>
      <c r="S689" s="125"/>
      <c r="T689" s="12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spans="1:46" ht="15.75" customHeight="1" x14ac:dyDescent="0.2">
      <c r="A690" s="118"/>
      <c r="B690" s="118"/>
      <c r="C690" s="118"/>
      <c r="D690" s="118"/>
      <c r="E690" s="118"/>
      <c r="F690" s="118"/>
      <c r="G690" s="118"/>
      <c r="H690" s="118"/>
      <c r="I690" s="118"/>
      <c r="J690" s="118"/>
      <c r="K690" s="118"/>
      <c r="L690" s="118"/>
      <c r="M690" s="118"/>
      <c r="N690" s="118"/>
      <c r="O690" s="42"/>
      <c r="P690" s="42"/>
      <c r="Q690" s="42"/>
      <c r="R690" s="42"/>
      <c r="S690" s="125"/>
      <c r="T690" s="12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spans="1:46" ht="15.75" customHeight="1" x14ac:dyDescent="0.2">
      <c r="A691" s="118"/>
      <c r="B691" s="118"/>
      <c r="C691" s="118"/>
      <c r="D691" s="118"/>
      <c r="E691" s="118"/>
      <c r="F691" s="118"/>
      <c r="G691" s="118"/>
      <c r="H691" s="118"/>
      <c r="I691" s="118"/>
      <c r="J691" s="118"/>
      <c r="K691" s="118"/>
      <c r="L691" s="118"/>
      <c r="M691" s="118"/>
      <c r="N691" s="118"/>
      <c r="O691" s="42"/>
      <c r="P691" s="42"/>
      <c r="Q691" s="42"/>
      <c r="R691" s="42"/>
      <c r="S691" s="125"/>
      <c r="T691" s="12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spans="1:46" ht="15.75" customHeight="1" x14ac:dyDescent="0.2">
      <c r="A692" s="118"/>
      <c r="B692" s="118"/>
      <c r="C692" s="118"/>
      <c r="D692" s="118"/>
      <c r="E692" s="118"/>
      <c r="F692" s="118"/>
      <c r="G692" s="118"/>
      <c r="H692" s="118"/>
      <c r="I692" s="118"/>
      <c r="J692" s="118"/>
      <c r="K692" s="118"/>
      <c r="L692" s="118"/>
      <c r="M692" s="118"/>
      <c r="N692" s="118"/>
      <c r="O692" s="42"/>
      <c r="P692" s="42"/>
      <c r="Q692" s="42"/>
      <c r="R692" s="42"/>
      <c r="S692" s="125"/>
      <c r="T692" s="12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spans="1:46" ht="15.75" customHeight="1" x14ac:dyDescent="0.2">
      <c r="A693" s="118"/>
      <c r="B693" s="118"/>
      <c r="C693" s="118"/>
      <c r="D693" s="118"/>
      <c r="E693" s="118"/>
      <c r="F693" s="118"/>
      <c r="G693" s="118"/>
      <c r="H693" s="118"/>
      <c r="I693" s="118"/>
      <c r="J693" s="118"/>
      <c r="K693" s="118"/>
      <c r="L693" s="118"/>
      <c r="M693" s="118"/>
      <c r="N693" s="118"/>
      <c r="O693" s="42"/>
      <c r="P693" s="42"/>
      <c r="Q693" s="42"/>
      <c r="R693" s="42"/>
      <c r="S693" s="125"/>
      <c r="T693" s="12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spans="1:46" ht="15.75" customHeight="1" x14ac:dyDescent="0.2">
      <c r="A694" s="118"/>
      <c r="B694" s="118"/>
      <c r="C694" s="118"/>
      <c r="D694" s="118"/>
      <c r="E694" s="118"/>
      <c r="F694" s="118"/>
      <c r="G694" s="118"/>
      <c r="H694" s="118"/>
      <c r="I694" s="118"/>
      <c r="J694" s="118"/>
      <c r="K694" s="118"/>
      <c r="L694" s="118"/>
      <c r="M694" s="118"/>
      <c r="N694" s="118"/>
      <c r="O694" s="42"/>
      <c r="P694" s="42"/>
      <c r="Q694" s="42"/>
      <c r="R694" s="42"/>
      <c r="S694" s="125"/>
      <c r="T694" s="12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spans="1:46" ht="15.75" customHeight="1" x14ac:dyDescent="0.2">
      <c r="A695" s="118"/>
      <c r="B695" s="118"/>
      <c r="C695" s="118"/>
      <c r="D695" s="118"/>
      <c r="E695" s="118"/>
      <c r="F695" s="118"/>
      <c r="G695" s="118"/>
      <c r="H695" s="118"/>
      <c r="I695" s="118"/>
      <c r="J695" s="118"/>
      <c r="K695" s="118"/>
      <c r="L695" s="118"/>
      <c r="M695" s="118"/>
      <c r="N695" s="118"/>
      <c r="O695" s="42"/>
      <c r="P695" s="42"/>
      <c r="Q695" s="42"/>
      <c r="R695" s="42"/>
      <c r="S695" s="125"/>
      <c r="T695" s="12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spans="1:46" ht="15.75" customHeight="1" x14ac:dyDescent="0.2">
      <c r="A696" s="118"/>
      <c r="B696" s="118"/>
      <c r="C696" s="118"/>
      <c r="D696" s="118"/>
      <c r="E696" s="118"/>
      <c r="F696" s="118"/>
      <c r="G696" s="118"/>
      <c r="H696" s="118"/>
      <c r="I696" s="118"/>
      <c r="J696" s="118"/>
      <c r="K696" s="118"/>
      <c r="L696" s="118"/>
      <c r="M696" s="118"/>
      <c r="N696" s="118"/>
      <c r="O696" s="42"/>
      <c r="P696" s="42"/>
      <c r="Q696" s="42"/>
      <c r="R696" s="42"/>
      <c r="S696" s="125"/>
      <c r="T696" s="12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spans="1:46" ht="15.75" customHeight="1" x14ac:dyDescent="0.2">
      <c r="A697" s="118"/>
      <c r="B697" s="118"/>
      <c r="C697" s="118"/>
      <c r="D697" s="118"/>
      <c r="E697" s="118"/>
      <c r="F697" s="118"/>
      <c r="G697" s="118"/>
      <c r="H697" s="118"/>
      <c r="I697" s="118"/>
      <c r="J697" s="118"/>
      <c r="K697" s="118"/>
      <c r="L697" s="118"/>
      <c r="M697" s="118"/>
      <c r="N697" s="118"/>
      <c r="O697" s="42"/>
      <c r="P697" s="42"/>
      <c r="Q697" s="42"/>
      <c r="R697" s="42"/>
      <c r="S697" s="125"/>
      <c r="T697" s="12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spans="1:46" ht="15.75" customHeight="1" x14ac:dyDescent="0.2">
      <c r="A698" s="118"/>
      <c r="B698" s="118"/>
      <c r="C698" s="118"/>
      <c r="D698" s="118"/>
      <c r="E698" s="118"/>
      <c r="F698" s="118"/>
      <c r="G698" s="118"/>
      <c r="H698" s="118"/>
      <c r="I698" s="118"/>
      <c r="J698" s="118"/>
      <c r="K698" s="118"/>
      <c r="L698" s="118"/>
      <c r="M698" s="118"/>
      <c r="N698" s="118"/>
      <c r="O698" s="42"/>
      <c r="P698" s="42"/>
      <c r="Q698" s="42"/>
      <c r="R698" s="42"/>
      <c r="S698" s="125"/>
      <c r="T698" s="12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spans="1:46" ht="15.75" customHeight="1" x14ac:dyDescent="0.2">
      <c r="A699" s="118"/>
      <c r="B699" s="118"/>
      <c r="C699" s="118"/>
      <c r="D699" s="118"/>
      <c r="E699" s="118"/>
      <c r="F699" s="118"/>
      <c r="G699" s="118"/>
      <c r="H699" s="118"/>
      <c r="I699" s="118"/>
      <c r="J699" s="118"/>
      <c r="K699" s="118"/>
      <c r="L699" s="118"/>
      <c r="M699" s="118"/>
      <c r="N699" s="118"/>
      <c r="O699" s="42"/>
      <c r="P699" s="42"/>
      <c r="Q699" s="42"/>
      <c r="R699" s="42"/>
      <c r="S699" s="125"/>
      <c r="T699" s="12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spans="1:46" ht="15.75" customHeight="1" x14ac:dyDescent="0.2">
      <c r="A700" s="118"/>
      <c r="B700" s="118"/>
      <c r="C700" s="118"/>
      <c r="D700" s="118"/>
      <c r="E700" s="118"/>
      <c r="F700" s="118"/>
      <c r="G700" s="118"/>
      <c r="H700" s="118"/>
      <c r="I700" s="118"/>
      <c r="J700" s="118"/>
      <c r="K700" s="118"/>
      <c r="L700" s="118"/>
      <c r="M700" s="118"/>
      <c r="N700" s="118"/>
      <c r="O700" s="42"/>
      <c r="P700" s="42"/>
      <c r="Q700" s="42"/>
      <c r="R700" s="42"/>
      <c r="S700" s="125"/>
      <c r="T700" s="12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spans="1:46" ht="15.75" customHeight="1" x14ac:dyDescent="0.2">
      <c r="A701" s="118"/>
      <c r="B701" s="118"/>
      <c r="C701" s="118"/>
      <c r="D701" s="118"/>
      <c r="E701" s="118"/>
      <c r="F701" s="118"/>
      <c r="G701" s="118"/>
      <c r="H701" s="118"/>
      <c r="I701" s="118"/>
      <c r="J701" s="118"/>
      <c r="K701" s="118"/>
      <c r="L701" s="118"/>
      <c r="M701" s="118"/>
      <c r="N701" s="118"/>
      <c r="O701" s="42"/>
      <c r="P701" s="42"/>
      <c r="Q701" s="42"/>
      <c r="R701" s="42"/>
      <c r="S701" s="125"/>
      <c r="T701" s="12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spans="1:46" ht="15.75" customHeight="1" x14ac:dyDescent="0.2">
      <c r="A702" s="118"/>
      <c r="B702" s="118"/>
      <c r="C702" s="118"/>
      <c r="D702" s="118"/>
      <c r="E702" s="118"/>
      <c r="F702" s="118"/>
      <c r="G702" s="118"/>
      <c r="H702" s="118"/>
      <c r="I702" s="118"/>
      <c r="J702" s="118"/>
      <c r="K702" s="118"/>
      <c r="L702" s="118"/>
      <c r="M702" s="118"/>
      <c r="N702" s="118"/>
      <c r="O702" s="42"/>
      <c r="P702" s="42"/>
      <c r="Q702" s="42"/>
      <c r="R702" s="42"/>
      <c r="S702" s="125"/>
      <c r="T702" s="12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spans="1:46" ht="15.75" customHeight="1" x14ac:dyDescent="0.2">
      <c r="A703" s="118"/>
      <c r="B703" s="118"/>
      <c r="C703" s="118"/>
      <c r="D703" s="118"/>
      <c r="E703" s="118"/>
      <c r="F703" s="118"/>
      <c r="G703" s="118"/>
      <c r="H703" s="118"/>
      <c r="I703" s="118"/>
      <c r="J703" s="118"/>
      <c r="K703" s="118"/>
      <c r="L703" s="118"/>
      <c r="M703" s="118"/>
      <c r="N703" s="118"/>
      <c r="O703" s="42"/>
      <c r="P703" s="42"/>
      <c r="Q703" s="42"/>
      <c r="R703" s="42"/>
      <c r="S703" s="125"/>
      <c r="T703" s="12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spans="1:46" ht="15.75" customHeight="1" x14ac:dyDescent="0.2">
      <c r="A704" s="118"/>
      <c r="B704" s="118"/>
      <c r="C704" s="118"/>
      <c r="D704" s="118"/>
      <c r="E704" s="118"/>
      <c r="F704" s="118"/>
      <c r="G704" s="118"/>
      <c r="H704" s="118"/>
      <c r="I704" s="118"/>
      <c r="J704" s="118"/>
      <c r="K704" s="118"/>
      <c r="L704" s="118"/>
      <c r="M704" s="118"/>
      <c r="N704" s="118"/>
      <c r="O704" s="42"/>
      <c r="P704" s="42"/>
      <c r="Q704" s="42"/>
      <c r="R704" s="42"/>
      <c r="S704" s="125"/>
      <c r="T704" s="12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spans="1:46" ht="15.75" customHeight="1" x14ac:dyDescent="0.2">
      <c r="A705" s="118"/>
      <c r="B705" s="118"/>
      <c r="C705" s="118"/>
      <c r="D705" s="118"/>
      <c r="E705" s="118"/>
      <c r="F705" s="118"/>
      <c r="G705" s="118"/>
      <c r="H705" s="118"/>
      <c r="I705" s="118"/>
      <c r="J705" s="118"/>
      <c r="K705" s="118"/>
      <c r="L705" s="118"/>
      <c r="M705" s="118"/>
      <c r="N705" s="118"/>
      <c r="O705" s="42"/>
      <c r="P705" s="42"/>
      <c r="Q705" s="42"/>
      <c r="R705" s="42"/>
      <c r="S705" s="125"/>
      <c r="T705" s="12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spans="1:46" ht="15.75" customHeight="1" x14ac:dyDescent="0.2">
      <c r="A706" s="118"/>
      <c r="B706" s="118"/>
      <c r="C706" s="118"/>
      <c r="D706" s="118"/>
      <c r="E706" s="118"/>
      <c r="F706" s="118"/>
      <c r="G706" s="118"/>
      <c r="H706" s="118"/>
      <c r="I706" s="118"/>
      <c r="J706" s="118"/>
      <c r="K706" s="118"/>
      <c r="L706" s="118"/>
      <c r="M706" s="118"/>
      <c r="N706" s="118"/>
      <c r="O706" s="42"/>
      <c r="P706" s="42"/>
      <c r="Q706" s="42"/>
      <c r="R706" s="42"/>
      <c r="S706" s="125"/>
      <c r="T706" s="12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spans="1:46" ht="15.75" customHeight="1" x14ac:dyDescent="0.2">
      <c r="A707" s="118"/>
      <c r="B707" s="118"/>
      <c r="C707" s="118"/>
      <c r="D707" s="118"/>
      <c r="E707" s="118"/>
      <c r="F707" s="118"/>
      <c r="G707" s="118"/>
      <c r="H707" s="118"/>
      <c r="I707" s="118"/>
      <c r="J707" s="118"/>
      <c r="K707" s="118"/>
      <c r="L707" s="118"/>
      <c r="M707" s="118"/>
      <c r="N707" s="118"/>
      <c r="O707" s="42"/>
      <c r="P707" s="42"/>
      <c r="Q707" s="42"/>
      <c r="R707" s="42"/>
      <c r="S707" s="125"/>
      <c r="T707" s="12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spans="1:46" ht="15.75" customHeight="1" x14ac:dyDescent="0.2">
      <c r="A708" s="118"/>
      <c r="B708" s="118"/>
      <c r="C708" s="118"/>
      <c r="D708" s="118"/>
      <c r="E708" s="118"/>
      <c r="F708" s="118"/>
      <c r="G708" s="118"/>
      <c r="H708" s="118"/>
      <c r="I708" s="118"/>
      <c r="J708" s="118"/>
      <c r="K708" s="118"/>
      <c r="L708" s="118"/>
      <c r="M708" s="118"/>
      <c r="N708" s="118"/>
      <c r="O708" s="42"/>
      <c r="P708" s="42"/>
      <c r="Q708" s="42"/>
      <c r="R708" s="42"/>
      <c r="S708" s="125"/>
      <c r="T708" s="12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spans="1:46" ht="15.75" customHeight="1" x14ac:dyDescent="0.2">
      <c r="A709" s="118"/>
      <c r="B709" s="118"/>
      <c r="C709" s="118"/>
      <c r="D709" s="118"/>
      <c r="E709" s="118"/>
      <c r="F709" s="118"/>
      <c r="G709" s="118"/>
      <c r="H709" s="118"/>
      <c r="I709" s="118"/>
      <c r="J709" s="118"/>
      <c r="K709" s="118"/>
      <c r="L709" s="118"/>
      <c r="M709" s="118"/>
      <c r="N709" s="118"/>
      <c r="O709" s="42"/>
      <c r="P709" s="42"/>
      <c r="Q709" s="42"/>
      <c r="R709" s="42"/>
      <c r="S709" s="125"/>
      <c r="T709" s="12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spans="1:46" ht="15.75" customHeight="1" x14ac:dyDescent="0.2">
      <c r="A710" s="118"/>
      <c r="B710" s="118"/>
      <c r="C710" s="118"/>
      <c r="D710" s="118"/>
      <c r="E710" s="118"/>
      <c r="F710" s="118"/>
      <c r="G710" s="118"/>
      <c r="H710" s="118"/>
      <c r="I710" s="118"/>
      <c r="J710" s="118"/>
      <c r="K710" s="118"/>
      <c r="L710" s="118"/>
      <c r="M710" s="118"/>
      <c r="N710" s="118"/>
      <c r="O710" s="42"/>
      <c r="P710" s="42"/>
      <c r="Q710" s="42"/>
      <c r="R710" s="42"/>
      <c r="S710" s="125"/>
      <c r="T710" s="12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spans="1:46" ht="15.75" customHeight="1" x14ac:dyDescent="0.2">
      <c r="A711" s="118"/>
      <c r="B711" s="118"/>
      <c r="C711" s="118"/>
      <c r="D711" s="118"/>
      <c r="E711" s="118"/>
      <c r="F711" s="118"/>
      <c r="G711" s="118"/>
      <c r="H711" s="118"/>
      <c r="I711" s="118"/>
      <c r="J711" s="118"/>
      <c r="K711" s="118"/>
      <c r="L711" s="118"/>
      <c r="M711" s="118"/>
      <c r="N711" s="118"/>
      <c r="O711" s="42"/>
      <c r="P711" s="42"/>
      <c r="Q711" s="42"/>
      <c r="R711" s="42"/>
      <c r="S711" s="125"/>
      <c r="T711" s="12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spans="1:46" ht="15.75" customHeight="1" x14ac:dyDescent="0.2">
      <c r="A712" s="118"/>
      <c r="B712" s="118"/>
      <c r="C712" s="118"/>
      <c r="D712" s="118"/>
      <c r="E712" s="118"/>
      <c r="F712" s="118"/>
      <c r="G712" s="118"/>
      <c r="H712" s="118"/>
      <c r="I712" s="118"/>
      <c r="J712" s="118"/>
      <c r="K712" s="118"/>
      <c r="L712" s="118"/>
      <c r="M712" s="118"/>
      <c r="N712" s="118"/>
      <c r="O712" s="42"/>
      <c r="P712" s="42"/>
      <c r="Q712" s="42"/>
      <c r="R712" s="42"/>
      <c r="S712" s="125"/>
      <c r="T712" s="12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spans="1:46" ht="15.75" customHeight="1" x14ac:dyDescent="0.2">
      <c r="A713" s="118"/>
      <c r="B713" s="118"/>
      <c r="C713" s="118"/>
      <c r="D713" s="118"/>
      <c r="E713" s="118"/>
      <c r="F713" s="118"/>
      <c r="G713" s="118"/>
      <c r="H713" s="118"/>
      <c r="I713" s="118"/>
      <c r="J713" s="118"/>
      <c r="K713" s="118"/>
      <c r="L713" s="118"/>
      <c r="M713" s="118"/>
      <c r="N713" s="118"/>
      <c r="O713" s="42"/>
      <c r="P713" s="42"/>
      <c r="Q713" s="42"/>
      <c r="R713" s="42"/>
      <c r="S713" s="125"/>
      <c r="T713" s="12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spans="1:46" ht="15.75" customHeight="1" x14ac:dyDescent="0.2">
      <c r="A714" s="118"/>
      <c r="B714" s="118"/>
      <c r="C714" s="118"/>
      <c r="D714" s="118"/>
      <c r="E714" s="118"/>
      <c r="F714" s="118"/>
      <c r="G714" s="118"/>
      <c r="H714" s="118"/>
      <c r="I714" s="118"/>
      <c r="J714" s="118"/>
      <c r="K714" s="118"/>
      <c r="L714" s="118"/>
      <c r="M714" s="118"/>
      <c r="N714" s="118"/>
      <c r="O714" s="42"/>
      <c r="P714" s="42"/>
      <c r="Q714" s="42"/>
      <c r="R714" s="42"/>
      <c r="S714" s="125"/>
      <c r="T714" s="12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spans="1:46" ht="15.75" customHeight="1" x14ac:dyDescent="0.2">
      <c r="A715" s="118"/>
      <c r="B715" s="118"/>
      <c r="C715" s="118"/>
      <c r="D715" s="118"/>
      <c r="E715" s="118"/>
      <c r="F715" s="118"/>
      <c r="G715" s="118"/>
      <c r="H715" s="118"/>
      <c r="I715" s="118"/>
      <c r="J715" s="118"/>
      <c r="K715" s="118"/>
      <c r="L715" s="118"/>
      <c r="M715" s="118"/>
      <c r="N715" s="118"/>
      <c r="O715" s="42"/>
      <c r="P715" s="42"/>
      <c r="Q715" s="42"/>
      <c r="R715" s="42"/>
      <c r="S715" s="125"/>
      <c r="T715" s="12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spans="1:46" ht="15.75" customHeight="1" x14ac:dyDescent="0.2">
      <c r="A716" s="118"/>
      <c r="B716" s="118"/>
      <c r="C716" s="118"/>
      <c r="D716" s="118"/>
      <c r="E716" s="118"/>
      <c r="F716" s="118"/>
      <c r="G716" s="118"/>
      <c r="H716" s="118"/>
      <c r="I716" s="118"/>
      <c r="J716" s="118"/>
      <c r="K716" s="118"/>
      <c r="L716" s="118"/>
      <c r="M716" s="118"/>
      <c r="N716" s="118"/>
      <c r="O716" s="42"/>
      <c r="P716" s="42"/>
      <c r="Q716" s="42"/>
      <c r="R716" s="42"/>
      <c r="S716" s="125"/>
      <c r="T716" s="12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spans="1:46" ht="15.75" customHeight="1" x14ac:dyDescent="0.2">
      <c r="A717" s="118"/>
      <c r="B717" s="118"/>
      <c r="C717" s="118"/>
      <c r="D717" s="118"/>
      <c r="E717" s="118"/>
      <c r="F717" s="118"/>
      <c r="G717" s="118"/>
      <c r="H717" s="118"/>
      <c r="I717" s="118"/>
      <c r="J717" s="118"/>
      <c r="K717" s="118"/>
      <c r="L717" s="118"/>
      <c r="M717" s="118"/>
      <c r="N717" s="118"/>
      <c r="O717" s="42"/>
      <c r="P717" s="42"/>
      <c r="Q717" s="42"/>
      <c r="R717" s="42"/>
      <c r="S717" s="125"/>
      <c r="T717" s="12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spans="1:46" ht="15.75" customHeight="1" x14ac:dyDescent="0.2">
      <c r="A718" s="118"/>
      <c r="B718" s="118"/>
      <c r="C718" s="118"/>
      <c r="D718" s="118"/>
      <c r="E718" s="118"/>
      <c r="F718" s="118"/>
      <c r="G718" s="118"/>
      <c r="H718" s="118"/>
      <c r="I718" s="118"/>
      <c r="J718" s="118"/>
      <c r="K718" s="118"/>
      <c r="L718" s="118"/>
      <c r="M718" s="118"/>
      <c r="N718" s="118"/>
      <c r="O718" s="42"/>
      <c r="P718" s="42"/>
      <c r="Q718" s="42"/>
      <c r="R718" s="42"/>
      <c r="S718" s="125"/>
      <c r="T718" s="12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spans="1:46" ht="15.75" customHeight="1" x14ac:dyDescent="0.2">
      <c r="A719" s="118"/>
      <c r="B719" s="118"/>
      <c r="C719" s="118"/>
      <c r="D719" s="118"/>
      <c r="E719" s="118"/>
      <c r="F719" s="118"/>
      <c r="G719" s="118"/>
      <c r="H719" s="118"/>
      <c r="I719" s="118"/>
      <c r="J719" s="118"/>
      <c r="K719" s="118"/>
      <c r="L719" s="118"/>
      <c r="M719" s="118"/>
      <c r="N719" s="118"/>
      <c r="O719" s="42"/>
      <c r="P719" s="42"/>
      <c r="Q719" s="42"/>
      <c r="R719" s="42"/>
      <c r="S719" s="125"/>
      <c r="T719" s="12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spans="1:46" ht="15.75" customHeight="1" x14ac:dyDescent="0.2">
      <c r="A720" s="118"/>
      <c r="B720" s="118"/>
      <c r="C720" s="118"/>
      <c r="D720" s="118"/>
      <c r="E720" s="118"/>
      <c r="F720" s="118"/>
      <c r="G720" s="118"/>
      <c r="H720" s="118"/>
      <c r="I720" s="118"/>
      <c r="J720" s="118"/>
      <c r="K720" s="118"/>
      <c r="L720" s="118"/>
      <c r="M720" s="118"/>
      <c r="N720" s="118"/>
      <c r="O720" s="42"/>
      <c r="P720" s="42"/>
      <c r="Q720" s="42"/>
      <c r="R720" s="42"/>
      <c r="S720" s="125"/>
      <c r="T720" s="12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spans="1:46" ht="15.75" customHeight="1" x14ac:dyDescent="0.2">
      <c r="A721" s="118"/>
      <c r="B721" s="118"/>
      <c r="C721" s="118"/>
      <c r="D721" s="118"/>
      <c r="E721" s="118"/>
      <c r="F721" s="118"/>
      <c r="G721" s="118"/>
      <c r="H721" s="118"/>
      <c r="I721" s="118"/>
      <c r="J721" s="118"/>
      <c r="K721" s="118"/>
      <c r="L721" s="118"/>
      <c r="M721" s="118"/>
      <c r="N721" s="118"/>
      <c r="O721" s="42"/>
      <c r="P721" s="42"/>
      <c r="Q721" s="42"/>
      <c r="R721" s="42"/>
      <c r="S721" s="125"/>
      <c r="T721" s="12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spans="1:46" ht="15.75" customHeight="1" x14ac:dyDescent="0.2">
      <c r="A722" s="118"/>
      <c r="B722" s="118"/>
      <c r="C722" s="118"/>
      <c r="D722" s="118"/>
      <c r="E722" s="118"/>
      <c r="F722" s="118"/>
      <c r="G722" s="118"/>
      <c r="H722" s="118"/>
      <c r="I722" s="118"/>
      <c r="J722" s="118"/>
      <c r="K722" s="118"/>
      <c r="L722" s="118"/>
      <c r="M722" s="118"/>
      <c r="N722" s="118"/>
      <c r="O722" s="42"/>
      <c r="P722" s="42"/>
      <c r="Q722" s="42"/>
      <c r="R722" s="42"/>
      <c r="S722" s="125"/>
      <c r="T722" s="12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spans="1:46" ht="15.75" customHeight="1" x14ac:dyDescent="0.2">
      <c r="A723" s="118"/>
      <c r="B723" s="118"/>
      <c r="C723" s="118"/>
      <c r="D723" s="118"/>
      <c r="E723" s="118"/>
      <c r="F723" s="118"/>
      <c r="G723" s="118"/>
      <c r="H723" s="118"/>
      <c r="I723" s="118"/>
      <c r="J723" s="118"/>
      <c r="K723" s="118"/>
      <c r="L723" s="118"/>
      <c r="M723" s="118"/>
      <c r="N723" s="118"/>
      <c r="O723" s="42"/>
      <c r="P723" s="42"/>
      <c r="Q723" s="42"/>
      <c r="R723" s="42"/>
      <c r="S723" s="125"/>
      <c r="T723" s="12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spans="1:46" ht="15.75" customHeight="1" x14ac:dyDescent="0.2">
      <c r="A724" s="118"/>
      <c r="B724" s="118"/>
      <c r="C724" s="118"/>
      <c r="D724" s="118"/>
      <c r="E724" s="118"/>
      <c r="F724" s="118"/>
      <c r="G724" s="118"/>
      <c r="H724" s="118"/>
      <c r="I724" s="118"/>
      <c r="J724" s="118"/>
      <c r="K724" s="118"/>
      <c r="L724" s="118"/>
      <c r="M724" s="118"/>
      <c r="N724" s="118"/>
      <c r="O724" s="42"/>
      <c r="P724" s="42"/>
      <c r="Q724" s="42"/>
      <c r="R724" s="42"/>
      <c r="S724" s="125"/>
      <c r="T724" s="12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spans="1:46" ht="15.75" customHeight="1" x14ac:dyDescent="0.2">
      <c r="A725" s="118"/>
      <c r="B725" s="118"/>
      <c r="C725" s="118"/>
      <c r="D725" s="118"/>
      <c r="E725" s="118"/>
      <c r="F725" s="118"/>
      <c r="G725" s="118"/>
      <c r="H725" s="118"/>
      <c r="I725" s="118"/>
      <c r="J725" s="118"/>
      <c r="K725" s="118"/>
      <c r="L725" s="118"/>
      <c r="M725" s="118"/>
      <c r="N725" s="118"/>
      <c r="O725" s="42"/>
      <c r="P725" s="42"/>
      <c r="Q725" s="42"/>
      <c r="R725" s="42"/>
      <c r="S725" s="125"/>
      <c r="T725" s="12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spans="1:46" ht="15.75" customHeight="1" x14ac:dyDescent="0.2">
      <c r="A726" s="118"/>
      <c r="B726" s="118"/>
      <c r="C726" s="118"/>
      <c r="D726" s="118"/>
      <c r="E726" s="118"/>
      <c r="F726" s="118"/>
      <c r="G726" s="118"/>
      <c r="H726" s="118"/>
      <c r="I726" s="118"/>
      <c r="J726" s="118"/>
      <c r="K726" s="118"/>
      <c r="L726" s="118"/>
      <c r="M726" s="118"/>
      <c r="N726" s="118"/>
      <c r="O726" s="42"/>
      <c r="P726" s="42"/>
      <c r="Q726" s="42"/>
      <c r="R726" s="42"/>
      <c r="S726" s="125"/>
      <c r="T726" s="12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spans="1:46" ht="15.75" customHeight="1" x14ac:dyDescent="0.2">
      <c r="A727" s="118"/>
      <c r="B727" s="118"/>
      <c r="C727" s="118"/>
      <c r="D727" s="118"/>
      <c r="E727" s="118"/>
      <c r="F727" s="118"/>
      <c r="G727" s="118"/>
      <c r="H727" s="118"/>
      <c r="I727" s="118"/>
      <c r="J727" s="118"/>
      <c r="K727" s="118"/>
      <c r="L727" s="118"/>
      <c r="M727" s="118"/>
      <c r="N727" s="118"/>
      <c r="O727" s="42"/>
      <c r="P727" s="42"/>
      <c r="Q727" s="42"/>
      <c r="R727" s="42"/>
      <c r="S727" s="125"/>
      <c r="T727" s="12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spans="1:46" ht="15.75" customHeight="1" x14ac:dyDescent="0.2">
      <c r="A728" s="118"/>
      <c r="B728" s="118"/>
      <c r="C728" s="118"/>
      <c r="D728" s="118"/>
      <c r="E728" s="118"/>
      <c r="F728" s="118"/>
      <c r="G728" s="118"/>
      <c r="H728" s="118"/>
      <c r="I728" s="118"/>
      <c r="J728" s="118"/>
      <c r="K728" s="118"/>
      <c r="L728" s="118"/>
      <c r="M728" s="118"/>
      <c r="N728" s="118"/>
      <c r="O728" s="42"/>
      <c r="P728" s="42"/>
      <c r="Q728" s="42"/>
      <c r="R728" s="42"/>
      <c r="S728" s="125"/>
      <c r="T728" s="12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spans="1:46" ht="15.75" customHeight="1" x14ac:dyDescent="0.2">
      <c r="A729" s="118"/>
      <c r="B729" s="118"/>
      <c r="C729" s="118"/>
      <c r="D729" s="118"/>
      <c r="E729" s="118"/>
      <c r="F729" s="118"/>
      <c r="G729" s="118"/>
      <c r="H729" s="118"/>
      <c r="I729" s="118"/>
      <c r="J729" s="118"/>
      <c r="K729" s="118"/>
      <c r="L729" s="118"/>
      <c r="M729" s="118"/>
      <c r="N729" s="118"/>
      <c r="O729" s="42"/>
      <c r="P729" s="42"/>
      <c r="Q729" s="42"/>
      <c r="R729" s="42"/>
      <c r="S729" s="125"/>
      <c r="T729" s="12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spans="1:46" ht="15.75" customHeight="1" x14ac:dyDescent="0.2">
      <c r="A730" s="118"/>
      <c r="B730" s="118"/>
      <c r="C730" s="118"/>
      <c r="D730" s="118"/>
      <c r="E730" s="118"/>
      <c r="F730" s="118"/>
      <c r="G730" s="118"/>
      <c r="H730" s="118"/>
      <c r="I730" s="118"/>
      <c r="J730" s="118"/>
      <c r="K730" s="118"/>
      <c r="L730" s="118"/>
      <c r="M730" s="118"/>
      <c r="N730" s="118"/>
      <c r="O730" s="42"/>
      <c r="P730" s="42"/>
      <c r="Q730" s="42"/>
      <c r="R730" s="42"/>
      <c r="S730" s="125"/>
      <c r="T730" s="12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spans="1:46" ht="15.75" customHeight="1" x14ac:dyDescent="0.2">
      <c r="A731" s="118"/>
      <c r="B731" s="118"/>
      <c r="C731" s="118"/>
      <c r="D731" s="118"/>
      <c r="E731" s="118"/>
      <c r="F731" s="118"/>
      <c r="G731" s="118"/>
      <c r="H731" s="118"/>
      <c r="I731" s="118"/>
      <c r="J731" s="118"/>
      <c r="K731" s="118"/>
      <c r="L731" s="118"/>
      <c r="M731" s="118"/>
      <c r="N731" s="118"/>
      <c r="O731" s="42"/>
      <c r="P731" s="42"/>
      <c r="Q731" s="42"/>
      <c r="R731" s="42"/>
      <c r="S731" s="125"/>
      <c r="T731" s="12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spans="1:46" ht="15.75" customHeight="1" x14ac:dyDescent="0.2">
      <c r="A732" s="118"/>
      <c r="B732" s="118"/>
      <c r="C732" s="118"/>
      <c r="D732" s="118"/>
      <c r="E732" s="118"/>
      <c r="F732" s="118"/>
      <c r="G732" s="118"/>
      <c r="H732" s="118"/>
      <c r="I732" s="118"/>
      <c r="J732" s="118"/>
      <c r="K732" s="118"/>
      <c r="L732" s="118"/>
      <c r="M732" s="118"/>
      <c r="N732" s="118"/>
      <c r="O732" s="42"/>
      <c r="P732" s="42"/>
      <c r="Q732" s="42"/>
      <c r="R732" s="42"/>
      <c r="S732" s="125"/>
      <c r="T732" s="12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spans="1:46" ht="15.75" customHeight="1" x14ac:dyDescent="0.2">
      <c r="A733" s="118"/>
      <c r="B733" s="118"/>
      <c r="C733" s="118"/>
      <c r="D733" s="118"/>
      <c r="E733" s="118"/>
      <c r="F733" s="118"/>
      <c r="G733" s="118"/>
      <c r="H733" s="118"/>
      <c r="I733" s="118"/>
      <c r="J733" s="118"/>
      <c r="K733" s="118"/>
      <c r="L733" s="118"/>
      <c r="M733" s="118"/>
      <c r="N733" s="118"/>
      <c r="O733" s="42"/>
      <c r="P733" s="42"/>
      <c r="Q733" s="42"/>
      <c r="R733" s="42"/>
      <c r="S733" s="125"/>
      <c r="T733" s="12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spans="1:46" ht="15.75" customHeight="1" x14ac:dyDescent="0.2">
      <c r="A734" s="118"/>
      <c r="B734" s="118"/>
      <c r="C734" s="118"/>
      <c r="D734" s="118"/>
      <c r="E734" s="118"/>
      <c r="F734" s="118"/>
      <c r="G734" s="118"/>
      <c r="H734" s="118"/>
      <c r="I734" s="118"/>
      <c r="J734" s="118"/>
      <c r="K734" s="118"/>
      <c r="L734" s="118"/>
      <c r="M734" s="118"/>
      <c r="N734" s="118"/>
      <c r="O734" s="42"/>
      <c r="P734" s="42"/>
      <c r="Q734" s="42"/>
      <c r="R734" s="42"/>
      <c r="S734" s="125"/>
      <c r="T734" s="12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spans="1:46" ht="15.75" customHeight="1" x14ac:dyDescent="0.2">
      <c r="A735" s="118"/>
      <c r="B735" s="118"/>
      <c r="C735" s="118"/>
      <c r="D735" s="118"/>
      <c r="E735" s="118"/>
      <c r="F735" s="118"/>
      <c r="G735" s="118"/>
      <c r="H735" s="118"/>
      <c r="I735" s="118"/>
      <c r="J735" s="118"/>
      <c r="K735" s="118"/>
      <c r="L735" s="118"/>
      <c r="M735" s="118"/>
      <c r="N735" s="118"/>
      <c r="O735" s="42"/>
      <c r="P735" s="42"/>
      <c r="Q735" s="42"/>
      <c r="R735" s="42"/>
      <c r="S735" s="125"/>
      <c r="T735" s="12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spans="1:46" ht="15.75" customHeight="1" x14ac:dyDescent="0.2">
      <c r="A736" s="118"/>
      <c r="B736" s="118"/>
      <c r="C736" s="118"/>
      <c r="D736" s="118"/>
      <c r="E736" s="118"/>
      <c r="F736" s="118"/>
      <c r="G736" s="118"/>
      <c r="H736" s="118"/>
      <c r="I736" s="118"/>
      <c r="J736" s="118"/>
      <c r="K736" s="118"/>
      <c r="L736" s="118"/>
      <c r="M736" s="118"/>
      <c r="N736" s="118"/>
      <c r="O736" s="42"/>
      <c r="P736" s="42"/>
      <c r="Q736" s="42"/>
      <c r="R736" s="42"/>
      <c r="S736" s="125"/>
      <c r="T736" s="12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spans="1:46" ht="15.75" customHeight="1" x14ac:dyDescent="0.2">
      <c r="A737" s="118"/>
      <c r="B737" s="118"/>
      <c r="C737" s="118"/>
      <c r="D737" s="118"/>
      <c r="E737" s="118"/>
      <c r="F737" s="118"/>
      <c r="G737" s="118"/>
      <c r="H737" s="118"/>
      <c r="I737" s="118"/>
      <c r="J737" s="118"/>
      <c r="K737" s="118"/>
      <c r="L737" s="118"/>
      <c r="M737" s="118"/>
      <c r="N737" s="118"/>
      <c r="O737" s="42"/>
      <c r="P737" s="42"/>
      <c r="Q737" s="42"/>
      <c r="R737" s="42"/>
      <c r="S737" s="125"/>
      <c r="T737" s="12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spans="1:46" ht="15.75" customHeight="1" x14ac:dyDescent="0.2">
      <c r="A738" s="118"/>
      <c r="B738" s="118"/>
      <c r="C738" s="118"/>
      <c r="D738" s="118"/>
      <c r="E738" s="118"/>
      <c r="F738" s="118"/>
      <c r="G738" s="118"/>
      <c r="H738" s="118"/>
      <c r="I738" s="118"/>
      <c r="J738" s="118"/>
      <c r="K738" s="118"/>
      <c r="L738" s="118"/>
      <c r="M738" s="118"/>
      <c r="N738" s="118"/>
      <c r="O738" s="42"/>
      <c r="P738" s="42"/>
      <c r="Q738" s="42"/>
      <c r="R738" s="42"/>
      <c r="S738" s="125"/>
      <c r="T738" s="12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spans="1:46" ht="15.75" customHeight="1" x14ac:dyDescent="0.2">
      <c r="A739" s="118"/>
      <c r="B739" s="118"/>
      <c r="C739" s="118"/>
      <c r="D739" s="118"/>
      <c r="E739" s="118"/>
      <c r="F739" s="118"/>
      <c r="G739" s="118"/>
      <c r="H739" s="118"/>
      <c r="I739" s="118"/>
      <c r="J739" s="118"/>
      <c r="K739" s="118"/>
      <c r="L739" s="118"/>
      <c r="M739" s="118"/>
      <c r="N739" s="118"/>
      <c r="O739" s="42"/>
      <c r="P739" s="42"/>
      <c r="Q739" s="42"/>
      <c r="R739" s="42"/>
      <c r="S739" s="125"/>
      <c r="T739" s="12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spans="1:46" ht="15.75" customHeight="1" x14ac:dyDescent="0.2">
      <c r="A740" s="118"/>
      <c r="B740" s="118"/>
      <c r="C740" s="118"/>
      <c r="D740" s="118"/>
      <c r="E740" s="118"/>
      <c r="F740" s="118"/>
      <c r="G740" s="118"/>
      <c r="H740" s="118"/>
      <c r="I740" s="118"/>
      <c r="J740" s="118"/>
      <c r="K740" s="118"/>
      <c r="L740" s="118"/>
      <c r="M740" s="118"/>
      <c r="N740" s="118"/>
      <c r="O740" s="42"/>
      <c r="P740" s="42"/>
      <c r="Q740" s="42"/>
      <c r="R740" s="42"/>
      <c r="S740" s="125"/>
      <c r="T740" s="12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spans="1:46" ht="15.75" customHeight="1" x14ac:dyDescent="0.2">
      <c r="A741" s="118"/>
      <c r="B741" s="118"/>
      <c r="C741" s="118"/>
      <c r="D741" s="118"/>
      <c r="E741" s="118"/>
      <c r="F741" s="118"/>
      <c r="G741" s="118"/>
      <c r="H741" s="118"/>
      <c r="I741" s="118"/>
      <c r="J741" s="118"/>
      <c r="K741" s="118"/>
      <c r="L741" s="118"/>
      <c r="M741" s="118"/>
      <c r="N741" s="118"/>
      <c r="O741" s="42"/>
      <c r="P741" s="42"/>
      <c r="Q741" s="42"/>
      <c r="R741" s="42"/>
      <c r="S741" s="125"/>
      <c r="T741" s="12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spans="1:46" ht="15.75" customHeight="1" x14ac:dyDescent="0.2">
      <c r="A742" s="118"/>
      <c r="B742" s="118"/>
      <c r="C742" s="118"/>
      <c r="D742" s="118"/>
      <c r="E742" s="118"/>
      <c r="F742" s="118"/>
      <c r="G742" s="118"/>
      <c r="H742" s="118"/>
      <c r="I742" s="118"/>
      <c r="J742" s="118"/>
      <c r="K742" s="118"/>
      <c r="L742" s="118"/>
      <c r="M742" s="118"/>
      <c r="N742" s="118"/>
      <c r="O742" s="42"/>
      <c r="P742" s="42"/>
      <c r="Q742" s="42"/>
      <c r="R742" s="42"/>
      <c r="S742" s="125"/>
      <c r="T742" s="12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spans="1:46" ht="15.75" customHeight="1" x14ac:dyDescent="0.2">
      <c r="A743" s="118"/>
      <c r="B743" s="118"/>
      <c r="C743" s="118"/>
      <c r="D743" s="118"/>
      <c r="E743" s="118"/>
      <c r="F743" s="118"/>
      <c r="G743" s="118"/>
      <c r="H743" s="118"/>
      <c r="I743" s="118"/>
      <c r="J743" s="118"/>
      <c r="K743" s="118"/>
      <c r="L743" s="118"/>
      <c r="M743" s="118"/>
      <c r="N743" s="118"/>
      <c r="O743" s="42"/>
      <c r="P743" s="42"/>
      <c r="Q743" s="42"/>
      <c r="R743" s="42"/>
      <c r="S743" s="125"/>
      <c r="T743" s="12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spans="1:46" ht="15.75" customHeight="1" x14ac:dyDescent="0.2">
      <c r="A744" s="118"/>
      <c r="B744" s="118"/>
      <c r="C744" s="118"/>
      <c r="D744" s="118"/>
      <c r="E744" s="118"/>
      <c r="F744" s="118"/>
      <c r="G744" s="118"/>
      <c r="H744" s="118"/>
      <c r="I744" s="118"/>
      <c r="J744" s="118"/>
      <c r="K744" s="118"/>
      <c r="L744" s="118"/>
      <c r="M744" s="118"/>
      <c r="N744" s="118"/>
      <c r="O744" s="42"/>
      <c r="P744" s="42"/>
      <c r="Q744" s="42"/>
      <c r="R744" s="42"/>
      <c r="S744" s="125"/>
      <c r="T744" s="12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spans="1:46" ht="15.75" customHeight="1" x14ac:dyDescent="0.2">
      <c r="A745" s="118"/>
      <c r="B745" s="118"/>
      <c r="C745" s="118"/>
      <c r="D745" s="118"/>
      <c r="E745" s="118"/>
      <c r="F745" s="118"/>
      <c r="G745" s="118"/>
      <c r="H745" s="118"/>
      <c r="I745" s="118"/>
      <c r="J745" s="118"/>
      <c r="K745" s="118"/>
      <c r="L745" s="118"/>
      <c r="M745" s="118"/>
      <c r="N745" s="118"/>
      <c r="O745" s="42"/>
      <c r="P745" s="42"/>
      <c r="Q745" s="42"/>
      <c r="R745" s="42"/>
      <c r="S745" s="125"/>
      <c r="T745" s="12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spans="1:46" ht="15.75" customHeight="1" x14ac:dyDescent="0.2">
      <c r="A746" s="118"/>
      <c r="B746" s="118"/>
      <c r="C746" s="118"/>
      <c r="D746" s="118"/>
      <c r="E746" s="118"/>
      <c r="F746" s="118"/>
      <c r="G746" s="118"/>
      <c r="H746" s="118"/>
      <c r="I746" s="118"/>
      <c r="J746" s="118"/>
      <c r="K746" s="118"/>
      <c r="L746" s="118"/>
      <c r="M746" s="118"/>
      <c r="N746" s="118"/>
      <c r="O746" s="42"/>
      <c r="P746" s="42"/>
      <c r="Q746" s="42"/>
      <c r="R746" s="42"/>
      <c r="S746" s="125"/>
      <c r="T746" s="12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spans="1:46" ht="15.75" customHeight="1" x14ac:dyDescent="0.2">
      <c r="A747" s="118"/>
      <c r="B747" s="118"/>
      <c r="C747" s="118"/>
      <c r="D747" s="118"/>
      <c r="E747" s="118"/>
      <c r="F747" s="118"/>
      <c r="G747" s="118"/>
      <c r="H747" s="118"/>
      <c r="I747" s="118"/>
      <c r="J747" s="118"/>
      <c r="K747" s="118"/>
      <c r="L747" s="118"/>
      <c r="M747" s="118"/>
      <c r="N747" s="118"/>
      <c r="O747" s="42"/>
      <c r="P747" s="42"/>
      <c r="Q747" s="42"/>
      <c r="R747" s="42"/>
      <c r="S747" s="125"/>
      <c r="T747" s="12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spans="1:46" ht="15.75" customHeight="1" x14ac:dyDescent="0.2">
      <c r="A748" s="118"/>
      <c r="B748" s="118"/>
      <c r="C748" s="118"/>
      <c r="D748" s="118"/>
      <c r="E748" s="118"/>
      <c r="F748" s="118"/>
      <c r="G748" s="118"/>
      <c r="H748" s="118"/>
      <c r="I748" s="118"/>
      <c r="J748" s="118"/>
      <c r="K748" s="118"/>
      <c r="L748" s="118"/>
      <c r="M748" s="118"/>
      <c r="N748" s="118"/>
      <c r="O748" s="42"/>
      <c r="P748" s="42"/>
      <c r="Q748" s="42"/>
      <c r="R748" s="42"/>
      <c r="S748" s="125"/>
      <c r="T748" s="12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spans="1:46" ht="15.75" customHeight="1" x14ac:dyDescent="0.2">
      <c r="A749" s="118"/>
      <c r="B749" s="118"/>
      <c r="C749" s="118"/>
      <c r="D749" s="118"/>
      <c r="E749" s="118"/>
      <c r="F749" s="118"/>
      <c r="G749" s="118"/>
      <c r="H749" s="118"/>
      <c r="I749" s="118"/>
      <c r="J749" s="118"/>
      <c r="K749" s="118"/>
      <c r="L749" s="118"/>
      <c r="M749" s="118"/>
      <c r="N749" s="118"/>
      <c r="O749" s="42"/>
      <c r="P749" s="42"/>
      <c r="Q749" s="42"/>
      <c r="R749" s="42"/>
      <c r="S749" s="125"/>
      <c r="T749" s="12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spans="1:46" ht="15.75" customHeight="1" x14ac:dyDescent="0.2">
      <c r="A750" s="118"/>
      <c r="B750" s="118"/>
      <c r="C750" s="118"/>
      <c r="D750" s="118"/>
      <c r="E750" s="118"/>
      <c r="F750" s="118"/>
      <c r="G750" s="118"/>
      <c r="H750" s="118"/>
      <c r="I750" s="118"/>
      <c r="J750" s="118"/>
      <c r="K750" s="118"/>
      <c r="L750" s="118"/>
      <c r="M750" s="118"/>
      <c r="N750" s="118"/>
      <c r="O750" s="42"/>
      <c r="P750" s="42"/>
      <c r="Q750" s="42"/>
      <c r="R750" s="42"/>
      <c r="S750" s="125"/>
      <c r="T750" s="12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spans="1:46" ht="15.75" customHeight="1" x14ac:dyDescent="0.2">
      <c r="A751" s="118"/>
      <c r="B751" s="118"/>
      <c r="C751" s="118"/>
      <c r="D751" s="118"/>
      <c r="E751" s="118"/>
      <c r="F751" s="118"/>
      <c r="G751" s="118"/>
      <c r="H751" s="118"/>
      <c r="I751" s="118"/>
      <c r="J751" s="118"/>
      <c r="K751" s="118"/>
      <c r="L751" s="118"/>
      <c r="M751" s="118"/>
      <c r="N751" s="118"/>
      <c r="O751" s="42"/>
      <c r="P751" s="42"/>
      <c r="Q751" s="42"/>
      <c r="R751" s="42"/>
      <c r="S751" s="125"/>
      <c r="T751" s="12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spans="1:46" ht="15.75" customHeight="1" x14ac:dyDescent="0.2">
      <c r="A752" s="118"/>
      <c r="B752" s="118"/>
      <c r="C752" s="118"/>
      <c r="D752" s="118"/>
      <c r="E752" s="118"/>
      <c r="F752" s="118"/>
      <c r="G752" s="118"/>
      <c r="H752" s="118"/>
      <c r="I752" s="118"/>
      <c r="J752" s="118"/>
      <c r="K752" s="118"/>
      <c r="L752" s="118"/>
      <c r="M752" s="118"/>
      <c r="N752" s="118"/>
      <c r="O752" s="42"/>
      <c r="P752" s="42"/>
      <c r="Q752" s="42"/>
      <c r="R752" s="42"/>
      <c r="S752" s="125"/>
      <c r="T752" s="12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spans="1:46" ht="15.75" customHeight="1" x14ac:dyDescent="0.2">
      <c r="A753" s="118"/>
      <c r="B753" s="118"/>
      <c r="C753" s="118"/>
      <c r="D753" s="118"/>
      <c r="E753" s="118"/>
      <c r="F753" s="118"/>
      <c r="G753" s="118"/>
      <c r="H753" s="118"/>
      <c r="I753" s="118"/>
      <c r="J753" s="118"/>
      <c r="K753" s="118"/>
      <c r="L753" s="118"/>
      <c r="M753" s="118"/>
      <c r="N753" s="118"/>
      <c r="O753" s="42"/>
      <c r="P753" s="42"/>
      <c r="Q753" s="42"/>
      <c r="R753" s="42"/>
      <c r="S753" s="125"/>
      <c r="T753" s="12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spans="1:46" ht="15.75" customHeight="1" x14ac:dyDescent="0.2">
      <c r="A754" s="118"/>
      <c r="B754" s="118"/>
      <c r="C754" s="118"/>
      <c r="D754" s="118"/>
      <c r="E754" s="118"/>
      <c r="F754" s="118"/>
      <c r="G754" s="118"/>
      <c r="H754" s="118"/>
      <c r="I754" s="118"/>
      <c r="J754" s="118"/>
      <c r="K754" s="118"/>
      <c r="L754" s="118"/>
      <c r="M754" s="118"/>
      <c r="N754" s="118"/>
      <c r="O754" s="42"/>
      <c r="P754" s="42"/>
      <c r="Q754" s="42"/>
      <c r="R754" s="42"/>
      <c r="S754" s="125"/>
      <c r="T754" s="12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row>
    <row r="755" spans="1:46" ht="15.75" customHeight="1" x14ac:dyDescent="0.2">
      <c r="A755" s="118"/>
      <c r="B755" s="118"/>
      <c r="C755" s="118"/>
      <c r="D755" s="118"/>
      <c r="E755" s="118"/>
      <c r="F755" s="118"/>
      <c r="G755" s="118"/>
      <c r="H755" s="118"/>
      <c r="I755" s="118"/>
      <c r="J755" s="118"/>
      <c r="K755" s="118"/>
      <c r="L755" s="118"/>
      <c r="M755" s="118"/>
      <c r="N755" s="118"/>
      <c r="O755" s="42"/>
      <c r="P755" s="42"/>
      <c r="Q755" s="42"/>
      <c r="R755" s="42"/>
      <c r="S755" s="125"/>
      <c r="T755" s="12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row>
    <row r="756" spans="1:46" ht="15.75" customHeight="1" x14ac:dyDescent="0.2">
      <c r="A756" s="118"/>
      <c r="B756" s="118"/>
      <c r="C756" s="118"/>
      <c r="D756" s="118"/>
      <c r="E756" s="118"/>
      <c r="F756" s="118"/>
      <c r="G756" s="118"/>
      <c r="H756" s="118"/>
      <c r="I756" s="118"/>
      <c r="J756" s="118"/>
      <c r="K756" s="118"/>
      <c r="L756" s="118"/>
      <c r="M756" s="118"/>
      <c r="N756" s="118"/>
      <c r="O756" s="42"/>
      <c r="P756" s="42"/>
      <c r="Q756" s="42"/>
      <c r="R756" s="42"/>
      <c r="S756" s="125"/>
      <c r="T756" s="12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row>
    <row r="757" spans="1:46" ht="15.75" customHeight="1" x14ac:dyDescent="0.2">
      <c r="A757" s="118"/>
      <c r="B757" s="118"/>
      <c r="C757" s="118"/>
      <c r="D757" s="118"/>
      <c r="E757" s="118"/>
      <c r="F757" s="118"/>
      <c r="G757" s="118"/>
      <c r="H757" s="118"/>
      <c r="I757" s="118"/>
      <c r="J757" s="118"/>
      <c r="K757" s="118"/>
      <c r="L757" s="118"/>
      <c r="M757" s="118"/>
      <c r="N757" s="118"/>
      <c r="O757" s="42"/>
      <c r="P757" s="42"/>
      <c r="Q757" s="42"/>
      <c r="R757" s="42"/>
      <c r="S757" s="125"/>
      <c r="T757" s="12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row>
    <row r="758" spans="1:46" ht="15.75" customHeight="1" x14ac:dyDescent="0.2">
      <c r="A758" s="118"/>
      <c r="B758" s="118"/>
      <c r="C758" s="118"/>
      <c r="D758" s="118"/>
      <c r="E758" s="118"/>
      <c r="F758" s="118"/>
      <c r="G758" s="118"/>
      <c r="H758" s="118"/>
      <c r="I758" s="118"/>
      <c r="J758" s="118"/>
      <c r="K758" s="118"/>
      <c r="L758" s="118"/>
      <c r="M758" s="118"/>
      <c r="N758" s="118"/>
      <c r="O758" s="42"/>
      <c r="P758" s="42"/>
      <c r="Q758" s="42"/>
      <c r="R758" s="42"/>
      <c r="S758" s="125"/>
      <c r="T758" s="12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row>
    <row r="759" spans="1:46" ht="15.75" customHeight="1" x14ac:dyDescent="0.2">
      <c r="A759" s="118"/>
      <c r="B759" s="118"/>
      <c r="C759" s="118"/>
      <c r="D759" s="118"/>
      <c r="E759" s="118"/>
      <c r="F759" s="118"/>
      <c r="G759" s="118"/>
      <c r="H759" s="118"/>
      <c r="I759" s="118"/>
      <c r="J759" s="118"/>
      <c r="K759" s="118"/>
      <c r="L759" s="118"/>
      <c r="M759" s="118"/>
      <c r="N759" s="118"/>
      <c r="O759" s="42"/>
      <c r="P759" s="42"/>
      <c r="Q759" s="42"/>
      <c r="R759" s="42"/>
      <c r="S759" s="125"/>
      <c r="T759" s="12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row>
    <row r="760" spans="1:46" ht="15.75" customHeight="1" x14ac:dyDescent="0.2">
      <c r="A760" s="118"/>
      <c r="B760" s="118"/>
      <c r="C760" s="118"/>
      <c r="D760" s="118"/>
      <c r="E760" s="118"/>
      <c r="F760" s="118"/>
      <c r="G760" s="118"/>
      <c r="H760" s="118"/>
      <c r="I760" s="118"/>
      <c r="J760" s="118"/>
      <c r="K760" s="118"/>
      <c r="L760" s="118"/>
      <c r="M760" s="118"/>
      <c r="N760" s="118"/>
      <c r="O760" s="42"/>
      <c r="P760" s="42"/>
      <c r="Q760" s="42"/>
      <c r="R760" s="42"/>
      <c r="S760" s="125"/>
      <c r="T760" s="12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row>
    <row r="761" spans="1:46" ht="15.75" customHeight="1" x14ac:dyDescent="0.2">
      <c r="A761" s="118"/>
      <c r="B761" s="118"/>
      <c r="C761" s="118"/>
      <c r="D761" s="118"/>
      <c r="E761" s="118"/>
      <c r="F761" s="118"/>
      <c r="G761" s="118"/>
      <c r="H761" s="118"/>
      <c r="I761" s="118"/>
      <c r="J761" s="118"/>
      <c r="K761" s="118"/>
      <c r="L761" s="118"/>
      <c r="M761" s="118"/>
      <c r="N761" s="118"/>
      <c r="O761" s="42"/>
      <c r="P761" s="42"/>
      <c r="Q761" s="42"/>
      <c r="R761" s="42"/>
      <c r="S761" s="125"/>
      <c r="T761" s="12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row>
    <row r="762" spans="1:46" ht="15.75" customHeight="1" x14ac:dyDescent="0.2">
      <c r="A762" s="118"/>
      <c r="B762" s="118"/>
      <c r="C762" s="118"/>
      <c r="D762" s="118"/>
      <c r="E762" s="118"/>
      <c r="F762" s="118"/>
      <c r="G762" s="118"/>
      <c r="H762" s="118"/>
      <c r="I762" s="118"/>
      <c r="J762" s="118"/>
      <c r="K762" s="118"/>
      <c r="L762" s="118"/>
      <c r="M762" s="118"/>
      <c r="N762" s="118"/>
      <c r="O762" s="42"/>
      <c r="P762" s="42"/>
      <c r="Q762" s="42"/>
      <c r="R762" s="42"/>
      <c r="S762" s="125"/>
      <c r="T762" s="12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row>
    <row r="763" spans="1:46" ht="15.75" customHeight="1" x14ac:dyDescent="0.2">
      <c r="A763" s="118"/>
      <c r="B763" s="118"/>
      <c r="C763" s="118"/>
      <c r="D763" s="118"/>
      <c r="E763" s="118"/>
      <c r="F763" s="118"/>
      <c r="G763" s="118"/>
      <c r="H763" s="118"/>
      <c r="I763" s="118"/>
      <c r="J763" s="118"/>
      <c r="K763" s="118"/>
      <c r="L763" s="118"/>
      <c r="M763" s="118"/>
      <c r="N763" s="118"/>
      <c r="O763" s="42"/>
      <c r="P763" s="42"/>
      <c r="Q763" s="42"/>
      <c r="R763" s="42"/>
      <c r="S763" s="125"/>
      <c r="T763" s="12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row>
    <row r="764" spans="1:46" ht="15.75" customHeight="1" x14ac:dyDescent="0.2">
      <c r="A764" s="118"/>
      <c r="B764" s="118"/>
      <c r="C764" s="118"/>
      <c r="D764" s="118"/>
      <c r="E764" s="118"/>
      <c r="F764" s="118"/>
      <c r="G764" s="118"/>
      <c r="H764" s="118"/>
      <c r="I764" s="118"/>
      <c r="J764" s="118"/>
      <c r="K764" s="118"/>
      <c r="L764" s="118"/>
      <c r="M764" s="118"/>
      <c r="N764" s="118"/>
      <c r="O764" s="42"/>
      <c r="P764" s="42"/>
      <c r="Q764" s="42"/>
      <c r="R764" s="42"/>
      <c r="S764" s="125"/>
      <c r="T764" s="12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row>
    <row r="765" spans="1:46" ht="15.75" customHeight="1" x14ac:dyDescent="0.2">
      <c r="A765" s="118"/>
      <c r="B765" s="118"/>
      <c r="C765" s="118"/>
      <c r="D765" s="118"/>
      <c r="E765" s="118"/>
      <c r="F765" s="118"/>
      <c r="G765" s="118"/>
      <c r="H765" s="118"/>
      <c r="I765" s="118"/>
      <c r="J765" s="118"/>
      <c r="K765" s="118"/>
      <c r="L765" s="118"/>
      <c r="M765" s="118"/>
      <c r="N765" s="118"/>
      <c r="O765" s="42"/>
      <c r="P765" s="42"/>
      <c r="Q765" s="42"/>
      <c r="R765" s="42"/>
      <c r="S765" s="125"/>
      <c r="T765" s="12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row>
    <row r="766" spans="1:46" ht="15.75" customHeight="1" x14ac:dyDescent="0.2">
      <c r="A766" s="118"/>
      <c r="B766" s="118"/>
      <c r="C766" s="118"/>
      <c r="D766" s="118"/>
      <c r="E766" s="118"/>
      <c r="F766" s="118"/>
      <c r="G766" s="118"/>
      <c r="H766" s="118"/>
      <c r="I766" s="118"/>
      <c r="J766" s="118"/>
      <c r="K766" s="118"/>
      <c r="L766" s="118"/>
      <c r="M766" s="118"/>
      <c r="N766" s="118"/>
      <c r="O766" s="42"/>
      <c r="P766" s="42"/>
      <c r="Q766" s="42"/>
      <c r="R766" s="42"/>
      <c r="S766" s="125"/>
      <c r="T766" s="12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row>
    <row r="767" spans="1:46" ht="15.75" customHeight="1" x14ac:dyDescent="0.2">
      <c r="A767" s="118"/>
      <c r="B767" s="118"/>
      <c r="C767" s="118"/>
      <c r="D767" s="118"/>
      <c r="E767" s="118"/>
      <c r="F767" s="118"/>
      <c r="G767" s="118"/>
      <c r="H767" s="118"/>
      <c r="I767" s="118"/>
      <c r="J767" s="118"/>
      <c r="K767" s="118"/>
      <c r="L767" s="118"/>
      <c r="M767" s="118"/>
      <c r="N767" s="118"/>
      <c r="O767" s="42"/>
      <c r="P767" s="42"/>
      <c r="Q767" s="42"/>
      <c r="R767" s="42"/>
      <c r="S767" s="125"/>
      <c r="T767" s="12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row>
    <row r="768" spans="1:46" ht="15.75" customHeight="1" x14ac:dyDescent="0.2">
      <c r="A768" s="118"/>
      <c r="B768" s="118"/>
      <c r="C768" s="118"/>
      <c r="D768" s="118"/>
      <c r="E768" s="118"/>
      <c r="F768" s="118"/>
      <c r="G768" s="118"/>
      <c r="H768" s="118"/>
      <c r="I768" s="118"/>
      <c r="J768" s="118"/>
      <c r="K768" s="118"/>
      <c r="L768" s="118"/>
      <c r="M768" s="118"/>
      <c r="N768" s="118"/>
      <c r="O768" s="42"/>
      <c r="P768" s="42"/>
      <c r="Q768" s="42"/>
      <c r="R768" s="42"/>
      <c r="S768" s="125"/>
      <c r="T768" s="12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row>
    <row r="769" spans="1:46" ht="15.75" customHeight="1" x14ac:dyDescent="0.2">
      <c r="A769" s="118"/>
      <c r="B769" s="118"/>
      <c r="C769" s="118"/>
      <c r="D769" s="118"/>
      <c r="E769" s="118"/>
      <c r="F769" s="118"/>
      <c r="G769" s="118"/>
      <c r="H769" s="118"/>
      <c r="I769" s="118"/>
      <c r="J769" s="118"/>
      <c r="K769" s="118"/>
      <c r="L769" s="118"/>
      <c r="M769" s="118"/>
      <c r="N769" s="118"/>
      <c r="O769" s="42"/>
      <c r="P769" s="42"/>
      <c r="Q769" s="42"/>
      <c r="R769" s="42"/>
      <c r="S769" s="125"/>
      <c r="T769" s="12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row>
    <row r="770" spans="1:46" ht="15.75" customHeight="1" x14ac:dyDescent="0.2">
      <c r="A770" s="118"/>
      <c r="B770" s="118"/>
      <c r="C770" s="118"/>
      <c r="D770" s="118"/>
      <c r="E770" s="118"/>
      <c r="F770" s="118"/>
      <c r="G770" s="118"/>
      <c r="H770" s="118"/>
      <c r="I770" s="118"/>
      <c r="J770" s="118"/>
      <c r="K770" s="118"/>
      <c r="L770" s="118"/>
      <c r="M770" s="118"/>
      <c r="N770" s="118"/>
      <c r="O770" s="42"/>
      <c r="P770" s="42"/>
      <c r="Q770" s="42"/>
      <c r="R770" s="42"/>
      <c r="S770" s="125"/>
      <c r="T770" s="12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row>
    <row r="771" spans="1:46" ht="15.75" customHeight="1" x14ac:dyDescent="0.2">
      <c r="A771" s="118"/>
      <c r="B771" s="118"/>
      <c r="C771" s="118"/>
      <c r="D771" s="118"/>
      <c r="E771" s="118"/>
      <c r="F771" s="118"/>
      <c r="G771" s="118"/>
      <c r="H771" s="118"/>
      <c r="I771" s="118"/>
      <c r="J771" s="118"/>
      <c r="K771" s="118"/>
      <c r="L771" s="118"/>
      <c r="M771" s="118"/>
      <c r="N771" s="118"/>
      <c r="O771" s="42"/>
      <c r="P771" s="42"/>
      <c r="Q771" s="42"/>
      <c r="R771" s="42"/>
      <c r="S771" s="125"/>
      <c r="T771" s="12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row>
    <row r="772" spans="1:46" ht="15.75" customHeight="1" x14ac:dyDescent="0.2">
      <c r="A772" s="118"/>
      <c r="B772" s="118"/>
      <c r="C772" s="118"/>
      <c r="D772" s="118"/>
      <c r="E772" s="118"/>
      <c r="F772" s="118"/>
      <c r="G772" s="118"/>
      <c r="H772" s="118"/>
      <c r="I772" s="118"/>
      <c r="J772" s="118"/>
      <c r="K772" s="118"/>
      <c r="L772" s="118"/>
      <c r="M772" s="118"/>
      <c r="N772" s="118"/>
      <c r="O772" s="42"/>
      <c r="P772" s="42"/>
      <c r="Q772" s="42"/>
      <c r="R772" s="42"/>
      <c r="S772" s="125"/>
      <c r="T772" s="12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row>
    <row r="773" spans="1:46" ht="15.75" customHeight="1" x14ac:dyDescent="0.2">
      <c r="A773" s="118"/>
      <c r="B773" s="118"/>
      <c r="C773" s="118"/>
      <c r="D773" s="118"/>
      <c r="E773" s="118"/>
      <c r="F773" s="118"/>
      <c r="G773" s="118"/>
      <c r="H773" s="118"/>
      <c r="I773" s="118"/>
      <c r="J773" s="118"/>
      <c r="K773" s="118"/>
      <c r="L773" s="118"/>
      <c r="M773" s="118"/>
      <c r="N773" s="118"/>
      <c r="O773" s="42"/>
      <c r="P773" s="42"/>
      <c r="Q773" s="42"/>
      <c r="R773" s="42"/>
      <c r="S773" s="125"/>
      <c r="T773" s="12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row>
    <row r="774" spans="1:46" ht="15.75" customHeight="1" x14ac:dyDescent="0.2">
      <c r="A774" s="118"/>
      <c r="B774" s="118"/>
      <c r="C774" s="118"/>
      <c r="D774" s="118"/>
      <c r="E774" s="118"/>
      <c r="F774" s="118"/>
      <c r="G774" s="118"/>
      <c r="H774" s="118"/>
      <c r="I774" s="118"/>
      <c r="J774" s="118"/>
      <c r="K774" s="118"/>
      <c r="L774" s="118"/>
      <c r="M774" s="118"/>
      <c r="N774" s="118"/>
      <c r="O774" s="42"/>
      <c r="P774" s="42"/>
      <c r="Q774" s="42"/>
      <c r="R774" s="42"/>
      <c r="S774" s="125"/>
      <c r="T774" s="12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row>
    <row r="775" spans="1:46" ht="15.75" customHeight="1" x14ac:dyDescent="0.2">
      <c r="A775" s="118"/>
      <c r="B775" s="118"/>
      <c r="C775" s="118"/>
      <c r="D775" s="118"/>
      <c r="E775" s="118"/>
      <c r="F775" s="118"/>
      <c r="G775" s="118"/>
      <c r="H775" s="118"/>
      <c r="I775" s="118"/>
      <c r="J775" s="118"/>
      <c r="K775" s="118"/>
      <c r="L775" s="118"/>
      <c r="M775" s="118"/>
      <c r="N775" s="118"/>
      <c r="O775" s="42"/>
      <c r="P775" s="42"/>
      <c r="Q775" s="42"/>
      <c r="R775" s="42"/>
      <c r="S775" s="125"/>
      <c r="T775" s="12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row>
    <row r="776" spans="1:46" ht="15.75" customHeight="1" x14ac:dyDescent="0.2">
      <c r="A776" s="118"/>
      <c r="B776" s="118"/>
      <c r="C776" s="118"/>
      <c r="D776" s="118"/>
      <c r="E776" s="118"/>
      <c r="F776" s="118"/>
      <c r="G776" s="118"/>
      <c r="H776" s="118"/>
      <c r="I776" s="118"/>
      <c r="J776" s="118"/>
      <c r="K776" s="118"/>
      <c r="L776" s="118"/>
      <c r="M776" s="118"/>
      <c r="N776" s="118"/>
      <c r="O776" s="42"/>
      <c r="P776" s="42"/>
      <c r="Q776" s="42"/>
      <c r="R776" s="42"/>
      <c r="S776" s="125"/>
      <c r="T776" s="12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row>
    <row r="777" spans="1:46" ht="15.75" customHeight="1" x14ac:dyDescent="0.2">
      <c r="A777" s="118"/>
      <c r="B777" s="118"/>
      <c r="C777" s="118"/>
      <c r="D777" s="118"/>
      <c r="E777" s="118"/>
      <c r="F777" s="118"/>
      <c r="G777" s="118"/>
      <c r="H777" s="118"/>
      <c r="I777" s="118"/>
      <c r="J777" s="118"/>
      <c r="K777" s="118"/>
      <c r="L777" s="118"/>
      <c r="M777" s="118"/>
      <c r="N777" s="118"/>
      <c r="O777" s="42"/>
      <c r="P777" s="42"/>
      <c r="Q777" s="42"/>
      <c r="R777" s="42"/>
      <c r="S777" s="125"/>
      <c r="T777" s="12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row>
    <row r="778" spans="1:46" ht="15.75" customHeight="1" x14ac:dyDescent="0.2">
      <c r="A778" s="118"/>
      <c r="B778" s="118"/>
      <c r="C778" s="118"/>
      <c r="D778" s="118"/>
      <c r="E778" s="118"/>
      <c r="F778" s="118"/>
      <c r="G778" s="118"/>
      <c r="H778" s="118"/>
      <c r="I778" s="118"/>
      <c r="J778" s="118"/>
      <c r="K778" s="118"/>
      <c r="L778" s="118"/>
      <c r="M778" s="118"/>
      <c r="N778" s="118"/>
      <c r="O778" s="42"/>
      <c r="P778" s="42"/>
      <c r="Q778" s="42"/>
      <c r="R778" s="42"/>
      <c r="S778" s="125"/>
      <c r="T778" s="12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row>
    <row r="779" spans="1:46" ht="15.75" customHeight="1" x14ac:dyDescent="0.2">
      <c r="A779" s="118"/>
      <c r="B779" s="118"/>
      <c r="C779" s="118"/>
      <c r="D779" s="118"/>
      <c r="E779" s="118"/>
      <c r="F779" s="118"/>
      <c r="G779" s="118"/>
      <c r="H779" s="118"/>
      <c r="I779" s="118"/>
      <c r="J779" s="118"/>
      <c r="K779" s="118"/>
      <c r="L779" s="118"/>
      <c r="M779" s="118"/>
      <c r="N779" s="118"/>
      <c r="O779" s="42"/>
      <c r="P779" s="42"/>
      <c r="Q779" s="42"/>
      <c r="R779" s="42"/>
      <c r="S779" s="125"/>
      <c r="T779" s="12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row>
    <row r="780" spans="1:46" ht="15.75" customHeight="1" x14ac:dyDescent="0.2">
      <c r="A780" s="118"/>
      <c r="B780" s="118"/>
      <c r="C780" s="118"/>
      <c r="D780" s="118"/>
      <c r="E780" s="118"/>
      <c r="F780" s="118"/>
      <c r="G780" s="118"/>
      <c r="H780" s="118"/>
      <c r="I780" s="118"/>
      <c r="J780" s="118"/>
      <c r="K780" s="118"/>
      <c r="L780" s="118"/>
      <c r="M780" s="118"/>
      <c r="N780" s="118"/>
      <c r="O780" s="42"/>
      <c r="P780" s="42"/>
      <c r="Q780" s="42"/>
      <c r="R780" s="42"/>
      <c r="S780" s="125"/>
      <c r="T780" s="12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row>
    <row r="781" spans="1:46" ht="15.75" customHeight="1" x14ac:dyDescent="0.2">
      <c r="A781" s="118"/>
      <c r="B781" s="118"/>
      <c r="C781" s="118"/>
      <c r="D781" s="118"/>
      <c r="E781" s="118"/>
      <c r="F781" s="118"/>
      <c r="G781" s="118"/>
      <c r="H781" s="118"/>
      <c r="I781" s="118"/>
      <c r="J781" s="118"/>
      <c r="K781" s="118"/>
      <c r="L781" s="118"/>
      <c r="M781" s="118"/>
      <c r="N781" s="118"/>
      <c r="O781" s="42"/>
      <c r="P781" s="42"/>
      <c r="Q781" s="42"/>
      <c r="R781" s="42"/>
      <c r="S781" s="125"/>
      <c r="T781" s="12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row>
    <row r="782" spans="1:46" ht="15.75" customHeight="1" x14ac:dyDescent="0.2">
      <c r="A782" s="118"/>
      <c r="B782" s="118"/>
      <c r="C782" s="118"/>
      <c r="D782" s="118"/>
      <c r="E782" s="118"/>
      <c r="F782" s="118"/>
      <c r="G782" s="118"/>
      <c r="H782" s="118"/>
      <c r="I782" s="118"/>
      <c r="J782" s="118"/>
      <c r="K782" s="118"/>
      <c r="L782" s="118"/>
      <c r="M782" s="118"/>
      <c r="N782" s="118"/>
      <c r="O782" s="42"/>
      <c r="P782" s="42"/>
      <c r="Q782" s="42"/>
      <c r="R782" s="42"/>
      <c r="S782" s="125"/>
      <c r="T782" s="12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row>
    <row r="783" spans="1:46" ht="15.75" customHeight="1" x14ac:dyDescent="0.2">
      <c r="A783" s="118"/>
      <c r="B783" s="118"/>
      <c r="C783" s="118"/>
      <c r="D783" s="118"/>
      <c r="E783" s="118"/>
      <c r="F783" s="118"/>
      <c r="G783" s="118"/>
      <c r="H783" s="118"/>
      <c r="I783" s="118"/>
      <c r="J783" s="118"/>
      <c r="K783" s="118"/>
      <c r="L783" s="118"/>
      <c r="M783" s="118"/>
      <c r="N783" s="118"/>
      <c r="O783" s="42"/>
      <c r="P783" s="42"/>
      <c r="Q783" s="42"/>
      <c r="R783" s="42"/>
      <c r="S783" s="125"/>
      <c r="T783" s="12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row>
    <row r="784" spans="1:46" ht="15.75" customHeight="1" x14ac:dyDescent="0.2">
      <c r="A784" s="118"/>
      <c r="B784" s="118"/>
      <c r="C784" s="118"/>
      <c r="D784" s="118"/>
      <c r="E784" s="118"/>
      <c r="F784" s="118"/>
      <c r="G784" s="118"/>
      <c r="H784" s="118"/>
      <c r="I784" s="118"/>
      <c r="J784" s="118"/>
      <c r="K784" s="118"/>
      <c r="L784" s="118"/>
      <c r="M784" s="118"/>
      <c r="N784" s="118"/>
      <c r="O784" s="42"/>
      <c r="P784" s="42"/>
      <c r="Q784" s="42"/>
      <c r="R784" s="42"/>
      <c r="S784" s="125"/>
      <c r="T784" s="12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row>
    <row r="785" spans="1:46" ht="15.75" customHeight="1" x14ac:dyDescent="0.2">
      <c r="A785" s="118"/>
      <c r="B785" s="118"/>
      <c r="C785" s="118"/>
      <c r="D785" s="118"/>
      <c r="E785" s="118"/>
      <c r="F785" s="118"/>
      <c r="G785" s="118"/>
      <c r="H785" s="118"/>
      <c r="I785" s="118"/>
      <c r="J785" s="118"/>
      <c r="K785" s="118"/>
      <c r="L785" s="118"/>
      <c r="M785" s="118"/>
      <c r="N785" s="118"/>
      <c r="O785" s="42"/>
      <c r="P785" s="42"/>
      <c r="Q785" s="42"/>
      <c r="R785" s="42"/>
      <c r="S785" s="125"/>
      <c r="T785" s="12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row>
    <row r="786" spans="1:46" ht="15.75" customHeight="1" x14ac:dyDescent="0.2">
      <c r="A786" s="118"/>
      <c r="B786" s="118"/>
      <c r="C786" s="118"/>
      <c r="D786" s="118"/>
      <c r="E786" s="118"/>
      <c r="F786" s="118"/>
      <c r="G786" s="118"/>
      <c r="H786" s="118"/>
      <c r="I786" s="118"/>
      <c r="J786" s="118"/>
      <c r="K786" s="118"/>
      <c r="L786" s="118"/>
      <c r="M786" s="118"/>
      <c r="N786" s="118"/>
      <c r="O786" s="42"/>
      <c r="P786" s="42"/>
      <c r="Q786" s="42"/>
      <c r="R786" s="42"/>
      <c r="S786" s="125"/>
      <c r="T786" s="12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row>
    <row r="787" spans="1:46" ht="15.75" customHeight="1" x14ac:dyDescent="0.2">
      <c r="A787" s="118"/>
      <c r="B787" s="118"/>
      <c r="C787" s="118"/>
      <c r="D787" s="118"/>
      <c r="E787" s="118"/>
      <c r="F787" s="118"/>
      <c r="G787" s="118"/>
      <c r="H787" s="118"/>
      <c r="I787" s="118"/>
      <c r="J787" s="118"/>
      <c r="K787" s="118"/>
      <c r="L787" s="118"/>
      <c r="M787" s="118"/>
      <c r="N787" s="118"/>
      <c r="O787" s="42"/>
      <c r="P787" s="42"/>
      <c r="Q787" s="42"/>
      <c r="R787" s="42"/>
      <c r="S787" s="125"/>
      <c r="T787" s="12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row>
    <row r="788" spans="1:46" ht="15.75" customHeight="1" x14ac:dyDescent="0.2">
      <c r="A788" s="118"/>
      <c r="B788" s="118"/>
      <c r="C788" s="118"/>
      <c r="D788" s="118"/>
      <c r="E788" s="118"/>
      <c r="F788" s="118"/>
      <c r="G788" s="118"/>
      <c r="H788" s="118"/>
      <c r="I788" s="118"/>
      <c r="J788" s="118"/>
      <c r="K788" s="118"/>
      <c r="L788" s="118"/>
      <c r="M788" s="118"/>
      <c r="N788" s="118"/>
      <c r="O788" s="42"/>
      <c r="P788" s="42"/>
      <c r="Q788" s="42"/>
      <c r="R788" s="42"/>
      <c r="S788" s="125"/>
      <c r="T788" s="12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row>
    <row r="789" spans="1:46" ht="15.75" customHeight="1" x14ac:dyDescent="0.2">
      <c r="A789" s="118"/>
      <c r="B789" s="118"/>
      <c r="C789" s="118"/>
      <c r="D789" s="118"/>
      <c r="E789" s="118"/>
      <c r="F789" s="118"/>
      <c r="G789" s="118"/>
      <c r="H789" s="118"/>
      <c r="I789" s="118"/>
      <c r="J789" s="118"/>
      <c r="K789" s="118"/>
      <c r="L789" s="118"/>
      <c r="M789" s="118"/>
      <c r="N789" s="118"/>
      <c r="O789" s="42"/>
      <c r="P789" s="42"/>
      <c r="Q789" s="42"/>
      <c r="R789" s="42"/>
      <c r="S789" s="125"/>
      <c r="T789" s="12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row>
    <row r="790" spans="1:46" ht="15.75" customHeight="1" x14ac:dyDescent="0.2">
      <c r="A790" s="118"/>
      <c r="B790" s="118"/>
      <c r="C790" s="118"/>
      <c r="D790" s="118"/>
      <c r="E790" s="118"/>
      <c r="F790" s="118"/>
      <c r="G790" s="118"/>
      <c r="H790" s="118"/>
      <c r="I790" s="118"/>
      <c r="J790" s="118"/>
      <c r="K790" s="118"/>
      <c r="L790" s="118"/>
      <c r="M790" s="118"/>
      <c r="N790" s="118"/>
      <c r="O790" s="42"/>
      <c r="P790" s="42"/>
      <c r="Q790" s="42"/>
      <c r="R790" s="42"/>
      <c r="S790" s="125"/>
      <c r="T790" s="12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row>
    <row r="791" spans="1:46" ht="15.75" customHeight="1" x14ac:dyDescent="0.2">
      <c r="A791" s="118"/>
      <c r="B791" s="118"/>
      <c r="C791" s="118"/>
      <c r="D791" s="118"/>
      <c r="E791" s="118"/>
      <c r="F791" s="118"/>
      <c r="G791" s="118"/>
      <c r="H791" s="118"/>
      <c r="I791" s="118"/>
      <c r="J791" s="118"/>
      <c r="K791" s="118"/>
      <c r="L791" s="118"/>
      <c r="M791" s="118"/>
      <c r="N791" s="118"/>
      <c r="O791" s="42"/>
      <c r="P791" s="42"/>
      <c r="Q791" s="42"/>
      <c r="R791" s="42"/>
      <c r="S791" s="125"/>
      <c r="T791" s="12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row>
    <row r="792" spans="1:46" ht="15.75" customHeight="1" x14ac:dyDescent="0.2">
      <c r="A792" s="118"/>
      <c r="B792" s="118"/>
      <c r="C792" s="118"/>
      <c r="D792" s="118"/>
      <c r="E792" s="118"/>
      <c r="F792" s="118"/>
      <c r="G792" s="118"/>
      <c r="H792" s="118"/>
      <c r="I792" s="118"/>
      <c r="J792" s="118"/>
      <c r="K792" s="118"/>
      <c r="L792" s="118"/>
      <c r="M792" s="118"/>
      <c r="N792" s="118"/>
      <c r="O792" s="42"/>
      <c r="P792" s="42"/>
      <c r="Q792" s="42"/>
      <c r="R792" s="42"/>
      <c r="S792" s="125"/>
      <c r="T792" s="12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row>
    <row r="793" spans="1:46" ht="15.75" customHeight="1" x14ac:dyDescent="0.2">
      <c r="A793" s="118"/>
      <c r="B793" s="118"/>
      <c r="C793" s="118"/>
      <c r="D793" s="118"/>
      <c r="E793" s="118"/>
      <c r="F793" s="118"/>
      <c r="G793" s="118"/>
      <c r="H793" s="118"/>
      <c r="I793" s="118"/>
      <c r="J793" s="118"/>
      <c r="K793" s="118"/>
      <c r="L793" s="118"/>
      <c r="M793" s="118"/>
      <c r="N793" s="118"/>
      <c r="O793" s="42"/>
      <c r="P793" s="42"/>
      <c r="Q793" s="42"/>
      <c r="R793" s="42"/>
      <c r="S793" s="125"/>
      <c r="T793" s="12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row>
    <row r="794" spans="1:46" ht="15.75" customHeight="1" x14ac:dyDescent="0.2">
      <c r="A794" s="118"/>
      <c r="B794" s="118"/>
      <c r="C794" s="118"/>
      <c r="D794" s="118"/>
      <c r="E794" s="118"/>
      <c r="F794" s="118"/>
      <c r="G794" s="118"/>
      <c r="H794" s="118"/>
      <c r="I794" s="118"/>
      <c r="J794" s="118"/>
      <c r="K794" s="118"/>
      <c r="L794" s="118"/>
      <c r="M794" s="118"/>
      <c r="N794" s="118"/>
      <c r="O794" s="42"/>
      <c r="P794" s="42"/>
      <c r="Q794" s="42"/>
      <c r="R794" s="42"/>
      <c r="S794" s="125"/>
      <c r="T794" s="12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row>
    <row r="795" spans="1:46" ht="15.75" customHeight="1" x14ac:dyDescent="0.2">
      <c r="A795" s="118"/>
      <c r="B795" s="118"/>
      <c r="C795" s="118"/>
      <c r="D795" s="118"/>
      <c r="E795" s="118"/>
      <c r="F795" s="118"/>
      <c r="G795" s="118"/>
      <c r="H795" s="118"/>
      <c r="I795" s="118"/>
      <c r="J795" s="118"/>
      <c r="K795" s="118"/>
      <c r="L795" s="118"/>
      <c r="M795" s="118"/>
      <c r="N795" s="118"/>
      <c r="O795" s="42"/>
      <c r="P795" s="42"/>
      <c r="Q795" s="42"/>
      <c r="R795" s="42"/>
      <c r="S795" s="125"/>
      <c r="T795" s="12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row>
    <row r="796" spans="1:46" ht="15.75" customHeight="1" x14ac:dyDescent="0.2">
      <c r="A796" s="118"/>
      <c r="B796" s="118"/>
      <c r="C796" s="118"/>
      <c r="D796" s="118"/>
      <c r="E796" s="118"/>
      <c r="F796" s="118"/>
      <c r="G796" s="118"/>
      <c r="H796" s="118"/>
      <c r="I796" s="118"/>
      <c r="J796" s="118"/>
      <c r="K796" s="118"/>
      <c r="L796" s="118"/>
      <c r="M796" s="118"/>
      <c r="N796" s="118"/>
      <c r="O796" s="42"/>
      <c r="P796" s="42"/>
      <c r="Q796" s="42"/>
      <c r="R796" s="42"/>
      <c r="S796" s="125"/>
      <c r="T796" s="12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row>
    <row r="797" spans="1:46" ht="15.75" customHeight="1" x14ac:dyDescent="0.2">
      <c r="A797" s="118"/>
      <c r="B797" s="118"/>
      <c r="C797" s="118"/>
      <c r="D797" s="118"/>
      <c r="E797" s="118"/>
      <c r="F797" s="118"/>
      <c r="G797" s="118"/>
      <c r="H797" s="118"/>
      <c r="I797" s="118"/>
      <c r="J797" s="118"/>
      <c r="K797" s="118"/>
      <c r="L797" s="118"/>
      <c r="M797" s="118"/>
      <c r="N797" s="118"/>
      <c r="O797" s="42"/>
      <c r="P797" s="42"/>
      <c r="Q797" s="42"/>
      <c r="R797" s="42"/>
      <c r="S797" s="125"/>
      <c r="T797" s="12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row>
    <row r="798" spans="1:46" ht="15.75" customHeight="1" x14ac:dyDescent="0.2">
      <c r="A798" s="118"/>
      <c r="B798" s="118"/>
      <c r="C798" s="118"/>
      <c r="D798" s="118"/>
      <c r="E798" s="118"/>
      <c r="F798" s="118"/>
      <c r="G798" s="118"/>
      <c r="H798" s="118"/>
      <c r="I798" s="118"/>
      <c r="J798" s="118"/>
      <c r="K798" s="118"/>
      <c r="L798" s="118"/>
      <c r="M798" s="118"/>
      <c r="N798" s="118"/>
      <c r="O798" s="42"/>
      <c r="P798" s="42"/>
      <c r="Q798" s="42"/>
      <c r="R798" s="42"/>
      <c r="S798" s="125"/>
      <c r="T798" s="12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row>
    <row r="799" spans="1:46" ht="15.75" customHeight="1" x14ac:dyDescent="0.2">
      <c r="A799" s="118"/>
      <c r="B799" s="118"/>
      <c r="C799" s="118"/>
      <c r="D799" s="118"/>
      <c r="E799" s="118"/>
      <c r="F799" s="118"/>
      <c r="G799" s="118"/>
      <c r="H799" s="118"/>
      <c r="I799" s="118"/>
      <c r="J799" s="118"/>
      <c r="K799" s="118"/>
      <c r="L799" s="118"/>
      <c r="M799" s="118"/>
      <c r="N799" s="118"/>
      <c r="O799" s="42"/>
      <c r="P799" s="42"/>
      <c r="Q799" s="42"/>
      <c r="R799" s="42"/>
      <c r="S799" s="125"/>
      <c r="T799" s="12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row>
    <row r="800" spans="1:46" ht="15.75" customHeight="1" x14ac:dyDescent="0.2">
      <c r="A800" s="118"/>
      <c r="B800" s="118"/>
      <c r="C800" s="118"/>
      <c r="D800" s="118"/>
      <c r="E800" s="118"/>
      <c r="F800" s="118"/>
      <c r="G800" s="118"/>
      <c r="H800" s="118"/>
      <c r="I800" s="118"/>
      <c r="J800" s="118"/>
      <c r="K800" s="118"/>
      <c r="L800" s="118"/>
      <c r="M800" s="118"/>
      <c r="N800" s="118"/>
      <c r="O800" s="42"/>
      <c r="P800" s="42"/>
      <c r="Q800" s="42"/>
      <c r="R800" s="42"/>
      <c r="S800" s="125"/>
      <c r="T800" s="12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row>
    <row r="801" spans="1:46" ht="15.75" customHeight="1" x14ac:dyDescent="0.2">
      <c r="A801" s="118"/>
      <c r="B801" s="118"/>
      <c r="C801" s="118"/>
      <c r="D801" s="118"/>
      <c r="E801" s="118"/>
      <c r="F801" s="118"/>
      <c r="G801" s="118"/>
      <c r="H801" s="118"/>
      <c r="I801" s="118"/>
      <c r="J801" s="118"/>
      <c r="K801" s="118"/>
      <c r="L801" s="118"/>
      <c r="M801" s="118"/>
      <c r="N801" s="118"/>
      <c r="O801" s="42"/>
      <c r="P801" s="42"/>
      <c r="Q801" s="42"/>
      <c r="R801" s="42"/>
      <c r="S801" s="125"/>
      <c r="T801" s="12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row>
    <row r="802" spans="1:46" ht="15.75" customHeight="1" x14ac:dyDescent="0.2">
      <c r="A802" s="118"/>
      <c r="B802" s="118"/>
      <c r="C802" s="118"/>
      <c r="D802" s="118"/>
      <c r="E802" s="118"/>
      <c r="F802" s="118"/>
      <c r="G802" s="118"/>
      <c r="H802" s="118"/>
      <c r="I802" s="118"/>
      <c r="J802" s="118"/>
      <c r="K802" s="118"/>
      <c r="L802" s="118"/>
      <c r="M802" s="118"/>
      <c r="N802" s="118"/>
      <c r="O802" s="42"/>
      <c r="P802" s="42"/>
      <c r="Q802" s="42"/>
      <c r="R802" s="42"/>
      <c r="S802" s="125"/>
      <c r="T802" s="12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row>
    <row r="803" spans="1:46" ht="15.75" customHeight="1" x14ac:dyDescent="0.2">
      <c r="A803" s="118"/>
      <c r="B803" s="118"/>
      <c r="C803" s="118"/>
      <c r="D803" s="118"/>
      <c r="E803" s="118"/>
      <c r="F803" s="118"/>
      <c r="G803" s="118"/>
      <c r="H803" s="118"/>
      <c r="I803" s="118"/>
      <c r="J803" s="118"/>
      <c r="K803" s="118"/>
      <c r="L803" s="118"/>
      <c r="M803" s="118"/>
      <c r="N803" s="118"/>
      <c r="O803" s="42"/>
      <c r="P803" s="42"/>
      <c r="Q803" s="42"/>
      <c r="R803" s="42"/>
      <c r="S803" s="125"/>
      <c r="T803" s="12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row>
    <row r="804" spans="1:46" ht="15.75" customHeight="1" x14ac:dyDescent="0.2">
      <c r="A804" s="118"/>
      <c r="B804" s="118"/>
      <c r="C804" s="118"/>
      <c r="D804" s="118"/>
      <c r="E804" s="118"/>
      <c r="F804" s="118"/>
      <c r="G804" s="118"/>
      <c r="H804" s="118"/>
      <c r="I804" s="118"/>
      <c r="J804" s="118"/>
      <c r="K804" s="118"/>
      <c r="L804" s="118"/>
      <c r="M804" s="118"/>
      <c r="N804" s="118"/>
      <c r="O804" s="42"/>
      <c r="P804" s="42"/>
      <c r="Q804" s="42"/>
      <c r="R804" s="42"/>
      <c r="S804" s="125"/>
      <c r="T804" s="12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row>
    <row r="805" spans="1:46" ht="15.75" customHeight="1" x14ac:dyDescent="0.2">
      <c r="A805" s="118"/>
      <c r="B805" s="118"/>
      <c r="C805" s="118"/>
      <c r="D805" s="118"/>
      <c r="E805" s="118"/>
      <c r="F805" s="118"/>
      <c r="G805" s="118"/>
      <c r="H805" s="118"/>
      <c r="I805" s="118"/>
      <c r="J805" s="118"/>
      <c r="K805" s="118"/>
      <c r="L805" s="118"/>
      <c r="M805" s="118"/>
      <c r="N805" s="118"/>
      <c r="O805" s="42"/>
      <c r="P805" s="42"/>
      <c r="Q805" s="42"/>
      <c r="R805" s="42"/>
      <c r="S805" s="125"/>
      <c r="T805" s="12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row>
    <row r="806" spans="1:46" ht="15.75" customHeight="1" x14ac:dyDescent="0.2">
      <c r="A806" s="118"/>
      <c r="B806" s="118"/>
      <c r="C806" s="118"/>
      <c r="D806" s="118"/>
      <c r="E806" s="118"/>
      <c r="F806" s="118"/>
      <c r="G806" s="118"/>
      <c r="H806" s="118"/>
      <c r="I806" s="118"/>
      <c r="J806" s="118"/>
      <c r="K806" s="118"/>
      <c r="L806" s="118"/>
      <c r="M806" s="118"/>
      <c r="N806" s="118"/>
      <c r="O806" s="42"/>
      <c r="P806" s="42"/>
      <c r="Q806" s="42"/>
      <c r="R806" s="42"/>
      <c r="S806" s="125"/>
      <c r="T806" s="12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row>
    <row r="807" spans="1:46" ht="15.75" customHeight="1" x14ac:dyDescent="0.2">
      <c r="A807" s="118"/>
      <c r="B807" s="118"/>
      <c r="C807" s="118"/>
      <c r="D807" s="118"/>
      <c r="E807" s="118"/>
      <c r="F807" s="118"/>
      <c r="G807" s="118"/>
      <c r="H807" s="118"/>
      <c r="I807" s="118"/>
      <c r="J807" s="118"/>
      <c r="K807" s="118"/>
      <c r="L807" s="118"/>
      <c r="M807" s="118"/>
      <c r="N807" s="118"/>
      <c r="O807" s="42"/>
      <c r="P807" s="42"/>
      <c r="Q807" s="42"/>
      <c r="R807" s="42"/>
      <c r="S807" s="125"/>
      <c r="T807" s="12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row>
    <row r="808" spans="1:46" ht="15.75" customHeight="1" x14ac:dyDescent="0.2">
      <c r="A808" s="118"/>
      <c r="B808" s="118"/>
      <c r="C808" s="118"/>
      <c r="D808" s="118"/>
      <c r="E808" s="118"/>
      <c r="F808" s="118"/>
      <c r="G808" s="118"/>
      <c r="H808" s="118"/>
      <c r="I808" s="118"/>
      <c r="J808" s="118"/>
      <c r="K808" s="118"/>
      <c r="L808" s="118"/>
      <c r="M808" s="118"/>
      <c r="N808" s="118"/>
      <c r="O808" s="42"/>
      <c r="P808" s="42"/>
      <c r="Q808" s="42"/>
      <c r="R808" s="42"/>
      <c r="S808" s="125"/>
      <c r="T808" s="12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row>
    <row r="809" spans="1:46" ht="15.75" customHeight="1" x14ac:dyDescent="0.2">
      <c r="A809" s="118"/>
      <c r="B809" s="118"/>
      <c r="C809" s="118"/>
      <c r="D809" s="118"/>
      <c r="E809" s="118"/>
      <c r="F809" s="118"/>
      <c r="G809" s="118"/>
      <c r="H809" s="118"/>
      <c r="I809" s="118"/>
      <c r="J809" s="118"/>
      <c r="K809" s="118"/>
      <c r="L809" s="118"/>
      <c r="M809" s="118"/>
      <c r="N809" s="118"/>
      <c r="O809" s="42"/>
      <c r="P809" s="42"/>
      <c r="Q809" s="42"/>
      <c r="R809" s="42"/>
      <c r="S809" s="125"/>
      <c r="T809" s="12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row>
    <row r="810" spans="1:46" ht="15.75" customHeight="1" x14ac:dyDescent="0.2">
      <c r="A810" s="118"/>
      <c r="B810" s="118"/>
      <c r="C810" s="118"/>
      <c r="D810" s="118"/>
      <c r="E810" s="118"/>
      <c r="F810" s="118"/>
      <c r="G810" s="118"/>
      <c r="H810" s="118"/>
      <c r="I810" s="118"/>
      <c r="J810" s="118"/>
      <c r="K810" s="118"/>
      <c r="L810" s="118"/>
      <c r="M810" s="118"/>
      <c r="N810" s="118"/>
      <c r="O810" s="42"/>
      <c r="P810" s="42"/>
      <c r="Q810" s="42"/>
      <c r="R810" s="42"/>
      <c r="S810" s="125"/>
      <c r="T810" s="12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row>
    <row r="811" spans="1:46" ht="15.75" customHeight="1" x14ac:dyDescent="0.2">
      <c r="A811" s="118"/>
      <c r="B811" s="118"/>
      <c r="C811" s="118"/>
      <c r="D811" s="118"/>
      <c r="E811" s="118"/>
      <c r="F811" s="118"/>
      <c r="G811" s="118"/>
      <c r="H811" s="118"/>
      <c r="I811" s="118"/>
      <c r="J811" s="118"/>
      <c r="K811" s="118"/>
      <c r="L811" s="118"/>
      <c r="M811" s="118"/>
      <c r="N811" s="118"/>
      <c r="O811" s="42"/>
      <c r="P811" s="42"/>
      <c r="Q811" s="42"/>
      <c r="R811" s="42"/>
      <c r="S811" s="125"/>
      <c r="T811" s="12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row>
    <row r="812" spans="1:46" ht="15.75" customHeight="1" x14ac:dyDescent="0.2">
      <c r="A812" s="118"/>
      <c r="B812" s="118"/>
      <c r="C812" s="118"/>
      <c r="D812" s="118"/>
      <c r="E812" s="118"/>
      <c r="F812" s="118"/>
      <c r="G812" s="118"/>
      <c r="H812" s="118"/>
      <c r="I812" s="118"/>
      <c r="J812" s="118"/>
      <c r="K812" s="118"/>
      <c r="L812" s="118"/>
      <c r="M812" s="118"/>
      <c r="N812" s="118"/>
      <c r="O812" s="42"/>
      <c r="P812" s="42"/>
      <c r="Q812" s="42"/>
      <c r="R812" s="42"/>
      <c r="S812" s="125"/>
      <c r="T812" s="12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row>
    <row r="813" spans="1:46" ht="15.75" customHeight="1" x14ac:dyDescent="0.2">
      <c r="A813" s="118"/>
      <c r="B813" s="118"/>
      <c r="C813" s="118"/>
      <c r="D813" s="118"/>
      <c r="E813" s="118"/>
      <c r="F813" s="118"/>
      <c r="G813" s="118"/>
      <c r="H813" s="118"/>
      <c r="I813" s="118"/>
      <c r="J813" s="118"/>
      <c r="K813" s="118"/>
      <c r="L813" s="118"/>
      <c r="M813" s="118"/>
      <c r="N813" s="118"/>
      <c r="O813" s="42"/>
      <c r="P813" s="42"/>
      <c r="Q813" s="42"/>
      <c r="R813" s="42"/>
      <c r="S813" s="125"/>
      <c r="T813" s="12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row>
    <row r="814" spans="1:46" ht="15.75" customHeight="1" x14ac:dyDescent="0.2">
      <c r="A814" s="118"/>
      <c r="B814" s="118"/>
      <c r="C814" s="118"/>
      <c r="D814" s="118"/>
      <c r="E814" s="118"/>
      <c r="F814" s="118"/>
      <c r="G814" s="118"/>
      <c r="H814" s="118"/>
      <c r="I814" s="118"/>
      <c r="J814" s="118"/>
      <c r="K814" s="118"/>
      <c r="L814" s="118"/>
      <c r="M814" s="118"/>
      <c r="N814" s="118"/>
      <c r="O814" s="42"/>
      <c r="P814" s="42"/>
      <c r="Q814" s="42"/>
      <c r="R814" s="42"/>
      <c r="S814" s="125"/>
      <c r="T814" s="12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row>
    <row r="815" spans="1:46" ht="15.75" customHeight="1" x14ac:dyDescent="0.2">
      <c r="A815" s="118"/>
      <c r="B815" s="118"/>
      <c r="C815" s="118"/>
      <c r="D815" s="118"/>
      <c r="E815" s="118"/>
      <c r="F815" s="118"/>
      <c r="G815" s="118"/>
      <c r="H815" s="118"/>
      <c r="I815" s="118"/>
      <c r="J815" s="118"/>
      <c r="K815" s="118"/>
      <c r="L815" s="118"/>
      <c r="M815" s="118"/>
      <c r="N815" s="118"/>
      <c r="O815" s="42"/>
      <c r="P815" s="42"/>
      <c r="Q815" s="42"/>
      <c r="R815" s="42"/>
      <c r="S815" s="125"/>
      <c r="T815" s="12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row>
    <row r="816" spans="1:46" ht="15.75" customHeight="1" x14ac:dyDescent="0.2">
      <c r="A816" s="118"/>
      <c r="B816" s="118"/>
      <c r="C816" s="118"/>
      <c r="D816" s="118"/>
      <c r="E816" s="118"/>
      <c r="F816" s="118"/>
      <c r="G816" s="118"/>
      <c r="H816" s="118"/>
      <c r="I816" s="118"/>
      <c r="J816" s="118"/>
      <c r="K816" s="118"/>
      <c r="L816" s="118"/>
      <c r="M816" s="118"/>
      <c r="N816" s="118"/>
      <c r="O816" s="42"/>
      <c r="P816" s="42"/>
      <c r="Q816" s="42"/>
      <c r="R816" s="42"/>
      <c r="S816" s="125"/>
      <c r="T816" s="12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row>
    <row r="817" spans="1:46" ht="15.75" customHeight="1" x14ac:dyDescent="0.2">
      <c r="A817" s="118"/>
      <c r="B817" s="118"/>
      <c r="C817" s="118"/>
      <c r="D817" s="118"/>
      <c r="E817" s="118"/>
      <c r="F817" s="118"/>
      <c r="G817" s="118"/>
      <c r="H817" s="118"/>
      <c r="I817" s="118"/>
      <c r="J817" s="118"/>
      <c r="K817" s="118"/>
      <c r="L817" s="118"/>
      <c r="M817" s="118"/>
      <c r="N817" s="118"/>
      <c r="O817" s="42"/>
      <c r="P817" s="42"/>
      <c r="Q817" s="42"/>
      <c r="R817" s="42"/>
      <c r="S817" s="125"/>
      <c r="T817" s="12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row>
    <row r="818" spans="1:46" ht="15.75" customHeight="1" x14ac:dyDescent="0.2">
      <c r="A818" s="118"/>
      <c r="B818" s="118"/>
      <c r="C818" s="118"/>
      <c r="D818" s="118"/>
      <c r="E818" s="118"/>
      <c r="F818" s="118"/>
      <c r="G818" s="118"/>
      <c r="H818" s="118"/>
      <c r="I818" s="118"/>
      <c r="J818" s="118"/>
      <c r="K818" s="118"/>
      <c r="L818" s="118"/>
      <c r="M818" s="118"/>
      <c r="N818" s="118"/>
      <c r="O818" s="42"/>
      <c r="P818" s="42"/>
      <c r="Q818" s="42"/>
      <c r="R818" s="42"/>
      <c r="S818" s="125"/>
      <c r="T818" s="12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row>
    <row r="819" spans="1:46" ht="15.75" customHeight="1" x14ac:dyDescent="0.2">
      <c r="A819" s="118"/>
      <c r="B819" s="118"/>
      <c r="C819" s="118"/>
      <c r="D819" s="118"/>
      <c r="E819" s="118"/>
      <c r="F819" s="118"/>
      <c r="G819" s="118"/>
      <c r="H819" s="118"/>
      <c r="I819" s="118"/>
      <c r="J819" s="118"/>
      <c r="K819" s="118"/>
      <c r="L819" s="118"/>
      <c r="M819" s="118"/>
      <c r="N819" s="118"/>
      <c r="O819" s="42"/>
      <c r="P819" s="42"/>
      <c r="Q819" s="42"/>
      <c r="R819" s="42"/>
      <c r="S819" s="125"/>
      <c r="T819" s="12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row>
    <row r="820" spans="1:46" ht="15.75" customHeight="1" x14ac:dyDescent="0.2">
      <c r="A820" s="118"/>
      <c r="B820" s="118"/>
      <c r="C820" s="118"/>
      <c r="D820" s="118"/>
      <c r="E820" s="118"/>
      <c r="F820" s="118"/>
      <c r="G820" s="118"/>
      <c r="H820" s="118"/>
      <c r="I820" s="118"/>
      <c r="J820" s="118"/>
      <c r="K820" s="118"/>
      <c r="L820" s="118"/>
      <c r="M820" s="118"/>
      <c r="N820" s="118"/>
      <c r="O820" s="42"/>
      <c r="P820" s="42"/>
      <c r="Q820" s="42"/>
      <c r="R820" s="42"/>
      <c r="S820" s="125"/>
      <c r="T820" s="12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row>
    <row r="821" spans="1:46" ht="15.75" customHeight="1" x14ac:dyDescent="0.2">
      <c r="A821" s="118"/>
      <c r="B821" s="118"/>
      <c r="C821" s="118"/>
      <c r="D821" s="118"/>
      <c r="E821" s="118"/>
      <c r="F821" s="118"/>
      <c r="G821" s="118"/>
      <c r="H821" s="118"/>
      <c r="I821" s="118"/>
      <c r="J821" s="118"/>
      <c r="K821" s="118"/>
      <c r="L821" s="118"/>
      <c r="M821" s="118"/>
      <c r="N821" s="118"/>
      <c r="O821" s="42"/>
      <c r="P821" s="42"/>
      <c r="Q821" s="42"/>
      <c r="R821" s="42"/>
      <c r="S821" s="125"/>
      <c r="T821" s="12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row>
    <row r="822" spans="1:46" ht="15.75" customHeight="1" x14ac:dyDescent="0.2">
      <c r="A822" s="118"/>
      <c r="B822" s="118"/>
      <c r="C822" s="118"/>
      <c r="D822" s="118"/>
      <c r="E822" s="118"/>
      <c r="F822" s="118"/>
      <c r="G822" s="118"/>
      <c r="H822" s="118"/>
      <c r="I822" s="118"/>
      <c r="J822" s="118"/>
      <c r="K822" s="118"/>
      <c r="L822" s="118"/>
      <c r="M822" s="118"/>
      <c r="N822" s="118"/>
      <c r="O822" s="42"/>
      <c r="P822" s="42"/>
      <c r="Q822" s="42"/>
      <c r="R822" s="42"/>
      <c r="S822" s="125"/>
      <c r="T822" s="12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row>
    <row r="823" spans="1:46" ht="15.75" customHeight="1" x14ac:dyDescent="0.2">
      <c r="A823" s="118"/>
      <c r="B823" s="118"/>
      <c r="C823" s="118"/>
      <c r="D823" s="118"/>
      <c r="E823" s="118"/>
      <c r="F823" s="118"/>
      <c r="G823" s="118"/>
      <c r="H823" s="118"/>
      <c r="I823" s="118"/>
      <c r="J823" s="118"/>
      <c r="K823" s="118"/>
      <c r="L823" s="118"/>
      <c r="M823" s="118"/>
      <c r="N823" s="118"/>
      <c r="O823" s="42"/>
      <c r="P823" s="42"/>
      <c r="Q823" s="42"/>
      <c r="R823" s="42"/>
      <c r="S823" s="125"/>
      <c r="T823" s="12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row>
    <row r="824" spans="1:46" ht="15.75" customHeight="1" x14ac:dyDescent="0.2">
      <c r="A824" s="118"/>
      <c r="B824" s="118"/>
      <c r="C824" s="118"/>
      <c r="D824" s="118"/>
      <c r="E824" s="118"/>
      <c r="F824" s="118"/>
      <c r="G824" s="118"/>
      <c r="H824" s="118"/>
      <c r="I824" s="118"/>
      <c r="J824" s="118"/>
      <c r="K824" s="118"/>
      <c r="L824" s="118"/>
      <c r="M824" s="118"/>
      <c r="N824" s="118"/>
      <c r="O824" s="42"/>
      <c r="P824" s="42"/>
      <c r="Q824" s="42"/>
      <c r="R824" s="42"/>
      <c r="S824" s="125"/>
      <c r="T824" s="12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row>
    <row r="825" spans="1:46" ht="15.75" customHeight="1" x14ac:dyDescent="0.2">
      <c r="A825" s="118"/>
      <c r="B825" s="118"/>
      <c r="C825" s="118"/>
      <c r="D825" s="118"/>
      <c r="E825" s="118"/>
      <c r="F825" s="118"/>
      <c r="G825" s="118"/>
      <c r="H825" s="118"/>
      <c r="I825" s="118"/>
      <c r="J825" s="118"/>
      <c r="K825" s="118"/>
      <c r="L825" s="118"/>
      <c r="M825" s="118"/>
      <c r="N825" s="118"/>
      <c r="O825" s="42"/>
      <c r="P825" s="42"/>
      <c r="Q825" s="42"/>
      <c r="R825" s="42"/>
      <c r="S825" s="125"/>
      <c r="T825" s="12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row>
    <row r="826" spans="1:46" ht="15.75" customHeight="1" x14ac:dyDescent="0.2">
      <c r="A826" s="118"/>
      <c r="B826" s="118"/>
      <c r="C826" s="118"/>
      <c r="D826" s="118"/>
      <c r="E826" s="118"/>
      <c r="F826" s="118"/>
      <c r="G826" s="118"/>
      <c r="H826" s="118"/>
      <c r="I826" s="118"/>
      <c r="J826" s="118"/>
      <c r="K826" s="118"/>
      <c r="L826" s="118"/>
      <c r="M826" s="118"/>
      <c r="N826" s="118"/>
      <c r="O826" s="42"/>
      <c r="P826" s="42"/>
      <c r="Q826" s="42"/>
      <c r="R826" s="42"/>
      <c r="S826" s="125"/>
      <c r="T826" s="12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row>
    <row r="827" spans="1:46" ht="15.75" customHeight="1" x14ac:dyDescent="0.2">
      <c r="A827" s="118"/>
      <c r="B827" s="118"/>
      <c r="C827" s="118"/>
      <c r="D827" s="118"/>
      <c r="E827" s="118"/>
      <c r="F827" s="118"/>
      <c r="G827" s="118"/>
      <c r="H827" s="118"/>
      <c r="I827" s="118"/>
      <c r="J827" s="118"/>
      <c r="K827" s="118"/>
      <c r="L827" s="118"/>
      <c r="M827" s="118"/>
      <c r="N827" s="118"/>
      <c r="O827" s="42"/>
      <c r="P827" s="42"/>
      <c r="Q827" s="42"/>
      <c r="R827" s="42"/>
      <c r="S827" s="125"/>
      <c r="T827" s="12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row>
    <row r="828" spans="1:46" ht="15.75" customHeight="1" x14ac:dyDescent="0.2">
      <c r="A828" s="118"/>
      <c r="B828" s="118"/>
      <c r="C828" s="118"/>
      <c r="D828" s="118"/>
      <c r="E828" s="118"/>
      <c r="F828" s="118"/>
      <c r="G828" s="118"/>
      <c r="H828" s="118"/>
      <c r="I828" s="118"/>
      <c r="J828" s="118"/>
      <c r="K828" s="118"/>
      <c r="L828" s="118"/>
      <c r="M828" s="118"/>
      <c r="N828" s="118"/>
      <c r="O828" s="42"/>
      <c r="P828" s="42"/>
      <c r="Q828" s="42"/>
      <c r="R828" s="42"/>
      <c r="S828" s="125"/>
      <c r="T828" s="12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row>
    <row r="829" spans="1:46" ht="15.75" customHeight="1" x14ac:dyDescent="0.2">
      <c r="A829" s="118"/>
      <c r="B829" s="118"/>
      <c r="C829" s="118"/>
      <c r="D829" s="118"/>
      <c r="E829" s="118"/>
      <c r="F829" s="118"/>
      <c r="G829" s="118"/>
      <c r="H829" s="118"/>
      <c r="I829" s="118"/>
      <c r="J829" s="118"/>
      <c r="K829" s="118"/>
      <c r="L829" s="118"/>
      <c r="M829" s="118"/>
      <c r="N829" s="118"/>
      <c r="O829" s="42"/>
      <c r="P829" s="42"/>
      <c r="Q829" s="42"/>
      <c r="R829" s="42"/>
      <c r="S829" s="125"/>
      <c r="T829" s="12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row>
    <row r="830" spans="1:46" ht="15.75" customHeight="1" x14ac:dyDescent="0.2">
      <c r="A830" s="118"/>
      <c r="B830" s="118"/>
      <c r="C830" s="118"/>
      <c r="D830" s="118"/>
      <c r="E830" s="118"/>
      <c r="F830" s="118"/>
      <c r="G830" s="118"/>
      <c r="H830" s="118"/>
      <c r="I830" s="118"/>
      <c r="J830" s="118"/>
      <c r="K830" s="118"/>
      <c r="L830" s="118"/>
      <c r="M830" s="118"/>
      <c r="N830" s="118"/>
      <c r="O830" s="42"/>
      <c r="P830" s="42"/>
      <c r="Q830" s="42"/>
      <c r="R830" s="42"/>
      <c r="S830" s="125"/>
      <c r="T830" s="12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row>
    <row r="831" spans="1:46" ht="15.75" customHeight="1" x14ac:dyDescent="0.2">
      <c r="A831" s="118"/>
      <c r="B831" s="118"/>
      <c r="C831" s="118"/>
      <c r="D831" s="118"/>
      <c r="E831" s="118"/>
      <c r="F831" s="118"/>
      <c r="G831" s="118"/>
      <c r="H831" s="118"/>
      <c r="I831" s="118"/>
      <c r="J831" s="118"/>
      <c r="K831" s="118"/>
      <c r="L831" s="118"/>
      <c r="M831" s="118"/>
      <c r="N831" s="118"/>
      <c r="O831" s="42"/>
      <c r="P831" s="42"/>
      <c r="Q831" s="42"/>
      <c r="R831" s="42"/>
      <c r="S831" s="125"/>
      <c r="T831" s="12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row>
    <row r="832" spans="1:46" ht="15.75" customHeight="1" x14ac:dyDescent="0.2">
      <c r="A832" s="118"/>
      <c r="B832" s="118"/>
      <c r="C832" s="118"/>
      <c r="D832" s="118"/>
      <c r="E832" s="118"/>
      <c r="F832" s="118"/>
      <c r="G832" s="118"/>
      <c r="H832" s="118"/>
      <c r="I832" s="118"/>
      <c r="J832" s="118"/>
      <c r="K832" s="118"/>
      <c r="L832" s="118"/>
      <c r="M832" s="118"/>
      <c r="N832" s="118"/>
      <c r="O832" s="42"/>
      <c r="P832" s="42"/>
      <c r="Q832" s="42"/>
      <c r="R832" s="42"/>
      <c r="S832" s="125"/>
      <c r="T832" s="12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row>
    <row r="833" spans="1:46" ht="15.75" customHeight="1" x14ac:dyDescent="0.2">
      <c r="A833" s="118"/>
      <c r="B833" s="118"/>
      <c r="C833" s="118"/>
      <c r="D833" s="118"/>
      <c r="E833" s="118"/>
      <c r="F833" s="118"/>
      <c r="G833" s="118"/>
      <c r="H833" s="118"/>
      <c r="I833" s="118"/>
      <c r="J833" s="118"/>
      <c r="K833" s="118"/>
      <c r="L833" s="118"/>
      <c r="M833" s="118"/>
      <c r="N833" s="118"/>
      <c r="O833" s="42"/>
      <c r="P833" s="42"/>
      <c r="Q833" s="42"/>
      <c r="R833" s="42"/>
      <c r="S833" s="125"/>
      <c r="T833" s="12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row>
    <row r="834" spans="1:46" ht="15.75" customHeight="1" x14ac:dyDescent="0.2">
      <c r="A834" s="118"/>
      <c r="B834" s="118"/>
      <c r="C834" s="118"/>
      <c r="D834" s="118"/>
      <c r="E834" s="118"/>
      <c r="F834" s="118"/>
      <c r="G834" s="118"/>
      <c r="H834" s="118"/>
      <c r="I834" s="118"/>
      <c r="J834" s="118"/>
      <c r="K834" s="118"/>
      <c r="L834" s="118"/>
      <c r="M834" s="118"/>
      <c r="N834" s="118"/>
      <c r="O834" s="42"/>
      <c r="P834" s="42"/>
      <c r="Q834" s="42"/>
      <c r="R834" s="42"/>
      <c r="S834" s="125"/>
      <c r="T834" s="12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row>
    <row r="835" spans="1:46" ht="15.75" customHeight="1" x14ac:dyDescent="0.2">
      <c r="A835" s="118"/>
      <c r="B835" s="118"/>
      <c r="C835" s="118"/>
      <c r="D835" s="118"/>
      <c r="E835" s="118"/>
      <c r="F835" s="118"/>
      <c r="G835" s="118"/>
      <c r="H835" s="118"/>
      <c r="I835" s="118"/>
      <c r="J835" s="118"/>
      <c r="K835" s="118"/>
      <c r="L835" s="118"/>
      <c r="M835" s="118"/>
      <c r="N835" s="118"/>
      <c r="O835" s="42"/>
      <c r="P835" s="42"/>
      <c r="Q835" s="42"/>
      <c r="R835" s="42"/>
      <c r="S835" s="125"/>
      <c r="T835" s="12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row>
    <row r="836" spans="1:46" ht="15.75" customHeight="1" x14ac:dyDescent="0.2">
      <c r="A836" s="118"/>
      <c r="B836" s="118"/>
      <c r="C836" s="118"/>
      <c r="D836" s="118"/>
      <c r="E836" s="118"/>
      <c r="F836" s="118"/>
      <c r="G836" s="118"/>
      <c r="H836" s="118"/>
      <c r="I836" s="118"/>
      <c r="J836" s="118"/>
      <c r="K836" s="118"/>
      <c r="L836" s="118"/>
      <c r="M836" s="118"/>
      <c r="N836" s="118"/>
      <c r="O836" s="42"/>
      <c r="P836" s="42"/>
      <c r="Q836" s="42"/>
      <c r="R836" s="42"/>
      <c r="S836" s="125"/>
      <c r="T836" s="12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row>
    <row r="837" spans="1:46" ht="15.75" customHeight="1" x14ac:dyDescent="0.2">
      <c r="A837" s="118"/>
      <c r="B837" s="118"/>
      <c r="C837" s="118"/>
      <c r="D837" s="118"/>
      <c r="E837" s="118"/>
      <c r="F837" s="118"/>
      <c r="G837" s="118"/>
      <c r="H837" s="118"/>
      <c r="I837" s="118"/>
      <c r="J837" s="118"/>
      <c r="K837" s="118"/>
      <c r="L837" s="118"/>
      <c r="M837" s="118"/>
      <c r="N837" s="118"/>
      <c r="O837" s="42"/>
      <c r="P837" s="42"/>
      <c r="Q837" s="42"/>
      <c r="R837" s="42"/>
      <c r="S837" s="125"/>
      <c r="T837" s="12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row>
    <row r="838" spans="1:46" ht="15.75" customHeight="1" x14ac:dyDescent="0.2">
      <c r="A838" s="118"/>
      <c r="B838" s="118"/>
      <c r="C838" s="118"/>
      <c r="D838" s="118"/>
      <c r="E838" s="118"/>
      <c r="F838" s="118"/>
      <c r="G838" s="118"/>
      <c r="H838" s="118"/>
      <c r="I838" s="118"/>
      <c r="J838" s="118"/>
      <c r="K838" s="118"/>
      <c r="L838" s="118"/>
      <c r="M838" s="118"/>
      <c r="N838" s="118"/>
      <c r="O838" s="42"/>
      <c r="P838" s="42"/>
      <c r="Q838" s="42"/>
      <c r="R838" s="42"/>
      <c r="S838" s="125"/>
      <c r="T838" s="12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row>
    <row r="839" spans="1:46" ht="15.75" customHeight="1" x14ac:dyDescent="0.2">
      <c r="A839" s="118"/>
      <c r="B839" s="118"/>
      <c r="C839" s="118"/>
      <c r="D839" s="118"/>
      <c r="E839" s="118"/>
      <c r="F839" s="118"/>
      <c r="G839" s="118"/>
      <c r="H839" s="118"/>
      <c r="I839" s="118"/>
      <c r="J839" s="118"/>
      <c r="K839" s="118"/>
      <c r="L839" s="118"/>
      <c r="M839" s="118"/>
      <c r="N839" s="118"/>
      <c r="O839" s="42"/>
      <c r="P839" s="42"/>
      <c r="Q839" s="42"/>
      <c r="R839" s="42"/>
      <c r="S839" s="125"/>
      <c r="T839" s="12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row>
    <row r="840" spans="1:46" ht="15.75" customHeight="1" x14ac:dyDescent="0.2">
      <c r="A840" s="118"/>
      <c r="B840" s="118"/>
      <c r="C840" s="118"/>
      <c r="D840" s="118"/>
      <c r="E840" s="118"/>
      <c r="F840" s="118"/>
      <c r="G840" s="118"/>
      <c r="H840" s="118"/>
      <c r="I840" s="118"/>
      <c r="J840" s="118"/>
      <c r="K840" s="118"/>
      <c r="L840" s="118"/>
      <c r="M840" s="118"/>
      <c r="N840" s="118"/>
      <c r="O840" s="42"/>
      <c r="P840" s="42"/>
      <c r="Q840" s="42"/>
      <c r="R840" s="42"/>
      <c r="S840" s="125"/>
      <c r="T840" s="12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row>
    <row r="841" spans="1:46" ht="15.75" customHeight="1" x14ac:dyDescent="0.2">
      <c r="A841" s="118"/>
      <c r="B841" s="118"/>
      <c r="C841" s="118"/>
      <c r="D841" s="118"/>
      <c r="E841" s="118"/>
      <c r="F841" s="118"/>
      <c r="G841" s="118"/>
      <c r="H841" s="118"/>
      <c r="I841" s="118"/>
      <c r="J841" s="118"/>
      <c r="K841" s="118"/>
      <c r="L841" s="118"/>
      <c r="M841" s="118"/>
      <c r="N841" s="118"/>
      <c r="O841" s="42"/>
      <c r="P841" s="42"/>
      <c r="Q841" s="42"/>
      <c r="R841" s="42"/>
      <c r="S841" s="125"/>
      <c r="T841" s="12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row>
    <row r="842" spans="1:46" ht="15.75" customHeight="1" x14ac:dyDescent="0.2">
      <c r="A842" s="118"/>
      <c r="B842" s="118"/>
      <c r="C842" s="118"/>
      <c r="D842" s="118"/>
      <c r="E842" s="118"/>
      <c r="F842" s="118"/>
      <c r="G842" s="118"/>
      <c r="H842" s="118"/>
      <c r="I842" s="118"/>
      <c r="J842" s="118"/>
      <c r="K842" s="118"/>
      <c r="L842" s="118"/>
      <c r="M842" s="118"/>
      <c r="N842" s="118"/>
      <c r="O842" s="42"/>
      <c r="P842" s="42"/>
      <c r="Q842" s="42"/>
      <c r="R842" s="42"/>
      <c r="S842" s="125"/>
      <c r="T842" s="12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row>
    <row r="843" spans="1:46" ht="15.75" customHeight="1" x14ac:dyDescent="0.2">
      <c r="A843" s="118"/>
      <c r="B843" s="118"/>
      <c r="C843" s="118"/>
      <c r="D843" s="118"/>
      <c r="E843" s="118"/>
      <c r="F843" s="118"/>
      <c r="G843" s="118"/>
      <c r="H843" s="118"/>
      <c r="I843" s="118"/>
      <c r="J843" s="118"/>
      <c r="K843" s="118"/>
      <c r="L843" s="118"/>
      <c r="M843" s="118"/>
      <c r="N843" s="118"/>
      <c r="O843" s="42"/>
      <c r="P843" s="42"/>
      <c r="Q843" s="42"/>
      <c r="R843" s="42"/>
      <c r="S843" s="125"/>
      <c r="T843" s="12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row>
    <row r="844" spans="1:46" ht="15.75" customHeight="1" x14ac:dyDescent="0.2">
      <c r="A844" s="118"/>
      <c r="B844" s="118"/>
      <c r="C844" s="118"/>
      <c r="D844" s="118"/>
      <c r="E844" s="118"/>
      <c r="F844" s="118"/>
      <c r="G844" s="118"/>
      <c r="H844" s="118"/>
      <c r="I844" s="118"/>
      <c r="J844" s="118"/>
      <c r="K844" s="118"/>
      <c r="L844" s="118"/>
      <c r="M844" s="118"/>
      <c r="N844" s="118"/>
      <c r="O844" s="42"/>
      <c r="P844" s="42"/>
      <c r="Q844" s="42"/>
      <c r="R844" s="42"/>
      <c r="S844" s="125"/>
      <c r="T844" s="12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row>
    <row r="845" spans="1:46" ht="15.75" customHeight="1" x14ac:dyDescent="0.2">
      <c r="A845" s="118"/>
      <c r="B845" s="118"/>
      <c r="C845" s="118"/>
      <c r="D845" s="118"/>
      <c r="E845" s="118"/>
      <c r="F845" s="118"/>
      <c r="G845" s="118"/>
      <c r="H845" s="118"/>
      <c r="I845" s="118"/>
      <c r="J845" s="118"/>
      <c r="K845" s="118"/>
      <c r="L845" s="118"/>
      <c r="M845" s="118"/>
      <c r="N845" s="118"/>
      <c r="O845" s="42"/>
      <c r="P845" s="42"/>
      <c r="Q845" s="42"/>
      <c r="R845" s="42"/>
      <c r="S845" s="125"/>
      <c r="T845" s="12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row>
    <row r="846" spans="1:46" ht="15.75" customHeight="1" x14ac:dyDescent="0.2">
      <c r="A846" s="118"/>
      <c r="B846" s="118"/>
      <c r="C846" s="118"/>
      <c r="D846" s="118"/>
      <c r="E846" s="118"/>
      <c r="F846" s="118"/>
      <c r="G846" s="118"/>
      <c r="H846" s="118"/>
      <c r="I846" s="118"/>
      <c r="J846" s="118"/>
      <c r="K846" s="118"/>
      <c r="L846" s="118"/>
      <c r="M846" s="118"/>
      <c r="N846" s="118"/>
      <c r="O846" s="42"/>
      <c r="P846" s="42"/>
      <c r="Q846" s="42"/>
      <c r="R846" s="42"/>
      <c r="S846" s="125"/>
      <c r="T846" s="12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row>
    <row r="847" spans="1:46" ht="15.75" customHeight="1" x14ac:dyDescent="0.2">
      <c r="A847" s="118"/>
      <c r="B847" s="118"/>
      <c r="C847" s="118"/>
      <c r="D847" s="118"/>
      <c r="E847" s="118"/>
      <c r="F847" s="118"/>
      <c r="G847" s="118"/>
      <c r="H847" s="118"/>
      <c r="I847" s="118"/>
      <c r="J847" s="118"/>
      <c r="K847" s="118"/>
      <c r="L847" s="118"/>
      <c r="M847" s="118"/>
      <c r="N847" s="118"/>
      <c r="O847" s="42"/>
      <c r="P847" s="42"/>
      <c r="Q847" s="42"/>
      <c r="R847" s="42"/>
      <c r="S847" s="125"/>
      <c r="T847" s="12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row>
    <row r="848" spans="1:46" ht="15.75" customHeight="1" x14ac:dyDescent="0.2">
      <c r="A848" s="118"/>
      <c r="B848" s="118"/>
      <c r="C848" s="118"/>
      <c r="D848" s="118"/>
      <c r="E848" s="118"/>
      <c r="F848" s="118"/>
      <c r="G848" s="118"/>
      <c r="H848" s="118"/>
      <c r="I848" s="118"/>
      <c r="J848" s="118"/>
      <c r="K848" s="118"/>
      <c r="L848" s="118"/>
      <c r="M848" s="118"/>
      <c r="N848" s="118"/>
      <c r="O848" s="42"/>
      <c r="P848" s="42"/>
      <c r="Q848" s="42"/>
      <c r="R848" s="42"/>
      <c r="S848" s="125"/>
      <c r="T848" s="12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row>
    <row r="849" spans="1:46" ht="15.75" customHeight="1" x14ac:dyDescent="0.2">
      <c r="A849" s="118"/>
      <c r="B849" s="118"/>
      <c r="C849" s="118"/>
      <c r="D849" s="118"/>
      <c r="E849" s="118"/>
      <c r="F849" s="118"/>
      <c r="G849" s="118"/>
      <c r="H849" s="118"/>
      <c r="I849" s="118"/>
      <c r="J849" s="118"/>
      <c r="K849" s="118"/>
      <c r="L849" s="118"/>
      <c r="M849" s="118"/>
      <c r="N849" s="118"/>
      <c r="O849" s="42"/>
      <c r="P849" s="42"/>
      <c r="Q849" s="42"/>
      <c r="R849" s="42"/>
      <c r="S849" s="125"/>
      <c r="T849" s="12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row>
    <row r="850" spans="1:46" ht="15.75" customHeight="1" x14ac:dyDescent="0.2">
      <c r="A850" s="118"/>
      <c r="B850" s="118"/>
      <c r="C850" s="118"/>
      <c r="D850" s="118"/>
      <c r="E850" s="118"/>
      <c r="F850" s="118"/>
      <c r="G850" s="118"/>
      <c r="H850" s="118"/>
      <c r="I850" s="118"/>
      <c r="J850" s="118"/>
      <c r="K850" s="118"/>
      <c r="L850" s="118"/>
      <c r="M850" s="118"/>
      <c r="N850" s="118"/>
      <c r="O850" s="42"/>
      <c r="P850" s="42"/>
      <c r="Q850" s="42"/>
      <c r="R850" s="42"/>
      <c r="S850" s="125"/>
      <c r="T850" s="12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row>
    <row r="851" spans="1:46" ht="15.75" customHeight="1" x14ac:dyDescent="0.2">
      <c r="A851" s="118"/>
      <c r="B851" s="118"/>
      <c r="C851" s="118"/>
      <c r="D851" s="118"/>
      <c r="E851" s="118"/>
      <c r="F851" s="118"/>
      <c r="G851" s="118"/>
      <c r="H851" s="118"/>
      <c r="I851" s="118"/>
      <c r="J851" s="118"/>
      <c r="K851" s="118"/>
      <c r="L851" s="118"/>
      <c r="M851" s="118"/>
      <c r="N851" s="118"/>
      <c r="O851" s="42"/>
      <c r="P851" s="42"/>
      <c r="Q851" s="42"/>
      <c r="R851" s="42"/>
      <c r="S851" s="125"/>
      <c r="T851" s="12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row>
    <row r="852" spans="1:46" ht="15.75" customHeight="1" x14ac:dyDescent="0.2">
      <c r="A852" s="118"/>
      <c r="B852" s="118"/>
      <c r="C852" s="118"/>
      <c r="D852" s="118"/>
      <c r="E852" s="118"/>
      <c r="F852" s="118"/>
      <c r="G852" s="118"/>
      <c r="H852" s="118"/>
      <c r="I852" s="118"/>
      <c r="J852" s="118"/>
      <c r="K852" s="118"/>
      <c r="L852" s="118"/>
      <c r="M852" s="118"/>
      <c r="N852" s="118"/>
      <c r="O852" s="42"/>
      <c r="P852" s="42"/>
      <c r="Q852" s="42"/>
      <c r="R852" s="42"/>
      <c r="S852" s="125"/>
      <c r="T852" s="12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row>
    <row r="853" spans="1:46" ht="15.75" customHeight="1" x14ac:dyDescent="0.2">
      <c r="A853" s="118"/>
      <c r="B853" s="118"/>
      <c r="C853" s="118"/>
      <c r="D853" s="118"/>
      <c r="E853" s="118"/>
      <c r="F853" s="118"/>
      <c r="G853" s="118"/>
      <c r="H853" s="118"/>
      <c r="I853" s="118"/>
      <c r="J853" s="118"/>
      <c r="K853" s="118"/>
      <c r="L853" s="118"/>
      <c r="M853" s="118"/>
      <c r="N853" s="118"/>
      <c r="O853" s="42"/>
      <c r="P853" s="42"/>
      <c r="Q853" s="42"/>
      <c r="R853" s="42"/>
      <c r="S853" s="125"/>
      <c r="T853" s="12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row>
    <row r="854" spans="1:46" ht="15.75" customHeight="1" x14ac:dyDescent="0.2">
      <c r="A854" s="118"/>
      <c r="B854" s="118"/>
      <c r="C854" s="118"/>
      <c r="D854" s="118"/>
      <c r="E854" s="118"/>
      <c r="F854" s="118"/>
      <c r="G854" s="118"/>
      <c r="H854" s="118"/>
      <c r="I854" s="118"/>
      <c r="J854" s="118"/>
      <c r="K854" s="118"/>
      <c r="L854" s="118"/>
      <c r="M854" s="118"/>
      <c r="N854" s="118"/>
      <c r="O854" s="42"/>
      <c r="P854" s="42"/>
      <c r="Q854" s="42"/>
      <c r="R854" s="42"/>
      <c r="S854" s="125"/>
      <c r="T854" s="12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row>
    <row r="855" spans="1:46" ht="15.75" customHeight="1" x14ac:dyDescent="0.2">
      <c r="A855" s="118"/>
      <c r="B855" s="118"/>
      <c r="C855" s="118"/>
      <c r="D855" s="118"/>
      <c r="E855" s="118"/>
      <c r="F855" s="118"/>
      <c r="G855" s="118"/>
      <c r="H855" s="118"/>
      <c r="I855" s="118"/>
      <c r="J855" s="118"/>
      <c r="K855" s="118"/>
      <c r="L855" s="118"/>
      <c r="M855" s="118"/>
      <c r="N855" s="118"/>
      <c r="O855" s="42"/>
      <c r="P855" s="42"/>
      <c r="Q855" s="42"/>
      <c r="R855" s="42"/>
      <c r="S855" s="125"/>
      <c r="T855" s="12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row>
    <row r="856" spans="1:46" ht="15.75" customHeight="1" x14ac:dyDescent="0.2">
      <c r="A856" s="118"/>
      <c r="B856" s="118"/>
      <c r="C856" s="118"/>
      <c r="D856" s="118"/>
      <c r="E856" s="118"/>
      <c r="F856" s="118"/>
      <c r="G856" s="118"/>
      <c r="H856" s="118"/>
      <c r="I856" s="118"/>
      <c r="J856" s="118"/>
      <c r="K856" s="118"/>
      <c r="L856" s="118"/>
      <c r="M856" s="118"/>
      <c r="N856" s="118"/>
      <c r="O856" s="42"/>
      <c r="P856" s="42"/>
      <c r="Q856" s="42"/>
      <c r="R856" s="42"/>
      <c r="S856" s="125"/>
      <c r="T856" s="12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row>
    <row r="857" spans="1:46" ht="15.75" customHeight="1" x14ac:dyDescent="0.2">
      <c r="A857" s="118"/>
      <c r="B857" s="118"/>
      <c r="C857" s="118"/>
      <c r="D857" s="118"/>
      <c r="E857" s="118"/>
      <c r="F857" s="118"/>
      <c r="G857" s="118"/>
      <c r="H857" s="118"/>
      <c r="I857" s="118"/>
      <c r="J857" s="118"/>
      <c r="K857" s="118"/>
      <c r="L857" s="118"/>
      <c r="M857" s="118"/>
      <c r="N857" s="118"/>
      <c r="O857" s="42"/>
      <c r="P857" s="42"/>
      <c r="Q857" s="42"/>
      <c r="R857" s="42"/>
      <c r="S857" s="125"/>
      <c r="T857" s="12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row>
    <row r="858" spans="1:46" ht="15.75" customHeight="1" x14ac:dyDescent="0.2">
      <c r="A858" s="118"/>
      <c r="B858" s="118"/>
      <c r="C858" s="118"/>
      <c r="D858" s="118"/>
      <c r="E858" s="118"/>
      <c r="F858" s="118"/>
      <c r="G858" s="118"/>
      <c r="H858" s="118"/>
      <c r="I858" s="118"/>
      <c r="J858" s="118"/>
      <c r="K858" s="118"/>
      <c r="L858" s="118"/>
      <c r="M858" s="118"/>
      <c r="N858" s="118"/>
      <c r="O858" s="42"/>
      <c r="P858" s="42"/>
      <c r="Q858" s="42"/>
      <c r="R858" s="42"/>
      <c r="S858" s="125"/>
      <c r="T858" s="12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row>
    <row r="859" spans="1:46" ht="15.75" customHeight="1" x14ac:dyDescent="0.2">
      <c r="A859" s="118"/>
      <c r="B859" s="118"/>
      <c r="C859" s="118"/>
      <c r="D859" s="118"/>
      <c r="E859" s="118"/>
      <c r="F859" s="118"/>
      <c r="G859" s="118"/>
      <c r="H859" s="118"/>
      <c r="I859" s="118"/>
      <c r="J859" s="118"/>
      <c r="K859" s="118"/>
      <c r="L859" s="118"/>
      <c r="M859" s="118"/>
      <c r="N859" s="118"/>
      <c r="O859" s="42"/>
      <c r="P859" s="42"/>
      <c r="Q859" s="42"/>
      <c r="R859" s="42"/>
      <c r="S859" s="125"/>
      <c r="T859" s="12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row>
    <row r="860" spans="1:46" ht="15.75" customHeight="1" x14ac:dyDescent="0.2">
      <c r="A860" s="118"/>
      <c r="B860" s="118"/>
      <c r="C860" s="118"/>
      <c r="D860" s="118"/>
      <c r="E860" s="118"/>
      <c r="F860" s="118"/>
      <c r="G860" s="118"/>
      <c r="H860" s="118"/>
      <c r="I860" s="118"/>
      <c r="J860" s="118"/>
      <c r="K860" s="118"/>
      <c r="L860" s="118"/>
      <c r="M860" s="118"/>
      <c r="N860" s="118"/>
      <c r="O860" s="42"/>
      <c r="P860" s="42"/>
      <c r="Q860" s="42"/>
      <c r="R860" s="42"/>
      <c r="S860" s="125"/>
      <c r="T860" s="12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row>
    <row r="861" spans="1:46" ht="15.75" customHeight="1" x14ac:dyDescent="0.2">
      <c r="A861" s="118"/>
      <c r="B861" s="118"/>
      <c r="C861" s="118"/>
      <c r="D861" s="118"/>
      <c r="E861" s="118"/>
      <c r="F861" s="118"/>
      <c r="G861" s="118"/>
      <c r="H861" s="118"/>
      <c r="I861" s="118"/>
      <c r="J861" s="118"/>
      <c r="K861" s="118"/>
      <c r="L861" s="118"/>
      <c r="M861" s="118"/>
      <c r="N861" s="118"/>
      <c r="O861" s="42"/>
      <c r="P861" s="42"/>
      <c r="Q861" s="42"/>
      <c r="R861" s="42"/>
      <c r="S861" s="125"/>
      <c r="T861" s="12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row>
    <row r="862" spans="1:46" ht="15.75" customHeight="1" x14ac:dyDescent="0.2">
      <c r="A862" s="118"/>
      <c r="B862" s="118"/>
      <c r="C862" s="118"/>
      <c r="D862" s="118"/>
      <c r="E862" s="118"/>
      <c r="F862" s="118"/>
      <c r="G862" s="118"/>
      <c r="H862" s="118"/>
      <c r="I862" s="118"/>
      <c r="J862" s="118"/>
      <c r="K862" s="118"/>
      <c r="L862" s="118"/>
      <c r="M862" s="118"/>
      <c r="N862" s="118"/>
      <c r="O862" s="42"/>
      <c r="P862" s="42"/>
      <c r="Q862" s="42"/>
      <c r="R862" s="42"/>
      <c r="S862" s="125"/>
      <c r="T862" s="12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row>
    <row r="863" spans="1:46" ht="15.75" customHeight="1" x14ac:dyDescent="0.2">
      <c r="A863" s="118"/>
      <c r="B863" s="118"/>
      <c r="C863" s="118"/>
      <c r="D863" s="118"/>
      <c r="E863" s="118"/>
      <c r="F863" s="118"/>
      <c r="G863" s="118"/>
      <c r="H863" s="118"/>
      <c r="I863" s="118"/>
      <c r="J863" s="118"/>
      <c r="K863" s="118"/>
      <c r="L863" s="118"/>
      <c r="M863" s="118"/>
      <c r="N863" s="118"/>
      <c r="O863" s="42"/>
      <c r="P863" s="42"/>
      <c r="Q863" s="42"/>
      <c r="R863" s="42"/>
      <c r="S863" s="125"/>
      <c r="T863" s="12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row>
    <row r="864" spans="1:46" ht="15.75" customHeight="1" x14ac:dyDescent="0.2">
      <c r="A864" s="118"/>
      <c r="B864" s="118"/>
      <c r="C864" s="118"/>
      <c r="D864" s="118"/>
      <c r="E864" s="118"/>
      <c r="F864" s="118"/>
      <c r="G864" s="118"/>
      <c r="H864" s="118"/>
      <c r="I864" s="118"/>
      <c r="J864" s="118"/>
      <c r="K864" s="118"/>
      <c r="L864" s="118"/>
      <c r="M864" s="118"/>
      <c r="N864" s="118"/>
      <c r="O864" s="42"/>
      <c r="P864" s="42"/>
      <c r="Q864" s="42"/>
      <c r="R864" s="42"/>
      <c r="S864" s="125"/>
      <c r="T864" s="12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row>
    <row r="865" spans="1:46" ht="15.75" customHeight="1" x14ac:dyDescent="0.2">
      <c r="A865" s="118"/>
      <c r="B865" s="118"/>
      <c r="C865" s="118"/>
      <c r="D865" s="118"/>
      <c r="E865" s="118"/>
      <c r="F865" s="118"/>
      <c r="G865" s="118"/>
      <c r="H865" s="118"/>
      <c r="I865" s="118"/>
      <c r="J865" s="118"/>
      <c r="K865" s="118"/>
      <c r="L865" s="118"/>
      <c r="M865" s="118"/>
      <c r="N865" s="118"/>
      <c r="O865" s="42"/>
      <c r="P865" s="42"/>
      <c r="Q865" s="42"/>
      <c r="R865" s="42"/>
      <c r="S865" s="125"/>
      <c r="T865" s="12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row>
    <row r="866" spans="1:46" ht="15.75" customHeight="1" x14ac:dyDescent="0.2">
      <c r="A866" s="118"/>
      <c r="B866" s="118"/>
      <c r="C866" s="118"/>
      <c r="D866" s="118"/>
      <c r="E866" s="118"/>
      <c r="F866" s="118"/>
      <c r="G866" s="118"/>
      <c r="H866" s="118"/>
      <c r="I866" s="118"/>
      <c r="J866" s="118"/>
      <c r="K866" s="118"/>
      <c r="L866" s="118"/>
      <c r="M866" s="118"/>
      <c r="N866" s="118"/>
      <c r="O866" s="42"/>
      <c r="P866" s="42"/>
      <c r="Q866" s="42"/>
      <c r="R866" s="42"/>
      <c r="S866" s="125"/>
      <c r="T866" s="12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row>
    <row r="867" spans="1:46" ht="15.75" customHeight="1" x14ac:dyDescent="0.2">
      <c r="A867" s="118"/>
      <c r="B867" s="118"/>
      <c r="C867" s="118"/>
      <c r="D867" s="118"/>
      <c r="E867" s="118"/>
      <c r="F867" s="118"/>
      <c r="G867" s="118"/>
      <c r="H867" s="118"/>
      <c r="I867" s="118"/>
      <c r="J867" s="118"/>
      <c r="K867" s="118"/>
      <c r="L867" s="118"/>
      <c r="M867" s="118"/>
      <c r="N867" s="118"/>
      <c r="O867" s="42"/>
      <c r="P867" s="42"/>
      <c r="Q867" s="42"/>
      <c r="R867" s="42"/>
      <c r="S867" s="125"/>
      <c r="T867" s="12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row>
    <row r="868" spans="1:46" ht="15.75" customHeight="1" x14ac:dyDescent="0.2">
      <c r="A868" s="118"/>
      <c r="B868" s="118"/>
      <c r="C868" s="118"/>
      <c r="D868" s="118"/>
      <c r="E868" s="118"/>
      <c r="F868" s="118"/>
      <c r="G868" s="118"/>
      <c r="H868" s="118"/>
      <c r="I868" s="118"/>
      <c r="J868" s="118"/>
      <c r="K868" s="118"/>
      <c r="L868" s="118"/>
      <c r="M868" s="118"/>
      <c r="N868" s="118"/>
      <c r="O868" s="42"/>
      <c r="P868" s="42"/>
      <c r="Q868" s="42"/>
      <c r="R868" s="42"/>
      <c r="S868" s="125"/>
      <c r="T868" s="12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row>
    <row r="869" spans="1:46" ht="15.75" customHeight="1" x14ac:dyDescent="0.2">
      <c r="A869" s="118"/>
      <c r="B869" s="118"/>
      <c r="C869" s="118"/>
      <c r="D869" s="118"/>
      <c r="E869" s="118"/>
      <c r="F869" s="118"/>
      <c r="G869" s="118"/>
      <c r="H869" s="118"/>
      <c r="I869" s="118"/>
      <c r="J869" s="118"/>
      <c r="K869" s="118"/>
      <c r="L869" s="118"/>
      <c r="M869" s="118"/>
      <c r="N869" s="118"/>
      <c r="O869" s="42"/>
      <c r="P869" s="42"/>
      <c r="Q869" s="42"/>
      <c r="R869" s="42"/>
      <c r="S869" s="125"/>
      <c r="T869" s="12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row>
    <row r="870" spans="1:46" ht="15.75" customHeight="1" x14ac:dyDescent="0.2">
      <c r="A870" s="118"/>
      <c r="B870" s="118"/>
      <c r="C870" s="118"/>
      <c r="D870" s="118"/>
      <c r="E870" s="118"/>
      <c r="F870" s="118"/>
      <c r="G870" s="118"/>
      <c r="H870" s="118"/>
      <c r="I870" s="118"/>
      <c r="J870" s="118"/>
      <c r="K870" s="118"/>
      <c r="L870" s="118"/>
      <c r="M870" s="118"/>
      <c r="N870" s="118"/>
      <c r="O870" s="42"/>
      <c r="P870" s="42"/>
      <c r="Q870" s="42"/>
      <c r="R870" s="42"/>
      <c r="S870" s="125"/>
      <c r="T870" s="12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row>
    <row r="871" spans="1:46" ht="15.75" customHeight="1" x14ac:dyDescent="0.2">
      <c r="A871" s="118"/>
      <c r="B871" s="118"/>
      <c r="C871" s="118"/>
      <c r="D871" s="118"/>
      <c r="E871" s="118"/>
      <c r="F871" s="118"/>
      <c r="G871" s="118"/>
      <c r="H871" s="118"/>
      <c r="I871" s="118"/>
      <c r="J871" s="118"/>
      <c r="K871" s="118"/>
      <c r="L871" s="118"/>
      <c r="M871" s="118"/>
      <c r="N871" s="118"/>
      <c r="O871" s="42"/>
      <c r="P871" s="42"/>
      <c r="Q871" s="42"/>
      <c r="R871" s="42"/>
      <c r="S871" s="125"/>
      <c r="T871" s="12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row>
    <row r="872" spans="1:46" ht="15.75" customHeight="1" x14ac:dyDescent="0.2">
      <c r="A872" s="118"/>
      <c r="B872" s="118"/>
      <c r="C872" s="118"/>
      <c r="D872" s="118"/>
      <c r="E872" s="118"/>
      <c r="F872" s="118"/>
      <c r="G872" s="118"/>
      <c r="H872" s="118"/>
      <c r="I872" s="118"/>
      <c r="J872" s="118"/>
      <c r="K872" s="118"/>
      <c r="L872" s="118"/>
      <c r="M872" s="118"/>
      <c r="N872" s="118"/>
      <c r="O872" s="42"/>
      <c r="P872" s="42"/>
      <c r="Q872" s="42"/>
      <c r="R872" s="42"/>
      <c r="S872" s="125"/>
      <c r="T872" s="12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spans="1:46" ht="15.75" customHeight="1" x14ac:dyDescent="0.2">
      <c r="A873" s="118"/>
      <c r="B873" s="118"/>
      <c r="C873" s="118"/>
      <c r="D873" s="118"/>
      <c r="E873" s="118"/>
      <c r="F873" s="118"/>
      <c r="G873" s="118"/>
      <c r="H873" s="118"/>
      <c r="I873" s="118"/>
      <c r="J873" s="118"/>
      <c r="K873" s="118"/>
      <c r="L873" s="118"/>
      <c r="M873" s="118"/>
      <c r="N873" s="118"/>
      <c r="O873" s="42"/>
      <c r="P873" s="42"/>
      <c r="Q873" s="42"/>
      <c r="R873" s="42"/>
      <c r="S873" s="125"/>
      <c r="T873" s="12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spans="1:46" ht="15.75" customHeight="1" x14ac:dyDescent="0.2">
      <c r="A874" s="118"/>
      <c r="B874" s="118"/>
      <c r="C874" s="118"/>
      <c r="D874" s="118"/>
      <c r="E874" s="118"/>
      <c r="F874" s="118"/>
      <c r="G874" s="118"/>
      <c r="H874" s="118"/>
      <c r="I874" s="118"/>
      <c r="J874" s="118"/>
      <c r="K874" s="118"/>
      <c r="L874" s="118"/>
      <c r="M874" s="118"/>
      <c r="N874" s="118"/>
      <c r="O874" s="42"/>
      <c r="P874" s="42"/>
      <c r="Q874" s="42"/>
      <c r="R874" s="42"/>
      <c r="S874" s="125"/>
      <c r="T874" s="12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row>
    <row r="875" spans="1:46" ht="15.75" customHeight="1" x14ac:dyDescent="0.2">
      <c r="A875" s="118"/>
      <c r="B875" s="118"/>
      <c r="C875" s="118"/>
      <c r="D875" s="118"/>
      <c r="E875" s="118"/>
      <c r="F875" s="118"/>
      <c r="G875" s="118"/>
      <c r="H875" s="118"/>
      <c r="I875" s="118"/>
      <c r="J875" s="118"/>
      <c r="K875" s="118"/>
      <c r="L875" s="118"/>
      <c r="M875" s="118"/>
      <c r="N875" s="118"/>
      <c r="O875" s="42"/>
      <c r="P875" s="42"/>
      <c r="Q875" s="42"/>
      <c r="R875" s="42"/>
      <c r="S875" s="125"/>
      <c r="T875" s="12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spans="1:46" ht="15.75" customHeight="1" x14ac:dyDescent="0.2">
      <c r="A876" s="118"/>
      <c r="B876" s="118"/>
      <c r="C876" s="118"/>
      <c r="D876" s="118"/>
      <c r="E876" s="118"/>
      <c r="F876" s="118"/>
      <c r="G876" s="118"/>
      <c r="H876" s="118"/>
      <c r="I876" s="118"/>
      <c r="J876" s="118"/>
      <c r="K876" s="118"/>
      <c r="L876" s="118"/>
      <c r="M876" s="118"/>
      <c r="N876" s="118"/>
      <c r="O876" s="42"/>
      <c r="P876" s="42"/>
      <c r="Q876" s="42"/>
      <c r="R876" s="42"/>
      <c r="S876" s="125"/>
      <c r="T876" s="12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spans="1:46" ht="15.75" customHeight="1" x14ac:dyDescent="0.2">
      <c r="A877" s="118"/>
      <c r="B877" s="118"/>
      <c r="C877" s="118"/>
      <c r="D877" s="118"/>
      <c r="E877" s="118"/>
      <c r="F877" s="118"/>
      <c r="G877" s="118"/>
      <c r="H877" s="118"/>
      <c r="I877" s="118"/>
      <c r="J877" s="118"/>
      <c r="K877" s="118"/>
      <c r="L877" s="118"/>
      <c r="M877" s="118"/>
      <c r="N877" s="118"/>
      <c r="O877" s="42"/>
      <c r="P877" s="42"/>
      <c r="Q877" s="42"/>
      <c r="R877" s="42"/>
      <c r="S877" s="125"/>
      <c r="T877" s="12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spans="1:46" ht="15.75" customHeight="1" x14ac:dyDescent="0.2">
      <c r="A878" s="118"/>
      <c r="B878" s="118"/>
      <c r="C878" s="118"/>
      <c r="D878" s="118"/>
      <c r="E878" s="118"/>
      <c r="F878" s="118"/>
      <c r="G878" s="118"/>
      <c r="H878" s="118"/>
      <c r="I878" s="118"/>
      <c r="J878" s="118"/>
      <c r="K878" s="118"/>
      <c r="L878" s="118"/>
      <c r="M878" s="118"/>
      <c r="N878" s="118"/>
      <c r="O878" s="42"/>
      <c r="P878" s="42"/>
      <c r="Q878" s="42"/>
      <c r="R878" s="42"/>
      <c r="S878" s="125"/>
      <c r="T878" s="12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spans="1:46" ht="15.75" customHeight="1" x14ac:dyDescent="0.2">
      <c r="A879" s="118"/>
      <c r="B879" s="118"/>
      <c r="C879" s="118"/>
      <c r="D879" s="118"/>
      <c r="E879" s="118"/>
      <c r="F879" s="118"/>
      <c r="G879" s="118"/>
      <c r="H879" s="118"/>
      <c r="I879" s="118"/>
      <c r="J879" s="118"/>
      <c r="K879" s="118"/>
      <c r="L879" s="118"/>
      <c r="M879" s="118"/>
      <c r="N879" s="118"/>
      <c r="O879" s="42"/>
      <c r="P879" s="42"/>
      <c r="Q879" s="42"/>
      <c r="R879" s="42"/>
      <c r="S879" s="125"/>
      <c r="T879" s="12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spans="1:46" ht="15.75" customHeight="1" x14ac:dyDescent="0.2">
      <c r="A880" s="118"/>
      <c r="B880" s="118"/>
      <c r="C880" s="118"/>
      <c r="D880" s="118"/>
      <c r="E880" s="118"/>
      <c r="F880" s="118"/>
      <c r="G880" s="118"/>
      <c r="H880" s="118"/>
      <c r="I880" s="118"/>
      <c r="J880" s="118"/>
      <c r="K880" s="118"/>
      <c r="L880" s="118"/>
      <c r="M880" s="118"/>
      <c r="N880" s="118"/>
      <c r="O880" s="42"/>
      <c r="P880" s="42"/>
      <c r="Q880" s="42"/>
      <c r="R880" s="42"/>
      <c r="S880" s="125"/>
      <c r="T880" s="12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spans="1:46" ht="15.75" customHeight="1" x14ac:dyDescent="0.2">
      <c r="A881" s="118"/>
      <c r="B881" s="118"/>
      <c r="C881" s="118"/>
      <c r="D881" s="118"/>
      <c r="E881" s="118"/>
      <c r="F881" s="118"/>
      <c r="G881" s="118"/>
      <c r="H881" s="118"/>
      <c r="I881" s="118"/>
      <c r="J881" s="118"/>
      <c r="K881" s="118"/>
      <c r="L881" s="118"/>
      <c r="M881" s="118"/>
      <c r="N881" s="118"/>
      <c r="O881" s="42"/>
      <c r="P881" s="42"/>
      <c r="Q881" s="42"/>
      <c r="R881" s="42"/>
      <c r="S881" s="125"/>
      <c r="T881" s="12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spans="1:46" ht="15.75" customHeight="1" x14ac:dyDescent="0.2">
      <c r="A882" s="118"/>
      <c r="B882" s="118"/>
      <c r="C882" s="118"/>
      <c r="D882" s="118"/>
      <c r="E882" s="118"/>
      <c r="F882" s="118"/>
      <c r="G882" s="118"/>
      <c r="H882" s="118"/>
      <c r="I882" s="118"/>
      <c r="J882" s="118"/>
      <c r="K882" s="118"/>
      <c r="L882" s="118"/>
      <c r="M882" s="118"/>
      <c r="N882" s="118"/>
      <c r="O882" s="42"/>
      <c r="P882" s="42"/>
      <c r="Q882" s="42"/>
      <c r="R882" s="42"/>
      <c r="S882" s="125"/>
      <c r="T882" s="12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spans="1:46" ht="15.75" customHeight="1" x14ac:dyDescent="0.2">
      <c r="A883" s="118"/>
      <c r="B883" s="118"/>
      <c r="C883" s="118"/>
      <c r="D883" s="118"/>
      <c r="E883" s="118"/>
      <c r="F883" s="118"/>
      <c r="G883" s="118"/>
      <c r="H883" s="118"/>
      <c r="I883" s="118"/>
      <c r="J883" s="118"/>
      <c r="K883" s="118"/>
      <c r="L883" s="118"/>
      <c r="M883" s="118"/>
      <c r="N883" s="118"/>
      <c r="O883" s="42"/>
      <c r="P883" s="42"/>
      <c r="Q883" s="42"/>
      <c r="R883" s="42"/>
      <c r="S883" s="125"/>
      <c r="T883" s="12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spans="1:46" ht="15.75" customHeight="1" x14ac:dyDescent="0.2">
      <c r="A884" s="118"/>
      <c r="B884" s="118"/>
      <c r="C884" s="118"/>
      <c r="D884" s="118"/>
      <c r="E884" s="118"/>
      <c r="F884" s="118"/>
      <c r="G884" s="118"/>
      <c r="H884" s="118"/>
      <c r="I884" s="118"/>
      <c r="J884" s="118"/>
      <c r="K884" s="118"/>
      <c r="L884" s="118"/>
      <c r="M884" s="118"/>
      <c r="N884" s="118"/>
      <c r="O884" s="42"/>
      <c r="P884" s="42"/>
      <c r="Q884" s="42"/>
      <c r="R884" s="42"/>
      <c r="S884" s="125"/>
      <c r="T884" s="12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spans="1:46" ht="15.75" customHeight="1" x14ac:dyDescent="0.2">
      <c r="A885" s="118"/>
      <c r="B885" s="118"/>
      <c r="C885" s="118"/>
      <c r="D885" s="118"/>
      <c r="E885" s="118"/>
      <c r="F885" s="118"/>
      <c r="G885" s="118"/>
      <c r="H885" s="118"/>
      <c r="I885" s="118"/>
      <c r="J885" s="118"/>
      <c r="K885" s="118"/>
      <c r="L885" s="118"/>
      <c r="M885" s="118"/>
      <c r="N885" s="118"/>
      <c r="O885" s="42"/>
      <c r="P885" s="42"/>
      <c r="Q885" s="42"/>
      <c r="R885" s="42"/>
      <c r="S885" s="125"/>
      <c r="T885" s="12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spans="1:46" ht="15.75" customHeight="1" x14ac:dyDescent="0.2">
      <c r="A886" s="118"/>
      <c r="B886" s="118"/>
      <c r="C886" s="118"/>
      <c r="D886" s="118"/>
      <c r="E886" s="118"/>
      <c r="F886" s="118"/>
      <c r="G886" s="118"/>
      <c r="H886" s="118"/>
      <c r="I886" s="118"/>
      <c r="J886" s="118"/>
      <c r="K886" s="118"/>
      <c r="L886" s="118"/>
      <c r="M886" s="118"/>
      <c r="N886" s="118"/>
      <c r="O886" s="42"/>
      <c r="P886" s="42"/>
      <c r="Q886" s="42"/>
      <c r="R886" s="42"/>
      <c r="S886" s="125"/>
      <c r="T886" s="12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spans="1:46" ht="15.75" customHeight="1" x14ac:dyDescent="0.2">
      <c r="A887" s="118"/>
      <c r="B887" s="118"/>
      <c r="C887" s="118"/>
      <c r="D887" s="118"/>
      <c r="E887" s="118"/>
      <c r="F887" s="118"/>
      <c r="G887" s="118"/>
      <c r="H887" s="118"/>
      <c r="I887" s="118"/>
      <c r="J887" s="118"/>
      <c r="K887" s="118"/>
      <c r="L887" s="118"/>
      <c r="M887" s="118"/>
      <c r="N887" s="118"/>
      <c r="O887" s="42"/>
      <c r="P887" s="42"/>
      <c r="Q887" s="42"/>
      <c r="R887" s="42"/>
      <c r="S887" s="125"/>
      <c r="T887" s="12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spans="1:46" ht="15.75" customHeight="1" x14ac:dyDescent="0.2">
      <c r="A888" s="118"/>
      <c r="B888" s="118"/>
      <c r="C888" s="118"/>
      <c r="D888" s="118"/>
      <c r="E888" s="118"/>
      <c r="F888" s="118"/>
      <c r="G888" s="118"/>
      <c r="H888" s="118"/>
      <c r="I888" s="118"/>
      <c r="J888" s="118"/>
      <c r="K888" s="118"/>
      <c r="L888" s="118"/>
      <c r="M888" s="118"/>
      <c r="N888" s="118"/>
      <c r="O888" s="42"/>
      <c r="P888" s="42"/>
      <c r="Q888" s="42"/>
      <c r="R888" s="42"/>
      <c r="S888" s="125"/>
      <c r="T888" s="12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spans="1:46" ht="15.75" customHeight="1" x14ac:dyDescent="0.2">
      <c r="A889" s="118"/>
      <c r="B889" s="118"/>
      <c r="C889" s="118"/>
      <c r="D889" s="118"/>
      <c r="E889" s="118"/>
      <c r="F889" s="118"/>
      <c r="G889" s="118"/>
      <c r="H889" s="118"/>
      <c r="I889" s="118"/>
      <c r="J889" s="118"/>
      <c r="K889" s="118"/>
      <c r="L889" s="118"/>
      <c r="M889" s="118"/>
      <c r="N889" s="118"/>
      <c r="O889" s="42"/>
      <c r="P889" s="42"/>
      <c r="Q889" s="42"/>
      <c r="R889" s="42"/>
      <c r="S889" s="125"/>
      <c r="T889" s="12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spans="1:46" ht="15.75" customHeight="1" x14ac:dyDescent="0.2">
      <c r="A890" s="118"/>
      <c r="B890" s="118"/>
      <c r="C890" s="118"/>
      <c r="D890" s="118"/>
      <c r="E890" s="118"/>
      <c r="F890" s="118"/>
      <c r="G890" s="118"/>
      <c r="H890" s="118"/>
      <c r="I890" s="118"/>
      <c r="J890" s="118"/>
      <c r="K890" s="118"/>
      <c r="L890" s="118"/>
      <c r="M890" s="118"/>
      <c r="N890" s="118"/>
      <c r="O890" s="42"/>
      <c r="P890" s="42"/>
      <c r="Q890" s="42"/>
      <c r="R890" s="42"/>
      <c r="S890" s="125"/>
      <c r="T890" s="12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spans="1:46" ht="15.75" customHeight="1" x14ac:dyDescent="0.2">
      <c r="A891" s="118"/>
      <c r="B891" s="118"/>
      <c r="C891" s="118"/>
      <c r="D891" s="118"/>
      <c r="E891" s="118"/>
      <c r="F891" s="118"/>
      <c r="G891" s="118"/>
      <c r="H891" s="118"/>
      <c r="I891" s="118"/>
      <c r="J891" s="118"/>
      <c r="K891" s="118"/>
      <c r="L891" s="118"/>
      <c r="M891" s="118"/>
      <c r="N891" s="118"/>
      <c r="O891" s="42"/>
      <c r="P891" s="42"/>
      <c r="Q891" s="42"/>
      <c r="R891" s="42"/>
      <c r="S891" s="125"/>
      <c r="T891" s="12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spans="1:46" ht="15.75" customHeight="1" x14ac:dyDescent="0.2">
      <c r="A892" s="118"/>
      <c r="B892" s="118"/>
      <c r="C892" s="118"/>
      <c r="D892" s="118"/>
      <c r="E892" s="118"/>
      <c r="F892" s="118"/>
      <c r="G892" s="118"/>
      <c r="H892" s="118"/>
      <c r="I892" s="118"/>
      <c r="J892" s="118"/>
      <c r="K892" s="118"/>
      <c r="L892" s="118"/>
      <c r="M892" s="118"/>
      <c r="N892" s="118"/>
      <c r="O892" s="42"/>
      <c r="P892" s="42"/>
      <c r="Q892" s="42"/>
      <c r="R892" s="42"/>
      <c r="S892" s="125"/>
      <c r="T892" s="12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spans="1:46" ht="15.75" customHeight="1" x14ac:dyDescent="0.2">
      <c r="A893" s="118"/>
      <c r="B893" s="118"/>
      <c r="C893" s="118"/>
      <c r="D893" s="118"/>
      <c r="E893" s="118"/>
      <c r="F893" s="118"/>
      <c r="G893" s="118"/>
      <c r="H893" s="118"/>
      <c r="I893" s="118"/>
      <c r="J893" s="118"/>
      <c r="K893" s="118"/>
      <c r="L893" s="118"/>
      <c r="M893" s="118"/>
      <c r="N893" s="118"/>
      <c r="O893" s="42"/>
      <c r="P893" s="42"/>
      <c r="Q893" s="42"/>
      <c r="R893" s="42"/>
      <c r="S893" s="125"/>
      <c r="T893" s="12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spans="1:46" ht="15.75" customHeight="1" x14ac:dyDescent="0.2">
      <c r="A894" s="118"/>
      <c r="B894" s="118"/>
      <c r="C894" s="118"/>
      <c r="D894" s="118"/>
      <c r="E894" s="118"/>
      <c r="F894" s="118"/>
      <c r="G894" s="118"/>
      <c r="H894" s="118"/>
      <c r="I894" s="118"/>
      <c r="J894" s="118"/>
      <c r="K894" s="118"/>
      <c r="L894" s="118"/>
      <c r="M894" s="118"/>
      <c r="N894" s="118"/>
      <c r="O894" s="42"/>
      <c r="P894" s="42"/>
      <c r="Q894" s="42"/>
      <c r="R894" s="42"/>
      <c r="S894" s="125"/>
      <c r="T894" s="12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spans="1:46" ht="15.75" customHeight="1" x14ac:dyDescent="0.2">
      <c r="A895" s="118"/>
      <c r="B895" s="118"/>
      <c r="C895" s="118"/>
      <c r="D895" s="118"/>
      <c r="E895" s="118"/>
      <c r="F895" s="118"/>
      <c r="G895" s="118"/>
      <c r="H895" s="118"/>
      <c r="I895" s="118"/>
      <c r="J895" s="118"/>
      <c r="K895" s="118"/>
      <c r="L895" s="118"/>
      <c r="M895" s="118"/>
      <c r="N895" s="118"/>
      <c r="O895" s="42"/>
      <c r="P895" s="42"/>
      <c r="Q895" s="42"/>
      <c r="R895" s="42"/>
      <c r="S895" s="125"/>
      <c r="T895" s="12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spans="1:46" ht="15.75" customHeight="1" x14ac:dyDescent="0.2">
      <c r="A896" s="118"/>
      <c r="B896" s="118"/>
      <c r="C896" s="118"/>
      <c r="D896" s="118"/>
      <c r="E896" s="118"/>
      <c r="F896" s="118"/>
      <c r="G896" s="118"/>
      <c r="H896" s="118"/>
      <c r="I896" s="118"/>
      <c r="J896" s="118"/>
      <c r="K896" s="118"/>
      <c r="L896" s="118"/>
      <c r="M896" s="118"/>
      <c r="N896" s="118"/>
      <c r="O896" s="42"/>
      <c r="P896" s="42"/>
      <c r="Q896" s="42"/>
      <c r="R896" s="42"/>
      <c r="S896" s="125"/>
      <c r="T896" s="12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spans="1:46" ht="15.75" customHeight="1" x14ac:dyDescent="0.2">
      <c r="A897" s="118"/>
      <c r="B897" s="118"/>
      <c r="C897" s="118"/>
      <c r="D897" s="118"/>
      <c r="E897" s="118"/>
      <c r="F897" s="118"/>
      <c r="G897" s="118"/>
      <c r="H897" s="118"/>
      <c r="I897" s="118"/>
      <c r="J897" s="118"/>
      <c r="K897" s="118"/>
      <c r="L897" s="118"/>
      <c r="M897" s="118"/>
      <c r="N897" s="118"/>
      <c r="O897" s="42"/>
      <c r="P897" s="42"/>
      <c r="Q897" s="42"/>
      <c r="R897" s="42"/>
      <c r="S897" s="125"/>
      <c r="T897" s="12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spans="1:46" ht="15.75" customHeight="1" x14ac:dyDescent="0.2">
      <c r="A898" s="118"/>
      <c r="B898" s="118"/>
      <c r="C898" s="118"/>
      <c r="D898" s="118"/>
      <c r="E898" s="118"/>
      <c r="F898" s="118"/>
      <c r="G898" s="118"/>
      <c r="H898" s="118"/>
      <c r="I898" s="118"/>
      <c r="J898" s="118"/>
      <c r="K898" s="118"/>
      <c r="L898" s="118"/>
      <c r="M898" s="118"/>
      <c r="N898" s="118"/>
      <c r="O898" s="42"/>
      <c r="P898" s="42"/>
      <c r="Q898" s="42"/>
      <c r="R898" s="42"/>
      <c r="S898" s="125"/>
      <c r="T898" s="12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spans="1:46" ht="15.75" customHeight="1" x14ac:dyDescent="0.2">
      <c r="A899" s="118"/>
      <c r="B899" s="118"/>
      <c r="C899" s="118"/>
      <c r="D899" s="118"/>
      <c r="E899" s="118"/>
      <c r="F899" s="118"/>
      <c r="G899" s="118"/>
      <c r="H899" s="118"/>
      <c r="I899" s="118"/>
      <c r="J899" s="118"/>
      <c r="K899" s="118"/>
      <c r="L899" s="118"/>
      <c r="M899" s="118"/>
      <c r="N899" s="118"/>
      <c r="O899" s="42"/>
      <c r="P899" s="42"/>
      <c r="Q899" s="42"/>
      <c r="R899" s="42"/>
      <c r="S899" s="125"/>
      <c r="T899" s="12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spans="1:46" ht="15.75" customHeight="1" x14ac:dyDescent="0.2">
      <c r="A900" s="118"/>
      <c r="B900" s="118"/>
      <c r="C900" s="118"/>
      <c r="D900" s="118"/>
      <c r="E900" s="118"/>
      <c r="F900" s="118"/>
      <c r="G900" s="118"/>
      <c r="H900" s="118"/>
      <c r="I900" s="118"/>
      <c r="J900" s="118"/>
      <c r="K900" s="118"/>
      <c r="L900" s="118"/>
      <c r="M900" s="118"/>
      <c r="N900" s="118"/>
      <c r="O900" s="42"/>
      <c r="P900" s="42"/>
      <c r="Q900" s="42"/>
      <c r="R900" s="42"/>
      <c r="S900" s="125"/>
      <c r="T900" s="12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spans="1:46" ht="15.75" customHeight="1" x14ac:dyDescent="0.2">
      <c r="A901" s="118"/>
      <c r="B901" s="118"/>
      <c r="C901" s="118"/>
      <c r="D901" s="118"/>
      <c r="E901" s="118"/>
      <c r="F901" s="118"/>
      <c r="G901" s="118"/>
      <c r="H901" s="118"/>
      <c r="I901" s="118"/>
      <c r="J901" s="118"/>
      <c r="K901" s="118"/>
      <c r="L901" s="118"/>
      <c r="M901" s="118"/>
      <c r="N901" s="118"/>
      <c r="O901" s="42"/>
      <c r="P901" s="42"/>
      <c r="Q901" s="42"/>
      <c r="R901" s="42"/>
      <c r="S901" s="125"/>
      <c r="T901" s="12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spans="1:46" ht="15.75" customHeight="1" x14ac:dyDescent="0.2">
      <c r="A902" s="118"/>
      <c r="B902" s="118"/>
      <c r="C902" s="118"/>
      <c r="D902" s="118"/>
      <c r="E902" s="118"/>
      <c r="F902" s="118"/>
      <c r="G902" s="118"/>
      <c r="H902" s="118"/>
      <c r="I902" s="118"/>
      <c r="J902" s="118"/>
      <c r="K902" s="118"/>
      <c r="L902" s="118"/>
      <c r="M902" s="118"/>
      <c r="N902" s="118"/>
      <c r="O902" s="42"/>
      <c r="P902" s="42"/>
      <c r="Q902" s="42"/>
      <c r="R902" s="42"/>
      <c r="S902" s="125"/>
      <c r="T902" s="12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spans="1:46" ht="15.75" customHeight="1" x14ac:dyDescent="0.2">
      <c r="A903" s="118"/>
      <c r="B903" s="118"/>
      <c r="C903" s="118"/>
      <c r="D903" s="118"/>
      <c r="E903" s="118"/>
      <c r="F903" s="118"/>
      <c r="G903" s="118"/>
      <c r="H903" s="118"/>
      <c r="I903" s="118"/>
      <c r="J903" s="118"/>
      <c r="K903" s="118"/>
      <c r="L903" s="118"/>
      <c r="M903" s="118"/>
      <c r="N903" s="118"/>
      <c r="O903" s="42"/>
      <c r="P903" s="42"/>
      <c r="Q903" s="42"/>
      <c r="R903" s="42"/>
      <c r="S903" s="125"/>
      <c r="T903" s="12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spans="1:46" ht="15.75" customHeight="1" x14ac:dyDescent="0.2">
      <c r="A904" s="118"/>
      <c r="B904" s="118"/>
      <c r="C904" s="118"/>
      <c r="D904" s="118"/>
      <c r="E904" s="118"/>
      <c r="F904" s="118"/>
      <c r="G904" s="118"/>
      <c r="H904" s="118"/>
      <c r="I904" s="118"/>
      <c r="J904" s="118"/>
      <c r="K904" s="118"/>
      <c r="L904" s="118"/>
      <c r="M904" s="118"/>
      <c r="N904" s="118"/>
      <c r="O904" s="42"/>
      <c r="P904" s="42"/>
      <c r="Q904" s="42"/>
      <c r="R904" s="42"/>
      <c r="S904" s="125"/>
      <c r="T904" s="12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spans="1:46" ht="15.75" customHeight="1" x14ac:dyDescent="0.2">
      <c r="A905" s="118"/>
      <c r="B905" s="118"/>
      <c r="C905" s="118"/>
      <c r="D905" s="118"/>
      <c r="E905" s="118"/>
      <c r="F905" s="118"/>
      <c r="G905" s="118"/>
      <c r="H905" s="118"/>
      <c r="I905" s="118"/>
      <c r="J905" s="118"/>
      <c r="K905" s="118"/>
      <c r="L905" s="118"/>
      <c r="M905" s="118"/>
      <c r="N905" s="118"/>
      <c r="O905" s="42"/>
      <c r="P905" s="42"/>
      <c r="Q905" s="42"/>
      <c r="R905" s="42"/>
      <c r="S905" s="125"/>
      <c r="T905" s="12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spans="1:46" ht="15.75" customHeight="1" x14ac:dyDescent="0.2">
      <c r="A906" s="118"/>
      <c r="B906" s="118"/>
      <c r="C906" s="118"/>
      <c r="D906" s="118"/>
      <c r="E906" s="118"/>
      <c r="F906" s="118"/>
      <c r="G906" s="118"/>
      <c r="H906" s="118"/>
      <c r="I906" s="118"/>
      <c r="J906" s="118"/>
      <c r="K906" s="118"/>
      <c r="L906" s="118"/>
      <c r="M906" s="118"/>
      <c r="N906" s="118"/>
      <c r="O906" s="42"/>
      <c r="P906" s="42"/>
      <c r="Q906" s="42"/>
      <c r="R906" s="42"/>
      <c r="S906" s="125"/>
      <c r="T906" s="12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spans="1:46" ht="15.75" customHeight="1" x14ac:dyDescent="0.2">
      <c r="A907" s="118"/>
      <c r="B907" s="118"/>
      <c r="C907" s="118"/>
      <c r="D907" s="118"/>
      <c r="E907" s="118"/>
      <c r="F907" s="118"/>
      <c r="G907" s="118"/>
      <c r="H907" s="118"/>
      <c r="I907" s="118"/>
      <c r="J907" s="118"/>
      <c r="K907" s="118"/>
      <c r="L907" s="118"/>
      <c r="M907" s="118"/>
      <c r="N907" s="118"/>
      <c r="O907" s="42"/>
      <c r="P907" s="42"/>
      <c r="Q907" s="42"/>
      <c r="R907" s="42"/>
      <c r="S907" s="125"/>
      <c r="T907" s="12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spans="1:46" ht="15.75" customHeight="1" x14ac:dyDescent="0.2">
      <c r="A908" s="118"/>
      <c r="B908" s="118"/>
      <c r="C908" s="118"/>
      <c r="D908" s="118"/>
      <c r="E908" s="118"/>
      <c r="F908" s="118"/>
      <c r="G908" s="118"/>
      <c r="H908" s="118"/>
      <c r="I908" s="118"/>
      <c r="J908" s="118"/>
      <c r="K908" s="118"/>
      <c r="L908" s="118"/>
      <c r="M908" s="118"/>
      <c r="N908" s="118"/>
      <c r="O908" s="42"/>
      <c r="P908" s="42"/>
      <c r="Q908" s="42"/>
      <c r="R908" s="42"/>
      <c r="S908" s="125"/>
      <c r="T908" s="12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spans="1:46" ht="15.75" customHeight="1" x14ac:dyDescent="0.2">
      <c r="A909" s="118"/>
      <c r="B909" s="118"/>
      <c r="C909" s="118"/>
      <c r="D909" s="118"/>
      <c r="E909" s="118"/>
      <c r="F909" s="118"/>
      <c r="G909" s="118"/>
      <c r="H909" s="118"/>
      <c r="I909" s="118"/>
      <c r="J909" s="118"/>
      <c r="K909" s="118"/>
      <c r="L909" s="118"/>
      <c r="M909" s="118"/>
      <c r="N909" s="118"/>
      <c r="O909" s="42"/>
      <c r="P909" s="42"/>
      <c r="Q909" s="42"/>
      <c r="R909" s="42"/>
      <c r="S909" s="125"/>
      <c r="T909" s="12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spans="1:46" ht="15.75" customHeight="1" x14ac:dyDescent="0.2">
      <c r="A910" s="118"/>
      <c r="B910" s="118"/>
      <c r="C910" s="118"/>
      <c r="D910" s="118"/>
      <c r="E910" s="118"/>
      <c r="F910" s="118"/>
      <c r="G910" s="118"/>
      <c r="H910" s="118"/>
      <c r="I910" s="118"/>
      <c r="J910" s="118"/>
      <c r="K910" s="118"/>
      <c r="L910" s="118"/>
      <c r="M910" s="118"/>
      <c r="N910" s="118"/>
      <c r="O910" s="42"/>
      <c r="P910" s="42"/>
      <c r="Q910" s="42"/>
      <c r="R910" s="42"/>
      <c r="S910" s="125"/>
      <c r="T910" s="12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spans="1:46" ht="15.75" customHeight="1" x14ac:dyDescent="0.2">
      <c r="A911" s="118"/>
      <c r="B911" s="118"/>
      <c r="C911" s="118"/>
      <c r="D911" s="118"/>
      <c r="E911" s="118"/>
      <c r="F911" s="118"/>
      <c r="G911" s="118"/>
      <c r="H911" s="118"/>
      <c r="I911" s="118"/>
      <c r="J911" s="118"/>
      <c r="K911" s="118"/>
      <c r="L911" s="118"/>
      <c r="M911" s="118"/>
      <c r="N911" s="118"/>
      <c r="O911" s="42"/>
      <c r="P911" s="42"/>
      <c r="Q911" s="42"/>
      <c r="R911" s="42"/>
      <c r="S911" s="125"/>
      <c r="T911" s="12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spans="1:46" ht="15.75" customHeight="1" x14ac:dyDescent="0.2">
      <c r="A912" s="118"/>
      <c r="B912" s="118"/>
      <c r="C912" s="118"/>
      <c r="D912" s="118"/>
      <c r="E912" s="118"/>
      <c r="F912" s="118"/>
      <c r="G912" s="118"/>
      <c r="H912" s="118"/>
      <c r="I912" s="118"/>
      <c r="J912" s="118"/>
      <c r="K912" s="118"/>
      <c r="L912" s="118"/>
      <c r="M912" s="118"/>
      <c r="N912" s="118"/>
      <c r="O912" s="42"/>
      <c r="P912" s="42"/>
      <c r="Q912" s="42"/>
      <c r="R912" s="42"/>
      <c r="S912" s="125"/>
      <c r="T912" s="12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spans="1:46" ht="15.75" customHeight="1" x14ac:dyDescent="0.2">
      <c r="A913" s="118"/>
      <c r="B913" s="118"/>
      <c r="C913" s="118"/>
      <c r="D913" s="118"/>
      <c r="E913" s="118"/>
      <c r="F913" s="118"/>
      <c r="G913" s="118"/>
      <c r="H913" s="118"/>
      <c r="I913" s="118"/>
      <c r="J913" s="118"/>
      <c r="K913" s="118"/>
      <c r="L913" s="118"/>
      <c r="M913" s="118"/>
      <c r="N913" s="118"/>
      <c r="O913" s="42"/>
      <c r="P913" s="42"/>
      <c r="Q913" s="42"/>
      <c r="R913" s="42"/>
      <c r="S913" s="125"/>
      <c r="T913" s="12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spans="1:46" ht="15.75" customHeight="1" x14ac:dyDescent="0.2">
      <c r="A914" s="118"/>
      <c r="B914" s="118"/>
      <c r="C914" s="118"/>
      <c r="D914" s="118"/>
      <c r="E914" s="118"/>
      <c r="F914" s="118"/>
      <c r="G914" s="118"/>
      <c r="H914" s="118"/>
      <c r="I914" s="118"/>
      <c r="J914" s="118"/>
      <c r="K914" s="118"/>
      <c r="L914" s="118"/>
      <c r="M914" s="118"/>
      <c r="N914" s="118"/>
      <c r="O914" s="42"/>
      <c r="P914" s="42"/>
      <c r="Q914" s="42"/>
      <c r="R914" s="42"/>
      <c r="S914" s="125"/>
      <c r="T914" s="12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spans="1:46" ht="15.75" customHeight="1" x14ac:dyDescent="0.2">
      <c r="A915" s="118"/>
      <c r="B915" s="118"/>
      <c r="C915" s="118"/>
      <c r="D915" s="118"/>
      <c r="E915" s="118"/>
      <c r="F915" s="118"/>
      <c r="G915" s="118"/>
      <c r="H915" s="118"/>
      <c r="I915" s="118"/>
      <c r="J915" s="118"/>
      <c r="K915" s="118"/>
      <c r="L915" s="118"/>
      <c r="M915" s="118"/>
      <c r="N915" s="118"/>
      <c r="O915" s="42"/>
      <c r="P915" s="42"/>
      <c r="Q915" s="42"/>
      <c r="R915" s="42"/>
      <c r="S915" s="125"/>
      <c r="T915" s="12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spans="1:46" ht="15.75" customHeight="1" x14ac:dyDescent="0.2">
      <c r="A916" s="118"/>
      <c r="B916" s="118"/>
      <c r="C916" s="118"/>
      <c r="D916" s="118"/>
      <c r="E916" s="118"/>
      <c r="F916" s="118"/>
      <c r="G916" s="118"/>
      <c r="H916" s="118"/>
      <c r="I916" s="118"/>
      <c r="J916" s="118"/>
      <c r="K916" s="118"/>
      <c r="L916" s="118"/>
      <c r="M916" s="118"/>
      <c r="N916" s="118"/>
      <c r="O916" s="42"/>
      <c r="P916" s="42"/>
      <c r="Q916" s="42"/>
      <c r="R916" s="42"/>
      <c r="S916" s="125"/>
      <c r="T916" s="12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spans="1:46" ht="15.75" customHeight="1" x14ac:dyDescent="0.2">
      <c r="A917" s="118"/>
      <c r="B917" s="118"/>
      <c r="C917" s="118"/>
      <c r="D917" s="118"/>
      <c r="E917" s="118"/>
      <c r="F917" s="118"/>
      <c r="G917" s="118"/>
      <c r="H917" s="118"/>
      <c r="I917" s="118"/>
      <c r="J917" s="118"/>
      <c r="K917" s="118"/>
      <c r="L917" s="118"/>
      <c r="M917" s="118"/>
      <c r="N917" s="118"/>
      <c r="O917" s="42"/>
      <c r="P917" s="42"/>
      <c r="Q917" s="42"/>
      <c r="R917" s="42"/>
      <c r="S917" s="125"/>
      <c r="T917" s="12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spans="1:46" ht="15.75" customHeight="1" x14ac:dyDescent="0.2">
      <c r="A918" s="118"/>
      <c r="B918" s="118"/>
      <c r="C918" s="118"/>
      <c r="D918" s="118"/>
      <c r="E918" s="118"/>
      <c r="F918" s="118"/>
      <c r="G918" s="118"/>
      <c r="H918" s="118"/>
      <c r="I918" s="118"/>
      <c r="J918" s="118"/>
      <c r="K918" s="118"/>
      <c r="L918" s="118"/>
      <c r="M918" s="118"/>
      <c r="N918" s="118"/>
      <c r="O918" s="42"/>
      <c r="P918" s="42"/>
      <c r="Q918" s="42"/>
      <c r="R918" s="42"/>
      <c r="S918" s="125"/>
      <c r="T918" s="12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spans="1:46" ht="15.75" customHeight="1" x14ac:dyDescent="0.2">
      <c r="A919" s="118"/>
      <c r="B919" s="118"/>
      <c r="C919" s="118"/>
      <c r="D919" s="118"/>
      <c r="E919" s="118"/>
      <c r="F919" s="118"/>
      <c r="G919" s="118"/>
      <c r="H919" s="118"/>
      <c r="I919" s="118"/>
      <c r="J919" s="118"/>
      <c r="K919" s="118"/>
      <c r="L919" s="118"/>
      <c r="M919" s="118"/>
      <c r="N919" s="118"/>
      <c r="O919" s="42"/>
      <c r="P919" s="42"/>
      <c r="Q919" s="42"/>
      <c r="R919" s="42"/>
      <c r="S919" s="125"/>
      <c r="T919" s="12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spans="1:46" ht="15.75" customHeight="1" x14ac:dyDescent="0.2">
      <c r="A920" s="118"/>
      <c r="B920" s="118"/>
      <c r="C920" s="118"/>
      <c r="D920" s="118"/>
      <c r="E920" s="118"/>
      <c r="F920" s="118"/>
      <c r="G920" s="118"/>
      <c r="H920" s="118"/>
      <c r="I920" s="118"/>
      <c r="J920" s="118"/>
      <c r="K920" s="118"/>
      <c r="L920" s="118"/>
      <c r="M920" s="118"/>
      <c r="N920" s="118"/>
      <c r="O920" s="42"/>
      <c r="P920" s="42"/>
      <c r="Q920" s="42"/>
      <c r="R920" s="42"/>
      <c r="S920" s="125"/>
      <c r="T920" s="12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spans="1:46" ht="15.75" customHeight="1" x14ac:dyDescent="0.2">
      <c r="A921" s="118"/>
      <c r="B921" s="118"/>
      <c r="C921" s="118"/>
      <c r="D921" s="118"/>
      <c r="E921" s="118"/>
      <c r="F921" s="118"/>
      <c r="G921" s="118"/>
      <c r="H921" s="118"/>
      <c r="I921" s="118"/>
      <c r="J921" s="118"/>
      <c r="K921" s="118"/>
      <c r="L921" s="118"/>
      <c r="M921" s="118"/>
      <c r="N921" s="118"/>
      <c r="O921" s="42"/>
      <c r="P921" s="42"/>
      <c r="Q921" s="42"/>
      <c r="R921" s="42"/>
      <c r="S921" s="125"/>
      <c r="T921" s="12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spans="1:46" ht="15.75" customHeight="1" x14ac:dyDescent="0.2">
      <c r="A922" s="118"/>
      <c r="B922" s="118"/>
      <c r="C922" s="118"/>
      <c r="D922" s="118"/>
      <c r="E922" s="118"/>
      <c r="F922" s="118"/>
      <c r="G922" s="118"/>
      <c r="H922" s="118"/>
      <c r="I922" s="118"/>
      <c r="J922" s="118"/>
      <c r="K922" s="118"/>
      <c r="L922" s="118"/>
      <c r="M922" s="118"/>
      <c r="N922" s="118"/>
      <c r="O922" s="42"/>
      <c r="P922" s="42"/>
      <c r="Q922" s="42"/>
      <c r="R922" s="42"/>
      <c r="S922" s="125"/>
      <c r="T922" s="12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spans="1:46" ht="15.75" customHeight="1" x14ac:dyDescent="0.2">
      <c r="A923" s="118"/>
      <c r="B923" s="118"/>
      <c r="C923" s="118"/>
      <c r="D923" s="118"/>
      <c r="E923" s="118"/>
      <c r="F923" s="118"/>
      <c r="G923" s="118"/>
      <c r="H923" s="118"/>
      <c r="I923" s="118"/>
      <c r="J923" s="118"/>
      <c r="K923" s="118"/>
      <c r="L923" s="118"/>
      <c r="M923" s="118"/>
      <c r="N923" s="118"/>
      <c r="O923" s="42"/>
      <c r="P923" s="42"/>
      <c r="Q923" s="42"/>
      <c r="R923" s="42"/>
      <c r="S923" s="125"/>
      <c r="T923" s="12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spans="1:46" ht="15.75" customHeight="1" x14ac:dyDescent="0.2">
      <c r="A924" s="118"/>
      <c r="B924" s="118"/>
      <c r="C924" s="118"/>
      <c r="D924" s="118"/>
      <c r="E924" s="118"/>
      <c r="F924" s="118"/>
      <c r="G924" s="118"/>
      <c r="H924" s="118"/>
      <c r="I924" s="118"/>
      <c r="J924" s="118"/>
      <c r="K924" s="118"/>
      <c r="L924" s="118"/>
      <c r="M924" s="118"/>
      <c r="N924" s="118"/>
      <c r="O924" s="42"/>
      <c r="P924" s="42"/>
      <c r="Q924" s="42"/>
      <c r="R924" s="42"/>
      <c r="S924" s="125"/>
      <c r="T924" s="12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spans="1:46" ht="15.75" customHeight="1" x14ac:dyDescent="0.2">
      <c r="A925" s="118"/>
      <c r="B925" s="118"/>
      <c r="C925" s="118"/>
      <c r="D925" s="118"/>
      <c r="E925" s="118"/>
      <c r="F925" s="118"/>
      <c r="G925" s="118"/>
      <c r="H925" s="118"/>
      <c r="I925" s="118"/>
      <c r="J925" s="118"/>
      <c r="K925" s="118"/>
      <c r="L925" s="118"/>
      <c r="M925" s="118"/>
      <c r="N925" s="118"/>
      <c r="O925" s="42"/>
      <c r="P925" s="42"/>
      <c r="Q925" s="42"/>
      <c r="R925" s="42"/>
      <c r="S925" s="125"/>
      <c r="T925" s="12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spans="1:46" ht="15.75" customHeight="1" x14ac:dyDescent="0.2">
      <c r="A926" s="118"/>
      <c r="B926" s="118"/>
      <c r="C926" s="118"/>
      <c r="D926" s="118"/>
      <c r="E926" s="118"/>
      <c r="F926" s="118"/>
      <c r="G926" s="118"/>
      <c r="H926" s="118"/>
      <c r="I926" s="118"/>
      <c r="J926" s="118"/>
      <c r="K926" s="118"/>
      <c r="L926" s="118"/>
      <c r="M926" s="118"/>
      <c r="N926" s="118"/>
      <c r="O926" s="42"/>
      <c r="P926" s="42"/>
      <c r="Q926" s="42"/>
      <c r="R926" s="42"/>
      <c r="S926" s="125"/>
      <c r="T926" s="12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spans="1:46" ht="15.75" customHeight="1" x14ac:dyDescent="0.2">
      <c r="A927" s="118"/>
      <c r="B927" s="118"/>
      <c r="C927" s="118"/>
      <c r="D927" s="118"/>
      <c r="E927" s="118"/>
      <c r="F927" s="118"/>
      <c r="G927" s="118"/>
      <c r="H927" s="118"/>
      <c r="I927" s="118"/>
      <c r="J927" s="118"/>
      <c r="K927" s="118"/>
      <c r="L927" s="118"/>
      <c r="M927" s="118"/>
      <c r="N927" s="118"/>
      <c r="O927" s="42"/>
      <c r="P927" s="42"/>
      <c r="Q927" s="42"/>
      <c r="R927" s="42"/>
      <c r="S927" s="125"/>
      <c r="T927" s="12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spans="1:46" ht="15.75" customHeight="1" x14ac:dyDescent="0.2">
      <c r="A928" s="118"/>
      <c r="B928" s="118"/>
      <c r="C928" s="118"/>
      <c r="D928" s="118"/>
      <c r="E928" s="118"/>
      <c r="F928" s="118"/>
      <c r="G928" s="118"/>
      <c r="H928" s="118"/>
      <c r="I928" s="118"/>
      <c r="J928" s="118"/>
      <c r="K928" s="118"/>
      <c r="L928" s="118"/>
      <c r="M928" s="118"/>
      <c r="N928" s="118"/>
      <c r="O928" s="42"/>
      <c r="P928" s="42"/>
      <c r="Q928" s="42"/>
      <c r="R928" s="42"/>
      <c r="S928" s="125"/>
      <c r="T928" s="12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spans="1:46" ht="15.75" customHeight="1" x14ac:dyDescent="0.2">
      <c r="A929" s="118"/>
      <c r="B929" s="118"/>
      <c r="C929" s="118"/>
      <c r="D929" s="118"/>
      <c r="E929" s="118"/>
      <c r="F929" s="118"/>
      <c r="G929" s="118"/>
      <c r="H929" s="118"/>
      <c r="I929" s="118"/>
      <c r="J929" s="118"/>
      <c r="K929" s="118"/>
      <c r="L929" s="118"/>
      <c r="M929" s="118"/>
      <c r="N929" s="118"/>
      <c r="O929" s="42"/>
      <c r="P929" s="42"/>
      <c r="Q929" s="42"/>
      <c r="R929" s="42"/>
      <c r="S929" s="125"/>
      <c r="T929" s="12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spans="1:46" ht="15.75" customHeight="1" x14ac:dyDescent="0.2">
      <c r="A930" s="118"/>
      <c r="B930" s="118"/>
      <c r="C930" s="118"/>
      <c r="D930" s="118"/>
      <c r="E930" s="118"/>
      <c r="F930" s="118"/>
      <c r="G930" s="118"/>
      <c r="H930" s="118"/>
      <c r="I930" s="118"/>
      <c r="J930" s="118"/>
      <c r="K930" s="118"/>
      <c r="L930" s="118"/>
      <c r="M930" s="118"/>
      <c r="N930" s="118"/>
      <c r="O930" s="42"/>
      <c r="P930" s="42"/>
      <c r="Q930" s="42"/>
      <c r="R930" s="42"/>
      <c r="S930" s="125"/>
      <c r="T930" s="12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spans="1:46" ht="15.75" customHeight="1" x14ac:dyDescent="0.2">
      <c r="A931" s="118"/>
      <c r="B931" s="118"/>
      <c r="C931" s="118"/>
      <c r="D931" s="118"/>
      <c r="E931" s="118"/>
      <c r="F931" s="118"/>
      <c r="G931" s="118"/>
      <c r="H931" s="118"/>
      <c r="I931" s="118"/>
      <c r="J931" s="118"/>
      <c r="K931" s="118"/>
      <c r="L931" s="118"/>
      <c r="M931" s="118"/>
      <c r="N931" s="118"/>
      <c r="O931" s="42"/>
      <c r="P931" s="42"/>
      <c r="Q931" s="42"/>
      <c r="R931" s="42"/>
      <c r="S931" s="125"/>
      <c r="T931" s="12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spans="1:46" ht="15.75" customHeight="1" x14ac:dyDescent="0.2">
      <c r="A932" s="118"/>
      <c r="B932" s="118"/>
      <c r="C932" s="118"/>
      <c r="D932" s="118"/>
      <c r="E932" s="118"/>
      <c r="F932" s="118"/>
      <c r="G932" s="118"/>
      <c r="H932" s="118"/>
      <c r="I932" s="118"/>
      <c r="J932" s="118"/>
      <c r="K932" s="118"/>
      <c r="L932" s="118"/>
      <c r="M932" s="118"/>
      <c r="N932" s="118"/>
      <c r="O932" s="42"/>
      <c r="P932" s="42"/>
      <c r="Q932" s="42"/>
      <c r="R932" s="42"/>
      <c r="S932" s="125"/>
      <c r="T932" s="12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spans="1:46" ht="15.75" customHeight="1" x14ac:dyDescent="0.2">
      <c r="A933" s="118"/>
      <c r="B933" s="118"/>
      <c r="C933" s="118"/>
      <c r="D933" s="118"/>
      <c r="E933" s="118"/>
      <c r="F933" s="118"/>
      <c r="G933" s="118"/>
      <c r="H933" s="118"/>
      <c r="I933" s="118"/>
      <c r="J933" s="118"/>
      <c r="K933" s="118"/>
      <c r="L933" s="118"/>
      <c r="M933" s="118"/>
      <c r="N933" s="118"/>
      <c r="O933" s="42"/>
      <c r="P933" s="42"/>
      <c r="Q933" s="42"/>
      <c r="R933" s="42"/>
      <c r="S933" s="125"/>
      <c r="T933" s="12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spans="1:46" ht="15.75" customHeight="1" x14ac:dyDescent="0.2">
      <c r="A934" s="118"/>
      <c r="B934" s="118"/>
      <c r="C934" s="118"/>
      <c r="D934" s="118"/>
      <c r="E934" s="118"/>
      <c r="F934" s="118"/>
      <c r="G934" s="118"/>
      <c r="H934" s="118"/>
      <c r="I934" s="118"/>
      <c r="J934" s="118"/>
      <c r="K934" s="118"/>
      <c r="L934" s="118"/>
      <c r="M934" s="118"/>
      <c r="N934" s="118"/>
      <c r="O934" s="42"/>
      <c r="P934" s="42"/>
      <c r="Q934" s="42"/>
      <c r="R934" s="42"/>
      <c r="S934" s="125"/>
      <c r="T934" s="12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spans="1:46" ht="15.75" customHeight="1" x14ac:dyDescent="0.2">
      <c r="A935" s="118"/>
      <c r="B935" s="118"/>
      <c r="C935" s="118"/>
      <c r="D935" s="118"/>
      <c r="E935" s="118"/>
      <c r="F935" s="118"/>
      <c r="G935" s="118"/>
      <c r="H935" s="118"/>
      <c r="I935" s="118"/>
      <c r="J935" s="118"/>
      <c r="K935" s="118"/>
      <c r="L935" s="118"/>
      <c r="M935" s="118"/>
      <c r="N935" s="118"/>
      <c r="O935" s="42"/>
      <c r="P935" s="42"/>
      <c r="Q935" s="42"/>
      <c r="R935" s="42"/>
      <c r="S935" s="125"/>
      <c r="T935" s="12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spans="1:46" ht="15.75" customHeight="1" x14ac:dyDescent="0.2">
      <c r="A936" s="118"/>
      <c r="B936" s="118"/>
      <c r="C936" s="118"/>
      <c r="D936" s="118"/>
      <c r="E936" s="118"/>
      <c r="F936" s="118"/>
      <c r="G936" s="118"/>
      <c r="H936" s="118"/>
      <c r="I936" s="118"/>
      <c r="J936" s="118"/>
      <c r="K936" s="118"/>
      <c r="L936" s="118"/>
      <c r="M936" s="118"/>
      <c r="N936" s="118"/>
      <c r="O936" s="42"/>
      <c r="P936" s="42"/>
      <c r="Q936" s="42"/>
      <c r="R936" s="42"/>
      <c r="S936" s="125"/>
      <c r="T936" s="12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spans="1:46" ht="15.75" customHeight="1" x14ac:dyDescent="0.2">
      <c r="A937" s="118"/>
      <c r="B937" s="118"/>
      <c r="C937" s="118"/>
      <c r="D937" s="118"/>
      <c r="E937" s="118"/>
      <c r="F937" s="118"/>
      <c r="G937" s="118"/>
      <c r="H937" s="118"/>
      <c r="I937" s="118"/>
      <c r="J937" s="118"/>
      <c r="K937" s="118"/>
      <c r="L937" s="118"/>
      <c r="M937" s="118"/>
      <c r="N937" s="118"/>
      <c r="O937" s="42"/>
      <c r="P937" s="42"/>
      <c r="Q937" s="42"/>
      <c r="R937" s="42"/>
      <c r="S937" s="125"/>
      <c r="T937" s="12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spans="1:46" ht="15.75" customHeight="1" x14ac:dyDescent="0.2">
      <c r="A938" s="118"/>
      <c r="B938" s="118"/>
      <c r="C938" s="118"/>
      <c r="D938" s="118"/>
      <c r="E938" s="118"/>
      <c r="F938" s="118"/>
      <c r="G938" s="118"/>
      <c r="H938" s="118"/>
      <c r="I938" s="118"/>
      <c r="J938" s="118"/>
      <c r="K938" s="118"/>
      <c r="L938" s="118"/>
      <c r="M938" s="118"/>
      <c r="N938" s="118"/>
      <c r="O938" s="42"/>
      <c r="P938" s="42"/>
      <c r="Q938" s="42"/>
      <c r="R938" s="42"/>
      <c r="S938" s="125"/>
      <c r="T938" s="12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spans="1:46" ht="15.75" customHeight="1" x14ac:dyDescent="0.2">
      <c r="A939" s="118"/>
      <c r="B939" s="118"/>
      <c r="C939" s="118"/>
      <c r="D939" s="118"/>
      <c r="E939" s="118"/>
      <c r="F939" s="118"/>
      <c r="G939" s="118"/>
      <c r="H939" s="118"/>
      <c r="I939" s="118"/>
      <c r="J939" s="118"/>
      <c r="K939" s="118"/>
      <c r="L939" s="118"/>
      <c r="M939" s="118"/>
      <c r="N939" s="118"/>
      <c r="O939" s="42"/>
      <c r="P939" s="42"/>
      <c r="Q939" s="42"/>
      <c r="R939" s="42"/>
      <c r="S939" s="125"/>
      <c r="T939" s="12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spans="1:46" ht="15.75" customHeight="1" x14ac:dyDescent="0.2">
      <c r="A940" s="118"/>
      <c r="B940" s="118"/>
      <c r="C940" s="118"/>
      <c r="D940" s="118"/>
      <c r="E940" s="118"/>
      <c r="F940" s="118"/>
      <c r="G940" s="118"/>
      <c r="H940" s="118"/>
      <c r="I940" s="118"/>
      <c r="J940" s="118"/>
      <c r="K940" s="118"/>
      <c r="L940" s="118"/>
      <c r="M940" s="118"/>
      <c r="N940" s="118"/>
      <c r="O940" s="42"/>
      <c r="P940" s="42"/>
      <c r="Q940" s="42"/>
      <c r="R940" s="42"/>
      <c r="S940" s="125"/>
      <c r="T940" s="12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spans="1:46" ht="15.75" customHeight="1" x14ac:dyDescent="0.2">
      <c r="A941" s="118"/>
      <c r="B941" s="118"/>
      <c r="C941" s="118"/>
      <c r="D941" s="118"/>
      <c r="E941" s="118"/>
      <c r="F941" s="118"/>
      <c r="G941" s="118"/>
      <c r="H941" s="118"/>
      <c r="I941" s="118"/>
      <c r="J941" s="118"/>
      <c r="K941" s="118"/>
      <c r="L941" s="118"/>
      <c r="M941" s="118"/>
      <c r="N941" s="118"/>
      <c r="O941" s="42"/>
      <c r="P941" s="42"/>
      <c r="Q941" s="42"/>
      <c r="R941" s="42"/>
      <c r="S941" s="125"/>
      <c r="T941" s="12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spans="1:46" ht="15.75" customHeight="1" x14ac:dyDescent="0.2">
      <c r="A942" s="118"/>
      <c r="B942" s="118"/>
      <c r="C942" s="118"/>
      <c r="D942" s="118"/>
      <c r="E942" s="118"/>
      <c r="F942" s="118"/>
      <c r="G942" s="118"/>
      <c r="H942" s="118"/>
      <c r="I942" s="118"/>
      <c r="J942" s="118"/>
      <c r="K942" s="118"/>
      <c r="L942" s="118"/>
      <c r="M942" s="118"/>
      <c r="N942" s="118"/>
      <c r="O942" s="42"/>
      <c r="P942" s="42"/>
      <c r="Q942" s="42"/>
      <c r="R942" s="42"/>
      <c r="S942" s="125"/>
      <c r="T942" s="12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spans="1:46" ht="15.75" customHeight="1" x14ac:dyDescent="0.2">
      <c r="A943" s="118"/>
      <c r="B943" s="118"/>
      <c r="C943" s="118"/>
      <c r="D943" s="118"/>
      <c r="E943" s="118"/>
      <c r="F943" s="118"/>
      <c r="G943" s="118"/>
      <c r="H943" s="118"/>
      <c r="I943" s="118"/>
      <c r="J943" s="118"/>
      <c r="K943" s="118"/>
      <c r="L943" s="118"/>
      <c r="M943" s="118"/>
      <c r="N943" s="118"/>
      <c r="O943" s="42"/>
      <c r="P943" s="42"/>
      <c r="Q943" s="42"/>
      <c r="R943" s="42"/>
      <c r="S943" s="125"/>
      <c r="T943" s="12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spans="1:46" ht="15.75" customHeight="1" x14ac:dyDescent="0.2">
      <c r="A944" s="118"/>
      <c r="B944" s="118"/>
      <c r="C944" s="118"/>
      <c r="D944" s="118"/>
      <c r="E944" s="118"/>
      <c r="F944" s="118"/>
      <c r="G944" s="118"/>
      <c r="H944" s="118"/>
      <c r="I944" s="118"/>
      <c r="J944" s="118"/>
      <c r="K944" s="118"/>
      <c r="L944" s="118"/>
      <c r="M944" s="118"/>
      <c r="N944" s="118"/>
      <c r="O944" s="42"/>
      <c r="P944" s="42"/>
      <c r="Q944" s="42"/>
      <c r="R944" s="42"/>
      <c r="S944" s="125"/>
      <c r="T944" s="12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spans="1:46" ht="15.75" customHeight="1" x14ac:dyDescent="0.2">
      <c r="A945" s="118"/>
      <c r="B945" s="118"/>
      <c r="C945" s="118"/>
      <c r="D945" s="118"/>
      <c r="E945" s="118"/>
      <c r="F945" s="118"/>
      <c r="G945" s="118"/>
      <c r="H945" s="118"/>
      <c r="I945" s="118"/>
      <c r="J945" s="118"/>
      <c r="K945" s="118"/>
      <c r="L945" s="118"/>
      <c r="M945" s="118"/>
      <c r="N945" s="118"/>
      <c r="O945" s="42"/>
      <c r="P945" s="42"/>
      <c r="Q945" s="42"/>
      <c r="R945" s="42"/>
      <c r="S945" s="125"/>
      <c r="T945" s="12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spans="1:46" ht="15.75" customHeight="1" x14ac:dyDescent="0.2">
      <c r="A946" s="118"/>
      <c r="B946" s="118"/>
      <c r="C946" s="118"/>
      <c r="D946" s="118"/>
      <c r="E946" s="118"/>
      <c r="F946" s="118"/>
      <c r="G946" s="118"/>
      <c r="H946" s="118"/>
      <c r="I946" s="118"/>
      <c r="J946" s="118"/>
      <c r="K946" s="118"/>
      <c r="L946" s="118"/>
      <c r="M946" s="118"/>
      <c r="N946" s="118"/>
      <c r="O946" s="42"/>
      <c r="P946" s="42"/>
      <c r="Q946" s="42"/>
      <c r="R946" s="42"/>
      <c r="S946" s="125"/>
      <c r="T946" s="12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spans="1:46" ht="15.75" customHeight="1" x14ac:dyDescent="0.2">
      <c r="A947" s="118"/>
      <c r="B947" s="118"/>
      <c r="C947" s="118"/>
      <c r="D947" s="118"/>
      <c r="E947" s="118"/>
      <c r="F947" s="118"/>
      <c r="G947" s="118"/>
      <c r="H947" s="118"/>
      <c r="I947" s="118"/>
      <c r="J947" s="118"/>
      <c r="K947" s="118"/>
      <c r="L947" s="118"/>
      <c r="M947" s="118"/>
      <c r="N947" s="118"/>
      <c r="O947" s="42"/>
      <c r="P947" s="42"/>
      <c r="Q947" s="42"/>
      <c r="R947" s="42"/>
      <c r="S947" s="125"/>
      <c r="T947" s="12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spans="1:46" ht="15.75" customHeight="1" x14ac:dyDescent="0.2">
      <c r="A948" s="118"/>
      <c r="B948" s="118"/>
      <c r="C948" s="118"/>
      <c r="D948" s="118"/>
      <c r="E948" s="118"/>
      <c r="F948" s="118"/>
      <c r="G948" s="118"/>
      <c r="H948" s="118"/>
      <c r="I948" s="118"/>
      <c r="J948" s="118"/>
      <c r="K948" s="118"/>
      <c r="L948" s="118"/>
      <c r="M948" s="118"/>
      <c r="N948" s="118"/>
      <c r="O948" s="42"/>
      <c r="P948" s="42"/>
      <c r="Q948" s="42"/>
      <c r="R948" s="42"/>
      <c r="S948" s="125"/>
      <c r="T948" s="12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spans="1:46" ht="15.75" customHeight="1" x14ac:dyDescent="0.2">
      <c r="A949" s="118"/>
      <c r="B949" s="118"/>
      <c r="C949" s="118"/>
      <c r="D949" s="118"/>
      <c r="E949" s="118"/>
      <c r="F949" s="118"/>
      <c r="G949" s="118"/>
      <c r="H949" s="118"/>
      <c r="I949" s="118"/>
      <c r="J949" s="118"/>
      <c r="K949" s="118"/>
      <c r="L949" s="118"/>
      <c r="M949" s="118"/>
      <c r="N949" s="118"/>
      <c r="O949" s="42"/>
      <c r="P949" s="42"/>
      <c r="Q949" s="42"/>
      <c r="R949" s="42"/>
      <c r="S949" s="125"/>
      <c r="T949" s="12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spans="1:46" ht="15.75" customHeight="1" x14ac:dyDescent="0.2">
      <c r="A950" s="118"/>
      <c r="B950" s="118"/>
      <c r="C950" s="118"/>
      <c r="D950" s="118"/>
      <c r="E950" s="118"/>
      <c r="F950" s="118"/>
      <c r="G950" s="118"/>
      <c r="H950" s="118"/>
      <c r="I950" s="118"/>
      <c r="J950" s="118"/>
      <c r="K950" s="118"/>
      <c r="L950" s="118"/>
      <c r="M950" s="118"/>
      <c r="N950" s="118"/>
      <c r="O950" s="42"/>
      <c r="P950" s="42"/>
      <c r="Q950" s="42"/>
      <c r="R950" s="42"/>
      <c r="S950" s="125"/>
      <c r="T950" s="12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spans="1:46" ht="15.75" customHeight="1" x14ac:dyDescent="0.2">
      <c r="A951" s="118"/>
      <c r="B951" s="118"/>
      <c r="C951" s="118"/>
      <c r="D951" s="118"/>
      <c r="E951" s="118"/>
      <c r="F951" s="118"/>
      <c r="G951" s="118"/>
      <c r="H951" s="118"/>
      <c r="I951" s="118"/>
      <c r="J951" s="118"/>
      <c r="K951" s="118"/>
      <c r="L951" s="118"/>
      <c r="M951" s="118"/>
      <c r="N951" s="118"/>
      <c r="O951" s="42"/>
      <c r="P951" s="42"/>
      <c r="Q951" s="42"/>
      <c r="R951" s="42"/>
      <c r="S951" s="125"/>
      <c r="T951" s="12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spans="1:46" ht="15.75" customHeight="1" x14ac:dyDescent="0.2">
      <c r="A952" s="118"/>
      <c r="B952" s="118"/>
      <c r="C952" s="118"/>
      <c r="D952" s="118"/>
      <c r="E952" s="118"/>
      <c r="F952" s="118"/>
      <c r="G952" s="118"/>
      <c r="H952" s="118"/>
      <c r="I952" s="118"/>
      <c r="J952" s="118"/>
      <c r="K952" s="118"/>
      <c r="L952" s="118"/>
      <c r="M952" s="118"/>
      <c r="N952" s="118"/>
      <c r="O952" s="42"/>
      <c r="P952" s="42"/>
      <c r="Q952" s="42"/>
      <c r="R952" s="42"/>
      <c r="S952" s="125"/>
      <c r="T952" s="12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spans="1:46" ht="15.75" customHeight="1" x14ac:dyDescent="0.2">
      <c r="A953" s="118"/>
      <c r="B953" s="118"/>
      <c r="C953" s="118"/>
      <c r="D953" s="118"/>
      <c r="E953" s="118"/>
      <c r="F953" s="118"/>
      <c r="G953" s="118"/>
      <c r="H953" s="118"/>
      <c r="I953" s="118"/>
      <c r="J953" s="118"/>
      <c r="K953" s="118"/>
      <c r="L953" s="118"/>
      <c r="M953" s="118"/>
      <c r="N953" s="118"/>
      <c r="O953" s="42"/>
      <c r="P953" s="42"/>
      <c r="Q953" s="42"/>
      <c r="R953" s="42"/>
      <c r="S953" s="125"/>
      <c r="T953" s="12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spans="1:46" ht="15.75" customHeight="1" x14ac:dyDescent="0.2">
      <c r="A954" s="118"/>
      <c r="B954" s="118"/>
      <c r="C954" s="118"/>
      <c r="D954" s="118"/>
      <c r="E954" s="118"/>
      <c r="F954" s="118"/>
      <c r="G954" s="118"/>
      <c r="H954" s="118"/>
      <c r="I954" s="118"/>
      <c r="J954" s="118"/>
      <c r="K954" s="118"/>
      <c r="L954" s="118"/>
      <c r="M954" s="118"/>
      <c r="N954" s="118"/>
      <c r="O954" s="42"/>
      <c r="P954" s="42"/>
      <c r="Q954" s="42"/>
      <c r="R954" s="42"/>
      <c r="S954" s="125"/>
      <c r="T954" s="12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spans="1:46" ht="15.75" customHeight="1" x14ac:dyDescent="0.2">
      <c r="A955" s="118"/>
      <c r="B955" s="118"/>
      <c r="C955" s="118"/>
      <c r="D955" s="118"/>
      <c r="E955" s="118"/>
      <c r="F955" s="118"/>
      <c r="G955" s="118"/>
      <c r="H955" s="118"/>
      <c r="I955" s="118"/>
      <c r="J955" s="118"/>
      <c r="K955" s="118"/>
      <c r="L955" s="118"/>
      <c r="M955" s="118"/>
      <c r="N955" s="118"/>
      <c r="O955" s="42"/>
      <c r="P955" s="42"/>
      <c r="Q955" s="42"/>
      <c r="R955" s="42"/>
      <c r="S955" s="125"/>
      <c r="T955" s="12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spans="1:46" ht="15.75" customHeight="1" x14ac:dyDescent="0.2">
      <c r="A956" s="118"/>
      <c r="B956" s="118"/>
      <c r="C956" s="118"/>
      <c r="D956" s="118"/>
      <c r="E956" s="118"/>
      <c r="F956" s="118"/>
      <c r="G956" s="118"/>
      <c r="H956" s="118"/>
      <c r="I956" s="118"/>
      <c r="J956" s="118"/>
      <c r="K956" s="118"/>
      <c r="L956" s="118"/>
      <c r="M956" s="118"/>
      <c r="N956" s="118"/>
      <c r="O956" s="42"/>
      <c r="P956" s="42"/>
      <c r="Q956" s="42"/>
      <c r="R956" s="42"/>
      <c r="S956" s="125"/>
      <c r="T956" s="12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spans="1:46" ht="15.75" customHeight="1" x14ac:dyDescent="0.2">
      <c r="A957" s="118"/>
      <c r="B957" s="118"/>
      <c r="C957" s="118"/>
      <c r="D957" s="118"/>
      <c r="E957" s="118"/>
      <c r="F957" s="118"/>
      <c r="G957" s="118"/>
      <c r="H957" s="118"/>
      <c r="I957" s="118"/>
      <c r="J957" s="118"/>
      <c r="K957" s="118"/>
      <c r="L957" s="118"/>
      <c r="M957" s="118"/>
      <c r="N957" s="118"/>
      <c r="O957" s="42"/>
      <c r="P957" s="42"/>
      <c r="Q957" s="42"/>
      <c r="R957" s="42"/>
      <c r="S957" s="125"/>
      <c r="T957" s="12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spans="1:46" ht="15.75" customHeight="1" x14ac:dyDescent="0.2">
      <c r="A958" s="118"/>
      <c r="B958" s="118"/>
      <c r="C958" s="118"/>
      <c r="D958" s="118"/>
      <c r="E958" s="118"/>
      <c r="F958" s="118"/>
      <c r="G958" s="118"/>
      <c r="H958" s="118"/>
      <c r="I958" s="118"/>
      <c r="J958" s="118"/>
      <c r="K958" s="118"/>
      <c r="L958" s="118"/>
      <c r="M958" s="118"/>
      <c r="N958" s="118"/>
      <c r="O958" s="42"/>
      <c r="P958" s="42"/>
      <c r="Q958" s="42"/>
      <c r="R958" s="42"/>
      <c r="S958" s="125"/>
      <c r="T958" s="12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spans="1:46" ht="15.75" customHeight="1" x14ac:dyDescent="0.2">
      <c r="A959" s="118"/>
      <c r="B959" s="118"/>
      <c r="C959" s="118"/>
      <c r="D959" s="118"/>
      <c r="E959" s="118"/>
      <c r="F959" s="118"/>
      <c r="G959" s="118"/>
      <c r="H959" s="118"/>
      <c r="I959" s="118"/>
      <c r="J959" s="118"/>
      <c r="K959" s="118"/>
      <c r="L959" s="118"/>
      <c r="M959" s="118"/>
      <c r="N959" s="118"/>
      <c r="O959" s="42"/>
      <c r="P959" s="42"/>
      <c r="Q959" s="42"/>
      <c r="R959" s="42"/>
      <c r="S959" s="125"/>
      <c r="T959" s="12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spans="1:46" ht="15.75" customHeight="1" x14ac:dyDescent="0.2">
      <c r="A960" s="118"/>
      <c r="B960" s="118"/>
      <c r="C960" s="118"/>
      <c r="D960" s="118"/>
      <c r="E960" s="118"/>
      <c r="F960" s="118"/>
      <c r="G960" s="118"/>
      <c r="H960" s="118"/>
      <c r="I960" s="118"/>
      <c r="J960" s="118"/>
      <c r="K960" s="118"/>
      <c r="L960" s="118"/>
      <c r="M960" s="118"/>
      <c r="N960" s="118"/>
      <c r="O960" s="42"/>
      <c r="P960" s="42"/>
      <c r="Q960" s="42"/>
      <c r="R960" s="42"/>
      <c r="S960" s="125"/>
      <c r="T960" s="12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spans="1:46" ht="15.75" customHeight="1" x14ac:dyDescent="0.2">
      <c r="A961" s="118"/>
      <c r="B961" s="118"/>
      <c r="C961" s="118"/>
      <c r="D961" s="118"/>
      <c r="E961" s="118"/>
      <c r="F961" s="118"/>
      <c r="G961" s="118"/>
      <c r="H961" s="118"/>
      <c r="I961" s="118"/>
      <c r="J961" s="118"/>
      <c r="K961" s="118"/>
      <c r="L961" s="118"/>
      <c r="M961" s="118"/>
      <c r="N961" s="118"/>
      <c r="O961" s="42"/>
      <c r="P961" s="42"/>
      <c r="Q961" s="42"/>
      <c r="R961" s="42"/>
      <c r="S961" s="125"/>
      <c r="T961" s="12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spans="1:46" ht="15.75" customHeight="1" x14ac:dyDescent="0.2">
      <c r="A962" s="118"/>
      <c r="B962" s="118"/>
      <c r="C962" s="118"/>
      <c r="D962" s="118"/>
      <c r="E962" s="118"/>
      <c r="F962" s="118"/>
      <c r="G962" s="118"/>
      <c r="H962" s="118"/>
      <c r="I962" s="118"/>
      <c r="J962" s="118"/>
      <c r="K962" s="118"/>
      <c r="L962" s="118"/>
      <c r="M962" s="118"/>
      <c r="N962" s="118"/>
      <c r="O962" s="42"/>
      <c r="P962" s="42"/>
      <c r="Q962" s="42"/>
      <c r="R962" s="42"/>
      <c r="S962" s="125"/>
      <c r="T962" s="12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spans="1:46" ht="15.75" customHeight="1" x14ac:dyDescent="0.2">
      <c r="A963" s="118"/>
      <c r="B963" s="118"/>
      <c r="C963" s="118"/>
      <c r="D963" s="118"/>
      <c r="E963" s="118"/>
      <c r="F963" s="118"/>
      <c r="G963" s="118"/>
      <c r="H963" s="118"/>
      <c r="I963" s="118"/>
      <c r="J963" s="118"/>
      <c r="K963" s="118"/>
      <c r="L963" s="118"/>
      <c r="M963" s="118"/>
      <c r="N963" s="118"/>
      <c r="O963" s="42"/>
      <c r="P963" s="42"/>
      <c r="Q963" s="42"/>
      <c r="R963" s="42"/>
      <c r="S963" s="125"/>
      <c r="T963" s="12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spans="1:46" ht="15.75" customHeight="1" x14ac:dyDescent="0.2">
      <c r="A964" s="118"/>
      <c r="B964" s="118"/>
      <c r="C964" s="118"/>
      <c r="D964" s="118"/>
      <c r="E964" s="118"/>
      <c r="F964" s="118"/>
      <c r="G964" s="118"/>
      <c r="H964" s="118"/>
      <c r="I964" s="118"/>
      <c r="J964" s="118"/>
      <c r="K964" s="118"/>
      <c r="L964" s="118"/>
      <c r="M964" s="118"/>
      <c r="N964" s="118"/>
      <c r="O964" s="42"/>
      <c r="P964" s="42"/>
      <c r="Q964" s="42"/>
      <c r="R964" s="42"/>
      <c r="S964" s="125"/>
      <c r="T964" s="12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spans="1:46" ht="15.75" customHeight="1" x14ac:dyDescent="0.2">
      <c r="A965" s="118"/>
      <c r="B965" s="118"/>
      <c r="C965" s="118"/>
      <c r="D965" s="118"/>
      <c r="E965" s="118"/>
      <c r="F965" s="118"/>
      <c r="G965" s="118"/>
      <c r="H965" s="118"/>
      <c r="I965" s="118"/>
      <c r="J965" s="118"/>
      <c r="K965" s="118"/>
      <c r="L965" s="118"/>
      <c r="M965" s="118"/>
      <c r="N965" s="118"/>
      <c r="O965" s="42"/>
      <c r="P965" s="42"/>
      <c r="Q965" s="42"/>
      <c r="R965" s="42"/>
      <c r="S965" s="125"/>
      <c r="T965" s="12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spans="1:46" ht="15.75" customHeight="1" x14ac:dyDescent="0.2">
      <c r="A966" s="118"/>
      <c r="B966" s="118"/>
      <c r="C966" s="118"/>
      <c r="D966" s="118"/>
      <c r="E966" s="118"/>
      <c r="F966" s="118"/>
      <c r="G966" s="118"/>
      <c r="H966" s="118"/>
      <c r="I966" s="118"/>
      <c r="J966" s="118"/>
      <c r="K966" s="118"/>
      <c r="L966" s="118"/>
      <c r="M966" s="118"/>
      <c r="N966" s="118"/>
      <c r="O966" s="42"/>
      <c r="P966" s="42"/>
      <c r="Q966" s="42"/>
      <c r="R966" s="42"/>
      <c r="S966" s="125"/>
      <c r="T966" s="12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spans="1:46" ht="15.75" customHeight="1" x14ac:dyDescent="0.2">
      <c r="A967" s="118"/>
      <c r="B967" s="118"/>
      <c r="C967" s="118"/>
      <c r="D967" s="118"/>
      <c r="E967" s="118"/>
      <c r="F967" s="118"/>
      <c r="G967" s="118"/>
      <c r="H967" s="118"/>
      <c r="I967" s="118"/>
      <c r="J967" s="118"/>
      <c r="K967" s="118"/>
      <c r="L967" s="118"/>
      <c r="M967" s="118"/>
      <c r="N967" s="118"/>
      <c r="O967" s="42"/>
      <c r="P967" s="42"/>
      <c r="Q967" s="42"/>
      <c r="R967" s="42"/>
      <c r="S967" s="125"/>
      <c r="T967" s="12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spans="1:46" ht="15.75" customHeight="1" x14ac:dyDescent="0.2">
      <c r="A968" s="118"/>
      <c r="B968" s="118"/>
      <c r="C968" s="118"/>
      <c r="D968" s="118"/>
      <c r="E968" s="118"/>
      <c r="F968" s="118"/>
      <c r="G968" s="118"/>
      <c r="H968" s="118"/>
      <c r="I968" s="118"/>
      <c r="J968" s="118"/>
      <c r="K968" s="118"/>
      <c r="L968" s="118"/>
      <c r="M968" s="118"/>
      <c r="N968" s="118"/>
      <c r="O968" s="42"/>
      <c r="P968" s="42"/>
      <c r="Q968" s="42"/>
      <c r="R968" s="42"/>
      <c r="S968" s="125"/>
      <c r="T968" s="12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spans="1:46" ht="15.75" customHeight="1" x14ac:dyDescent="0.2">
      <c r="A969" s="118"/>
      <c r="B969" s="118"/>
      <c r="C969" s="118"/>
      <c r="D969" s="118"/>
      <c r="E969" s="118"/>
      <c r="F969" s="118"/>
      <c r="G969" s="118"/>
      <c r="H969" s="118"/>
      <c r="I969" s="118"/>
      <c r="J969" s="118"/>
      <c r="K969" s="118"/>
      <c r="L969" s="118"/>
      <c r="M969" s="118"/>
      <c r="N969" s="118"/>
      <c r="O969" s="42"/>
      <c r="P969" s="42"/>
      <c r="Q969" s="42"/>
      <c r="R969" s="42"/>
      <c r="S969" s="125"/>
      <c r="T969" s="12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spans="1:46" ht="15.75" customHeight="1" x14ac:dyDescent="0.2">
      <c r="A970" s="118"/>
      <c r="B970" s="118"/>
      <c r="C970" s="118"/>
      <c r="D970" s="118"/>
      <c r="E970" s="118"/>
      <c r="F970" s="118"/>
      <c r="G970" s="118"/>
      <c r="H970" s="118"/>
      <c r="I970" s="118"/>
      <c r="J970" s="118"/>
      <c r="K970" s="118"/>
      <c r="L970" s="118"/>
      <c r="M970" s="118"/>
      <c r="N970" s="118"/>
      <c r="O970" s="42"/>
      <c r="P970" s="42"/>
      <c r="Q970" s="42"/>
      <c r="R970" s="42"/>
      <c r="S970" s="125"/>
      <c r="T970" s="12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spans="1:46" ht="15.75" customHeight="1" x14ac:dyDescent="0.2">
      <c r="A971" s="118"/>
      <c r="B971" s="118"/>
      <c r="C971" s="118"/>
      <c r="D971" s="118"/>
      <c r="E971" s="118"/>
      <c r="F971" s="118"/>
      <c r="G971" s="118"/>
      <c r="H971" s="118"/>
      <c r="I971" s="118"/>
      <c r="J971" s="118"/>
      <c r="K971" s="118"/>
      <c r="L971" s="118"/>
      <c r="M971" s="118"/>
      <c r="N971" s="118"/>
      <c r="O971" s="42"/>
      <c r="P971" s="42"/>
      <c r="Q971" s="42"/>
      <c r="R971" s="42"/>
      <c r="S971" s="125"/>
      <c r="T971" s="12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row r="972" spans="1:46" ht="15.75" customHeight="1" x14ac:dyDescent="0.2">
      <c r="A972" s="118"/>
      <c r="B972" s="118"/>
      <c r="C972" s="118"/>
      <c r="D972" s="118"/>
      <c r="E972" s="118"/>
      <c r="F972" s="118"/>
      <c r="G972" s="118"/>
      <c r="H972" s="118"/>
      <c r="I972" s="118"/>
      <c r="J972" s="118"/>
      <c r="K972" s="118"/>
      <c r="L972" s="118"/>
      <c r="M972" s="118"/>
      <c r="N972" s="118"/>
      <c r="O972" s="42"/>
      <c r="P972" s="42"/>
      <c r="Q972" s="42"/>
      <c r="R972" s="42"/>
      <c r="S972" s="125"/>
      <c r="T972" s="12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row>
    <row r="973" spans="1:46" ht="15.75" customHeight="1" x14ac:dyDescent="0.2">
      <c r="A973" s="118"/>
      <c r="B973" s="118"/>
      <c r="C973" s="118"/>
      <c r="D973" s="118"/>
      <c r="E973" s="118"/>
      <c r="F973" s="118"/>
      <c r="G973" s="118"/>
      <c r="H973" s="118"/>
      <c r="I973" s="118"/>
      <c r="J973" s="118"/>
      <c r="K973" s="118"/>
      <c r="L973" s="118"/>
      <c r="M973" s="118"/>
      <c r="N973" s="118"/>
      <c r="O973" s="42"/>
      <c r="P973" s="42"/>
      <c r="Q973" s="42"/>
      <c r="R973" s="42"/>
      <c r="S973" s="125"/>
      <c r="T973" s="12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row>
    <row r="974" spans="1:46" ht="15.75" customHeight="1" x14ac:dyDescent="0.2">
      <c r="A974" s="118"/>
      <c r="B974" s="118"/>
      <c r="C974" s="118"/>
      <c r="D974" s="118"/>
      <c r="E974" s="118"/>
      <c r="F974" s="118"/>
      <c r="G974" s="118"/>
      <c r="H974" s="118"/>
      <c r="I974" s="118"/>
      <c r="J974" s="118"/>
      <c r="K974" s="118"/>
      <c r="L974" s="118"/>
      <c r="M974" s="118"/>
      <c r="N974" s="118"/>
      <c r="O974" s="42"/>
      <c r="P974" s="42"/>
      <c r="Q974" s="42"/>
      <c r="R974" s="42"/>
      <c r="S974" s="125"/>
      <c r="T974" s="12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row>
    <row r="975" spans="1:46" ht="15.75" customHeight="1" x14ac:dyDescent="0.2">
      <c r="A975" s="118"/>
      <c r="B975" s="118"/>
      <c r="C975" s="118"/>
      <c r="D975" s="118"/>
      <c r="E975" s="118"/>
      <c r="F975" s="118"/>
      <c r="G975" s="118"/>
      <c r="H975" s="118"/>
      <c r="I975" s="118"/>
      <c r="J975" s="118"/>
      <c r="K975" s="118"/>
      <c r="L975" s="118"/>
      <c r="M975" s="118"/>
      <c r="N975" s="118"/>
      <c r="O975" s="42"/>
      <c r="P975" s="42"/>
      <c r="Q975" s="42"/>
      <c r="R975" s="42"/>
      <c r="S975" s="125"/>
      <c r="T975" s="12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row>
    <row r="976" spans="1:46" ht="15.75" customHeight="1" x14ac:dyDescent="0.2">
      <c r="A976" s="118"/>
      <c r="B976" s="118"/>
      <c r="C976" s="118"/>
      <c r="D976" s="118"/>
      <c r="E976" s="118"/>
      <c r="F976" s="118"/>
      <c r="G976" s="118"/>
      <c r="H976" s="118"/>
      <c r="I976" s="118"/>
      <c r="J976" s="118"/>
      <c r="K976" s="118"/>
      <c r="L976" s="118"/>
      <c r="M976" s="118"/>
      <c r="N976" s="118"/>
      <c r="O976" s="42"/>
      <c r="P976" s="42"/>
      <c r="Q976" s="42"/>
      <c r="R976" s="42"/>
      <c r="S976" s="125"/>
      <c r="T976" s="12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row>
    <row r="977" spans="1:46" ht="15.75" customHeight="1" x14ac:dyDescent="0.2">
      <c r="A977" s="118"/>
      <c r="B977" s="118"/>
      <c r="C977" s="118"/>
      <c r="D977" s="118"/>
      <c r="E977" s="118"/>
      <c r="F977" s="118"/>
      <c r="G977" s="118"/>
      <c r="H977" s="118"/>
      <c r="I977" s="118"/>
      <c r="J977" s="118"/>
      <c r="K977" s="118"/>
      <c r="L977" s="118"/>
      <c r="M977" s="118"/>
      <c r="N977" s="118"/>
      <c r="O977" s="42"/>
      <c r="P977" s="42"/>
      <c r="Q977" s="42"/>
      <c r="R977" s="42"/>
      <c r="S977" s="125"/>
      <c r="T977" s="12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row>
    <row r="978" spans="1:46" ht="15.75" customHeight="1" x14ac:dyDescent="0.2">
      <c r="A978" s="118"/>
      <c r="B978" s="118"/>
      <c r="C978" s="118"/>
      <c r="D978" s="118"/>
      <c r="E978" s="118"/>
      <c r="F978" s="118"/>
      <c r="G978" s="118"/>
      <c r="H978" s="118"/>
      <c r="I978" s="118"/>
      <c r="J978" s="118"/>
      <c r="K978" s="118"/>
      <c r="L978" s="118"/>
      <c r="M978" s="118"/>
      <c r="N978" s="118"/>
      <c r="O978" s="42"/>
      <c r="P978" s="42"/>
      <c r="Q978" s="42"/>
      <c r="R978" s="42"/>
      <c r="S978" s="125"/>
      <c r="T978" s="12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row>
    <row r="979" spans="1:46" ht="15.75" customHeight="1" x14ac:dyDescent="0.2">
      <c r="A979" s="118"/>
      <c r="B979" s="118"/>
      <c r="C979" s="118"/>
      <c r="D979" s="118"/>
      <c r="E979" s="118"/>
      <c r="F979" s="118"/>
      <c r="G979" s="118"/>
      <c r="H979" s="118"/>
      <c r="I979" s="118"/>
      <c r="J979" s="118"/>
      <c r="K979" s="118"/>
      <c r="L979" s="118"/>
      <c r="M979" s="118"/>
      <c r="N979" s="118"/>
      <c r="O979" s="42"/>
      <c r="P979" s="42"/>
      <c r="Q979" s="42"/>
      <c r="R979" s="42"/>
      <c r="S979" s="125"/>
      <c r="T979" s="12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row>
    <row r="980" spans="1:46" ht="15.75" customHeight="1" x14ac:dyDescent="0.2">
      <c r="A980" s="118"/>
      <c r="B980" s="118"/>
      <c r="C980" s="118"/>
      <c r="D980" s="118"/>
      <c r="E980" s="118"/>
      <c r="F980" s="118"/>
      <c r="G980" s="118"/>
      <c r="H980" s="118"/>
      <c r="I980" s="118"/>
      <c r="J980" s="118"/>
      <c r="K980" s="118"/>
      <c r="L980" s="118"/>
      <c r="M980" s="118"/>
      <c r="N980" s="118"/>
      <c r="O980" s="42"/>
      <c r="P980" s="42"/>
      <c r="Q980" s="42"/>
      <c r="R980" s="42"/>
      <c r="S980" s="125"/>
      <c r="T980" s="12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row>
    <row r="981" spans="1:46" ht="15.75" customHeight="1" x14ac:dyDescent="0.2">
      <c r="A981" s="118"/>
      <c r="B981" s="118"/>
      <c r="C981" s="118"/>
      <c r="D981" s="118"/>
      <c r="E981" s="118"/>
      <c r="F981" s="118"/>
      <c r="G981" s="118"/>
      <c r="H981" s="118"/>
      <c r="I981" s="118"/>
      <c r="J981" s="118"/>
      <c r="K981" s="118"/>
      <c r="L981" s="118"/>
      <c r="M981" s="118"/>
      <c r="N981" s="118"/>
      <c r="O981" s="42"/>
      <c r="P981" s="42"/>
      <c r="Q981" s="42"/>
      <c r="R981" s="42"/>
      <c r="S981" s="125"/>
      <c r="T981" s="12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row>
    <row r="982" spans="1:46" ht="15.75" customHeight="1" x14ac:dyDescent="0.2">
      <c r="A982" s="118"/>
      <c r="B982" s="118"/>
      <c r="C982" s="118"/>
      <c r="D982" s="118"/>
      <c r="E982" s="118"/>
      <c r="F982" s="118"/>
      <c r="G982" s="118"/>
      <c r="H982" s="118"/>
      <c r="I982" s="118"/>
      <c r="J982" s="118"/>
      <c r="K982" s="118"/>
      <c r="L982" s="118"/>
      <c r="M982" s="118"/>
      <c r="N982" s="118"/>
      <c r="O982" s="42"/>
      <c r="P982" s="42"/>
      <c r="Q982" s="42"/>
      <c r="R982" s="42"/>
      <c r="S982" s="125"/>
      <c r="T982" s="12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row>
    <row r="983" spans="1:46" ht="15.75" customHeight="1" x14ac:dyDescent="0.2">
      <c r="A983" s="118"/>
      <c r="B983" s="118"/>
      <c r="C983" s="118"/>
      <c r="D983" s="118"/>
      <c r="E983" s="118"/>
      <c r="F983" s="118"/>
      <c r="G983" s="118"/>
      <c r="H983" s="118"/>
      <c r="I983" s="118"/>
      <c r="J983" s="118"/>
      <c r="K983" s="118"/>
      <c r="L983" s="118"/>
      <c r="M983" s="118"/>
      <c r="N983" s="118"/>
      <c r="O983" s="42"/>
      <c r="P983" s="42"/>
      <c r="Q983" s="42"/>
      <c r="R983" s="42"/>
      <c r="S983" s="125"/>
      <c r="T983" s="12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row>
    <row r="984" spans="1:46" ht="15.75" customHeight="1" x14ac:dyDescent="0.2">
      <c r="A984" s="118"/>
      <c r="B984" s="118"/>
      <c r="C984" s="118"/>
      <c r="D984" s="118"/>
      <c r="E984" s="118"/>
      <c r="F984" s="118"/>
      <c r="G984" s="118"/>
      <c r="H984" s="118"/>
      <c r="I984" s="118"/>
      <c r="J984" s="118"/>
      <c r="K984" s="118"/>
      <c r="L984" s="118"/>
      <c r="M984" s="118"/>
      <c r="N984" s="118"/>
      <c r="O984" s="42"/>
      <c r="P984" s="42"/>
      <c r="Q984" s="42"/>
      <c r="R984" s="42"/>
      <c r="S984" s="125"/>
      <c r="T984" s="12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row>
    <row r="985" spans="1:46" ht="15.75" customHeight="1" x14ac:dyDescent="0.2">
      <c r="A985" s="118"/>
      <c r="B985" s="118"/>
      <c r="C985" s="118"/>
      <c r="D985" s="118"/>
      <c r="E985" s="118"/>
      <c r="F985" s="118"/>
      <c r="G985" s="118"/>
      <c r="H985" s="118"/>
      <c r="I985" s="118"/>
      <c r="J985" s="118"/>
      <c r="K985" s="118"/>
      <c r="L985" s="118"/>
      <c r="M985" s="118"/>
      <c r="N985" s="118"/>
      <c r="O985" s="42"/>
      <c r="P985" s="42"/>
      <c r="Q985" s="42"/>
      <c r="R985" s="42"/>
      <c r="S985" s="125"/>
      <c r="T985" s="12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row>
    <row r="986" spans="1:46" ht="15.75" customHeight="1" x14ac:dyDescent="0.2">
      <c r="A986" s="118"/>
      <c r="B986" s="118"/>
      <c r="C986" s="118"/>
      <c r="D986" s="118"/>
      <c r="E986" s="118"/>
      <c r="F986" s="118"/>
      <c r="G986" s="118"/>
      <c r="H986" s="118"/>
      <c r="I986" s="118"/>
      <c r="J986" s="118"/>
      <c r="K986" s="118"/>
      <c r="L986" s="118"/>
      <c r="M986" s="118"/>
      <c r="N986" s="118"/>
      <c r="O986" s="42"/>
      <c r="P986" s="42"/>
      <c r="Q986" s="42"/>
      <c r="R986" s="42"/>
      <c r="S986" s="125"/>
      <c r="T986" s="12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row>
    <row r="987" spans="1:46" ht="15.75" customHeight="1" x14ac:dyDescent="0.2">
      <c r="A987" s="118"/>
      <c r="B987" s="118"/>
      <c r="C987" s="118"/>
      <c r="D987" s="118"/>
      <c r="E987" s="118"/>
      <c r="F987" s="118"/>
      <c r="G987" s="118"/>
      <c r="H987" s="118"/>
      <c r="I987" s="118"/>
      <c r="J987" s="118"/>
      <c r="K987" s="118"/>
      <c r="L987" s="118"/>
      <c r="M987" s="118"/>
      <c r="N987" s="118"/>
      <c r="O987" s="42"/>
      <c r="P987" s="42"/>
      <c r="Q987" s="42"/>
      <c r="R987" s="42"/>
      <c r="S987" s="125"/>
      <c r="T987" s="12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row>
    <row r="988" spans="1:46" ht="15.75" customHeight="1" x14ac:dyDescent="0.2">
      <c r="A988" s="118"/>
      <c r="B988" s="118"/>
      <c r="C988" s="118"/>
      <c r="D988" s="118"/>
      <c r="E988" s="118"/>
      <c r="F988" s="118"/>
      <c r="G988" s="118"/>
      <c r="H988" s="118"/>
      <c r="I988" s="118"/>
      <c r="J988" s="118"/>
      <c r="K988" s="118"/>
      <c r="L988" s="118"/>
      <c r="M988" s="118"/>
      <c r="N988" s="118"/>
      <c r="O988" s="42"/>
      <c r="P988" s="42"/>
      <c r="Q988" s="42"/>
      <c r="R988" s="42"/>
      <c r="S988" s="125"/>
      <c r="T988" s="12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row>
    <row r="989" spans="1:46" ht="15.75" customHeight="1" x14ac:dyDescent="0.2">
      <c r="A989" s="118"/>
      <c r="B989" s="118"/>
      <c r="C989" s="118"/>
      <c r="D989" s="118"/>
      <c r="E989" s="118"/>
      <c r="F989" s="118"/>
      <c r="G989" s="118"/>
      <c r="H989" s="118"/>
      <c r="I989" s="118"/>
      <c r="J989" s="118"/>
      <c r="K989" s="118"/>
      <c r="L989" s="118"/>
      <c r="M989" s="118"/>
      <c r="N989" s="118"/>
      <c r="O989" s="42"/>
      <c r="P989" s="42"/>
      <c r="Q989" s="42"/>
      <c r="R989" s="42"/>
      <c r="S989" s="125"/>
      <c r="T989" s="12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row>
    <row r="990" spans="1:46" ht="15.75" customHeight="1" x14ac:dyDescent="0.2">
      <c r="A990" s="118"/>
      <c r="B990" s="118"/>
      <c r="C990" s="118"/>
      <c r="D990" s="118"/>
      <c r="E990" s="118"/>
      <c r="F990" s="118"/>
      <c r="G990" s="118"/>
      <c r="H990" s="118"/>
      <c r="I990" s="118"/>
      <c r="J990" s="118"/>
      <c r="K990" s="118"/>
      <c r="L990" s="118"/>
      <c r="M990" s="118"/>
      <c r="N990" s="118"/>
      <c r="O990" s="42"/>
      <c r="P990" s="42"/>
      <c r="Q990" s="42"/>
      <c r="R990" s="42"/>
      <c r="S990" s="125"/>
      <c r="T990" s="12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row>
    <row r="991" spans="1:46" ht="15.75" customHeight="1" x14ac:dyDescent="0.2">
      <c r="A991" s="118"/>
      <c r="B991" s="118"/>
      <c r="C991" s="118"/>
      <c r="D991" s="118"/>
      <c r="E991" s="118"/>
      <c r="F991" s="118"/>
      <c r="G991" s="118"/>
      <c r="H991" s="118"/>
      <c r="I991" s="118"/>
      <c r="J991" s="118"/>
      <c r="K991" s="118"/>
      <c r="L991" s="118"/>
      <c r="M991" s="118"/>
      <c r="N991" s="118"/>
      <c r="O991" s="42"/>
      <c r="P991" s="42"/>
      <c r="Q991" s="42"/>
      <c r="R991" s="42"/>
      <c r="S991" s="125"/>
      <c r="T991" s="12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row>
    <row r="992" spans="1:46" ht="15.75" customHeight="1" x14ac:dyDescent="0.2">
      <c r="A992" s="118"/>
      <c r="B992" s="118"/>
      <c r="C992" s="118"/>
      <c r="D992" s="118"/>
      <c r="E992" s="118"/>
      <c r="F992" s="118"/>
      <c r="G992" s="118"/>
      <c r="H992" s="118"/>
      <c r="I992" s="118"/>
      <c r="J992" s="118"/>
      <c r="K992" s="118"/>
      <c r="L992" s="118"/>
      <c r="M992" s="118"/>
      <c r="N992" s="118"/>
      <c r="O992" s="42"/>
      <c r="P992" s="42"/>
      <c r="Q992" s="42"/>
      <c r="R992" s="42"/>
      <c r="S992" s="125"/>
      <c r="T992" s="12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row>
    <row r="993" spans="1:46" ht="15.75" customHeight="1" x14ac:dyDescent="0.2">
      <c r="A993" s="118"/>
      <c r="B993" s="118"/>
      <c r="C993" s="118"/>
      <c r="D993" s="118"/>
      <c r="E993" s="118"/>
      <c r="F993" s="118"/>
      <c r="G993" s="118"/>
      <c r="H993" s="118"/>
      <c r="I993" s="118"/>
      <c r="J993" s="118"/>
      <c r="K993" s="118"/>
      <c r="L993" s="118"/>
      <c r="M993" s="118"/>
      <c r="N993" s="118"/>
      <c r="O993" s="42"/>
      <c r="P993" s="42"/>
      <c r="Q993" s="42"/>
      <c r="R993" s="42"/>
      <c r="S993" s="125"/>
      <c r="T993" s="12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row>
    <row r="994" spans="1:46" ht="15.75" customHeight="1" x14ac:dyDescent="0.2">
      <c r="A994" s="118"/>
      <c r="B994" s="118"/>
      <c r="C994" s="118"/>
      <c r="D994" s="118"/>
      <c r="E994" s="118"/>
      <c r="F994" s="118"/>
      <c r="G994" s="118"/>
      <c r="H994" s="118"/>
      <c r="I994" s="118"/>
      <c r="J994" s="118"/>
      <c r="K994" s="118"/>
      <c r="L994" s="118"/>
      <c r="M994" s="118"/>
      <c r="N994" s="118"/>
      <c r="O994" s="42"/>
      <c r="P994" s="42"/>
      <c r="Q994" s="42"/>
      <c r="R994" s="42"/>
      <c r="S994" s="125"/>
      <c r="T994" s="12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row>
    <row r="995" spans="1:46" ht="15.75" customHeight="1" x14ac:dyDescent="0.2">
      <c r="A995" s="118"/>
      <c r="B995" s="118"/>
      <c r="C995" s="118"/>
      <c r="D995" s="118"/>
      <c r="E995" s="118"/>
      <c r="F995" s="118"/>
      <c r="G995" s="118"/>
      <c r="H995" s="118"/>
      <c r="I995" s="118"/>
      <c r="J995" s="118"/>
      <c r="K995" s="118"/>
      <c r="L995" s="118"/>
      <c r="M995" s="118"/>
      <c r="N995" s="118"/>
      <c r="O995" s="42"/>
      <c r="P995" s="42"/>
      <c r="Q995" s="42"/>
      <c r="R995" s="42"/>
      <c r="S995" s="125"/>
      <c r="T995" s="12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row>
    <row r="996" spans="1:46" ht="15.75" customHeight="1" x14ac:dyDescent="0.2">
      <c r="A996" s="118"/>
      <c r="B996" s="118"/>
      <c r="C996" s="118"/>
      <c r="D996" s="118"/>
      <c r="E996" s="118"/>
      <c r="F996" s="118"/>
      <c r="G996" s="118"/>
      <c r="H996" s="118"/>
      <c r="I996" s="118"/>
      <c r="J996" s="118"/>
      <c r="K996" s="118"/>
      <c r="L996" s="118"/>
      <c r="M996" s="118"/>
      <c r="N996" s="118"/>
      <c r="O996" s="42"/>
      <c r="P996" s="42"/>
      <c r="Q996" s="42"/>
      <c r="R996" s="42"/>
      <c r="S996" s="125"/>
      <c r="T996" s="12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row>
    <row r="997" spans="1:46" ht="15.75" customHeight="1" x14ac:dyDescent="0.2">
      <c r="A997" s="118"/>
      <c r="B997" s="118"/>
      <c r="C997" s="118"/>
      <c r="D997" s="118"/>
      <c r="E997" s="118"/>
      <c r="F997" s="118"/>
      <c r="G997" s="118"/>
      <c r="H997" s="118"/>
      <c r="I997" s="118"/>
      <c r="J997" s="118"/>
      <c r="K997" s="118"/>
      <c r="L997" s="118"/>
      <c r="M997" s="118"/>
      <c r="N997" s="118"/>
      <c r="O997" s="42"/>
      <c r="P997" s="42"/>
      <c r="Q997" s="42"/>
      <c r="R997" s="42"/>
      <c r="S997" s="125"/>
      <c r="T997" s="12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row>
    <row r="998" spans="1:46" ht="15.75" customHeight="1" x14ac:dyDescent="0.2">
      <c r="A998" s="118"/>
      <c r="B998" s="118"/>
      <c r="C998" s="118"/>
      <c r="D998" s="118"/>
      <c r="E998" s="118"/>
      <c r="F998" s="118"/>
      <c r="G998" s="118"/>
      <c r="H998" s="118"/>
      <c r="I998" s="118"/>
      <c r="J998" s="118"/>
      <c r="K998" s="118"/>
      <c r="L998" s="118"/>
      <c r="M998" s="118"/>
      <c r="N998" s="118"/>
      <c r="O998" s="42"/>
      <c r="P998" s="42"/>
      <c r="Q998" s="42"/>
      <c r="R998" s="42"/>
      <c r="S998" s="125"/>
      <c r="T998" s="12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row>
    <row r="999" spans="1:46" ht="15.75" customHeight="1" x14ac:dyDescent="0.2">
      <c r="A999" s="118"/>
      <c r="B999" s="118"/>
      <c r="C999" s="118"/>
      <c r="D999" s="118"/>
      <c r="E999" s="118"/>
      <c r="F999" s="118"/>
      <c r="G999" s="118"/>
      <c r="H999" s="118"/>
      <c r="I999" s="118"/>
      <c r="J999" s="118"/>
      <c r="K999" s="118"/>
      <c r="L999" s="118"/>
      <c r="M999" s="118"/>
      <c r="N999" s="118"/>
      <c r="O999" s="42"/>
      <c r="P999" s="42"/>
      <c r="Q999" s="42"/>
      <c r="R999" s="42"/>
      <c r="S999" s="125"/>
      <c r="T999" s="12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row>
    <row r="1000" spans="1:46" ht="15.75" customHeight="1" x14ac:dyDescent="0.2">
      <c r="A1000" s="118"/>
      <c r="B1000" s="118"/>
      <c r="C1000" s="118"/>
      <c r="D1000" s="118"/>
      <c r="E1000" s="118"/>
      <c r="F1000" s="118"/>
      <c r="G1000" s="118"/>
      <c r="H1000" s="118"/>
      <c r="I1000" s="118"/>
      <c r="J1000" s="118"/>
      <c r="K1000" s="118"/>
      <c r="L1000" s="118"/>
      <c r="M1000" s="118"/>
      <c r="N1000" s="118"/>
      <c r="O1000" s="42"/>
      <c r="P1000" s="42"/>
      <c r="Q1000" s="42"/>
      <c r="R1000" s="42"/>
      <c r="S1000" s="125"/>
      <c r="T1000" s="12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row>
  </sheetData>
  <sortState xmlns:xlrd2="http://schemas.microsoft.com/office/spreadsheetml/2017/richdata2" ref="A2:T180">
    <sortCondition ref="P2:P180"/>
  </sortState>
  <dataValidations count="2">
    <dataValidation type="list" allowBlank="1" showErrorMessage="1" sqref="P2:P1000 R2:R1000" xr:uid="{00000000-0002-0000-0300-000000000000}">
      <formula1>"Yes, Not, Probably"</formula1>
    </dataValidation>
    <dataValidation type="list" allowBlank="1" showInputMessage="1" showErrorMessage="1" sqref="S2:S1000" xr:uid="{8FE5753A-3FED-4046-9372-52FC1E9A97D5}">
      <formula1>"Yes, Not"</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4733-B3B3-40C4-9CA0-97F915B717D9}">
  <dimension ref="A1:AP957"/>
  <sheetViews>
    <sheetView topLeftCell="A192" workbookViewId="0">
      <selection activeCell="G221" sqref="G221"/>
    </sheetView>
  </sheetViews>
  <sheetFormatPr baseColWidth="10" defaultColWidth="14.5" defaultRowHeight="15" x14ac:dyDescent="0.2"/>
  <cols>
    <col min="1" max="1" width="10.6640625" customWidth="1"/>
    <col min="2" max="2" width="12.83203125" customWidth="1"/>
    <col min="3" max="15" width="10.6640625" customWidth="1"/>
    <col min="16" max="16" width="15.5" customWidth="1"/>
    <col min="17" max="17" width="43.5" customWidth="1"/>
    <col min="18" max="20" width="10.6640625" customWidth="1"/>
  </cols>
  <sheetData>
    <row r="1" spans="1:42"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0" t="s">
        <v>39</v>
      </c>
      <c r="Q1" s="11" t="s">
        <v>40</v>
      </c>
      <c r="R1" s="2"/>
      <c r="S1" s="2"/>
      <c r="T1" s="2"/>
      <c r="U1" s="3"/>
      <c r="V1" s="3"/>
      <c r="W1" s="3"/>
      <c r="X1" s="3"/>
      <c r="Y1" s="3"/>
      <c r="Z1" s="3"/>
      <c r="AA1" s="3"/>
      <c r="AB1" s="3"/>
      <c r="AC1" s="3"/>
      <c r="AD1" s="3"/>
      <c r="AE1" s="3"/>
      <c r="AF1" s="3"/>
      <c r="AG1" s="3"/>
      <c r="AH1" s="3"/>
      <c r="AI1" s="3"/>
      <c r="AJ1" s="3"/>
      <c r="AK1" s="3"/>
      <c r="AL1" s="3"/>
      <c r="AM1" s="3"/>
      <c r="AN1" s="3"/>
      <c r="AO1" s="3"/>
      <c r="AP1" s="3"/>
    </row>
    <row r="2" spans="1:42" ht="14.25" customHeight="1" x14ac:dyDescent="0.2">
      <c r="A2" s="118" t="s">
        <v>626</v>
      </c>
      <c r="B2" s="118" t="s">
        <v>627</v>
      </c>
      <c r="C2" s="118">
        <v>2026</v>
      </c>
      <c r="D2" s="118" t="s">
        <v>394</v>
      </c>
      <c r="E2" s="118" t="s">
        <v>629</v>
      </c>
      <c r="F2" s="118" t="s">
        <v>630</v>
      </c>
      <c r="G2" s="118" t="s">
        <v>274</v>
      </c>
      <c r="H2" s="118" t="s">
        <v>15</v>
      </c>
      <c r="I2" s="118" t="s">
        <v>253</v>
      </c>
      <c r="J2" s="118" t="s">
        <v>628</v>
      </c>
      <c r="K2" s="118" t="s">
        <v>631</v>
      </c>
      <c r="L2" s="118">
        <v>0</v>
      </c>
      <c r="M2" s="118">
        <v>0</v>
      </c>
      <c r="N2" s="13" t="s">
        <v>16</v>
      </c>
      <c r="O2" s="12"/>
      <c r="P2" s="42" t="s">
        <v>50</v>
      </c>
      <c r="Q2" s="116"/>
      <c r="R2" s="3"/>
      <c r="S2" s="3"/>
      <c r="T2" s="3"/>
      <c r="U2" s="3"/>
      <c r="V2" s="3"/>
      <c r="W2" s="3"/>
      <c r="X2" s="3"/>
      <c r="Y2" s="3"/>
      <c r="Z2" s="3"/>
      <c r="AA2" s="3"/>
      <c r="AB2" s="3"/>
      <c r="AC2" s="3"/>
      <c r="AD2" s="3"/>
      <c r="AE2" s="3"/>
      <c r="AF2" s="3"/>
      <c r="AG2" s="3"/>
      <c r="AH2" s="3"/>
      <c r="AI2" s="3"/>
      <c r="AJ2" s="3"/>
      <c r="AK2" s="3"/>
      <c r="AL2" s="3"/>
      <c r="AM2" s="3"/>
      <c r="AN2" s="3"/>
      <c r="AO2" s="3"/>
      <c r="AP2" s="3"/>
    </row>
    <row r="3" spans="1:42" ht="14.25" customHeight="1" x14ac:dyDescent="0.2">
      <c r="A3" s="118" t="s">
        <v>1759</v>
      </c>
      <c r="B3" s="118" t="s">
        <v>1760</v>
      </c>
      <c r="C3" s="118">
        <v>2020</v>
      </c>
      <c r="D3" s="118" t="s">
        <v>371</v>
      </c>
      <c r="E3" s="118" t="s">
        <v>1762</v>
      </c>
      <c r="F3" s="118" t="s">
        <v>1763</v>
      </c>
      <c r="G3" s="118" t="s">
        <v>376</v>
      </c>
      <c r="H3" s="118" t="s">
        <v>15</v>
      </c>
      <c r="I3" s="118" t="s">
        <v>253</v>
      </c>
      <c r="J3" s="118" t="s">
        <v>1761</v>
      </c>
      <c r="K3" s="118" t="s">
        <v>1764</v>
      </c>
      <c r="L3" s="118">
        <v>0</v>
      </c>
      <c r="M3" s="118">
        <v>0</v>
      </c>
      <c r="N3" s="13" t="s">
        <v>16</v>
      </c>
      <c r="O3" s="14"/>
      <c r="P3" s="42" t="s">
        <v>50</v>
      </c>
      <c r="Q3" s="117"/>
      <c r="R3" s="3"/>
      <c r="S3" s="3"/>
      <c r="T3" s="3"/>
      <c r="U3" s="3"/>
      <c r="V3" s="3"/>
      <c r="W3" s="3"/>
      <c r="X3" s="3"/>
      <c r="Y3" s="3"/>
      <c r="Z3" s="3"/>
      <c r="AA3" s="3"/>
      <c r="AB3" s="3"/>
      <c r="AC3" s="3"/>
      <c r="AD3" s="3"/>
      <c r="AE3" s="3"/>
      <c r="AF3" s="3"/>
      <c r="AG3" s="3"/>
      <c r="AH3" s="3"/>
      <c r="AI3" s="3"/>
      <c r="AJ3" s="3"/>
      <c r="AK3" s="3"/>
      <c r="AL3" s="3"/>
      <c r="AM3" s="3"/>
      <c r="AN3" s="3"/>
      <c r="AO3" s="3"/>
      <c r="AP3" s="3"/>
    </row>
    <row r="4" spans="1:42" ht="14.25" customHeight="1" x14ac:dyDescent="0.2">
      <c r="A4" s="118" t="s">
        <v>1389</v>
      </c>
      <c r="B4" s="118" t="s">
        <v>1390</v>
      </c>
      <c r="C4" s="118">
        <v>2025</v>
      </c>
      <c r="D4" s="118" t="s">
        <v>1391</v>
      </c>
      <c r="E4" s="118" t="s">
        <v>1393</v>
      </c>
      <c r="F4" s="118" t="s">
        <v>1394</v>
      </c>
      <c r="G4" s="118" t="s">
        <v>1395</v>
      </c>
      <c r="H4" s="118" t="s">
        <v>15</v>
      </c>
      <c r="I4" s="118" t="s">
        <v>253</v>
      </c>
      <c r="J4" s="118" t="s">
        <v>1392</v>
      </c>
      <c r="K4" s="118" t="s">
        <v>1821</v>
      </c>
      <c r="L4" s="118">
        <v>0</v>
      </c>
      <c r="M4" s="118">
        <v>0</v>
      </c>
      <c r="N4" s="13" t="s">
        <v>16</v>
      </c>
      <c r="O4" s="14"/>
      <c r="P4" s="42" t="s">
        <v>50</v>
      </c>
      <c r="Q4" s="116"/>
      <c r="R4" s="3"/>
      <c r="S4" s="3"/>
      <c r="T4" s="3"/>
      <c r="U4" s="3"/>
      <c r="V4" s="3"/>
      <c r="W4" s="3"/>
      <c r="X4" s="3"/>
      <c r="Y4" s="3"/>
      <c r="Z4" s="3"/>
      <c r="AA4" s="3"/>
      <c r="AB4" s="3"/>
      <c r="AC4" s="3"/>
      <c r="AD4" s="3"/>
      <c r="AE4" s="3"/>
      <c r="AF4" s="3"/>
      <c r="AG4" s="3"/>
      <c r="AH4" s="3"/>
      <c r="AI4" s="3"/>
      <c r="AJ4" s="3"/>
      <c r="AK4" s="3"/>
      <c r="AL4" s="3"/>
      <c r="AM4" s="3"/>
      <c r="AN4" s="3"/>
      <c r="AO4" s="3"/>
      <c r="AP4" s="3"/>
    </row>
    <row r="5" spans="1:42" ht="14.25" customHeight="1" x14ac:dyDescent="0.2">
      <c r="A5" s="118" t="s">
        <v>1030</v>
      </c>
      <c r="B5" s="118" t="s">
        <v>1031</v>
      </c>
      <c r="C5" s="118">
        <v>2023</v>
      </c>
      <c r="D5" s="118" t="s">
        <v>345</v>
      </c>
      <c r="E5" s="118" t="s">
        <v>1033</v>
      </c>
      <c r="F5" s="118" t="s">
        <v>1034</v>
      </c>
      <c r="G5" s="118" t="s">
        <v>350</v>
      </c>
      <c r="H5" s="118" t="s">
        <v>15</v>
      </c>
      <c r="I5" s="118" t="s">
        <v>253</v>
      </c>
      <c r="J5" s="118" t="s">
        <v>1032</v>
      </c>
      <c r="K5" s="118" t="s">
        <v>1035</v>
      </c>
      <c r="L5" s="118">
        <v>0</v>
      </c>
      <c r="M5" s="118">
        <v>0</v>
      </c>
      <c r="N5" s="13" t="s">
        <v>16</v>
      </c>
      <c r="O5" s="14"/>
      <c r="P5" s="42" t="s">
        <v>50</v>
      </c>
      <c r="Q5" s="117"/>
      <c r="R5" s="3"/>
      <c r="S5" s="3"/>
      <c r="T5" s="3"/>
      <c r="U5" s="3"/>
      <c r="V5" s="3"/>
      <c r="W5" s="3"/>
      <c r="X5" s="3"/>
      <c r="Y5" s="3"/>
      <c r="Z5" s="3"/>
      <c r="AA5" s="3"/>
      <c r="AB5" s="3"/>
      <c r="AC5" s="3"/>
      <c r="AD5" s="3"/>
      <c r="AE5" s="3"/>
      <c r="AF5" s="3"/>
      <c r="AG5" s="3"/>
      <c r="AH5" s="3"/>
      <c r="AI5" s="3"/>
      <c r="AJ5" s="3"/>
      <c r="AK5" s="3"/>
      <c r="AL5" s="3"/>
      <c r="AM5" s="3"/>
      <c r="AN5" s="3"/>
      <c r="AO5" s="3"/>
      <c r="AP5" s="3"/>
    </row>
    <row r="6" spans="1:42" ht="14.25" customHeight="1" x14ac:dyDescent="0.2">
      <c r="A6" s="118" t="s">
        <v>245</v>
      </c>
      <c r="B6" s="118" t="s">
        <v>246</v>
      </c>
      <c r="C6" s="118">
        <v>2025</v>
      </c>
      <c r="D6" s="118" t="s">
        <v>247</v>
      </c>
      <c r="E6" s="118" t="s">
        <v>249</v>
      </c>
      <c r="F6" s="118" t="s">
        <v>250</v>
      </c>
      <c r="G6" s="118" t="s">
        <v>252</v>
      </c>
      <c r="H6" s="118" t="s">
        <v>15</v>
      </c>
      <c r="I6" s="118" t="s">
        <v>253</v>
      </c>
      <c r="J6" s="118" t="s">
        <v>248</v>
      </c>
      <c r="K6" s="118" t="s">
        <v>251</v>
      </c>
      <c r="L6" s="118">
        <v>0</v>
      </c>
      <c r="M6" s="118">
        <v>0</v>
      </c>
      <c r="N6" s="13" t="s">
        <v>16</v>
      </c>
      <c r="O6" s="14"/>
      <c r="P6" s="42" t="s">
        <v>50</v>
      </c>
      <c r="Q6" s="116"/>
      <c r="R6" s="3"/>
      <c r="S6" s="3"/>
      <c r="T6" s="3"/>
      <c r="U6" s="3"/>
      <c r="V6" s="3"/>
      <c r="W6" s="3"/>
      <c r="X6" s="3"/>
      <c r="Y6" s="3"/>
      <c r="Z6" s="3"/>
      <c r="AA6" s="3"/>
      <c r="AB6" s="3"/>
      <c r="AC6" s="3"/>
      <c r="AD6" s="3"/>
      <c r="AE6" s="3"/>
      <c r="AF6" s="3"/>
      <c r="AG6" s="3"/>
      <c r="AH6" s="3"/>
      <c r="AI6" s="3"/>
      <c r="AJ6" s="3"/>
      <c r="AK6" s="3"/>
      <c r="AL6" s="3"/>
      <c r="AM6" s="3"/>
      <c r="AN6" s="3"/>
      <c r="AO6" s="3"/>
      <c r="AP6" s="3"/>
    </row>
    <row r="7" spans="1:42" ht="14.25" customHeight="1" x14ac:dyDescent="0.2">
      <c r="A7" s="118" t="s">
        <v>254</v>
      </c>
      <c r="B7" s="118" t="s">
        <v>255</v>
      </c>
      <c r="C7" s="118">
        <v>2024</v>
      </c>
      <c r="D7" s="118" t="s">
        <v>256</v>
      </c>
      <c r="E7" s="118" t="s">
        <v>258</v>
      </c>
      <c r="F7" s="118">
        <v>0</v>
      </c>
      <c r="G7" s="118" t="s">
        <v>260</v>
      </c>
      <c r="H7" s="118" t="s">
        <v>15</v>
      </c>
      <c r="I7" s="118" t="s">
        <v>253</v>
      </c>
      <c r="J7" s="118" t="s">
        <v>257</v>
      </c>
      <c r="K7" s="118" t="s">
        <v>259</v>
      </c>
      <c r="L7" s="118">
        <v>0</v>
      </c>
      <c r="M7" s="118">
        <v>0</v>
      </c>
      <c r="N7" s="13" t="s">
        <v>16</v>
      </c>
      <c r="O7" s="14"/>
      <c r="P7" s="42" t="s">
        <v>50</v>
      </c>
      <c r="Q7" s="117"/>
      <c r="R7" s="3"/>
      <c r="S7" s="3"/>
      <c r="T7" s="3"/>
      <c r="U7" s="3"/>
      <c r="V7" s="3"/>
      <c r="W7" s="3"/>
      <c r="X7" s="3"/>
      <c r="Y7" s="3"/>
      <c r="Z7" s="3"/>
      <c r="AA7" s="3"/>
      <c r="AB7" s="3"/>
      <c r="AC7" s="3"/>
      <c r="AD7" s="3"/>
      <c r="AE7" s="3"/>
      <c r="AF7" s="3"/>
      <c r="AG7" s="3"/>
      <c r="AH7" s="3"/>
      <c r="AI7" s="3"/>
      <c r="AJ7" s="3"/>
      <c r="AK7" s="3"/>
      <c r="AL7" s="3"/>
      <c r="AM7" s="3"/>
      <c r="AN7" s="3"/>
      <c r="AO7" s="3"/>
      <c r="AP7" s="3"/>
    </row>
    <row r="8" spans="1:42" ht="14.25" customHeight="1" x14ac:dyDescent="0.2">
      <c r="A8" s="118" t="s">
        <v>267</v>
      </c>
      <c r="B8" s="118" t="s">
        <v>268</v>
      </c>
      <c r="C8" s="118">
        <v>2025</v>
      </c>
      <c r="D8" s="118" t="s">
        <v>269</v>
      </c>
      <c r="E8" s="118" t="s">
        <v>271</v>
      </c>
      <c r="F8" s="118" t="s">
        <v>272</v>
      </c>
      <c r="G8" s="118" t="s">
        <v>274</v>
      </c>
      <c r="H8" s="118" t="s">
        <v>15</v>
      </c>
      <c r="I8" s="118" t="s">
        <v>253</v>
      </c>
      <c r="J8" s="118" t="s">
        <v>270</v>
      </c>
      <c r="K8" s="118" t="s">
        <v>273</v>
      </c>
      <c r="L8" s="118">
        <v>0</v>
      </c>
      <c r="M8" s="118">
        <v>0</v>
      </c>
      <c r="N8" s="13" t="s">
        <v>16</v>
      </c>
      <c r="O8" s="14"/>
      <c r="P8" s="42" t="s">
        <v>50</v>
      </c>
      <c r="Q8" s="116"/>
      <c r="R8" s="3"/>
      <c r="S8" s="3"/>
      <c r="T8" s="3"/>
      <c r="U8" s="3"/>
      <c r="V8" s="3"/>
      <c r="W8" s="3"/>
      <c r="X8" s="3"/>
      <c r="Y8" s="3"/>
      <c r="Z8" s="3"/>
      <c r="AA8" s="3"/>
      <c r="AB8" s="3"/>
      <c r="AC8" s="3"/>
      <c r="AD8" s="3"/>
      <c r="AE8" s="3"/>
      <c r="AF8" s="3"/>
      <c r="AG8" s="3"/>
      <c r="AH8" s="3"/>
      <c r="AI8" s="3"/>
      <c r="AJ8" s="3"/>
      <c r="AK8" s="3"/>
      <c r="AL8" s="3"/>
      <c r="AM8" s="3"/>
      <c r="AN8" s="3"/>
      <c r="AO8" s="3"/>
      <c r="AP8" s="3"/>
    </row>
    <row r="9" spans="1:42" ht="14.25" customHeight="1" x14ac:dyDescent="0.2">
      <c r="A9" s="118" t="s">
        <v>275</v>
      </c>
      <c r="B9" s="118" t="s">
        <v>276</v>
      </c>
      <c r="C9" s="118">
        <v>2026</v>
      </c>
      <c r="D9" s="118" t="s">
        <v>277</v>
      </c>
      <c r="E9" s="118" t="s">
        <v>279</v>
      </c>
      <c r="F9" s="118" t="s">
        <v>280</v>
      </c>
      <c r="G9" s="118" t="s">
        <v>282</v>
      </c>
      <c r="H9" s="118" t="s">
        <v>15</v>
      </c>
      <c r="I9" s="118" t="s">
        <v>253</v>
      </c>
      <c r="J9" s="118" t="s">
        <v>278</v>
      </c>
      <c r="K9" s="118" t="s">
        <v>281</v>
      </c>
      <c r="L9" s="118">
        <v>0</v>
      </c>
      <c r="M9" s="118">
        <v>0</v>
      </c>
      <c r="N9" s="13" t="s">
        <v>16</v>
      </c>
      <c r="O9" s="14"/>
      <c r="P9" s="42" t="s">
        <v>50</v>
      </c>
      <c r="Q9" s="117"/>
      <c r="R9" s="3"/>
      <c r="S9" s="3"/>
      <c r="T9" s="3"/>
      <c r="U9" s="3"/>
      <c r="V9" s="3"/>
      <c r="W9" s="3"/>
      <c r="X9" s="3"/>
      <c r="Y9" s="3"/>
      <c r="Z9" s="3"/>
      <c r="AA9" s="3"/>
      <c r="AB9" s="3"/>
      <c r="AC9" s="3"/>
      <c r="AD9" s="3"/>
      <c r="AE9" s="3"/>
      <c r="AF9" s="3"/>
      <c r="AG9" s="3"/>
      <c r="AH9" s="3"/>
      <c r="AI9" s="3"/>
      <c r="AJ9" s="3"/>
      <c r="AK9" s="3"/>
      <c r="AL9" s="3"/>
      <c r="AM9" s="3"/>
      <c r="AN9" s="3"/>
      <c r="AO9" s="3"/>
      <c r="AP9" s="3"/>
    </row>
    <row r="10" spans="1:42" ht="14.25" customHeight="1" x14ac:dyDescent="0.2">
      <c r="A10" s="118" t="s">
        <v>652</v>
      </c>
      <c r="B10" s="118" t="s">
        <v>653</v>
      </c>
      <c r="C10" s="118">
        <v>2023</v>
      </c>
      <c r="D10" s="118" t="s">
        <v>654</v>
      </c>
      <c r="E10" s="118" t="s">
        <v>656</v>
      </c>
      <c r="F10" s="118" t="s">
        <v>657</v>
      </c>
      <c r="G10" s="118" t="s">
        <v>228</v>
      </c>
      <c r="H10" s="118" t="s">
        <v>15</v>
      </c>
      <c r="I10" s="118" t="s">
        <v>253</v>
      </c>
      <c r="J10" s="118" t="s">
        <v>655</v>
      </c>
      <c r="K10" s="118" t="s">
        <v>658</v>
      </c>
      <c r="L10" s="118">
        <v>0</v>
      </c>
      <c r="M10" s="118">
        <v>0</v>
      </c>
      <c r="N10" s="13" t="s">
        <v>16</v>
      </c>
      <c r="O10" s="14"/>
      <c r="P10" s="42" t="s">
        <v>50</v>
      </c>
      <c r="Q10" s="116"/>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2" ht="14.25" customHeight="1" x14ac:dyDescent="0.2">
      <c r="A11" s="118" t="s">
        <v>1421</v>
      </c>
      <c r="B11" s="118" t="s">
        <v>1422</v>
      </c>
      <c r="C11" s="118">
        <v>2023</v>
      </c>
      <c r="D11" s="118" t="s">
        <v>277</v>
      </c>
      <c r="E11" s="118" t="s">
        <v>1424</v>
      </c>
      <c r="F11" s="118" t="s">
        <v>1425</v>
      </c>
      <c r="G11" s="118" t="s">
        <v>586</v>
      </c>
      <c r="H11" s="118" t="s">
        <v>15</v>
      </c>
      <c r="I11" s="118" t="s">
        <v>253</v>
      </c>
      <c r="J11" s="118" t="s">
        <v>1423</v>
      </c>
      <c r="K11" s="118" t="s">
        <v>1822</v>
      </c>
      <c r="L11" s="118">
        <v>0</v>
      </c>
      <c r="M11" s="118">
        <v>0</v>
      </c>
      <c r="N11" s="13" t="s">
        <v>16</v>
      </c>
      <c r="O11" s="14"/>
      <c r="P11" s="42" t="s">
        <v>50</v>
      </c>
      <c r="Q11" s="117"/>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2" ht="14.25" customHeight="1" x14ac:dyDescent="0.2">
      <c r="A12" s="118" t="s">
        <v>665</v>
      </c>
      <c r="B12" s="118" t="s">
        <v>666</v>
      </c>
      <c r="C12" s="118">
        <v>2022</v>
      </c>
      <c r="D12" s="118" t="s">
        <v>385</v>
      </c>
      <c r="E12" s="118" t="s">
        <v>668</v>
      </c>
      <c r="F12" s="118" t="s">
        <v>669</v>
      </c>
      <c r="G12" s="118" t="s">
        <v>586</v>
      </c>
      <c r="H12" s="118" t="s">
        <v>15</v>
      </c>
      <c r="I12" s="118" t="s">
        <v>253</v>
      </c>
      <c r="J12" s="118" t="s">
        <v>667</v>
      </c>
      <c r="K12" s="118" t="s">
        <v>670</v>
      </c>
      <c r="L12" s="118">
        <v>0</v>
      </c>
      <c r="M12" s="118">
        <v>0</v>
      </c>
      <c r="N12" s="13" t="s">
        <v>16</v>
      </c>
      <c r="O12" s="14"/>
      <c r="P12" s="42" t="s">
        <v>50</v>
      </c>
      <c r="Q12" s="116"/>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2" ht="14.25" customHeight="1" x14ac:dyDescent="0.2">
      <c r="A13" s="118" t="s">
        <v>671</v>
      </c>
      <c r="B13" s="118" t="s">
        <v>672</v>
      </c>
      <c r="C13" s="118">
        <v>2024</v>
      </c>
      <c r="D13" s="118" t="s">
        <v>673</v>
      </c>
      <c r="E13" s="118" t="s">
        <v>675</v>
      </c>
      <c r="F13" s="118" t="s">
        <v>676</v>
      </c>
      <c r="G13" s="118" t="s">
        <v>282</v>
      </c>
      <c r="H13" s="118" t="s">
        <v>15</v>
      </c>
      <c r="I13" s="118" t="s">
        <v>253</v>
      </c>
      <c r="J13" s="118" t="s">
        <v>674</v>
      </c>
      <c r="K13" s="118" t="s">
        <v>677</v>
      </c>
      <c r="L13" s="118">
        <v>0</v>
      </c>
      <c r="M13" s="118">
        <v>0</v>
      </c>
      <c r="N13" s="13" t="s">
        <v>16</v>
      </c>
      <c r="O13" s="14"/>
      <c r="P13" s="42" t="s">
        <v>50</v>
      </c>
      <c r="Q13" s="117"/>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2" ht="14.25" customHeight="1" x14ac:dyDescent="0.2">
      <c r="A14" s="118" t="s">
        <v>288</v>
      </c>
      <c r="B14" s="118" t="s">
        <v>289</v>
      </c>
      <c r="C14" s="118">
        <v>2022</v>
      </c>
      <c r="D14" s="118" t="s">
        <v>290</v>
      </c>
      <c r="E14" s="118" t="s">
        <v>292</v>
      </c>
      <c r="F14" s="118" t="s">
        <v>293</v>
      </c>
      <c r="G14" s="118" t="s">
        <v>228</v>
      </c>
      <c r="H14" s="118" t="s">
        <v>15</v>
      </c>
      <c r="I14" s="118" t="s">
        <v>253</v>
      </c>
      <c r="J14" s="118" t="s">
        <v>291</v>
      </c>
      <c r="K14" s="118" t="s">
        <v>294</v>
      </c>
      <c r="L14" s="118">
        <v>0</v>
      </c>
      <c r="M14" s="118">
        <v>0</v>
      </c>
      <c r="N14" s="13" t="s">
        <v>16</v>
      </c>
      <c r="O14" s="14"/>
      <c r="P14" s="42" t="s">
        <v>50</v>
      </c>
      <c r="Q14" s="116"/>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2" ht="14.25" customHeight="1" x14ac:dyDescent="0.2">
      <c r="A15" s="118" t="s">
        <v>684</v>
      </c>
      <c r="B15" s="118" t="s">
        <v>685</v>
      </c>
      <c r="C15" s="118">
        <v>2025</v>
      </c>
      <c r="D15" s="118" t="s">
        <v>686</v>
      </c>
      <c r="E15" s="118" t="s">
        <v>688</v>
      </c>
      <c r="F15" s="118" t="s">
        <v>689</v>
      </c>
      <c r="G15" s="118" t="s">
        <v>691</v>
      </c>
      <c r="H15" s="118" t="s">
        <v>15</v>
      </c>
      <c r="I15" s="118" t="s">
        <v>253</v>
      </c>
      <c r="J15" s="118" t="s">
        <v>687</v>
      </c>
      <c r="K15" s="118" t="s">
        <v>690</v>
      </c>
      <c r="L15" s="118">
        <v>0</v>
      </c>
      <c r="M15" s="118">
        <v>0</v>
      </c>
      <c r="N15" s="13" t="s">
        <v>16</v>
      </c>
      <c r="O15" s="14"/>
      <c r="P15" s="42" t="s">
        <v>50</v>
      </c>
      <c r="Q15" s="116"/>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2" ht="14.25" customHeight="1" x14ac:dyDescent="0.2">
      <c r="A16" s="118" t="s">
        <v>315</v>
      </c>
      <c r="B16" s="118" t="s">
        <v>316</v>
      </c>
      <c r="C16" s="118">
        <v>2024</v>
      </c>
      <c r="D16" s="118" t="s">
        <v>317</v>
      </c>
      <c r="E16" s="118" t="s">
        <v>319</v>
      </c>
      <c r="F16" s="118" t="s">
        <v>320</v>
      </c>
      <c r="G16" s="118" t="s">
        <v>322</v>
      </c>
      <c r="H16" s="118" t="s">
        <v>15</v>
      </c>
      <c r="I16" s="118" t="s">
        <v>253</v>
      </c>
      <c r="J16" s="118" t="s">
        <v>318</v>
      </c>
      <c r="K16" s="118" t="s">
        <v>321</v>
      </c>
      <c r="L16" s="118">
        <v>0</v>
      </c>
      <c r="M16" s="118">
        <v>0</v>
      </c>
      <c r="N16" s="13" t="s">
        <v>16</v>
      </c>
      <c r="O16" s="14"/>
      <c r="P16" s="42" t="s">
        <v>50</v>
      </c>
      <c r="Q16" s="117"/>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2" ht="14.25" customHeight="1" x14ac:dyDescent="0.2">
      <c r="A17" s="118" t="s">
        <v>1060</v>
      </c>
      <c r="B17" s="118" t="s">
        <v>1061</v>
      </c>
      <c r="C17" s="118">
        <v>2025</v>
      </c>
      <c r="D17" s="118" t="s">
        <v>1062</v>
      </c>
      <c r="E17" s="118" t="s">
        <v>1064</v>
      </c>
      <c r="F17" s="118" t="s">
        <v>1065</v>
      </c>
      <c r="G17" s="118" t="s">
        <v>691</v>
      </c>
      <c r="H17" s="118" t="s">
        <v>15</v>
      </c>
      <c r="I17" s="118" t="s">
        <v>253</v>
      </c>
      <c r="J17" s="118" t="s">
        <v>1063</v>
      </c>
      <c r="K17" s="118" t="s">
        <v>1066</v>
      </c>
      <c r="L17" s="118">
        <v>0</v>
      </c>
      <c r="M17" s="118">
        <v>0</v>
      </c>
      <c r="N17" s="13" t="s">
        <v>16</v>
      </c>
      <c r="O17" s="14"/>
      <c r="P17" s="42" t="s">
        <v>50</v>
      </c>
      <c r="Q17" s="116"/>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2" ht="14.25" customHeight="1" x14ac:dyDescent="0.2">
      <c r="A18" s="118" t="s">
        <v>705</v>
      </c>
      <c r="B18" s="118" t="s">
        <v>706</v>
      </c>
      <c r="C18" s="118">
        <v>2026</v>
      </c>
      <c r="D18" s="118" t="s">
        <v>707</v>
      </c>
      <c r="E18" s="118" t="s">
        <v>709</v>
      </c>
      <c r="F18" s="118" t="s">
        <v>710</v>
      </c>
      <c r="G18" s="118" t="s">
        <v>252</v>
      </c>
      <c r="H18" s="118" t="s">
        <v>15</v>
      </c>
      <c r="I18" s="118" t="s">
        <v>253</v>
      </c>
      <c r="J18" s="118" t="s">
        <v>708</v>
      </c>
      <c r="K18" s="118" t="s">
        <v>711</v>
      </c>
      <c r="L18" s="118">
        <v>0</v>
      </c>
      <c r="M18" s="118">
        <v>0</v>
      </c>
      <c r="N18" s="13" t="s">
        <v>16</v>
      </c>
      <c r="O18" s="14"/>
      <c r="P18" s="42" t="s">
        <v>50</v>
      </c>
      <c r="Q18" s="117"/>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2" ht="14.25" customHeight="1" x14ac:dyDescent="0.2">
      <c r="A19" s="118" t="s">
        <v>1079</v>
      </c>
      <c r="B19" s="118" t="s">
        <v>1080</v>
      </c>
      <c r="C19" s="118">
        <v>2023</v>
      </c>
      <c r="D19" s="118" t="s">
        <v>1081</v>
      </c>
      <c r="E19" s="118" t="s">
        <v>1083</v>
      </c>
      <c r="F19" s="118" t="s">
        <v>1084</v>
      </c>
      <c r="G19" s="118" t="s">
        <v>1086</v>
      </c>
      <c r="H19" s="118" t="s">
        <v>15</v>
      </c>
      <c r="I19" s="118" t="s">
        <v>253</v>
      </c>
      <c r="J19" s="118" t="s">
        <v>1082</v>
      </c>
      <c r="K19" s="118" t="s">
        <v>1085</v>
      </c>
      <c r="L19" s="118">
        <v>0</v>
      </c>
      <c r="M19" s="118">
        <v>0</v>
      </c>
      <c r="N19" s="13" t="s">
        <v>16</v>
      </c>
      <c r="O19" s="14"/>
      <c r="P19" s="42" t="s">
        <v>50</v>
      </c>
      <c r="Q19" s="116"/>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2" ht="14.25" customHeight="1" x14ac:dyDescent="0.2">
      <c r="A20" s="118" t="s">
        <v>1765</v>
      </c>
      <c r="B20" s="118" t="s">
        <v>1766</v>
      </c>
      <c r="C20" s="118">
        <v>2020</v>
      </c>
      <c r="D20" s="118" t="s">
        <v>1767</v>
      </c>
      <c r="E20" s="118" t="s">
        <v>1769</v>
      </c>
      <c r="F20" s="118">
        <v>0</v>
      </c>
      <c r="G20" s="118" t="s">
        <v>457</v>
      </c>
      <c r="H20" s="118" t="s">
        <v>15</v>
      </c>
      <c r="I20" s="118" t="s">
        <v>253</v>
      </c>
      <c r="J20" s="118" t="s">
        <v>1768</v>
      </c>
      <c r="K20" s="118" t="s">
        <v>1770</v>
      </c>
      <c r="L20" s="118">
        <v>0</v>
      </c>
      <c r="M20" s="118">
        <v>0</v>
      </c>
      <c r="N20" s="13" t="s">
        <v>16</v>
      </c>
      <c r="O20" s="7"/>
      <c r="P20" s="42" t="s">
        <v>50</v>
      </c>
      <c r="Q20" s="117"/>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2" ht="14.25" customHeight="1" x14ac:dyDescent="0.2">
      <c r="A21" s="118" t="s">
        <v>718</v>
      </c>
      <c r="B21" s="118" t="s">
        <v>719</v>
      </c>
      <c r="C21" s="118">
        <v>2025</v>
      </c>
      <c r="D21" s="118" t="s">
        <v>460</v>
      </c>
      <c r="E21" s="118" t="s">
        <v>721</v>
      </c>
      <c r="F21" s="118" t="s">
        <v>722</v>
      </c>
      <c r="G21" s="118" t="s">
        <v>465</v>
      </c>
      <c r="H21" s="118" t="s">
        <v>15</v>
      </c>
      <c r="I21" s="118" t="s">
        <v>253</v>
      </c>
      <c r="J21" s="118" t="s">
        <v>720</v>
      </c>
      <c r="K21" s="118" t="s">
        <v>723</v>
      </c>
      <c r="L21" s="118">
        <v>0</v>
      </c>
      <c r="M21" s="118">
        <v>0</v>
      </c>
      <c r="N21" s="13" t="s">
        <v>16</v>
      </c>
      <c r="O21" s="7"/>
      <c r="P21" s="42" t="s">
        <v>50</v>
      </c>
      <c r="Q21" s="116"/>
      <c r="R21" s="3"/>
      <c r="S21" s="3"/>
      <c r="T21" s="3"/>
      <c r="U21" s="3"/>
      <c r="V21" s="3"/>
      <c r="W21" s="3"/>
      <c r="X21" s="3"/>
      <c r="Y21" s="3"/>
      <c r="Z21" s="3"/>
      <c r="AA21" s="3"/>
      <c r="AB21" s="3"/>
      <c r="AC21" s="3"/>
      <c r="AD21" s="3"/>
      <c r="AE21" s="3"/>
      <c r="AF21" s="3"/>
      <c r="AG21" s="3"/>
      <c r="AH21" s="3"/>
      <c r="AI21" s="3"/>
      <c r="AJ21" s="3"/>
      <c r="AK21" s="3"/>
      <c r="AL21" s="3"/>
      <c r="AM21" s="3"/>
      <c r="AN21" s="3"/>
      <c r="AO21" s="3"/>
      <c r="AP21" s="3"/>
    </row>
    <row r="22" spans="1:42" ht="14.25" customHeight="1" x14ac:dyDescent="0.2">
      <c r="A22" s="118" t="s">
        <v>343</v>
      </c>
      <c r="B22" s="118" t="s">
        <v>344</v>
      </c>
      <c r="C22" s="118">
        <v>2025</v>
      </c>
      <c r="D22" s="118" t="s">
        <v>345</v>
      </c>
      <c r="E22" s="118" t="s">
        <v>347</v>
      </c>
      <c r="F22" s="118" t="s">
        <v>348</v>
      </c>
      <c r="G22" s="118" t="s">
        <v>350</v>
      </c>
      <c r="H22" s="118" t="s">
        <v>15</v>
      </c>
      <c r="I22" s="118" t="s">
        <v>253</v>
      </c>
      <c r="J22" s="118" t="s">
        <v>346</v>
      </c>
      <c r="K22" s="118" t="s">
        <v>349</v>
      </c>
      <c r="L22" s="118">
        <v>0</v>
      </c>
      <c r="M22" s="118">
        <v>0</v>
      </c>
      <c r="N22" s="13" t="s">
        <v>16</v>
      </c>
      <c r="O22" s="7"/>
      <c r="P22" s="42" t="s">
        <v>50</v>
      </c>
      <c r="Q22" s="117"/>
      <c r="R22" s="3"/>
      <c r="S22" s="3"/>
      <c r="T22" s="3"/>
      <c r="U22" s="3"/>
      <c r="V22" s="3"/>
      <c r="W22" s="3"/>
      <c r="X22" s="3"/>
      <c r="Y22" s="3"/>
      <c r="Z22" s="3"/>
      <c r="AA22" s="3"/>
      <c r="AB22" s="3"/>
      <c r="AC22" s="3"/>
      <c r="AD22" s="3"/>
      <c r="AE22" s="3"/>
      <c r="AF22" s="3"/>
      <c r="AG22" s="3"/>
      <c r="AH22" s="3"/>
      <c r="AI22" s="3"/>
      <c r="AJ22" s="3"/>
      <c r="AK22" s="3"/>
      <c r="AL22" s="3"/>
      <c r="AM22" s="3"/>
      <c r="AN22" s="3"/>
      <c r="AO22" s="3"/>
      <c r="AP22" s="3"/>
    </row>
    <row r="23" spans="1:42" ht="14.25" customHeight="1" x14ac:dyDescent="0.2">
      <c r="A23" s="118" t="s">
        <v>724</v>
      </c>
      <c r="B23" s="118" t="s">
        <v>725</v>
      </c>
      <c r="C23" s="118">
        <v>2022</v>
      </c>
      <c r="D23" s="118" t="s">
        <v>394</v>
      </c>
      <c r="E23" s="118" t="s">
        <v>727</v>
      </c>
      <c r="F23" s="118" t="s">
        <v>728</v>
      </c>
      <c r="G23" s="118" t="s">
        <v>274</v>
      </c>
      <c r="H23" s="118" t="s">
        <v>15</v>
      </c>
      <c r="I23" s="118" t="s">
        <v>253</v>
      </c>
      <c r="J23" s="118" t="s">
        <v>726</v>
      </c>
      <c r="K23" s="118" t="s">
        <v>729</v>
      </c>
      <c r="L23" s="118">
        <v>0</v>
      </c>
      <c r="M23" s="118">
        <v>0</v>
      </c>
      <c r="N23" s="13" t="s">
        <v>16</v>
      </c>
      <c r="O23" s="7"/>
      <c r="P23" s="42" t="s">
        <v>50</v>
      </c>
      <c r="Q23" s="116"/>
      <c r="R23" s="3"/>
      <c r="S23" s="3"/>
      <c r="T23" s="3"/>
      <c r="U23" s="3"/>
      <c r="V23" s="3"/>
      <c r="W23" s="3"/>
      <c r="X23" s="3"/>
      <c r="Y23" s="3"/>
      <c r="Z23" s="3"/>
      <c r="AA23" s="3"/>
      <c r="AB23" s="3"/>
      <c r="AC23" s="3"/>
      <c r="AD23" s="3"/>
      <c r="AE23" s="3"/>
      <c r="AF23" s="3"/>
      <c r="AG23" s="3"/>
      <c r="AH23" s="3"/>
      <c r="AI23" s="3"/>
      <c r="AJ23" s="3"/>
      <c r="AK23" s="3"/>
      <c r="AL23" s="3"/>
      <c r="AM23" s="3"/>
      <c r="AN23" s="3"/>
      <c r="AO23" s="3"/>
      <c r="AP23" s="3"/>
    </row>
    <row r="24" spans="1:42" ht="14.25" customHeight="1" x14ac:dyDescent="0.2">
      <c r="A24" s="118" t="s">
        <v>1463</v>
      </c>
      <c r="B24" s="118" t="s">
        <v>1464</v>
      </c>
      <c r="C24" s="118">
        <v>2022</v>
      </c>
      <c r="D24" s="118" t="s">
        <v>297</v>
      </c>
      <c r="E24" s="118" t="s">
        <v>1466</v>
      </c>
      <c r="F24" s="118" t="s">
        <v>1467</v>
      </c>
      <c r="G24" s="118" t="s">
        <v>586</v>
      </c>
      <c r="H24" s="118" t="s">
        <v>15</v>
      </c>
      <c r="I24" s="118" t="s">
        <v>253</v>
      </c>
      <c r="J24" s="118" t="s">
        <v>1465</v>
      </c>
      <c r="K24" s="118" t="s">
        <v>1468</v>
      </c>
      <c r="L24" s="118">
        <v>0</v>
      </c>
      <c r="M24" s="118">
        <v>0</v>
      </c>
      <c r="N24" s="13" t="s">
        <v>16</v>
      </c>
      <c r="O24" s="7"/>
      <c r="P24" s="42" t="s">
        <v>50</v>
      </c>
      <c r="Q24" s="117"/>
      <c r="R24" s="3"/>
      <c r="S24" s="3"/>
      <c r="T24" s="3"/>
      <c r="U24" s="3"/>
      <c r="V24" s="3"/>
      <c r="W24" s="3"/>
      <c r="X24" s="3"/>
      <c r="Y24" s="3"/>
      <c r="Z24" s="3"/>
      <c r="AA24" s="3"/>
      <c r="AB24" s="3"/>
      <c r="AC24" s="3"/>
      <c r="AD24" s="3"/>
      <c r="AE24" s="3"/>
      <c r="AF24" s="3"/>
      <c r="AG24" s="3"/>
      <c r="AH24" s="3"/>
      <c r="AI24" s="3"/>
      <c r="AJ24" s="3"/>
      <c r="AK24" s="3"/>
      <c r="AL24" s="3"/>
      <c r="AM24" s="3"/>
      <c r="AN24" s="3"/>
      <c r="AO24" s="3"/>
      <c r="AP24" s="3"/>
    </row>
    <row r="25" spans="1:42" ht="14.25" customHeight="1" x14ac:dyDescent="0.2">
      <c r="A25" s="118" t="s">
        <v>736</v>
      </c>
      <c r="B25" s="118" t="s">
        <v>737</v>
      </c>
      <c r="C25" s="118">
        <v>2023</v>
      </c>
      <c r="D25" s="118" t="s">
        <v>738</v>
      </c>
      <c r="E25" s="118" t="s">
        <v>740</v>
      </c>
      <c r="F25" s="118" t="s">
        <v>741</v>
      </c>
      <c r="G25" s="118" t="s">
        <v>743</v>
      </c>
      <c r="H25" s="118" t="s">
        <v>15</v>
      </c>
      <c r="I25" s="118" t="s">
        <v>253</v>
      </c>
      <c r="J25" s="118" t="s">
        <v>739</v>
      </c>
      <c r="K25" s="118" t="s">
        <v>742</v>
      </c>
      <c r="L25" s="118">
        <v>0</v>
      </c>
      <c r="M25" s="118">
        <v>0</v>
      </c>
      <c r="N25" s="13" t="s">
        <v>16</v>
      </c>
      <c r="O25" s="7"/>
      <c r="P25" s="42" t="s">
        <v>50</v>
      </c>
      <c r="Q25" s="116"/>
      <c r="R25" s="3"/>
      <c r="S25" s="3"/>
      <c r="T25" s="3"/>
      <c r="U25" s="3"/>
      <c r="V25" s="3"/>
      <c r="W25" s="3"/>
      <c r="X25" s="3"/>
      <c r="Y25" s="3"/>
      <c r="Z25" s="3"/>
      <c r="AA25" s="3"/>
      <c r="AB25" s="3"/>
      <c r="AC25" s="3"/>
      <c r="AD25" s="3"/>
      <c r="AE25" s="3"/>
      <c r="AF25" s="3"/>
      <c r="AG25" s="3"/>
      <c r="AH25" s="3"/>
      <c r="AI25" s="3"/>
      <c r="AJ25" s="3"/>
      <c r="AK25" s="3"/>
      <c r="AL25" s="3"/>
      <c r="AM25" s="3"/>
      <c r="AN25" s="3"/>
      <c r="AO25" s="3"/>
      <c r="AP25" s="3"/>
    </row>
    <row r="26" spans="1:42" ht="14.25" customHeight="1" x14ac:dyDescent="0.2">
      <c r="A26" s="118" t="s">
        <v>750</v>
      </c>
      <c r="B26" s="118" t="s">
        <v>751</v>
      </c>
      <c r="C26" s="118">
        <v>2024</v>
      </c>
      <c r="D26" s="118" t="s">
        <v>394</v>
      </c>
      <c r="E26" s="118" t="s">
        <v>753</v>
      </c>
      <c r="F26" s="118" t="s">
        <v>754</v>
      </c>
      <c r="G26" s="118" t="s">
        <v>274</v>
      </c>
      <c r="H26" s="118" t="s">
        <v>15</v>
      </c>
      <c r="I26" s="118" t="s">
        <v>253</v>
      </c>
      <c r="J26" s="118" t="s">
        <v>752</v>
      </c>
      <c r="K26" s="118" t="s">
        <v>755</v>
      </c>
      <c r="L26" s="118">
        <v>0</v>
      </c>
      <c r="M26" s="118">
        <v>0</v>
      </c>
      <c r="N26" s="13" t="s">
        <v>16</v>
      </c>
      <c r="O26" s="7"/>
      <c r="P26" s="42" t="s">
        <v>50</v>
      </c>
      <c r="Q26" s="117"/>
      <c r="R26" s="3"/>
      <c r="S26" s="3"/>
      <c r="T26" s="3"/>
      <c r="U26" s="3"/>
      <c r="V26" s="3"/>
      <c r="W26" s="3"/>
      <c r="X26" s="3"/>
      <c r="Y26" s="3"/>
      <c r="Z26" s="3"/>
      <c r="AA26" s="3"/>
      <c r="AB26" s="3"/>
      <c r="AC26" s="3"/>
      <c r="AD26" s="3"/>
      <c r="AE26" s="3"/>
      <c r="AF26" s="3"/>
      <c r="AG26" s="3"/>
      <c r="AH26" s="3"/>
      <c r="AI26" s="3"/>
      <c r="AJ26" s="3"/>
      <c r="AK26" s="3"/>
      <c r="AL26" s="3"/>
      <c r="AM26" s="3"/>
      <c r="AN26" s="3"/>
      <c r="AO26" s="3"/>
      <c r="AP26" s="3"/>
    </row>
    <row r="27" spans="1:42" ht="14.25" customHeight="1" x14ac:dyDescent="0.2">
      <c r="A27" s="118" t="s">
        <v>363</v>
      </c>
      <c r="B27" s="118" t="s">
        <v>364</v>
      </c>
      <c r="C27" s="118">
        <v>2025</v>
      </c>
      <c r="D27" s="118" t="s">
        <v>277</v>
      </c>
      <c r="E27" s="118" t="s">
        <v>366</v>
      </c>
      <c r="F27" s="118" t="s">
        <v>367</v>
      </c>
      <c r="G27" s="118" t="s">
        <v>282</v>
      </c>
      <c r="H27" s="118" t="s">
        <v>15</v>
      </c>
      <c r="I27" s="118" t="s">
        <v>253</v>
      </c>
      <c r="J27" s="118" t="s">
        <v>365</v>
      </c>
      <c r="K27" s="118" t="s">
        <v>368</v>
      </c>
      <c r="L27" s="118">
        <v>0</v>
      </c>
      <c r="M27" s="118">
        <v>0</v>
      </c>
      <c r="N27" s="13" t="s">
        <v>16</v>
      </c>
      <c r="O27" s="7"/>
      <c r="P27" s="42" t="s">
        <v>50</v>
      </c>
      <c r="Q27" s="116"/>
      <c r="R27" s="3"/>
      <c r="S27" s="3"/>
      <c r="T27" s="3"/>
      <c r="U27" s="3"/>
      <c r="V27" s="3"/>
      <c r="W27" s="3"/>
      <c r="X27" s="3"/>
      <c r="Y27" s="3"/>
      <c r="Z27" s="3"/>
      <c r="AA27" s="3"/>
      <c r="AB27" s="3"/>
      <c r="AC27" s="3"/>
      <c r="AD27" s="3"/>
      <c r="AE27" s="3"/>
      <c r="AF27" s="3"/>
      <c r="AG27" s="3"/>
      <c r="AH27" s="3"/>
      <c r="AI27" s="3"/>
      <c r="AJ27" s="3"/>
      <c r="AK27" s="3"/>
      <c r="AL27" s="3"/>
      <c r="AM27" s="3"/>
      <c r="AN27" s="3"/>
      <c r="AO27" s="3"/>
      <c r="AP27" s="3"/>
    </row>
    <row r="28" spans="1:42" ht="14.25" customHeight="1" x14ac:dyDescent="0.2">
      <c r="A28" s="118" t="s">
        <v>1122</v>
      </c>
      <c r="B28" s="118" t="s">
        <v>1123</v>
      </c>
      <c r="C28" s="118">
        <v>2026</v>
      </c>
      <c r="D28" s="118" t="s">
        <v>1124</v>
      </c>
      <c r="E28" s="118" t="s">
        <v>1126</v>
      </c>
      <c r="F28" s="118" t="s">
        <v>1127</v>
      </c>
      <c r="G28" s="118" t="s">
        <v>260</v>
      </c>
      <c r="H28" s="118" t="s">
        <v>15</v>
      </c>
      <c r="I28" s="118" t="s">
        <v>253</v>
      </c>
      <c r="J28" s="118" t="s">
        <v>1125</v>
      </c>
      <c r="K28" s="118" t="s">
        <v>1128</v>
      </c>
      <c r="L28" s="118">
        <v>0</v>
      </c>
      <c r="M28" s="118">
        <v>0</v>
      </c>
      <c r="N28" s="13" t="s">
        <v>16</v>
      </c>
      <c r="O28" s="7"/>
      <c r="P28" s="42" t="s">
        <v>50</v>
      </c>
      <c r="Q28" s="117"/>
      <c r="R28" s="3"/>
      <c r="S28" s="3"/>
      <c r="T28" s="3"/>
      <c r="U28" s="3"/>
      <c r="V28" s="3"/>
      <c r="W28" s="3"/>
      <c r="X28" s="3"/>
      <c r="Y28" s="3"/>
      <c r="Z28" s="3"/>
      <c r="AA28" s="3"/>
      <c r="AB28" s="3"/>
      <c r="AC28" s="3"/>
      <c r="AD28" s="3"/>
      <c r="AE28" s="3"/>
      <c r="AF28" s="3"/>
      <c r="AG28" s="3"/>
      <c r="AH28" s="3"/>
      <c r="AI28" s="3"/>
      <c r="AJ28" s="3"/>
      <c r="AK28" s="3"/>
      <c r="AL28" s="3"/>
      <c r="AM28" s="3"/>
      <c r="AN28" s="3"/>
      <c r="AO28" s="3"/>
      <c r="AP28" s="3"/>
    </row>
    <row r="29" spans="1:42" ht="14.25" customHeight="1" x14ac:dyDescent="0.2">
      <c r="A29" s="118" t="s">
        <v>369</v>
      </c>
      <c r="B29" s="118" t="s">
        <v>370</v>
      </c>
      <c r="C29" s="118">
        <v>2022</v>
      </c>
      <c r="D29" s="118" t="s">
        <v>371</v>
      </c>
      <c r="E29" s="118" t="s">
        <v>373</v>
      </c>
      <c r="F29" s="118" t="s">
        <v>374</v>
      </c>
      <c r="G29" s="118" t="s">
        <v>376</v>
      </c>
      <c r="H29" s="118" t="s">
        <v>15</v>
      </c>
      <c r="I29" s="118" t="s">
        <v>253</v>
      </c>
      <c r="J29" s="118" t="s">
        <v>372</v>
      </c>
      <c r="K29" s="118" t="s">
        <v>375</v>
      </c>
      <c r="L29" s="118">
        <v>0</v>
      </c>
      <c r="M29" s="118">
        <v>0</v>
      </c>
      <c r="N29" s="13" t="s">
        <v>16</v>
      </c>
      <c r="O29" s="7"/>
      <c r="P29" s="42" t="s">
        <v>50</v>
      </c>
      <c r="Q29" s="116"/>
      <c r="R29" s="3"/>
      <c r="S29" s="3"/>
      <c r="T29" s="3"/>
      <c r="U29" s="3"/>
      <c r="V29" s="3"/>
      <c r="W29" s="3"/>
      <c r="X29" s="3"/>
      <c r="Y29" s="3"/>
      <c r="Z29" s="3"/>
      <c r="AA29" s="3"/>
      <c r="AB29" s="3"/>
      <c r="AC29" s="3"/>
      <c r="AD29" s="3"/>
      <c r="AE29" s="3"/>
      <c r="AF29" s="3"/>
      <c r="AG29" s="3"/>
      <c r="AH29" s="3"/>
      <c r="AI29" s="3"/>
      <c r="AJ29" s="3"/>
      <c r="AK29" s="3"/>
      <c r="AL29" s="3"/>
      <c r="AM29" s="3"/>
      <c r="AN29" s="3"/>
      <c r="AO29" s="3"/>
      <c r="AP29" s="3"/>
    </row>
    <row r="30" spans="1:42" ht="14.25" customHeight="1" x14ac:dyDescent="0.2">
      <c r="A30" s="118" t="s">
        <v>1771</v>
      </c>
      <c r="B30" s="118" t="s">
        <v>1772</v>
      </c>
      <c r="C30" s="118">
        <v>2021</v>
      </c>
      <c r="D30" s="118" t="s">
        <v>1773</v>
      </c>
      <c r="E30" s="118" t="s">
        <v>1775</v>
      </c>
      <c r="F30" s="118" t="s">
        <v>1776</v>
      </c>
      <c r="G30" s="118" t="s">
        <v>1778</v>
      </c>
      <c r="H30" s="118" t="s">
        <v>15</v>
      </c>
      <c r="I30" s="118" t="s">
        <v>253</v>
      </c>
      <c r="J30" s="118" t="s">
        <v>1774</v>
      </c>
      <c r="K30" s="118" t="s">
        <v>1777</v>
      </c>
      <c r="L30" s="118">
        <v>0</v>
      </c>
      <c r="M30" s="118">
        <v>0</v>
      </c>
      <c r="N30" s="13" t="s">
        <v>16</v>
      </c>
      <c r="O30" s="7"/>
      <c r="P30" s="42" t="s">
        <v>50</v>
      </c>
      <c r="Q30" s="117"/>
      <c r="R30" s="3"/>
      <c r="S30" s="3"/>
      <c r="T30" s="3"/>
      <c r="U30" s="3"/>
      <c r="V30" s="3"/>
      <c r="W30" s="3"/>
      <c r="X30" s="3"/>
      <c r="Y30" s="3"/>
      <c r="Z30" s="3"/>
      <c r="AA30" s="3"/>
      <c r="AB30" s="3"/>
      <c r="AC30" s="3"/>
      <c r="AD30" s="3"/>
      <c r="AE30" s="3"/>
      <c r="AF30" s="3"/>
      <c r="AG30" s="3"/>
      <c r="AH30" s="3"/>
      <c r="AI30" s="3"/>
      <c r="AJ30" s="3"/>
      <c r="AK30" s="3"/>
      <c r="AL30" s="3"/>
      <c r="AM30" s="3"/>
      <c r="AN30" s="3"/>
      <c r="AO30" s="3"/>
      <c r="AP30" s="3"/>
    </row>
    <row r="31" spans="1:42" ht="14.25" customHeight="1" x14ac:dyDescent="0.2">
      <c r="A31" s="118" t="s">
        <v>1140</v>
      </c>
      <c r="B31" s="118" t="s">
        <v>1141</v>
      </c>
      <c r="C31" s="118">
        <v>2022</v>
      </c>
      <c r="D31" s="118" t="s">
        <v>1142</v>
      </c>
      <c r="E31" s="118" t="s">
        <v>1144</v>
      </c>
      <c r="F31" s="118" t="s">
        <v>1145</v>
      </c>
      <c r="G31" s="118" t="s">
        <v>238</v>
      </c>
      <c r="H31" s="118" t="s">
        <v>15</v>
      </c>
      <c r="I31" s="118" t="s">
        <v>253</v>
      </c>
      <c r="J31" s="118" t="s">
        <v>1143</v>
      </c>
      <c r="K31" s="118" t="s">
        <v>1146</v>
      </c>
      <c r="L31" s="118">
        <v>0</v>
      </c>
      <c r="M31" s="118">
        <v>0</v>
      </c>
      <c r="N31" s="13" t="s">
        <v>16</v>
      </c>
      <c r="O31" s="7"/>
      <c r="P31" s="42" t="s">
        <v>50</v>
      </c>
      <c r="Q31" s="116"/>
      <c r="R31" s="3"/>
      <c r="S31" s="3"/>
      <c r="T31" s="3"/>
      <c r="U31" s="3"/>
      <c r="V31" s="3"/>
      <c r="W31" s="3"/>
      <c r="X31" s="3"/>
      <c r="Y31" s="3"/>
      <c r="Z31" s="3"/>
      <c r="AA31" s="3"/>
      <c r="AB31" s="3"/>
      <c r="AC31" s="3"/>
      <c r="AD31" s="3"/>
      <c r="AE31" s="3"/>
      <c r="AF31" s="3"/>
      <c r="AG31" s="3"/>
      <c r="AH31" s="3"/>
      <c r="AI31" s="3"/>
      <c r="AJ31" s="3"/>
      <c r="AK31" s="3"/>
      <c r="AL31" s="3"/>
      <c r="AM31" s="3"/>
      <c r="AN31" s="3"/>
      <c r="AO31" s="3"/>
      <c r="AP31" s="3"/>
    </row>
    <row r="32" spans="1:42" ht="14.25" customHeight="1" x14ac:dyDescent="0.2">
      <c r="A32" s="118" t="s">
        <v>796</v>
      </c>
      <c r="B32" s="118" t="s">
        <v>797</v>
      </c>
      <c r="C32" s="118">
        <v>2025</v>
      </c>
      <c r="D32" s="118" t="s">
        <v>798</v>
      </c>
      <c r="E32" s="118" t="s">
        <v>800</v>
      </c>
      <c r="F32" s="118" t="s">
        <v>801</v>
      </c>
      <c r="G32" s="118" t="s">
        <v>803</v>
      </c>
      <c r="H32" s="118" t="s">
        <v>15</v>
      </c>
      <c r="I32" s="118" t="s">
        <v>253</v>
      </c>
      <c r="J32" s="118" t="s">
        <v>799</v>
      </c>
      <c r="K32" s="118" t="s">
        <v>802</v>
      </c>
      <c r="L32" s="118">
        <v>0</v>
      </c>
      <c r="M32" s="118">
        <v>0</v>
      </c>
      <c r="N32" s="13" t="s">
        <v>16</v>
      </c>
      <c r="O32" s="7"/>
      <c r="P32" s="42" t="s">
        <v>50</v>
      </c>
      <c r="Q32" s="117"/>
      <c r="R32" s="3"/>
      <c r="S32" s="3"/>
      <c r="T32" s="3"/>
      <c r="U32" s="3"/>
      <c r="V32" s="3"/>
      <c r="W32" s="3"/>
      <c r="X32" s="3"/>
      <c r="Y32" s="3"/>
      <c r="Z32" s="3"/>
      <c r="AA32" s="3"/>
      <c r="AB32" s="3"/>
      <c r="AC32" s="3"/>
      <c r="AD32" s="3"/>
      <c r="AE32" s="3"/>
      <c r="AF32" s="3"/>
      <c r="AG32" s="3"/>
      <c r="AH32" s="3"/>
      <c r="AI32" s="3"/>
      <c r="AJ32" s="3"/>
      <c r="AK32" s="3"/>
      <c r="AL32" s="3"/>
      <c r="AM32" s="3"/>
      <c r="AN32" s="3"/>
      <c r="AO32" s="3"/>
      <c r="AP32" s="3"/>
    </row>
    <row r="33" spans="1:42" ht="14.25" customHeight="1" x14ac:dyDescent="0.2">
      <c r="A33" s="118" t="s">
        <v>811</v>
      </c>
      <c r="B33" s="118" t="s">
        <v>812</v>
      </c>
      <c r="C33" s="118">
        <v>2024</v>
      </c>
      <c r="D33" s="118" t="s">
        <v>460</v>
      </c>
      <c r="E33" s="118" t="s">
        <v>814</v>
      </c>
      <c r="F33" s="118" t="s">
        <v>815</v>
      </c>
      <c r="G33" s="118" t="s">
        <v>465</v>
      </c>
      <c r="H33" s="118" t="s">
        <v>15</v>
      </c>
      <c r="I33" s="118" t="s">
        <v>253</v>
      </c>
      <c r="J33" s="118" t="s">
        <v>813</v>
      </c>
      <c r="K33" s="118" t="s">
        <v>816</v>
      </c>
      <c r="L33" s="118">
        <v>0</v>
      </c>
      <c r="M33" s="118">
        <v>0</v>
      </c>
      <c r="N33" s="13" t="s">
        <v>16</v>
      </c>
      <c r="O33" s="4"/>
      <c r="P33" s="42" t="s">
        <v>50</v>
      </c>
      <c r="Q33" s="117"/>
      <c r="R33" s="3"/>
      <c r="S33" s="3"/>
      <c r="T33" s="3"/>
      <c r="U33" s="3"/>
      <c r="V33" s="3"/>
      <c r="W33" s="3"/>
      <c r="X33" s="3"/>
      <c r="Y33" s="3"/>
      <c r="Z33" s="3"/>
      <c r="AA33" s="3"/>
      <c r="AB33" s="3"/>
      <c r="AC33" s="3"/>
      <c r="AD33" s="3"/>
      <c r="AE33" s="3"/>
      <c r="AF33" s="3"/>
      <c r="AG33" s="3"/>
      <c r="AH33" s="3"/>
      <c r="AI33" s="3"/>
      <c r="AJ33" s="3"/>
      <c r="AK33" s="3"/>
      <c r="AL33" s="3"/>
      <c r="AM33" s="3"/>
      <c r="AN33" s="3"/>
      <c r="AO33" s="3"/>
      <c r="AP33" s="3"/>
    </row>
    <row r="34" spans="1:42" ht="14.25" customHeight="1" x14ac:dyDescent="0.2">
      <c r="A34" s="118" t="s">
        <v>1147</v>
      </c>
      <c r="B34" s="118" t="s">
        <v>1148</v>
      </c>
      <c r="C34" s="118">
        <v>2021</v>
      </c>
      <c r="D34" s="118" t="s">
        <v>1149</v>
      </c>
      <c r="E34" s="118" t="s">
        <v>1151</v>
      </c>
      <c r="F34" s="118" t="s">
        <v>1152</v>
      </c>
      <c r="G34" s="118" t="s">
        <v>274</v>
      </c>
      <c r="H34" s="118" t="s">
        <v>15</v>
      </c>
      <c r="I34" s="118" t="s">
        <v>253</v>
      </c>
      <c r="J34" s="118" t="s">
        <v>1150</v>
      </c>
      <c r="K34" s="118" t="s">
        <v>1153</v>
      </c>
      <c r="L34" s="118">
        <v>0</v>
      </c>
      <c r="M34" s="118">
        <v>0</v>
      </c>
      <c r="N34" s="13" t="s">
        <v>16</v>
      </c>
      <c r="O34" s="7"/>
      <c r="P34" s="42" t="s">
        <v>50</v>
      </c>
      <c r="Q34" s="116"/>
      <c r="R34" s="3"/>
      <c r="S34" s="3"/>
      <c r="T34" s="3"/>
      <c r="U34" s="3"/>
      <c r="V34" s="3"/>
      <c r="W34" s="3"/>
      <c r="X34" s="3"/>
      <c r="Y34" s="3"/>
      <c r="Z34" s="3"/>
      <c r="AA34" s="3"/>
      <c r="AB34" s="3"/>
      <c r="AC34" s="3"/>
      <c r="AD34" s="3"/>
      <c r="AE34" s="3"/>
      <c r="AF34" s="3"/>
      <c r="AG34" s="3"/>
      <c r="AH34" s="3"/>
      <c r="AI34" s="3"/>
      <c r="AJ34" s="3"/>
      <c r="AK34" s="3"/>
      <c r="AL34" s="3"/>
      <c r="AM34" s="3"/>
      <c r="AN34" s="3"/>
      <c r="AO34" s="3"/>
      <c r="AP34" s="3"/>
    </row>
    <row r="35" spans="1:42" ht="14.25" customHeight="1" x14ac:dyDescent="0.2">
      <c r="A35" s="118" t="s">
        <v>1779</v>
      </c>
      <c r="B35" s="118" t="s">
        <v>1780</v>
      </c>
      <c r="C35" s="118">
        <v>2020</v>
      </c>
      <c r="D35" s="118" t="s">
        <v>1781</v>
      </c>
      <c r="E35" s="118" t="s">
        <v>1782</v>
      </c>
      <c r="F35" s="118" t="s">
        <v>1783</v>
      </c>
      <c r="G35" s="118" t="s">
        <v>1784</v>
      </c>
      <c r="H35" s="118" t="s">
        <v>15</v>
      </c>
      <c r="I35" s="118" t="s">
        <v>253</v>
      </c>
      <c r="J35" s="118">
        <v>0</v>
      </c>
      <c r="K35" s="118">
        <v>0</v>
      </c>
      <c r="L35" s="118">
        <v>0</v>
      </c>
      <c r="M35" s="118">
        <v>0</v>
      </c>
      <c r="N35" s="13" t="s">
        <v>16</v>
      </c>
      <c r="O35" s="7"/>
      <c r="P35" s="42" t="s">
        <v>50</v>
      </c>
      <c r="Q35" s="117"/>
      <c r="R35" s="3"/>
      <c r="S35" s="3"/>
      <c r="T35" s="3"/>
      <c r="U35" s="3"/>
      <c r="V35" s="3"/>
      <c r="W35" s="3"/>
      <c r="X35" s="3"/>
      <c r="Y35" s="3"/>
      <c r="Z35" s="3"/>
      <c r="AA35" s="3"/>
      <c r="AB35" s="3"/>
      <c r="AC35" s="3"/>
      <c r="AD35" s="3"/>
      <c r="AE35" s="3"/>
      <c r="AF35" s="3"/>
      <c r="AG35" s="3"/>
      <c r="AH35" s="3"/>
      <c r="AI35" s="3"/>
      <c r="AJ35" s="3"/>
      <c r="AK35" s="3"/>
      <c r="AL35" s="3"/>
      <c r="AM35" s="3"/>
      <c r="AN35" s="3"/>
      <c r="AO35" s="3"/>
      <c r="AP35" s="3"/>
    </row>
    <row r="36" spans="1:42" ht="14.25" customHeight="1" x14ac:dyDescent="0.2">
      <c r="A36" s="118" t="s">
        <v>383</v>
      </c>
      <c r="B36" s="118" t="s">
        <v>384</v>
      </c>
      <c r="C36" s="118">
        <v>2024</v>
      </c>
      <c r="D36" s="118" t="s">
        <v>385</v>
      </c>
      <c r="E36" s="118" t="s">
        <v>387</v>
      </c>
      <c r="F36" s="118" t="s">
        <v>388</v>
      </c>
      <c r="G36" s="118" t="s">
        <v>282</v>
      </c>
      <c r="H36" s="118" t="s">
        <v>15</v>
      </c>
      <c r="I36" s="118" t="s">
        <v>253</v>
      </c>
      <c r="J36" s="118" t="s">
        <v>386</v>
      </c>
      <c r="K36" s="118" t="s">
        <v>389</v>
      </c>
      <c r="L36" s="118">
        <v>0</v>
      </c>
      <c r="M36" s="118">
        <v>0</v>
      </c>
      <c r="N36" s="13" t="s">
        <v>16</v>
      </c>
      <c r="O36" s="7"/>
      <c r="P36" s="42" t="s">
        <v>50</v>
      </c>
      <c r="Q36" s="116"/>
      <c r="R36" s="3"/>
      <c r="S36" s="3"/>
      <c r="T36" s="3"/>
      <c r="U36" s="3"/>
      <c r="V36" s="3"/>
      <c r="W36" s="3"/>
      <c r="X36" s="3"/>
      <c r="Y36" s="3"/>
      <c r="Z36" s="3"/>
      <c r="AA36" s="3"/>
      <c r="AB36" s="3"/>
      <c r="AC36" s="3"/>
      <c r="AD36" s="3"/>
      <c r="AE36" s="3"/>
      <c r="AF36" s="3"/>
      <c r="AG36" s="3"/>
      <c r="AH36" s="3"/>
      <c r="AI36" s="3"/>
      <c r="AJ36" s="3"/>
      <c r="AK36" s="3"/>
      <c r="AL36" s="3"/>
      <c r="AM36" s="3"/>
      <c r="AN36" s="3"/>
      <c r="AO36" s="3"/>
      <c r="AP36" s="3"/>
    </row>
    <row r="37" spans="1:42" ht="14.25" customHeight="1" x14ac:dyDescent="0.2">
      <c r="A37" s="118" t="s">
        <v>1499</v>
      </c>
      <c r="B37" s="118" t="s">
        <v>1500</v>
      </c>
      <c r="C37" s="118">
        <v>2025</v>
      </c>
      <c r="D37" s="118" t="s">
        <v>1501</v>
      </c>
      <c r="E37" s="118" t="s">
        <v>1823</v>
      </c>
      <c r="F37" s="118" t="s">
        <v>1503</v>
      </c>
      <c r="G37" s="118" t="s">
        <v>987</v>
      </c>
      <c r="H37" s="118" t="s">
        <v>15</v>
      </c>
      <c r="I37" s="118" t="s">
        <v>253</v>
      </c>
      <c r="J37" s="118" t="s">
        <v>1502</v>
      </c>
      <c r="K37" s="118">
        <v>0</v>
      </c>
      <c r="L37" s="118">
        <v>0</v>
      </c>
      <c r="M37" s="118">
        <v>0</v>
      </c>
      <c r="N37" s="13" t="s">
        <v>16</v>
      </c>
      <c r="O37" s="7"/>
      <c r="P37" s="42" t="s">
        <v>50</v>
      </c>
      <c r="Q37" s="117"/>
      <c r="R37" s="3"/>
      <c r="S37" s="3"/>
      <c r="T37" s="3"/>
      <c r="U37" s="3"/>
      <c r="V37" s="3"/>
      <c r="W37" s="3"/>
      <c r="X37" s="3"/>
      <c r="Y37" s="3"/>
      <c r="Z37" s="3"/>
      <c r="AA37" s="3"/>
      <c r="AB37" s="3"/>
      <c r="AC37" s="3"/>
      <c r="AD37" s="3"/>
      <c r="AE37" s="3"/>
      <c r="AF37" s="3"/>
      <c r="AG37" s="3"/>
      <c r="AH37" s="3"/>
      <c r="AI37" s="3"/>
      <c r="AJ37" s="3"/>
      <c r="AK37" s="3"/>
      <c r="AL37" s="3"/>
      <c r="AM37" s="3"/>
      <c r="AN37" s="3"/>
      <c r="AO37" s="3"/>
      <c r="AP37" s="3"/>
    </row>
    <row r="38" spans="1:42" ht="14.25" customHeight="1" x14ac:dyDescent="0.2">
      <c r="A38" s="118" t="s">
        <v>392</v>
      </c>
      <c r="B38" s="118" t="s">
        <v>393</v>
      </c>
      <c r="C38" s="118">
        <v>2023</v>
      </c>
      <c r="D38" s="118" t="s">
        <v>394</v>
      </c>
      <c r="E38" s="118" t="s">
        <v>396</v>
      </c>
      <c r="F38" s="118" t="s">
        <v>397</v>
      </c>
      <c r="G38" s="118" t="s">
        <v>274</v>
      </c>
      <c r="H38" s="118" t="s">
        <v>15</v>
      </c>
      <c r="I38" s="118" t="s">
        <v>253</v>
      </c>
      <c r="J38" s="118" t="s">
        <v>395</v>
      </c>
      <c r="K38" s="118" t="s">
        <v>398</v>
      </c>
      <c r="L38" s="118">
        <v>0</v>
      </c>
      <c r="M38" s="118">
        <v>0</v>
      </c>
      <c r="N38" s="13" t="s">
        <v>16</v>
      </c>
      <c r="O38" s="4"/>
      <c r="P38" s="42" t="s">
        <v>50</v>
      </c>
      <c r="Q38" s="116"/>
      <c r="R38" s="3"/>
      <c r="S38" s="3"/>
      <c r="T38" s="3"/>
      <c r="U38" s="3"/>
      <c r="V38" s="3"/>
      <c r="W38" s="3"/>
      <c r="X38" s="3"/>
      <c r="Y38" s="3"/>
      <c r="Z38" s="3"/>
      <c r="AA38" s="3"/>
      <c r="AB38" s="3"/>
      <c r="AC38" s="3"/>
      <c r="AD38" s="3"/>
      <c r="AE38" s="3"/>
      <c r="AF38" s="3"/>
      <c r="AG38" s="3"/>
      <c r="AH38" s="3"/>
      <c r="AI38" s="3"/>
      <c r="AJ38" s="3"/>
      <c r="AK38" s="3"/>
      <c r="AL38" s="3"/>
      <c r="AM38" s="3"/>
      <c r="AN38" s="3"/>
      <c r="AO38" s="3"/>
      <c r="AP38" s="3"/>
    </row>
    <row r="39" spans="1:42" ht="14.25" customHeight="1" x14ac:dyDescent="0.2">
      <c r="A39" s="118" t="s">
        <v>824</v>
      </c>
      <c r="B39" s="118" t="s">
        <v>825</v>
      </c>
      <c r="C39" s="118">
        <v>2025</v>
      </c>
      <c r="D39" s="118" t="s">
        <v>269</v>
      </c>
      <c r="E39" s="118" t="s">
        <v>827</v>
      </c>
      <c r="F39" s="118" t="s">
        <v>828</v>
      </c>
      <c r="G39" s="118" t="s">
        <v>274</v>
      </c>
      <c r="H39" s="118" t="s">
        <v>15</v>
      </c>
      <c r="I39" s="118" t="s">
        <v>253</v>
      </c>
      <c r="J39" s="118" t="s">
        <v>826</v>
      </c>
      <c r="K39" s="118" t="s">
        <v>829</v>
      </c>
      <c r="L39" s="118">
        <v>0</v>
      </c>
      <c r="M39" s="118">
        <v>0</v>
      </c>
      <c r="N39" s="13" t="s">
        <v>16</v>
      </c>
      <c r="O39" s="7"/>
      <c r="P39" s="42" t="s">
        <v>51</v>
      </c>
      <c r="Q39" s="117"/>
      <c r="R39" s="3"/>
      <c r="S39" s="3"/>
      <c r="T39" s="3"/>
      <c r="U39" s="3"/>
      <c r="V39" s="3"/>
      <c r="W39" s="3"/>
      <c r="X39" s="3"/>
      <c r="Y39" s="3"/>
      <c r="Z39" s="3"/>
      <c r="AA39" s="3"/>
      <c r="AB39" s="3"/>
      <c r="AC39" s="3"/>
      <c r="AD39" s="3"/>
      <c r="AE39" s="3"/>
      <c r="AF39" s="3"/>
      <c r="AG39" s="3"/>
      <c r="AH39" s="3"/>
      <c r="AI39" s="3"/>
      <c r="AJ39" s="3"/>
      <c r="AK39" s="3"/>
      <c r="AL39" s="3"/>
      <c r="AM39" s="3"/>
      <c r="AN39" s="3"/>
      <c r="AO39" s="3"/>
      <c r="AP39" s="3"/>
    </row>
    <row r="40" spans="1:42" ht="14.25" customHeight="1" x14ac:dyDescent="0.2">
      <c r="A40" s="118" t="s">
        <v>399</v>
      </c>
      <c r="B40" s="118" t="s">
        <v>400</v>
      </c>
      <c r="C40" s="118">
        <v>2025</v>
      </c>
      <c r="D40" s="118" t="s">
        <v>331</v>
      </c>
      <c r="E40" s="118" t="s">
        <v>402</v>
      </c>
      <c r="F40" s="118" t="s">
        <v>403</v>
      </c>
      <c r="G40" s="118" t="s">
        <v>336</v>
      </c>
      <c r="H40" s="118" t="s">
        <v>15</v>
      </c>
      <c r="I40" s="118" t="s">
        <v>253</v>
      </c>
      <c r="J40" s="118" t="s">
        <v>401</v>
      </c>
      <c r="K40" s="118" t="s">
        <v>404</v>
      </c>
      <c r="L40" s="118">
        <v>0</v>
      </c>
      <c r="M40" s="118">
        <v>0</v>
      </c>
      <c r="N40" s="13" t="s">
        <v>16</v>
      </c>
      <c r="O40" s="7"/>
      <c r="P40" s="42" t="s">
        <v>50</v>
      </c>
      <c r="Q40" s="116"/>
      <c r="R40" s="3"/>
      <c r="S40" s="3"/>
      <c r="T40" s="3"/>
      <c r="U40" s="3"/>
      <c r="V40" s="3"/>
      <c r="W40" s="3"/>
      <c r="X40" s="3"/>
      <c r="Y40" s="3"/>
      <c r="Z40" s="3"/>
      <c r="AA40" s="3"/>
      <c r="AB40" s="3"/>
      <c r="AC40" s="3"/>
      <c r="AD40" s="3"/>
      <c r="AE40" s="3"/>
      <c r="AF40" s="3"/>
      <c r="AG40" s="3"/>
      <c r="AH40" s="3"/>
      <c r="AI40" s="3"/>
      <c r="AJ40" s="3"/>
      <c r="AK40" s="3"/>
      <c r="AL40" s="3"/>
      <c r="AM40" s="3"/>
      <c r="AN40" s="3"/>
      <c r="AO40" s="3"/>
      <c r="AP40" s="3"/>
    </row>
    <row r="41" spans="1:42" ht="14.25" customHeight="1" x14ac:dyDescent="0.2">
      <c r="A41" s="118" t="s">
        <v>1516</v>
      </c>
      <c r="B41" s="118" t="s">
        <v>1517</v>
      </c>
      <c r="C41" s="118">
        <v>2023</v>
      </c>
      <c r="D41" s="118" t="s">
        <v>297</v>
      </c>
      <c r="E41" s="118" t="s">
        <v>1519</v>
      </c>
      <c r="F41" s="118" t="s">
        <v>1520</v>
      </c>
      <c r="G41" s="118" t="s">
        <v>282</v>
      </c>
      <c r="H41" s="118" t="s">
        <v>15</v>
      </c>
      <c r="I41" s="118" t="s">
        <v>253</v>
      </c>
      <c r="J41" s="118" t="s">
        <v>1518</v>
      </c>
      <c r="K41" s="118" t="s">
        <v>1521</v>
      </c>
      <c r="L41" s="118">
        <v>0</v>
      </c>
      <c r="M41" s="118">
        <v>0</v>
      </c>
      <c r="N41" s="13" t="s">
        <v>16</v>
      </c>
      <c r="O41" s="7"/>
      <c r="P41" s="42" t="s">
        <v>50</v>
      </c>
      <c r="Q41" s="117"/>
      <c r="R41" s="3"/>
      <c r="S41" s="3"/>
      <c r="T41" s="3"/>
      <c r="U41" s="3"/>
      <c r="V41" s="3"/>
      <c r="W41" s="3"/>
      <c r="X41" s="3"/>
      <c r="Y41" s="3"/>
      <c r="Z41" s="3"/>
      <c r="AA41" s="3"/>
      <c r="AB41" s="3"/>
      <c r="AC41" s="3"/>
      <c r="AD41" s="3"/>
      <c r="AE41" s="3"/>
      <c r="AF41" s="3"/>
      <c r="AG41" s="3"/>
      <c r="AH41" s="3"/>
      <c r="AI41" s="3"/>
      <c r="AJ41" s="3"/>
      <c r="AK41" s="3"/>
      <c r="AL41" s="3"/>
      <c r="AM41" s="3"/>
      <c r="AN41" s="3"/>
      <c r="AO41" s="3"/>
      <c r="AP41" s="3"/>
    </row>
    <row r="42" spans="1:42" ht="14.25" customHeight="1" x14ac:dyDescent="0.2">
      <c r="A42" s="118" t="s">
        <v>1785</v>
      </c>
      <c r="B42" s="118" t="s">
        <v>1824</v>
      </c>
      <c r="C42" s="118">
        <v>2021</v>
      </c>
      <c r="D42" s="118" t="s">
        <v>1786</v>
      </c>
      <c r="E42" s="118" t="s">
        <v>1788</v>
      </c>
      <c r="F42" s="118" t="s">
        <v>1789</v>
      </c>
      <c r="G42" s="118" t="s">
        <v>1791</v>
      </c>
      <c r="H42" s="118" t="s">
        <v>1792</v>
      </c>
      <c r="I42" s="118" t="s">
        <v>253</v>
      </c>
      <c r="J42" s="118" t="s">
        <v>1787</v>
      </c>
      <c r="K42" s="118" t="s">
        <v>1790</v>
      </c>
      <c r="L42" s="118">
        <v>0</v>
      </c>
      <c r="M42" s="118">
        <v>0</v>
      </c>
      <c r="N42" s="13" t="s">
        <v>16</v>
      </c>
      <c r="O42" s="7"/>
      <c r="P42" s="42" t="s">
        <v>50</v>
      </c>
      <c r="Q42" s="116"/>
      <c r="R42" s="3"/>
      <c r="S42" s="3"/>
      <c r="T42" s="3"/>
      <c r="U42" s="3"/>
      <c r="V42" s="3"/>
      <c r="W42" s="3"/>
      <c r="X42" s="3"/>
      <c r="Y42" s="3"/>
      <c r="Z42" s="3"/>
      <c r="AA42" s="3"/>
      <c r="AB42" s="3"/>
      <c r="AC42" s="3"/>
      <c r="AD42" s="3"/>
      <c r="AE42" s="3"/>
      <c r="AF42" s="3"/>
      <c r="AG42" s="3"/>
      <c r="AH42" s="3"/>
      <c r="AI42" s="3"/>
      <c r="AJ42" s="3"/>
      <c r="AK42" s="3"/>
      <c r="AL42" s="3"/>
      <c r="AM42" s="3"/>
      <c r="AN42" s="3"/>
      <c r="AO42" s="3"/>
      <c r="AP42" s="3"/>
    </row>
    <row r="43" spans="1:42" ht="14.25" customHeight="1" x14ac:dyDescent="0.2">
      <c r="A43" s="118" t="s">
        <v>1204</v>
      </c>
      <c r="B43" s="118" t="s">
        <v>1205</v>
      </c>
      <c r="C43" s="118">
        <v>2023</v>
      </c>
      <c r="D43" s="118" t="s">
        <v>1206</v>
      </c>
      <c r="E43" s="118" t="s">
        <v>1208</v>
      </c>
      <c r="F43" s="118" t="s">
        <v>1209</v>
      </c>
      <c r="G43" s="118" t="s">
        <v>1210</v>
      </c>
      <c r="H43" s="118" t="s">
        <v>1211</v>
      </c>
      <c r="I43" s="118" t="s">
        <v>253</v>
      </c>
      <c r="J43" s="118" t="s">
        <v>1207</v>
      </c>
      <c r="K43" s="118">
        <v>0</v>
      </c>
      <c r="L43" s="118">
        <v>0</v>
      </c>
      <c r="M43" s="118">
        <v>0</v>
      </c>
      <c r="N43" s="13" t="s">
        <v>16</v>
      </c>
      <c r="O43" s="7"/>
      <c r="P43" s="42" t="s">
        <v>50</v>
      </c>
      <c r="Q43" s="117"/>
      <c r="R43" s="3"/>
      <c r="S43" s="3"/>
      <c r="T43" s="3"/>
      <c r="U43" s="3"/>
      <c r="V43" s="3"/>
      <c r="W43" s="3"/>
      <c r="X43" s="3"/>
      <c r="Y43" s="3"/>
      <c r="Z43" s="3"/>
      <c r="AA43" s="3"/>
      <c r="AB43" s="3"/>
      <c r="AC43" s="3"/>
      <c r="AD43" s="3"/>
      <c r="AE43" s="3"/>
      <c r="AF43" s="3"/>
      <c r="AG43" s="3"/>
      <c r="AH43" s="3"/>
      <c r="AI43" s="3"/>
      <c r="AJ43" s="3"/>
      <c r="AK43" s="3"/>
      <c r="AL43" s="3"/>
      <c r="AM43" s="3"/>
      <c r="AN43" s="3"/>
      <c r="AO43" s="3"/>
      <c r="AP43" s="3"/>
    </row>
    <row r="44" spans="1:42" ht="14.25" customHeight="1" x14ac:dyDescent="0.2">
      <c r="A44" s="118" t="s">
        <v>1212</v>
      </c>
      <c r="B44" s="118" t="s">
        <v>1213</v>
      </c>
      <c r="C44" s="118">
        <v>2025</v>
      </c>
      <c r="D44" s="118" t="s">
        <v>277</v>
      </c>
      <c r="E44" s="118" t="s">
        <v>1215</v>
      </c>
      <c r="F44" s="118" t="s">
        <v>1216</v>
      </c>
      <c r="G44" s="118" t="s">
        <v>282</v>
      </c>
      <c r="H44" s="118" t="s">
        <v>15</v>
      </c>
      <c r="I44" s="118" t="s">
        <v>253</v>
      </c>
      <c r="J44" s="118" t="s">
        <v>1214</v>
      </c>
      <c r="K44" s="118" t="s">
        <v>1217</v>
      </c>
      <c r="L44" s="118">
        <v>0</v>
      </c>
      <c r="M44" s="118">
        <v>0</v>
      </c>
      <c r="N44" s="13" t="s">
        <v>16</v>
      </c>
      <c r="O44" s="7"/>
      <c r="P44" s="42" t="s">
        <v>50</v>
      </c>
      <c r="Q44" s="116"/>
      <c r="R44" s="3"/>
      <c r="S44" s="3"/>
      <c r="T44" s="3"/>
      <c r="U44" s="3"/>
      <c r="V44" s="3"/>
      <c r="W44" s="3"/>
      <c r="X44" s="3"/>
      <c r="Y44" s="3"/>
      <c r="Z44" s="3"/>
      <c r="AA44" s="3"/>
      <c r="AB44" s="3"/>
      <c r="AC44" s="3"/>
      <c r="AD44" s="3"/>
      <c r="AE44" s="3"/>
      <c r="AF44" s="3"/>
      <c r="AG44" s="3"/>
      <c r="AH44" s="3"/>
      <c r="AI44" s="3"/>
      <c r="AJ44" s="3"/>
      <c r="AK44" s="3"/>
      <c r="AL44" s="3"/>
      <c r="AM44" s="3"/>
      <c r="AN44" s="3"/>
      <c r="AO44" s="3"/>
      <c r="AP44" s="3"/>
    </row>
    <row r="45" spans="1:42" ht="14.25" customHeight="1" x14ac:dyDescent="0.2">
      <c r="A45" s="118" t="s">
        <v>1218</v>
      </c>
      <c r="B45" s="118" t="s">
        <v>1219</v>
      </c>
      <c r="C45" s="118">
        <v>2023</v>
      </c>
      <c r="D45" s="118" t="s">
        <v>394</v>
      </c>
      <c r="E45" s="118" t="s">
        <v>1221</v>
      </c>
      <c r="F45" s="118" t="s">
        <v>1222</v>
      </c>
      <c r="G45" s="118" t="s">
        <v>274</v>
      </c>
      <c r="H45" s="118" t="s">
        <v>15</v>
      </c>
      <c r="I45" s="118" t="s">
        <v>253</v>
      </c>
      <c r="J45" s="118" t="s">
        <v>1220</v>
      </c>
      <c r="K45" s="118" t="s">
        <v>1223</v>
      </c>
      <c r="L45" s="118">
        <v>0</v>
      </c>
      <c r="M45" s="118">
        <v>0</v>
      </c>
      <c r="N45" s="13" t="s">
        <v>16</v>
      </c>
      <c r="O45" s="7"/>
      <c r="P45" s="42" t="s">
        <v>50</v>
      </c>
      <c r="Q45" s="117"/>
      <c r="R45" s="3"/>
      <c r="S45" s="3"/>
      <c r="T45" s="3"/>
      <c r="U45" s="3"/>
      <c r="V45" s="3"/>
      <c r="W45" s="3"/>
      <c r="X45" s="3"/>
      <c r="Y45" s="3"/>
      <c r="Z45" s="3"/>
      <c r="AA45" s="3"/>
      <c r="AB45" s="3"/>
      <c r="AC45" s="3"/>
      <c r="AD45" s="3"/>
      <c r="AE45" s="3"/>
      <c r="AF45" s="3"/>
      <c r="AG45" s="3"/>
      <c r="AH45" s="3"/>
      <c r="AI45" s="3"/>
      <c r="AJ45" s="3"/>
      <c r="AK45" s="3"/>
      <c r="AL45" s="3"/>
      <c r="AM45" s="3"/>
      <c r="AN45" s="3"/>
      <c r="AO45" s="3"/>
      <c r="AP45" s="3"/>
    </row>
    <row r="46" spans="1:42" ht="14.25" customHeight="1" x14ac:dyDescent="0.2">
      <c r="A46" s="118" t="s">
        <v>1224</v>
      </c>
      <c r="B46" s="118" t="s">
        <v>1225</v>
      </c>
      <c r="C46" s="118">
        <v>2023</v>
      </c>
      <c r="D46" s="118" t="s">
        <v>331</v>
      </c>
      <c r="E46" s="118" t="s">
        <v>1227</v>
      </c>
      <c r="F46" s="118" t="s">
        <v>1228</v>
      </c>
      <c r="G46" s="118" t="s">
        <v>336</v>
      </c>
      <c r="H46" s="118" t="s">
        <v>15</v>
      </c>
      <c r="I46" s="118" t="s">
        <v>253</v>
      </c>
      <c r="J46" s="118" t="s">
        <v>1226</v>
      </c>
      <c r="K46" s="118" t="s">
        <v>505</v>
      </c>
      <c r="L46" s="118">
        <v>0</v>
      </c>
      <c r="M46" s="118">
        <v>0</v>
      </c>
      <c r="N46" s="13" t="s">
        <v>16</v>
      </c>
      <c r="O46" s="7"/>
      <c r="P46" s="42" t="s">
        <v>50</v>
      </c>
      <c r="Q46" s="116"/>
      <c r="R46" s="3"/>
      <c r="S46" s="3"/>
      <c r="T46" s="3"/>
      <c r="U46" s="3"/>
      <c r="V46" s="3"/>
      <c r="W46" s="3"/>
      <c r="X46" s="3"/>
      <c r="Y46" s="3"/>
      <c r="Z46" s="3"/>
      <c r="AA46" s="3"/>
      <c r="AB46" s="3"/>
      <c r="AC46" s="3"/>
      <c r="AD46" s="3"/>
      <c r="AE46" s="3"/>
      <c r="AF46" s="3"/>
      <c r="AG46" s="3"/>
      <c r="AH46" s="3"/>
      <c r="AI46" s="3"/>
      <c r="AJ46" s="3"/>
      <c r="AK46" s="3"/>
      <c r="AL46" s="3"/>
      <c r="AM46" s="3"/>
      <c r="AN46" s="3"/>
      <c r="AO46" s="3"/>
      <c r="AP46" s="3"/>
    </row>
    <row r="47" spans="1:42" ht="14.25" customHeight="1" x14ac:dyDescent="0.2">
      <c r="A47" s="118" t="s">
        <v>1235</v>
      </c>
      <c r="B47" s="118" t="s">
        <v>1236</v>
      </c>
      <c r="C47" s="118">
        <v>2025</v>
      </c>
      <c r="D47" s="118" t="s">
        <v>317</v>
      </c>
      <c r="E47" s="118" t="s">
        <v>1238</v>
      </c>
      <c r="F47" s="118" t="s">
        <v>1239</v>
      </c>
      <c r="G47" s="118" t="s">
        <v>322</v>
      </c>
      <c r="H47" s="118" t="s">
        <v>15</v>
      </c>
      <c r="I47" s="118" t="s">
        <v>253</v>
      </c>
      <c r="J47" s="118" t="s">
        <v>1237</v>
      </c>
      <c r="K47" s="118" t="s">
        <v>1240</v>
      </c>
      <c r="L47" s="118">
        <v>0</v>
      </c>
      <c r="M47" s="118">
        <v>0</v>
      </c>
      <c r="N47" s="13" t="s">
        <v>16</v>
      </c>
      <c r="O47" s="7"/>
      <c r="P47" s="42" t="s">
        <v>50</v>
      </c>
      <c r="Q47" s="117"/>
      <c r="R47" s="3"/>
      <c r="S47" s="3"/>
      <c r="T47" s="3"/>
      <c r="U47" s="3"/>
      <c r="V47" s="3"/>
      <c r="W47" s="3"/>
      <c r="X47" s="3"/>
      <c r="Y47" s="3"/>
      <c r="Z47" s="3"/>
      <c r="AA47" s="3"/>
      <c r="AB47" s="3"/>
      <c r="AC47" s="3"/>
      <c r="AD47" s="3"/>
      <c r="AE47" s="3"/>
      <c r="AF47" s="3"/>
      <c r="AG47" s="3"/>
      <c r="AH47" s="3"/>
      <c r="AI47" s="3"/>
      <c r="AJ47" s="3"/>
      <c r="AK47" s="3"/>
      <c r="AL47" s="3"/>
      <c r="AM47" s="3"/>
      <c r="AN47" s="3"/>
      <c r="AO47" s="3"/>
      <c r="AP47" s="3"/>
    </row>
    <row r="48" spans="1:42" ht="14.25" customHeight="1" x14ac:dyDescent="0.2">
      <c r="A48" s="118" t="s">
        <v>439</v>
      </c>
      <c r="B48" s="118" t="s">
        <v>440</v>
      </c>
      <c r="C48" s="118">
        <v>2023</v>
      </c>
      <c r="D48" s="118" t="s">
        <v>233</v>
      </c>
      <c r="E48" s="118" t="s">
        <v>442</v>
      </c>
      <c r="F48" s="118" t="s">
        <v>443</v>
      </c>
      <c r="G48" s="118" t="s">
        <v>238</v>
      </c>
      <c r="H48" s="118" t="s">
        <v>15</v>
      </c>
      <c r="I48" s="118" t="s">
        <v>253</v>
      </c>
      <c r="J48" s="118" t="s">
        <v>441</v>
      </c>
      <c r="K48" s="118" t="s">
        <v>444</v>
      </c>
      <c r="L48" s="118">
        <v>0</v>
      </c>
      <c r="M48" s="118">
        <v>0</v>
      </c>
      <c r="N48" s="13" t="s">
        <v>16</v>
      </c>
      <c r="O48" s="7"/>
      <c r="P48" s="42" t="s">
        <v>50</v>
      </c>
      <c r="Q48" s="116"/>
      <c r="R48" s="3"/>
      <c r="S48" s="3"/>
      <c r="T48" s="3"/>
      <c r="U48" s="3"/>
      <c r="V48" s="3"/>
      <c r="W48" s="3"/>
      <c r="X48" s="3"/>
      <c r="Y48" s="3"/>
      <c r="Z48" s="3"/>
      <c r="AA48" s="3"/>
      <c r="AB48" s="3"/>
      <c r="AC48" s="3"/>
      <c r="AD48" s="3"/>
      <c r="AE48" s="3"/>
      <c r="AF48" s="3"/>
      <c r="AG48" s="3"/>
      <c r="AH48" s="3"/>
      <c r="AI48" s="3"/>
      <c r="AJ48" s="3"/>
      <c r="AK48" s="3"/>
      <c r="AL48" s="3"/>
      <c r="AM48" s="3"/>
      <c r="AN48" s="3"/>
      <c r="AO48" s="3"/>
      <c r="AP48" s="3"/>
    </row>
    <row r="49" spans="1:42" ht="14.25" customHeight="1" x14ac:dyDescent="0.2">
      <c r="A49" s="118" t="s">
        <v>451</v>
      </c>
      <c r="B49" s="118" t="s">
        <v>452</v>
      </c>
      <c r="C49" s="118">
        <v>2024</v>
      </c>
      <c r="D49" s="118" t="s">
        <v>453</v>
      </c>
      <c r="E49" s="118" t="s">
        <v>455</v>
      </c>
      <c r="F49" s="118">
        <v>0</v>
      </c>
      <c r="G49" s="118" t="s">
        <v>457</v>
      </c>
      <c r="H49" s="118" t="s">
        <v>15</v>
      </c>
      <c r="I49" s="118" t="s">
        <v>253</v>
      </c>
      <c r="J49" s="118" t="s">
        <v>454</v>
      </c>
      <c r="K49" s="118" t="s">
        <v>456</v>
      </c>
      <c r="L49" s="118">
        <v>0</v>
      </c>
      <c r="M49" s="118">
        <v>0</v>
      </c>
      <c r="N49" s="13" t="s">
        <v>16</v>
      </c>
      <c r="O49" s="7"/>
      <c r="P49" s="42" t="s">
        <v>50</v>
      </c>
      <c r="Q49" s="117"/>
      <c r="R49" s="3"/>
      <c r="S49" s="3"/>
      <c r="T49" s="3"/>
      <c r="U49" s="3"/>
      <c r="V49" s="3"/>
      <c r="W49" s="3"/>
      <c r="X49" s="3"/>
      <c r="Y49" s="3"/>
      <c r="Z49" s="3"/>
      <c r="AA49" s="3"/>
      <c r="AB49" s="3"/>
      <c r="AC49" s="3"/>
      <c r="AD49" s="3"/>
      <c r="AE49" s="3"/>
      <c r="AF49" s="3"/>
      <c r="AG49" s="3"/>
      <c r="AH49" s="3"/>
      <c r="AI49" s="3"/>
      <c r="AJ49" s="3"/>
      <c r="AK49" s="3"/>
      <c r="AL49" s="3"/>
      <c r="AM49" s="3"/>
      <c r="AN49" s="3"/>
      <c r="AO49" s="3"/>
      <c r="AP49" s="3"/>
    </row>
    <row r="50" spans="1:42" ht="14.25" customHeight="1" x14ac:dyDescent="0.2">
      <c r="A50" s="118" t="s">
        <v>458</v>
      </c>
      <c r="B50" s="118" t="s">
        <v>459</v>
      </c>
      <c r="C50" s="118">
        <v>2024</v>
      </c>
      <c r="D50" s="118" t="s">
        <v>460</v>
      </c>
      <c r="E50" s="118" t="s">
        <v>462</v>
      </c>
      <c r="F50" s="118" t="s">
        <v>463</v>
      </c>
      <c r="G50" s="118" t="s">
        <v>465</v>
      </c>
      <c r="H50" s="118" t="s">
        <v>15</v>
      </c>
      <c r="I50" s="118" t="s">
        <v>253</v>
      </c>
      <c r="J50" s="118" t="s">
        <v>461</v>
      </c>
      <c r="K50" s="118" t="s">
        <v>464</v>
      </c>
      <c r="L50" s="118">
        <v>0</v>
      </c>
      <c r="M50" s="118">
        <v>0</v>
      </c>
      <c r="N50" s="13" t="s">
        <v>16</v>
      </c>
      <c r="O50" s="7"/>
      <c r="P50" s="42" t="s">
        <v>50</v>
      </c>
      <c r="Q50" s="116"/>
      <c r="R50" s="3"/>
      <c r="S50" s="3"/>
      <c r="T50" s="3"/>
      <c r="U50" s="3"/>
      <c r="V50" s="3"/>
      <c r="W50" s="3"/>
      <c r="X50" s="3"/>
      <c r="Y50" s="3"/>
      <c r="Z50" s="3"/>
      <c r="AA50" s="3"/>
      <c r="AB50" s="3"/>
      <c r="AC50" s="3"/>
      <c r="AD50" s="3"/>
      <c r="AE50" s="3"/>
      <c r="AF50" s="3"/>
      <c r="AG50" s="3"/>
      <c r="AH50" s="3"/>
      <c r="AI50" s="3"/>
      <c r="AJ50" s="3"/>
      <c r="AK50" s="3"/>
      <c r="AL50" s="3"/>
      <c r="AM50" s="3"/>
      <c r="AN50" s="3"/>
      <c r="AO50" s="3"/>
      <c r="AP50" s="3"/>
    </row>
    <row r="51" spans="1:42" ht="14.25" customHeight="1" x14ac:dyDescent="0.2">
      <c r="A51" s="118" t="s">
        <v>849</v>
      </c>
      <c r="B51" s="118" t="s">
        <v>850</v>
      </c>
      <c r="C51" s="118">
        <v>2025</v>
      </c>
      <c r="D51" s="118" t="s">
        <v>371</v>
      </c>
      <c r="E51" s="118" t="s">
        <v>852</v>
      </c>
      <c r="F51" s="118" t="s">
        <v>853</v>
      </c>
      <c r="G51" s="118" t="s">
        <v>376</v>
      </c>
      <c r="H51" s="118" t="s">
        <v>15</v>
      </c>
      <c r="I51" s="118" t="s">
        <v>253</v>
      </c>
      <c r="J51" s="118" t="s">
        <v>851</v>
      </c>
      <c r="K51" s="118" t="s">
        <v>854</v>
      </c>
      <c r="L51" s="118">
        <v>0</v>
      </c>
      <c r="M51" s="118">
        <v>0</v>
      </c>
      <c r="N51" s="13" t="s">
        <v>16</v>
      </c>
      <c r="O51" s="7"/>
      <c r="P51" s="42" t="s">
        <v>50</v>
      </c>
      <c r="Q51" s="117"/>
      <c r="R51" s="3"/>
      <c r="S51" s="3"/>
      <c r="T51" s="3"/>
      <c r="U51" s="3"/>
      <c r="V51" s="3"/>
      <c r="W51" s="3"/>
      <c r="X51" s="3"/>
      <c r="Y51" s="3"/>
      <c r="Z51" s="3"/>
      <c r="AA51" s="3"/>
      <c r="AB51" s="3"/>
      <c r="AC51" s="3"/>
      <c r="AD51" s="3"/>
      <c r="AE51" s="3"/>
      <c r="AF51" s="3"/>
      <c r="AG51" s="3"/>
      <c r="AH51" s="3"/>
      <c r="AI51" s="3"/>
      <c r="AJ51" s="3"/>
      <c r="AK51" s="3"/>
      <c r="AL51" s="3"/>
      <c r="AM51" s="3"/>
      <c r="AN51" s="3"/>
      <c r="AO51" s="3"/>
      <c r="AP51" s="3"/>
    </row>
    <row r="52" spans="1:42" ht="14.25" customHeight="1" x14ac:dyDescent="0.2">
      <c r="A52" s="118" t="s">
        <v>1569</v>
      </c>
      <c r="B52" s="118" t="s">
        <v>1570</v>
      </c>
      <c r="C52" s="118">
        <v>2024</v>
      </c>
      <c r="D52" s="118" t="s">
        <v>1322</v>
      </c>
      <c r="E52" s="118" t="s">
        <v>1572</v>
      </c>
      <c r="F52" s="118" t="s">
        <v>1573</v>
      </c>
      <c r="G52" s="118" t="s">
        <v>282</v>
      </c>
      <c r="H52" s="118" t="s">
        <v>15</v>
      </c>
      <c r="I52" s="118" t="s">
        <v>253</v>
      </c>
      <c r="J52" s="118" t="s">
        <v>1571</v>
      </c>
      <c r="K52" s="118" t="s">
        <v>1574</v>
      </c>
      <c r="L52" s="118">
        <v>0</v>
      </c>
      <c r="M52" s="118">
        <v>0</v>
      </c>
      <c r="N52" s="13" t="s">
        <v>16</v>
      </c>
      <c r="O52" s="7"/>
      <c r="P52" s="42" t="s">
        <v>51</v>
      </c>
      <c r="Q52" s="116"/>
      <c r="R52" s="3"/>
      <c r="S52" s="3"/>
      <c r="T52" s="3"/>
      <c r="U52" s="3"/>
      <c r="V52" s="3"/>
      <c r="W52" s="3"/>
      <c r="X52" s="3"/>
      <c r="Y52" s="3"/>
      <c r="Z52" s="3"/>
      <c r="AA52" s="3"/>
      <c r="AB52" s="3"/>
      <c r="AC52" s="3"/>
      <c r="AD52" s="3"/>
      <c r="AE52" s="3"/>
      <c r="AF52" s="3"/>
      <c r="AG52" s="3"/>
      <c r="AH52" s="3"/>
      <c r="AI52" s="3"/>
      <c r="AJ52" s="3"/>
      <c r="AK52" s="3"/>
      <c r="AL52" s="3"/>
      <c r="AM52" s="3"/>
      <c r="AN52" s="3"/>
      <c r="AO52" s="3"/>
      <c r="AP52" s="3"/>
    </row>
    <row r="53" spans="1:42" ht="14.25" customHeight="1" x14ac:dyDescent="0.2">
      <c r="A53" s="118" t="s">
        <v>1265</v>
      </c>
      <c r="B53" s="118" t="s">
        <v>1266</v>
      </c>
      <c r="C53" s="118">
        <v>2022</v>
      </c>
      <c r="D53" s="118" t="s">
        <v>1081</v>
      </c>
      <c r="E53" s="118" t="s">
        <v>1268</v>
      </c>
      <c r="F53" s="118" t="s">
        <v>1269</v>
      </c>
      <c r="G53" s="118" t="s">
        <v>1086</v>
      </c>
      <c r="H53" s="118" t="s">
        <v>15</v>
      </c>
      <c r="I53" s="118" t="s">
        <v>253</v>
      </c>
      <c r="J53" s="118" t="s">
        <v>1267</v>
      </c>
      <c r="K53" s="118" t="s">
        <v>1270</v>
      </c>
      <c r="L53" s="118">
        <v>0</v>
      </c>
      <c r="M53" s="118">
        <v>0</v>
      </c>
      <c r="N53" s="13" t="s">
        <v>16</v>
      </c>
      <c r="O53" s="7"/>
      <c r="P53" s="42" t="s">
        <v>50</v>
      </c>
      <c r="Q53" s="117"/>
      <c r="R53" s="3"/>
      <c r="S53" s="3"/>
      <c r="T53" s="3"/>
      <c r="U53" s="3"/>
      <c r="V53" s="3"/>
      <c r="W53" s="3"/>
      <c r="X53" s="3"/>
      <c r="Y53" s="3"/>
      <c r="Z53" s="3"/>
      <c r="AA53" s="3"/>
      <c r="AB53" s="3"/>
      <c r="AC53" s="3"/>
      <c r="AD53" s="3"/>
      <c r="AE53" s="3"/>
      <c r="AF53" s="3"/>
      <c r="AG53" s="3"/>
      <c r="AH53" s="3"/>
      <c r="AI53" s="3"/>
      <c r="AJ53" s="3"/>
      <c r="AK53" s="3"/>
      <c r="AL53" s="3"/>
      <c r="AM53" s="3"/>
      <c r="AN53" s="3"/>
      <c r="AO53" s="3"/>
      <c r="AP53" s="3"/>
    </row>
    <row r="54" spans="1:42" ht="14.25" customHeight="1" x14ac:dyDescent="0.2">
      <c r="A54" s="118" t="s">
        <v>493</v>
      </c>
      <c r="B54" s="118" t="s">
        <v>494</v>
      </c>
      <c r="C54" s="118">
        <v>2026</v>
      </c>
      <c r="D54" s="118" t="s">
        <v>394</v>
      </c>
      <c r="E54" s="118" t="s">
        <v>496</v>
      </c>
      <c r="F54" s="118" t="s">
        <v>497</v>
      </c>
      <c r="G54" s="118" t="s">
        <v>274</v>
      </c>
      <c r="H54" s="118" t="s">
        <v>15</v>
      </c>
      <c r="I54" s="118" t="s">
        <v>253</v>
      </c>
      <c r="J54" s="118" t="s">
        <v>495</v>
      </c>
      <c r="K54" s="118" t="s">
        <v>498</v>
      </c>
      <c r="L54" s="118">
        <v>0</v>
      </c>
      <c r="M54" s="118">
        <v>0</v>
      </c>
      <c r="N54" s="13" t="s">
        <v>16</v>
      </c>
      <c r="O54" s="7"/>
      <c r="P54" s="42" t="s">
        <v>50</v>
      </c>
      <c r="Q54" s="116"/>
      <c r="R54" s="3"/>
      <c r="S54" s="3"/>
      <c r="T54" s="3"/>
      <c r="U54" s="3"/>
      <c r="V54" s="3"/>
      <c r="W54" s="3"/>
      <c r="X54" s="3"/>
      <c r="Y54" s="3"/>
      <c r="Z54" s="3"/>
      <c r="AA54" s="3"/>
      <c r="AB54" s="3"/>
      <c r="AC54" s="3"/>
      <c r="AD54" s="3"/>
      <c r="AE54" s="3"/>
      <c r="AF54" s="3"/>
      <c r="AG54" s="3"/>
      <c r="AH54" s="3"/>
      <c r="AI54" s="3"/>
      <c r="AJ54" s="3"/>
      <c r="AK54" s="3"/>
      <c r="AL54" s="3"/>
      <c r="AM54" s="3"/>
      <c r="AN54" s="3"/>
      <c r="AO54" s="3"/>
      <c r="AP54" s="3"/>
    </row>
    <row r="55" spans="1:42" ht="14.25" customHeight="1" x14ac:dyDescent="0.2">
      <c r="A55" s="118" t="s">
        <v>499</v>
      </c>
      <c r="B55" s="118" t="s">
        <v>500</v>
      </c>
      <c r="C55" s="118">
        <v>2024</v>
      </c>
      <c r="D55" s="118" t="s">
        <v>501</v>
      </c>
      <c r="E55" s="118" t="s">
        <v>503</v>
      </c>
      <c r="F55" s="118" t="s">
        <v>504</v>
      </c>
      <c r="G55" s="118" t="s">
        <v>506</v>
      </c>
      <c r="H55" s="118" t="s">
        <v>15</v>
      </c>
      <c r="I55" s="118" t="s">
        <v>253</v>
      </c>
      <c r="J55" s="118" t="s">
        <v>502</v>
      </c>
      <c r="K55" s="118" t="s">
        <v>505</v>
      </c>
      <c r="L55" s="118">
        <v>0</v>
      </c>
      <c r="M55" s="118">
        <v>0</v>
      </c>
      <c r="N55" s="13" t="s">
        <v>16</v>
      </c>
      <c r="O55" s="7"/>
      <c r="P55" s="42" t="s">
        <v>50</v>
      </c>
      <c r="Q55" s="117"/>
      <c r="R55" s="3"/>
      <c r="S55" s="3"/>
      <c r="T55" s="3"/>
      <c r="U55" s="3"/>
      <c r="V55" s="3"/>
      <c r="W55" s="3"/>
      <c r="X55" s="3"/>
      <c r="Y55" s="3"/>
      <c r="Z55" s="3"/>
      <c r="AA55" s="3"/>
      <c r="AB55" s="3"/>
      <c r="AC55" s="3"/>
      <c r="AD55" s="3"/>
      <c r="AE55" s="3"/>
      <c r="AF55" s="3"/>
      <c r="AG55" s="3"/>
      <c r="AH55" s="3"/>
      <c r="AI55" s="3"/>
      <c r="AJ55" s="3"/>
      <c r="AK55" s="3"/>
      <c r="AL55" s="3"/>
      <c r="AM55" s="3"/>
      <c r="AN55" s="3"/>
      <c r="AO55" s="3"/>
      <c r="AP55" s="3"/>
    </row>
    <row r="56" spans="1:42" ht="14.25" customHeight="1" x14ac:dyDescent="0.2">
      <c r="A56" s="118" t="s">
        <v>514</v>
      </c>
      <c r="B56" s="118" t="s">
        <v>515</v>
      </c>
      <c r="C56" s="118">
        <v>2026</v>
      </c>
      <c r="D56" s="118" t="s">
        <v>516</v>
      </c>
      <c r="E56" s="118" t="s">
        <v>518</v>
      </c>
      <c r="F56" s="118" t="s">
        <v>519</v>
      </c>
      <c r="G56" s="118" t="s">
        <v>260</v>
      </c>
      <c r="H56" s="118" t="s">
        <v>15</v>
      </c>
      <c r="I56" s="118" t="s">
        <v>253</v>
      </c>
      <c r="J56" s="118" t="s">
        <v>517</v>
      </c>
      <c r="K56" s="118" t="s">
        <v>520</v>
      </c>
      <c r="L56" s="118">
        <v>0</v>
      </c>
      <c r="M56" s="118">
        <v>0</v>
      </c>
      <c r="N56" s="13" t="s">
        <v>16</v>
      </c>
      <c r="O56" s="4"/>
      <c r="P56" s="42" t="s">
        <v>50</v>
      </c>
      <c r="Q56" s="116"/>
      <c r="R56" s="3"/>
      <c r="S56" s="3"/>
      <c r="T56" s="3"/>
      <c r="U56" s="3"/>
      <c r="V56" s="3"/>
      <c r="W56" s="3"/>
      <c r="X56" s="3"/>
      <c r="Y56" s="3"/>
      <c r="Z56" s="3"/>
      <c r="AA56" s="3"/>
      <c r="AB56" s="3"/>
      <c r="AC56" s="3"/>
      <c r="AD56" s="3"/>
      <c r="AE56" s="3"/>
      <c r="AF56" s="3"/>
      <c r="AG56" s="3"/>
      <c r="AH56" s="3"/>
      <c r="AI56" s="3"/>
      <c r="AJ56" s="3"/>
      <c r="AK56" s="3"/>
      <c r="AL56" s="3"/>
      <c r="AM56" s="3"/>
      <c r="AN56" s="3"/>
      <c r="AO56" s="3"/>
      <c r="AP56" s="3"/>
    </row>
    <row r="57" spans="1:42" ht="14.25" customHeight="1" x14ac:dyDescent="0.2">
      <c r="A57" s="118" t="s">
        <v>1593</v>
      </c>
      <c r="B57" s="118" t="s">
        <v>1594</v>
      </c>
      <c r="C57" s="118">
        <v>2024</v>
      </c>
      <c r="D57" s="118" t="s">
        <v>1595</v>
      </c>
      <c r="E57" s="118" t="s">
        <v>1597</v>
      </c>
      <c r="F57" s="118" t="s">
        <v>1598</v>
      </c>
      <c r="G57" s="118" t="s">
        <v>336</v>
      </c>
      <c r="H57" s="118" t="s">
        <v>15</v>
      </c>
      <c r="I57" s="118" t="s">
        <v>253</v>
      </c>
      <c r="J57" s="118" t="s">
        <v>1596</v>
      </c>
      <c r="K57" s="118" t="s">
        <v>1599</v>
      </c>
      <c r="L57" s="118">
        <v>0</v>
      </c>
      <c r="M57" s="118">
        <v>0</v>
      </c>
      <c r="N57" s="13" t="s">
        <v>16</v>
      </c>
      <c r="O57" s="7"/>
      <c r="P57" s="42" t="s">
        <v>50</v>
      </c>
      <c r="Q57" s="117"/>
      <c r="R57" s="3"/>
      <c r="S57" s="3"/>
      <c r="T57" s="3"/>
      <c r="U57" s="3"/>
      <c r="V57" s="3"/>
      <c r="W57" s="3"/>
      <c r="X57" s="3"/>
      <c r="Y57" s="3"/>
      <c r="Z57" s="3"/>
      <c r="AA57" s="3"/>
      <c r="AB57" s="3"/>
      <c r="AC57" s="3"/>
      <c r="AD57" s="3"/>
      <c r="AE57" s="3"/>
      <c r="AF57" s="3"/>
      <c r="AG57" s="3"/>
      <c r="AH57" s="3"/>
      <c r="AI57" s="3"/>
      <c r="AJ57" s="3"/>
      <c r="AK57" s="3"/>
      <c r="AL57" s="3"/>
      <c r="AM57" s="3"/>
      <c r="AN57" s="3"/>
      <c r="AO57" s="3"/>
      <c r="AP57" s="3"/>
    </row>
    <row r="58" spans="1:42" ht="14.25" customHeight="1" x14ac:dyDescent="0.2">
      <c r="A58" s="118" t="s">
        <v>1620</v>
      </c>
      <c r="B58" s="118" t="s">
        <v>1621</v>
      </c>
      <c r="C58" s="118">
        <v>2025</v>
      </c>
      <c r="D58" s="118" t="s">
        <v>1622</v>
      </c>
      <c r="E58" s="118" t="s">
        <v>1624</v>
      </c>
      <c r="F58" s="118" t="s">
        <v>1625</v>
      </c>
      <c r="G58" s="118" t="s">
        <v>1626</v>
      </c>
      <c r="H58" s="118" t="s">
        <v>15</v>
      </c>
      <c r="I58" s="118" t="s">
        <v>253</v>
      </c>
      <c r="J58" s="118" t="s">
        <v>1623</v>
      </c>
      <c r="K58" s="118" t="s">
        <v>1825</v>
      </c>
      <c r="L58" s="118">
        <v>0</v>
      </c>
      <c r="M58" s="118">
        <v>0</v>
      </c>
      <c r="N58" s="13" t="s">
        <v>16</v>
      </c>
      <c r="O58" s="4"/>
      <c r="P58" s="42" t="s">
        <v>50</v>
      </c>
      <c r="Q58" s="116"/>
      <c r="R58" s="3"/>
      <c r="S58" s="3"/>
      <c r="T58" s="3"/>
      <c r="U58" s="3"/>
      <c r="V58" s="3"/>
      <c r="W58" s="3"/>
      <c r="X58" s="3"/>
      <c r="Y58" s="3"/>
      <c r="Z58" s="3"/>
      <c r="AA58" s="3"/>
      <c r="AB58" s="3"/>
      <c r="AC58" s="3"/>
      <c r="AD58" s="3"/>
      <c r="AE58" s="3"/>
      <c r="AF58" s="3"/>
      <c r="AG58" s="3"/>
      <c r="AH58" s="3"/>
      <c r="AI58" s="3"/>
      <c r="AJ58" s="3"/>
      <c r="AK58" s="3"/>
      <c r="AL58" s="3"/>
      <c r="AM58" s="3"/>
      <c r="AN58" s="3"/>
      <c r="AO58" s="3"/>
      <c r="AP58" s="3"/>
    </row>
    <row r="59" spans="1:42" ht="14.25" customHeight="1" x14ac:dyDescent="0.2">
      <c r="A59" s="118" t="s">
        <v>1271</v>
      </c>
      <c r="B59" s="118" t="s">
        <v>1272</v>
      </c>
      <c r="C59" s="118">
        <v>2023</v>
      </c>
      <c r="D59" s="118" t="s">
        <v>927</v>
      </c>
      <c r="E59" s="118" t="s">
        <v>1274</v>
      </c>
      <c r="F59" s="118" t="s">
        <v>1275</v>
      </c>
      <c r="G59" s="118">
        <v>0</v>
      </c>
      <c r="H59" s="118" t="s">
        <v>15</v>
      </c>
      <c r="I59" s="118" t="s">
        <v>253</v>
      </c>
      <c r="J59" s="118" t="s">
        <v>1273</v>
      </c>
      <c r="K59" s="118">
        <v>0</v>
      </c>
      <c r="L59" s="118">
        <v>0</v>
      </c>
      <c r="M59" s="118">
        <v>0</v>
      </c>
      <c r="N59" s="13" t="s">
        <v>16</v>
      </c>
      <c r="O59" s="7"/>
      <c r="P59" s="42" t="s">
        <v>50</v>
      </c>
      <c r="Q59" s="117"/>
      <c r="R59" s="3"/>
      <c r="S59" s="3"/>
      <c r="T59" s="3"/>
      <c r="U59" s="3"/>
      <c r="V59" s="3"/>
      <c r="W59" s="3"/>
      <c r="X59" s="3"/>
      <c r="Y59" s="3"/>
      <c r="Z59" s="3"/>
      <c r="AA59" s="3"/>
      <c r="AB59" s="3"/>
      <c r="AC59" s="3"/>
      <c r="AD59" s="3"/>
      <c r="AE59" s="3"/>
      <c r="AF59" s="3"/>
      <c r="AG59" s="3"/>
      <c r="AH59" s="3"/>
      <c r="AI59" s="3"/>
      <c r="AJ59" s="3"/>
      <c r="AK59" s="3"/>
      <c r="AL59" s="3"/>
      <c r="AM59" s="3"/>
      <c r="AN59" s="3"/>
      <c r="AO59" s="3"/>
      <c r="AP59" s="3"/>
    </row>
    <row r="60" spans="1:42" ht="14.25" customHeight="1" x14ac:dyDescent="0.2">
      <c r="A60" s="118" t="s">
        <v>1793</v>
      </c>
      <c r="B60" s="118" t="s">
        <v>1794</v>
      </c>
      <c r="C60" s="118">
        <v>2020</v>
      </c>
      <c r="D60" s="118" t="s">
        <v>1781</v>
      </c>
      <c r="E60" s="118" t="s">
        <v>1795</v>
      </c>
      <c r="F60" s="118" t="s">
        <v>1796</v>
      </c>
      <c r="G60" s="118" t="s">
        <v>1784</v>
      </c>
      <c r="H60" s="118" t="s">
        <v>15</v>
      </c>
      <c r="I60" s="118" t="s">
        <v>253</v>
      </c>
      <c r="J60" s="118">
        <v>0</v>
      </c>
      <c r="K60" s="118" t="s">
        <v>1797</v>
      </c>
      <c r="L60" s="118">
        <v>0</v>
      </c>
      <c r="M60" s="118">
        <v>0</v>
      </c>
      <c r="N60" s="13" t="s">
        <v>16</v>
      </c>
      <c r="O60" s="4"/>
      <c r="P60" s="42" t="s">
        <v>50</v>
      </c>
      <c r="Q60" s="116"/>
      <c r="R60" s="3"/>
      <c r="S60" s="3"/>
      <c r="T60" s="3"/>
      <c r="U60" s="3"/>
      <c r="V60" s="3"/>
      <c r="W60" s="3"/>
      <c r="X60" s="3"/>
      <c r="Y60" s="3"/>
      <c r="Z60" s="3"/>
      <c r="AA60" s="3"/>
      <c r="AB60" s="3"/>
      <c r="AC60" s="3"/>
      <c r="AD60" s="3"/>
      <c r="AE60" s="3"/>
      <c r="AF60" s="3"/>
      <c r="AG60" s="3"/>
      <c r="AH60" s="3"/>
      <c r="AI60" s="3"/>
      <c r="AJ60" s="3"/>
      <c r="AK60" s="3"/>
      <c r="AL60" s="3"/>
      <c r="AM60" s="3"/>
      <c r="AN60" s="3"/>
      <c r="AO60" s="3"/>
      <c r="AP60" s="3"/>
    </row>
    <row r="61" spans="1:42" ht="14.25" customHeight="1" x14ac:dyDescent="0.2">
      <c r="A61" s="118" t="s">
        <v>1294</v>
      </c>
      <c r="B61" s="118" t="s">
        <v>1295</v>
      </c>
      <c r="C61" s="118">
        <v>2025</v>
      </c>
      <c r="D61" s="118" t="s">
        <v>331</v>
      </c>
      <c r="E61" s="118" t="s">
        <v>1297</v>
      </c>
      <c r="F61" s="118" t="s">
        <v>1298</v>
      </c>
      <c r="G61" s="118" t="s">
        <v>336</v>
      </c>
      <c r="H61" s="118" t="s">
        <v>15</v>
      </c>
      <c r="I61" s="118" t="s">
        <v>253</v>
      </c>
      <c r="J61" s="118" t="s">
        <v>1296</v>
      </c>
      <c r="K61" s="118" t="s">
        <v>1299</v>
      </c>
      <c r="L61" s="118">
        <v>0</v>
      </c>
      <c r="M61" s="118">
        <v>0</v>
      </c>
      <c r="N61" s="13" t="s">
        <v>16</v>
      </c>
      <c r="O61" s="7"/>
      <c r="P61" s="42" t="s">
        <v>50</v>
      </c>
      <c r="Q61" s="117"/>
      <c r="R61" s="3"/>
      <c r="S61" s="3"/>
      <c r="T61" s="3"/>
      <c r="U61" s="3"/>
      <c r="V61" s="3"/>
      <c r="W61" s="3"/>
      <c r="X61" s="3"/>
      <c r="Y61" s="3"/>
      <c r="Z61" s="3"/>
      <c r="AA61" s="3"/>
      <c r="AB61" s="3"/>
      <c r="AC61" s="3"/>
      <c r="AD61" s="3"/>
      <c r="AE61" s="3"/>
      <c r="AF61" s="3"/>
      <c r="AG61" s="3"/>
      <c r="AH61" s="3"/>
      <c r="AI61" s="3"/>
      <c r="AJ61" s="3"/>
      <c r="AK61" s="3"/>
      <c r="AL61" s="3"/>
      <c r="AM61" s="3"/>
      <c r="AN61" s="3"/>
      <c r="AO61" s="3"/>
      <c r="AP61" s="3"/>
    </row>
    <row r="62" spans="1:42" ht="14.25" customHeight="1" x14ac:dyDescent="0.2">
      <c r="A62" s="118" t="s">
        <v>1300</v>
      </c>
      <c r="B62" s="118" t="s">
        <v>1301</v>
      </c>
      <c r="C62" s="118">
        <v>2026</v>
      </c>
      <c r="D62" s="118" t="s">
        <v>1302</v>
      </c>
      <c r="E62" s="118" t="s">
        <v>1304</v>
      </c>
      <c r="F62" s="118" t="s">
        <v>1305</v>
      </c>
      <c r="G62" s="118" t="s">
        <v>1307</v>
      </c>
      <c r="H62" s="118" t="s">
        <v>15</v>
      </c>
      <c r="I62" s="118" t="s">
        <v>253</v>
      </c>
      <c r="J62" s="118" t="s">
        <v>1303</v>
      </c>
      <c r="K62" s="118" t="s">
        <v>1306</v>
      </c>
      <c r="L62" s="118">
        <v>0</v>
      </c>
      <c r="M62" s="118">
        <v>0</v>
      </c>
      <c r="N62" s="13" t="s">
        <v>16</v>
      </c>
      <c r="O62" s="7"/>
      <c r="P62" s="42" t="s">
        <v>50</v>
      </c>
      <c r="Q62" s="116"/>
      <c r="R62" s="3"/>
      <c r="S62" s="3"/>
      <c r="T62" s="3"/>
      <c r="U62" s="3"/>
      <c r="V62" s="3"/>
      <c r="W62" s="3"/>
      <c r="X62" s="3"/>
      <c r="Y62" s="3"/>
      <c r="Z62" s="3"/>
      <c r="AA62" s="3"/>
      <c r="AB62" s="3"/>
      <c r="AC62" s="3"/>
      <c r="AD62" s="3"/>
      <c r="AE62" s="3"/>
      <c r="AF62" s="3"/>
      <c r="AG62" s="3"/>
      <c r="AH62" s="3"/>
      <c r="AI62" s="3"/>
      <c r="AJ62" s="3"/>
      <c r="AK62" s="3"/>
      <c r="AL62" s="3"/>
      <c r="AM62" s="3"/>
      <c r="AN62" s="3"/>
      <c r="AO62" s="3"/>
      <c r="AP62" s="3"/>
    </row>
    <row r="63" spans="1:42" ht="14.25" customHeight="1" x14ac:dyDescent="0.2">
      <c r="A63" s="118" t="s">
        <v>925</v>
      </c>
      <c r="B63" s="118" t="s">
        <v>926</v>
      </c>
      <c r="C63" s="118">
        <v>2023</v>
      </c>
      <c r="D63" s="118" t="s">
        <v>927</v>
      </c>
      <c r="E63" s="118" t="s">
        <v>929</v>
      </c>
      <c r="F63" s="118" t="s">
        <v>930</v>
      </c>
      <c r="G63" s="118">
        <v>0</v>
      </c>
      <c r="H63" s="118" t="s">
        <v>15</v>
      </c>
      <c r="I63" s="118" t="s">
        <v>253</v>
      </c>
      <c r="J63" s="118" t="s">
        <v>928</v>
      </c>
      <c r="K63" s="118">
        <v>0</v>
      </c>
      <c r="L63" s="118">
        <v>0</v>
      </c>
      <c r="M63" s="118">
        <v>0</v>
      </c>
      <c r="N63" s="13" t="s">
        <v>16</v>
      </c>
      <c r="O63" s="7"/>
      <c r="P63" s="42" t="s">
        <v>50</v>
      </c>
      <c r="Q63" s="117"/>
      <c r="R63" s="3"/>
      <c r="S63" s="3"/>
      <c r="T63" s="3"/>
      <c r="U63" s="3"/>
      <c r="V63" s="3"/>
      <c r="W63" s="3"/>
      <c r="X63" s="3"/>
      <c r="Y63" s="3"/>
      <c r="Z63" s="3"/>
      <c r="AA63" s="3"/>
      <c r="AB63" s="3"/>
      <c r="AC63" s="3"/>
      <c r="AD63" s="3"/>
      <c r="AE63" s="3"/>
      <c r="AF63" s="3"/>
      <c r="AG63" s="3"/>
      <c r="AH63" s="3"/>
      <c r="AI63" s="3"/>
      <c r="AJ63" s="3"/>
      <c r="AK63" s="3"/>
      <c r="AL63" s="3"/>
      <c r="AM63" s="3"/>
      <c r="AN63" s="3"/>
      <c r="AO63" s="3"/>
      <c r="AP63" s="3"/>
    </row>
    <row r="64" spans="1:42" ht="14.25" customHeight="1" x14ac:dyDescent="0.2">
      <c r="A64" s="118" t="s">
        <v>937</v>
      </c>
      <c r="B64" s="118" t="s">
        <v>938</v>
      </c>
      <c r="C64" s="118">
        <v>2023</v>
      </c>
      <c r="D64" s="118" t="s">
        <v>939</v>
      </c>
      <c r="E64" s="118" t="s">
        <v>941</v>
      </c>
      <c r="F64" s="118">
        <v>0</v>
      </c>
      <c r="G64" s="118" t="s">
        <v>457</v>
      </c>
      <c r="H64" s="118" t="s">
        <v>15</v>
      </c>
      <c r="I64" s="118" t="s">
        <v>253</v>
      </c>
      <c r="J64" s="118" t="s">
        <v>940</v>
      </c>
      <c r="K64" s="118" t="s">
        <v>942</v>
      </c>
      <c r="L64" s="118">
        <v>0</v>
      </c>
      <c r="M64" s="118">
        <v>0</v>
      </c>
      <c r="N64" s="13" t="s">
        <v>16</v>
      </c>
      <c r="O64" s="4"/>
      <c r="P64" s="42" t="s">
        <v>50</v>
      </c>
      <c r="Q64" s="116"/>
      <c r="R64" s="3"/>
      <c r="S64" s="3"/>
      <c r="T64" s="3"/>
      <c r="U64" s="3"/>
      <c r="V64" s="3"/>
      <c r="W64" s="3"/>
      <c r="X64" s="3"/>
      <c r="Y64" s="3"/>
      <c r="Z64" s="3"/>
      <c r="AA64" s="3"/>
      <c r="AB64" s="3"/>
      <c r="AC64" s="3"/>
      <c r="AD64" s="3"/>
      <c r="AE64" s="3"/>
      <c r="AF64" s="3"/>
      <c r="AG64" s="3"/>
      <c r="AH64" s="3"/>
      <c r="AI64" s="3"/>
      <c r="AJ64" s="3"/>
      <c r="AK64" s="3"/>
      <c r="AL64" s="3"/>
      <c r="AM64" s="3"/>
      <c r="AN64" s="3"/>
      <c r="AO64" s="3"/>
      <c r="AP64" s="3"/>
    </row>
    <row r="65" spans="1:42" ht="14.25" customHeight="1" x14ac:dyDescent="0.2">
      <c r="A65" s="118" t="s">
        <v>559</v>
      </c>
      <c r="B65" s="118" t="s">
        <v>560</v>
      </c>
      <c r="C65" s="118">
        <v>2026</v>
      </c>
      <c r="D65" s="118" t="s">
        <v>269</v>
      </c>
      <c r="E65" s="118" t="s">
        <v>562</v>
      </c>
      <c r="F65" s="118" t="s">
        <v>563</v>
      </c>
      <c r="G65" s="118" t="s">
        <v>274</v>
      </c>
      <c r="H65" s="118" t="s">
        <v>15</v>
      </c>
      <c r="I65" s="118" t="s">
        <v>253</v>
      </c>
      <c r="J65" s="118" t="s">
        <v>561</v>
      </c>
      <c r="K65" s="118" t="s">
        <v>564</v>
      </c>
      <c r="L65" s="118">
        <v>0</v>
      </c>
      <c r="M65" s="118">
        <v>0</v>
      </c>
      <c r="N65" s="13" t="s">
        <v>16</v>
      </c>
      <c r="O65" s="7"/>
      <c r="P65" s="42" t="s">
        <v>50</v>
      </c>
      <c r="Q65" s="116"/>
      <c r="R65" s="3"/>
      <c r="S65" s="3"/>
      <c r="T65" s="3"/>
      <c r="U65" s="3"/>
      <c r="V65" s="3"/>
      <c r="W65" s="3"/>
      <c r="X65" s="3"/>
      <c r="Y65" s="3"/>
      <c r="Z65" s="3"/>
      <c r="AA65" s="3"/>
      <c r="AB65" s="3"/>
      <c r="AC65" s="3"/>
      <c r="AD65" s="3"/>
      <c r="AE65" s="3"/>
      <c r="AF65" s="3"/>
      <c r="AG65" s="3"/>
      <c r="AH65" s="3"/>
      <c r="AI65" s="3"/>
      <c r="AJ65" s="3"/>
      <c r="AK65" s="3"/>
      <c r="AL65" s="3"/>
      <c r="AM65" s="3"/>
      <c r="AN65" s="3"/>
      <c r="AO65" s="3"/>
      <c r="AP65" s="3"/>
    </row>
    <row r="66" spans="1:42" ht="14.25" customHeight="1" x14ac:dyDescent="0.2">
      <c r="A66" s="118" t="s">
        <v>1798</v>
      </c>
      <c r="B66" s="118" t="s">
        <v>1799</v>
      </c>
      <c r="C66" s="118">
        <v>2020</v>
      </c>
      <c r="D66" s="118" t="s">
        <v>1781</v>
      </c>
      <c r="E66" s="118" t="s">
        <v>1800</v>
      </c>
      <c r="F66" s="118" t="s">
        <v>1801</v>
      </c>
      <c r="G66" s="118" t="s">
        <v>1784</v>
      </c>
      <c r="H66" s="118" t="s">
        <v>15</v>
      </c>
      <c r="I66" s="118" t="s">
        <v>253</v>
      </c>
      <c r="J66" s="118">
        <v>0</v>
      </c>
      <c r="K66" s="118" t="s">
        <v>1802</v>
      </c>
      <c r="L66" s="118">
        <v>0</v>
      </c>
      <c r="M66" s="118">
        <v>0</v>
      </c>
      <c r="N66" s="13" t="s">
        <v>16</v>
      </c>
      <c r="O66" s="7"/>
      <c r="P66" s="42" t="s">
        <v>50</v>
      </c>
      <c r="Q66" s="117"/>
      <c r="R66" s="3"/>
      <c r="S66" s="3"/>
      <c r="T66" s="3"/>
      <c r="U66" s="3"/>
      <c r="V66" s="3"/>
      <c r="W66" s="3"/>
      <c r="X66" s="3"/>
      <c r="Y66" s="3"/>
      <c r="Z66" s="3"/>
      <c r="AA66" s="3"/>
      <c r="AB66" s="3"/>
      <c r="AC66" s="3"/>
      <c r="AD66" s="3"/>
      <c r="AE66" s="3"/>
      <c r="AF66" s="3"/>
      <c r="AG66" s="3"/>
      <c r="AH66" s="3"/>
      <c r="AI66" s="3"/>
      <c r="AJ66" s="3"/>
      <c r="AK66" s="3"/>
      <c r="AL66" s="3"/>
      <c r="AM66" s="3"/>
      <c r="AN66" s="3"/>
      <c r="AO66" s="3"/>
      <c r="AP66" s="3"/>
    </row>
    <row r="67" spans="1:42" ht="14.25" customHeight="1" x14ac:dyDescent="0.2">
      <c r="A67" s="118" t="s">
        <v>571</v>
      </c>
      <c r="B67" s="118" t="s">
        <v>572</v>
      </c>
      <c r="C67" s="118">
        <v>2025</v>
      </c>
      <c r="D67" s="118" t="s">
        <v>573</v>
      </c>
      <c r="E67" s="118" t="s">
        <v>575</v>
      </c>
      <c r="F67" s="118" t="s">
        <v>576</v>
      </c>
      <c r="G67" s="118" t="s">
        <v>578</v>
      </c>
      <c r="H67" s="118" t="s">
        <v>15</v>
      </c>
      <c r="I67" s="118" t="s">
        <v>253</v>
      </c>
      <c r="J67" s="118" t="s">
        <v>574</v>
      </c>
      <c r="K67" s="118" t="s">
        <v>577</v>
      </c>
      <c r="L67" s="118">
        <v>0</v>
      </c>
      <c r="M67" s="118">
        <v>0</v>
      </c>
      <c r="N67" s="13" t="s">
        <v>16</v>
      </c>
      <c r="O67" s="7"/>
      <c r="P67" s="42" t="s">
        <v>50</v>
      </c>
      <c r="Q67" s="116"/>
      <c r="R67" s="3"/>
      <c r="S67" s="3"/>
      <c r="T67" s="3"/>
      <c r="U67" s="3"/>
      <c r="V67" s="3"/>
      <c r="W67" s="3"/>
      <c r="X67" s="3"/>
      <c r="Y67" s="3"/>
      <c r="Z67" s="3"/>
      <c r="AA67" s="3"/>
      <c r="AB67" s="3"/>
      <c r="AC67" s="3"/>
      <c r="AD67" s="3"/>
      <c r="AE67" s="3"/>
      <c r="AF67" s="3"/>
      <c r="AG67" s="3"/>
      <c r="AH67" s="3"/>
      <c r="AI67" s="3"/>
      <c r="AJ67" s="3"/>
      <c r="AK67" s="3"/>
      <c r="AL67" s="3"/>
      <c r="AM67" s="3"/>
      <c r="AN67" s="3"/>
      <c r="AO67" s="3"/>
      <c r="AP67" s="3"/>
    </row>
    <row r="68" spans="1:42" ht="14.25" customHeight="1" x14ac:dyDescent="0.2">
      <c r="A68" s="118" t="s">
        <v>1320</v>
      </c>
      <c r="B68" s="118" t="s">
        <v>1321</v>
      </c>
      <c r="C68" s="118">
        <v>2026</v>
      </c>
      <c r="D68" s="118" t="s">
        <v>1322</v>
      </c>
      <c r="E68" s="118" t="s">
        <v>1324</v>
      </c>
      <c r="F68" s="118" t="s">
        <v>1325</v>
      </c>
      <c r="G68" s="118" t="s">
        <v>282</v>
      </c>
      <c r="H68" s="118" t="s">
        <v>15</v>
      </c>
      <c r="I68" s="118" t="s">
        <v>253</v>
      </c>
      <c r="J68" s="118" t="s">
        <v>1323</v>
      </c>
      <c r="K68" s="118" t="s">
        <v>1326</v>
      </c>
      <c r="L68" s="118">
        <v>0</v>
      </c>
      <c r="M68" s="118">
        <v>0</v>
      </c>
      <c r="N68" s="13" t="s">
        <v>16</v>
      </c>
      <c r="O68" s="7"/>
      <c r="P68" s="42" t="s">
        <v>50</v>
      </c>
      <c r="Q68" s="117"/>
      <c r="R68" s="3"/>
      <c r="S68" s="3"/>
      <c r="T68" s="3"/>
      <c r="U68" s="3"/>
      <c r="V68" s="3"/>
      <c r="W68" s="3"/>
      <c r="X68" s="3"/>
      <c r="Y68" s="3"/>
      <c r="Z68" s="3"/>
      <c r="AA68" s="3"/>
      <c r="AB68" s="3"/>
      <c r="AC68" s="3"/>
      <c r="AD68" s="3"/>
      <c r="AE68" s="3"/>
      <c r="AF68" s="3"/>
      <c r="AG68" s="3"/>
      <c r="AH68" s="3"/>
      <c r="AI68" s="3"/>
      <c r="AJ68" s="3"/>
      <c r="AK68" s="3"/>
      <c r="AL68" s="3"/>
      <c r="AM68" s="3"/>
      <c r="AN68" s="3"/>
      <c r="AO68" s="3"/>
      <c r="AP68" s="3"/>
    </row>
    <row r="69" spans="1:42" ht="14.25" customHeight="1" x14ac:dyDescent="0.2">
      <c r="A69" s="118" t="s">
        <v>1715</v>
      </c>
      <c r="B69" s="118" t="s">
        <v>1716</v>
      </c>
      <c r="C69" s="118">
        <v>2025</v>
      </c>
      <c r="D69" s="118" t="s">
        <v>1717</v>
      </c>
      <c r="E69" s="118" t="s">
        <v>1719</v>
      </c>
      <c r="F69" s="118" t="s">
        <v>1720</v>
      </c>
      <c r="G69" s="118" t="s">
        <v>1722</v>
      </c>
      <c r="H69" s="118" t="s">
        <v>15</v>
      </c>
      <c r="I69" s="118" t="s">
        <v>253</v>
      </c>
      <c r="J69" s="118" t="s">
        <v>1718</v>
      </c>
      <c r="K69" s="118" t="s">
        <v>1721</v>
      </c>
      <c r="L69" s="118">
        <v>0</v>
      </c>
      <c r="M69" s="118">
        <v>0</v>
      </c>
      <c r="N69" s="13" t="s">
        <v>16</v>
      </c>
      <c r="O69" s="7"/>
      <c r="P69" s="42" t="s">
        <v>50</v>
      </c>
      <c r="Q69" s="116"/>
      <c r="R69" s="3"/>
      <c r="S69" s="3"/>
      <c r="T69" s="3"/>
      <c r="U69" s="3"/>
      <c r="V69" s="3"/>
      <c r="W69" s="3"/>
      <c r="X69" s="3"/>
      <c r="Y69" s="3"/>
      <c r="Z69" s="3"/>
      <c r="AA69" s="3"/>
      <c r="AB69" s="3"/>
      <c r="AC69" s="3"/>
      <c r="AD69" s="3"/>
      <c r="AE69" s="3"/>
      <c r="AF69" s="3"/>
      <c r="AG69" s="3"/>
      <c r="AH69" s="3"/>
      <c r="AI69" s="3"/>
      <c r="AJ69" s="3"/>
      <c r="AK69" s="3"/>
      <c r="AL69" s="3"/>
      <c r="AM69" s="3"/>
      <c r="AN69" s="3"/>
      <c r="AO69" s="3"/>
      <c r="AP69" s="3"/>
    </row>
    <row r="70" spans="1:42" ht="14.25" customHeight="1" x14ac:dyDescent="0.2">
      <c r="A70" s="118" t="s">
        <v>579</v>
      </c>
      <c r="B70" s="118" t="s">
        <v>580</v>
      </c>
      <c r="C70" s="118">
        <v>2023</v>
      </c>
      <c r="D70" s="118" t="s">
        <v>581</v>
      </c>
      <c r="E70" s="118" t="s">
        <v>583</v>
      </c>
      <c r="F70" s="118" t="s">
        <v>584</v>
      </c>
      <c r="G70" s="118" t="s">
        <v>586</v>
      </c>
      <c r="H70" s="118" t="s">
        <v>15</v>
      </c>
      <c r="I70" s="118" t="s">
        <v>253</v>
      </c>
      <c r="J70" s="118" t="s">
        <v>582</v>
      </c>
      <c r="K70" s="118" t="s">
        <v>585</v>
      </c>
      <c r="L70" s="118">
        <v>0</v>
      </c>
      <c r="M70" s="118">
        <v>0</v>
      </c>
      <c r="N70" s="13" t="s">
        <v>16</v>
      </c>
      <c r="O70" s="7"/>
      <c r="P70" s="42" t="s">
        <v>50</v>
      </c>
      <c r="Q70" s="117"/>
      <c r="R70" s="3"/>
      <c r="S70" s="3"/>
      <c r="T70" s="3"/>
      <c r="U70" s="3"/>
      <c r="V70" s="3"/>
      <c r="W70" s="3"/>
      <c r="X70" s="3"/>
      <c r="Y70" s="3"/>
      <c r="Z70" s="3"/>
      <c r="AA70" s="3"/>
      <c r="AB70" s="3"/>
      <c r="AC70" s="3"/>
      <c r="AD70" s="3"/>
      <c r="AE70" s="3"/>
      <c r="AF70" s="3"/>
      <c r="AG70" s="3"/>
      <c r="AH70" s="3"/>
      <c r="AI70" s="3"/>
      <c r="AJ70" s="3"/>
      <c r="AK70" s="3"/>
      <c r="AL70" s="3"/>
      <c r="AM70" s="3"/>
      <c r="AN70" s="3"/>
      <c r="AO70" s="3"/>
      <c r="AP70" s="3"/>
    </row>
    <row r="71" spans="1:42" ht="14.25" customHeight="1" x14ac:dyDescent="0.2">
      <c r="A71" s="118" t="s">
        <v>1327</v>
      </c>
      <c r="B71" s="118" t="s">
        <v>1328</v>
      </c>
      <c r="C71" s="118">
        <v>2022</v>
      </c>
      <c r="D71" s="118" t="s">
        <v>331</v>
      </c>
      <c r="E71" s="118" t="s">
        <v>1330</v>
      </c>
      <c r="F71" s="118" t="s">
        <v>1331</v>
      </c>
      <c r="G71" s="118" t="s">
        <v>1333</v>
      </c>
      <c r="H71" s="118" t="s">
        <v>15</v>
      </c>
      <c r="I71" s="118" t="s">
        <v>253</v>
      </c>
      <c r="J71" s="118" t="s">
        <v>1329</v>
      </c>
      <c r="K71" s="118" t="s">
        <v>1332</v>
      </c>
      <c r="L71" s="118">
        <v>0</v>
      </c>
      <c r="M71" s="118">
        <v>0</v>
      </c>
      <c r="N71" s="13" t="s">
        <v>16</v>
      </c>
      <c r="O71" s="7"/>
      <c r="P71" s="42" t="s">
        <v>50</v>
      </c>
      <c r="Q71" s="116"/>
      <c r="R71" s="3"/>
      <c r="S71" s="3"/>
      <c r="T71" s="3"/>
      <c r="U71" s="3"/>
      <c r="V71" s="3"/>
      <c r="W71" s="3"/>
      <c r="X71" s="3"/>
      <c r="Y71" s="3"/>
      <c r="Z71" s="3"/>
      <c r="AA71" s="3"/>
      <c r="AB71" s="3"/>
      <c r="AC71" s="3"/>
      <c r="AD71" s="3"/>
      <c r="AE71" s="3"/>
      <c r="AF71" s="3"/>
      <c r="AG71" s="3"/>
      <c r="AH71" s="3"/>
      <c r="AI71" s="3"/>
      <c r="AJ71" s="3"/>
      <c r="AK71" s="3"/>
      <c r="AL71" s="3"/>
      <c r="AM71" s="3"/>
      <c r="AN71" s="3"/>
      <c r="AO71" s="3"/>
      <c r="AP71" s="3"/>
    </row>
    <row r="72" spans="1:42" ht="14.25" customHeight="1" x14ac:dyDescent="0.2">
      <c r="A72" s="118" t="s">
        <v>587</v>
      </c>
      <c r="B72" s="118" t="s">
        <v>588</v>
      </c>
      <c r="C72" s="118">
        <v>2026</v>
      </c>
      <c r="D72" s="118" t="s">
        <v>331</v>
      </c>
      <c r="E72" s="118" t="s">
        <v>590</v>
      </c>
      <c r="F72" s="118" t="s">
        <v>591</v>
      </c>
      <c r="G72" s="118" t="s">
        <v>336</v>
      </c>
      <c r="H72" s="118" t="s">
        <v>15</v>
      </c>
      <c r="I72" s="118" t="s">
        <v>253</v>
      </c>
      <c r="J72" s="118" t="s">
        <v>589</v>
      </c>
      <c r="K72" s="118" t="s">
        <v>592</v>
      </c>
      <c r="L72" s="118">
        <v>0</v>
      </c>
      <c r="M72" s="118">
        <v>0</v>
      </c>
      <c r="N72" s="13" t="s">
        <v>16</v>
      </c>
      <c r="O72" s="7"/>
      <c r="P72" s="42" t="s">
        <v>50</v>
      </c>
      <c r="Q72" s="117"/>
      <c r="R72" s="3"/>
      <c r="S72" s="3"/>
      <c r="T72" s="3"/>
      <c r="U72" s="3"/>
      <c r="V72" s="3"/>
      <c r="W72" s="3"/>
      <c r="X72" s="3"/>
      <c r="Y72" s="3"/>
      <c r="Z72" s="3"/>
      <c r="AA72" s="3"/>
      <c r="AB72" s="3"/>
      <c r="AC72" s="3"/>
      <c r="AD72" s="3"/>
      <c r="AE72" s="3"/>
      <c r="AF72" s="3"/>
      <c r="AG72" s="3"/>
      <c r="AH72" s="3"/>
      <c r="AI72" s="3"/>
      <c r="AJ72" s="3"/>
      <c r="AK72" s="3"/>
      <c r="AL72" s="3"/>
      <c r="AM72" s="3"/>
      <c r="AN72" s="3"/>
      <c r="AO72" s="3"/>
      <c r="AP72" s="3"/>
    </row>
    <row r="73" spans="1:42" ht="14.25" customHeight="1" x14ac:dyDescent="0.2">
      <c r="A73" s="118" t="s">
        <v>593</v>
      </c>
      <c r="B73" s="118" t="s">
        <v>594</v>
      </c>
      <c r="C73" s="118">
        <v>2022</v>
      </c>
      <c r="D73" s="118" t="s">
        <v>277</v>
      </c>
      <c r="E73" s="118" t="s">
        <v>596</v>
      </c>
      <c r="F73" s="118" t="s">
        <v>597</v>
      </c>
      <c r="G73" s="118" t="s">
        <v>586</v>
      </c>
      <c r="H73" s="118" t="s">
        <v>15</v>
      </c>
      <c r="I73" s="118" t="s">
        <v>253</v>
      </c>
      <c r="J73" s="118" t="s">
        <v>595</v>
      </c>
      <c r="K73" s="118" t="s">
        <v>598</v>
      </c>
      <c r="L73" s="118">
        <v>0</v>
      </c>
      <c r="M73" s="118">
        <v>0</v>
      </c>
      <c r="N73" s="13" t="s">
        <v>16</v>
      </c>
      <c r="O73" s="7"/>
      <c r="P73" s="42" t="s">
        <v>50</v>
      </c>
      <c r="Q73" s="116"/>
      <c r="R73" s="3"/>
      <c r="S73" s="3"/>
      <c r="T73" s="3"/>
      <c r="U73" s="3"/>
      <c r="V73" s="3"/>
      <c r="W73" s="3"/>
      <c r="X73" s="3"/>
      <c r="Y73" s="3"/>
      <c r="Z73" s="3"/>
      <c r="AA73" s="3"/>
      <c r="AB73" s="3"/>
      <c r="AC73" s="3"/>
      <c r="AD73" s="3"/>
      <c r="AE73" s="3"/>
      <c r="AF73" s="3"/>
      <c r="AG73" s="3"/>
      <c r="AH73" s="3"/>
      <c r="AI73" s="3"/>
      <c r="AJ73" s="3"/>
      <c r="AK73" s="3"/>
      <c r="AL73" s="3"/>
      <c r="AM73" s="3"/>
      <c r="AN73" s="3"/>
      <c r="AO73" s="3"/>
      <c r="AP73" s="3"/>
    </row>
    <row r="74" spans="1:42" ht="14.25" customHeight="1" x14ac:dyDescent="0.2">
      <c r="A74" s="118" t="s">
        <v>1803</v>
      </c>
      <c r="B74" s="118" t="s">
        <v>1804</v>
      </c>
      <c r="C74" s="118">
        <v>2020</v>
      </c>
      <c r="D74" s="118" t="s">
        <v>317</v>
      </c>
      <c r="E74" s="118" t="s">
        <v>1806</v>
      </c>
      <c r="F74" s="118" t="s">
        <v>1807</v>
      </c>
      <c r="G74" s="118" t="s">
        <v>322</v>
      </c>
      <c r="H74" s="118" t="s">
        <v>15</v>
      </c>
      <c r="I74" s="118" t="s">
        <v>253</v>
      </c>
      <c r="J74" s="118" t="s">
        <v>1805</v>
      </c>
      <c r="K74" s="118" t="s">
        <v>1808</v>
      </c>
      <c r="L74" s="118">
        <v>0</v>
      </c>
      <c r="M74" s="118">
        <v>0</v>
      </c>
      <c r="N74" s="13" t="s">
        <v>16</v>
      </c>
      <c r="O74" s="7"/>
      <c r="P74" s="42" t="s">
        <v>50</v>
      </c>
      <c r="Q74" s="117"/>
      <c r="R74" s="3"/>
      <c r="S74" s="3"/>
      <c r="T74" s="3"/>
      <c r="U74" s="3"/>
      <c r="V74" s="3"/>
      <c r="W74" s="3"/>
      <c r="X74" s="3"/>
      <c r="Y74" s="3"/>
      <c r="Z74" s="3"/>
      <c r="AA74" s="3"/>
      <c r="AB74" s="3"/>
      <c r="AC74" s="3"/>
      <c r="AD74" s="3"/>
      <c r="AE74" s="3"/>
      <c r="AF74" s="3"/>
      <c r="AG74" s="3"/>
      <c r="AH74" s="3"/>
      <c r="AI74" s="3"/>
      <c r="AJ74" s="3"/>
      <c r="AK74" s="3"/>
      <c r="AL74" s="3"/>
      <c r="AM74" s="3"/>
      <c r="AN74" s="3"/>
      <c r="AO74" s="3"/>
      <c r="AP74" s="3"/>
    </row>
    <row r="75" spans="1:42" ht="14.25" customHeight="1" x14ac:dyDescent="0.2">
      <c r="A75" s="118" t="s">
        <v>1809</v>
      </c>
      <c r="B75" s="118" t="s">
        <v>1810</v>
      </c>
      <c r="C75" s="118">
        <v>2020</v>
      </c>
      <c r="D75" s="118" t="s">
        <v>371</v>
      </c>
      <c r="E75" s="118" t="s">
        <v>1812</v>
      </c>
      <c r="F75" s="118" t="s">
        <v>1813</v>
      </c>
      <c r="G75" s="118" t="s">
        <v>376</v>
      </c>
      <c r="H75" s="118" t="s">
        <v>15</v>
      </c>
      <c r="I75" s="118" t="s">
        <v>253</v>
      </c>
      <c r="J75" s="118" t="s">
        <v>1811</v>
      </c>
      <c r="K75" s="118" t="s">
        <v>1814</v>
      </c>
      <c r="L75" s="118">
        <v>0</v>
      </c>
      <c r="M75" s="118">
        <v>0</v>
      </c>
      <c r="N75" s="13" t="s">
        <v>16</v>
      </c>
      <c r="O75" s="4"/>
      <c r="P75" s="42" t="s">
        <v>50</v>
      </c>
      <c r="Q75" s="116"/>
      <c r="R75" s="3"/>
      <c r="S75" s="3"/>
      <c r="T75" s="3"/>
      <c r="U75" s="3"/>
      <c r="V75" s="3"/>
      <c r="W75" s="3"/>
      <c r="X75" s="3"/>
      <c r="Y75" s="3"/>
      <c r="Z75" s="3"/>
      <c r="AA75" s="3"/>
      <c r="AB75" s="3"/>
      <c r="AC75" s="3"/>
      <c r="AD75" s="3"/>
      <c r="AE75" s="3"/>
      <c r="AF75" s="3"/>
      <c r="AG75" s="3"/>
      <c r="AH75" s="3"/>
      <c r="AI75" s="3"/>
      <c r="AJ75" s="3"/>
      <c r="AK75" s="3"/>
      <c r="AL75" s="3"/>
      <c r="AM75" s="3"/>
      <c r="AN75" s="3"/>
      <c r="AO75" s="3"/>
      <c r="AP75" s="3"/>
    </row>
    <row r="76" spans="1:42" ht="14.25" customHeight="1" x14ac:dyDescent="0.2">
      <c r="A76" s="118" t="s">
        <v>1729</v>
      </c>
      <c r="B76" s="118" t="s">
        <v>1730</v>
      </c>
      <c r="C76" s="118">
        <v>2024</v>
      </c>
      <c r="D76" s="118" t="s">
        <v>256</v>
      </c>
      <c r="E76" s="118" t="s">
        <v>1732</v>
      </c>
      <c r="F76" s="118" t="s">
        <v>1733</v>
      </c>
      <c r="G76" s="118" t="s">
        <v>260</v>
      </c>
      <c r="H76" s="118" t="s">
        <v>15</v>
      </c>
      <c r="I76" s="118" t="s">
        <v>253</v>
      </c>
      <c r="J76" s="118" t="s">
        <v>1731</v>
      </c>
      <c r="K76" s="118" t="s">
        <v>1734</v>
      </c>
      <c r="L76" s="118">
        <v>0</v>
      </c>
      <c r="M76" s="118">
        <v>0</v>
      </c>
      <c r="N76" s="13" t="s">
        <v>16</v>
      </c>
      <c r="O76" s="7"/>
      <c r="P76" s="42" t="s">
        <v>50</v>
      </c>
      <c r="Q76" s="117"/>
      <c r="R76" s="3"/>
      <c r="S76" s="3"/>
      <c r="T76" s="3"/>
      <c r="U76" s="3"/>
      <c r="V76" s="3"/>
      <c r="W76" s="3"/>
      <c r="X76" s="3"/>
      <c r="Y76" s="3"/>
      <c r="Z76" s="3"/>
      <c r="AA76" s="3"/>
      <c r="AB76" s="3"/>
      <c r="AC76" s="3"/>
      <c r="AD76" s="3"/>
      <c r="AE76" s="3"/>
      <c r="AF76" s="3"/>
      <c r="AG76" s="3"/>
      <c r="AH76" s="3"/>
      <c r="AI76" s="3"/>
      <c r="AJ76" s="3"/>
      <c r="AK76" s="3"/>
      <c r="AL76" s="3"/>
      <c r="AM76" s="3"/>
      <c r="AN76" s="3"/>
      <c r="AO76" s="3"/>
      <c r="AP76" s="3"/>
    </row>
    <row r="77" spans="1:42" ht="14.25" customHeight="1" x14ac:dyDescent="0.2">
      <c r="A77" s="118" t="s">
        <v>975</v>
      </c>
      <c r="B77" s="118" t="s">
        <v>976</v>
      </c>
      <c r="C77" s="118">
        <v>2022</v>
      </c>
      <c r="D77" s="118" t="s">
        <v>977</v>
      </c>
      <c r="E77" s="118" t="s">
        <v>979</v>
      </c>
      <c r="F77" s="118" t="s">
        <v>980</v>
      </c>
      <c r="G77" s="118" t="s">
        <v>473</v>
      </c>
      <c r="H77" s="118" t="s">
        <v>15</v>
      </c>
      <c r="I77" s="118" t="s">
        <v>253</v>
      </c>
      <c r="J77" s="118" t="s">
        <v>978</v>
      </c>
      <c r="K77" s="118" t="s">
        <v>981</v>
      </c>
      <c r="L77" s="118">
        <v>0</v>
      </c>
      <c r="M77" s="118">
        <v>0</v>
      </c>
      <c r="N77" s="13" t="s">
        <v>16</v>
      </c>
      <c r="O77" s="7"/>
      <c r="P77" s="42" t="s">
        <v>50</v>
      </c>
      <c r="Q77" s="116"/>
      <c r="R77" s="3"/>
      <c r="S77" s="3"/>
      <c r="T77" s="3"/>
      <c r="U77" s="3"/>
      <c r="V77" s="3"/>
      <c r="W77" s="3"/>
      <c r="X77" s="3"/>
      <c r="Y77" s="3"/>
      <c r="Z77" s="3"/>
      <c r="AA77" s="3"/>
      <c r="AB77" s="3"/>
      <c r="AC77" s="3"/>
      <c r="AD77" s="3"/>
      <c r="AE77" s="3"/>
      <c r="AF77" s="3"/>
      <c r="AG77" s="3"/>
      <c r="AH77" s="3"/>
      <c r="AI77" s="3"/>
      <c r="AJ77" s="3"/>
      <c r="AK77" s="3"/>
      <c r="AL77" s="3"/>
      <c r="AM77" s="3"/>
      <c r="AN77" s="3"/>
      <c r="AO77" s="3"/>
      <c r="AP77" s="3"/>
    </row>
    <row r="78" spans="1:42" ht="14.25" customHeight="1" x14ac:dyDescent="0.2">
      <c r="A78" s="118" t="s">
        <v>611</v>
      </c>
      <c r="B78" s="118" t="s">
        <v>612</v>
      </c>
      <c r="C78" s="118">
        <v>2023</v>
      </c>
      <c r="D78" s="118" t="s">
        <v>317</v>
      </c>
      <c r="E78" s="118" t="s">
        <v>614</v>
      </c>
      <c r="F78" s="118" t="s">
        <v>615</v>
      </c>
      <c r="G78" s="118" t="s">
        <v>322</v>
      </c>
      <c r="H78" s="118" t="s">
        <v>15</v>
      </c>
      <c r="I78" s="118" t="s">
        <v>253</v>
      </c>
      <c r="J78" s="118" t="s">
        <v>613</v>
      </c>
      <c r="K78" s="118" t="s">
        <v>616</v>
      </c>
      <c r="L78" s="118">
        <v>0</v>
      </c>
      <c r="M78" s="118">
        <v>0</v>
      </c>
      <c r="N78" s="13" t="s">
        <v>16</v>
      </c>
      <c r="O78" s="7"/>
      <c r="P78" s="42" t="s">
        <v>50</v>
      </c>
      <c r="Q78" s="117"/>
      <c r="R78" s="3"/>
      <c r="S78" s="3"/>
      <c r="T78" s="3"/>
      <c r="U78" s="3"/>
      <c r="V78" s="3"/>
      <c r="W78" s="3"/>
      <c r="X78" s="3"/>
      <c r="Y78" s="3"/>
      <c r="Z78" s="3"/>
      <c r="AA78" s="3"/>
      <c r="AB78" s="3"/>
      <c r="AC78" s="3"/>
      <c r="AD78" s="3"/>
      <c r="AE78" s="3"/>
      <c r="AF78" s="3"/>
      <c r="AG78" s="3"/>
      <c r="AH78" s="3"/>
      <c r="AI78" s="3"/>
      <c r="AJ78" s="3"/>
      <c r="AK78" s="3"/>
      <c r="AL78" s="3"/>
      <c r="AM78" s="3"/>
      <c r="AN78" s="3"/>
      <c r="AO78" s="3"/>
      <c r="AP78" s="3"/>
    </row>
    <row r="79" spans="1:42" ht="14.25" customHeight="1" x14ac:dyDescent="0.2">
      <c r="A79" s="118" t="s">
        <v>1815</v>
      </c>
      <c r="B79" s="118" t="s">
        <v>1816</v>
      </c>
      <c r="C79" s="118">
        <v>2020</v>
      </c>
      <c r="D79" s="118" t="s">
        <v>394</v>
      </c>
      <c r="E79" s="118" t="s">
        <v>1818</v>
      </c>
      <c r="F79" s="118" t="s">
        <v>1819</v>
      </c>
      <c r="G79" s="118" t="s">
        <v>274</v>
      </c>
      <c r="H79" s="118" t="s">
        <v>15</v>
      </c>
      <c r="I79" s="118" t="s">
        <v>253</v>
      </c>
      <c r="J79" s="118" t="s">
        <v>1817</v>
      </c>
      <c r="K79" s="118" t="s">
        <v>1820</v>
      </c>
      <c r="L79" s="118">
        <v>0</v>
      </c>
      <c r="M79" s="118">
        <v>0</v>
      </c>
      <c r="N79" s="13" t="s">
        <v>16</v>
      </c>
      <c r="O79" s="7"/>
      <c r="P79" s="42" t="s">
        <v>50</v>
      </c>
      <c r="Q79" s="116"/>
      <c r="R79" s="3"/>
      <c r="S79" s="3"/>
      <c r="T79" s="3"/>
      <c r="U79" s="3"/>
      <c r="V79" s="3"/>
      <c r="W79" s="3"/>
      <c r="X79" s="3"/>
      <c r="Y79" s="3"/>
      <c r="Z79" s="3"/>
      <c r="AA79" s="3"/>
      <c r="AB79" s="3"/>
      <c r="AC79" s="3"/>
      <c r="AD79" s="3"/>
      <c r="AE79" s="3"/>
      <c r="AF79" s="3"/>
      <c r="AG79" s="3"/>
      <c r="AH79" s="3"/>
      <c r="AI79" s="3"/>
      <c r="AJ79" s="3"/>
      <c r="AK79" s="3"/>
      <c r="AL79" s="3"/>
      <c r="AM79" s="3"/>
      <c r="AN79" s="3"/>
      <c r="AO79" s="3"/>
      <c r="AP79" s="3"/>
    </row>
    <row r="80" spans="1:42" ht="14.25" customHeight="1" x14ac:dyDescent="0.2">
      <c r="A80" s="118" t="s">
        <v>1747</v>
      </c>
      <c r="B80" s="118" t="s">
        <v>1748</v>
      </c>
      <c r="C80" s="118">
        <v>2025</v>
      </c>
      <c r="D80" s="118" t="s">
        <v>460</v>
      </c>
      <c r="E80" s="118" t="s">
        <v>1750</v>
      </c>
      <c r="F80" s="118" t="s">
        <v>1751</v>
      </c>
      <c r="G80" s="118" t="s">
        <v>465</v>
      </c>
      <c r="H80" s="118" t="s">
        <v>15</v>
      </c>
      <c r="I80" s="118" t="s">
        <v>253</v>
      </c>
      <c r="J80" s="118" t="s">
        <v>1749</v>
      </c>
      <c r="K80" s="118" t="s">
        <v>1752</v>
      </c>
      <c r="L80" s="118">
        <v>0</v>
      </c>
      <c r="M80" s="118">
        <v>0</v>
      </c>
      <c r="N80" s="13" t="s">
        <v>16</v>
      </c>
      <c r="O80" s="7"/>
      <c r="P80" s="42" t="s">
        <v>50</v>
      </c>
      <c r="Q80" s="117"/>
      <c r="R80" s="3"/>
      <c r="S80" s="3"/>
      <c r="T80" s="3"/>
      <c r="U80" s="3"/>
      <c r="V80" s="3"/>
      <c r="W80" s="3"/>
      <c r="X80" s="3"/>
      <c r="Y80" s="3"/>
      <c r="Z80" s="3"/>
      <c r="AA80" s="3"/>
      <c r="AB80" s="3"/>
      <c r="AC80" s="3"/>
      <c r="AD80" s="3"/>
      <c r="AE80" s="3"/>
      <c r="AF80" s="3"/>
      <c r="AG80" s="3"/>
      <c r="AH80" s="3"/>
      <c r="AI80" s="3"/>
      <c r="AJ80" s="3"/>
      <c r="AK80" s="3"/>
      <c r="AL80" s="3"/>
      <c r="AM80" s="3"/>
      <c r="AN80" s="3"/>
      <c r="AO80" s="3"/>
      <c r="AP80" s="3"/>
    </row>
    <row r="81" spans="1:42" ht="14.25" customHeight="1" x14ac:dyDescent="0.2">
      <c r="A81" s="118" t="s">
        <v>1366</v>
      </c>
      <c r="B81" s="118" t="s">
        <v>1367</v>
      </c>
      <c r="C81" s="118">
        <v>2025</v>
      </c>
      <c r="D81" s="118" t="s">
        <v>394</v>
      </c>
      <c r="E81" s="118" t="s">
        <v>1369</v>
      </c>
      <c r="F81" s="118" t="s">
        <v>1370</v>
      </c>
      <c r="G81" s="118" t="s">
        <v>274</v>
      </c>
      <c r="H81" s="118" t="s">
        <v>15</v>
      </c>
      <c r="I81" s="118" t="s">
        <v>253</v>
      </c>
      <c r="J81" s="118" t="s">
        <v>1368</v>
      </c>
      <c r="K81" s="118" t="s">
        <v>1371</v>
      </c>
      <c r="L81" s="118">
        <v>0</v>
      </c>
      <c r="M81" s="118">
        <v>0</v>
      </c>
      <c r="N81" s="13" t="s">
        <v>16</v>
      </c>
      <c r="O81" s="7"/>
      <c r="P81" s="42" t="s">
        <v>50</v>
      </c>
      <c r="Q81" s="116"/>
      <c r="R81" s="3"/>
      <c r="S81" s="3"/>
      <c r="T81" s="3"/>
      <c r="U81" s="3"/>
      <c r="V81" s="3"/>
      <c r="W81" s="3"/>
      <c r="X81" s="3"/>
      <c r="Y81" s="3"/>
      <c r="Z81" s="3"/>
      <c r="AA81" s="3"/>
      <c r="AB81" s="3"/>
      <c r="AC81" s="3"/>
      <c r="AD81" s="3"/>
      <c r="AE81" s="3"/>
      <c r="AF81" s="3"/>
      <c r="AG81" s="3"/>
      <c r="AH81" s="3"/>
      <c r="AI81" s="3"/>
      <c r="AJ81" s="3"/>
      <c r="AK81" s="3"/>
      <c r="AL81" s="3"/>
      <c r="AM81" s="3"/>
      <c r="AN81" s="3"/>
      <c r="AO81" s="3"/>
      <c r="AP81" s="3"/>
    </row>
    <row r="82" spans="1:42" ht="14.25" customHeight="1" x14ac:dyDescent="0.2">
      <c r="A82" s="118" t="s">
        <v>221</v>
      </c>
      <c r="B82" s="118" t="s">
        <v>222</v>
      </c>
      <c r="C82" s="118">
        <v>2025</v>
      </c>
      <c r="D82" s="118" t="s">
        <v>223</v>
      </c>
      <c r="E82" s="118" t="s">
        <v>225</v>
      </c>
      <c r="F82" s="118" t="s">
        <v>226</v>
      </c>
      <c r="G82" s="118" t="s">
        <v>228</v>
      </c>
      <c r="H82" s="118" t="s">
        <v>15</v>
      </c>
      <c r="I82" s="118" t="s">
        <v>230</v>
      </c>
      <c r="J82" s="118" t="s">
        <v>224</v>
      </c>
      <c r="K82" s="118" t="s">
        <v>227</v>
      </c>
      <c r="L82" s="118">
        <v>0</v>
      </c>
      <c r="M82" s="118">
        <v>0</v>
      </c>
      <c r="N82" s="13" t="s">
        <v>16</v>
      </c>
      <c r="O82" s="7"/>
      <c r="P82" s="42" t="s">
        <v>50</v>
      </c>
      <c r="Q82" s="117"/>
      <c r="R82" s="3"/>
      <c r="S82" s="3"/>
      <c r="T82" s="3"/>
      <c r="U82" s="3"/>
      <c r="V82" s="3"/>
      <c r="W82" s="3"/>
      <c r="X82" s="3"/>
      <c r="Y82" s="3"/>
      <c r="Z82" s="3"/>
      <c r="AA82" s="3"/>
      <c r="AB82" s="3"/>
      <c r="AC82" s="3"/>
      <c r="AD82" s="3"/>
      <c r="AE82" s="3"/>
      <c r="AF82" s="3"/>
      <c r="AG82" s="3"/>
      <c r="AH82" s="3"/>
      <c r="AI82" s="3"/>
      <c r="AJ82" s="3"/>
      <c r="AK82" s="3"/>
      <c r="AL82" s="3"/>
      <c r="AM82" s="3"/>
      <c r="AN82" s="3"/>
      <c r="AO82" s="3"/>
      <c r="AP82" s="3"/>
    </row>
    <row r="83" spans="1:42" ht="14.25" customHeight="1" x14ac:dyDescent="0.2">
      <c r="A83" s="118" t="s">
        <v>231</v>
      </c>
      <c r="B83" s="118" t="s">
        <v>232</v>
      </c>
      <c r="C83" s="118">
        <v>2024</v>
      </c>
      <c r="D83" s="118" t="s">
        <v>233</v>
      </c>
      <c r="E83" s="118" t="s">
        <v>235</v>
      </c>
      <c r="F83" s="118" t="s">
        <v>236</v>
      </c>
      <c r="G83" s="118" t="s">
        <v>238</v>
      </c>
      <c r="H83" s="118" t="s">
        <v>15</v>
      </c>
      <c r="I83" s="118" t="s">
        <v>230</v>
      </c>
      <c r="J83" s="118" t="s">
        <v>234</v>
      </c>
      <c r="K83" s="118" t="s">
        <v>237</v>
      </c>
      <c r="L83" s="118">
        <v>0</v>
      </c>
      <c r="M83" s="118">
        <v>0</v>
      </c>
      <c r="N83" s="13" t="s">
        <v>16</v>
      </c>
      <c r="O83" s="4"/>
      <c r="P83" s="42" t="s">
        <v>50</v>
      </c>
      <c r="Q83" s="117"/>
      <c r="R83" s="3"/>
      <c r="S83" s="3"/>
      <c r="T83" s="3"/>
      <c r="U83" s="3"/>
      <c r="V83" s="3"/>
      <c r="W83" s="3"/>
      <c r="X83" s="3"/>
      <c r="Y83" s="3"/>
      <c r="Z83" s="3"/>
      <c r="AA83" s="3"/>
      <c r="AB83" s="3"/>
      <c r="AC83" s="3"/>
      <c r="AD83" s="3"/>
      <c r="AE83" s="3"/>
      <c r="AF83" s="3"/>
      <c r="AG83" s="3"/>
      <c r="AH83" s="3"/>
      <c r="AI83" s="3"/>
      <c r="AJ83" s="3"/>
      <c r="AK83" s="3"/>
      <c r="AL83" s="3"/>
      <c r="AM83" s="3"/>
      <c r="AN83" s="3"/>
      <c r="AO83" s="3"/>
      <c r="AP83" s="3"/>
    </row>
    <row r="84" spans="1:42" ht="14.25" customHeight="1" x14ac:dyDescent="0.2">
      <c r="A84" s="118" t="s">
        <v>239</v>
      </c>
      <c r="B84" s="118" t="s">
        <v>240</v>
      </c>
      <c r="C84" s="118">
        <v>2024</v>
      </c>
      <c r="D84" s="118" t="s">
        <v>233</v>
      </c>
      <c r="E84" s="118" t="s">
        <v>242</v>
      </c>
      <c r="F84" s="118" t="s">
        <v>243</v>
      </c>
      <c r="G84" s="118" t="s">
        <v>238</v>
      </c>
      <c r="H84" s="118" t="s">
        <v>15</v>
      </c>
      <c r="I84" s="118" t="s">
        <v>230</v>
      </c>
      <c r="J84" s="118" t="s">
        <v>241</v>
      </c>
      <c r="K84" s="118" t="s">
        <v>244</v>
      </c>
      <c r="L84" s="118">
        <v>0</v>
      </c>
      <c r="M84" s="118">
        <v>0</v>
      </c>
      <c r="N84" s="13" t="s">
        <v>16</v>
      </c>
      <c r="O84" s="7"/>
      <c r="P84" s="42" t="s">
        <v>50</v>
      </c>
      <c r="Q84" s="116"/>
      <c r="R84" s="3"/>
      <c r="S84" s="3"/>
      <c r="T84" s="3"/>
      <c r="U84" s="3"/>
      <c r="V84" s="3"/>
      <c r="W84" s="3"/>
      <c r="X84" s="3"/>
      <c r="Y84" s="3"/>
      <c r="Z84" s="3"/>
      <c r="AA84" s="3"/>
      <c r="AB84" s="3"/>
      <c r="AC84" s="3"/>
      <c r="AD84" s="3"/>
      <c r="AE84" s="3"/>
      <c r="AF84" s="3"/>
      <c r="AG84" s="3"/>
      <c r="AH84" s="3"/>
      <c r="AI84" s="3"/>
      <c r="AJ84" s="3"/>
      <c r="AK84" s="3"/>
      <c r="AL84" s="3"/>
      <c r="AM84" s="3"/>
      <c r="AN84" s="3"/>
      <c r="AO84" s="3"/>
      <c r="AP84" s="3"/>
    </row>
    <row r="85" spans="1:42" ht="14.25" customHeight="1" x14ac:dyDescent="0.2">
      <c r="A85" s="118" t="s">
        <v>245</v>
      </c>
      <c r="B85" s="118" t="s">
        <v>246</v>
      </c>
      <c r="C85" s="118">
        <v>2025</v>
      </c>
      <c r="D85" s="118" t="s">
        <v>247</v>
      </c>
      <c r="E85" s="118" t="s">
        <v>249</v>
      </c>
      <c r="F85" s="118" t="s">
        <v>250</v>
      </c>
      <c r="G85" s="118" t="s">
        <v>252</v>
      </c>
      <c r="H85" s="118" t="s">
        <v>15</v>
      </c>
      <c r="I85" s="118" t="s">
        <v>253</v>
      </c>
      <c r="J85" s="118" t="s">
        <v>248</v>
      </c>
      <c r="K85" s="118" t="s">
        <v>251</v>
      </c>
      <c r="L85" s="118">
        <v>0</v>
      </c>
      <c r="M85" s="118">
        <v>0</v>
      </c>
      <c r="N85" s="13" t="s">
        <v>16</v>
      </c>
      <c r="O85" s="7"/>
      <c r="P85" s="42" t="s">
        <v>50</v>
      </c>
      <c r="Q85" s="117"/>
      <c r="R85" s="3"/>
      <c r="S85" s="3"/>
      <c r="T85" s="3"/>
      <c r="U85" s="3"/>
      <c r="V85" s="3"/>
      <c r="W85" s="3"/>
      <c r="X85" s="3"/>
      <c r="Y85" s="3"/>
      <c r="Z85" s="3"/>
      <c r="AA85" s="3"/>
      <c r="AB85" s="3"/>
      <c r="AC85" s="3"/>
      <c r="AD85" s="3"/>
      <c r="AE85" s="3"/>
      <c r="AF85" s="3"/>
      <c r="AG85" s="3"/>
      <c r="AH85" s="3"/>
      <c r="AI85" s="3"/>
      <c r="AJ85" s="3"/>
      <c r="AK85" s="3"/>
      <c r="AL85" s="3"/>
      <c r="AM85" s="3"/>
      <c r="AN85" s="3"/>
      <c r="AO85" s="3"/>
      <c r="AP85" s="3"/>
    </row>
    <row r="86" spans="1:42" ht="14.25" customHeight="1" x14ac:dyDescent="0.2">
      <c r="A86" s="118" t="s">
        <v>254</v>
      </c>
      <c r="B86" s="118" t="s">
        <v>255</v>
      </c>
      <c r="C86" s="118">
        <v>2024</v>
      </c>
      <c r="D86" s="118" t="s">
        <v>256</v>
      </c>
      <c r="E86" s="118" t="s">
        <v>258</v>
      </c>
      <c r="F86" s="118">
        <v>0</v>
      </c>
      <c r="G86" s="118" t="s">
        <v>260</v>
      </c>
      <c r="H86" s="118" t="s">
        <v>15</v>
      </c>
      <c r="I86" s="118" t="s">
        <v>253</v>
      </c>
      <c r="J86" s="118" t="s">
        <v>257</v>
      </c>
      <c r="K86" s="118" t="s">
        <v>259</v>
      </c>
      <c r="L86" s="118">
        <v>0</v>
      </c>
      <c r="M86" s="118">
        <v>0</v>
      </c>
      <c r="N86" s="13" t="s">
        <v>16</v>
      </c>
      <c r="O86" s="7"/>
      <c r="P86" s="42" t="s">
        <v>50</v>
      </c>
      <c r="Q86" s="116"/>
      <c r="R86" s="3"/>
      <c r="S86" s="3"/>
      <c r="T86" s="3"/>
      <c r="U86" s="3"/>
      <c r="V86" s="3"/>
      <c r="W86" s="3"/>
      <c r="X86" s="3"/>
      <c r="Y86" s="3"/>
      <c r="Z86" s="3"/>
      <c r="AA86" s="3"/>
      <c r="AB86" s="3"/>
      <c r="AC86" s="3"/>
      <c r="AD86" s="3"/>
      <c r="AE86" s="3"/>
      <c r="AF86" s="3"/>
      <c r="AG86" s="3"/>
      <c r="AH86" s="3"/>
      <c r="AI86" s="3"/>
      <c r="AJ86" s="3"/>
      <c r="AK86" s="3"/>
      <c r="AL86" s="3"/>
      <c r="AM86" s="3"/>
      <c r="AN86" s="3"/>
      <c r="AO86" s="3"/>
      <c r="AP86" s="3"/>
    </row>
    <row r="87" spans="1:42" ht="14.25" customHeight="1" x14ac:dyDescent="0.2">
      <c r="A87" s="118" t="s">
        <v>261</v>
      </c>
      <c r="B87" s="118" t="s">
        <v>262</v>
      </c>
      <c r="C87" s="118">
        <v>2024</v>
      </c>
      <c r="D87" s="118" t="s">
        <v>233</v>
      </c>
      <c r="E87" s="118" t="s">
        <v>264</v>
      </c>
      <c r="F87" s="118" t="s">
        <v>265</v>
      </c>
      <c r="G87" s="118" t="s">
        <v>238</v>
      </c>
      <c r="H87" s="118" t="s">
        <v>15</v>
      </c>
      <c r="I87" s="118" t="s">
        <v>230</v>
      </c>
      <c r="J87" s="118" t="s">
        <v>263</v>
      </c>
      <c r="K87" s="118" t="s">
        <v>266</v>
      </c>
      <c r="L87" s="118">
        <v>0</v>
      </c>
      <c r="M87" s="118">
        <v>0</v>
      </c>
      <c r="N87" s="13" t="s">
        <v>16</v>
      </c>
      <c r="O87" s="7"/>
      <c r="P87" s="42" t="s">
        <v>50</v>
      </c>
      <c r="Q87" s="117"/>
      <c r="R87" s="3"/>
      <c r="S87" s="3"/>
      <c r="T87" s="3"/>
      <c r="U87" s="3"/>
      <c r="V87" s="3"/>
      <c r="W87" s="3"/>
      <c r="X87" s="3"/>
      <c r="Y87" s="3"/>
      <c r="Z87" s="3"/>
      <c r="AA87" s="3"/>
      <c r="AB87" s="3"/>
      <c r="AC87" s="3"/>
      <c r="AD87" s="3"/>
      <c r="AE87" s="3"/>
      <c r="AF87" s="3"/>
      <c r="AG87" s="3"/>
      <c r="AH87" s="3"/>
      <c r="AI87" s="3"/>
      <c r="AJ87" s="3"/>
      <c r="AK87" s="3"/>
      <c r="AL87" s="3"/>
      <c r="AM87" s="3"/>
      <c r="AN87" s="3"/>
      <c r="AO87" s="3"/>
      <c r="AP87" s="3"/>
    </row>
    <row r="88" spans="1:42" ht="14.25" customHeight="1" x14ac:dyDescent="0.2">
      <c r="A88" s="118" t="s">
        <v>267</v>
      </c>
      <c r="B88" s="118" t="s">
        <v>268</v>
      </c>
      <c r="C88" s="118">
        <v>2025</v>
      </c>
      <c r="D88" s="118" t="s">
        <v>269</v>
      </c>
      <c r="E88" s="118" t="s">
        <v>271</v>
      </c>
      <c r="F88" s="118" t="s">
        <v>272</v>
      </c>
      <c r="G88" s="118" t="s">
        <v>274</v>
      </c>
      <c r="H88" s="118" t="s">
        <v>15</v>
      </c>
      <c r="I88" s="118" t="s">
        <v>253</v>
      </c>
      <c r="J88" s="118" t="s">
        <v>270</v>
      </c>
      <c r="K88" s="118" t="s">
        <v>273</v>
      </c>
      <c r="L88" s="118">
        <v>0</v>
      </c>
      <c r="M88" s="118">
        <v>0</v>
      </c>
      <c r="N88" s="13" t="s">
        <v>16</v>
      </c>
      <c r="O88" s="7"/>
      <c r="P88" s="42" t="s">
        <v>50</v>
      </c>
      <c r="Q88" s="116"/>
      <c r="R88" s="3"/>
      <c r="S88" s="3"/>
      <c r="T88" s="3"/>
      <c r="U88" s="3"/>
      <c r="V88" s="3"/>
      <c r="W88" s="3"/>
      <c r="X88" s="3"/>
      <c r="Y88" s="3"/>
      <c r="Z88" s="3"/>
      <c r="AA88" s="3"/>
      <c r="AB88" s="3"/>
      <c r="AC88" s="3"/>
      <c r="AD88" s="3"/>
      <c r="AE88" s="3"/>
      <c r="AF88" s="3"/>
      <c r="AG88" s="3"/>
      <c r="AH88" s="3"/>
      <c r="AI88" s="3"/>
      <c r="AJ88" s="3"/>
      <c r="AK88" s="3"/>
      <c r="AL88" s="3"/>
      <c r="AM88" s="3"/>
      <c r="AN88" s="3"/>
      <c r="AO88" s="3"/>
      <c r="AP88" s="3"/>
    </row>
    <row r="89" spans="1:42" ht="14.25" customHeight="1" x14ac:dyDescent="0.2">
      <c r="A89" s="118" t="s">
        <v>275</v>
      </c>
      <c r="B89" s="118" t="s">
        <v>276</v>
      </c>
      <c r="C89" s="118">
        <v>2026</v>
      </c>
      <c r="D89" s="118" t="s">
        <v>277</v>
      </c>
      <c r="E89" s="118" t="s">
        <v>279</v>
      </c>
      <c r="F89" s="118" t="s">
        <v>280</v>
      </c>
      <c r="G89" s="118" t="s">
        <v>282</v>
      </c>
      <c r="H89" s="118" t="s">
        <v>15</v>
      </c>
      <c r="I89" s="118" t="s">
        <v>253</v>
      </c>
      <c r="J89" s="118" t="s">
        <v>278</v>
      </c>
      <c r="K89" s="118" t="s">
        <v>281</v>
      </c>
      <c r="L89" s="118">
        <v>0</v>
      </c>
      <c r="M89" s="118">
        <v>0</v>
      </c>
      <c r="N89" s="13" t="s">
        <v>16</v>
      </c>
      <c r="O89" s="7"/>
      <c r="P89" s="42" t="s">
        <v>50</v>
      </c>
      <c r="Q89" s="117"/>
      <c r="R89" s="3"/>
      <c r="S89" s="3"/>
      <c r="T89" s="3"/>
      <c r="U89" s="3"/>
      <c r="V89" s="3"/>
      <c r="W89" s="3"/>
      <c r="X89" s="3"/>
      <c r="Y89" s="3"/>
      <c r="Z89" s="3"/>
      <c r="AA89" s="3"/>
      <c r="AB89" s="3"/>
      <c r="AC89" s="3"/>
      <c r="AD89" s="3"/>
      <c r="AE89" s="3"/>
      <c r="AF89" s="3"/>
      <c r="AG89" s="3"/>
      <c r="AH89" s="3"/>
      <c r="AI89" s="3"/>
      <c r="AJ89" s="3"/>
      <c r="AK89" s="3"/>
      <c r="AL89" s="3"/>
      <c r="AM89" s="3"/>
      <c r="AN89" s="3"/>
      <c r="AO89" s="3"/>
      <c r="AP89" s="3"/>
    </row>
    <row r="90" spans="1:42" ht="14.25" customHeight="1" x14ac:dyDescent="0.2">
      <c r="A90" s="118" t="s">
        <v>283</v>
      </c>
      <c r="B90" s="118" t="s">
        <v>284</v>
      </c>
      <c r="C90" s="118">
        <v>2022</v>
      </c>
      <c r="D90" s="118" t="s">
        <v>233</v>
      </c>
      <c r="E90" s="118" t="s">
        <v>286</v>
      </c>
      <c r="F90" s="118" t="s">
        <v>287</v>
      </c>
      <c r="G90" s="118" t="s">
        <v>238</v>
      </c>
      <c r="H90" s="118" t="s">
        <v>15</v>
      </c>
      <c r="I90" s="118" t="s">
        <v>230</v>
      </c>
      <c r="J90" s="118" t="s">
        <v>285</v>
      </c>
      <c r="K90" s="118">
        <v>0</v>
      </c>
      <c r="L90" s="118">
        <v>0</v>
      </c>
      <c r="M90" s="118">
        <v>0</v>
      </c>
      <c r="N90" s="13" t="s">
        <v>16</v>
      </c>
      <c r="O90" s="7"/>
      <c r="P90" s="42" t="s">
        <v>50</v>
      </c>
      <c r="Q90" s="116"/>
      <c r="R90" s="3"/>
      <c r="S90" s="3"/>
      <c r="T90" s="3"/>
      <c r="U90" s="3"/>
      <c r="V90" s="3"/>
      <c r="W90" s="3"/>
      <c r="X90" s="3"/>
      <c r="Y90" s="3"/>
      <c r="Z90" s="3"/>
      <c r="AA90" s="3"/>
      <c r="AB90" s="3"/>
      <c r="AC90" s="3"/>
      <c r="AD90" s="3"/>
      <c r="AE90" s="3"/>
      <c r="AF90" s="3"/>
      <c r="AG90" s="3"/>
      <c r="AH90" s="3"/>
      <c r="AI90" s="3"/>
      <c r="AJ90" s="3"/>
      <c r="AK90" s="3"/>
      <c r="AL90" s="3"/>
      <c r="AM90" s="3"/>
      <c r="AN90" s="3"/>
      <c r="AO90" s="3"/>
      <c r="AP90" s="3"/>
    </row>
    <row r="91" spans="1:42" ht="14.25" customHeight="1" x14ac:dyDescent="0.2">
      <c r="A91" s="118" t="s">
        <v>288</v>
      </c>
      <c r="B91" s="118" t="s">
        <v>289</v>
      </c>
      <c r="C91" s="118">
        <v>2022</v>
      </c>
      <c r="D91" s="118" t="s">
        <v>290</v>
      </c>
      <c r="E91" s="118" t="s">
        <v>292</v>
      </c>
      <c r="F91" s="118" t="s">
        <v>293</v>
      </c>
      <c r="G91" s="118" t="s">
        <v>228</v>
      </c>
      <c r="H91" s="118" t="s">
        <v>15</v>
      </c>
      <c r="I91" s="118" t="s">
        <v>253</v>
      </c>
      <c r="J91" s="118" t="s">
        <v>291</v>
      </c>
      <c r="K91" s="118" t="s">
        <v>294</v>
      </c>
      <c r="L91" s="118">
        <v>0</v>
      </c>
      <c r="M91" s="118">
        <v>0</v>
      </c>
      <c r="N91" s="13" t="s">
        <v>16</v>
      </c>
      <c r="O91" s="7"/>
      <c r="P91" s="42" t="s">
        <v>50</v>
      </c>
      <c r="Q91" s="117"/>
      <c r="R91" s="3"/>
      <c r="S91" s="3"/>
      <c r="T91" s="3"/>
      <c r="U91" s="3"/>
      <c r="V91" s="3"/>
      <c r="W91" s="3"/>
      <c r="X91" s="3"/>
      <c r="Y91" s="3"/>
      <c r="Z91" s="3"/>
      <c r="AA91" s="3"/>
      <c r="AB91" s="3"/>
      <c r="AC91" s="3"/>
      <c r="AD91" s="3"/>
      <c r="AE91" s="3"/>
      <c r="AF91" s="3"/>
      <c r="AG91" s="3"/>
      <c r="AH91" s="3"/>
      <c r="AI91" s="3"/>
      <c r="AJ91" s="3"/>
      <c r="AK91" s="3"/>
      <c r="AL91" s="3"/>
      <c r="AM91" s="3"/>
      <c r="AN91" s="3"/>
      <c r="AO91" s="3"/>
      <c r="AP91" s="3"/>
    </row>
    <row r="92" spans="1:42" ht="14.25" customHeight="1" x14ac:dyDescent="0.2">
      <c r="A92" s="118" t="s">
        <v>295</v>
      </c>
      <c r="B92" s="118" t="s">
        <v>296</v>
      </c>
      <c r="C92" s="118">
        <v>2023</v>
      </c>
      <c r="D92" s="118" t="s">
        <v>297</v>
      </c>
      <c r="E92" s="118" t="s">
        <v>299</v>
      </c>
      <c r="F92" s="118" t="s">
        <v>300</v>
      </c>
      <c r="G92" s="118" t="s">
        <v>282</v>
      </c>
      <c r="H92" s="118" t="s">
        <v>15</v>
      </c>
      <c r="I92" s="118" t="s">
        <v>302</v>
      </c>
      <c r="J92" s="118" t="s">
        <v>298</v>
      </c>
      <c r="K92" s="118" t="s">
        <v>301</v>
      </c>
      <c r="L92" s="118">
        <v>0</v>
      </c>
      <c r="M92" s="118">
        <v>0</v>
      </c>
      <c r="N92" s="13" t="s">
        <v>16</v>
      </c>
      <c r="O92" s="4"/>
      <c r="P92" s="42" t="s">
        <v>50</v>
      </c>
      <c r="Q92" s="116"/>
      <c r="R92" s="3"/>
      <c r="S92" s="3"/>
      <c r="T92" s="3"/>
      <c r="U92" s="3"/>
      <c r="V92" s="3"/>
      <c r="W92" s="3"/>
      <c r="X92" s="3"/>
      <c r="Y92" s="3"/>
      <c r="Z92" s="3"/>
      <c r="AA92" s="3"/>
      <c r="AB92" s="3"/>
      <c r="AC92" s="3"/>
      <c r="AD92" s="3"/>
      <c r="AE92" s="3"/>
      <c r="AF92" s="3"/>
      <c r="AG92" s="3"/>
      <c r="AH92" s="3"/>
      <c r="AI92" s="3"/>
      <c r="AJ92" s="3"/>
      <c r="AK92" s="3"/>
      <c r="AL92" s="3"/>
      <c r="AM92" s="3"/>
      <c r="AN92" s="3"/>
      <c r="AO92" s="3"/>
      <c r="AP92" s="3"/>
    </row>
    <row r="93" spans="1:42" ht="14.25" customHeight="1" x14ac:dyDescent="0.2">
      <c r="A93" s="118" t="s">
        <v>303</v>
      </c>
      <c r="B93" s="118" t="s">
        <v>304</v>
      </c>
      <c r="C93" s="118">
        <v>2025</v>
      </c>
      <c r="D93" s="118" t="s">
        <v>233</v>
      </c>
      <c r="E93" s="118" t="s">
        <v>306</v>
      </c>
      <c r="F93" s="118" t="s">
        <v>307</v>
      </c>
      <c r="G93" s="118" t="s">
        <v>238</v>
      </c>
      <c r="H93" s="118" t="s">
        <v>15</v>
      </c>
      <c r="I93" s="118" t="s">
        <v>230</v>
      </c>
      <c r="J93" s="118" t="s">
        <v>305</v>
      </c>
      <c r="K93" s="118" t="s">
        <v>308</v>
      </c>
      <c r="L93" s="118">
        <v>0</v>
      </c>
      <c r="M93" s="118">
        <v>0</v>
      </c>
      <c r="N93" s="13" t="s">
        <v>16</v>
      </c>
      <c r="O93" s="4"/>
      <c r="P93" s="42" t="s">
        <v>50</v>
      </c>
      <c r="Q93" s="117"/>
      <c r="R93" s="3"/>
      <c r="S93" s="3"/>
      <c r="T93" s="3"/>
      <c r="U93" s="3"/>
      <c r="V93" s="3"/>
      <c r="W93" s="3"/>
      <c r="X93" s="3"/>
      <c r="Y93" s="3"/>
      <c r="Z93" s="3"/>
      <c r="AA93" s="3"/>
      <c r="AB93" s="3"/>
      <c r="AC93" s="3"/>
      <c r="AD93" s="3"/>
      <c r="AE93" s="3"/>
      <c r="AF93" s="3"/>
      <c r="AG93" s="3"/>
      <c r="AH93" s="3"/>
      <c r="AI93" s="3"/>
      <c r="AJ93" s="3"/>
      <c r="AK93" s="3"/>
      <c r="AL93" s="3"/>
      <c r="AM93" s="3"/>
      <c r="AN93" s="3"/>
      <c r="AO93" s="3"/>
      <c r="AP93" s="3"/>
    </row>
    <row r="94" spans="1:42" ht="14.25" customHeight="1" x14ac:dyDescent="0.2">
      <c r="A94" s="118" t="s">
        <v>309</v>
      </c>
      <c r="B94" s="118" t="s">
        <v>310</v>
      </c>
      <c r="C94" s="118">
        <v>2023</v>
      </c>
      <c r="D94" s="118" t="s">
        <v>233</v>
      </c>
      <c r="E94" s="118" t="s">
        <v>312</v>
      </c>
      <c r="F94" s="118" t="s">
        <v>313</v>
      </c>
      <c r="G94" s="118" t="s">
        <v>238</v>
      </c>
      <c r="H94" s="118" t="s">
        <v>15</v>
      </c>
      <c r="I94" s="118" t="s">
        <v>230</v>
      </c>
      <c r="J94" s="118" t="s">
        <v>311</v>
      </c>
      <c r="K94" s="118" t="s">
        <v>314</v>
      </c>
      <c r="L94" s="118">
        <v>0</v>
      </c>
      <c r="M94" s="118">
        <v>0</v>
      </c>
      <c r="N94" s="13" t="s">
        <v>16</v>
      </c>
      <c r="O94" s="7"/>
      <c r="P94" s="42" t="s">
        <v>50</v>
      </c>
      <c r="Q94" s="116"/>
      <c r="R94" s="3"/>
      <c r="S94" s="3"/>
      <c r="T94" s="3"/>
      <c r="U94" s="3"/>
      <c r="V94" s="3"/>
      <c r="W94" s="3"/>
      <c r="X94" s="3"/>
      <c r="Y94" s="3"/>
      <c r="Z94" s="3"/>
      <c r="AA94" s="3"/>
      <c r="AB94" s="3"/>
      <c r="AC94" s="3"/>
      <c r="AD94" s="3"/>
      <c r="AE94" s="3"/>
      <c r="AF94" s="3"/>
      <c r="AG94" s="3"/>
      <c r="AH94" s="3"/>
      <c r="AI94" s="3"/>
      <c r="AJ94" s="3"/>
      <c r="AK94" s="3"/>
      <c r="AL94" s="3"/>
      <c r="AM94" s="3"/>
      <c r="AN94" s="3"/>
      <c r="AO94" s="3"/>
      <c r="AP94" s="3"/>
    </row>
    <row r="95" spans="1:42" ht="14.25" customHeight="1" x14ac:dyDescent="0.2">
      <c r="A95" s="118" t="s">
        <v>315</v>
      </c>
      <c r="B95" s="118" t="s">
        <v>316</v>
      </c>
      <c r="C95" s="118">
        <v>2024</v>
      </c>
      <c r="D95" s="118" t="s">
        <v>317</v>
      </c>
      <c r="E95" s="118" t="s">
        <v>319</v>
      </c>
      <c r="F95" s="118" t="s">
        <v>320</v>
      </c>
      <c r="G95" s="118" t="s">
        <v>322</v>
      </c>
      <c r="H95" s="118" t="s">
        <v>15</v>
      </c>
      <c r="I95" s="118" t="s">
        <v>253</v>
      </c>
      <c r="J95" s="118" t="s">
        <v>318</v>
      </c>
      <c r="K95" s="118" t="s">
        <v>321</v>
      </c>
      <c r="L95" s="118">
        <v>0</v>
      </c>
      <c r="M95" s="118">
        <v>0</v>
      </c>
      <c r="N95" s="13" t="s">
        <v>16</v>
      </c>
      <c r="O95" s="7"/>
      <c r="P95" s="42" t="s">
        <v>50</v>
      </c>
      <c r="Q95" s="117"/>
      <c r="R95" s="3"/>
      <c r="S95" s="3"/>
      <c r="T95" s="3"/>
      <c r="U95" s="3"/>
      <c r="V95" s="3"/>
      <c r="W95" s="3"/>
      <c r="X95" s="3"/>
      <c r="Y95" s="3"/>
      <c r="Z95" s="3"/>
      <c r="AA95" s="3"/>
      <c r="AB95" s="3"/>
      <c r="AC95" s="3"/>
      <c r="AD95" s="3"/>
      <c r="AE95" s="3"/>
      <c r="AF95" s="3"/>
      <c r="AG95" s="3"/>
      <c r="AH95" s="3"/>
      <c r="AI95" s="3"/>
      <c r="AJ95" s="3"/>
      <c r="AK95" s="3"/>
      <c r="AL95" s="3"/>
      <c r="AM95" s="3"/>
      <c r="AN95" s="3"/>
      <c r="AO95" s="3"/>
      <c r="AP95" s="3"/>
    </row>
    <row r="96" spans="1:42" ht="14.25" customHeight="1" x14ac:dyDescent="0.2">
      <c r="A96" s="118" t="s">
        <v>323</v>
      </c>
      <c r="B96" s="118" t="s">
        <v>324</v>
      </c>
      <c r="C96" s="118">
        <v>2022</v>
      </c>
      <c r="D96" s="118" t="s">
        <v>233</v>
      </c>
      <c r="E96" s="118" t="s">
        <v>326</v>
      </c>
      <c r="F96" s="118" t="s">
        <v>327</v>
      </c>
      <c r="G96" s="118" t="s">
        <v>238</v>
      </c>
      <c r="H96" s="118" t="s">
        <v>15</v>
      </c>
      <c r="I96" s="118" t="s">
        <v>230</v>
      </c>
      <c r="J96" s="118" t="s">
        <v>325</v>
      </c>
      <c r="K96" s="118" t="s">
        <v>328</v>
      </c>
      <c r="L96" s="118">
        <v>0</v>
      </c>
      <c r="M96" s="118">
        <v>0</v>
      </c>
      <c r="N96" s="13" t="s">
        <v>16</v>
      </c>
      <c r="O96" s="7"/>
      <c r="P96" s="42" t="s">
        <v>50</v>
      </c>
      <c r="Q96" s="116"/>
      <c r="R96" s="3"/>
      <c r="S96" s="3"/>
      <c r="T96" s="3"/>
      <c r="U96" s="3"/>
      <c r="V96" s="3"/>
      <c r="W96" s="3"/>
      <c r="X96" s="3"/>
      <c r="Y96" s="3"/>
      <c r="Z96" s="3"/>
      <c r="AA96" s="3"/>
      <c r="AB96" s="3"/>
      <c r="AC96" s="3"/>
      <c r="AD96" s="3"/>
      <c r="AE96" s="3"/>
      <c r="AF96" s="3"/>
      <c r="AG96" s="3"/>
      <c r="AH96" s="3"/>
      <c r="AI96" s="3"/>
      <c r="AJ96" s="3"/>
      <c r="AK96" s="3"/>
      <c r="AL96" s="3"/>
      <c r="AM96" s="3"/>
      <c r="AN96" s="3"/>
      <c r="AO96" s="3"/>
      <c r="AP96" s="3"/>
    </row>
    <row r="97" spans="1:42" ht="14.25" customHeight="1" x14ac:dyDescent="0.2">
      <c r="A97" s="118" t="s">
        <v>329</v>
      </c>
      <c r="B97" s="118" t="s">
        <v>330</v>
      </c>
      <c r="C97" s="118">
        <v>2025</v>
      </c>
      <c r="D97" s="118" t="s">
        <v>331</v>
      </c>
      <c r="E97" s="118" t="s">
        <v>333</v>
      </c>
      <c r="F97" s="118" t="s">
        <v>334</v>
      </c>
      <c r="G97" s="118" t="s">
        <v>336</v>
      </c>
      <c r="H97" s="118" t="s">
        <v>15</v>
      </c>
      <c r="I97" s="118" t="s">
        <v>302</v>
      </c>
      <c r="J97" s="118" t="s">
        <v>332</v>
      </c>
      <c r="K97" s="118" t="s">
        <v>335</v>
      </c>
      <c r="L97" s="118">
        <v>0</v>
      </c>
      <c r="M97" s="118">
        <v>0</v>
      </c>
      <c r="N97" s="13" t="s">
        <v>16</v>
      </c>
      <c r="O97" s="7"/>
      <c r="P97" s="42" t="s">
        <v>50</v>
      </c>
      <c r="Q97" s="117"/>
      <c r="R97" s="3"/>
      <c r="S97" s="3"/>
      <c r="T97" s="3"/>
      <c r="U97" s="3"/>
      <c r="V97" s="3"/>
      <c r="W97" s="3"/>
      <c r="X97" s="3"/>
      <c r="Y97" s="3"/>
      <c r="Z97" s="3"/>
      <c r="AA97" s="3"/>
      <c r="AB97" s="3"/>
      <c r="AC97" s="3"/>
      <c r="AD97" s="3"/>
      <c r="AE97" s="3"/>
      <c r="AF97" s="3"/>
      <c r="AG97" s="3"/>
      <c r="AH97" s="3"/>
      <c r="AI97" s="3"/>
      <c r="AJ97" s="3"/>
      <c r="AK97" s="3"/>
      <c r="AL97" s="3"/>
      <c r="AM97" s="3"/>
      <c r="AN97" s="3"/>
      <c r="AO97" s="3"/>
      <c r="AP97" s="3"/>
    </row>
    <row r="98" spans="1:42" ht="14.25" customHeight="1" x14ac:dyDescent="0.2">
      <c r="A98" s="118" t="s">
        <v>337</v>
      </c>
      <c r="B98" s="118" t="s">
        <v>338</v>
      </c>
      <c r="C98" s="118">
        <v>2025</v>
      </c>
      <c r="D98" s="118" t="s">
        <v>233</v>
      </c>
      <c r="E98" s="118" t="s">
        <v>340</v>
      </c>
      <c r="F98" s="118" t="s">
        <v>341</v>
      </c>
      <c r="G98" s="118" t="s">
        <v>238</v>
      </c>
      <c r="H98" s="118" t="s">
        <v>15</v>
      </c>
      <c r="I98" s="118" t="s">
        <v>230</v>
      </c>
      <c r="J98" s="118" t="s">
        <v>339</v>
      </c>
      <c r="K98" s="118" t="s">
        <v>342</v>
      </c>
      <c r="L98" s="118">
        <v>0</v>
      </c>
      <c r="M98" s="118">
        <v>0</v>
      </c>
      <c r="N98" s="13" t="s">
        <v>16</v>
      </c>
      <c r="O98" s="7"/>
      <c r="P98" s="42" t="s">
        <v>50</v>
      </c>
      <c r="Q98" s="116"/>
      <c r="R98" s="3"/>
      <c r="S98" s="3"/>
      <c r="T98" s="3"/>
      <c r="U98" s="3"/>
      <c r="V98" s="3"/>
      <c r="W98" s="3"/>
      <c r="X98" s="3"/>
      <c r="Y98" s="3"/>
      <c r="Z98" s="3"/>
      <c r="AA98" s="3"/>
      <c r="AB98" s="3"/>
      <c r="AC98" s="3"/>
      <c r="AD98" s="3"/>
      <c r="AE98" s="3"/>
      <c r="AF98" s="3"/>
      <c r="AG98" s="3"/>
      <c r="AH98" s="3"/>
      <c r="AI98" s="3"/>
      <c r="AJ98" s="3"/>
      <c r="AK98" s="3"/>
      <c r="AL98" s="3"/>
      <c r="AM98" s="3"/>
      <c r="AN98" s="3"/>
      <c r="AO98" s="3"/>
      <c r="AP98" s="3"/>
    </row>
    <row r="99" spans="1:42" ht="14.25" customHeight="1" x14ac:dyDescent="0.2">
      <c r="A99" s="118" t="s">
        <v>343</v>
      </c>
      <c r="B99" s="118" t="s">
        <v>344</v>
      </c>
      <c r="C99" s="118">
        <v>2025</v>
      </c>
      <c r="D99" s="118" t="s">
        <v>345</v>
      </c>
      <c r="E99" s="118" t="s">
        <v>347</v>
      </c>
      <c r="F99" s="118" t="s">
        <v>348</v>
      </c>
      <c r="G99" s="118" t="s">
        <v>350</v>
      </c>
      <c r="H99" s="118" t="s">
        <v>15</v>
      </c>
      <c r="I99" s="118" t="s">
        <v>253</v>
      </c>
      <c r="J99" s="118" t="s">
        <v>346</v>
      </c>
      <c r="K99" s="118" t="s">
        <v>349</v>
      </c>
      <c r="L99" s="118">
        <v>0</v>
      </c>
      <c r="M99" s="118">
        <v>0</v>
      </c>
      <c r="N99" s="13" t="s">
        <v>16</v>
      </c>
      <c r="O99" s="7"/>
      <c r="P99" s="42" t="s">
        <v>50</v>
      </c>
      <c r="Q99" s="117"/>
      <c r="R99" s="3"/>
      <c r="S99" s="3"/>
      <c r="T99" s="3"/>
      <c r="U99" s="3"/>
      <c r="V99" s="3"/>
      <c r="W99" s="3"/>
      <c r="X99" s="3"/>
      <c r="Y99" s="3"/>
      <c r="Z99" s="3"/>
      <c r="AA99" s="3"/>
      <c r="AB99" s="3"/>
      <c r="AC99" s="3"/>
      <c r="AD99" s="3"/>
      <c r="AE99" s="3"/>
      <c r="AF99" s="3"/>
      <c r="AG99" s="3"/>
      <c r="AH99" s="3"/>
      <c r="AI99" s="3"/>
      <c r="AJ99" s="3"/>
      <c r="AK99" s="3"/>
      <c r="AL99" s="3"/>
      <c r="AM99" s="3"/>
      <c r="AN99" s="3"/>
      <c r="AO99" s="3"/>
      <c r="AP99" s="3"/>
    </row>
    <row r="100" spans="1:42" ht="14.25" customHeight="1" x14ac:dyDescent="0.2">
      <c r="A100" s="118" t="s">
        <v>351</v>
      </c>
      <c r="B100" s="118" t="s">
        <v>352</v>
      </c>
      <c r="C100" s="118">
        <v>2022</v>
      </c>
      <c r="D100" s="118" t="s">
        <v>233</v>
      </c>
      <c r="E100" s="118" t="s">
        <v>354</v>
      </c>
      <c r="F100" s="118" t="s">
        <v>355</v>
      </c>
      <c r="G100" s="118" t="s">
        <v>238</v>
      </c>
      <c r="H100" s="118" t="s">
        <v>15</v>
      </c>
      <c r="I100" s="118" t="s">
        <v>230</v>
      </c>
      <c r="J100" s="118" t="s">
        <v>353</v>
      </c>
      <c r="K100" s="118" t="s">
        <v>356</v>
      </c>
      <c r="L100" s="118">
        <v>0</v>
      </c>
      <c r="M100" s="118">
        <v>0</v>
      </c>
      <c r="N100" s="13" t="s">
        <v>16</v>
      </c>
      <c r="O100" s="7"/>
      <c r="P100" s="42" t="s">
        <v>50</v>
      </c>
      <c r="Q100" s="116"/>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row>
    <row r="101" spans="1:42" ht="14.25" customHeight="1" x14ac:dyDescent="0.2">
      <c r="A101" s="118" t="s">
        <v>357</v>
      </c>
      <c r="B101" s="118" t="s">
        <v>358</v>
      </c>
      <c r="C101" s="118">
        <v>2022</v>
      </c>
      <c r="D101" s="118" t="s">
        <v>233</v>
      </c>
      <c r="E101" s="118" t="s">
        <v>360</v>
      </c>
      <c r="F101" s="118" t="s">
        <v>361</v>
      </c>
      <c r="G101" s="118" t="s">
        <v>238</v>
      </c>
      <c r="H101" s="118" t="s">
        <v>15</v>
      </c>
      <c r="I101" s="118" t="s">
        <v>230</v>
      </c>
      <c r="J101" s="118" t="s">
        <v>359</v>
      </c>
      <c r="K101" s="118" t="s">
        <v>362</v>
      </c>
      <c r="L101" s="118">
        <v>0</v>
      </c>
      <c r="M101" s="118">
        <v>0</v>
      </c>
      <c r="N101" s="13" t="s">
        <v>16</v>
      </c>
      <c r="O101" s="7"/>
      <c r="P101" s="42" t="s">
        <v>50</v>
      </c>
      <c r="Q101" s="117"/>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row>
    <row r="102" spans="1:42" ht="14.25" customHeight="1" x14ac:dyDescent="0.2">
      <c r="A102" s="118" t="s">
        <v>363</v>
      </c>
      <c r="B102" s="118" t="s">
        <v>364</v>
      </c>
      <c r="C102" s="118">
        <v>2025</v>
      </c>
      <c r="D102" s="118" t="s">
        <v>277</v>
      </c>
      <c r="E102" s="118" t="s">
        <v>366</v>
      </c>
      <c r="F102" s="118" t="s">
        <v>367</v>
      </c>
      <c r="G102" s="118" t="s">
        <v>282</v>
      </c>
      <c r="H102" s="118" t="s">
        <v>15</v>
      </c>
      <c r="I102" s="118" t="s">
        <v>253</v>
      </c>
      <c r="J102" s="118" t="s">
        <v>365</v>
      </c>
      <c r="K102" s="118" t="s">
        <v>368</v>
      </c>
      <c r="L102" s="118">
        <v>0</v>
      </c>
      <c r="M102" s="118">
        <v>0</v>
      </c>
      <c r="N102" s="3"/>
      <c r="O102" s="4" t="s">
        <v>16</v>
      </c>
      <c r="P102" s="42" t="s">
        <v>50</v>
      </c>
      <c r="Q102" s="116"/>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row>
    <row r="103" spans="1:42" ht="14.25" customHeight="1" x14ac:dyDescent="0.2">
      <c r="A103" s="118" t="s">
        <v>369</v>
      </c>
      <c r="B103" s="118" t="s">
        <v>370</v>
      </c>
      <c r="C103" s="118">
        <v>2022</v>
      </c>
      <c r="D103" s="118" t="s">
        <v>371</v>
      </c>
      <c r="E103" s="118" t="s">
        <v>373</v>
      </c>
      <c r="F103" s="118" t="s">
        <v>374</v>
      </c>
      <c r="G103" s="118" t="s">
        <v>376</v>
      </c>
      <c r="H103" s="118" t="s">
        <v>15</v>
      </c>
      <c r="I103" s="118" t="s">
        <v>253</v>
      </c>
      <c r="J103" s="118" t="s">
        <v>372</v>
      </c>
      <c r="K103" s="118" t="s">
        <v>375</v>
      </c>
      <c r="L103" s="118">
        <v>0</v>
      </c>
      <c r="M103" s="118">
        <v>0</v>
      </c>
      <c r="N103" s="4"/>
      <c r="O103" s="4" t="s">
        <v>16</v>
      </c>
      <c r="P103" s="42" t="s">
        <v>50</v>
      </c>
      <c r="Q103" s="117"/>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row>
    <row r="104" spans="1:42" ht="14.25" customHeight="1" x14ac:dyDescent="0.2">
      <c r="A104" s="118" t="s">
        <v>377</v>
      </c>
      <c r="B104" s="118" t="s">
        <v>378</v>
      </c>
      <c r="C104" s="118">
        <v>2025</v>
      </c>
      <c r="D104" s="118" t="s">
        <v>233</v>
      </c>
      <c r="E104" s="118" t="s">
        <v>380</v>
      </c>
      <c r="F104" s="118" t="s">
        <v>381</v>
      </c>
      <c r="G104" s="118" t="s">
        <v>238</v>
      </c>
      <c r="H104" s="118" t="s">
        <v>15</v>
      </c>
      <c r="I104" s="118" t="s">
        <v>230</v>
      </c>
      <c r="J104" s="118" t="s">
        <v>379</v>
      </c>
      <c r="K104" s="118" t="s">
        <v>382</v>
      </c>
      <c r="L104" s="118">
        <v>0</v>
      </c>
      <c r="M104" s="118">
        <v>0</v>
      </c>
      <c r="N104" s="4"/>
      <c r="O104" s="4" t="s">
        <v>16</v>
      </c>
      <c r="P104" s="42" t="s">
        <v>50</v>
      </c>
      <c r="Q104" s="116"/>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row>
    <row r="105" spans="1:42" ht="14.25" customHeight="1" x14ac:dyDescent="0.2">
      <c r="A105" s="118" t="s">
        <v>383</v>
      </c>
      <c r="B105" s="118" t="s">
        <v>384</v>
      </c>
      <c r="C105" s="118">
        <v>2024</v>
      </c>
      <c r="D105" s="118" t="s">
        <v>385</v>
      </c>
      <c r="E105" s="118" t="s">
        <v>387</v>
      </c>
      <c r="F105" s="118" t="s">
        <v>388</v>
      </c>
      <c r="G105" s="118" t="s">
        <v>282</v>
      </c>
      <c r="H105" s="118" t="s">
        <v>15</v>
      </c>
      <c r="I105" s="118" t="s">
        <v>253</v>
      </c>
      <c r="J105" s="118" t="s">
        <v>386</v>
      </c>
      <c r="K105" s="118" t="s">
        <v>389</v>
      </c>
      <c r="L105" s="118">
        <v>0</v>
      </c>
      <c r="M105" s="118">
        <v>0</v>
      </c>
      <c r="N105" s="4"/>
      <c r="O105" s="4" t="s">
        <v>16</v>
      </c>
      <c r="P105" s="42" t="s">
        <v>50</v>
      </c>
      <c r="Q105" s="117"/>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row>
    <row r="106" spans="1:42" ht="14.25" customHeight="1" x14ac:dyDescent="0.2">
      <c r="A106" s="118">
        <v>0</v>
      </c>
      <c r="B106" s="118" t="s">
        <v>229</v>
      </c>
      <c r="C106" s="118">
        <v>2025</v>
      </c>
      <c r="D106" s="118" t="s">
        <v>223</v>
      </c>
      <c r="E106" s="118" t="s">
        <v>390</v>
      </c>
      <c r="F106" s="118">
        <v>0</v>
      </c>
      <c r="G106" s="118" t="s">
        <v>228</v>
      </c>
      <c r="H106" s="118" t="s">
        <v>15</v>
      </c>
      <c r="I106" s="118" t="s">
        <v>391</v>
      </c>
      <c r="J106" s="118">
        <v>0</v>
      </c>
      <c r="K106" s="118">
        <v>0</v>
      </c>
      <c r="L106" s="118">
        <v>0</v>
      </c>
      <c r="M106" s="118">
        <v>0</v>
      </c>
      <c r="N106" s="4"/>
      <c r="O106" s="4" t="s">
        <v>16</v>
      </c>
      <c r="P106" s="42" t="s">
        <v>50</v>
      </c>
      <c r="Q106" s="116"/>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row>
    <row r="107" spans="1:42" ht="14.25" customHeight="1" x14ac:dyDescent="0.2">
      <c r="A107" s="118" t="s">
        <v>392</v>
      </c>
      <c r="B107" s="118" t="s">
        <v>393</v>
      </c>
      <c r="C107" s="118">
        <v>2023</v>
      </c>
      <c r="D107" s="118" t="s">
        <v>394</v>
      </c>
      <c r="E107" s="118" t="s">
        <v>396</v>
      </c>
      <c r="F107" s="118" t="s">
        <v>397</v>
      </c>
      <c r="G107" s="118" t="s">
        <v>274</v>
      </c>
      <c r="H107" s="118" t="s">
        <v>15</v>
      </c>
      <c r="I107" s="118" t="s">
        <v>253</v>
      </c>
      <c r="J107" s="118" t="s">
        <v>395</v>
      </c>
      <c r="K107" s="118" t="s">
        <v>398</v>
      </c>
      <c r="L107" s="118">
        <v>0</v>
      </c>
      <c r="M107" s="118">
        <v>0</v>
      </c>
      <c r="N107" s="4"/>
      <c r="O107" s="4" t="s">
        <v>16</v>
      </c>
      <c r="P107" s="42" t="s">
        <v>50</v>
      </c>
      <c r="Q107" s="117"/>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row>
    <row r="108" spans="1:42" ht="14.25" customHeight="1" x14ac:dyDescent="0.2">
      <c r="A108" s="118" t="s">
        <v>399</v>
      </c>
      <c r="B108" s="118" t="s">
        <v>400</v>
      </c>
      <c r="C108" s="118">
        <v>2025</v>
      </c>
      <c r="D108" s="118" t="s">
        <v>331</v>
      </c>
      <c r="E108" s="118" t="s">
        <v>402</v>
      </c>
      <c r="F108" s="118" t="s">
        <v>403</v>
      </c>
      <c r="G108" s="118" t="s">
        <v>336</v>
      </c>
      <c r="H108" s="118" t="s">
        <v>15</v>
      </c>
      <c r="I108" s="118" t="s">
        <v>253</v>
      </c>
      <c r="J108" s="118" t="s">
        <v>401</v>
      </c>
      <c r="K108" s="118" t="s">
        <v>404</v>
      </c>
      <c r="L108" s="118">
        <v>0</v>
      </c>
      <c r="M108" s="118">
        <v>0</v>
      </c>
      <c r="N108" s="4"/>
      <c r="O108" s="4" t="s">
        <v>16</v>
      </c>
      <c r="P108" s="42" t="s">
        <v>50</v>
      </c>
      <c r="Q108" s="116"/>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row>
    <row r="109" spans="1:42" ht="14.25" customHeight="1" x14ac:dyDescent="0.2">
      <c r="A109" s="118" t="s">
        <v>405</v>
      </c>
      <c r="B109" s="118" t="s">
        <v>406</v>
      </c>
      <c r="C109" s="118">
        <v>2024</v>
      </c>
      <c r="D109" s="118" t="s">
        <v>233</v>
      </c>
      <c r="E109" s="118" t="s">
        <v>408</v>
      </c>
      <c r="F109" s="118" t="s">
        <v>409</v>
      </c>
      <c r="G109" s="118" t="s">
        <v>238</v>
      </c>
      <c r="H109" s="118" t="s">
        <v>15</v>
      </c>
      <c r="I109" s="118" t="s">
        <v>230</v>
      </c>
      <c r="J109" s="118" t="s">
        <v>407</v>
      </c>
      <c r="K109" s="118" t="s">
        <v>237</v>
      </c>
      <c r="L109" s="118">
        <v>0</v>
      </c>
      <c r="M109" s="118">
        <v>0</v>
      </c>
      <c r="N109" s="4"/>
      <c r="O109" s="4" t="s">
        <v>16</v>
      </c>
      <c r="P109" s="42" t="s">
        <v>50</v>
      </c>
      <c r="Q109" s="117"/>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row>
    <row r="110" spans="1:42" ht="14.25" customHeight="1" x14ac:dyDescent="0.2">
      <c r="A110" s="118" t="s">
        <v>410</v>
      </c>
      <c r="B110" s="118" t="s">
        <v>411</v>
      </c>
      <c r="C110" s="118">
        <v>2025</v>
      </c>
      <c r="D110" s="118" t="s">
        <v>233</v>
      </c>
      <c r="E110" s="118" t="s">
        <v>413</v>
      </c>
      <c r="F110" s="118" t="s">
        <v>414</v>
      </c>
      <c r="G110" s="118" t="s">
        <v>238</v>
      </c>
      <c r="H110" s="118" t="s">
        <v>15</v>
      </c>
      <c r="I110" s="118" t="s">
        <v>230</v>
      </c>
      <c r="J110" s="118" t="s">
        <v>412</v>
      </c>
      <c r="K110" s="118" t="s">
        <v>415</v>
      </c>
      <c r="L110" s="118">
        <v>0</v>
      </c>
      <c r="M110" s="118">
        <v>0</v>
      </c>
      <c r="N110" s="4"/>
      <c r="O110" s="4" t="s">
        <v>16</v>
      </c>
      <c r="P110" s="42" t="s">
        <v>50</v>
      </c>
      <c r="Q110" s="116"/>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row>
    <row r="111" spans="1:42" ht="14.25" customHeight="1" x14ac:dyDescent="0.2">
      <c r="A111" s="118" t="s">
        <v>416</v>
      </c>
      <c r="B111" s="118" t="s">
        <v>417</v>
      </c>
      <c r="C111" s="118">
        <v>2022</v>
      </c>
      <c r="D111" s="118" t="s">
        <v>233</v>
      </c>
      <c r="E111" s="118" t="s">
        <v>419</v>
      </c>
      <c r="F111" s="118" t="s">
        <v>420</v>
      </c>
      <c r="G111" s="118" t="s">
        <v>238</v>
      </c>
      <c r="H111" s="118" t="s">
        <v>15</v>
      </c>
      <c r="I111" s="118" t="s">
        <v>230</v>
      </c>
      <c r="J111" s="118" t="s">
        <v>418</v>
      </c>
      <c r="K111" s="118" t="s">
        <v>421</v>
      </c>
      <c r="L111" s="118">
        <v>0</v>
      </c>
      <c r="M111" s="118">
        <v>0</v>
      </c>
      <c r="N111" s="4"/>
      <c r="O111" s="4" t="s">
        <v>16</v>
      </c>
      <c r="P111" s="42" t="s">
        <v>50</v>
      </c>
      <c r="Q111" s="117"/>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row>
    <row r="112" spans="1:42" ht="14.25" customHeight="1" x14ac:dyDescent="0.2">
      <c r="A112" s="118" t="s">
        <v>422</v>
      </c>
      <c r="B112" s="118" t="s">
        <v>423</v>
      </c>
      <c r="C112" s="118">
        <v>2022</v>
      </c>
      <c r="D112" s="118" t="s">
        <v>233</v>
      </c>
      <c r="E112" s="118" t="s">
        <v>425</v>
      </c>
      <c r="F112" s="118" t="s">
        <v>426</v>
      </c>
      <c r="G112" s="118" t="s">
        <v>238</v>
      </c>
      <c r="H112" s="118" t="s">
        <v>15</v>
      </c>
      <c r="I112" s="118" t="s">
        <v>230</v>
      </c>
      <c r="J112" s="118" t="s">
        <v>424</v>
      </c>
      <c r="K112" s="118" t="s">
        <v>427</v>
      </c>
      <c r="L112" s="118">
        <v>0</v>
      </c>
      <c r="M112" s="118">
        <v>0</v>
      </c>
      <c r="N112" s="4"/>
      <c r="O112" s="4" t="s">
        <v>16</v>
      </c>
      <c r="P112" s="42" t="s">
        <v>50</v>
      </c>
      <c r="Q112" s="116"/>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row>
    <row r="113" spans="1:42" ht="14.25" customHeight="1" x14ac:dyDescent="0.2">
      <c r="A113" s="118" t="s">
        <v>428</v>
      </c>
      <c r="B113" s="118" t="s">
        <v>429</v>
      </c>
      <c r="C113" s="118">
        <v>2024</v>
      </c>
      <c r="D113" s="118" t="s">
        <v>233</v>
      </c>
      <c r="E113" s="118" t="s">
        <v>431</v>
      </c>
      <c r="F113" s="118" t="s">
        <v>432</v>
      </c>
      <c r="G113" s="118" t="s">
        <v>238</v>
      </c>
      <c r="H113" s="118" t="s">
        <v>15</v>
      </c>
      <c r="I113" s="118" t="s">
        <v>230</v>
      </c>
      <c r="J113" s="118" t="s">
        <v>430</v>
      </c>
      <c r="K113" s="118" t="s">
        <v>433</v>
      </c>
      <c r="L113" s="118">
        <v>0</v>
      </c>
      <c r="M113" s="118">
        <v>0</v>
      </c>
      <c r="N113" s="4"/>
      <c r="O113" s="4" t="s">
        <v>16</v>
      </c>
      <c r="P113" s="42" t="s">
        <v>50</v>
      </c>
      <c r="Q113" s="117"/>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row>
    <row r="114" spans="1:42" ht="14.25" customHeight="1" x14ac:dyDescent="0.2">
      <c r="A114" s="118" t="s">
        <v>434</v>
      </c>
      <c r="B114" s="118" t="s">
        <v>435</v>
      </c>
      <c r="C114" s="118">
        <v>2025</v>
      </c>
      <c r="D114" s="118" t="s">
        <v>233</v>
      </c>
      <c r="E114" s="118" t="s">
        <v>437</v>
      </c>
      <c r="F114" s="118" t="s">
        <v>438</v>
      </c>
      <c r="G114" s="118" t="s">
        <v>238</v>
      </c>
      <c r="H114" s="118" t="s">
        <v>15</v>
      </c>
      <c r="I114" s="118" t="s">
        <v>230</v>
      </c>
      <c r="J114" s="118" t="s">
        <v>436</v>
      </c>
      <c r="K114" s="118">
        <v>0</v>
      </c>
      <c r="L114" s="118">
        <v>0</v>
      </c>
      <c r="M114" s="118">
        <v>0</v>
      </c>
      <c r="N114" s="4"/>
      <c r="O114" s="4" t="s">
        <v>16</v>
      </c>
      <c r="P114" s="42" t="s">
        <v>50</v>
      </c>
      <c r="Q114" s="116"/>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row>
    <row r="115" spans="1:42" ht="14.25" customHeight="1" x14ac:dyDescent="0.2">
      <c r="A115" s="118" t="s">
        <v>439</v>
      </c>
      <c r="B115" s="118" t="s">
        <v>440</v>
      </c>
      <c r="C115" s="118">
        <v>2023</v>
      </c>
      <c r="D115" s="118" t="s">
        <v>233</v>
      </c>
      <c r="E115" s="118" t="s">
        <v>442</v>
      </c>
      <c r="F115" s="118" t="s">
        <v>443</v>
      </c>
      <c r="G115" s="118" t="s">
        <v>238</v>
      </c>
      <c r="H115" s="118" t="s">
        <v>15</v>
      </c>
      <c r="I115" s="118" t="s">
        <v>253</v>
      </c>
      <c r="J115" s="118" t="s">
        <v>441</v>
      </c>
      <c r="K115" s="118" t="s">
        <v>444</v>
      </c>
      <c r="L115" s="118">
        <v>0</v>
      </c>
      <c r="M115" s="118">
        <v>0</v>
      </c>
      <c r="N115" s="4"/>
      <c r="O115" s="4" t="s">
        <v>16</v>
      </c>
      <c r="P115" s="42" t="s">
        <v>50</v>
      </c>
      <c r="Q115" s="116"/>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row>
    <row r="116" spans="1:42" ht="14.25" customHeight="1" x14ac:dyDescent="0.2">
      <c r="A116" s="118" t="s">
        <v>445</v>
      </c>
      <c r="B116" s="118" t="s">
        <v>446</v>
      </c>
      <c r="C116" s="118">
        <v>2025</v>
      </c>
      <c r="D116" s="118" t="s">
        <v>233</v>
      </c>
      <c r="E116" s="118" t="s">
        <v>448</v>
      </c>
      <c r="F116" s="118" t="s">
        <v>449</v>
      </c>
      <c r="G116" s="118" t="s">
        <v>238</v>
      </c>
      <c r="H116" s="118" t="s">
        <v>15</v>
      </c>
      <c r="I116" s="118" t="s">
        <v>230</v>
      </c>
      <c r="J116" s="118" t="s">
        <v>447</v>
      </c>
      <c r="K116" s="118" t="s">
        <v>450</v>
      </c>
      <c r="L116" s="118">
        <v>0</v>
      </c>
      <c r="M116" s="118">
        <v>0</v>
      </c>
      <c r="N116" s="4"/>
      <c r="O116" s="4" t="s">
        <v>16</v>
      </c>
      <c r="P116" s="42" t="s">
        <v>50</v>
      </c>
      <c r="Q116" s="117"/>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row>
    <row r="117" spans="1:42" ht="14.25" customHeight="1" x14ac:dyDescent="0.2">
      <c r="A117" s="118" t="s">
        <v>451</v>
      </c>
      <c r="B117" s="118" t="s">
        <v>452</v>
      </c>
      <c r="C117" s="118">
        <v>2024</v>
      </c>
      <c r="D117" s="118" t="s">
        <v>453</v>
      </c>
      <c r="E117" s="118" t="s">
        <v>455</v>
      </c>
      <c r="F117" s="118">
        <v>0</v>
      </c>
      <c r="G117" s="118" t="s">
        <v>457</v>
      </c>
      <c r="H117" s="118" t="s">
        <v>15</v>
      </c>
      <c r="I117" s="118" t="s">
        <v>253</v>
      </c>
      <c r="J117" s="118" t="s">
        <v>454</v>
      </c>
      <c r="K117" s="118" t="s">
        <v>456</v>
      </c>
      <c r="L117" s="118">
        <v>0</v>
      </c>
      <c r="M117" s="118">
        <v>0</v>
      </c>
      <c r="N117" s="3"/>
      <c r="O117" s="4" t="s">
        <v>16</v>
      </c>
      <c r="P117" s="42" t="s">
        <v>50</v>
      </c>
      <c r="Q117" s="116"/>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row>
    <row r="118" spans="1:42" ht="14.25" customHeight="1" x14ac:dyDescent="0.2">
      <c r="A118" s="118" t="s">
        <v>458</v>
      </c>
      <c r="B118" s="118" t="s">
        <v>459</v>
      </c>
      <c r="C118" s="118">
        <v>2024</v>
      </c>
      <c r="D118" s="118" t="s">
        <v>460</v>
      </c>
      <c r="E118" s="118" t="s">
        <v>462</v>
      </c>
      <c r="F118" s="118" t="s">
        <v>463</v>
      </c>
      <c r="G118" s="118" t="s">
        <v>465</v>
      </c>
      <c r="H118" s="118" t="s">
        <v>15</v>
      </c>
      <c r="I118" s="118" t="s">
        <v>253</v>
      </c>
      <c r="J118" s="118" t="s">
        <v>461</v>
      </c>
      <c r="K118" s="118" t="s">
        <v>464</v>
      </c>
      <c r="L118" s="118">
        <v>0</v>
      </c>
      <c r="M118" s="118">
        <v>0</v>
      </c>
      <c r="N118" s="4"/>
      <c r="O118" s="4" t="s">
        <v>16</v>
      </c>
      <c r="P118" s="42" t="s">
        <v>50</v>
      </c>
      <c r="Q118" s="117"/>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row>
    <row r="119" spans="1:42" ht="14.25" customHeight="1" x14ac:dyDescent="0.2">
      <c r="A119" s="118" t="s">
        <v>466</v>
      </c>
      <c r="B119" s="118" t="s">
        <v>467</v>
      </c>
      <c r="C119" s="118">
        <v>2025</v>
      </c>
      <c r="D119" s="118" t="s">
        <v>468</v>
      </c>
      <c r="E119" s="118" t="s">
        <v>470</v>
      </c>
      <c r="F119" s="118" t="s">
        <v>471</v>
      </c>
      <c r="G119" s="118" t="s">
        <v>473</v>
      </c>
      <c r="H119" s="118" t="s">
        <v>15</v>
      </c>
      <c r="I119" s="118" t="s">
        <v>230</v>
      </c>
      <c r="J119" s="118" t="s">
        <v>469</v>
      </c>
      <c r="K119" s="118" t="s">
        <v>472</v>
      </c>
      <c r="L119" s="118">
        <v>0</v>
      </c>
      <c r="M119" s="118">
        <v>0</v>
      </c>
      <c r="N119" s="4"/>
      <c r="O119" s="4" t="s">
        <v>16</v>
      </c>
      <c r="P119" s="42" t="s">
        <v>50</v>
      </c>
      <c r="Q119" s="116"/>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row>
    <row r="120" spans="1:42" ht="14.25" customHeight="1" x14ac:dyDescent="0.2">
      <c r="A120" s="118" t="s">
        <v>474</v>
      </c>
      <c r="B120" s="118" t="s">
        <v>475</v>
      </c>
      <c r="C120" s="118">
        <v>2023</v>
      </c>
      <c r="D120" s="118" t="s">
        <v>476</v>
      </c>
      <c r="E120" s="118" t="s">
        <v>478</v>
      </c>
      <c r="F120" s="118" t="s">
        <v>479</v>
      </c>
      <c r="G120" s="118" t="s">
        <v>228</v>
      </c>
      <c r="H120" s="118" t="s">
        <v>15</v>
      </c>
      <c r="I120" s="118" t="s">
        <v>230</v>
      </c>
      <c r="J120" s="118" t="s">
        <v>477</v>
      </c>
      <c r="K120" s="118" t="s">
        <v>480</v>
      </c>
      <c r="L120" s="118">
        <v>0</v>
      </c>
      <c r="M120" s="118">
        <v>0</v>
      </c>
      <c r="N120" s="3"/>
      <c r="O120" s="4" t="s">
        <v>16</v>
      </c>
      <c r="P120" s="42" t="s">
        <v>50</v>
      </c>
      <c r="Q120" s="117"/>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row>
    <row r="121" spans="1:42" ht="14.25" customHeight="1" x14ac:dyDescent="0.2">
      <c r="A121" s="118" t="s">
        <v>482</v>
      </c>
      <c r="B121" s="118" t="s">
        <v>483</v>
      </c>
      <c r="C121" s="118">
        <v>2024</v>
      </c>
      <c r="D121" s="118" t="s">
        <v>233</v>
      </c>
      <c r="E121" s="118" t="s">
        <v>485</v>
      </c>
      <c r="F121" s="118" t="s">
        <v>486</v>
      </c>
      <c r="G121" s="118" t="s">
        <v>238</v>
      </c>
      <c r="H121" s="118" t="s">
        <v>15</v>
      </c>
      <c r="I121" s="118" t="s">
        <v>230</v>
      </c>
      <c r="J121" s="118" t="s">
        <v>484</v>
      </c>
      <c r="K121" s="118" t="s">
        <v>382</v>
      </c>
      <c r="L121" s="118">
        <v>0</v>
      </c>
      <c r="M121" s="118">
        <v>0</v>
      </c>
      <c r="N121" s="4"/>
      <c r="O121" s="4" t="s">
        <v>16</v>
      </c>
      <c r="P121" s="42" t="s">
        <v>50</v>
      </c>
      <c r="Q121" s="116"/>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row>
    <row r="122" spans="1:42" ht="14.25" customHeight="1" x14ac:dyDescent="0.2">
      <c r="A122" s="118" t="s">
        <v>487</v>
      </c>
      <c r="B122" s="118" t="s">
        <v>488</v>
      </c>
      <c r="C122" s="118">
        <v>2022</v>
      </c>
      <c r="D122" s="118" t="s">
        <v>233</v>
      </c>
      <c r="E122" s="118" t="s">
        <v>490</v>
      </c>
      <c r="F122" s="118" t="s">
        <v>491</v>
      </c>
      <c r="G122" s="118" t="s">
        <v>238</v>
      </c>
      <c r="H122" s="118" t="s">
        <v>15</v>
      </c>
      <c r="I122" s="118" t="s">
        <v>230</v>
      </c>
      <c r="J122" s="118" t="s">
        <v>489</v>
      </c>
      <c r="K122" s="118" t="s">
        <v>492</v>
      </c>
      <c r="L122" s="118">
        <v>0</v>
      </c>
      <c r="M122" s="118">
        <v>0</v>
      </c>
      <c r="N122" s="4"/>
      <c r="O122" s="4" t="s">
        <v>16</v>
      </c>
      <c r="P122" s="42" t="s">
        <v>50</v>
      </c>
      <c r="Q122" s="117"/>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row>
    <row r="123" spans="1:42" ht="14.25" customHeight="1" x14ac:dyDescent="0.2">
      <c r="A123" s="118" t="s">
        <v>493</v>
      </c>
      <c r="B123" s="118" t="s">
        <v>494</v>
      </c>
      <c r="C123" s="118">
        <v>2026</v>
      </c>
      <c r="D123" s="118" t="s">
        <v>394</v>
      </c>
      <c r="E123" s="118" t="s">
        <v>496</v>
      </c>
      <c r="F123" s="118" t="s">
        <v>497</v>
      </c>
      <c r="G123" s="118" t="s">
        <v>274</v>
      </c>
      <c r="H123" s="118" t="s">
        <v>15</v>
      </c>
      <c r="I123" s="118" t="s">
        <v>253</v>
      </c>
      <c r="J123" s="118" t="s">
        <v>495</v>
      </c>
      <c r="K123" s="118" t="s">
        <v>498</v>
      </c>
      <c r="L123" s="118">
        <v>0</v>
      </c>
      <c r="M123" s="118">
        <v>0</v>
      </c>
      <c r="N123" s="4"/>
      <c r="O123" s="4" t="s">
        <v>16</v>
      </c>
      <c r="P123" s="42" t="s">
        <v>50</v>
      </c>
      <c r="Q123" s="116"/>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row>
    <row r="124" spans="1:42" ht="14.25" customHeight="1" x14ac:dyDescent="0.2">
      <c r="A124" s="118" t="s">
        <v>499</v>
      </c>
      <c r="B124" s="118" t="s">
        <v>500</v>
      </c>
      <c r="C124" s="118">
        <v>2024</v>
      </c>
      <c r="D124" s="118" t="s">
        <v>501</v>
      </c>
      <c r="E124" s="118" t="s">
        <v>503</v>
      </c>
      <c r="F124" s="118" t="s">
        <v>504</v>
      </c>
      <c r="G124" s="118" t="s">
        <v>506</v>
      </c>
      <c r="H124" s="118" t="s">
        <v>15</v>
      </c>
      <c r="I124" s="118" t="s">
        <v>253</v>
      </c>
      <c r="J124" s="118" t="s">
        <v>502</v>
      </c>
      <c r="K124" s="118" t="s">
        <v>505</v>
      </c>
      <c r="L124" s="118">
        <v>0</v>
      </c>
      <c r="M124" s="118">
        <v>0</v>
      </c>
      <c r="N124" s="4"/>
      <c r="O124" s="4" t="s">
        <v>16</v>
      </c>
      <c r="P124" s="42" t="s">
        <v>50</v>
      </c>
      <c r="Q124" s="117"/>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row>
    <row r="125" spans="1:42" ht="14.25" customHeight="1" x14ac:dyDescent="0.2">
      <c r="A125" s="118" t="s">
        <v>507</v>
      </c>
      <c r="B125" s="118" t="s">
        <v>508</v>
      </c>
      <c r="C125" s="118">
        <v>2022</v>
      </c>
      <c r="D125" s="118" t="s">
        <v>509</v>
      </c>
      <c r="E125" s="118" t="s">
        <v>511</v>
      </c>
      <c r="F125" s="118" t="s">
        <v>512</v>
      </c>
      <c r="G125" s="118" t="s">
        <v>228</v>
      </c>
      <c r="H125" s="118" t="s">
        <v>15</v>
      </c>
      <c r="I125" s="118" t="s">
        <v>230</v>
      </c>
      <c r="J125" s="118" t="s">
        <v>510</v>
      </c>
      <c r="K125" s="118" t="s">
        <v>513</v>
      </c>
      <c r="L125" s="118">
        <v>0</v>
      </c>
      <c r="M125" s="118">
        <v>0</v>
      </c>
      <c r="N125" s="4"/>
      <c r="O125" s="4" t="s">
        <v>16</v>
      </c>
      <c r="P125" s="42" t="s">
        <v>50</v>
      </c>
      <c r="Q125" s="116"/>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row>
    <row r="126" spans="1:42" ht="14.25" customHeight="1" x14ac:dyDescent="0.2">
      <c r="A126" s="118" t="s">
        <v>514</v>
      </c>
      <c r="B126" s="118" t="s">
        <v>515</v>
      </c>
      <c r="C126" s="118">
        <v>2026</v>
      </c>
      <c r="D126" s="118" t="s">
        <v>516</v>
      </c>
      <c r="E126" s="118" t="s">
        <v>518</v>
      </c>
      <c r="F126" s="118" t="s">
        <v>519</v>
      </c>
      <c r="G126" s="118" t="s">
        <v>260</v>
      </c>
      <c r="H126" s="118" t="s">
        <v>15</v>
      </c>
      <c r="I126" s="118" t="s">
        <v>253</v>
      </c>
      <c r="J126" s="118" t="s">
        <v>517</v>
      </c>
      <c r="K126" s="118" t="s">
        <v>520</v>
      </c>
      <c r="L126" s="118">
        <v>0</v>
      </c>
      <c r="M126" s="118">
        <v>0</v>
      </c>
      <c r="N126" s="4"/>
      <c r="O126" s="4" t="s">
        <v>16</v>
      </c>
      <c r="P126" s="42" t="s">
        <v>50</v>
      </c>
      <c r="Q126" s="117"/>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row>
    <row r="127" spans="1:42" ht="14.25" customHeight="1" x14ac:dyDescent="0.2">
      <c r="A127" s="118" t="s">
        <v>521</v>
      </c>
      <c r="B127" s="118" t="s">
        <v>522</v>
      </c>
      <c r="C127" s="118">
        <v>2024</v>
      </c>
      <c r="D127" s="118" t="s">
        <v>523</v>
      </c>
      <c r="E127" s="118" t="s">
        <v>525</v>
      </c>
      <c r="F127" s="118" t="s">
        <v>526</v>
      </c>
      <c r="G127" s="118" t="s">
        <v>228</v>
      </c>
      <c r="H127" s="118" t="s">
        <v>15</v>
      </c>
      <c r="I127" s="118" t="s">
        <v>230</v>
      </c>
      <c r="J127" s="118" t="s">
        <v>524</v>
      </c>
      <c r="K127" s="118" t="s">
        <v>527</v>
      </c>
      <c r="L127" s="118">
        <v>0</v>
      </c>
      <c r="M127" s="118">
        <v>0</v>
      </c>
      <c r="N127" s="4"/>
      <c r="O127" s="4" t="s">
        <v>16</v>
      </c>
      <c r="P127" s="42" t="s">
        <v>50</v>
      </c>
      <c r="Q127" s="116"/>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row>
    <row r="128" spans="1:42" ht="14.25" customHeight="1" x14ac:dyDescent="0.2">
      <c r="A128" s="118" t="s">
        <v>528</v>
      </c>
      <c r="B128" s="118" t="s">
        <v>529</v>
      </c>
      <c r="C128" s="118">
        <v>2024</v>
      </c>
      <c r="D128" s="118" t="s">
        <v>530</v>
      </c>
      <c r="E128" s="118" t="s">
        <v>532</v>
      </c>
      <c r="F128" s="118" t="s">
        <v>533</v>
      </c>
      <c r="G128" s="118" t="s">
        <v>473</v>
      </c>
      <c r="H128" s="118" t="s">
        <v>15</v>
      </c>
      <c r="I128" s="118" t="s">
        <v>230</v>
      </c>
      <c r="J128" s="118" t="s">
        <v>531</v>
      </c>
      <c r="K128" s="118">
        <v>0</v>
      </c>
      <c r="L128" s="118">
        <v>0</v>
      </c>
      <c r="M128" s="118">
        <v>0</v>
      </c>
      <c r="N128" s="4"/>
      <c r="O128" s="4" t="s">
        <v>16</v>
      </c>
      <c r="P128" s="42" t="s">
        <v>50</v>
      </c>
      <c r="Q128" s="117"/>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row>
    <row r="129" spans="1:42" ht="14.25" customHeight="1" x14ac:dyDescent="0.2">
      <c r="A129" s="118" t="s">
        <v>534</v>
      </c>
      <c r="B129" s="118" t="s">
        <v>535</v>
      </c>
      <c r="C129" s="118">
        <v>2022</v>
      </c>
      <c r="D129" s="118" t="s">
        <v>536</v>
      </c>
      <c r="E129" s="118" t="s">
        <v>538</v>
      </c>
      <c r="F129" s="118">
        <v>0</v>
      </c>
      <c r="G129" s="118" t="s">
        <v>473</v>
      </c>
      <c r="H129" s="118" t="s">
        <v>15</v>
      </c>
      <c r="I129" s="118" t="s">
        <v>230</v>
      </c>
      <c r="J129" s="118" t="s">
        <v>537</v>
      </c>
      <c r="K129" s="118">
        <v>0</v>
      </c>
      <c r="L129" s="118">
        <v>0</v>
      </c>
      <c r="M129" s="118">
        <v>0</v>
      </c>
      <c r="N129" s="4"/>
      <c r="O129" s="4" t="s">
        <v>16</v>
      </c>
      <c r="P129" s="42" t="s">
        <v>50</v>
      </c>
      <c r="Q129" s="116"/>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row>
    <row r="130" spans="1:42" ht="14.25" customHeight="1" x14ac:dyDescent="0.2">
      <c r="A130" s="118" t="s">
        <v>539</v>
      </c>
      <c r="B130" s="118" t="s">
        <v>540</v>
      </c>
      <c r="C130" s="118">
        <v>2022</v>
      </c>
      <c r="D130" s="118" t="s">
        <v>541</v>
      </c>
      <c r="E130" s="118" t="s">
        <v>543</v>
      </c>
      <c r="F130" s="118" t="s">
        <v>544</v>
      </c>
      <c r="G130" s="118" t="s">
        <v>506</v>
      </c>
      <c r="H130" s="118" t="s">
        <v>15</v>
      </c>
      <c r="I130" s="118" t="s">
        <v>545</v>
      </c>
      <c r="J130" s="118" t="s">
        <v>542</v>
      </c>
      <c r="K130" s="118">
        <v>0</v>
      </c>
      <c r="L130" s="118">
        <v>0</v>
      </c>
      <c r="M130" s="118">
        <v>0</v>
      </c>
      <c r="N130" s="4"/>
      <c r="O130" s="4" t="s">
        <v>16</v>
      </c>
      <c r="P130" s="42" t="s">
        <v>50</v>
      </c>
      <c r="Q130" s="117"/>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row>
    <row r="131" spans="1:42" ht="14.25" customHeight="1" x14ac:dyDescent="0.2">
      <c r="A131" s="118" t="s">
        <v>546</v>
      </c>
      <c r="B131" s="118" t="s">
        <v>547</v>
      </c>
      <c r="C131" s="118">
        <v>2026</v>
      </c>
      <c r="D131" s="118" t="s">
        <v>548</v>
      </c>
      <c r="E131" s="118" t="s">
        <v>550</v>
      </c>
      <c r="F131" s="118" t="s">
        <v>551</v>
      </c>
      <c r="G131" s="118" t="s">
        <v>228</v>
      </c>
      <c r="H131" s="118" t="s">
        <v>15</v>
      </c>
      <c r="I131" s="118" t="s">
        <v>230</v>
      </c>
      <c r="J131" s="118" t="s">
        <v>549</v>
      </c>
      <c r="K131" s="118" t="s">
        <v>552</v>
      </c>
      <c r="L131" s="118">
        <v>0</v>
      </c>
      <c r="M131" s="118">
        <v>0</v>
      </c>
      <c r="N131" s="4"/>
      <c r="O131" s="4" t="s">
        <v>16</v>
      </c>
      <c r="P131" s="42" t="s">
        <v>50</v>
      </c>
      <c r="Q131" s="116"/>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row>
    <row r="132" spans="1:42" ht="14.25" customHeight="1" x14ac:dyDescent="0.2">
      <c r="A132" s="118" t="s">
        <v>553</v>
      </c>
      <c r="B132" s="118" t="s">
        <v>554</v>
      </c>
      <c r="C132" s="118">
        <v>2025</v>
      </c>
      <c r="D132" s="118" t="s">
        <v>233</v>
      </c>
      <c r="E132" s="118" t="s">
        <v>556</v>
      </c>
      <c r="F132" s="118" t="s">
        <v>557</v>
      </c>
      <c r="G132" s="118" t="s">
        <v>238</v>
      </c>
      <c r="H132" s="118" t="s">
        <v>15</v>
      </c>
      <c r="I132" s="118" t="s">
        <v>230</v>
      </c>
      <c r="J132" s="118" t="s">
        <v>555</v>
      </c>
      <c r="K132" s="118" t="s">
        <v>558</v>
      </c>
      <c r="L132" s="118">
        <v>0</v>
      </c>
      <c r="M132" s="118">
        <v>0</v>
      </c>
      <c r="N132" s="4"/>
      <c r="O132" s="4" t="s">
        <v>16</v>
      </c>
      <c r="P132" s="42" t="s">
        <v>50</v>
      </c>
      <c r="Q132" s="117"/>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row>
    <row r="133" spans="1:42" ht="14.25" customHeight="1" x14ac:dyDescent="0.2">
      <c r="A133" s="118" t="s">
        <v>559</v>
      </c>
      <c r="B133" s="118" t="s">
        <v>560</v>
      </c>
      <c r="C133" s="118">
        <v>2026</v>
      </c>
      <c r="D133" s="118" t="s">
        <v>269</v>
      </c>
      <c r="E133" s="118" t="s">
        <v>562</v>
      </c>
      <c r="F133" s="118" t="s">
        <v>563</v>
      </c>
      <c r="G133" s="118" t="s">
        <v>274</v>
      </c>
      <c r="H133" s="118" t="s">
        <v>15</v>
      </c>
      <c r="I133" s="118" t="s">
        <v>253</v>
      </c>
      <c r="J133" s="118" t="s">
        <v>561</v>
      </c>
      <c r="K133" s="118" t="s">
        <v>564</v>
      </c>
      <c r="L133" s="118">
        <v>0</v>
      </c>
      <c r="M133" s="118">
        <v>0</v>
      </c>
      <c r="N133" s="4"/>
      <c r="O133" s="4" t="s">
        <v>16</v>
      </c>
      <c r="P133" s="42" t="s">
        <v>50</v>
      </c>
      <c r="Q133" s="117"/>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row>
    <row r="134" spans="1:42" ht="14.25" customHeight="1" x14ac:dyDescent="0.2">
      <c r="A134" s="118" t="s">
        <v>565</v>
      </c>
      <c r="B134" s="118" t="s">
        <v>566</v>
      </c>
      <c r="C134" s="118">
        <v>2025</v>
      </c>
      <c r="D134" s="118" t="s">
        <v>523</v>
      </c>
      <c r="E134" s="118" t="s">
        <v>568</v>
      </c>
      <c r="F134" s="118" t="s">
        <v>569</v>
      </c>
      <c r="G134" s="118" t="s">
        <v>228</v>
      </c>
      <c r="H134" s="118" t="s">
        <v>15</v>
      </c>
      <c r="I134" s="118" t="s">
        <v>230</v>
      </c>
      <c r="J134" s="118" t="s">
        <v>567</v>
      </c>
      <c r="K134" s="118" t="s">
        <v>570</v>
      </c>
      <c r="L134" s="118">
        <v>0</v>
      </c>
      <c r="M134" s="118">
        <v>0</v>
      </c>
      <c r="N134" s="4"/>
      <c r="O134" s="4" t="s">
        <v>16</v>
      </c>
      <c r="P134" s="42" t="s">
        <v>50</v>
      </c>
      <c r="Q134" s="116"/>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row>
    <row r="135" spans="1:42" ht="14.25" customHeight="1" x14ac:dyDescent="0.2">
      <c r="A135" s="118" t="s">
        <v>571</v>
      </c>
      <c r="B135" s="118" t="s">
        <v>572</v>
      </c>
      <c r="C135" s="118">
        <v>2025</v>
      </c>
      <c r="D135" s="118" t="s">
        <v>573</v>
      </c>
      <c r="E135" s="118" t="s">
        <v>575</v>
      </c>
      <c r="F135" s="118" t="s">
        <v>576</v>
      </c>
      <c r="G135" s="118" t="s">
        <v>578</v>
      </c>
      <c r="H135" s="118" t="s">
        <v>15</v>
      </c>
      <c r="I135" s="118" t="s">
        <v>253</v>
      </c>
      <c r="J135" s="118" t="s">
        <v>574</v>
      </c>
      <c r="K135" s="118" t="s">
        <v>577</v>
      </c>
      <c r="L135" s="118">
        <v>0</v>
      </c>
      <c r="M135" s="118">
        <v>0</v>
      </c>
      <c r="N135" s="4"/>
      <c r="O135" s="4" t="s">
        <v>16</v>
      </c>
      <c r="P135" s="42" t="s">
        <v>50</v>
      </c>
      <c r="Q135" s="117"/>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row>
    <row r="136" spans="1:42" ht="14.25" customHeight="1" x14ac:dyDescent="0.2">
      <c r="A136" s="118" t="s">
        <v>579</v>
      </c>
      <c r="B136" s="118" t="s">
        <v>580</v>
      </c>
      <c r="C136" s="118">
        <v>2023</v>
      </c>
      <c r="D136" s="118" t="s">
        <v>581</v>
      </c>
      <c r="E136" s="118" t="s">
        <v>583</v>
      </c>
      <c r="F136" s="118" t="s">
        <v>584</v>
      </c>
      <c r="G136" s="118" t="s">
        <v>586</v>
      </c>
      <c r="H136" s="118" t="s">
        <v>15</v>
      </c>
      <c r="I136" s="118" t="s">
        <v>253</v>
      </c>
      <c r="J136" s="118" t="s">
        <v>582</v>
      </c>
      <c r="K136" s="118" t="s">
        <v>585</v>
      </c>
      <c r="L136" s="118">
        <v>0</v>
      </c>
      <c r="M136" s="118">
        <v>0</v>
      </c>
      <c r="N136" s="4"/>
      <c r="O136" s="4" t="s">
        <v>16</v>
      </c>
      <c r="P136" s="42" t="s">
        <v>50</v>
      </c>
      <c r="Q136" s="116"/>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row>
    <row r="137" spans="1:42" ht="14.25" customHeight="1" x14ac:dyDescent="0.2">
      <c r="A137" s="118" t="s">
        <v>587</v>
      </c>
      <c r="B137" s="118" t="s">
        <v>588</v>
      </c>
      <c r="C137" s="118">
        <v>2026</v>
      </c>
      <c r="D137" s="118" t="s">
        <v>331</v>
      </c>
      <c r="E137" s="118" t="s">
        <v>590</v>
      </c>
      <c r="F137" s="118" t="s">
        <v>591</v>
      </c>
      <c r="G137" s="118" t="s">
        <v>336</v>
      </c>
      <c r="H137" s="118" t="s">
        <v>15</v>
      </c>
      <c r="I137" s="118" t="s">
        <v>253</v>
      </c>
      <c r="J137" s="118" t="s">
        <v>589</v>
      </c>
      <c r="K137" s="118" t="s">
        <v>592</v>
      </c>
      <c r="L137" s="118">
        <v>0</v>
      </c>
      <c r="M137" s="118">
        <v>0</v>
      </c>
      <c r="N137" s="4"/>
      <c r="O137" s="4" t="s">
        <v>16</v>
      </c>
      <c r="P137" s="42" t="s">
        <v>50</v>
      </c>
      <c r="Q137" s="117"/>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row>
    <row r="138" spans="1:42" ht="14.25" customHeight="1" x14ac:dyDescent="0.2">
      <c r="A138" s="118" t="s">
        <v>593</v>
      </c>
      <c r="B138" s="118" t="s">
        <v>594</v>
      </c>
      <c r="C138" s="118">
        <v>2022</v>
      </c>
      <c r="D138" s="118" t="s">
        <v>277</v>
      </c>
      <c r="E138" s="118" t="s">
        <v>596</v>
      </c>
      <c r="F138" s="118" t="s">
        <v>597</v>
      </c>
      <c r="G138" s="118" t="s">
        <v>586</v>
      </c>
      <c r="H138" s="118" t="s">
        <v>15</v>
      </c>
      <c r="I138" s="118" t="s">
        <v>253</v>
      </c>
      <c r="J138" s="118" t="s">
        <v>595</v>
      </c>
      <c r="K138" s="118" t="s">
        <v>598</v>
      </c>
      <c r="L138" s="118">
        <v>0</v>
      </c>
      <c r="M138" s="118">
        <v>0</v>
      </c>
      <c r="N138" s="4"/>
      <c r="O138" s="4" t="s">
        <v>16</v>
      </c>
      <c r="P138" s="42" t="s">
        <v>50</v>
      </c>
      <c r="Q138" s="116"/>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row>
    <row r="139" spans="1:42" ht="14.25" customHeight="1" x14ac:dyDescent="0.2">
      <c r="A139" s="118" t="s">
        <v>599</v>
      </c>
      <c r="B139" s="118" t="s">
        <v>600</v>
      </c>
      <c r="C139" s="118">
        <v>2024</v>
      </c>
      <c r="D139" s="118" t="s">
        <v>233</v>
      </c>
      <c r="E139" s="118" t="s">
        <v>602</v>
      </c>
      <c r="F139" s="118" t="s">
        <v>603</v>
      </c>
      <c r="G139" s="118" t="s">
        <v>238</v>
      </c>
      <c r="H139" s="118" t="s">
        <v>15</v>
      </c>
      <c r="I139" s="118" t="s">
        <v>230</v>
      </c>
      <c r="J139" s="118" t="s">
        <v>601</v>
      </c>
      <c r="K139" s="118" t="s">
        <v>604</v>
      </c>
      <c r="L139" s="118">
        <v>0</v>
      </c>
      <c r="M139" s="118">
        <v>0</v>
      </c>
      <c r="N139" s="3"/>
      <c r="O139" s="4" t="s">
        <v>16</v>
      </c>
      <c r="P139" s="42" t="s">
        <v>50</v>
      </c>
      <c r="Q139" s="117"/>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row>
    <row r="140" spans="1:42" ht="14.25" customHeight="1" x14ac:dyDescent="0.2">
      <c r="A140" s="118" t="s">
        <v>605</v>
      </c>
      <c r="B140" s="118" t="s">
        <v>606</v>
      </c>
      <c r="C140" s="118">
        <v>2022</v>
      </c>
      <c r="D140" s="118" t="s">
        <v>607</v>
      </c>
      <c r="E140" s="118" t="s">
        <v>608</v>
      </c>
      <c r="F140" s="118" t="s">
        <v>609</v>
      </c>
      <c r="G140" s="118" t="s">
        <v>610</v>
      </c>
      <c r="H140" s="118" t="s">
        <v>15</v>
      </c>
      <c r="I140" s="118" t="s">
        <v>230</v>
      </c>
      <c r="J140" s="118">
        <v>0</v>
      </c>
      <c r="K140" s="118">
        <v>0</v>
      </c>
      <c r="L140" s="118">
        <v>0</v>
      </c>
      <c r="M140" s="118">
        <v>0</v>
      </c>
      <c r="N140" s="3"/>
      <c r="O140" s="4" t="s">
        <v>16</v>
      </c>
      <c r="P140" s="42" t="s">
        <v>50</v>
      </c>
      <c r="Q140" s="116"/>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row>
    <row r="141" spans="1:42" ht="14.25" customHeight="1" x14ac:dyDescent="0.2">
      <c r="A141" s="118">
        <v>0</v>
      </c>
      <c r="B141" s="118" t="s">
        <v>229</v>
      </c>
      <c r="C141" s="118">
        <v>2025</v>
      </c>
      <c r="D141" s="118" t="s">
        <v>223</v>
      </c>
      <c r="E141" s="118" t="s">
        <v>390</v>
      </c>
      <c r="F141" s="118">
        <v>0</v>
      </c>
      <c r="G141" s="118" t="s">
        <v>228</v>
      </c>
      <c r="H141" s="118" t="s">
        <v>15</v>
      </c>
      <c r="I141" s="118" t="s">
        <v>391</v>
      </c>
      <c r="J141" s="118">
        <v>0</v>
      </c>
      <c r="K141" s="118">
        <v>0</v>
      </c>
      <c r="L141" s="118">
        <v>0</v>
      </c>
      <c r="M141" s="118">
        <v>0</v>
      </c>
      <c r="N141" s="4"/>
      <c r="O141" s="4" t="s">
        <v>16</v>
      </c>
      <c r="P141" s="42" t="s">
        <v>50</v>
      </c>
      <c r="Q141" s="117"/>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row>
    <row r="142" spans="1:42" ht="14.25" customHeight="1" x14ac:dyDescent="0.2">
      <c r="A142" s="118" t="s">
        <v>611</v>
      </c>
      <c r="B142" s="118" t="s">
        <v>612</v>
      </c>
      <c r="C142" s="118">
        <v>2023</v>
      </c>
      <c r="D142" s="118" t="s">
        <v>317</v>
      </c>
      <c r="E142" s="118" t="s">
        <v>614</v>
      </c>
      <c r="F142" s="118" t="s">
        <v>615</v>
      </c>
      <c r="G142" s="118" t="s">
        <v>322</v>
      </c>
      <c r="H142" s="118" t="s">
        <v>15</v>
      </c>
      <c r="I142" s="118" t="s">
        <v>253</v>
      </c>
      <c r="J142" s="118" t="s">
        <v>613</v>
      </c>
      <c r="K142" s="118" t="s">
        <v>616</v>
      </c>
      <c r="L142" s="118">
        <v>0</v>
      </c>
      <c r="M142" s="118">
        <v>0</v>
      </c>
      <c r="N142" s="4"/>
      <c r="O142" s="4" t="s">
        <v>16</v>
      </c>
      <c r="P142" s="42" t="s">
        <v>50</v>
      </c>
      <c r="Q142" s="116"/>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row>
    <row r="143" spans="1:42" ht="14.25" customHeight="1" x14ac:dyDescent="0.2">
      <c r="A143" s="118" t="s">
        <v>507</v>
      </c>
      <c r="B143" s="118" t="s">
        <v>617</v>
      </c>
      <c r="C143" s="118">
        <v>2022</v>
      </c>
      <c r="D143" s="118" t="s">
        <v>509</v>
      </c>
      <c r="E143" s="118" t="s">
        <v>619</v>
      </c>
      <c r="F143" s="118" t="s">
        <v>620</v>
      </c>
      <c r="G143" s="118" t="s">
        <v>228</v>
      </c>
      <c r="H143" s="118" t="s">
        <v>15</v>
      </c>
      <c r="I143" s="118" t="s">
        <v>230</v>
      </c>
      <c r="J143" s="118" t="s">
        <v>618</v>
      </c>
      <c r="K143" s="118" t="s">
        <v>513</v>
      </c>
      <c r="L143" s="118">
        <v>0</v>
      </c>
      <c r="M143" s="118">
        <v>0</v>
      </c>
      <c r="N143" s="3"/>
      <c r="O143" s="4" t="s">
        <v>16</v>
      </c>
      <c r="P143" s="42" t="s">
        <v>50</v>
      </c>
      <c r="Q143" s="117"/>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row>
    <row r="144" spans="1:42" ht="14.25" customHeight="1" x14ac:dyDescent="0.2">
      <c r="A144" s="118" t="s">
        <v>621</v>
      </c>
      <c r="B144" s="118" t="s">
        <v>622</v>
      </c>
      <c r="C144" s="118">
        <v>2024</v>
      </c>
      <c r="D144" s="118" t="s">
        <v>233</v>
      </c>
      <c r="E144" s="118" t="s">
        <v>624</v>
      </c>
      <c r="F144" s="118" t="s">
        <v>625</v>
      </c>
      <c r="G144" s="118" t="s">
        <v>238</v>
      </c>
      <c r="H144" s="118" t="s">
        <v>15</v>
      </c>
      <c r="I144" s="118" t="s">
        <v>230</v>
      </c>
      <c r="J144" s="118" t="s">
        <v>623</v>
      </c>
      <c r="K144" s="118">
        <v>0</v>
      </c>
      <c r="L144" s="118">
        <v>0</v>
      </c>
      <c r="M144" s="118">
        <v>0</v>
      </c>
      <c r="N144" s="4"/>
      <c r="O144" s="4" t="s">
        <v>16</v>
      </c>
      <c r="P144" s="42" t="s">
        <v>50</v>
      </c>
      <c r="Q144" s="116"/>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row>
    <row r="145" spans="1:42" ht="14.25" customHeight="1" x14ac:dyDescent="0.2">
      <c r="A145" s="118" t="s">
        <v>626</v>
      </c>
      <c r="B145" s="118" t="s">
        <v>627</v>
      </c>
      <c r="C145" s="118">
        <v>2026</v>
      </c>
      <c r="D145" s="118" t="s">
        <v>394</v>
      </c>
      <c r="E145" s="118" t="s">
        <v>629</v>
      </c>
      <c r="F145" s="118" t="s">
        <v>630</v>
      </c>
      <c r="G145" s="118" t="s">
        <v>274</v>
      </c>
      <c r="H145" s="118" t="s">
        <v>15</v>
      </c>
      <c r="I145" s="118" t="s">
        <v>253</v>
      </c>
      <c r="J145" s="118" t="s">
        <v>628</v>
      </c>
      <c r="K145" s="118" t="s">
        <v>631</v>
      </c>
      <c r="L145" s="118">
        <v>0</v>
      </c>
      <c r="M145" s="118">
        <v>0</v>
      </c>
      <c r="N145" s="4"/>
      <c r="O145" s="4" t="s">
        <v>16</v>
      </c>
      <c r="P145" s="42" t="s">
        <v>50</v>
      </c>
      <c r="Q145" s="117"/>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row>
    <row r="146" spans="1:42" ht="14.25" customHeight="1" x14ac:dyDescent="0.2">
      <c r="A146" s="118" t="s">
        <v>632</v>
      </c>
      <c r="B146" s="118" t="s">
        <v>633</v>
      </c>
      <c r="C146" s="118">
        <v>2025</v>
      </c>
      <c r="D146" s="118" t="s">
        <v>634</v>
      </c>
      <c r="E146" s="118" t="s">
        <v>636</v>
      </c>
      <c r="F146" s="118" t="s">
        <v>637</v>
      </c>
      <c r="G146" s="118" t="s">
        <v>639</v>
      </c>
      <c r="H146" s="118" t="s">
        <v>15</v>
      </c>
      <c r="I146" s="118" t="s">
        <v>230</v>
      </c>
      <c r="J146" s="118" t="s">
        <v>635</v>
      </c>
      <c r="K146" s="118" t="s">
        <v>638</v>
      </c>
      <c r="L146" s="118">
        <v>0</v>
      </c>
      <c r="M146" s="118">
        <v>0</v>
      </c>
      <c r="N146" s="4"/>
      <c r="O146" s="4" t="s">
        <v>16</v>
      </c>
      <c r="P146" s="42" t="s">
        <v>50</v>
      </c>
      <c r="Q146" s="116"/>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row>
    <row r="147" spans="1:42" ht="14.25" customHeight="1" x14ac:dyDescent="0.2">
      <c r="A147" s="118" t="s">
        <v>640</v>
      </c>
      <c r="B147" s="118" t="s">
        <v>641</v>
      </c>
      <c r="C147" s="118">
        <v>2025</v>
      </c>
      <c r="D147" s="118" t="s">
        <v>233</v>
      </c>
      <c r="E147" s="118" t="s">
        <v>643</v>
      </c>
      <c r="F147" s="118" t="s">
        <v>644</v>
      </c>
      <c r="G147" s="118" t="s">
        <v>238</v>
      </c>
      <c r="H147" s="118" t="s">
        <v>15</v>
      </c>
      <c r="I147" s="118" t="s">
        <v>230</v>
      </c>
      <c r="J147" s="118" t="s">
        <v>642</v>
      </c>
      <c r="K147" s="118" t="s">
        <v>645</v>
      </c>
      <c r="L147" s="118">
        <v>0</v>
      </c>
      <c r="M147" s="118">
        <v>0</v>
      </c>
      <c r="N147" s="4"/>
      <c r="O147" s="4" t="s">
        <v>16</v>
      </c>
      <c r="P147" s="42" t="s">
        <v>50</v>
      </c>
      <c r="Q147" s="117"/>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row>
    <row r="148" spans="1:42" ht="14.25" customHeight="1" x14ac:dyDescent="0.2">
      <c r="A148" s="118" t="s">
        <v>646</v>
      </c>
      <c r="B148" s="118" t="s">
        <v>647</v>
      </c>
      <c r="C148" s="118">
        <v>2023</v>
      </c>
      <c r="D148" s="118" t="s">
        <v>509</v>
      </c>
      <c r="E148" s="118" t="s">
        <v>649</v>
      </c>
      <c r="F148" s="118" t="s">
        <v>650</v>
      </c>
      <c r="G148" s="118" t="s">
        <v>228</v>
      </c>
      <c r="H148" s="118" t="s">
        <v>15</v>
      </c>
      <c r="I148" s="118" t="s">
        <v>230</v>
      </c>
      <c r="J148" s="118" t="s">
        <v>648</v>
      </c>
      <c r="K148" s="118" t="s">
        <v>651</v>
      </c>
      <c r="L148" s="118">
        <v>0</v>
      </c>
      <c r="M148" s="118">
        <v>0</v>
      </c>
      <c r="N148" s="4"/>
      <c r="O148" s="4" t="s">
        <v>16</v>
      </c>
      <c r="P148" s="42" t="s">
        <v>50</v>
      </c>
      <c r="Q148" s="116"/>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row>
    <row r="149" spans="1:42" ht="14.25" customHeight="1" x14ac:dyDescent="0.2">
      <c r="A149" s="118" t="s">
        <v>652</v>
      </c>
      <c r="B149" s="118" t="s">
        <v>653</v>
      </c>
      <c r="C149" s="118">
        <v>2023</v>
      </c>
      <c r="D149" s="118" t="s">
        <v>654</v>
      </c>
      <c r="E149" s="118" t="s">
        <v>656</v>
      </c>
      <c r="F149" s="118" t="s">
        <v>657</v>
      </c>
      <c r="G149" s="118" t="s">
        <v>228</v>
      </c>
      <c r="H149" s="118" t="s">
        <v>15</v>
      </c>
      <c r="I149" s="118" t="s">
        <v>253</v>
      </c>
      <c r="J149" s="118" t="s">
        <v>655</v>
      </c>
      <c r="K149" s="118" t="s">
        <v>658</v>
      </c>
      <c r="L149" s="118">
        <v>0</v>
      </c>
      <c r="M149" s="118">
        <v>0</v>
      </c>
      <c r="N149" s="3"/>
      <c r="O149" s="4" t="s">
        <v>16</v>
      </c>
      <c r="P149" s="42" t="s">
        <v>50</v>
      </c>
      <c r="Q149" s="117"/>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row>
    <row r="150" spans="1:42" ht="14.25" customHeight="1" x14ac:dyDescent="0.2">
      <c r="A150" s="118" t="s">
        <v>659</v>
      </c>
      <c r="B150" s="118" t="s">
        <v>660</v>
      </c>
      <c r="C150" s="118">
        <v>2022</v>
      </c>
      <c r="D150" s="118" t="s">
        <v>233</v>
      </c>
      <c r="E150" s="118" t="s">
        <v>662</v>
      </c>
      <c r="F150" s="118" t="s">
        <v>663</v>
      </c>
      <c r="G150" s="118" t="s">
        <v>238</v>
      </c>
      <c r="H150" s="118" t="s">
        <v>15</v>
      </c>
      <c r="I150" s="118" t="s">
        <v>230</v>
      </c>
      <c r="J150" s="118" t="s">
        <v>661</v>
      </c>
      <c r="K150" s="118" t="s">
        <v>664</v>
      </c>
      <c r="L150" s="118">
        <v>0</v>
      </c>
      <c r="M150" s="118">
        <v>0</v>
      </c>
      <c r="N150" s="4"/>
      <c r="O150" s="4" t="s">
        <v>16</v>
      </c>
      <c r="P150" s="42" t="s">
        <v>50</v>
      </c>
      <c r="Q150" s="116"/>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row>
    <row r="151" spans="1:42" ht="14.25" customHeight="1" x14ac:dyDescent="0.2">
      <c r="A151" s="118" t="s">
        <v>665</v>
      </c>
      <c r="B151" s="118" t="s">
        <v>666</v>
      </c>
      <c r="C151" s="118">
        <v>2022</v>
      </c>
      <c r="D151" s="118" t="s">
        <v>385</v>
      </c>
      <c r="E151" s="118" t="s">
        <v>668</v>
      </c>
      <c r="F151" s="118" t="s">
        <v>669</v>
      </c>
      <c r="G151" s="118" t="s">
        <v>586</v>
      </c>
      <c r="H151" s="118" t="s">
        <v>15</v>
      </c>
      <c r="I151" s="118" t="s">
        <v>253</v>
      </c>
      <c r="J151" s="118" t="s">
        <v>667</v>
      </c>
      <c r="K151" s="118" t="s">
        <v>670</v>
      </c>
      <c r="L151" s="118">
        <v>0</v>
      </c>
      <c r="M151" s="118">
        <v>0</v>
      </c>
      <c r="N151" s="4"/>
      <c r="O151" s="4" t="s">
        <v>16</v>
      </c>
      <c r="P151" s="42" t="s">
        <v>50</v>
      </c>
      <c r="Q151" s="117"/>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row>
    <row r="152" spans="1:42" ht="14.25" customHeight="1" x14ac:dyDescent="0.2">
      <c r="A152" s="118" t="s">
        <v>671</v>
      </c>
      <c r="B152" s="118" t="s">
        <v>672</v>
      </c>
      <c r="C152" s="118">
        <v>2024</v>
      </c>
      <c r="D152" s="118" t="s">
        <v>673</v>
      </c>
      <c r="E152" s="118" t="s">
        <v>675</v>
      </c>
      <c r="F152" s="118" t="s">
        <v>676</v>
      </c>
      <c r="G152" s="118" t="s">
        <v>282</v>
      </c>
      <c r="H152" s="118" t="s">
        <v>15</v>
      </c>
      <c r="I152" s="118" t="s">
        <v>253</v>
      </c>
      <c r="J152" s="118" t="s">
        <v>674</v>
      </c>
      <c r="K152" s="118" t="s">
        <v>677</v>
      </c>
      <c r="L152" s="118">
        <v>0</v>
      </c>
      <c r="M152" s="118">
        <v>0</v>
      </c>
      <c r="N152" s="4"/>
      <c r="O152" s="4" t="s">
        <v>16</v>
      </c>
      <c r="P152" s="42" t="s">
        <v>50</v>
      </c>
      <c r="Q152" s="116"/>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row>
    <row r="153" spans="1:42" ht="14.25" customHeight="1" x14ac:dyDescent="0.2">
      <c r="A153" s="118" t="s">
        <v>678</v>
      </c>
      <c r="B153" s="118" t="s">
        <v>679</v>
      </c>
      <c r="C153" s="118">
        <v>2023</v>
      </c>
      <c r="D153" s="118" t="s">
        <v>680</v>
      </c>
      <c r="E153" s="118" t="s">
        <v>682</v>
      </c>
      <c r="F153" s="118">
        <v>0</v>
      </c>
      <c r="G153" s="118" t="s">
        <v>473</v>
      </c>
      <c r="H153" s="118" t="s">
        <v>15</v>
      </c>
      <c r="I153" s="118" t="s">
        <v>230</v>
      </c>
      <c r="J153" s="118" t="s">
        <v>681</v>
      </c>
      <c r="K153" s="118" t="s">
        <v>683</v>
      </c>
      <c r="L153" s="118">
        <v>0</v>
      </c>
      <c r="M153" s="118">
        <v>0</v>
      </c>
      <c r="N153" s="4"/>
      <c r="O153" s="4" t="s">
        <v>16</v>
      </c>
      <c r="P153" s="42" t="s">
        <v>50</v>
      </c>
      <c r="Q153" s="117"/>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row>
    <row r="154" spans="1:42" ht="14.25" customHeight="1" x14ac:dyDescent="0.2">
      <c r="A154" s="118" t="s">
        <v>684</v>
      </c>
      <c r="B154" s="118" t="s">
        <v>685</v>
      </c>
      <c r="C154" s="118">
        <v>2025</v>
      </c>
      <c r="D154" s="118" t="s">
        <v>686</v>
      </c>
      <c r="E154" s="118" t="s">
        <v>688</v>
      </c>
      <c r="F154" s="118" t="s">
        <v>689</v>
      </c>
      <c r="G154" s="118" t="s">
        <v>691</v>
      </c>
      <c r="H154" s="118" t="s">
        <v>15</v>
      </c>
      <c r="I154" s="118" t="s">
        <v>253</v>
      </c>
      <c r="J154" s="118" t="s">
        <v>687</v>
      </c>
      <c r="K154" s="118" t="s">
        <v>690</v>
      </c>
      <c r="L154" s="118">
        <v>0</v>
      </c>
      <c r="M154" s="118">
        <v>0</v>
      </c>
      <c r="N154" s="4"/>
      <c r="O154" s="4" t="s">
        <v>16</v>
      </c>
      <c r="P154" s="42" t="s">
        <v>50</v>
      </c>
      <c r="Q154" s="116"/>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row>
    <row r="155" spans="1:42" ht="14.25" customHeight="1" x14ac:dyDescent="0.2">
      <c r="A155" s="118" t="s">
        <v>692</v>
      </c>
      <c r="B155" s="118" t="s">
        <v>693</v>
      </c>
      <c r="C155" s="118">
        <v>2025</v>
      </c>
      <c r="D155" s="118" t="s">
        <v>233</v>
      </c>
      <c r="E155" s="118" t="s">
        <v>695</v>
      </c>
      <c r="F155" s="118" t="s">
        <v>696</v>
      </c>
      <c r="G155" s="118" t="s">
        <v>238</v>
      </c>
      <c r="H155" s="118" t="s">
        <v>15</v>
      </c>
      <c r="I155" s="118" t="s">
        <v>230</v>
      </c>
      <c r="J155" s="118" t="s">
        <v>694</v>
      </c>
      <c r="K155" s="118" t="s">
        <v>697</v>
      </c>
      <c r="L155" s="118">
        <v>0</v>
      </c>
      <c r="M155" s="118">
        <v>0</v>
      </c>
      <c r="N155" s="4"/>
      <c r="O155" s="4" t="s">
        <v>16</v>
      </c>
      <c r="P155" s="42" t="s">
        <v>50</v>
      </c>
      <c r="Q155" s="117"/>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row>
    <row r="156" spans="1:42" ht="14.25" customHeight="1" x14ac:dyDescent="0.2">
      <c r="A156" s="118">
        <v>0</v>
      </c>
      <c r="B156" s="118" t="s">
        <v>481</v>
      </c>
      <c r="C156" s="118">
        <v>2023</v>
      </c>
      <c r="D156" s="118" t="s">
        <v>476</v>
      </c>
      <c r="E156" s="118" t="s">
        <v>698</v>
      </c>
      <c r="F156" s="118">
        <v>0</v>
      </c>
      <c r="G156" s="118" t="s">
        <v>228</v>
      </c>
      <c r="H156" s="118" t="s">
        <v>15</v>
      </c>
      <c r="I156" s="118" t="s">
        <v>391</v>
      </c>
      <c r="J156" s="118">
        <v>0</v>
      </c>
      <c r="K156" s="118">
        <v>0</v>
      </c>
      <c r="L156" s="118">
        <v>0</v>
      </c>
      <c r="M156" s="118">
        <v>0</v>
      </c>
      <c r="N156" s="4"/>
      <c r="O156" s="4" t="s">
        <v>16</v>
      </c>
      <c r="P156" s="42" t="s">
        <v>50</v>
      </c>
      <c r="Q156" s="116"/>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row>
    <row r="157" spans="1:42" ht="14.25" customHeight="1" x14ac:dyDescent="0.2">
      <c r="A157" s="118" t="s">
        <v>699</v>
      </c>
      <c r="B157" s="118" t="s">
        <v>700</v>
      </c>
      <c r="C157" s="118">
        <v>2025</v>
      </c>
      <c r="D157" s="118" t="s">
        <v>233</v>
      </c>
      <c r="E157" s="118" t="s">
        <v>702</v>
      </c>
      <c r="F157" s="118" t="s">
        <v>703</v>
      </c>
      <c r="G157" s="118" t="s">
        <v>238</v>
      </c>
      <c r="H157" s="118" t="s">
        <v>15</v>
      </c>
      <c r="I157" s="118" t="s">
        <v>230</v>
      </c>
      <c r="J157" s="118" t="s">
        <v>701</v>
      </c>
      <c r="K157" s="118" t="s">
        <v>704</v>
      </c>
      <c r="L157" s="118">
        <v>0</v>
      </c>
      <c r="M157" s="118">
        <v>0</v>
      </c>
      <c r="N157" s="4"/>
      <c r="O157" s="4" t="s">
        <v>16</v>
      </c>
      <c r="P157" s="42" t="s">
        <v>50</v>
      </c>
      <c r="Q157" s="117"/>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row>
    <row r="158" spans="1:42" ht="14.25" customHeight="1" x14ac:dyDescent="0.2">
      <c r="A158" s="118" t="s">
        <v>705</v>
      </c>
      <c r="B158" s="118" t="s">
        <v>706</v>
      </c>
      <c r="C158" s="118">
        <v>2026</v>
      </c>
      <c r="D158" s="118" t="s">
        <v>707</v>
      </c>
      <c r="E158" s="118" t="s">
        <v>709</v>
      </c>
      <c r="F158" s="118" t="s">
        <v>710</v>
      </c>
      <c r="G158" s="118" t="s">
        <v>252</v>
      </c>
      <c r="H158" s="118" t="s">
        <v>15</v>
      </c>
      <c r="I158" s="118" t="s">
        <v>253</v>
      </c>
      <c r="J158" s="118" t="s">
        <v>708</v>
      </c>
      <c r="K158" s="118" t="s">
        <v>711</v>
      </c>
      <c r="L158" s="118">
        <v>0</v>
      </c>
      <c r="M158" s="118">
        <v>0</v>
      </c>
      <c r="N158" s="4"/>
      <c r="O158" s="4" t="s">
        <v>16</v>
      </c>
      <c r="P158" s="42" t="s">
        <v>50</v>
      </c>
      <c r="Q158" s="116"/>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row>
    <row r="159" spans="1:42" ht="14.25" customHeight="1" x14ac:dyDescent="0.2">
      <c r="A159" s="118" t="s">
        <v>712</v>
      </c>
      <c r="B159" s="118" t="s">
        <v>713</v>
      </c>
      <c r="C159" s="118">
        <v>2025</v>
      </c>
      <c r="D159" s="118" t="s">
        <v>233</v>
      </c>
      <c r="E159" s="118" t="s">
        <v>715</v>
      </c>
      <c r="F159" s="118" t="s">
        <v>716</v>
      </c>
      <c r="G159" s="118" t="s">
        <v>238</v>
      </c>
      <c r="H159" s="118" t="s">
        <v>15</v>
      </c>
      <c r="I159" s="118" t="s">
        <v>230</v>
      </c>
      <c r="J159" s="118" t="s">
        <v>714</v>
      </c>
      <c r="K159" s="118" t="s">
        <v>717</v>
      </c>
      <c r="L159" s="118">
        <v>0</v>
      </c>
      <c r="M159" s="118">
        <v>0</v>
      </c>
      <c r="N159" s="3"/>
      <c r="O159" s="4" t="s">
        <v>16</v>
      </c>
      <c r="P159" s="42" t="s">
        <v>50</v>
      </c>
      <c r="Q159" s="117"/>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row>
    <row r="160" spans="1:42" ht="14.25" customHeight="1" x14ac:dyDescent="0.2">
      <c r="A160" s="118" t="s">
        <v>718</v>
      </c>
      <c r="B160" s="118" t="s">
        <v>719</v>
      </c>
      <c r="C160" s="118">
        <v>2025</v>
      </c>
      <c r="D160" s="118" t="s">
        <v>460</v>
      </c>
      <c r="E160" s="118" t="s">
        <v>721</v>
      </c>
      <c r="F160" s="118" t="s">
        <v>722</v>
      </c>
      <c r="G160" s="118" t="s">
        <v>465</v>
      </c>
      <c r="H160" s="118" t="s">
        <v>15</v>
      </c>
      <c r="I160" s="118" t="s">
        <v>253</v>
      </c>
      <c r="J160" s="118" t="s">
        <v>720</v>
      </c>
      <c r="K160" s="118" t="s">
        <v>723</v>
      </c>
      <c r="L160" s="118">
        <v>0</v>
      </c>
      <c r="M160" s="118">
        <v>0</v>
      </c>
      <c r="N160" s="3"/>
      <c r="O160" s="4" t="s">
        <v>16</v>
      </c>
      <c r="P160" s="42" t="s">
        <v>50</v>
      </c>
      <c r="Q160" s="116"/>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row>
    <row r="161" spans="1:42" ht="14.25" customHeight="1" x14ac:dyDescent="0.2">
      <c r="A161" s="118" t="s">
        <v>724</v>
      </c>
      <c r="B161" s="118" t="s">
        <v>725</v>
      </c>
      <c r="C161" s="118">
        <v>2022</v>
      </c>
      <c r="D161" s="118" t="s">
        <v>394</v>
      </c>
      <c r="E161" s="118" t="s">
        <v>727</v>
      </c>
      <c r="F161" s="118" t="s">
        <v>728</v>
      </c>
      <c r="G161" s="118" t="s">
        <v>274</v>
      </c>
      <c r="H161" s="118" t="s">
        <v>15</v>
      </c>
      <c r="I161" s="118" t="s">
        <v>253</v>
      </c>
      <c r="J161" s="118" t="s">
        <v>726</v>
      </c>
      <c r="K161" s="118" t="s">
        <v>729</v>
      </c>
      <c r="L161" s="118">
        <v>0</v>
      </c>
      <c r="M161" s="118">
        <v>0</v>
      </c>
      <c r="N161" s="4"/>
      <c r="O161" s="4" t="s">
        <v>16</v>
      </c>
      <c r="P161" s="42" t="s">
        <v>50</v>
      </c>
      <c r="Q161" s="117"/>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row>
    <row r="162" spans="1:42" ht="14.25" customHeight="1" x14ac:dyDescent="0.2">
      <c r="A162" s="118" t="s">
        <v>730</v>
      </c>
      <c r="B162" s="118" t="s">
        <v>731</v>
      </c>
      <c r="C162" s="118">
        <v>2024</v>
      </c>
      <c r="D162" s="118" t="s">
        <v>233</v>
      </c>
      <c r="E162" s="118" t="s">
        <v>733</v>
      </c>
      <c r="F162" s="118" t="s">
        <v>734</v>
      </c>
      <c r="G162" s="118" t="s">
        <v>238</v>
      </c>
      <c r="H162" s="118" t="s">
        <v>15</v>
      </c>
      <c r="I162" s="118" t="s">
        <v>230</v>
      </c>
      <c r="J162" s="118" t="s">
        <v>732</v>
      </c>
      <c r="K162" s="118" t="s">
        <v>735</v>
      </c>
      <c r="L162" s="118">
        <v>0</v>
      </c>
      <c r="M162" s="118">
        <v>0</v>
      </c>
      <c r="N162" s="3"/>
      <c r="O162" s="4" t="s">
        <v>16</v>
      </c>
      <c r="P162" s="42" t="s">
        <v>50</v>
      </c>
      <c r="Q162" s="116"/>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row>
    <row r="163" spans="1:42" ht="14.25" customHeight="1" x14ac:dyDescent="0.2">
      <c r="A163" s="118" t="s">
        <v>736</v>
      </c>
      <c r="B163" s="118" t="s">
        <v>737</v>
      </c>
      <c r="C163" s="118">
        <v>2023</v>
      </c>
      <c r="D163" s="118" t="s">
        <v>738</v>
      </c>
      <c r="E163" s="118" t="s">
        <v>740</v>
      </c>
      <c r="F163" s="118" t="s">
        <v>741</v>
      </c>
      <c r="G163" s="118" t="s">
        <v>743</v>
      </c>
      <c r="H163" s="118" t="s">
        <v>15</v>
      </c>
      <c r="I163" s="118" t="s">
        <v>253</v>
      </c>
      <c r="J163" s="118" t="s">
        <v>739</v>
      </c>
      <c r="K163" s="118" t="s">
        <v>742</v>
      </c>
      <c r="L163" s="118">
        <v>0</v>
      </c>
      <c r="M163" s="118">
        <v>0</v>
      </c>
      <c r="N163" s="4"/>
      <c r="O163" s="4" t="s">
        <v>16</v>
      </c>
      <c r="P163" s="42" t="s">
        <v>50</v>
      </c>
      <c r="Q163" s="117"/>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row>
    <row r="164" spans="1:42" ht="14.25" customHeight="1" x14ac:dyDescent="0.2">
      <c r="A164" s="118" t="s">
        <v>744</v>
      </c>
      <c r="B164" s="118" t="s">
        <v>745</v>
      </c>
      <c r="C164" s="118">
        <v>2022</v>
      </c>
      <c r="D164" s="118" t="s">
        <v>746</v>
      </c>
      <c r="E164" s="118" t="s">
        <v>748</v>
      </c>
      <c r="F164" s="118" t="s">
        <v>749</v>
      </c>
      <c r="G164" s="118" t="s">
        <v>473</v>
      </c>
      <c r="H164" s="118" t="s">
        <v>15</v>
      </c>
      <c r="I164" s="118" t="s">
        <v>230</v>
      </c>
      <c r="J164" s="118" t="s">
        <v>747</v>
      </c>
      <c r="K164" s="118">
        <v>0</v>
      </c>
      <c r="L164" s="118">
        <v>0</v>
      </c>
      <c r="M164" s="118">
        <v>0</v>
      </c>
      <c r="N164" s="4"/>
      <c r="O164" s="4" t="s">
        <v>16</v>
      </c>
      <c r="P164" s="42" t="s">
        <v>50</v>
      </c>
      <c r="Q164" s="116"/>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row>
    <row r="165" spans="1:42" ht="14.25" customHeight="1" x14ac:dyDescent="0.2">
      <c r="A165" s="118" t="s">
        <v>750</v>
      </c>
      <c r="B165" s="118" t="s">
        <v>751</v>
      </c>
      <c r="C165" s="118">
        <v>2024</v>
      </c>
      <c r="D165" s="118" t="s">
        <v>394</v>
      </c>
      <c r="E165" s="118" t="s">
        <v>753</v>
      </c>
      <c r="F165" s="118" t="s">
        <v>754</v>
      </c>
      <c r="G165" s="118" t="s">
        <v>274</v>
      </c>
      <c r="H165" s="118" t="s">
        <v>15</v>
      </c>
      <c r="I165" s="118" t="s">
        <v>253</v>
      </c>
      <c r="J165" s="118" t="s">
        <v>752</v>
      </c>
      <c r="K165" s="118" t="s">
        <v>755</v>
      </c>
      <c r="L165" s="118">
        <v>0</v>
      </c>
      <c r="M165" s="118">
        <v>0</v>
      </c>
      <c r="N165" s="3"/>
      <c r="O165" s="4" t="s">
        <v>16</v>
      </c>
      <c r="P165" s="42" t="s">
        <v>50</v>
      </c>
      <c r="Q165" s="116"/>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row>
    <row r="166" spans="1:42" ht="14.25" customHeight="1" x14ac:dyDescent="0.2">
      <c r="A166" s="118" t="s">
        <v>756</v>
      </c>
      <c r="B166" s="118" t="s">
        <v>757</v>
      </c>
      <c r="C166" s="118">
        <v>2022</v>
      </c>
      <c r="D166" s="118" t="s">
        <v>233</v>
      </c>
      <c r="E166" s="118" t="s">
        <v>759</v>
      </c>
      <c r="F166" s="118" t="s">
        <v>760</v>
      </c>
      <c r="G166" s="118" t="s">
        <v>238</v>
      </c>
      <c r="H166" s="118" t="s">
        <v>15</v>
      </c>
      <c r="I166" s="118" t="s">
        <v>230</v>
      </c>
      <c r="J166" s="118" t="s">
        <v>758</v>
      </c>
      <c r="K166" s="118" t="s">
        <v>761</v>
      </c>
      <c r="L166" s="118">
        <v>0</v>
      </c>
      <c r="M166" s="118">
        <v>0</v>
      </c>
      <c r="N166" s="4"/>
      <c r="O166" s="4" t="s">
        <v>16</v>
      </c>
      <c r="P166" s="42" t="s">
        <v>50</v>
      </c>
      <c r="Q166" s="117"/>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row>
    <row r="167" spans="1:42" ht="14.25" customHeight="1" x14ac:dyDescent="0.2">
      <c r="A167" s="118" t="s">
        <v>762</v>
      </c>
      <c r="B167" s="118" t="s">
        <v>763</v>
      </c>
      <c r="C167" s="118">
        <v>2024</v>
      </c>
      <c r="D167" s="118" t="s">
        <v>764</v>
      </c>
      <c r="E167" s="118" t="s">
        <v>766</v>
      </c>
      <c r="F167" s="118" t="s">
        <v>767</v>
      </c>
      <c r="G167" s="118" t="s">
        <v>473</v>
      </c>
      <c r="H167" s="118" t="s">
        <v>15</v>
      </c>
      <c r="I167" s="118" t="s">
        <v>230</v>
      </c>
      <c r="J167" s="118" t="s">
        <v>765</v>
      </c>
      <c r="K167" s="118" t="s">
        <v>768</v>
      </c>
      <c r="L167" s="118">
        <v>0</v>
      </c>
      <c r="M167" s="118">
        <v>0</v>
      </c>
      <c r="N167" s="4"/>
      <c r="O167" s="4" t="s">
        <v>16</v>
      </c>
      <c r="P167" s="42" t="s">
        <v>50</v>
      </c>
      <c r="Q167" s="116"/>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row>
    <row r="168" spans="1:42" ht="14.25" customHeight="1" x14ac:dyDescent="0.2">
      <c r="A168" s="118" t="s">
        <v>769</v>
      </c>
      <c r="B168" s="118" t="s">
        <v>770</v>
      </c>
      <c r="C168" s="118">
        <v>2023</v>
      </c>
      <c r="D168" s="118" t="s">
        <v>771</v>
      </c>
      <c r="E168" s="118" t="s">
        <v>773</v>
      </c>
      <c r="F168" s="118" t="s">
        <v>774</v>
      </c>
      <c r="G168" s="118" t="s">
        <v>228</v>
      </c>
      <c r="H168" s="118" t="s">
        <v>15</v>
      </c>
      <c r="I168" s="118" t="s">
        <v>230</v>
      </c>
      <c r="J168" s="118" t="s">
        <v>772</v>
      </c>
      <c r="K168" s="118" t="s">
        <v>775</v>
      </c>
      <c r="L168" s="118">
        <v>0</v>
      </c>
      <c r="M168" s="118">
        <v>0</v>
      </c>
      <c r="N168" s="4"/>
      <c r="O168" s="4" t="s">
        <v>16</v>
      </c>
      <c r="P168" s="42" t="s">
        <v>50</v>
      </c>
      <c r="Q168" s="117"/>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row>
    <row r="169" spans="1:42" ht="14.25" customHeight="1" x14ac:dyDescent="0.2">
      <c r="A169" s="118" t="s">
        <v>776</v>
      </c>
      <c r="B169" s="118" t="s">
        <v>777</v>
      </c>
      <c r="C169" s="118">
        <v>2023</v>
      </c>
      <c r="D169" s="118" t="s">
        <v>233</v>
      </c>
      <c r="E169" s="118" t="s">
        <v>779</v>
      </c>
      <c r="F169" s="118" t="s">
        <v>780</v>
      </c>
      <c r="G169" s="118" t="s">
        <v>238</v>
      </c>
      <c r="H169" s="118" t="s">
        <v>15</v>
      </c>
      <c r="I169" s="118" t="s">
        <v>230</v>
      </c>
      <c r="J169" s="118" t="s">
        <v>778</v>
      </c>
      <c r="K169" s="118" t="s">
        <v>781</v>
      </c>
      <c r="L169" s="118">
        <v>0</v>
      </c>
      <c r="M169" s="118">
        <v>0</v>
      </c>
      <c r="N169" s="3"/>
      <c r="O169" s="4" t="s">
        <v>16</v>
      </c>
      <c r="P169" s="42" t="s">
        <v>50</v>
      </c>
      <c r="Q169" s="116"/>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row>
    <row r="170" spans="1:42" ht="14.25" customHeight="1" x14ac:dyDescent="0.2">
      <c r="A170" s="118" t="s">
        <v>782</v>
      </c>
      <c r="B170" s="118" t="s">
        <v>783</v>
      </c>
      <c r="C170" s="118">
        <v>2026</v>
      </c>
      <c r="D170" s="118" t="s">
        <v>784</v>
      </c>
      <c r="E170" s="118" t="s">
        <v>786</v>
      </c>
      <c r="F170" s="118" t="s">
        <v>787</v>
      </c>
      <c r="G170" s="118" t="s">
        <v>789</v>
      </c>
      <c r="H170" s="118" t="s">
        <v>15</v>
      </c>
      <c r="I170" s="118" t="s">
        <v>230</v>
      </c>
      <c r="J170" s="118" t="s">
        <v>785</v>
      </c>
      <c r="K170" s="118" t="s">
        <v>788</v>
      </c>
      <c r="L170" s="118">
        <v>0</v>
      </c>
      <c r="M170" s="118">
        <v>0</v>
      </c>
      <c r="N170" s="4"/>
      <c r="O170" s="4" t="s">
        <v>16</v>
      </c>
      <c r="P170" s="42" t="s">
        <v>50</v>
      </c>
      <c r="Q170" s="117"/>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row>
    <row r="171" spans="1:42" ht="14.25" customHeight="1" x14ac:dyDescent="0.2">
      <c r="A171" s="118" t="s">
        <v>790</v>
      </c>
      <c r="B171" s="118" t="s">
        <v>791</v>
      </c>
      <c r="C171" s="118">
        <v>2022</v>
      </c>
      <c r="D171" s="118" t="s">
        <v>233</v>
      </c>
      <c r="E171" s="118" t="s">
        <v>793</v>
      </c>
      <c r="F171" s="118" t="s">
        <v>794</v>
      </c>
      <c r="G171" s="118" t="s">
        <v>238</v>
      </c>
      <c r="H171" s="118" t="s">
        <v>15</v>
      </c>
      <c r="I171" s="118" t="s">
        <v>230</v>
      </c>
      <c r="J171" s="118" t="s">
        <v>792</v>
      </c>
      <c r="K171" s="118" t="s">
        <v>795</v>
      </c>
      <c r="L171" s="118">
        <v>0</v>
      </c>
      <c r="M171" s="118">
        <v>0</v>
      </c>
      <c r="N171" s="4"/>
      <c r="O171" s="4" t="s">
        <v>16</v>
      </c>
      <c r="P171" s="42" t="s">
        <v>50</v>
      </c>
      <c r="Q171" s="116"/>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row>
    <row r="172" spans="1:42" ht="14.25" customHeight="1" x14ac:dyDescent="0.2">
      <c r="A172" s="118" t="s">
        <v>796</v>
      </c>
      <c r="B172" s="118" t="s">
        <v>797</v>
      </c>
      <c r="C172" s="118">
        <v>2025</v>
      </c>
      <c r="D172" s="118" t="s">
        <v>798</v>
      </c>
      <c r="E172" s="118" t="s">
        <v>800</v>
      </c>
      <c r="F172" s="118" t="s">
        <v>801</v>
      </c>
      <c r="G172" s="118" t="s">
        <v>803</v>
      </c>
      <c r="H172" s="118" t="s">
        <v>15</v>
      </c>
      <c r="I172" s="118" t="s">
        <v>253</v>
      </c>
      <c r="J172" s="118" t="s">
        <v>799</v>
      </c>
      <c r="K172" s="118" t="s">
        <v>802</v>
      </c>
      <c r="L172" s="118">
        <v>0</v>
      </c>
      <c r="M172" s="118">
        <v>0</v>
      </c>
      <c r="N172" s="3"/>
      <c r="O172" s="4" t="s">
        <v>16</v>
      </c>
      <c r="P172" s="42" t="s">
        <v>50</v>
      </c>
      <c r="Q172" s="117"/>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row>
    <row r="173" spans="1:42" ht="14.25" customHeight="1" x14ac:dyDescent="0.2">
      <c r="A173" s="118" t="s">
        <v>804</v>
      </c>
      <c r="B173" s="118" t="s">
        <v>805</v>
      </c>
      <c r="C173" s="118">
        <v>2025</v>
      </c>
      <c r="D173" s="118" t="s">
        <v>806</v>
      </c>
      <c r="E173" s="118" t="s">
        <v>808</v>
      </c>
      <c r="F173" s="118" t="s">
        <v>809</v>
      </c>
      <c r="G173" s="118" t="s">
        <v>465</v>
      </c>
      <c r="H173" s="118" t="s">
        <v>15</v>
      </c>
      <c r="I173" s="118" t="s">
        <v>545</v>
      </c>
      <c r="J173" s="118" t="s">
        <v>807</v>
      </c>
      <c r="K173" s="118" t="s">
        <v>810</v>
      </c>
      <c r="L173" s="118">
        <v>0</v>
      </c>
      <c r="M173" s="118">
        <v>0</v>
      </c>
      <c r="N173" s="4"/>
      <c r="O173" s="4" t="s">
        <v>16</v>
      </c>
      <c r="P173" s="42" t="s">
        <v>50</v>
      </c>
      <c r="Q173" s="116"/>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row>
    <row r="174" spans="1:42" ht="14.25" customHeight="1" x14ac:dyDescent="0.2">
      <c r="A174" s="118" t="s">
        <v>811</v>
      </c>
      <c r="B174" s="118" t="s">
        <v>812</v>
      </c>
      <c r="C174" s="118">
        <v>2024</v>
      </c>
      <c r="D174" s="118" t="s">
        <v>460</v>
      </c>
      <c r="E174" s="118" t="s">
        <v>814</v>
      </c>
      <c r="F174" s="118" t="s">
        <v>815</v>
      </c>
      <c r="G174" s="118" t="s">
        <v>465</v>
      </c>
      <c r="H174" s="118" t="s">
        <v>15</v>
      </c>
      <c r="I174" s="118" t="s">
        <v>253</v>
      </c>
      <c r="J174" s="118" t="s">
        <v>813</v>
      </c>
      <c r="K174" s="118" t="s">
        <v>816</v>
      </c>
      <c r="L174" s="118">
        <v>0</v>
      </c>
      <c r="M174" s="118">
        <v>0</v>
      </c>
      <c r="N174" s="4"/>
      <c r="O174" s="4" t="s">
        <v>16</v>
      </c>
      <c r="P174" s="42" t="s">
        <v>50</v>
      </c>
      <c r="Q174" s="117"/>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row>
    <row r="175" spans="1:42" ht="14.25" customHeight="1" x14ac:dyDescent="0.2">
      <c r="A175" s="118" t="s">
        <v>817</v>
      </c>
      <c r="B175" s="118" t="s">
        <v>818</v>
      </c>
      <c r="C175" s="118">
        <v>2022</v>
      </c>
      <c r="D175" s="118" t="s">
        <v>819</v>
      </c>
      <c r="E175" s="118" t="s">
        <v>821</v>
      </c>
      <c r="F175" s="118" t="s">
        <v>822</v>
      </c>
      <c r="G175" s="118" t="s">
        <v>823</v>
      </c>
      <c r="H175" s="118" t="s">
        <v>15</v>
      </c>
      <c r="I175" s="118" t="s">
        <v>230</v>
      </c>
      <c r="J175" s="118" t="s">
        <v>820</v>
      </c>
      <c r="K175" s="118">
        <v>0</v>
      </c>
      <c r="L175" s="118">
        <v>0</v>
      </c>
      <c r="M175" s="118">
        <v>0</v>
      </c>
      <c r="N175" s="3"/>
      <c r="O175" s="4" t="s">
        <v>16</v>
      </c>
      <c r="P175" s="42" t="s">
        <v>50</v>
      </c>
      <c r="Q175" s="116"/>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row>
    <row r="176" spans="1:42" ht="14.25" customHeight="1" x14ac:dyDescent="0.2">
      <c r="A176" s="118" t="s">
        <v>824</v>
      </c>
      <c r="B176" s="118" t="s">
        <v>825</v>
      </c>
      <c r="C176" s="118">
        <v>2025</v>
      </c>
      <c r="D176" s="118" t="s">
        <v>269</v>
      </c>
      <c r="E176" s="118" t="s">
        <v>827</v>
      </c>
      <c r="F176" s="118" t="s">
        <v>828</v>
      </c>
      <c r="G176" s="118" t="s">
        <v>274</v>
      </c>
      <c r="H176" s="118" t="s">
        <v>15</v>
      </c>
      <c r="I176" s="118" t="s">
        <v>253</v>
      </c>
      <c r="J176" s="118" t="s">
        <v>826</v>
      </c>
      <c r="K176" s="118" t="s">
        <v>829</v>
      </c>
      <c r="L176" s="118">
        <v>0</v>
      </c>
      <c r="M176" s="118">
        <v>0</v>
      </c>
      <c r="N176" s="4"/>
      <c r="O176" s="4" t="s">
        <v>16</v>
      </c>
      <c r="P176" s="42" t="s">
        <v>50</v>
      </c>
      <c r="Q176" s="117"/>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row>
    <row r="177" spans="1:42" ht="14.25" customHeight="1" x14ac:dyDescent="0.2">
      <c r="A177" s="118" t="s">
        <v>830</v>
      </c>
      <c r="B177" s="118" t="s">
        <v>831</v>
      </c>
      <c r="C177" s="118">
        <v>2023</v>
      </c>
      <c r="D177" s="118" t="s">
        <v>832</v>
      </c>
      <c r="E177" s="118" t="s">
        <v>834</v>
      </c>
      <c r="F177" s="118" t="s">
        <v>835</v>
      </c>
      <c r="G177" s="118" t="s">
        <v>473</v>
      </c>
      <c r="H177" s="118" t="s">
        <v>15</v>
      </c>
      <c r="I177" s="118" t="s">
        <v>230</v>
      </c>
      <c r="J177" s="118" t="s">
        <v>833</v>
      </c>
      <c r="K177" s="118" t="s">
        <v>836</v>
      </c>
      <c r="L177" s="118">
        <v>0</v>
      </c>
      <c r="M177" s="118">
        <v>0</v>
      </c>
      <c r="N177" s="4"/>
      <c r="O177" s="4" t="s">
        <v>16</v>
      </c>
      <c r="P177" s="42" t="s">
        <v>50</v>
      </c>
      <c r="Q177" s="116"/>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row>
    <row r="178" spans="1:42" ht="14.25" customHeight="1" x14ac:dyDescent="0.2">
      <c r="A178" s="118" t="s">
        <v>837</v>
      </c>
      <c r="B178" s="118" t="s">
        <v>838</v>
      </c>
      <c r="C178" s="118">
        <v>2024</v>
      </c>
      <c r="D178" s="118" t="s">
        <v>839</v>
      </c>
      <c r="E178" s="118" t="s">
        <v>841</v>
      </c>
      <c r="F178" s="118" t="s">
        <v>842</v>
      </c>
      <c r="G178" s="118" t="s">
        <v>473</v>
      </c>
      <c r="H178" s="118" t="s">
        <v>15</v>
      </c>
      <c r="I178" s="118" t="s">
        <v>230</v>
      </c>
      <c r="J178" s="118" t="s">
        <v>840</v>
      </c>
      <c r="K178" s="118">
        <v>0</v>
      </c>
      <c r="L178" s="118">
        <v>0</v>
      </c>
      <c r="M178" s="118">
        <v>0</v>
      </c>
      <c r="N178" s="4"/>
      <c r="O178" s="4" t="s">
        <v>16</v>
      </c>
      <c r="P178" s="42" t="s">
        <v>50</v>
      </c>
      <c r="Q178" s="117"/>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row>
    <row r="179" spans="1:42" ht="14.25" customHeight="1" x14ac:dyDescent="0.2">
      <c r="A179" s="118" t="s">
        <v>843</v>
      </c>
      <c r="B179" s="118" t="s">
        <v>844</v>
      </c>
      <c r="C179" s="118">
        <v>2022</v>
      </c>
      <c r="D179" s="118" t="s">
        <v>233</v>
      </c>
      <c r="E179" s="118" t="s">
        <v>846</v>
      </c>
      <c r="F179" s="118" t="s">
        <v>847</v>
      </c>
      <c r="G179" s="118" t="s">
        <v>238</v>
      </c>
      <c r="H179" s="118" t="s">
        <v>15</v>
      </c>
      <c r="I179" s="118" t="s">
        <v>230</v>
      </c>
      <c r="J179" s="118" t="s">
        <v>845</v>
      </c>
      <c r="K179" s="118" t="s">
        <v>848</v>
      </c>
      <c r="L179" s="118">
        <v>0</v>
      </c>
      <c r="M179" s="118">
        <v>0</v>
      </c>
      <c r="N179" s="4"/>
      <c r="O179" s="4" t="s">
        <v>16</v>
      </c>
      <c r="P179" s="42" t="s">
        <v>50</v>
      </c>
      <c r="Q179" s="116"/>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row>
    <row r="180" spans="1:42" ht="14.25" customHeight="1" x14ac:dyDescent="0.2">
      <c r="A180" s="118" t="s">
        <v>849</v>
      </c>
      <c r="B180" s="118" t="s">
        <v>850</v>
      </c>
      <c r="C180" s="118">
        <v>2025</v>
      </c>
      <c r="D180" s="118" t="s">
        <v>371</v>
      </c>
      <c r="E180" s="118" t="s">
        <v>852</v>
      </c>
      <c r="F180" s="118" t="s">
        <v>853</v>
      </c>
      <c r="G180" s="118" t="s">
        <v>376</v>
      </c>
      <c r="H180" s="118" t="s">
        <v>15</v>
      </c>
      <c r="I180" s="118" t="s">
        <v>253</v>
      </c>
      <c r="J180" s="118" t="s">
        <v>851</v>
      </c>
      <c r="K180" s="118" t="s">
        <v>854</v>
      </c>
      <c r="L180" s="118">
        <v>0</v>
      </c>
      <c r="M180" s="118">
        <v>0</v>
      </c>
      <c r="N180" s="3"/>
      <c r="O180" s="4" t="s">
        <v>16</v>
      </c>
      <c r="P180" s="42" t="s">
        <v>50</v>
      </c>
      <c r="Q180" s="117"/>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row>
    <row r="181" spans="1:42" ht="14.25" customHeight="1" x14ac:dyDescent="0.2">
      <c r="A181" s="118" t="s">
        <v>855</v>
      </c>
      <c r="B181" s="118" t="s">
        <v>856</v>
      </c>
      <c r="C181" s="118">
        <v>2026</v>
      </c>
      <c r="D181" s="118" t="s">
        <v>233</v>
      </c>
      <c r="E181" s="118" t="s">
        <v>858</v>
      </c>
      <c r="F181" s="118" t="s">
        <v>859</v>
      </c>
      <c r="G181" s="118" t="s">
        <v>238</v>
      </c>
      <c r="H181" s="118" t="s">
        <v>15</v>
      </c>
      <c r="I181" s="118" t="s">
        <v>230</v>
      </c>
      <c r="J181" s="118" t="s">
        <v>857</v>
      </c>
      <c r="K181" s="118" t="s">
        <v>860</v>
      </c>
      <c r="L181" s="118">
        <v>0</v>
      </c>
      <c r="M181" s="118">
        <v>0</v>
      </c>
      <c r="N181" s="4"/>
      <c r="O181" s="4" t="s">
        <v>16</v>
      </c>
      <c r="P181" s="42" t="s">
        <v>50</v>
      </c>
      <c r="Q181" s="116"/>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row>
    <row r="182" spans="1:42" ht="14.25" customHeight="1" x14ac:dyDescent="0.2">
      <c r="A182" s="118" t="s">
        <v>861</v>
      </c>
      <c r="B182" s="118" t="s">
        <v>862</v>
      </c>
      <c r="C182" s="118">
        <v>2024</v>
      </c>
      <c r="D182" s="118" t="s">
        <v>863</v>
      </c>
      <c r="E182" s="118" t="s">
        <v>864</v>
      </c>
      <c r="F182" s="118" t="s">
        <v>865</v>
      </c>
      <c r="G182" s="118" t="s">
        <v>866</v>
      </c>
      <c r="H182" s="118" t="s">
        <v>15</v>
      </c>
      <c r="I182" s="118" t="s">
        <v>230</v>
      </c>
      <c r="J182" s="118">
        <v>0</v>
      </c>
      <c r="K182" s="118">
        <v>0</v>
      </c>
      <c r="L182" s="118">
        <v>0</v>
      </c>
      <c r="M182" s="118">
        <v>0</v>
      </c>
      <c r="N182" s="3"/>
      <c r="O182" s="4" t="s">
        <v>16</v>
      </c>
      <c r="P182" s="42" t="s">
        <v>50</v>
      </c>
      <c r="Q182" s="117"/>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row>
    <row r="183" spans="1:42" ht="14.25" customHeight="1" x14ac:dyDescent="0.2">
      <c r="A183" s="118" t="s">
        <v>867</v>
      </c>
      <c r="B183" s="118" t="s">
        <v>868</v>
      </c>
      <c r="C183" s="118">
        <v>2024</v>
      </c>
      <c r="D183" s="118" t="s">
        <v>233</v>
      </c>
      <c r="E183" s="118" t="s">
        <v>870</v>
      </c>
      <c r="F183" s="118" t="s">
        <v>871</v>
      </c>
      <c r="G183" s="118" t="s">
        <v>238</v>
      </c>
      <c r="H183" s="118" t="s">
        <v>15</v>
      </c>
      <c r="I183" s="118" t="s">
        <v>230</v>
      </c>
      <c r="J183" s="118" t="s">
        <v>869</v>
      </c>
      <c r="K183" s="118" t="s">
        <v>872</v>
      </c>
      <c r="L183" s="118">
        <v>0</v>
      </c>
      <c r="M183" s="118">
        <v>0</v>
      </c>
      <c r="N183" s="4"/>
      <c r="O183" s="4" t="s">
        <v>16</v>
      </c>
      <c r="P183" s="42" t="s">
        <v>50</v>
      </c>
      <c r="Q183" s="117"/>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row>
    <row r="184" spans="1:42" ht="14.25" customHeight="1" x14ac:dyDescent="0.2">
      <c r="A184" s="118" t="s">
        <v>873</v>
      </c>
      <c r="B184" s="118" t="s">
        <v>874</v>
      </c>
      <c r="C184" s="118">
        <v>2024</v>
      </c>
      <c r="D184" s="118" t="s">
        <v>233</v>
      </c>
      <c r="E184" s="118" t="s">
        <v>876</v>
      </c>
      <c r="F184" s="118" t="s">
        <v>877</v>
      </c>
      <c r="G184" s="118" t="s">
        <v>238</v>
      </c>
      <c r="H184" s="118" t="s">
        <v>15</v>
      </c>
      <c r="I184" s="118" t="s">
        <v>230</v>
      </c>
      <c r="J184" s="118" t="s">
        <v>875</v>
      </c>
      <c r="K184" s="118" t="s">
        <v>878</v>
      </c>
      <c r="L184" s="118">
        <v>0</v>
      </c>
      <c r="M184" s="118">
        <v>0</v>
      </c>
      <c r="N184" s="3"/>
      <c r="O184" s="4" t="s">
        <v>16</v>
      </c>
      <c r="P184" s="42" t="s">
        <v>50</v>
      </c>
      <c r="Q184" s="116"/>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row>
    <row r="185" spans="1:42" ht="14.25" customHeight="1" x14ac:dyDescent="0.2">
      <c r="A185" s="118" t="s">
        <v>879</v>
      </c>
      <c r="B185" s="118" t="s">
        <v>880</v>
      </c>
      <c r="C185" s="118">
        <v>2025</v>
      </c>
      <c r="D185" s="118" t="s">
        <v>881</v>
      </c>
      <c r="E185" s="118" t="s">
        <v>883</v>
      </c>
      <c r="F185" s="118" t="s">
        <v>884</v>
      </c>
      <c r="G185" s="118" t="s">
        <v>473</v>
      </c>
      <c r="H185" s="118" t="s">
        <v>15</v>
      </c>
      <c r="I185" s="118" t="s">
        <v>230</v>
      </c>
      <c r="J185" s="118" t="s">
        <v>882</v>
      </c>
      <c r="K185" s="118" t="s">
        <v>885</v>
      </c>
      <c r="L185" s="118">
        <v>0</v>
      </c>
      <c r="M185" s="118">
        <v>0</v>
      </c>
      <c r="N185" s="3"/>
      <c r="O185" s="4" t="s">
        <v>16</v>
      </c>
      <c r="P185" s="42" t="s">
        <v>50</v>
      </c>
      <c r="Q185" s="117"/>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row>
    <row r="186" spans="1:42" ht="14.25" customHeight="1" x14ac:dyDescent="0.2">
      <c r="A186" s="118" t="s">
        <v>886</v>
      </c>
      <c r="B186" s="118" t="s">
        <v>887</v>
      </c>
      <c r="C186" s="118">
        <v>2023</v>
      </c>
      <c r="D186" s="118" t="s">
        <v>607</v>
      </c>
      <c r="E186" s="118" t="s">
        <v>888</v>
      </c>
      <c r="F186" s="118" t="s">
        <v>889</v>
      </c>
      <c r="G186" s="118" t="s">
        <v>610</v>
      </c>
      <c r="H186" s="118" t="s">
        <v>15</v>
      </c>
      <c r="I186" s="118" t="s">
        <v>230</v>
      </c>
      <c r="J186" s="118">
        <v>0</v>
      </c>
      <c r="K186" s="118" t="s">
        <v>890</v>
      </c>
      <c r="L186" s="118">
        <v>0</v>
      </c>
      <c r="M186" s="118">
        <v>0</v>
      </c>
      <c r="N186" s="4"/>
      <c r="O186" s="4" t="s">
        <v>16</v>
      </c>
      <c r="P186" s="42" t="s">
        <v>50</v>
      </c>
      <c r="Q186" s="116"/>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row>
    <row r="187" spans="1:42" ht="14.25" customHeight="1" x14ac:dyDescent="0.2">
      <c r="A187" s="118" t="s">
        <v>891</v>
      </c>
      <c r="B187" s="118" t="s">
        <v>892</v>
      </c>
      <c r="C187" s="118">
        <v>2022</v>
      </c>
      <c r="D187" s="118" t="s">
        <v>893</v>
      </c>
      <c r="E187" s="118" t="s">
        <v>894</v>
      </c>
      <c r="F187" s="118">
        <v>0</v>
      </c>
      <c r="G187" s="118" t="s">
        <v>895</v>
      </c>
      <c r="H187" s="118" t="s">
        <v>15</v>
      </c>
      <c r="I187" s="118" t="s">
        <v>230</v>
      </c>
      <c r="J187" s="118">
        <v>0</v>
      </c>
      <c r="K187" s="118">
        <v>0</v>
      </c>
      <c r="L187" s="118">
        <v>0</v>
      </c>
      <c r="M187" s="118">
        <v>0</v>
      </c>
      <c r="N187" s="4"/>
      <c r="O187" s="4" t="s">
        <v>16</v>
      </c>
      <c r="P187" s="42" t="s">
        <v>50</v>
      </c>
      <c r="Q187" s="117"/>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row>
    <row r="188" spans="1:42" ht="14.25" customHeight="1" x14ac:dyDescent="0.2">
      <c r="A188" s="118" t="s">
        <v>896</v>
      </c>
      <c r="B188" s="118" t="s">
        <v>897</v>
      </c>
      <c r="C188" s="118">
        <v>2025</v>
      </c>
      <c r="D188" s="118" t="s">
        <v>898</v>
      </c>
      <c r="E188" s="118" t="s">
        <v>900</v>
      </c>
      <c r="F188" s="118" t="s">
        <v>901</v>
      </c>
      <c r="G188" s="118" t="s">
        <v>473</v>
      </c>
      <c r="H188" s="118" t="s">
        <v>15</v>
      </c>
      <c r="I188" s="118" t="s">
        <v>230</v>
      </c>
      <c r="J188" s="118" t="s">
        <v>899</v>
      </c>
      <c r="K188" s="118">
        <v>0</v>
      </c>
      <c r="L188" s="118">
        <v>0</v>
      </c>
      <c r="M188" s="118">
        <v>0</v>
      </c>
      <c r="N188" s="4"/>
      <c r="O188" s="4" t="s">
        <v>16</v>
      </c>
      <c r="P188" s="42" t="s">
        <v>50</v>
      </c>
      <c r="Q188" s="116"/>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row>
    <row r="189" spans="1:42" ht="14.25" customHeight="1" x14ac:dyDescent="0.2">
      <c r="A189" s="118" t="s">
        <v>902</v>
      </c>
      <c r="B189" s="118" t="s">
        <v>903</v>
      </c>
      <c r="C189" s="118">
        <v>2025</v>
      </c>
      <c r="D189" s="118" t="s">
        <v>904</v>
      </c>
      <c r="E189" s="118" t="s">
        <v>905</v>
      </c>
      <c r="F189" s="118" t="s">
        <v>906</v>
      </c>
      <c r="G189" s="118" t="s">
        <v>908</v>
      </c>
      <c r="H189" s="118" t="s">
        <v>15</v>
      </c>
      <c r="I189" s="118" t="s">
        <v>545</v>
      </c>
      <c r="J189" s="118">
        <v>0</v>
      </c>
      <c r="K189" s="118" t="s">
        <v>907</v>
      </c>
      <c r="L189" s="118">
        <v>0</v>
      </c>
      <c r="M189" s="118">
        <v>0</v>
      </c>
      <c r="N189" s="4"/>
      <c r="O189" s="4" t="s">
        <v>16</v>
      </c>
      <c r="P189" s="42" t="s">
        <v>50</v>
      </c>
      <c r="Q189" s="117"/>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row>
    <row r="190" spans="1:42" ht="14.25" customHeight="1" x14ac:dyDescent="0.2">
      <c r="A190" s="118" t="s">
        <v>909</v>
      </c>
      <c r="B190" s="118" t="s">
        <v>910</v>
      </c>
      <c r="C190" s="118">
        <v>2022</v>
      </c>
      <c r="D190" s="118" t="s">
        <v>607</v>
      </c>
      <c r="E190" s="118" t="s">
        <v>911</v>
      </c>
      <c r="F190" s="118" t="s">
        <v>912</v>
      </c>
      <c r="G190" s="118" t="s">
        <v>610</v>
      </c>
      <c r="H190" s="118" t="s">
        <v>15</v>
      </c>
      <c r="I190" s="118" t="s">
        <v>230</v>
      </c>
      <c r="J190" s="118">
        <v>0</v>
      </c>
      <c r="K190" s="118">
        <v>0</v>
      </c>
      <c r="L190" s="118">
        <v>0</v>
      </c>
      <c r="M190" s="118">
        <v>0</v>
      </c>
      <c r="N190" s="3"/>
      <c r="O190" s="4" t="s">
        <v>16</v>
      </c>
      <c r="P190" s="42" t="s">
        <v>50</v>
      </c>
      <c r="Q190" s="116"/>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row>
    <row r="191" spans="1:42" ht="14.25" customHeight="1" x14ac:dyDescent="0.2">
      <c r="A191" s="118" t="s">
        <v>605</v>
      </c>
      <c r="B191" s="118" t="s">
        <v>913</v>
      </c>
      <c r="C191" s="118">
        <v>2025</v>
      </c>
      <c r="D191" s="118" t="s">
        <v>914</v>
      </c>
      <c r="E191" s="118" t="s">
        <v>916</v>
      </c>
      <c r="F191" s="118" t="s">
        <v>917</v>
      </c>
      <c r="G191" s="118" t="s">
        <v>228</v>
      </c>
      <c r="H191" s="118" t="s">
        <v>15</v>
      </c>
      <c r="I191" s="118" t="s">
        <v>230</v>
      </c>
      <c r="J191" s="118" t="s">
        <v>915</v>
      </c>
      <c r="K191" s="118" t="s">
        <v>918</v>
      </c>
      <c r="L191" s="118">
        <v>0</v>
      </c>
      <c r="M191" s="118">
        <v>0</v>
      </c>
      <c r="N191" s="4"/>
      <c r="O191" s="4" t="s">
        <v>16</v>
      </c>
      <c r="P191" s="42" t="s">
        <v>50</v>
      </c>
      <c r="Q191" s="117"/>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row>
    <row r="192" spans="1:42" ht="14.25" customHeight="1" x14ac:dyDescent="0.2">
      <c r="A192" s="118" t="s">
        <v>919</v>
      </c>
      <c r="B192" s="118" t="s">
        <v>920</v>
      </c>
      <c r="C192" s="118">
        <v>2025</v>
      </c>
      <c r="D192" s="118" t="s">
        <v>233</v>
      </c>
      <c r="E192" s="118" t="s">
        <v>922</v>
      </c>
      <c r="F192" s="118" t="s">
        <v>923</v>
      </c>
      <c r="G192" s="118" t="s">
        <v>238</v>
      </c>
      <c r="H192" s="118" t="s">
        <v>15</v>
      </c>
      <c r="I192" s="118" t="s">
        <v>230</v>
      </c>
      <c r="J192" s="118" t="s">
        <v>921</v>
      </c>
      <c r="K192" s="118" t="s">
        <v>924</v>
      </c>
      <c r="L192" s="118">
        <v>0</v>
      </c>
      <c r="M192" s="118">
        <v>0</v>
      </c>
      <c r="N192" s="4"/>
      <c r="O192" s="4" t="s">
        <v>16</v>
      </c>
      <c r="P192" s="42" t="s">
        <v>50</v>
      </c>
      <c r="Q192" s="116"/>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row>
    <row r="193" spans="1:42" ht="14.25" customHeight="1" x14ac:dyDescent="0.2">
      <c r="A193" s="118" t="s">
        <v>925</v>
      </c>
      <c r="B193" s="118" t="s">
        <v>926</v>
      </c>
      <c r="C193" s="118">
        <v>2023</v>
      </c>
      <c r="D193" s="118" t="s">
        <v>927</v>
      </c>
      <c r="E193" s="118" t="s">
        <v>929</v>
      </c>
      <c r="F193" s="118" t="s">
        <v>930</v>
      </c>
      <c r="G193" s="118">
        <v>0</v>
      </c>
      <c r="H193" s="118" t="s">
        <v>15</v>
      </c>
      <c r="I193" s="118" t="s">
        <v>253</v>
      </c>
      <c r="J193" s="118" t="s">
        <v>928</v>
      </c>
      <c r="K193" s="118">
        <v>0</v>
      </c>
      <c r="L193" s="118">
        <v>0</v>
      </c>
      <c r="M193" s="118">
        <v>0</v>
      </c>
      <c r="N193" s="4"/>
      <c r="O193" s="4" t="s">
        <v>16</v>
      </c>
      <c r="P193" s="42" t="s">
        <v>50</v>
      </c>
      <c r="Q193" s="117"/>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row>
    <row r="194" spans="1:42" ht="14.25" customHeight="1" x14ac:dyDescent="0.2">
      <c r="A194" s="118" t="s">
        <v>931</v>
      </c>
      <c r="B194" s="118" t="s">
        <v>932</v>
      </c>
      <c r="C194" s="118">
        <v>2022</v>
      </c>
      <c r="D194" s="118" t="s">
        <v>233</v>
      </c>
      <c r="E194" s="118" t="s">
        <v>934</v>
      </c>
      <c r="F194" s="118" t="s">
        <v>935</v>
      </c>
      <c r="G194" s="118" t="s">
        <v>238</v>
      </c>
      <c r="H194" s="118" t="s">
        <v>15</v>
      </c>
      <c r="I194" s="118" t="s">
        <v>230</v>
      </c>
      <c r="J194" s="118" t="s">
        <v>933</v>
      </c>
      <c r="K194" s="118" t="s">
        <v>936</v>
      </c>
      <c r="L194" s="118">
        <v>0</v>
      </c>
      <c r="M194" s="118">
        <v>0</v>
      </c>
      <c r="N194" s="4"/>
      <c r="O194" s="4" t="s">
        <v>16</v>
      </c>
      <c r="P194" s="42" t="s">
        <v>50</v>
      </c>
      <c r="Q194" s="116"/>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row>
    <row r="195" spans="1:42" ht="14.25" customHeight="1" x14ac:dyDescent="0.2">
      <c r="A195" s="118" t="s">
        <v>937</v>
      </c>
      <c r="B195" s="118" t="s">
        <v>938</v>
      </c>
      <c r="C195" s="118">
        <v>2023</v>
      </c>
      <c r="D195" s="118" t="s">
        <v>939</v>
      </c>
      <c r="E195" s="118" t="s">
        <v>941</v>
      </c>
      <c r="F195" s="118">
        <v>0</v>
      </c>
      <c r="G195" s="118" t="s">
        <v>457</v>
      </c>
      <c r="H195" s="118" t="s">
        <v>15</v>
      </c>
      <c r="I195" s="118" t="s">
        <v>253</v>
      </c>
      <c r="J195" s="118" t="s">
        <v>940</v>
      </c>
      <c r="K195" s="118" t="s">
        <v>942</v>
      </c>
      <c r="L195" s="118">
        <v>0</v>
      </c>
      <c r="M195" s="118">
        <v>0</v>
      </c>
      <c r="N195" s="4"/>
      <c r="O195" s="4" t="s">
        <v>16</v>
      </c>
      <c r="P195" s="42" t="s">
        <v>50</v>
      </c>
      <c r="Q195" s="117"/>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row>
    <row r="196" spans="1:42" ht="14.25" customHeight="1" x14ac:dyDescent="0.2">
      <c r="A196" s="118" t="s">
        <v>943</v>
      </c>
      <c r="B196" s="118" t="s">
        <v>944</v>
      </c>
      <c r="C196" s="118">
        <v>2023</v>
      </c>
      <c r="D196" s="118" t="s">
        <v>233</v>
      </c>
      <c r="E196" s="118" t="s">
        <v>946</v>
      </c>
      <c r="F196" s="118" t="s">
        <v>947</v>
      </c>
      <c r="G196" s="118" t="s">
        <v>238</v>
      </c>
      <c r="H196" s="118" t="s">
        <v>15</v>
      </c>
      <c r="I196" s="118" t="s">
        <v>230</v>
      </c>
      <c r="J196" s="118" t="s">
        <v>945</v>
      </c>
      <c r="K196" s="118" t="s">
        <v>948</v>
      </c>
      <c r="L196" s="118">
        <v>0</v>
      </c>
      <c r="M196" s="118">
        <v>0</v>
      </c>
      <c r="N196" s="4"/>
      <c r="O196" s="4" t="s">
        <v>16</v>
      </c>
      <c r="P196" s="42" t="s">
        <v>50</v>
      </c>
      <c r="Q196" s="116"/>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row>
    <row r="197" spans="1:42" ht="14.25" customHeight="1" x14ac:dyDescent="0.2">
      <c r="A197" s="118" t="s">
        <v>949</v>
      </c>
      <c r="B197" s="118" t="s">
        <v>950</v>
      </c>
      <c r="C197" s="118">
        <v>2024</v>
      </c>
      <c r="D197" s="118" t="s">
        <v>233</v>
      </c>
      <c r="E197" s="118" t="s">
        <v>952</v>
      </c>
      <c r="F197" s="118" t="s">
        <v>953</v>
      </c>
      <c r="G197" s="118" t="s">
        <v>238</v>
      </c>
      <c r="H197" s="118" t="s">
        <v>15</v>
      </c>
      <c r="I197" s="118" t="s">
        <v>230</v>
      </c>
      <c r="J197" s="118" t="s">
        <v>951</v>
      </c>
      <c r="K197" s="118" t="s">
        <v>954</v>
      </c>
      <c r="L197" s="118">
        <v>0</v>
      </c>
      <c r="M197" s="118">
        <v>0</v>
      </c>
      <c r="N197" s="4"/>
      <c r="O197" s="4" t="s">
        <v>16</v>
      </c>
      <c r="P197" s="42"/>
      <c r="Q197" s="117"/>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row>
    <row r="198" spans="1:42" ht="14.25" customHeight="1" x14ac:dyDescent="0.2">
      <c r="A198" s="118" t="s">
        <v>955</v>
      </c>
      <c r="B198" s="118" t="s">
        <v>956</v>
      </c>
      <c r="C198" s="118">
        <v>2024</v>
      </c>
      <c r="D198" s="118" t="s">
        <v>957</v>
      </c>
      <c r="E198" s="118" t="s">
        <v>959</v>
      </c>
      <c r="F198" s="118" t="s">
        <v>960</v>
      </c>
      <c r="G198" s="118" t="s">
        <v>473</v>
      </c>
      <c r="H198" s="118" t="s">
        <v>961</v>
      </c>
      <c r="I198" s="118" t="s">
        <v>230</v>
      </c>
      <c r="J198" s="118" t="s">
        <v>958</v>
      </c>
      <c r="K198" s="118">
        <v>0</v>
      </c>
      <c r="L198" s="118">
        <v>0</v>
      </c>
      <c r="M198" s="118">
        <v>0</v>
      </c>
      <c r="N198" s="4"/>
      <c r="O198" s="4" t="s">
        <v>16</v>
      </c>
      <c r="P198" s="42"/>
      <c r="Q198" s="116"/>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row>
    <row r="199" spans="1:42" ht="14.25" customHeight="1" x14ac:dyDescent="0.2">
      <c r="A199" s="118" t="s">
        <v>962</v>
      </c>
      <c r="B199" s="118" t="s">
        <v>963</v>
      </c>
      <c r="C199" s="118">
        <v>2025</v>
      </c>
      <c r="D199" s="118" t="s">
        <v>476</v>
      </c>
      <c r="E199" s="118" t="s">
        <v>965</v>
      </c>
      <c r="F199" s="118" t="s">
        <v>966</v>
      </c>
      <c r="G199" s="118" t="s">
        <v>228</v>
      </c>
      <c r="H199" s="118" t="s">
        <v>15</v>
      </c>
      <c r="I199" s="118" t="s">
        <v>230</v>
      </c>
      <c r="J199" s="118" t="s">
        <v>964</v>
      </c>
      <c r="K199" s="118" t="s">
        <v>967</v>
      </c>
      <c r="L199" s="118">
        <v>0</v>
      </c>
      <c r="M199" s="118">
        <v>0</v>
      </c>
      <c r="N199" s="3"/>
      <c r="O199" s="4" t="s">
        <v>16</v>
      </c>
      <c r="P199" s="42"/>
      <c r="Q199" s="117"/>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row>
    <row r="200" spans="1:42" ht="14.25" customHeight="1" x14ac:dyDescent="0.2">
      <c r="A200" s="118" t="s">
        <v>968</v>
      </c>
      <c r="B200" s="118" t="s">
        <v>969</v>
      </c>
      <c r="C200" s="118">
        <v>2026</v>
      </c>
      <c r="D200" s="118" t="s">
        <v>970</v>
      </c>
      <c r="E200" s="118" t="s">
        <v>972</v>
      </c>
      <c r="F200" s="118" t="s">
        <v>973</v>
      </c>
      <c r="G200" s="118" t="s">
        <v>228</v>
      </c>
      <c r="H200" s="118" t="s">
        <v>15</v>
      </c>
      <c r="I200" s="118" t="s">
        <v>230</v>
      </c>
      <c r="J200" s="118" t="s">
        <v>971</v>
      </c>
      <c r="K200" s="118" t="s">
        <v>974</v>
      </c>
      <c r="L200" s="118">
        <v>0</v>
      </c>
      <c r="M200" s="118">
        <v>0</v>
      </c>
      <c r="N200" s="4"/>
      <c r="O200" s="4" t="s">
        <v>16</v>
      </c>
      <c r="P200" s="42"/>
      <c r="Q200" s="116"/>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row>
    <row r="201" spans="1:42" ht="14.25" customHeight="1" x14ac:dyDescent="0.2">
      <c r="A201" s="3"/>
      <c r="B201" s="3"/>
      <c r="C201" s="3"/>
      <c r="D201" s="3"/>
      <c r="E201" s="3"/>
      <c r="F201" s="3"/>
      <c r="G201" s="3"/>
      <c r="H201" s="3"/>
      <c r="I201" s="3"/>
      <c r="J201" s="3"/>
      <c r="K201" s="3"/>
      <c r="L201" s="3"/>
      <c r="M201" s="3"/>
      <c r="N201" s="4"/>
      <c r="O201" s="3"/>
      <c r="P201" s="4"/>
      <c r="Q201" s="117"/>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row>
    <row r="202" spans="1:42" ht="14.25" customHeight="1" x14ac:dyDescent="0.2">
      <c r="A202" s="3"/>
      <c r="B202" s="3"/>
      <c r="C202" s="3"/>
      <c r="D202" s="3"/>
      <c r="E202" s="3"/>
      <c r="F202" s="3"/>
      <c r="G202" s="3"/>
      <c r="H202" s="3"/>
      <c r="I202" s="3"/>
      <c r="J202" s="3"/>
      <c r="K202" s="3"/>
      <c r="L202" s="3"/>
      <c r="M202" s="3"/>
      <c r="N202" s="4"/>
      <c r="O202" s="3"/>
      <c r="P202" s="4"/>
      <c r="Q202" s="15"/>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row>
    <row r="203" spans="1:42" ht="14.25" customHeight="1" x14ac:dyDescent="0.2">
      <c r="A203" s="3"/>
      <c r="B203" s="3"/>
      <c r="C203" s="3"/>
      <c r="D203" s="3"/>
      <c r="E203" s="3"/>
      <c r="F203" s="3"/>
      <c r="G203" s="3"/>
      <c r="H203" s="3"/>
      <c r="I203" s="3"/>
      <c r="J203" s="3"/>
      <c r="K203" s="3"/>
      <c r="L203" s="3"/>
      <c r="M203" s="3"/>
      <c r="N203" s="4"/>
      <c r="O203" s="3"/>
      <c r="P203" s="4"/>
      <c r="Q203" s="15"/>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row>
    <row r="204" spans="1:42" ht="14.25" customHeight="1" x14ac:dyDescent="0.2">
      <c r="A204" s="3"/>
      <c r="B204" s="3"/>
      <c r="C204" s="3"/>
      <c r="D204" s="3"/>
      <c r="E204" s="3"/>
      <c r="F204" s="3"/>
      <c r="G204" s="3"/>
      <c r="H204" s="3"/>
      <c r="I204" s="3"/>
      <c r="J204" s="3"/>
      <c r="K204" s="3"/>
      <c r="L204" s="3"/>
      <c r="M204" s="3"/>
      <c r="N204" s="4"/>
      <c r="O204" s="3"/>
      <c r="P204" s="4"/>
      <c r="Q204" s="4"/>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row>
    <row r="205" spans="1:42" ht="14.25" customHeight="1" x14ac:dyDescent="0.2">
      <c r="A205" s="3"/>
      <c r="B205" s="3"/>
      <c r="C205" s="3"/>
      <c r="D205" s="3"/>
      <c r="E205" s="3"/>
      <c r="F205" s="3"/>
      <c r="G205" s="3"/>
      <c r="H205" s="3"/>
      <c r="I205" s="3"/>
      <c r="J205" s="3"/>
      <c r="K205" s="3"/>
      <c r="L205" s="3"/>
      <c r="M205" s="3"/>
      <c r="N205" s="4"/>
      <c r="O205" s="3"/>
      <c r="P205" s="4"/>
      <c r="Q205" s="4"/>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row>
    <row r="206" spans="1:42" ht="14.25" customHeight="1" x14ac:dyDescent="0.2">
      <c r="A206" s="3"/>
      <c r="B206" s="3"/>
      <c r="C206" s="3"/>
      <c r="D206" s="3"/>
      <c r="E206" s="3"/>
      <c r="F206" s="3"/>
      <c r="G206" s="3"/>
      <c r="H206" s="3"/>
      <c r="I206" s="3"/>
      <c r="J206" s="3"/>
      <c r="K206" s="3"/>
      <c r="L206" s="3"/>
      <c r="M206" s="3"/>
      <c r="N206" s="3"/>
      <c r="O206" s="4"/>
      <c r="P206" s="4"/>
      <c r="Q206" s="4"/>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row>
    <row r="207" spans="1:42" ht="14.25" customHeight="1" x14ac:dyDescent="0.2">
      <c r="A207" s="3"/>
      <c r="B207" s="3"/>
      <c r="C207" s="3"/>
      <c r="D207" s="3"/>
      <c r="E207" s="3"/>
      <c r="F207" s="3"/>
      <c r="G207" s="3"/>
      <c r="H207" s="3"/>
      <c r="I207" s="3"/>
      <c r="J207" s="3"/>
      <c r="K207" s="3"/>
      <c r="L207" s="3"/>
      <c r="M207" s="3"/>
      <c r="N207" s="4"/>
      <c r="O207" s="3"/>
      <c r="P207" s="4"/>
      <c r="Q207" s="4"/>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row>
    <row r="208" spans="1:42" ht="14.25" customHeight="1" x14ac:dyDescent="0.2">
      <c r="A208" s="3"/>
      <c r="B208" s="3"/>
      <c r="C208" s="3"/>
      <c r="D208" s="3"/>
      <c r="E208" s="3"/>
      <c r="F208" s="3"/>
      <c r="G208" s="3"/>
      <c r="H208" s="3"/>
      <c r="I208" s="3"/>
      <c r="J208" s="3"/>
      <c r="K208" s="3"/>
      <c r="L208" s="3"/>
      <c r="M208" s="3"/>
      <c r="N208" s="4"/>
      <c r="O208" s="3"/>
      <c r="P208" s="4"/>
      <c r="Q208" s="4"/>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row>
    <row r="209" spans="1:42" ht="14.25" customHeight="1" x14ac:dyDescent="0.2">
      <c r="A209" s="3"/>
      <c r="B209" s="3"/>
      <c r="C209" s="3"/>
      <c r="D209" s="3"/>
      <c r="E209" s="3"/>
      <c r="F209" s="3"/>
      <c r="G209" s="3"/>
      <c r="H209" s="3"/>
      <c r="I209" s="3"/>
      <c r="J209" s="3"/>
      <c r="K209" s="3"/>
      <c r="L209" s="3"/>
      <c r="M209" s="3"/>
      <c r="N209" s="3"/>
      <c r="O209" s="4"/>
      <c r="P209" s="4"/>
      <c r="Q209" s="4"/>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row>
    <row r="210" spans="1:42" ht="14.25" customHeight="1" x14ac:dyDescent="0.2">
      <c r="A210" s="3"/>
      <c r="B210" s="3"/>
      <c r="C210" s="3"/>
      <c r="D210" s="3"/>
      <c r="E210" s="3"/>
      <c r="F210" s="3"/>
      <c r="G210" s="3"/>
      <c r="H210" s="3"/>
      <c r="I210" s="3"/>
      <c r="J210" s="3"/>
      <c r="K210" s="3"/>
      <c r="L210" s="3"/>
      <c r="M210" s="3"/>
      <c r="N210" s="4"/>
      <c r="O210" s="3"/>
      <c r="P210" s="4"/>
      <c r="Q210" s="4"/>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row>
    <row r="211" spans="1:42" ht="14.25" customHeight="1" x14ac:dyDescent="0.2">
      <c r="A211" s="3"/>
      <c r="B211" s="3"/>
      <c r="C211" s="3"/>
      <c r="D211" s="3"/>
      <c r="E211" s="3"/>
      <c r="F211" s="3"/>
      <c r="G211" s="3"/>
      <c r="H211" s="3"/>
      <c r="I211" s="3"/>
      <c r="J211" s="3"/>
      <c r="K211" s="3"/>
      <c r="L211" s="3"/>
      <c r="M211" s="3"/>
      <c r="N211" s="4"/>
      <c r="O211" s="3"/>
      <c r="P211" s="4"/>
      <c r="Q211" s="4"/>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row>
    <row r="212" spans="1:42" ht="14.25" customHeight="1" x14ac:dyDescent="0.2">
      <c r="A212" s="3"/>
      <c r="B212" s="3"/>
      <c r="C212" s="3"/>
      <c r="D212" s="3"/>
      <c r="E212" s="3"/>
      <c r="F212" s="3"/>
      <c r="G212" s="3"/>
      <c r="H212" s="3"/>
      <c r="I212" s="3"/>
      <c r="J212" s="3"/>
      <c r="K212" s="3"/>
      <c r="L212" s="3"/>
      <c r="M212" s="3"/>
      <c r="N212" s="4"/>
      <c r="O212" s="3"/>
      <c r="P212" s="4"/>
      <c r="Q212" s="4"/>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row>
    <row r="213" spans="1:42" ht="14.25" customHeight="1" x14ac:dyDescent="0.2">
      <c r="A213" s="3"/>
      <c r="B213" s="3"/>
      <c r="C213" s="3"/>
      <c r="D213" s="3"/>
      <c r="E213" s="3"/>
      <c r="F213" s="3"/>
      <c r="G213" s="3"/>
      <c r="H213" s="3"/>
      <c r="I213" s="3"/>
      <c r="J213" s="3"/>
      <c r="K213" s="3"/>
      <c r="L213" s="3"/>
      <c r="M213" s="3"/>
      <c r="N213" s="4"/>
      <c r="O213" s="3"/>
      <c r="P213" s="4"/>
      <c r="Q213" s="4"/>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row>
    <row r="214" spans="1:42" ht="14.25" customHeight="1" x14ac:dyDescent="0.2">
      <c r="A214" s="3"/>
      <c r="B214" s="3"/>
      <c r="C214" s="3"/>
      <c r="D214" s="3"/>
      <c r="E214" s="3"/>
      <c r="F214" s="3"/>
      <c r="G214" s="3"/>
      <c r="H214" s="3"/>
      <c r="I214" s="3"/>
      <c r="J214" s="3"/>
      <c r="K214" s="3"/>
      <c r="L214" s="3"/>
      <c r="M214" s="3"/>
      <c r="N214" s="3"/>
      <c r="O214" s="4"/>
      <c r="P214" s="4"/>
      <c r="Q214" s="4"/>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row>
    <row r="215" spans="1:42" ht="14.25" customHeight="1" x14ac:dyDescent="0.2">
      <c r="A215" s="3"/>
      <c r="B215" s="3"/>
      <c r="C215" s="3"/>
      <c r="D215" s="3"/>
      <c r="E215" s="3"/>
      <c r="F215" s="3"/>
      <c r="G215" s="3"/>
      <c r="H215" s="3"/>
      <c r="I215" s="3"/>
      <c r="J215" s="3"/>
      <c r="K215" s="3"/>
      <c r="L215" s="3"/>
      <c r="M215" s="3"/>
      <c r="N215" s="3"/>
      <c r="O215" s="4"/>
      <c r="P215" s="4"/>
      <c r="Q215" s="4"/>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row>
    <row r="216" spans="1:42" ht="14.25" customHeight="1" x14ac:dyDescent="0.2">
      <c r="A216" s="3"/>
      <c r="B216" s="3"/>
      <c r="C216" s="3"/>
      <c r="D216" s="3"/>
      <c r="E216" s="3"/>
      <c r="F216" s="3"/>
      <c r="G216" s="3"/>
      <c r="H216" s="3"/>
      <c r="I216" s="3"/>
      <c r="J216" s="3"/>
      <c r="K216" s="3"/>
      <c r="L216" s="3"/>
      <c r="M216" s="3"/>
      <c r="N216" s="4"/>
      <c r="O216" s="3"/>
      <c r="P216" s="4"/>
      <c r="Q216" s="4"/>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row>
    <row r="217" spans="1:42" ht="14.25" customHeight="1" x14ac:dyDescent="0.2">
      <c r="A217" s="3"/>
      <c r="B217" s="3"/>
      <c r="C217" s="3"/>
      <c r="D217" s="3"/>
      <c r="E217" s="3"/>
      <c r="F217" s="3"/>
      <c r="G217" s="3"/>
      <c r="H217" s="3"/>
      <c r="I217" s="3"/>
      <c r="J217" s="3"/>
      <c r="K217" s="3"/>
      <c r="L217" s="3"/>
      <c r="M217" s="3"/>
      <c r="N217" s="4"/>
      <c r="O217" s="3"/>
      <c r="P217" s="4"/>
      <c r="Q217" s="4"/>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row>
    <row r="218" spans="1:42" ht="14.25" customHeight="1" x14ac:dyDescent="0.2">
      <c r="A218" s="3"/>
      <c r="B218" s="3"/>
      <c r="C218" s="3"/>
      <c r="D218" s="3"/>
      <c r="E218" s="3"/>
      <c r="F218" s="3"/>
      <c r="G218" s="3"/>
      <c r="H218" s="3"/>
      <c r="I218" s="3"/>
      <c r="J218" s="3"/>
      <c r="K218" s="3"/>
      <c r="L218" s="3"/>
      <c r="M218" s="3"/>
      <c r="N218" s="4"/>
      <c r="O218" s="3"/>
      <c r="P218" s="4"/>
      <c r="Q218" s="4"/>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row>
    <row r="219" spans="1:42" ht="14.25" customHeight="1" x14ac:dyDescent="0.2">
      <c r="A219" s="3"/>
      <c r="B219" s="3"/>
      <c r="C219" s="3"/>
      <c r="D219" s="3"/>
      <c r="E219" s="3"/>
      <c r="F219" s="3"/>
      <c r="G219" s="3"/>
      <c r="H219" s="3"/>
      <c r="I219" s="3"/>
      <c r="J219" s="3"/>
      <c r="K219" s="3"/>
      <c r="L219" s="3"/>
      <c r="M219" s="3"/>
      <c r="N219" s="4"/>
      <c r="O219" s="3"/>
      <c r="P219" s="4"/>
      <c r="Q219" s="4"/>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row>
    <row r="220" spans="1:42" ht="14.25" customHeight="1" x14ac:dyDescent="0.2">
      <c r="A220" s="3"/>
      <c r="B220" s="3"/>
      <c r="C220" s="3"/>
      <c r="D220" s="3"/>
      <c r="E220" s="3"/>
      <c r="F220" s="3"/>
      <c r="G220" s="3"/>
      <c r="H220" s="3"/>
      <c r="I220" s="3"/>
      <c r="J220" s="3"/>
      <c r="K220" s="3"/>
      <c r="L220" s="3"/>
      <c r="M220" s="3"/>
      <c r="N220" s="4"/>
      <c r="O220" s="3"/>
      <c r="P220" s="4"/>
      <c r="Q220" s="4"/>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row>
    <row r="221" spans="1:42" ht="14.25" customHeight="1" x14ac:dyDescent="0.2">
      <c r="A221" s="3"/>
      <c r="B221" s="3"/>
      <c r="C221" s="3"/>
      <c r="D221" s="3"/>
      <c r="E221" s="3"/>
      <c r="F221" s="3"/>
      <c r="G221" s="3"/>
      <c r="H221" s="3"/>
      <c r="I221" s="3"/>
      <c r="J221" s="3"/>
      <c r="K221" s="3"/>
      <c r="L221" s="3"/>
      <c r="M221" s="3"/>
      <c r="N221" s="4"/>
      <c r="O221" s="3"/>
      <c r="P221" s="4"/>
      <c r="Q221" s="4"/>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row>
    <row r="222" spans="1:42" ht="14.25" customHeight="1" x14ac:dyDescent="0.2">
      <c r="A222" s="3"/>
      <c r="B222" s="3"/>
      <c r="C222" s="3"/>
      <c r="D222" s="3"/>
      <c r="E222" s="3"/>
      <c r="F222" s="3"/>
      <c r="G222" s="3"/>
      <c r="H222" s="3"/>
      <c r="I222" s="3"/>
      <c r="J222" s="3"/>
      <c r="K222" s="3"/>
      <c r="L222" s="3"/>
      <c r="M222" s="3"/>
      <c r="N222" s="4"/>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row>
    <row r="223" spans="1:42" ht="14.25" customHeight="1" x14ac:dyDescent="0.2">
      <c r="A223" s="3"/>
      <c r="B223" s="3"/>
      <c r="C223" s="3"/>
      <c r="D223" s="3"/>
      <c r="E223" s="3"/>
      <c r="F223" s="3"/>
      <c r="G223" s="3"/>
      <c r="H223" s="3"/>
      <c r="I223" s="3"/>
      <c r="J223" s="3"/>
      <c r="K223" s="3"/>
      <c r="L223" s="3"/>
      <c r="M223" s="3"/>
      <c r="N223" s="4"/>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row>
    <row r="224" spans="1:42" ht="14.25" customHeight="1" x14ac:dyDescent="0.2">
      <c r="A224" s="3"/>
      <c r="B224" s="3"/>
      <c r="C224" s="3"/>
      <c r="D224" s="3"/>
      <c r="E224" s="3"/>
      <c r="F224" s="3"/>
      <c r="G224" s="3"/>
      <c r="H224" s="3"/>
      <c r="I224" s="3"/>
      <c r="J224" s="3"/>
      <c r="K224" s="3"/>
      <c r="L224" s="3"/>
      <c r="M224" s="3"/>
      <c r="N224" s="4"/>
      <c r="O224" s="3"/>
      <c r="P224" s="4"/>
      <c r="Q224" s="4"/>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row>
    <row r="225" spans="1:42" ht="14.25" customHeight="1" x14ac:dyDescent="0.2">
      <c r="A225" s="3"/>
      <c r="B225" s="3"/>
      <c r="C225" s="3"/>
      <c r="D225" s="3"/>
      <c r="E225" s="3"/>
      <c r="F225" s="3"/>
      <c r="G225" s="3"/>
      <c r="H225" s="3"/>
      <c r="I225" s="3"/>
      <c r="J225" s="3"/>
      <c r="K225" s="3"/>
      <c r="L225" s="3"/>
      <c r="M225" s="3"/>
      <c r="N225" s="4"/>
      <c r="O225" s="3"/>
      <c r="P225" s="4"/>
      <c r="Q225" s="4"/>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row>
    <row r="226" spans="1:42" ht="14.25" customHeight="1" x14ac:dyDescent="0.2">
      <c r="A226" s="3"/>
      <c r="B226" s="3"/>
      <c r="C226" s="3"/>
      <c r="D226" s="3"/>
      <c r="E226" s="3"/>
      <c r="F226" s="3"/>
      <c r="G226" s="3"/>
      <c r="H226" s="3"/>
      <c r="I226" s="3"/>
      <c r="J226" s="3"/>
      <c r="K226" s="3"/>
      <c r="L226" s="3"/>
      <c r="M226" s="3"/>
      <c r="N226" s="4"/>
      <c r="O226" s="3"/>
      <c r="P226" s="4"/>
      <c r="Q226" s="4"/>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row>
    <row r="227" spans="1:42" ht="14.25" customHeight="1" x14ac:dyDescent="0.2">
      <c r="A227" s="3"/>
      <c r="B227" s="3"/>
      <c r="C227" s="3"/>
      <c r="D227" s="3"/>
      <c r="E227" s="3"/>
      <c r="F227" s="3"/>
      <c r="G227" s="3"/>
      <c r="H227" s="3"/>
      <c r="I227" s="3"/>
      <c r="J227" s="3"/>
      <c r="K227" s="3"/>
      <c r="L227" s="3"/>
      <c r="M227" s="3"/>
      <c r="N227" s="4"/>
      <c r="O227" s="3"/>
      <c r="P227" s="4"/>
      <c r="Q227" s="4"/>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row>
    <row r="228" spans="1:42" ht="14.25" customHeight="1" x14ac:dyDescent="0.2">
      <c r="A228" s="3"/>
      <c r="B228" s="3"/>
      <c r="C228" s="3"/>
      <c r="D228" s="3"/>
      <c r="E228" s="3"/>
      <c r="F228" s="3"/>
      <c r="G228" s="3"/>
      <c r="H228" s="3"/>
      <c r="I228" s="3"/>
      <c r="J228" s="3"/>
      <c r="K228" s="3"/>
      <c r="L228" s="3"/>
      <c r="M228" s="3"/>
      <c r="N228" s="4"/>
      <c r="O228" s="3"/>
      <c r="P228" s="4"/>
      <c r="Q228" s="4"/>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row>
    <row r="229" spans="1:42" ht="14.25" customHeight="1" x14ac:dyDescent="0.2">
      <c r="A229" s="3"/>
      <c r="B229" s="3"/>
      <c r="C229" s="3"/>
      <c r="D229" s="3"/>
      <c r="E229" s="3"/>
      <c r="F229" s="3"/>
      <c r="G229" s="3"/>
      <c r="H229" s="3"/>
      <c r="I229" s="3"/>
      <c r="J229" s="3"/>
      <c r="K229" s="3"/>
      <c r="L229" s="3"/>
      <c r="M229" s="3"/>
      <c r="N229" s="4"/>
      <c r="O229" s="3"/>
      <c r="P229" s="4"/>
      <c r="Q229" s="4"/>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row>
    <row r="230" spans="1:42" ht="14.25" customHeight="1" x14ac:dyDescent="0.2">
      <c r="A230" s="3"/>
      <c r="B230" s="3"/>
      <c r="C230" s="3"/>
      <c r="D230" s="3"/>
      <c r="E230" s="3"/>
      <c r="F230" s="3"/>
      <c r="G230" s="3"/>
      <c r="H230" s="3"/>
      <c r="I230" s="3"/>
      <c r="J230" s="3"/>
      <c r="K230" s="3"/>
      <c r="L230" s="3"/>
      <c r="M230" s="3"/>
      <c r="N230" s="4"/>
      <c r="O230" s="3"/>
      <c r="P230" s="4"/>
      <c r="Q230" s="4"/>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row>
    <row r="231" spans="1:42" ht="14.25" customHeight="1" x14ac:dyDescent="0.2">
      <c r="A231" s="3"/>
      <c r="B231" s="3"/>
      <c r="C231" s="3"/>
      <c r="D231" s="3"/>
      <c r="E231" s="3"/>
      <c r="F231" s="3"/>
      <c r="G231" s="3"/>
      <c r="H231" s="3"/>
      <c r="I231" s="3"/>
      <c r="J231" s="3"/>
      <c r="K231" s="3"/>
      <c r="L231" s="3"/>
      <c r="M231" s="3"/>
      <c r="N231" s="4"/>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row>
    <row r="232" spans="1:42" ht="14.25" customHeight="1" x14ac:dyDescent="0.2">
      <c r="A232" s="3"/>
      <c r="B232" s="3"/>
      <c r="C232" s="3"/>
      <c r="D232" s="3"/>
      <c r="E232" s="3"/>
      <c r="F232" s="3"/>
      <c r="G232" s="3"/>
      <c r="H232" s="3"/>
      <c r="I232" s="3"/>
      <c r="J232" s="3"/>
      <c r="K232" s="3"/>
      <c r="L232" s="3"/>
      <c r="M232" s="3"/>
      <c r="N232" s="4"/>
      <c r="O232" s="3"/>
      <c r="P232" s="4"/>
      <c r="Q232" s="4"/>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row>
    <row r="233" spans="1:42" ht="14.25" customHeight="1" x14ac:dyDescent="0.2">
      <c r="A233" s="3"/>
      <c r="B233" s="3"/>
      <c r="C233" s="3"/>
      <c r="D233" s="3"/>
      <c r="E233" s="3"/>
      <c r="F233" s="3"/>
      <c r="G233" s="3"/>
      <c r="H233" s="3"/>
      <c r="I233" s="3"/>
      <c r="J233" s="3"/>
      <c r="K233" s="3"/>
      <c r="L233" s="3"/>
      <c r="M233" s="3"/>
      <c r="N233" s="4"/>
      <c r="O233" s="3"/>
      <c r="P233" s="4"/>
      <c r="Q233" s="4"/>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row>
    <row r="234" spans="1:42" ht="14.25" customHeight="1" x14ac:dyDescent="0.2">
      <c r="A234" s="3"/>
      <c r="B234" s="3"/>
      <c r="C234" s="3"/>
      <c r="D234" s="3"/>
      <c r="E234" s="3"/>
      <c r="F234" s="3"/>
      <c r="G234" s="3"/>
      <c r="H234" s="3"/>
      <c r="I234" s="3"/>
      <c r="J234" s="3"/>
      <c r="K234" s="3"/>
      <c r="L234" s="3"/>
      <c r="M234" s="3"/>
      <c r="N234" s="4"/>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row>
    <row r="235" spans="1:42" ht="14.25" customHeight="1" x14ac:dyDescent="0.2">
      <c r="A235" s="3"/>
      <c r="B235" s="3"/>
      <c r="C235" s="3"/>
      <c r="D235" s="3"/>
      <c r="E235" s="3"/>
      <c r="F235" s="3"/>
      <c r="G235" s="3"/>
      <c r="H235" s="3"/>
      <c r="I235" s="3"/>
      <c r="J235" s="3"/>
      <c r="K235" s="3"/>
      <c r="L235" s="3"/>
      <c r="M235" s="3"/>
      <c r="N235" s="3"/>
      <c r="O235" s="4"/>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row>
    <row r="236" spans="1:42" ht="14.25" customHeight="1" x14ac:dyDescent="0.2">
      <c r="A236" s="3"/>
      <c r="B236" s="3"/>
      <c r="C236" s="3"/>
      <c r="D236" s="3"/>
      <c r="E236" s="3"/>
      <c r="F236" s="3"/>
      <c r="G236" s="3"/>
      <c r="H236" s="3"/>
      <c r="I236" s="3"/>
      <c r="J236" s="3"/>
      <c r="K236" s="3"/>
      <c r="L236" s="3"/>
      <c r="M236" s="3"/>
      <c r="N236" s="3"/>
      <c r="O236" s="4"/>
      <c r="P236" s="4"/>
      <c r="Q236" s="4"/>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row>
    <row r="237" spans="1:42" ht="14.25" customHeight="1" x14ac:dyDescent="0.2">
      <c r="A237" s="3"/>
      <c r="B237" s="3"/>
      <c r="C237" s="3"/>
      <c r="D237" s="3"/>
      <c r="E237" s="3"/>
      <c r="F237" s="3"/>
      <c r="G237" s="3"/>
      <c r="H237" s="3"/>
      <c r="I237" s="3"/>
      <c r="J237" s="3"/>
      <c r="K237" s="3"/>
      <c r="L237" s="3"/>
      <c r="M237" s="3"/>
      <c r="N237" s="3"/>
      <c r="O237" s="4"/>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row>
    <row r="238" spans="1:42" ht="14.25" customHeight="1" x14ac:dyDescent="0.2">
      <c r="A238" s="3"/>
      <c r="B238" s="3"/>
      <c r="C238" s="3"/>
      <c r="D238" s="3"/>
      <c r="E238" s="3"/>
      <c r="F238" s="3"/>
      <c r="G238" s="3"/>
      <c r="H238" s="3"/>
      <c r="I238" s="3"/>
      <c r="J238" s="3"/>
      <c r="K238" s="3"/>
      <c r="L238" s="3"/>
      <c r="M238" s="3"/>
      <c r="N238" s="3"/>
      <c r="O238" s="4"/>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row>
    <row r="239" spans="1:42" ht="14.25" customHeight="1" x14ac:dyDescent="0.2">
      <c r="A239" s="3"/>
      <c r="B239" s="3"/>
      <c r="C239" s="3"/>
      <c r="D239" s="3"/>
      <c r="E239" s="3"/>
      <c r="F239" s="3"/>
      <c r="G239" s="3"/>
      <c r="H239" s="3"/>
      <c r="I239" s="3"/>
      <c r="J239" s="3"/>
      <c r="K239" s="3"/>
      <c r="L239" s="3"/>
      <c r="M239" s="3"/>
      <c r="N239" s="3"/>
      <c r="O239" s="4"/>
      <c r="P239" s="4"/>
      <c r="Q239" s="4"/>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row>
    <row r="240" spans="1:42" ht="14.25" customHeight="1" x14ac:dyDescent="0.2">
      <c r="A240" s="3"/>
      <c r="B240" s="3"/>
      <c r="C240" s="3"/>
      <c r="D240" s="3"/>
      <c r="E240" s="3"/>
      <c r="F240" s="3"/>
      <c r="G240" s="3"/>
      <c r="H240" s="3"/>
      <c r="I240" s="3"/>
      <c r="J240" s="3"/>
      <c r="K240" s="3"/>
      <c r="L240" s="3"/>
      <c r="M240" s="3"/>
      <c r="N240" s="3"/>
      <c r="O240" s="4"/>
      <c r="P240" s="4"/>
      <c r="Q240" s="4"/>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row>
    <row r="241" spans="1:42" ht="14.25" customHeight="1" x14ac:dyDescent="0.2">
      <c r="A241" s="3"/>
      <c r="B241" s="3"/>
      <c r="C241" s="3"/>
      <c r="D241" s="3"/>
      <c r="E241" s="3"/>
      <c r="F241" s="3"/>
      <c r="G241" s="3"/>
      <c r="H241" s="3"/>
      <c r="I241" s="3"/>
      <c r="J241" s="3"/>
      <c r="K241" s="3"/>
      <c r="L241" s="3"/>
      <c r="M241" s="3"/>
      <c r="N241" s="3"/>
      <c r="O241" s="4"/>
      <c r="P241" s="4"/>
      <c r="Q241" s="4"/>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row>
    <row r="242" spans="1:42" ht="14.25" customHeight="1" x14ac:dyDescent="0.2">
      <c r="A242" s="3"/>
      <c r="B242" s="3"/>
      <c r="C242" s="3"/>
      <c r="D242" s="3"/>
      <c r="E242" s="3"/>
      <c r="F242" s="3"/>
      <c r="G242" s="3"/>
      <c r="H242" s="3"/>
      <c r="I242" s="3"/>
      <c r="J242" s="3"/>
      <c r="K242" s="3"/>
      <c r="L242" s="3"/>
      <c r="M242" s="3"/>
      <c r="N242" s="3"/>
      <c r="O242" s="4"/>
      <c r="P242" s="4"/>
      <c r="Q242" s="4"/>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row>
    <row r="243" spans="1:42" ht="14.25" customHeight="1" x14ac:dyDescent="0.2">
      <c r="A243" s="3"/>
      <c r="B243" s="3"/>
      <c r="C243" s="3"/>
      <c r="D243" s="3"/>
      <c r="E243" s="3"/>
      <c r="F243" s="3"/>
      <c r="G243" s="3"/>
      <c r="H243" s="3"/>
      <c r="I243" s="3"/>
      <c r="J243" s="3"/>
      <c r="K243" s="3"/>
      <c r="L243" s="3"/>
      <c r="M243" s="3"/>
      <c r="N243" s="3"/>
      <c r="O243" s="4"/>
      <c r="P243" s="4"/>
      <c r="Q243" s="4"/>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row>
    <row r="244" spans="1:42" ht="14.25" customHeight="1" x14ac:dyDescent="0.2">
      <c r="A244" s="3"/>
      <c r="B244" s="3"/>
      <c r="C244" s="3"/>
      <c r="D244" s="3"/>
      <c r="E244" s="3"/>
      <c r="F244" s="3"/>
      <c r="G244" s="3"/>
      <c r="H244" s="3"/>
      <c r="I244" s="3"/>
      <c r="J244" s="3"/>
      <c r="K244" s="3"/>
      <c r="L244" s="3"/>
      <c r="M244" s="3"/>
      <c r="N244" s="4"/>
      <c r="O244" s="3"/>
      <c r="P244" s="4"/>
      <c r="Q244" s="4"/>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row>
    <row r="245" spans="1:42" ht="14.25" customHeight="1" x14ac:dyDescent="0.2">
      <c r="A245" s="3"/>
      <c r="B245" s="3"/>
      <c r="C245" s="3"/>
      <c r="D245" s="3"/>
      <c r="E245" s="3"/>
      <c r="F245" s="3"/>
      <c r="G245" s="3"/>
      <c r="H245" s="3"/>
      <c r="I245" s="3"/>
      <c r="J245" s="3"/>
      <c r="K245" s="3"/>
      <c r="L245" s="3"/>
      <c r="M245" s="3"/>
      <c r="N245" s="3"/>
      <c r="O245" s="4"/>
      <c r="P245" s="4"/>
      <c r="Q245" s="4"/>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row>
    <row r="246" spans="1:42" ht="14.25" customHeight="1" x14ac:dyDescent="0.2">
      <c r="A246" s="3"/>
      <c r="B246" s="3"/>
      <c r="C246" s="3"/>
      <c r="D246" s="3"/>
      <c r="E246" s="3"/>
      <c r="F246" s="3"/>
      <c r="G246" s="3"/>
      <c r="H246" s="3"/>
      <c r="I246" s="3"/>
      <c r="J246" s="3"/>
      <c r="K246" s="3"/>
      <c r="L246" s="3"/>
      <c r="M246" s="3"/>
      <c r="N246" s="4"/>
      <c r="O246" s="3"/>
      <c r="P246" s="4"/>
      <c r="Q246" s="4"/>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row>
    <row r="247" spans="1:42" ht="14.25" customHeight="1" x14ac:dyDescent="0.2">
      <c r="A247" s="3"/>
      <c r="B247" s="3"/>
      <c r="C247" s="3"/>
      <c r="D247" s="3"/>
      <c r="E247" s="3"/>
      <c r="F247" s="3"/>
      <c r="G247" s="3"/>
      <c r="H247" s="3"/>
      <c r="I247" s="3"/>
      <c r="J247" s="3"/>
      <c r="K247" s="3"/>
      <c r="L247" s="3"/>
      <c r="M247" s="3"/>
      <c r="N247" s="4"/>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row>
    <row r="248" spans="1:42" ht="14.25" customHeight="1" x14ac:dyDescent="0.2">
      <c r="A248" s="3"/>
      <c r="B248" s="3"/>
      <c r="C248" s="3"/>
      <c r="D248" s="3"/>
      <c r="E248" s="3"/>
      <c r="F248" s="3"/>
      <c r="G248" s="3"/>
      <c r="H248" s="3"/>
      <c r="I248" s="3"/>
      <c r="J248" s="3"/>
      <c r="K248" s="3"/>
      <c r="L248" s="3"/>
      <c r="M248" s="3"/>
      <c r="N248" s="4"/>
      <c r="O248" s="3"/>
      <c r="P248" s="4"/>
      <c r="Q248" s="4"/>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row>
    <row r="249" spans="1:42" ht="14.25" customHeight="1" x14ac:dyDescent="0.2">
      <c r="A249" s="3"/>
      <c r="B249" s="3"/>
      <c r="C249" s="3"/>
      <c r="D249" s="3"/>
      <c r="E249" s="3"/>
      <c r="F249" s="3"/>
      <c r="G249" s="3"/>
      <c r="H249" s="3"/>
      <c r="I249" s="3"/>
      <c r="J249" s="3"/>
      <c r="K249" s="3"/>
      <c r="L249" s="3"/>
      <c r="M249" s="3"/>
      <c r="N249" s="3"/>
      <c r="O249" s="4"/>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row>
    <row r="250" spans="1:42" ht="14.25" customHeight="1" x14ac:dyDescent="0.2">
      <c r="A250" s="3"/>
      <c r="B250" s="3"/>
      <c r="C250" s="3"/>
      <c r="D250" s="3"/>
      <c r="E250" s="3"/>
      <c r="F250" s="3"/>
      <c r="G250" s="3"/>
      <c r="H250" s="3"/>
      <c r="I250" s="3"/>
      <c r="J250" s="3"/>
      <c r="K250" s="3"/>
      <c r="L250" s="3"/>
      <c r="M250" s="3"/>
      <c r="N250" s="3"/>
      <c r="O250" s="4"/>
      <c r="P250" s="4"/>
      <c r="Q250" s="4"/>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row>
    <row r="251" spans="1:42" ht="14.25" customHeight="1" x14ac:dyDescent="0.2">
      <c r="A251" s="3"/>
      <c r="B251" s="3"/>
      <c r="C251" s="3"/>
      <c r="D251" s="3"/>
      <c r="E251" s="3"/>
      <c r="F251" s="3"/>
      <c r="G251" s="3"/>
      <c r="H251" s="3"/>
      <c r="I251" s="3"/>
      <c r="J251" s="3"/>
      <c r="K251" s="3"/>
      <c r="L251" s="3"/>
      <c r="M251" s="3"/>
      <c r="N251" s="4"/>
      <c r="O251" s="3"/>
      <c r="P251" s="4"/>
      <c r="Q251" s="4"/>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row>
    <row r="252" spans="1:42" ht="14.25" customHeight="1" x14ac:dyDescent="0.2">
      <c r="A252" s="3"/>
      <c r="B252" s="3"/>
      <c r="C252" s="3"/>
      <c r="D252" s="3"/>
      <c r="E252" s="3"/>
      <c r="F252" s="3"/>
      <c r="G252" s="3"/>
      <c r="H252" s="3"/>
      <c r="I252" s="3"/>
      <c r="J252" s="3"/>
      <c r="K252" s="3"/>
      <c r="L252" s="3"/>
      <c r="M252" s="3"/>
      <c r="N252" s="4"/>
      <c r="O252" s="3"/>
      <c r="P252" s="4"/>
      <c r="Q252" s="4"/>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row>
    <row r="253" spans="1:42" ht="14.25" customHeight="1" x14ac:dyDescent="0.2">
      <c r="A253" s="3"/>
      <c r="B253" s="3"/>
      <c r="C253" s="3"/>
      <c r="D253" s="3"/>
      <c r="E253" s="3"/>
      <c r="F253" s="3"/>
      <c r="G253" s="3"/>
      <c r="H253" s="3"/>
      <c r="I253" s="3"/>
      <c r="J253" s="3"/>
      <c r="K253" s="3"/>
      <c r="L253" s="3"/>
      <c r="M253" s="3"/>
      <c r="N253" s="4"/>
      <c r="O253" s="3"/>
      <c r="P253" s="4"/>
      <c r="Q253" s="4"/>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row>
    <row r="254" spans="1:42" ht="14.25" customHeight="1" x14ac:dyDescent="0.2">
      <c r="A254" s="3"/>
      <c r="B254" s="3"/>
      <c r="C254" s="3"/>
      <c r="D254" s="3"/>
      <c r="E254" s="3"/>
      <c r="F254" s="3"/>
      <c r="G254" s="3"/>
      <c r="H254" s="3"/>
      <c r="I254" s="3"/>
      <c r="J254" s="3"/>
      <c r="K254" s="3"/>
      <c r="L254" s="3"/>
      <c r="M254" s="3"/>
      <c r="N254" s="3"/>
      <c r="O254" s="4"/>
      <c r="P254" s="4"/>
      <c r="Q254" s="4"/>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row>
    <row r="255" spans="1:42" ht="14.25" customHeight="1" x14ac:dyDescent="0.2">
      <c r="A255" s="3"/>
      <c r="B255" s="3"/>
      <c r="C255" s="3"/>
      <c r="D255" s="3"/>
      <c r="E255" s="3"/>
      <c r="F255" s="3"/>
      <c r="G255" s="3"/>
      <c r="H255" s="3"/>
      <c r="I255" s="3"/>
      <c r="J255" s="3"/>
      <c r="K255" s="3"/>
      <c r="L255" s="3"/>
      <c r="M255" s="3"/>
      <c r="N255" s="3"/>
      <c r="O255" s="4"/>
      <c r="P255" s="4"/>
      <c r="Q255" s="4"/>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row>
    <row r="256" spans="1:42" ht="14.25" customHeight="1" x14ac:dyDescent="0.2">
      <c r="A256" s="3"/>
      <c r="B256" s="3"/>
      <c r="C256" s="3"/>
      <c r="D256" s="3"/>
      <c r="E256" s="3"/>
      <c r="F256" s="3"/>
      <c r="G256" s="3"/>
      <c r="H256" s="3"/>
      <c r="I256" s="3"/>
      <c r="J256" s="3"/>
      <c r="K256" s="3"/>
      <c r="L256" s="3"/>
      <c r="M256" s="3"/>
      <c r="N256" s="4"/>
      <c r="O256" s="3"/>
      <c r="P256" s="4"/>
      <c r="Q256" s="4"/>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row>
    <row r="257" spans="1:42" ht="14.25" customHeight="1" x14ac:dyDescent="0.2">
      <c r="A257" s="3"/>
      <c r="B257" s="3"/>
      <c r="C257" s="3"/>
      <c r="D257" s="3"/>
      <c r="E257" s="3"/>
      <c r="F257" s="3"/>
      <c r="G257" s="3"/>
      <c r="H257" s="3"/>
      <c r="I257" s="3"/>
      <c r="J257" s="3"/>
      <c r="K257" s="3"/>
      <c r="L257" s="3"/>
      <c r="M257" s="3"/>
      <c r="N257" s="4"/>
      <c r="O257" s="3"/>
      <c r="P257" s="4"/>
      <c r="Q257" s="4"/>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row>
    <row r="258" spans="1:42" ht="14.25" customHeight="1" x14ac:dyDescent="0.2">
      <c r="A258" s="3"/>
      <c r="B258" s="3"/>
      <c r="C258" s="3"/>
      <c r="D258" s="3"/>
      <c r="E258" s="3"/>
      <c r="F258" s="3"/>
      <c r="G258" s="3"/>
      <c r="H258" s="3"/>
      <c r="I258" s="3"/>
      <c r="J258" s="3"/>
      <c r="K258" s="3"/>
      <c r="L258" s="3"/>
      <c r="M258" s="3"/>
      <c r="N258" s="4"/>
      <c r="O258" s="3"/>
      <c r="P258" s="4"/>
      <c r="Q258" s="4"/>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row>
    <row r="259" spans="1:42" ht="14.25" customHeight="1" x14ac:dyDescent="0.2">
      <c r="A259" s="3"/>
      <c r="B259" s="3"/>
      <c r="C259" s="3"/>
      <c r="D259" s="3"/>
      <c r="E259" s="3"/>
      <c r="F259" s="3"/>
      <c r="G259" s="3"/>
      <c r="H259" s="3"/>
      <c r="I259" s="3"/>
      <c r="J259" s="3"/>
      <c r="K259" s="3"/>
      <c r="L259" s="3"/>
      <c r="M259" s="3"/>
      <c r="N259" s="3"/>
      <c r="O259" s="4"/>
      <c r="P259" s="4"/>
      <c r="Q259" s="4"/>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row>
    <row r="260" spans="1:42" ht="14.25" customHeight="1" x14ac:dyDescent="0.2">
      <c r="A260" s="3"/>
      <c r="B260" s="3"/>
      <c r="C260" s="3"/>
      <c r="D260" s="3"/>
      <c r="E260" s="3"/>
      <c r="F260" s="3"/>
      <c r="G260" s="3"/>
      <c r="H260" s="3"/>
      <c r="I260" s="3"/>
      <c r="J260" s="3"/>
      <c r="K260" s="3"/>
      <c r="L260" s="3"/>
      <c r="M260" s="3"/>
      <c r="N260" s="4"/>
      <c r="O260" s="3"/>
      <c r="P260" s="4"/>
      <c r="Q260" s="4"/>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row>
    <row r="261" spans="1:42" ht="14.25" customHeight="1" x14ac:dyDescent="0.2">
      <c r="A261" s="3"/>
      <c r="B261" s="3"/>
      <c r="C261" s="3"/>
      <c r="D261" s="3"/>
      <c r="E261" s="3"/>
      <c r="F261" s="3"/>
      <c r="G261" s="3"/>
      <c r="H261" s="3"/>
      <c r="I261" s="3"/>
      <c r="J261" s="3"/>
      <c r="K261" s="3"/>
      <c r="L261" s="3"/>
      <c r="M261" s="3"/>
      <c r="N261" s="3"/>
      <c r="O261" s="4"/>
      <c r="P261" s="4"/>
      <c r="Q261" s="4"/>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row>
    <row r="262" spans="1:42" ht="14.25" customHeight="1" x14ac:dyDescent="0.2">
      <c r="A262" s="3"/>
      <c r="B262" s="3"/>
      <c r="C262" s="3"/>
      <c r="D262" s="3"/>
      <c r="E262" s="3"/>
      <c r="F262" s="3"/>
      <c r="G262" s="3"/>
      <c r="H262" s="3"/>
      <c r="I262" s="3"/>
      <c r="J262" s="3"/>
      <c r="K262" s="3"/>
      <c r="L262" s="3"/>
      <c r="M262" s="3"/>
      <c r="N262" s="4"/>
      <c r="O262" s="3"/>
      <c r="P262" s="4"/>
      <c r="Q262" s="4"/>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row>
    <row r="263" spans="1:42" ht="14.25" customHeight="1" x14ac:dyDescent="0.2">
      <c r="A263" s="3"/>
      <c r="B263" s="3"/>
      <c r="C263" s="3"/>
      <c r="D263" s="3"/>
      <c r="E263" s="3"/>
      <c r="F263" s="3"/>
      <c r="G263" s="3"/>
      <c r="H263" s="3"/>
      <c r="I263" s="3"/>
      <c r="J263" s="3"/>
      <c r="K263" s="3"/>
      <c r="L263" s="3"/>
      <c r="M263" s="3"/>
      <c r="N263" s="4"/>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row>
    <row r="264" spans="1:42" ht="14.25" customHeight="1" x14ac:dyDescent="0.2">
      <c r="A264" s="3"/>
      <c r="B264" s="3"/>
      <c r="C264" s="3"/>
      <c r="D264" s="3"/>
      <c r="E264" s="3"/>
      <c r="F264" s="3"/>
      <c r="G264" s="3"/>
      <c r="H264" s="3"/>
      <c r="I264" s="3"/>
      <c r="J264" s="3"/>
      <c r="K264" s="3"/>
      <c r="L264" s="3"/>
      <c r="M264" s="3"/>
      <c r="N264" s="3"/>
      <c r="O264" s="4"/>
      <c r="P264" s="4"/>
      <c r="Q264" s="4"/>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row>
    <row r="265" spans="1:42" ht="14.25" customHeight="1" x14ac:dyDescent="0.2">
      <c r="A265" s="3"/>
      <c r="B265" s="3"/>
      <c r="C265" s="3"/>
      <c r="D265" s="3"/>
      <c r="E265" s="3"/>
      <c r="F265" s="3"/>
      <c r="G265" s="3"/>
      <c r="H265" s="3"/>
      <c r="I265" s="3"/>
      <c r="J265" s="3"/>
      <c r="K265" s="3"/>
      <c r="L265" s="3"/>
      <c r="M265" s="3"/>
      <c r="N265" s="4"/>
      <c r="O265" s="3"/>
      <c r="P265" s="4"/>
      <c r="Q265" s="4"/>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row>
    <row r="266" spans="1:42" ht="14.25" customHeight="1" x14ac:dyDescent="0.2">
      <c r="A266" s="3"/>
      <c r="B266" s="3"/>
      <c r="C266" s="3"/>
      <c r="D266" s="3"/>
      <c r="E266" s="3"/>
      <c r="F266" s="3"/>
      <c r="G266" s="3"/>
      <c r="H266" s="3"/>
      <c r="I266" s="3"/>
      <c r="J266" s="3"/>
      <c r="K266" s="3"/>
      <c r="L266" s="3"/>
      <c r="M266" s="3"/>
      <c r="N266" s="3"/>
      <c r="O266" s="4"/>
      <c r="P266" s="4"/>
      <c r="Q266" s="4"/>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row>
    <row r="267" spans="1:42" ht="14.25" customHeight="1" x14ac:dyDescent="0.2">
      <c r="A267" s="3"/>
      <c r="B267" s="3"/>
      <c r="C267" s="3"/>
      <c r="D267" s="3"/>
      <c r="E267" s="3"/>
      <c r="F267" s="3"/>
      <c r="G267" s="3"/>
      <c r="H267" s="3"/>
      <c r="I267" s="3"/>
      <c r="J267" s="3"/>
      <c r="K267" s="3"/>
      <c r="L267" s="3"/>
      <c r="M267" s="3"/>
      <c r="N267" s="4"/>
      <c r="O267" s="3"/>
      <c r="P267" s="4"/>
      <c r="Q267" s="4"/>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row>
    <row r="268" spans="1:42" ht="14.25" customHeight="1" x14ac:dyDescent="0.2">
      <c r="A268" s="3"/>
      <c r="B268" s="3"/>
      <c r="C268" s="3"/>
      <c r="D268" s="3"/>
      <c r="E268" s="3"/>
      <c r="F268" s="3"/>
      <c r="G268" s="3"/>
      <c r="H268" s="3"/>
      <c r="I268" s="3"/>
      <c r="J268" s="3"/>
      <c r="K268" s="3"/>
      <c r="L268" s="3"/>
      <c r="M268" s="3"/>
      <c r="N268" s="4"/>
      <c r="O268" s="3"/>
      <c r="P268" s="4"/>
      <c r="Q268" s="4"/>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row>
    <row r="269" spans="1:42" ht="14.25" customHeight="1" x14ac:dyDescent="0.2">
      <c r="A269" s="3"/>
      <c r="B269" s="3"/>
      <c r="C269" s="3"/>
      <c r="D269" s="3"/>
      <c r="E269" s="3"/>
      <c r="F269" s="3"/>
      <c r="G269" s="3"/>
      <c r="H269" s="3"/>
      <c r="I269" s="3"/>
      <c r="J269" s="3"/>
      <c r="K269" s="3"/>
      <c r="L269" s="3"/>
      <c r="M269" s="3"/>
      <c r="N269" s="3"/>
      <c r="O269" s="4"/>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row>
    <row r="270" spans="1:42" ht="14.25" customHeight="1" x14ac:dyDescent="0.2">
      <c r="A270" s="3"/>
      <c r="B270" s="3"/>
      <c r="C270" s="3"/>
      <c r="D270" s="3"/>
      <c r="E270" s="3"/>
      <c r="F270" s="3"/>
      <c r="G270" s="3"/>
      <c r="H270" s="3"/>
      <c r="I270" s="3"/>
      <c r="J270" s="3"/>
      <c r="K270" s="3"/>
      <c r="L270" s="3"/>
      <c r="M270" s="3"/>
      <c r="N270" s="4"/>
      <c r="O270" s="3"/>
      <c r="P270" s="4"/>
      <c r="Q270" s="4"/>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row>
    <row r="271" spans="1:42" ht="14.25" customHeight="1" x14ac:dyDescent="0.2">
      <c r="A271" s="3"/>
      <c r="B271" s="3"/>
      <c r="C271" s="3"/>
      <c r="D271" s="3"/>
      <c r="E271" s="3"/>
      <c r="F271" s="3"/>
      <c r="G271" s="3"/>
      <c r="H271" s="3"/>
      <c r="I271" s="3"/>
      <c r="J271" s="3"/>
      <c r="K271" s="3"/>
      <c r="L271" s="3"/>
      <c r="M271" s="3"/>
      <c r="N271" s="4"/>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row>
    <row r="272" spans="1:42" ht="14.25" customHeight="1" x14ac:dyDescent="0.2">
      <c r="A272" s="3"/>
      <c r="B272" s="3"/>
      <c r="C272" s="3"/>
      <c r="D272" s="3"/>
      <c r="E272" s="3"/>
      <c r="F272" s="3"/>
      <c r="G272" s="3"/>
      <c r="H272" s="3"/>
      <c r="I272" s="3"/>
      <c r="J272" s="3"/>
      <c r="K272" s="3"/>
      <c r="L272" s="3"/>
      <c r="M272" s="3"/>
      <c r="N272" s="4"/>
      <c r="O272" s="3"/>
      <c r="P272" s="4"/>
      <c r="Q272" s="4"/>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row>
    <row r="273" spans="1:42" ht="14.25" customHeight="1" x14ac:dyDescent="0.2">
      <c r="A273" s="3"/>
      <c r="B273" s="3"/>
      <c r="C273" s="3"/>
      <c r="D273" s="3"/>
      <c r="E273" s="3"/>
      <c r="F273" s="3"/>
      <c r="G273" s="3"/>
      <c r="H273" s="3"/>
      <c r="I273" s="3"/>
      <c r="J273" s="3"/>
      <c r="K273" s="3"/>
      <c r="L273" s="3"/>
      <c r="M273" s="3"/>
      <c r="N273" s="4"/>
      <c r="O273" s="3"/>
      <c r="P273" s="4"/>
      <c r="Q273" s="4"/>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row>
    <row r="274" spans="1:42" ht="14.25" customHeight="1" x14ac:dyDescent="0.2">
      <c r="A274" s="3"/>
      <c r="B274" s="3"/>
      <c r="C274" s="3"/>
      <c r="D274" s="3"/>
      <c r="E274" s="3"/>
      <c r="F274" s="3"/>
      <c r="G274" s="3"/>
      <c r="H274" s="3"/>
      <c r="I274" s="3"/>
      <c r="J274" s="3"/>
      <c r="K274" s="3"/>
      <c r="L274" s="3"/>
      <c r="M274" s="3"/>
      <c r="N274" s="3"/>
      <c r="O274" s="4"/>
      <c r="P274" s="4"/>
      <c r="Q274" s="4"/>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row>
    <row r="275" spans="1:42" ht="14.25" customHeight="1" x14ac:dyDescent="0.2">
      <c r="A275" s="3"/>
      <c r="B275" s="3"/>
      <c r="C275" s="3"/>
      <c r="D275" s="3"/>
      <c r="E275" s="3"/>
      <c r="F275" s="3"/>
      <c r="G275" s="3"/>
      <c r="H275" s="3"/>
      <c r="I275" s="3"/>
      <c r="J275" s="3"/>
      <c r="K275" s="3"/>
      <c r="L275" s="3"/>
      <c r="M275" s="3"/>
      <c r="N275" s="3"/>
      <c r="O275" s="4"/>
      <c r="P275" s="4"/>
      <c r="Q275" s="4"/>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row>
    <row r="276" spans="1:42" ht="14.25" customHeight="1" x14ac:dyDescent="0.2">
      <c r="A276" s="3"/>
      <c r="B276" s="3"/>
      <c r="C276" s="3"/>
      <c r="D276" s="3"/>
      <c r="E276" s="3"/>
      <c r="F276" s="3"/>
      <c r="G276" s="3"/>
      <c r="H276" s="3"/>
      <c r="I276" s="3"/>
      <c r="J276" s="3"/>
      <c r="K276" s="3"/>
      <c r="L276" s="3"/>
      <c r="M276" s="3"/>
      <c r="N276" s="4"/>
      <c r="O276" s="3"/>
      <c r="P276" s="4"/>
      <c r="Q276" s="4"/>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row>
    <row r="277" spans="1:42" ht="14.25" customHeight="1" x14ac:dyDescent="0.2">
      <c r="A277" s="3"/>
      <c r="B277" s="3"/>
      <c r="C277" s="3"/>
      <c r="D277" s="3"/>
      <c r="E277" s="3"/>
      <c r="F277" s="3"/>
      <c r="G277" s="3"/>
      <c r="H277" s="3"/>
      <c r="I277" s="3"/>
      <c r="J277" s="3"/>
      <c r="K277" s="3"/>
      <c r="L277" s="3"/>
      <c r="M277" s="3"/>
      <c r="N277" s="4"/>
      <c r="O277" s="3"/>
      <c r="P277" s="4"/>
      <c r="Q277" s="4"/>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row>
    <row r="278" spans="1:42" ht="14.25" customHeight="1" x14ac:dyDescent="0.2">
      <c r="A278" s="3"/>
      <c r="B278" s="3"/>
      <c r="C278" s="3"/>
      <c r="D278" s="3"/>
      <c r="E278" s="3"/>
      <c r="F278" s="3"/>
      <c r="G278" s="3"/>
      <c r="H278" s="3"/>
      <c r="I278" s="3"/>
      <c r="J278" s="3"/>
      <c r="K278" s="3"/>
      <c r="L278" s="3"/>
      <c r="M278" s="3"/>
      <c r="N278" s="4"/>
      <c r="O278" s="3"/>
      <c r="P278" s="4"/>
      <c r="Q278" s="4"/>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row>
    <row r="279" spans="1:42" ht="14.25" customHeight="1" x14ac:dyDescent="0.2">
      <c r="A279" s="3"/>
      <c r="B279" s="3"/>
      <c r="C279" s="3"/>
      <c r="D279" s="3"/>
      <c r="E279" s="3"/>
      <c r="F279" s="3"/>
      <c r="G279" s="3"/>
      <c r="H279" s="3"/>
      <c r="I279" s="3"/>
      <c r="J279" s="3"/>
      <c r="K279" s="3"/>
      <c r="L279" s="3"/>
      <c r="M279" s="3"/>
      <c r="N279" s="4"/>
      <c r="O279" s="3"/>
      <c r="P279" s="4"/>
      <c r="Q279" s="4"/>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row>
    <row r="280" spans="1:42" ht="14.25" customHeight="1" x14ac:dyDescent="0.2">
      <c r="A280" s="3"/>
      <c r="B280" s="3"/>
      <c r="C280" s="3"/>
      <c r="D280" s="3"/>
      <c r="E280" s="3"/>
      <c r="F280" s="3"/>
      <c r="G280" s="3"/>
      <c r="H280" s="3"/>
      <c r="I280" s="3"/>
      <c r="J280" s="3"/>
      <c r="K280" s="3"/>
      <c r="L280" s="3"/>
      <c r="M280" s="3"/>
      <c r="N280" s="3"/>
      <c r="O280" s="4"/>
      <c r="P280" s="4"/>
      <c r="Q280" s="4"/>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row>
    <row r="281" spans="1:42" ht="14.25" customHeight="1" x14ac:dyDescent="0.2">
      <c r="A281" s="3"/>
      <c r="B281" s="3"/>
      <c r="C281" s="3"/>
      <c r="D281" s="3"/>
      <c r="E281" s="3"/>
      <c r="F281" s="3"/>
      <c r="G281" s="3"/>
      <c r="H281" s="3"/>
      <c r="I281" s="3"/>
      <c r="J281" s="3"/>
      <c r="K281" s="3"/>
      <c r="L281" s="3"/>
      <c r="M281" s="3"/>
      <c r="N281" s="4"/>
      <c r="O281" s="3"/>
      <c r="P281" s="4"/>
      <c r="Q281" s="4"/>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row>
    <row r="282" spans="1:42" ht="14.25" customHeight="1" x14ac:dyDescent="0.2">
      <c r="A282" s="3"/>
      <c r="B282" s="3"/>
      <c r="C282" s="3"/>
      <c r="D282" s="3"/>
      <c r="E282" s="3"/>
      <c r="F282" s="3"/>
      <c r="G282" s="3"/>
      <c r="H282" s="3"/>
      <c r="I282" s="3"/>
      <c r="J282" s="3"/>
      <c r="K282" s="3"/>
      <c r="L282" s="3"/>
      <c r="M282" s="3"/>
      <c r="N282" s="4"/>
      <c r="O282" s="3"/>
      <c r="P282" s="4"/>
      <c r="Q282" s="4"/>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row>
    <row r="283" spans="1:42" ht="14.25" customHeight="1" x14ac:dyDescent="0.2">
      <c r="A283" s="3"/>
      <c r="B283" s="3"/>
      <c r="C283" s="3"/>
      <c r="D283" s="3"/>
      <c r="E283" s="3"/>
      <c r="F283" s="3"/>
      <c r="G283" s="3"/>
      <c r="H283" s="3"/>
      <c r="I283" s="3"/>
      <c r="J283" s="3"/>
      <c r="K283" s="3"/>
      <c r="L283" s="3"/>
      <c r="M283" s="3"/>
      <c r="N283" s="4"/>
      <c r="O283" s="3"/>
      <c r="P283" s="4"/>
      <c r="Q283" s="4"/>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row>
    <row r="284" spans="1:42" ht="14.25" customHeight="1" x14ac:dyDescent="0.2">
      <c r="A284" s="3"/>
      <c r="B284" s="3"/>
      <c r="C284" s="3"/>
      <c r="D284" s="3"/>
      <c r="E284" s="3"/>
      <c r="F284" s="3"/>
      <c r="G284" s="3"/>
      <c r="H284" s="3"/>
      <c r="I284" s="3"/>
      <c r="J284" s="3"/>
      <c r="K284" s="3"/>
      <c r="L284" s="3"/>
      <c r="M284" s="3"/>
      <c r="N284" s="4"/>
      <c r="O284" s="3"/>
      <c r="P284" s="4"/>
      <c r="Q284" s="4"/>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row>
    <row r="285" spans="1:42" ht="14.25" customHeight="1" x14ac:dyDescent="0.2">
      <c r="A285" s="3"/>
      <c r="B285" s="3"/>
      <c r="C285" s="3"/>
      <c r="D285" s="3"/>
      <c r="E285" s="3"/>
      <c r="F285" s="3"/>
      <c r="G285" s="3"/>
      <c r="H285" s="3"/>
      <c r="I285" s="3"/>
      <c r="J285" s="3"/>
      <c r="K285" s="3"/>
      <c r="L285" s="3"/>
      <c r="M285" s="3"/>
      <c r="N285" s="3"/>
      <c r="O285" s="4"/>
      <c r="P285" s="4"/>
      <c r="Q285" s="4"/>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row>
    <row r="286" spans="1:42" ht="14.25" customHeight="1" x14ac:dyDescent="0.2">
      <c r="A286" s="3"/>
      <c r="B286" s="3"/>
      <c r="C286" s="3"/>
      <c r="D286" s="3"/>
      <c r="E286" s="3"/>
      <c r="F286" s="3"/>
      <c r="G286" s="3"/>
      <c r="H286" s="3"/>
      <c r="I286" s="3"/>
      <c r="J286" s="3"/>
      <c r="K286" s="3"/>
      <c r="L286" s="3"/>
      <c r="M286" s="3"/>
      <c r="N286" s="4"/>
      <c r="O286" s="3"/>
      <c r="P286" s="4"/>
      <c r="Q286" s="4"/>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row>
    <row r="287" spans="1:42" ht="14.25" customHeight="1" x14ac:dyDescent="0.2">
      <c r="A287" s="3"/>
      <c r="B287" s="3"/>
      <c r="C287" s="3"/>
      <c r="D287" s="3"/>
      <c r="E287" s="3"/>
      <c r="F287" s="3"/>
      <c r="G287" s="3"/>
      <c r="H287" s="3"/>
      <c r="I287" s="3"/>
      <c r="J287" s="3"/>
      <c r="K287" s="3"/>
      <c r="L287" s="3"/>
      <c r="M287" s="3"/>
      <c r="N287" s="3"/>
      <c r="O287" s="4"/>
      <c r="P287" s="4"/>
      <c r="Q287" s="4"/>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row>
    <row r="288" spans="1:42" ht="14.25" customHeight="1" x14ac:dyDescent="0.2">
      <c r="A288" s="3"/>
      <c r="B288" s="3"/>
      <c r="C288" s="3"/>
      <c r="D288" s="3"/>
      <c r="E288" s="3"/>
      <c r="F288" s="3"/>
      <c r="G288" s="3"/>
      <c r="H288" s="3"/>
      <c r="I288" s="3"/>
      <c r="J288" s="3"/>
      <c r="K288" s="3"/>
      <c r="L288" s="3"/>
      <c r="M288" s="3"/>
      <c r="N288" s="4"/>
      <c r="O288" s="3"/>
      <c r="P288" s="4"/>
      <c r="Q288" s="4"/>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row>
    <row r="289" spans="1:42" ht="14.25" customHeight="1" x14ac:dyDescent="0.2">
      <c r="A289" s="3"/>
      <c r="B289" s="3"/>
      <c r="C289" s="3"/>
      <c r="D289" s="3"/>
      <c r="E289" s="3"/>
      <c r="F289" s="3"/>
      <c r="G289" s="3"/>
      <c r="H289" s="3"/>
      <c r="I289" s="3"/>
      <c r="J289" s="3"/>
      <c r="K289" s="3"/>
      <c r="L289" s="3"/>
      <c r="M289" s="3"/>
      <c r="N289" s="4"/>
      <c r="O289" s="3"/>
      <c r="P289" s="4"/>
      <c r="Q289" s="4"/>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row>
    <row r="290" spans="1:42" ht="14.25" customHeight="1" x14ac:dyDescent="0.2">
      <c r="A290" s="3"/>
      <c r="B290" s="3"/>
      <c r="C290" s="3"/>
      <c r="D290" s="3"/>
      <c r="E290" s="3"/>
      <c r="F290" s="3"/>
      <c r="G290" s="3"/>
      <c r="H290" s="3"/>
      <c r="I290" s="3"/>
      <c r="J290" s="3"/>
      <c r="K290" s="3"/>
      <c r="L290" s="3"/>
      <c r="M290" s="3"/>
      <c r="N290" s="3"/>
      <c r="O290" s="4"/>
      <c r="P290" s="4"/>
      <c r="Q290" s="4"/>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row>
    <row r="291" spans="1:42" ht="14.25" customHeight="1" x14ac:dyDescent="0.2">
      <c r="A291" s="3"/>
      <c r="B291" s="3"/>
      <c r="C291" s="3"/>
      <c r="D291" s="3"/>
      <c r="E291" s="3"/>
      <c r="F291" s="3"/>
      <c r="G291" s="3"/>
      <c r="H291" s="3"/>
      <c r="I291" s="3"/>
      <c r="J291" s="3"/>
      <c r="K291" s="3"/>
      <c r="L291" s="3"/>
      <c r="M291" s="3"/>
      <c r="N291" s="4"/>
      <c r="O291" s="3"/>
      <c r="P291" s="4"/>
      <c r="Q291" s="4"/>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row>
    <row r="292" spans="1:42" ht="14.25" customHeight="1" x14ac:dyDescent="0.2">
      <c r="A292" s="3"/>
      <c r="B292" s="3"/>
      <c r="C292" s="3"/>
      <c r="D292" s="3"/>
      <c r="E292" s="3"/>
      <c r="F292" s="3"/>
      <c r="G292" s="3"/>
      <c r="H292" s="3"/>
      <c r="I292" s="3"/>
      <c r="J292" s="3"/>
      <c r="K292" s="3"/>
      <c r="L292" s="3"/>
      <c r="M292" s="3"/>
      <c r="N292" s="3"/>
      <c r="O292" s="4"/>
      <c r="P292" s="4"/>
      <c r="Q292" s="4"/>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row>
    <row r="293" spans="1:42" ht="14.25" customHeight="1" x14ac:dyDescent="0.2">
      <c r="A293" s="3"/>
      <c r="B293" s="3"/>
      <c r="C293" s="3"/>
      <c r="D293" s="3"/>
      <c r="E293" s="3"/>
      <c r="F293" s="3"/>
      <c r="G293" s="3"/>
      <c r="H293" s="3"/>
      <c r="I293" s="3"/>
      <c r="J293" s="3"/>
      <c r="K293" s="3"/>
      <c r="L293" s="3"/>
      <c r="M293" s="3"/>
      <c r="N293" s="4"/>
      <c r="O293" s="3"/>
      <c r="P293" s="4"/>
      <c r="Q293" s="4"/>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row>
    <row r="294" spans="1:42" ht="14.25" customHeight="1" x14ac:dyDescent="0.2">
      <c r="A294" s="3"/>
      <c r="B294" s="3"/>
      <c r="C294" s="3"/>
      <c r="D294" s="3"/>
      <c r="E294" s="3"/>
      <c r="F294" s="3"/>
      <c r="G294" s="3"/>
      <c r="H294" s="3"/>
      <c r="I294" s="3"/>
      <c r="J294" s="3"/>
      <c r="K294" s="3"/>
      <c r="L294" s="3"/>
      <c r="M294" s="3"/>
      <c r="N294" s="3"/>
      <c r="O294" s="4"/>
      <c r="P294" s="4"/>
      <c r="Q294" s="4"/>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row>
    <row r="295" spans="1:42" ht="14.25" customHeight="1" x14ac:dyDescent="0.2">
      <c r="A295" s="3"/>
      <c r="B295" s="3"/>
      <c r="C295" s="3"/>
      <c r="D295" s="3"/>
      <c r="E295" s="3"/>
      <c r="F295" s="3"/>
      <c r="G295" s="3"/>
      <c r="H295" s="3"/>
      <c r="I295" s="3"/>
      <c r="J295" s="3"/>
      <c r="K295" s="3"/>
      <c r="L295" s="3"/>
      <c r="M295" s="3"/>
      <c r="N295" s="4"/>
      <c r="O295" s="3"/>
      <c r="P295" s="4"/>
      <c r="Q295" s="4"/>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row>
    <row r="296" spans="1:42" ht="14.25" customHeight="1" x14ac:dyDescent="0.2">
      <c r="A296" s="3"/>
      <c r="B296" s="3"/>
      <c r="C296" s="3"/>
      <c r="D296" s="3"/>
      <c r="E296" s="3"/>
      <c r="F296" s="3"/>
      <c r="G296" s="3"/>
      <c r="H296" s="3"/>
      <c r="I296" s="3"/>
      <c r="J296" s="3"/>
      <c r="K296" s="3"/>
      <c r="L296" s="3"/>
      <c r="M296" s="3"/>
      <c r="N296" s="4"/>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row>
    <row r="297" spans="1:42" ht="14.25" customHeight="1" x14ac:dyDescent="0.2">
      <c r="A297" s="3"/>
      <c r="B297" s="3"/>
      <c r="C297" s="3"/>
      <c r="D297" s="3"/>
      <c r="E297" s="3"/>
      <c r="F297" s="3"/>
      <c r="G297" s="3"/>
      <c r="H297" s="3"/>
      <c r="I297" s="3"/>
      <c r="J297" s="3"/>
      <c r="K297" s="3"/>
      <c r="L297" s="3"/>
      <c r="M297" s="3"/>
      <c r="N297" s="4"/>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row>
    <row r="298" spans="1:42" ht="14.25" customHeight="1" x14ac:dyDescent="0.2">
      <c r="A298" s="3"/>
      <c r="B298" s="3"/>
      <c r="C298" s="3"/>
      <c r="D298" s="3"/>
      <c r="E298" s="3"/>
      <c r="F298" s="3"/>
      <c r="G298" s="3"/>
      <c r="H298" s="3"/>
      <c r="I298" s="3"/>
      <c r="J298" s="3"/>
      <c r="K298" s="3"/>
      <c r="L298" s="3"/>
      <c r="M298" s="3"/>
      <c r="N298" s="4"/>
      <c r="O298" s="3"/>
      <c r="P298" s="4"/>
      <c r="Q298" s="4"/>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row>
    <row r="299" spans="1:42" ht="14.25" customHeight="1" x14ac:dyDescent="0.2">
      <c r="A299" s="3"/>
      <c r="B299" s="3"/>
      <c r="C299" s="3"/>
      <c r="D299" s="3"/>
      <c r="E299" s="3"/>
      <c r="F299" s="3"/>
      <c r="G299" s="3"/>
      <c r="H299" s="3"/>
      <c r="I299" s="3"/>
      <c r="J299" s="3"/>
      <c r="K299" s="3"/>
      <c r="L299" s="3"/>
      <c r="M299" s="3"/>
      <c r="N299" s="4"/>
      <c r="O299" s="3"/>
      <c r="P299" s="4"/>
      <c r="Q299" s="4"/>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row>
    <row r="300" spans="1:42" ht="14.25" customHeight="1" x14ac:dyDescent="0.2">
      <c r="A300" s="3"/>
      <c r="B300" s="3"/>
      <c r="C300" s="3"/>
      <c r="D300" s="3"/>
      <c r="E300" s="3"/>
      <c r="F300" s="3"/>
      <c r="G300" s="3"/>
      <c r="H300" s="3"/>
      <c r="I300" s="3"/>
      <c r="J300" s="3"/>
      <c r="K300" s="3"/>
      <c r="L300" s="3"/>
      <c r="M300" s="3"/>
      <c r="N300" s="4"/>
      <c r="O300" s="3"/>
      <c r="P300" s="4"/>
      <c r="Q300" s="4"/>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row>
    <row r="301" spans="1:42" ht="14.25" customHeight="1" x14ac:dyDescent="0.2">
      <c r="A301" s="3"/>
      <c r="B301" s="3"/>
      <c r="C301" s="3"/>
      <c r="D301" s="3"/>
      <c r="E301" s="3"/>
      <c r="F301" s="3"/>
      <c r="G301" s="3"/>
      <c r="H301" s="3"/>
      <c r="I301" s="3"/>
      <c r="J301" s="3"/>
      <c r="K301" s="3"/>
      <c r="L301" s="3"/>
      <c r="M301" s="3"/>
      <c r="N301" s="3"/>
      <c r="O301" s="4"/>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row>
    <row r="302" spans="1:42" ht="14.25" customHeight="1" x14ac:dyDescent="0.2">
      <c r="A302" s="3"/>
      <c r="B302" s="3"/>
      <c r="C302" s="3"/>
      <c r="D302" s="3"/>
      <c r="E302" s="3"/>
      <c r="F302" s="3"/>
      <c r="G302" s="3"/>
      <c r="H302" s="3"/>
      <c r="I302" s="3"/>
      <c r="J302" s="3"/>
      <c r="K302" s="3"/>
      <c r="L302" s="3"/>
      <c r="M302" s="3"/>
      <c r="N302" s="4"/>
      <c r="O302" s="3"/>
      <c r="P302" s="4"/>
      <c r="Q302" s="4"/>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row>
    <row r="303" spans="1:42" ht="14.25" customHeight="1" x14ac:dyDescent="0.2">
      <c r="A303" s="3"/>
      <c r="B303" s="3"/>
      <c r="C303" s="3"/>
      <c r="D303" s="3"/>
      <c r="E303" s="3"/>
      <c r="F303" s="3"/>
      <c r="G303" s="3"/>
      <c r="H303" s="3"/>
      <c r="I303" s="3"/>
      <c r="J303" s="3"/>
      <c r="K303" s="3"/>
      <c r="L303" s="3"/>
      <c r="M303" s="3"/>
      <c r="N303" s="4"/>
      <c r="O303" s="3"/>
      <c r="P303" s="4"/>
      <c r="Q303" s="4"/>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row>
    <row r="304" spans="1:42" ht="14.25" customHeight="1" x14ac:dyDescent="0.2">
      <c r="A304" s="3"/>
      <c r="B304" s="3"/>
      <c r="C304" s="3"/>
      <c r="D304" s="3"/>
      <c r="E304" s="3"/>
      <c r="F304" s="3"/>
      <c r="G304" s="3"/>
      <c r="H304" s="3"/>
      <c r="I304" s="3"/>
      <c r="J304" s="3"/>
      <c r="K304" s="3"/>
      <c r="L304" s="3"/>
      <c r="M304" s="3"/>
      <c r="N304" s="4"/>
      <c r="O304" s="3"/>
      <c r="P304" s="4"/>
      <c r="Q304" s="4"/>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row>
    <row r="305" spans="1:42" ht="14.25" customHeight="1" x14ac:dyDescent="0.2">
      <c r="A305" s="3"/>
      <c r="B305" s="3"/>
      <c r="C305" s="3"/>
      <c r="D305" s="3"/>
      <c r="E305" s="3"/>
      <c r="F305" s="3"/>
      <c r="G305" s="3"/>
      <c r="H305" s="3"/>
      <c r="I305" s="3"/>
      <c r="J305" s="3"/>
      <c r="K305" s="3"/>
      <c r="L305" s="3"/>
      <c r="M305" s="3"/>
      <c r="N305" s="4"/>
      <c r="O305" s="3"/>
      <c r="P305" s="4"/>
      <c r="Q305" s="4"/>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row>
    <row r="306" spans="1:42" ht="14.25" customHeight="1" x14ac:dyDescent="0.2">
      <c r="A306" s="3"/>
      <c r="B306" s="3"/>
      <c r="C306" s="3"/>
      <c r="D306" s="3"/>
      <c r="E306" s="3"/>
      <c r="F306" s="3"/>
      <c r="G306" s="3"/>
      <c r="H306" s="3"/>
      <c r="I306" s="3"/>
      <c r="J306" s="3"/>
      <c r="K306" s="3"/>
      <c r="L306" s="3"/>
      <c r="M306" s="3"/>
      <c r="N306" s="4"/>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row>
    <row r="307" spans="1:42" ht="14.25" customHeight="1" x14ac:dyDescent="0.2">
      <c r="A307" s="3"/>
      <c r="B307" s="3"/>
      <c r="C307" s="3"/>
      <c r="D307" s="3"/>
      <c r="E307" s="3"/>
      <c r="F307" s="3"/>
      <c r="G307" s="3"/>
      <c r="H307" s="3"/>
      <c r="I307" s="3"/>
      <c r="J307" s="3"/>
      <c r="K307" s="3"/>
      <c r="L307" s="3"/>
      <c r="M307" s="3"/>
      <c r="N307" s="4"/>
      <c r="O307" s="3"/>
      <c r="P307" s="4"/>
      <c r="Q307" s="4"/>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row>
    <row r="308" spans="1:42" ht="14.25" customHeight="1" x14ac:dyDescent="0.2">
      <c r="A308" s="3"/>
      <c r="B308" s="3"/>
      <c r="C308" s="3"/>
      <c r="D308" s="3"/>
      <c r="E308" s="3"/>
      <c r="F308" s="3"/>
      <c r="G308" s="3"/>
      <c r="H308" s="3"/>
      <c r="I308" s="3"/>
      <c r="J308" s="3"/>
      <c r="K308" s="3"/>
      <c r="L308" s="3"/>
      <c r="M308" s="3"/>
      <c r="N308" s="4"/>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row>
    <row r="309" spans="1:42" ht="14.25" customHeight="1" x14ac:dyDescent="0.2">
      <c r="A309" s="3"/>
      <c r="B309" s="3"/>
      <c r="C309" s="3"/>
      <c r="D309" s="3"/>
      <c r="E309" s="3"/>
      <c r="F309" s="3"/>
      <c r="G309" s="3"/>
      <c r="H309" s="3"/>
      <c r="I309" s="3"/>
      <c r="J309" s="3"/>
      <c r="K309" s="3"/>
      <c r="L309" s="3"/>
      <c r="M309" s="3"/>
      <c r="N309" s="3"/>
      <c r="O309" s="4"/>
      <c r="P309" s="4"/>
      <c r="Q309" s="4"/>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row>
    <row r="310" spans="1:42" ht="14.25" customHeight="1" x14ac:dyDescent="0.2">
      <c r="A310" s="3"/>
      <c r="B310" s="3"/>
      <c r="C310" s="3"/>
      <c r="D310" s="3"/>
      <c r="E310" s="3"/>
      <c r="F310" s="3"/>
      <c r="G310" s="3"/>
      <c r="H310" s="3"/>
      <c r="I310" s="3"/>
      <c r="J310" s="3"/>
      <c r="K310" s="3"/>
      <c r="L310" s="3"/>
      <c r="M310" s="3"/>
      <c r="N310" s="4"/>
      <c r="O310" s="3"/>
      <c r="P310" s="4"/>
      <c r="Q310" s="4"/>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row>
    <row r="311" spans="1:42" ht="14.25" customHeight="1" x14ac:dyDescent="0.2">
      <c r="A311" s="3"/>
      <c r="B311" s="3"/>
      <c r="C311" s="3"/>
      <c r="D311" s="3"/>
      <c r="E311" s="3"/>
      <c r="F311" s="3"/>
      <c r="G311" s="3"/>
      <c r="H311" s="3"/>
      <c r="I311" s="3"/>
      <c r="J311" s="3"/>
      <c r="K311" s="3"/>
      <c r="L311" s="3"/>
      <c r="M311" s="3"/>
      <c r="N311" s="4"/>
      <c r="O311" s="3"/>
      <c r="P311" s="4"/>
      <c r="Q311" s="4"/>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row>
    <row r="312" spans="1:42" ht="14.25" customHeight="1" x14ac:dyDescent="0.2">
      <c r="A312" s="3"/>
      <c r="B312" s="3"/>
      <c r="C312" s="3"/>
      <c r="D312" s="3"/>
      <c r="E312" s="3"/>
      <c r="F312" s="3"/>
      <c r="G312" s="3"/>
      <c r="H312" s="3"/>
      <c r="I312" s="3"/>
      <c r="J312" s="3"/>
      <c r="K312" s="3"/>
      <c r="L312" s="3"/>
      <c r="M312" s="3"/>
      <c r="N312" s="4"/>
      <c r="O312" s="3"/>
      <c r="P312" s="4"/>
      <c r="Q312" s="4"/>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row>
    <row r="313" spans="1:42" ht="14.25" customHeight="1" x14ac:dyDescent="0.2">
      <c r="A313" s="3"/>
      <c r="B313" s="3"/>
      <c r="C313" s="3"/>
      <c r="D313" s="3"/>
      <c r="E313" s="3"/>
      <c r="F313" s="3"/>
      <c r="G313" s="3"/>
      <c r="H313" s="3"/>
      <c r="I313" s="3"/>
      <c r="J313" s="3"/>
      <c r="K313" s="3"/>
      <c r="L313" s="3"/>
      <c r="M313" s="3"/>
      <c r="N313" s="4"/>
      <c r="O313" s="3"/>
      <c r="P313" s="4"/>
      <c r="Q313" s="4"/>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row>
    <row r="314" spans="1:42" ht="14.25" customHeight="1" x14ac:dyDescent="0.2">
      <c r="A314" s="3"/>
      <c r="B314" s="3"/>
      <c r="C314" s="3"/>
      <c r="D314" s="3"/>
      <c r="E314" s="3"/>
      <c r="F314" s="3"/>
      <c r="G314" s="3"/>
      <c r="H314" s="3"/>
      <c r="I314" s="3"/>
      <c r="J314" s="3"/>
      <c r="K314" s="3"/>
      <c r="L314" s="3"/>
      <c r="M314" s="3"/>
      <c r="N314" s="4"/>
      <c r="O314" s="3"/>
      <c r="P314" s="4"/>
      <c r="Q314" s="4"/>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row>
    <row r="315" spans="1:42" ht="14.25" customHeight="1" x14ac:dyDescent="0.2">
      <c r="A315" s="3"/>
      <c r="B315" s="3"/>
      <c r="C315" s="3"/>
      <c r="D315" s="3"/>
      <c r="E315" s="3"/>
      <c r="F315" s="3"/>
      <c r="G315" s="3"/>
      <c r="H315" s="3"/>
      <c r="I315" s="3"/>
      <c r="J315" s="3"/>
      <c r="K315" s="3"/>
      <c r="L315" s="3"/>
      <c r="M315" s="3"/>
      <c r="N315" s="4"/>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row>
    <row r="316" spans="1:42" ht="14.25" customHeight="1" x14ac:dyDescent="0.2">
      <c r="A316" s="3"/>
      <c r="B316" s="3"/>
      <c r="C316" s="3"/>
      <c r="D316" s="3"/>
      <c r="E316" s="3"/>
      <c r="F316" s="3"/>
      <c r="G316" s="3"/>
      <c r="H316" s="3"/>
      <c r="I316" s="3"/>
      <c r="J316" s="3"/>
      <c r="K316" s="3"/>
      <c r="L316" s="3"/>
      <c r="M316" s="3"/>
      <c r="N316" s="4"/>
      <c r="O316" s="3"/>
      <c r="P316" s="4"/>
      <c r="Q316" s="4"/>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row>
    <row r="317" spans="1:42" ht="14.25" customHeight="1" x14ac:dyDescent="0.2">
      <c r="A317" s="3"/>
      <c r="B317" s="3"/>
      <c r="C317" s="3"/>
      <c r="D317" s="3"/>
      <c r="E317" s="3"/>
      <c r="F317" s="3"/>
      <c r="G317" s="3"/>
      <c r="H317" s="3"/>
      <c r="I317" s="3"/>
      <c r="J317" s="3"/>
      <c r="K317" s="3"/>
      <c r="L317" s="3"/>
      <c r="M317" s="3"/>
      <c r="N317" s="3"/>
      <c r="O317" s="4"/>
      <c r="P317" s="4"/>
      <c r="Q317" s="4"/>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row>
    <row r="318" spans="1:42" ht="14.25" customHeight="1" x14ac:dyDescent="0.2">
      <c r="A318" s="3"/>
      <c r="B318" s="3"/>
      <c r="C318" s="3"/>
      <c r="D318" s="3"/>
      <c r="E318" s="3"/>
      <c r="F318" s="3"/>
      <c r="G318" s="3"/>
      <c r="H318" s="3"/>
      <c r="I318" s="3"/>
      <c r="J318" s="3"/>
      <c r="K318" s="3"/>
      <c r="L318" s="3"/>
      <c r="M318" s="3"/>
      <c r="N318" s="3"/>
      <c r="O318" s="4"/>
      <c r="P318" s="4"/>
      <c r="Q318" s="4"/>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row>
    <row r="319" spans="1:42" ht="14.25" customHeight="1" x14ac:dyDescent="0.2">
      <c r="A319" s="3"/>
      <c r="B319" s="3"/>
      <c r="C319" s="3"/>
      <c r="D319" s="3"/>
      <c r="E319" s="3"/>
      <c r="F319" s="3"/>
      <c r="G319" s="3"/>
      <c r="H319" s="3"/>
      <c r="I319" s="3"/>
      <c r="J319" s="3"/>
      <c r="K319" s="3"/>
      <c r="L319" s="3"/>
      <c r="M319" s="3"/>
      <c r="N319" s="4"/>
      <c r="O319" s="3"/>
      <c r="P319" s="4"/>
      <c r="Q319" s="4"/>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row>
    <row r="320" spans="1:42" ht="14.25" customHeight="1" x14ac:dyDescent="0.2">
      <c r="A320" s="3"/>
      <c r="B320" s="3"/>
      <c r="C320" s="3"/>
      <c r="D320" s="3"/>
      <c r="E320" s="3"/>
      <c r="F320" s="3"/>
      <c r="G320" s="3"/>
      <c r="H320" s="3"/>
      <c r="I320" s="3"/>
      <c r="J320" s="3"/>
      <c r="K320" s="3"/>
      <c r="L320" s="3"/>
      <c r="M320" s="3"/>
      <c r="N320" s="4"/>
      <c r="O320" s="3"/>
      <c r="P320" s="4"/>
      <c r="Q320" s="4"/>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row>
    <row r="321" spans="1:42" ht="14.25" customHeight="1" x14ac:dyDescent="0.2">
      <c r="A321" s="3"/>
      <c r="B321" s="3"/>
      <c r="C321" s="3"/>
      <c r="D321" s="3"/>
      <c r="E321" s="3"/>
      <c r="F321" s="3"/>
      <c r="G321" s="3"/>
      <c r="H321" s="3"/>
      <c r="I321" s="3"/>
      <c r="J321" s="3"/>
      <c r="K321" s="3"/>
      <c r="L321" s="3"/>
      <c r="M321" s="3"/>
      <c r="N321" s="3"/>
      <c r="O321" s="4"/>
      <c r="P321" s="4"/>
      <c r="Q321" s="4"/>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row>
    <row r="322" spans="1:42" ht="14.25" customHeight="1" x14ac:dyDescent="0.2">
      <c r="A322" s="3"/>
      <c r="B322" s="3"/>
      <c r="C322" s="3"/>
      <c r="D322" s="3"/>
      <c r="E322" s="3"/>
      <c r="F322" s="3"/>
      <c r="G322" s="3"/>
      <c r="H322" s="3"/>
      <c r="I322" s="3"/>
      <c r="J322" s="3"/>
      <c r="K322" s="3"/>
      <c r="L322" s="3"/>
      <c r="M322" s="3"/>
      <c r="N322" s="4"/>
      <c r="O322" s="3"/>
      <c r="P322" s="4"/>
      <c r="Q322" s="4"/>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row>
    <row r="323" spans="1:42" ht="14.25" customHeight="1" x14ac:dyDescent="0.2">
      <c r="A323" s="3"/>
      <c r="B323" s="3"/>
      <c r="C323" s="3"/>
      <c r="D323" s="3"/>
      <c r="E323" s="3"/>
      <c r="F323" s="3"/>
      <c r="G323" s="3"/>
      <c r="H323" s="3"/>
      <c r="I323" s="3"/>
      <c r="J323" s="3"/>
      <c r="K323" s="3"/>
      <c r="L323" s="3"/>
      <c r="M323" s="3"/>
      <c r="N323" s="4"/>
      <c r="O323" s="3"/>
      <c r="P323" s="4"/>
      <c r="Q323" s="4"/>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row>
    <row r="324" spans="1:42" ht="14.25" customHeight="1" x14ac:dyDescent="0.2">
      <c r="A324" s="3"/>
      <c r="B324" s="3"/>
      <c r="C324" s="3"/>
      <c r="D324" s="3"/>
      <c r="E324" s="3"/>
      <c r="F324" s="3"/>
      <c r="G324" s="3"/>
      <c r="H324" s="3"/>
      <c r="I324" s="3"/>
      <c r="J324" s="3"/>
      <c r="K324" s="3"/>
      <c r="L324" s="3"/>
      <c r="M324" s="3"/>
      <c r="N324" s="3"/>
      <c r="O324" s="4"/>
      <c r="P324" s="4"/>
      <c r="Q324" s="4"/>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row>
    <row r="325" spans="1:42" ht="14.25" customHeight="1" x14ac:dyDescent="0.2">
      <c r="A325" s="3"/>
      <c r="B325" s="3"/>
      <c r="C325" s="3"/>
      <c r="D325" s="3"/>
      <c r="E325" s="3"/>
      <c r="F325" s="3"/>
      <c r="G325" s="3"/>
      <c r="H325" s="3"/>
      <c r="I325" s="3"/>
      <c r="J325" s="3"/>
      <c r="K325" s="3"/>
      <c r="L325" s="3"/>
      <c r="M325" s="3"/>
      <c r="N325" s="4"/>
      <c r="O325" s="3"/>
      <c r="P325" s="4"/>
      <c r="Q325" s="4"/>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row>
    <row r="326" spans="1:42" ht="14.25" customHeight="1" x14ac:dyDescent="0.2">
      <c r="A326" s="3"/>
      <c r="B326" s="3"/>
      <c r="C326" s="3"/>
      <c r="D326" s="3"/>
      <c r="E326" s="3"/>
      <c r="F326" s="3"/>
      <c r="G326" s="3"/>
      <c r="H326" s="3"/>
      <c r="I326" s="3"/>
      <c r="J326" s="3"/>
      <c r="K326" s="3"/>
      <c r="L326" s="3"/>
      <c r="M326" s="3"/>
      <c r="N326" s="4"/>
      <c r="O326" s="3"/>
      <c r="P326" s="4"/>
      <c r="Q326" s="4"/>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row>
    <row r="327" spans="1:42" ht="14.25" customHeight="1" x14ac:dyDescent="0.2">
      <c r="A327" s="3"/>
      <c r="B327" s="3"/>
      <c r="C327" s="3"/>
      <c r="D327" s="3"/>
      <c r="E327" s="3"/>
      <c r="F327" s="3"/>
      <c r="G327" s="3"/>
      <c r="H327" s="3"/>
      <c r="I327" s="3"/>
      <c r="J327" s="3"/>
      <c r="K327" s="3"/>
      <c r="L327" s="3"/>
      <c r="M327" s="3"/>
      <c r="N327" s="4"/>
      <c r="O327" s="3"/>
      <c r="P327" s="4"/>
      <c r="Q327" s="4"/>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row>
    <row r="328" spans="1:42" ht="14.25" customHeight="1" x14ac:dyDescent="0.2">
      <c r="A328" s="3"/>
      <c r="B328" s="3"/>
      <c r="C328" s="3"/>
      <c r="D328" s="3"/>
      <c r="E328" s="3"/>
      <c r="F328" s="3"/>
      <c r="G328" s="3"/>
      <c r="H328" s="3"/>
      <c r="I328" s="3"/>
      <c r="J328" s="3"/>
      <c r="K328" s="3"/>
      <c r="L328" s="3"/>
      <c r="M328" s="3"/>
      <c r="N328" s="3"/>
      <c r="O328" s="4"/>
      <c r="P328" s="4"/>
      <c r="Q328" s="4"/>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row>
    <row r="329" spans="1:42" ht="14.25" customHeight="1" x14ac:dyDescent="0.2">
      <c r="A329" s="3"/>
      <c r="B329" s="3"/>
      <c r="C329" s="3"/>
      <c r="D329" s="3"/>
      <c r="E329" s="3"/>
      <c r="F329" s="3"/>
      <c r="G329" s="3"/>
      <c r="H329" s="3"/>
      <c r="I329" s="3"/>
      <c r="J329" s="3"/>
      <c r="K329" s="3"/>
      <c r="L329" s="3"/>
      <c r="M329" s="3"/>
      <c r="N329" s="4"/>
      <c r="O329" s="3"/>
      <c r="P329" s="4"/>
      <c r="Q329" s="4"/>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row>
    <row r="330" spans="1:42" ht="14.25" customHeight="1" x14ac:dyDescent="0.2">
      <c r="A330" s="3"/>
      <c r="B330" s="3"/>
      <c r="C330" s="3"/>
      <c r="D330" s="3"/>
      <c r="E330" s="3"/>
      <c r="F330" s="3"/>
      <c r="G330" s="3"/>
      <c r="H330" s="3"/>
      <c r="I330" s="3"/>
      <c r="J330" s="3"/>
      <c r="K330" s="3"/>
      <c r="L330" s="3"/>
      <c r="M330" s="3"/>
      <c r="N330" s="4"/>
      <c r="O330" s="3"/>
      <c r="P330" s="4"/>
      <c r="Q330" s="4"/>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row>
    <row r="331" spans="1:42" ht="14.25" customHeight="1" x14ac:dyDescent="0.2">
      <c r="A331" s="3"/>
      <c r="B331" s="3"/>
      <c r="C331" s="3"/>
      <c r="D331" s="3"/>
      <c r="E331" s="3"/>
      <c r="F331" s="3"/>
      <c r="G331" s="3"/>
      <c r="H331" s="3"/>
      <c r="I331" s="3"/>
      <c r="J331" s="3"/>
      <c r="K331" s="3"/>
      <c r="L331" s="3"/>
      <c r="M331" s="3"/>
      <c r="N331" s="4"/>
      <c r="O331" s="3"/>
      <c r="P331" s="4"/>
      <c r="Q331" s="4"/>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row>
    <row r="332" spans="1:42" ht="14.25" customHeight="1" x14ac:dyDescent="0.2">
      <c r="A332" s="3"/>
      <c r="B332" s="3"/>
      <c r="C332" s="3"/>
      <c r="D332" s="3"/>
      <c r="E332" s="3"/>
      <c r="F332" s="3"/>
      <c r="G332" s="3"/>
      <c r="H332" s="3"/>
      <c r="I332" s="3"/>
      <c r="J332" s="3"/>
      <c r="K332" s="3"/>
      <c r="L332" s="3"/>
      <c r="M332" s="3"/>
      <c r="N332" s="4"/>
      <c r="O332" s="3"/>
      <c r="P332" s="4"/>
      <c r="Q332" s="4"/>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row>
    <row r="333" spans="1:42" ht="14.25" customHeight="1" x14ac:dyDescent="0.2">
      <c r="A333" s="3"/>
      <c r="B333" s="3"/>
      <c r="C333" s="3"/>
      <c r="D333" s="3"/>
      <c r="E333" s="3"/>
      <c r="F333" s="3"/>
      <c r="G333" s="3"/>
      <c r="H333" s="3"/>
      <c r="I333" s="3"/>
      <c r="J333" s="3"/>
      <c r="K333" s="3"/>
      <c r="L333" s="3"/>
      <c r="M333" s="3"/>
      <c r="N333" s="3"/>
      <c r="O333" s="4"/>
      <c r="P333" s="4"/>
      <c r="Q333" s="4"/>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row>
    <row r="334" spans="1:42" ht="14.25" customHeight="1" x14ac:dyDescent="0.2">
      <c r="A334" s="3"/>
      <c r="B334" s="3"/>
      <c r="C334" s="3"/>
      <c r="D334" s="3"/>
      <c r="E334" s="3"/>
      <c r="F334" s="3"/>
      <c r="G334" s="3"/>
      <c r="H334" s="3"/>
      <c r="I334" s="3"/>
      <c r="J334" s="3"/>
      <c r="K334" s="3"/>
      <c r="L334" s="3"/>
      <c r="M334" s="3"/>
      <c r="N334" s="4"/>
      <c r="O334" s="3"/>
      <c r="P334" s="4"/>
      <c r="Q334" s="4"/>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row>
    <row r="335" spans="1:42" ht="14.25" customHeight="1" x14ac:dyDescent="0.2">
      <c r="A335" s="3"/>
      <c r="B335" s="3"/>
      <c r="C335" s="3"/>
      <c r="D335" s="3"/>
      <c r="E335" s="3"/>
      <c r="F335" s="3"/>
      <c r="G335" s="3"/>
      <c r="H335" s="3"/>
      <c r="I335" s="3"/>
      <c r="J335" s="3"/>
      <c r="K335" s="3"/>
      <c r="L335" s="3"/>
      <c r="M335" s="3"/>
      <c r="N335" s="3"/>
      <c r="O335" s="4"/>
      <c r="P335" s="4"/>
      <c r="Q335" s="4"/>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row>
    <row r="336" spans="1:42" ht="14.25" customHeight="1" x14ac:dyDescent="0.2">
      <c r="A336" s="3"/>
      <c r="B336" s="3"/>
      <c r="C336" s="3"/>
      <c r="D336" s="3"/>
      <c r="E336" s="3"/>
      <c r="F336" s="3"/>
      <c r="G336" s="3"/>
      <c r="H336" s="3"/>
      <c r="I336" s="3"/>
      <c r="J336" s="3"/>
      <c r="K336" s="3"/>
      <c r="L336" s="3"/>
      <c r="M336" s="3"/>
      <c r="N336" s="4"/>
      <c r="O336" s="3"/>
      <c r="P336" s="4"/>
      <c r="Q336" s="4"/>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row>
    <row r="337" spans="1:42" ht="14.25" customHeight="1" x14ac:dyDescent="0.2">
      <c r="A337" s="3"/>
      <c r="B337" s="3"/>
      <c r="C337" s="3"/>
      <c r="D337" s="3"/>
      <c r="E337" s="3"/>
      <c r="F337" s="3"/>
      <c r="G337" s="3"/>
      <c r="H337" s="3"/>
      <c r="I337" s="3"/>
      <c r="J337" s="3"/>
      <c r="K337" s="3"/>
      <c r="L337" s="3"/>
      <c r="M337" s="3"/>
      <c r="N337" s="4"/>
      <c r="O337" s="3"/>
      <c r="P337" s="4"/>
      <c r="Q337" s="4"/>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row>
    <row r="338" spans="1:42" ht="14.25" customHeight="1" x14ac:dyDescent="0.2">
      <c r="A338" s="3"/>
      <c r="B338" s="3"/>
      <c r="C338" s="3"/>
      <c r="D338" s="3"/>
      <c r="E338" s="3"/>
      <c r="F338" s="3"/>
      <c r="G338" s="3"/>
      <c r="H338" s="3"/>
      <c r="I338" s="3"/>
      <c r="J338" s="3"/>
      <c r="K338" s="3"/>
      <c r="L338" s="3"/>
      <c r="M338" s="3"/>
      <c r="N338" s="4"/>
      <c r="O338" s="3"/>
      <c r="P338" s="4"/>
      <c r="Q338" s="4"/>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row>
    <row r="339" spans="1:42" ht="14.25" customHeight="1" x14ac:dyDescent="0.2">
      <c r="A339" s="3"/>
      <c r="B339" s="3"/>
      <c r="C339" s="3"/>
      <c r="D339" s="3"/>
      <c r="E339" s="3"/>
      <c r="F339" s="3"/>
      <c r="G339" s="3"/>
      <c r="H339" s="3"/>
      <c r="I339" s="3"/>
      <c r="J339" s="3"/>
      <c r="K339" s="3"/>
      <c r="L339" s="3"/>
      <c r="M339" s="3"/>
      <c r="N339" s="4"/>
      <c r="O339" s="3"/>
      <c r="P339" s="4"/>
      <c r="Q339" s="4"/>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row>
    <row r="340" spans="1:42" ht="14.25" customHeight="1" x14ac:dyDescent="0.2">
      <c r="A340" s="3"/>
      <c r="B340" s="3"/>
      <c r="C340" s="3"/>
      <c r="D340" s="3"/>
      <c r="E340" s="3"/>
      <c r="F340" s="3"/>
      <c r="G340" s="3"/>
      <c r="H340" s="3"/>
      <c r="I340" s="3"/>
      <c r="J340" s="3"/>
      <c r="K340" s="3"/>
      <c r="L340" s="3"/>
      <c r="M340" s="3"/>
      <c r="N340" s="4"/>
      <c r="O340" s="3"/>
      <c r="P340" s="4"/>
      <c r="Q340" s="4"/>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row>
    <row r="341" spans="1:42" ht="14.25" customHeight="1" x14ac:dyDescent="0.2">
      <c r="A341" s="3"/>
      <c r="B341" s="3"/>
      <c r="C341" s="3"/>
      <c r="D341" s="3"/>
      <c r="E341" s="3"/>
      <c r="F341" s="3"/>
      <c r="G341" s="3"/>
      <c r="H341" s="3"/>
      <c r="I341" s="3"/>
      <c r="J341" s="3"/>
      <c r="K341" s="3"/>
      <c r="L341" s="3"/>
      <c r="M341" s="3"/>
      <c r="N341" s="4"/>
      <c r="O341" s="3"/>
      <c r="P341" s="4"/>
      <c r="Q341" s="4"/>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row>
    <row r="342" spans="1:42" ht="14.25" customHeight="1" x14ac:dyDescent="0.2">
      <c r="A342" s="3"/>
      <c r="B342" s="3"/>
      <c r="C342" s="3"/>
      <c r="D342" s="3"/>
      <c r="E342" s="3"/>
      <c r="F342" s="3"/>
      <c r="G342" s="3"/>
      <c r="H342" s="3"/>
      <c r="I342" s="3"/>
      <c r="J342" s="3"/>
      <c r="K342" s="3"/>
      <c r="L342" s="3"/>
      <c r="M342" s="3"/>
      <c r="N342" s="4"/>
      <c r="O342" s="3"/>
      <c r="P342" s="4"/>
      <c r="Q342" s="4"/>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row>
    <row r="343" spans="1:42"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row>
    <row r="344" spans="1:42"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row>
    <row r="345" spans="1:42"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row>
    <row r="346" spans="1:42"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row>
    <row r="347" spans="1:42"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row>
    <row r="348" spans="1:42"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row>
    <row r="349" spans="1:42"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row>
    <row r="350" spans="1:42"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row>
    <row r="351" spans="1:42"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row>
    <row r="352" spans="1:42"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row>
    <row r="353" spans="1:42"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row>
    <row r="354" spans="1:42"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row>
    <row r="355" spans="1:42"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row>
    <row r="356" spans="1:42"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row>
    <row r="357" spans="1:42"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row>
    <row r="358" spans="1:42"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row>
    <row r="359" spans="1:42"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row>
    <row r="360" spans="1:42"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row>
    <row r="361" spans="1:42"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row>
    <row r="362" spans="1:42"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row>
    <row r="363" spans="1:42"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row>
    <row r="364" spans="1:42"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row>
    <row r="365" spans="1:42"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row>
    <row r="366" spans="1:42"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row>
    <row r="367" spans="1:42"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row>
    <row r="368" spans="1:42"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row>
    <row r="369" spans="1:42"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row>
    <row r="370" spans="1:42"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row>
    <row r="371" spans="1:42"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row>
    <row r="372" spans="1:42"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row>
    <row r="373" spans="1:42"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row>
    <row r="374" spans="1:42"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row>
    <row r="375" spans="1:42"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row>
    <row r="376" spans="1:42"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row>
    <row r="377" spans="1:42"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row>
    <row r="378" spans="1:42"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row>
    <row r="379" spans="1:42"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row>
    <row r="380" spans="1:42"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row>
    <row r="381" spans="1:42"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row>
    <row r="382" spans="1:42"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row>
    <row r="383" spans="1:42"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row>
    <row r="384" spans="1:42"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row>
    <row r="385" spans="1:42"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row>
    <row r="386" spans="1:42"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row>
    <row r="387" spans="1:42"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row>
    <row r="388" spans="1:42"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row>
    <row r="389" spans="1:42"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row>
    <row r="390" spans="1:42"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row>
    <row r="391" spans="1:42"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row>
    <row r="392" spans="1:42"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row>
    <row r="393" spans="1:42"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row>
    <row r="394" spans="1:42"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row>
    <row r="395" spans="1:42"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row>
    <row r="396" spans="1:42"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row>
    <row r="397" spans="1:42"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row>
    <row r="398" spans="1:42"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row>
    <row r="399" spans="1:42"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row>
    <row r="400" spans="1:42"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row>
    <row r="401" spans="1:42"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row>
    <row r="402" spans="1:42"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row>
    <row r="403" spans="1:42"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row>
    <row r="404" spans="1:42"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row>
    <row r="405" spans="1:42"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row>
    <row r="406" spans="1:42"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row>
    <row r="407" spans="1:42"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row>
    <row r="408" spans="1:42"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row>
    <row r="409" spans="1:42"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row>
    <row r="410" spans="1:42"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row>
    <row r="411" spans="1:42"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row>
    <row r="412" spans="1:42"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row>
    <row r="413" spans="1:42"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row>
    <row r="414" spans="1:42"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row>
    <row r="415" spans="1:42"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row>
    <row r="416" spans="1:42"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row>
    <row r="417" spans="1:42"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row>
    <row r="418" spans="1:42"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row>
    <row r="419" spans="1:42"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row>
    <row r="420" spans="1:42"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row>
    <row r="421" spans="1:42"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row>
    <row r="422" spans="1:42"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row>
    <row r="423" spans="1:42"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row>
    <row r="424" spans="1:42"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row>
    <row r="425" spans="1:42"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row>
    <row r="426" spans="1:42"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row>
    <row r="427" spans="1:42"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row>
    <row r="428" spans="1:42"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row>
    <row r="429" spans="1:42"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row>
    <row r="430" spans="1:42"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row>
    <row r="431" spans="1:42"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row>
    <row r="432" spans="1:42"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row>
    <row r="433" spans="1:42"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row>
    <row r="434" spans="1:42"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row>
    <row r="435" spans="1:42"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row>
    <row r="436" spans="1:42"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row>
    <row r="437" spans="1:42"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row>
    <row r="438" spans="1:42"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row>
    <row r="439" spans="1:42"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row>
    <row r="440" spans="1:42"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row>
    <row r="441" spans="1:42"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row>
    <row r="442" spans="1:42"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row>
    <row r="443" spans="1:42"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row>
    <row r="444" spans="1:42"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row>
    <row r="445" spans="1:42"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row>
    <row r="446" spans="1:42"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row>
    <row r="447" spans="1:42"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row>
    <row r="448" spans="1:42"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row>
    <row r="449" spans="1:42"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row>
    <row r="450" spans="1:42"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row>
    <row r="451" spans="1:42"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row>
    <row r="452" spans="1:42"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row>
    <row r="453" spans="1:42"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row>
    <row r="454" spans="1:42"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row>
    <row r="455" spans="1:42"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row>
    <row r="456" spans="1:42"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row>
    <row r="457" spans="1:42"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row>
    <row r="458" spans="1:42"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row>
    <row r="459" spans="1:42"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row>
    <row r="460" spans="1:42"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row>
    <row r="461" spans="1:42"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row>
    <row r="462" spans="1:42"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row>
    <row r="463" spans="1:42"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row>
    <row r="464" spans="1:42"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row>
    <row r="465" spans="1:42"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row>
    <row r="466" spans="1:42"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row>
    <row r="467" spans="1:42"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row>
    <row r="468" spans="1:42"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row>
    <row r="469" spans="1:42"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row>
    <row r="470" spans="1:42"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row>
    <row r="471" spans="1:42"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row>
    <row r="472" spans="1:42"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row>
    <row r="473" spans="1:42"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row>
    <row r="474" spans="1:42"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row>
    <row r="475" spans="1:42"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row>
    <row r="476" spans="1:42"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row>
    <row r="477" spans="1:42"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row>
    <row r="478" spans="1:42"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row>
    <row r="479" spans="1:42"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row>
    <row r="480" spans="1:42"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row>
    <row r="481" spans="1:42"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row>
    <row r="482" spans="1:42"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row>
    <row r="483" spans="1:42"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row>
    <row r="484" spans="1:42"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row>
    <row r="485" spans="1:42"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row>
    <row r="486" spans="1:42"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row>
    <row r="487" spans="1:42"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row>
    <row r="488" spans="1:42"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row>
    <row r="489" spans="1:42"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row>
    <row r="490" spans="1:42"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row>
    <row r="491" spans="1:42"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row>
    <row r="492" spans="1:42"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row>
    <row r="493" spans="1:42"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row>
    <row r="494" spans="1:42"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row>
    <row r="495" spans="1:42"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row>
    <row r="496" spans="1:42"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row>
    <row r="497" spans="1:42"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row>
    <row r="498" spans="1:42"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row>
    <row r="499" spans="1:42"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row>
    <row r="500" spans="1:42"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row>
    <row r="501" spans="1:42"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row>
    <row r="502" spans="1:42"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row>
    <row r="503" spans="1:42"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row>
    <row r="504" spans="1:42"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row>
    <row r="505" spans="1:42"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row>
    <row r="506" spans="1:42"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row>
    <row r="507" spans="1:42"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row>
    <row r="508" spans="1:42"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row>
    <row r="509" spans="1:42"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row>
    <row r="510" spans="1:42"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row>
    <row r="511" spans="1:42"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row>
    <row r="512" spans="1:42"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row>
    <row r="513" spans="1:42"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row>
    <row r="514" spans="1:42"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row>
    <row r="515" spans="1:42"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row>
    <row r="516" spans="1:42"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row>
    <row r="517" spans="1:42"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row>
    <row r="518" spans="1:42"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row>
    <row r="519" spans="1:42"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row>
    <row r="520" spans="1:42"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row>
    <row r="521" spans="1:42"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row>
    <row r="522" spans="1:42"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row>
    <row r="523" spans="1:42"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row>
    <row r="524" spans="1:42"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row>
    <row r="525" spans="1:42"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row>
    <row r="526" spans="1:42"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row>
    <row r="527" spans="1:42"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row>
    <row r="528" spans="1:42"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row>
    <row r="529" spans="1:42"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row>
    <row r="530" spans="1:42"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row>
    <row r="531" spans="1:42"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row>
    <row r="532" spans="1:42"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row>
    <row r="533" spans="1:42"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row>
    <row r="534" spans="1:42"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row>
    <row r="535" spans="1:42"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row>
    <row r="536" spans="1:42"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row>
    <row r="537" spans="1:42"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row>
    <row r="538" spans="1:42"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row>
    <row r="539" spans="1:42"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row>
    <row r="540" spans="1:42"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row>
    <row r="541" spans="1:42"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row>
    <row r="542" spans="1:42"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row>
    <row r="543" spans="1:42"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row>
    <row r="544" spans="1:42"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row>
    <row r="545" spans="1:42"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row>
    <row r="546" spans="1:42"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row>
    <row r="547" spans="1:42"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row>
    <row r="548" spans="1:42"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row>
    <row r="549" spans="1:42"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row>
    <row r="550" spans="1:42"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row>
    <row r="551" spans="1:42"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row>
    <row r="552" spans="1:42"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row>
    <row r="553" spans="1:42"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row>
    <row r="554" spans="1:42"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row>
    <row r="555" spans="1:42"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row>
    <row r="556" spans="1:42"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row>
    <row r="557" spans="1:42"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row>
    <row r="558" spans="1:42"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row>
    <row r="559" spans="1:42"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row>
    <row r="560" spans="1:42"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row>
    <row r="561" spans="1:42"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row>
    <row r="562" spans="1:42"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row>
    <row r="563" spans="1:42"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row>
    <row r="564" spans="1:42"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row>
    <row r="565" spans="1:42"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row>
    <row r="566" spans="1:42"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row>
    <row r="567" spans="1:42"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row>
    <row r="568" spans="1:42"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row>
    <row r="569" spans="1:42"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row>
    <row r="570" spans="1:42"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row>
    <row r="571" spans="1:42"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row>
    <row r="572" spans="1:42"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row>
    <row r="573" spans="1:42"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row>
    <row r="574" spans="1:42"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row>
    <row r="575" spans="1:42"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row>
    <row r="576" spans="1:42"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row>
    <row r="577" spans="1:42"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row>
    <row r="578" spans="1:42"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row>
    <row r="579" spans="1:42"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row>
    <row r="580" spans="1:42"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row>
    <row r="581" spans="1:42"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row>
    <row r="582" spans="1:42"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row>
    <row r="583" spans="1:42"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row>
    <row r="584" spans="1:42"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row>
    <row r="585" spans="1:42"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row>
    <row r="586" spans="1:42"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row>
    <row r="587" spans="1:42"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row>
    <row r="588" spans="1:42"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row>
    <row r="589" spans="1:42"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row>
    <row r="590" spans="1:42"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row>
    <row r="591" spans="1:42"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row>
    <row r="592" spans="1:42"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row>
    <row r="593" spans="1:42"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row>
    <row r="594" spans="1:42"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row>
    <row r="595" spans="1:42"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row>
    <row r="596" spans="1:42"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row>
    <row r="597" spans="1:42"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row>
    <row r="598" spans="1:42"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row>
    <row r="599" spans="1:42"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row>
    <row r="600" spans="1:42"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row>
    <row r="601" spans="1:42"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row>
    <row r="602" spans="1:42"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row>
    <row r="603" spans="1:42"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row>
    <row r="604" spans="1:42"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row>
    <row r="605" spans="1:42"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row>
    <row r="606" spans="1:42"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row>
    <row r="607" spans="1:42"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row>
    <row r="608" spans="1:42"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row>
    <row r="609" spans="1:42"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row>
    <row r="610" spans="1:42"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row>
    <row r="611" spans="1:42"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row>
    <row r="612" spans="1:42"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row>
    <row r="613" spans="1:42"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row>
    <row r="614" spans="1:42"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row>
    <row r="615" spans="1:42"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row>
    <row r="616" spans="1:42"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row>
    <row r="617" spans="1:42"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row>
    <row r="618" spans="1:42"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row>
    <row r="619" spans="1:42"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row>
    <row r="620" spans="1:42"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row>
    <row r="621" spans="1:42"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row>
    <row r="622" spans="1:42"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row>
    <row r="623" spans="1:42"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row>
    <row r="624" spans="1:42"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row>
    <row r="625" spans="1:42"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row>
    <row r="626" spans="1:42"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row>
    <row r="627" spans="1:42"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row>
    <row r="628" spans="1:42"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row>
    <row r="629" spans="1:42"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row>
    <row r="630" spans="1:42"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row>
    <row r="631" spans="1:42"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row>
    <row r="632" spans="1:42"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row>
    <row r="633" spans="1:42"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row>
    <row r="634" spans="1:42"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row>
    <row r="635" spans="1:42"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row>
    <row r="636" spans="1:42"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row>
    <row r="637" spans="1:42"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row>
    <row r="638" spans="1:42"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row>
    <row r="639" spans="1:42"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row>
    <row r="640" spans="1:42"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row>
    <row r="641" spans="1:42"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row>
    <row r="642" spans="1:42"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row>
    <row r="643" spans="1:42"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row>
    <row r="644" spans="1:42"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row>
    <row r="645" spans="1:42"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row>
    <row r="646" spans="1:42"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row>
    <row r="647" spans="1:42"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row>
    <row r="648" spans="1:42"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row>
    <row r="649" spans="1:42"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row>
    <row r="650" spans="1:42"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row>
    <row r="651" spans="1:42"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row>
    <row r="652" spans="1:42"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row>
    <row r="653" spans="1:42"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row>
    <row r="654" spans="1:42"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row>
    <row r="655" spans="1:42"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row>
    <row r="656" spans="1:42"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row>
    <row r="657" spans="1:42"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row>
    <row r="658" spans="1:42"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row>
    <row r="659" spans="1:42"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row>
    <row r="660" spans="1:42"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row>
    <row r="661" spans="1:42"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row>
    <row r="662" spans="1:42"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row>
    <row r="663" spans="1:42"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row>
    <row r="664" spans="1:42"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row>
    <row r="665" spans="1:42"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row>
    <row r="666" spans="1:42"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row>
    <row r="667" spans="1:42"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row>
    <row r="668" spans="1:42"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row>
    <row r="669" spans="1:42"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row>
    <row r="670" spans="1:42"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row>
    <row r="671" spans="1:42"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row>
    <row r="672" spans="1:42"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row>
    <row r="673" spans="1:42"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row>
    <row r="674" spans="1:42"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row>
    <row r="675" spans="1:42"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row>
    <row r="676" spans="1:42"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row>
    <row r="677" spans="1:42"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row>
    <row r="678" spans="1:42"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row>
    <row r="679" spans="1:42"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row>
    <row r="680" spans="1:42"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row>
    <row r="681" spans="1:42"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row>
    <row r="682" spans="1:42"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row>
    <row r="683" spans="1:42"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row>
    <row r="684" spans="1:42"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row>
    <row r="685" spans="1:42"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row>
    <row r="686" spans="1:42" ht="15.75" customHeight="1" x14ac:dyDescent="0.2">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row>
    <row r="687" spans="1:42" ht="15.75" customHeight="1" x14ac:dyDescent="0.2">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row>
    <row r="688" spans="1:42" ht="15.75" customHeight="1" x14ac:dyDescent="0.2">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row>
    <row r="689" spans="18:42" ht="15.75" customHeight="1" x14ac:dyDescent="0.2">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row>
    <row r="690" spans="18:42" ht="15.75" customHeight="1" x14ac:dyDescent="0.2">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row>
    <row r="691" spans="18:42" ht="15.75" customHeight="1" x14ac:dyDescent="0.2">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row>
    <row r="692" spans="18:42" ht="15.75" customHeight="1" x14ac:dyDescent="0.2">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row>
    <row r="693" spans="18:42" ht="15.75" customHeight="1" x14ac:dyDescent="0.2">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row>
    <row r="694" spans="18:42" ht="15.75" customHeight="1" x14ac:dyDescent="0.2">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row>
    <row r="695" spans="18:42" ht="15.75" customHeight="1" x14ac:dyDescent="0.2">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row>
    <row r="696" spans="18:42" ht="15.75" customHeight="1" x14ac:dyDescent="0.2">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row>
    <row r="697" spans="18:42" ht="15.75" customHeight="1" x14ac:dyDescent="0.2">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row>
    <row r="698" spans="18:42" ht="15.75" customHeight="1" x14ac:dyDescent="0.2">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row>
    <row r="699" spans="18:42" ht="15.75" customHeight="1" x14ac:dyDescent="0.2">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row>
    <row r="700" spans="18:42" ht="15.75" customHeight="1" x14ac:dyDescent="0.2">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row>
    <row r="701" spans="18:42" ht="15.75" customHeight="1" x14ac:dyDescent="0.2">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row>
    <row r="702" spans="18:42" ht="15.75" customHeight="1" x14ac:dyDescent="0.2">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row>
    <row r="703" spans="18:42" ht="15.75" customHeight="1" x14ac:dyDescent="0.2">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row>
    <row r="704" spans="18:42" ht="15.75" customHeight="1" x14ac:dyDescent="0.2">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row>
    <row r="705" spans="18:42" ht="15.75" customHeight="1" x14ac:dyDescent="0.2">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row>
    <row r="706" spans="18:42" ht="15.75" customHeight="1" x14ac:dyDescent="0.2">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row>
    <row r="707" spans="18:42" ht="15.75" customHeight="1" x14ac:dyDescent="0.2">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row>
    <row r="708" spans="18:42" ht="15.75" customHeight="1" x14ac:dyDescent="0.2">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row>
    <row r="709" spans="18:42" ht="15.75" customHeight="1" x14ac:dyDescent="0.2">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row>
    <row r="710" spans="18:42" ht="15.75" customHeight="1" x14ac:dyDescent="0.2">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row>
    <row r="711" spans="18:42" ht="15.75" customHeight="1" x14ac:dyDescent="0.2">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row>
    <row r="712" spans="18:42" ht="15.75" customHeight="1" x14ac:dyDescent="0.2">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row>
    <row r="713" spans="18:42" ht="15.75" customHeight="1" x14ac:dyDescent="0.2">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row>
    <row r="714" spans="18:42" ht="15.75" customHeight="1" x14ac:dyDescent="0.2">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row>
    <row r="715" spans="18:42" ht="15.75" customHeight="1" x14ac:dyDescent="0.2">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row>
    <row r="716" spans="18:42" ht="15.75" customHeight="1" x14ac:dyDescent="0.2">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row>
    <row r="717" spans="18:42" ht="15.75" customHeight="1" x14ac:dyDescent="0.2">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row>
    <row r="718" spans="18:42" ht="15.75" customHeight="1" x14ac:dyDescent="0.2">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row>
    <row r="719" spans="18:42" ht="15.75" customHeight="1" x14ac:dyDescent="0.2">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row>
    <row r="720" spans="18:42" ht="15.75" customHeight="1" x14ac:dyDescent="0.2">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row>
    <row r="721" spans="18:42" ht="15.75" customHeight="1" x14ac:dyDescent="0.2">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row>
    <row r="722" spans="18:42" ht="15.75" customHeight="1" x14ac:dyDescent="0.2">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row>
    <row r="723" spans="18:42" ht="15.75" customHeight="1" x14ac:dyDescent="0.2">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row>
    <row r="724" spans="18:42" ht="15.75" customHeight="1" x14ac:dyDescent="0.2">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row>
    <row r="725" spans="18:42" ht="15.75" customHeight="1" x14ac:dyDescent="0.2">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row>
    <row r="726" spans="18:42" ht="15.75" customHeight="1" x14ac:dyDescent="0.2">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row>
    <row r="727" spans="18:42" ht="15.75" customHeight="1" x14ac:dyDescent="0.2">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row>
    <row r="728" spans="18:42" ht="15.75" customHeight="1" x14ac:dyDescent="0.2">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row>
    <row r="729" spans="18:42" ht="15.75" customHeight="1" x14ac:dyDescent="0.2">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row>
    <row r="730" spans="18:42" ht="15.75" customHeight="1" x14ac:dyDescent="0.2">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row>
    <row r="731" spans="18:42" ht="15.75" customHeight="1" x14ac:dyDescent="0.2">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row>
    <row r="732" spans="18:42" ht="15.75" customHeight="1" x14ac:dyDescent="0.2">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row>
    <row r="733" spans="18:42" ht="15.75" customHeight="1" x14ac:dyDescent="0.2">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row>
    <row r="734" spans="18:42" ht="15.75" customHeight="1" x14ac:dyDescent="0.2">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row>
    <row r="735" spans="18:42" ht="15.75" customHeight="1" x14ac:dyDescent="0.2">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row>
    <row r="736" spans="18:42" ht="15.75" customHeight="1" x14ac:dyDescent="0.2">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row>
    <row r="737" spans="18:42" ht="15.75" customHeight="1" x14ac:dyDescent="0.2">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row>
    <row r="738" spans="18:42" ht="15.75" customHeight="1" x14ac:dyDescent="0.2">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row>
    <row r="739" spans="18:42" ht="15.75" customHeight="1" x14ac:dyDescent="0.2">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row>
    <row r="740" spans="18:42" ht="15.75" customHeight="1" x14ac:dyDescent="0.2">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row>
    <row r="741" spans="18:42" ht="15.75" customHeight="1" x14ac:dyDescent="0.2">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row>
    <row r="742" spans="18:42" ht="15.75" customHeight="1" x14ac:dyDescent="0.2">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row>
    <row r="743" spans="18:42" ht="15.75" customHeight="1" x14ac:dyDescent="0.2">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row>
    <row r="744" spans="18:42" ht="15.75" customHeight="1" x14ac:dyDescent="0.2">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row>
    <row r="745" spans="18:42" ht="15.75" customHeight="1" x14ac:dyDescent="0.2">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row>
    <row r="746" spans="18:42" ht="15.75" customHeight="1" x14ac:dyDescent="0.2">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row>
    <row r="747" spans="18:42" ht="15.75" customHeight="1" x14ac:dyDescent="0.2">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row>
    <row r="748" spans="18:42" ht="15.75" customHeight="1" x14ac:dyDescent="0.2">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row>
    <row r="749" spans="18:42" ht="15.75" customHeight="1" x14ac:dyDescent="0.2">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row>
    <row r="750" spans="18:42" ht="15.75" customHeight="1" x14ac:dyDescent="0.2">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row>
    <row r="751" spans="18:42" ht="15.75" customHeight="1" x14ac:dyDescent="0.2">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row>
    <row r="752" spans="18:42" ht="15.75" customHeight="1" x14ac:dyDescent="0.2">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row>
    <row r="753" spans="18:42" ht="15.75" customHeight="1" x14ac:dyDescent="0.2">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row>
    <row r="754" spans="18:42" ht="15.75" customHeight="1" x14ac:dyDescent="0.2">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row>
    <row r="755" spans="18:42" ht="15.75" customHeight="1" x14ac:dyDescent="0.2">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row>
    <row r="756" spans="18:42" ht="15.75" customHeight="1" x14ac:dyDescent="0.2">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row>
    <row r="757" spans="18:42" ht="15.75" customHeight="1" x14ac:dyDescent="0.2">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row>
    <row r="758" spans="18:42" ht="15.75" customHeight="1" x14ac:dyDescent="0.2">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row>
    <row r="759" spans="18:42" ht="15.75" customHeight="1" x14ac:dyDescent="0.2">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row>
    <row r="760" spans="18:42" ht="15.75" customHeight="1" x14ac:dyDescent="0.2">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row>
    <row r="761" spans="18:42" ht="15.75" customHeight="1" x14ac:dyDescent="0.2">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row>
    <row r="762" spans="18:42" ht="15.75" customHeight="1" x14ac:dyDescent="0.2">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row>
    <row r="763" spans="18:42" ht="15.75" customHeight="1" x14ac:dyDescent="0.2">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row>
    <row r="764" spans="18:42" ht="15.75" customHeight="1" x14ac:dyDescent="0.2">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row>
    <row r="765" spans="18:42" ht="15.75" customHeight="1" x14ac:dyDescent="0.2">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row>
    <row r="766" spans="18:42" ht="15.75" customHeight="1" x14ac:dyDescent="0.2">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row>
    <row r="767" spans="18:42" ht="15.75" customHeight="1" x14ac:dyDescent="0.2">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row>
    <row r="768" spans="18:42" ht="15.75" customHeight="1" x14ac:dyDescent="0.2">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row>
    <row r="769" spans="18:42" ht="15.75" customHeight="1" x14ac:dyDescent="0.2">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row>
    <row r="770" spans="18:42" ht="15.75" customHeight="1" x14ac:dyDescent="0.2">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row>
    <row r="771" spans="18:42" ht="15.75" customHeight="1" x14ac:dyDescent="0.2">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row>
    <row r="772" spans="18:42" ht="15.75" customHeight="1" x14ac:dyDescent="0.2">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row>
    <row r="773" spans="18:42" ht="15.75" customHeight="1" x14ac:dyDescent="0.2">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row>
    <row r="774" spans="18:42" ht="15.75" customHeight="1" x14ac:dyDescent="0.2">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row>
    <row r="775" spans="18:42" ht="15.75" customHeight="1" x14ac:dyDescent="0.2">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row>
    <row r="776" spans="18:42" ht="15.75" customHeight="1" x14ac:dyDescent="0.2">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row>
    <row r="777" spans="18:42" ht="15.75" customHeight="1" x14ac:dyDescent="0.2">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row>
    <row r="778" spans="18:42" ht="15.75" customHeight="1" x14ac:dyDescent="0.2">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row>
    <row r="779" spans="18:42" ht="15.75" customHeight="1" x14ac:dyDescent="0.2">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row>
    <row r="780" spans="18:42" ht="15.75" customHeight="1" x14ac:dyDescent="0.2">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row>
    <row r="781" spans="18:42" ht="15.75" customHeight="1" x14ac:dyDescent="0.2">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row>
    <row r="782" spans="18:42" ht="15.75" customHeight="1" x14ac:dyDescent="0.2">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row>
    <row r="783" spans="18:42" ht="15.75" customHeight="1" x14ac:dyDescent="0.2">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row>
    <row r="784" spans="18:42" ht="15.75" customHeight="1" x14ac:dyDescent="0.2">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row>
    <row r="785" spans="18:42" ht="15.75" customHeight="1" x14ac:dyDescent="0.2">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row>
    <row r="786" spans="18:42" ht="15.75" customHeight="1" x14ac:dyDescent="0.2">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row>
    <row r="787" spans="18:42" ht="15.75" customHeight="1" x14ac:dyDescent="0.2">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row>
    <row r="788" spans="18:42" ht="15.75" customHeight="1" x14ac:dyDescent="0.2">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row>
    <row r="789" spans="18:42" ht="15.75" customHeight="1" x14ac:dyDescent="0.2">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row>
    <row r="790" spans="18:42" ht="15.75" customHeight="1" x14ac:dyDescent="0.2">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row>
    <row r="791" spans="18:42" ht="15.75" customHeight="1" x14ac:dyDescent="0.2">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row>
    <row r="792" spans="18:42" ht="15.75" customHeight="1" x14ac:dyDescent="0.2">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row>
    <row r="793" spans="18:42" ht="15.75" customHeight="1" x14ac:dyDescent="0.2">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row>
    <row r="794" spans="18:42" ht="15.75" customHeight="1" x14ac:dyDescent="0.2">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row>
    <row r="795" spans="18:42" ht="15.75" customHeight="1" x14ac:dyDescent="0.2">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row>
    <row r="796" spans="18:42" ht="15.75" customHeight="1" x14ac:dyDescent="0.2">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row>
    <row r="797" spans="18:42" ht="15.75" customHeight="1" x14ac:dyDescent="0.2">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row>
    <row r="798" spans="18:42" ht="15.75" customHeight="1" x14ac:dyDescent="0.2">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row>
    <row r="799" spans="18:42" ht="15.75" customHeight="1" x14ac:dyDescent="0.2">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row>
    <row r="800" spans="18:42" ht="15.75" customHeight="1" x14ac:dyDescent="0.2">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row>
    <row r="801" spans="18:42" ht="15.75" customHeight="1" x14ac:dyDescent="0.2">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row>
    <row r="802" spans="18:42" ht="15.75" customHeight="1" x14ac:dyDescent="0.2">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row>
    <row r="803" spans="18:42" ht="15.75" customHeight="1" x14ac:dyDescent="0.2">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row>
    <row r="804" spans="18:42" ht="15.75" customHeight="1" x14ac:dyDescent="0.2">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row>
    <row r="805" spans="18:42" ht="15.75" customHeight="1" x14ac:dyDescent="0.2">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row>
    <row r="806" spans="18:42" ht="15.75" customHeight="1" x14ac:dyDescent="0.2">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row>
    <row r="807" spans="18:42" ht="15.75" customHeight="1" x14ac:dyDescent="0.2">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row>
    <row r="808" spans="18:42" ht="15.75" customHeight="1" x14ac:dyDescent="0.2">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row>
    <row r="809" spans="18:42" ht="15.75" customHeight="1" x14ac:dyDescent="0.2">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row>
    <row r="810" spans="18:42" ht="15.75" customHeight="1" x14ac:dyDescent="0.2">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row>
    <row r="811" spans="18:42" ht="15.75" customHeight="1" x14ac:dyDescent="0.2">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row>
    <row r="812" spans="18:42" ht="15.75" customHeight="1" x14ac:dyDescent="0.2">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row>
    <row r="813" spans="18:42" ht="15.75" customHeight="1" x14ac:dyDescent="0.2">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row>
    <row r="814" spans="18:42" ht="15.75" customHeight="1" x14ac:dyDescent="0.2">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row>
    <row r="815" spans="18:42" ht="15.75" customHeight="1" x14ac:dyDescent="0.2">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row>
    <row r="816" spans="18:42" ht="15.75" customHeight="1" x14ac:dyDescent="0.2">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row>
    <row r="817" spans="18:42" ht="15.75" customHeight="1" x14ac:dyDescent="0.2">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row>
    <row r="818" spans="18:42" ht="15.75" customHeight="1" x14ac:dyDescent="0.2">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row>
    <row r="819" spans="18:42" ht="15.75" customHeight="1" x14ac:dyDescent="0.2">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row>
    <row r="820" spans="18:42" ht="15.75" customHeight="1" x14ac:dyDescent="0.2">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row>
    <row r="821" spans="18:42" ht="15.75" customHeight="1" x14ac:dyDescent="0.2">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row>
    <row r="822" spans="18:42" ht="15.75" customHeight="1" x14ac:dyDescent="0.2">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row>
    <row r="823" spans="18:42" ht="15.75" customHeight="1" x14ac:dyDescent="0.2">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row>
    <row r="824" spans="18:42" ht="15.75" customHeight="1" x14ac:dyDescent="0.2">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row>
    <row r="825" spans="18:42" ht="15.75" customHeight="1" x14ac:dyDescent="0.2">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row>
    <row r="826" spans="18:42" ht="15.75" customHeight="1" x14ac:dyDescent="0.2">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row>
    <row r="827" spans="18:42" ht="15.75" customHeight="1" x14ac:dyDescent="0.2">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row>
    <row r="828" spans="18:42" ht="15.75" customHeight="1" x14ac:dyDescent="0.2">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row>
    <row r="829" spans="18:42" ht="15.75" customHeight="1" x14ac:dyDescent="0.2">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row>
    <row r="830" spans="18:42" ht="15.75" customHeight="1" x14ac:dyDescent="0.2">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row>
    <row r="831" spans="18:42" ht="15.75" customHeight="1" x14ac:dyDescent="0.2">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row>
    <row r="832" spans="18:42" ht="15.75" customHeight="1" x14ac:dyDescent="0.2">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row>
    <row r="833" spans="18:42" ht="15.75" customHeight="1" x14ac:dyDescent="0.2">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row>
    <row r="834" spans="18:42" ht="15.75" customHeight="1" x14ac:dyDescent="0.2">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row>
    <row r="835" spans="18:42" ht="15.75" customHeight="1" x14ac:dyDescent="0.2">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row>
    <row r="836" spans="18:42" ht="15.75" customHeight="1" x14ac:dyDescent="0.2">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row>
    <row r="837" spans="18:42" ht="15.75" customHeight="1" x14ac:dyDescent="0.2">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row>
    <row r="838" spans="18:42" ht="15.75" customHeight="1" x14ac:dyDescent="0.2">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row>
    <row r="839" spans="18:42" ht="15.75" customHeight="1" x14ac:dyDescent="0.2">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row>
    <row r="840" spans="18:42" ht="15.75" customHeight="1" x14ac:dyDescent="0.2">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row>
    <row r="841" spans="18:42" ht="15.75" customHeight="1" x14ac:dyDescent="0.2">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row>
    <row r="842" spans="18:42" ht="15.75" customHeight="1" x14ac:dyDescent="0.2">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row>
    <row r="843" spans="18:42" ht="15.75" customHeight="1" x14ac:dyDescent="0.2">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row>
    <row r="844" spans="18:42" ht="15.75" customHeight="1" x14ac:dyDescent="0.2">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row>
    <row r="845" spans="18:42" ht="15.75" customHeight="1" x14ac:dyDescent="0.2">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row>
    <row r="846" spans="18:42" ht="15.75" customHeight="1" x14ac:dyDescent="0.2">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row>
    <row r="847" spans="18:42" ht="15.75" customHeight="1" x14ac:dyDescent="0.2">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row>
    <row r="848" spans="18:42" ht="15.75" customHeight="1" x14ac:dyDescent="0.2">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row>
    <row r="849" spans="18:42" ht="15.75" customHeight="1" x14ac:dyDescent="0.2">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row>
    <row r="850" spans="18:42" ht="15.75" customHeight="1" x14ac:dyDescent="0.2">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row>
    <row r="851" spans="18:42" ht="15.75" customHeight="1" x14ac:dyDescent="0.2">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row>
    <row r="852" spans="18:42" ht="15.75" customHeight="1" x14ac:dyDescent="0.2">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row>
    <row r="853" spans="18:42" ht="15.75" customHeight="1" x14ac:dyDescent="0.2">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row>
    <row r="854" spans="18:42" ht="15.75" customHeight="1" x14ac:dyDescent="0.2">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row>
    <row r="855" spans="18:42" ht="15.75" customHeight="1" x14ac:dyDescent="0.2">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row>
    <row r="856" spans="18:42" ht="15.75" customHeight="1" x14ac:dyDescent="0.2">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row>
    <row r="857" spans="18:42" ht="15.75" customHeight="1" x14ac:dyDescent="0.2">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row>
    <row r="858" spans="18:42" ht="15.75" customHeight="1" x14ac:dyDescent="0.2">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row>
    <row r="859" spans="18:42" ht="15.75" customHeight="1" x14ac:dyDescent="0.2">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row>
    <row r="860" spans="18:42" ht="15.75" customHeight="1" x14ac:dyDescent="0.2">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row>
    <row r="861" spans="18:42" ht="15.75" customHeight="1" x14ac:dyDescent="0.2">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row>
    <row r="862" spans="18:42" ht="15.75" customHeight="1" x14ac:dyDescent="0.2">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row>
    <row r="863" spans="18:42" ht="15.75" customHeight="1" x14ac:dyDescent="0.2">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row>
    <row r="864" spans="18:42" ht="15.75" customHeight="1" x14ac:dyDescent="0.2">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row>
    <row r="865" spans="18:42" ht="15.75" customHeight="1" x14ac:dyDescent="0.2">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row>
    <row r="866" spans="18:42" ht="15.75" customHeight="1" x14ac:dyDescent="0.2">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row>
    <row r="867" spans="18:42" ht="15.75" customHeight="1" x14ac:dyDescent="0.2">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row>
    <row r="868" spans="18:42" ht="15.75" customHeight="1" x14ac:dyDescent="0.2">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row>
    <row r="869" spans="18:42" ht="15.75" customHeight="1" x14ac:dyDescent="0.2">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row>
    <row r="870" spans="18:42" ht="15.75" customHeight="1" x14ac:dyDescent="0.2">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row>
    <row r="871" spans="18:42" ht="15.75" customHeight="1" x14ac:dyDescent="0.2">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row>
    <row r="872" spans="18:42" ht="15.75" customHeight="1" x14ac:dyDescent="0.2">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row>
    <row r="873" spans="18:42" ht="15.75" customHeight="1" x14ac:dyDescent="0.2">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row>
    <row r="874" spans="18:42" ht="15.75" customHeight="1" x14ac:dyDescent="0.2">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row>
    <row r="875" spans="18:42" ht="15.75" customHeight="1" x14ac:dyDescent="0.2">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row>
    <row r="876" spans="18:42" ht="15.75" customHeight="1" x14ac:dyDescent="0.2">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row>
    <row r="877" spans="18:42" ht="15.75" customHeight="1" x14ac:dyDescent="0.2">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row>
    <row r="878" spans="18:42" ht="15.75" customHeight="1" x14ac:dyDescent="0.2">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row>
    <row r="879" spans="18:42" ht="15.75" customHeight="1" x14ac:dyDescent="0.2">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row>
    <row r="880" spans="18:42" ht="15.75" customHeight="1" x14ac:dyDescent="0.2">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row>
    <row r="881" spans="18:42" ht="15.75" customHeight="1" x14ac:dyDescent="0.2">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row>
    <row r="882" spans="18:42" ht="15.75" customHeight="1" x14ac:dyDescent="0.2">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row>
    <row r="883" spans="18:42" ht="15.75" customHeight="1" x14ac:dyDescent="0.2">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row>
    <row r="884" spans="18:42" ht="15.75" customHeight="1" x14ac:dyDescent="0.2">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row>
    <row r="885" spans="18:42" ht="15.75" customHeight="1" x14ac:dyDescent="0.2">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row>
    <row r="886" spans="18:42" ht="15.75" customHeight="1" x14ac:dyDescent="0.2">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row>
    <row r="887" spans="18:42" ht="15.75" customHeight="1" x14ac:dyDescent="0.2">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row>
    <row r="888" spans="18:42" ht="15.75" customHeight="1" x14ac:dyDescent="0.2">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row>
    <row r="889" spans="18:42" ht="15.75" customHeight="1" x14ac:dyDescent="0.2">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row>
    <row r="890" spans="18:42" ht="15.75" customHeight="1" x14ac:dyDescent="0.2">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row>
    <row r="891" spans="18:42" ht="15.75" customHeight="1" x14ac:dyDescent="0.2">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row>
    <row r="892" spans="18:42" ht="15.75" customHeight="1" x14ac:dyDescent="0.2">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row>
    <row r="893" spans="18:42" ht="15.75" customHeight="1" x14ac:dyDescent="0.2">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row>
    <row r="894" spans="18:42" ht="15.75" customHeight="1" x14ac:dyDescent="0.2">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row>
    <row r="895" spans="18:42" ht="15.75" customHeight="1" x14ac:dyDescent="0.2">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row>
    <row r="896" spans="18:42" ht="15.75" customHeight="1" x14ac:dyDescent="0.2">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row>
    <row r="897" spans="18:42" ht="15.75" customHeight="1" x14ac:dyDescent="0.2">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row>
    <row r="898" spans="18:42" ht="15.75" customHeight="1" x14ac:dyDescent="0.2">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row>
    <row r="899" spans="18:42" ht="15.75" customHeight="1" x14ac:dyDescent="0.2">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row>
    <row r="900" spans="18:42" ht="15.75" customHeight="1" x14ac:dyDescent="0.2">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row>
    <row r="901" spans="18:42" ht="15.75" customHeight="1" x14ac:dyDescent="0.2">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row>
    <row r="902" spans="18:42" ht="15.75" customHeight="1" x14ac:dyDescent="0.2">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row>
    <row r="903" spans="18:42" ht="15.75" customHeight="1" x14ac:dyDescent="0.2">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row>
    <row r="904" spans="18:42" ht="15.75" customHeight="1" x14ac:dyDescent="0.2">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row>
    <row r="905" spans="18:42" ht="15.75" customHeight="1" x14ac:dyDescent="0.2">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row>
    <row r="906" spans="18:42" ht="15.75" customHeight="1" x14ac:dyDescent="0.2">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row>
    <row r="907" spans="18:42" ht="15.75" customHeight="1" x14ac:dyDescent="0.2">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row>
    <row r="908" spans="18:42" ht="15.75" customHeight="1" x14ac:dyDescent="0.2">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row>
    <row r="909" spans="18:42" ht="15.75" customHeight="1" x14ac:dyDescent="0.2">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row>
    <row r="910" spans="18:42" ht="15.75" customHeight="1" x14ac:dyDescent="0.2">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row>
    <row r="911" spans="18:42" ht="15.75" customHeight="1" x14ac:dyDescent="0.2">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row>
    <row r="912" spans="18:42" ht="15.75" customHeight="1" x14ac:dyDescent="0.2">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row>
    <row r="913" spans="18:42" ht="15.75" customHeight="1" x14ac:dyDescent="0.2">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row>
    <row r="914" spans="18:42" ht="15.75" customHeight="1" x14ac:dyDescent="0.2">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row>
    <row r="915" spans="18:42" ht="15.75" customHeight="1" x14ac:dyDescent="0.2">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row>
    <row r="916" spans="18:42" ht="15.75" customHeight="1" x14ac:dyDescent="0.2">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row>
    <row r="917" spans="18:42" ht="15.75" customHeight="1" x14ac:dyDescent="0.2">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row>
    <row r="918" spans="18:42" ht="15.75" customHeight="1" x14ac:dyDescent="0.2">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row>
    <row r="919" spans="18:42" ht="15.75" customHeight="1" x14ac:dyDescent="0.2">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row>
    <row r="920" spans="18:42" ht="15.75" customHeight="1" x14ac:dyDescent="0.2">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row>
    <row r="921" spans="18:42" ht="15.75" customHeight="1" x14ac:dyDescent="0.2">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row>
    <row r="922" spans="18:42" ht="15.75" customHeight="1" x14ac:dyDescent="0.2">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row>
    <row r="923" spans="18:42" ht="15.75" customHeight="1" x14ac:dyDescent="0.2">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row>
    <row r="924" spans="18:42" ht="15.75" customHeight="1" x14ac:dyDescent="0.2">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row>
    <row r="925" spans="18:42" ht="15.75" customHeight="1" x14ac:dyDescent="0.2">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row>
    <row r="926" spans="18:42" ht="15.75" customHeight="1" x14ac:dyDescent="0.2">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row>
    <row r="927" spans="18:42" ht="15.75" customHeight="1" x14ac:dyDescent="0.2">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row>
    <row r="928" spans="18:42" ht="15.75" customHeight="1" x14ac:dyDescent="0.2">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row>
    <row r="929" spans="18:42" ht="15.75" customHeight="1" x14ac:dyDescent="0.2">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row>
    <row r="930" spans="18:42" ht="15.75" customHeight="1" x14ac:dyDescent="0.2">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row>
    <row r="931" spans="18:42" ht="15.75" customHeight="1" x14ac:dyDescent="0.2">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row>
    <row r="932" spans="18:42" ht="15.75" customHeight="1" x14ac:dyDescent="0.2">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row>
    <row r="933" spans="18:42" ht="15.75" customHeight="1" x14ac:dyDescent="0.2">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row>
    <row r="934" spans="18:42" ht="15.75" customHeight="1" x14ac:dyDescent="0.2">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row>
    <row r="935" spans="18:42" ht="15.75" customHeight="1" x14ac:dyDescent="0.2">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row>
    <row r="936" spans="18:42" ht="15.75" customHeight="1" x14ac:dyDescent="0.2">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row>
    <row r="937" spans="18:42" ht="15.75" customHeight="1" x14ac:dyDescent="0.2">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row>
    <row r="938" spans="18:42" ht="15.75" customHeight="1" x14ac:dyDescent="0.2">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row>
    <row r="939" spans="18:42" ht="15.75" customHeight="1" x14ac:dyDescent="0.2">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row>
    <row r="940" spans="18:42" ht="15.75" customHeight="1" x14ac:dyDescent="0.2">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row>
    <row r="941" spans="18:42" ht="15.75" customHeight="1" x14ac:dyDescent="0.2">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row>
    <row r="942" spans="18:42" ht="15.75" customHeight="1" x14ac:dyDescent="0.2">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row>
    <row r="943" spans="18:42" ht="15.75" customHeight="1" x14ac:dyDescent="0.2">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row>
    <row r="944" spans="18:42" ht="15.75" customHeight="1" x14ac:dyDescent="0.2">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row>
    <row r="945" spans="18:42" ht="15.75" customHeight="1" x14ac:dyDescent="0.2">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row>
    <row r="946" spans="18:42" ht="15.75" customHeight="1" x14ac:dyDescent="0.2">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row>
    <row r="947" spans="18:42" ht="15.75" customHeight="1" x14ac:dyDescent="0.2">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row>
    <row r="948" spans="18:42" ht="15.75" customHeight="1" x14ac:dyDescent="0.2">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row>
    <row r="949" spans="18:42" ht="15.75" customHeight="1" x14ac:dyDescent="0.2">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row>
    <row r="950" spans="18:42" ht="15.75" customHeight="1" x14ac:dyDescent="0.2">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row>
    <row r="951" spans="18:42" ht="15.75" customHeight="1" x14ac:dyDescent="0.2">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row>
    <row r="952" spans="18:42" ht="15.75" customHeight="1" x14ac:dyDescent="0.2">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row>
    <row r="953" spans="18:42" ht="15.75" customHeight="1" x14ac:dyDescent="0.2">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row>
    <row r="954" spans="18:42" ht="15.75" customHeight="1" x14ac:dyDescent="0.2">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row>
    <row r="955" spans="18:42" ht="15.75" customHeight="1" x14ac:dyDescent="0.2">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row>
    <row r="956" spans="18:42" ht="15.75" customHeight="1" x14ac:dyDescent="0.2">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row>
    <row r="957" spans="18:42" ht="15.75" customHeight="1" x14ac:dyDescent="0.2">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row>
  </sheetData>
  <dataValidations count="2">
    <dataValidation type="list" allowBlank="1" showErrorMessage="1" sqref="Q202:Q203" xr:uid="{B5BE4DA0-628B-4038-AB32-F08A5A288759}">
      <formula1>"No se tiene acceso al artículo/revista/editorial, Es un preprint o la publicación está incompleta, El documento tiene un alto costo, El documento está embargado"</formula1>
    </dataValidation>
    <dataValidation type="list" allowBlank="1" showErrorMessage="1" sqref="P2:P200" xr:uid="{D6C506CB-E3AC-4EE2-A779-75D59C69B9CD}">
      <formula1>"Yes, Not"</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E1000"/>
  <sheetViews>
    <sheetView topLeftCell="A213" workbookViewId="0">
      <selection activeCell="E1" sqref="A1:XFD1048576"/>
    </sheetView>
  </sheetViews>
  <sheetFormatPr baseColWidth="10" defaultColWidth="14.5" defaultRowHeight="15" customHeight="1" x14ac:dyDescent="0.2"/>
  <cols>
    <col min="7" max="7" width="17.83203125" customWidth="1"/>
    <col min="12" max="12" width="16.33203125" customWidth="1"/>
    <col min="26" max="26" width="25" customWidth="1"/>
  </cols>
  <sheetData>
    <row r="1" spans="1:57" ht="88.5" customHeight="1" x14ac:dyDescent="0.2">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8" t="s">
        <v>49</v>
      </c>
      <c r="Q1" s="19" t="s">
        <v>43</v>
      </c>
      <c r="R1" s="20" t="s">
        <v>48</v>
      </c>
      <c r="S1" s="21" t="s">
        <v>44</v>
      </c>
      <c r="T1" s="22" t="s">
        <v>45</v>
      </c>
      <c r="U1" s="24" t="s">
        <v>54</v>
      </c>
      <c r="V1" s="8" t="s">
        <v>57</v>
      </c>
      <c r="W1" s="24" t="s">
        <v>55</v>
      </c>
      <c r="X1" s="8" t="s">
        <v>57</v>
      </c>
      <c r="Y1" s="43" t="s">
        <v>56</v>
      </c>
      <c r="Z1" s="23" t="s">
        <v>46</v>
      </c>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row>
    <row r="2" spans="1:57" ht="36" customHeight="1" x14ac:dyDescent="0.2">
      <c r="A2" s="126" t="s">
        <v>626</v>
      </c>
      <c r="B2" s="126" t="s">
        <v>627</v>
      </c>
      <c r="C2" s="126">
        <v>2026</v>
      </c>
      <c r="D2" s="126" t="s">
        <v>394</v>
      </c>
      <c r="E2" s="126" t="s">
        <v>629</v>
      </c>
      <c r="F2" s="126" t="s">
        <v>630</v>
      </c>
      <c r="G2" s="126" t="s">
        <v>274</v>
      </c>
      <c r="H2" s="126" t="s">
        <v>15</v>
      </c>
      <c r="I2" s="126" t="s">
        <v>253</v>
      </c>
      <c r="J2" s="127"/>
      <c r="K2" s="128" t="s">
        <v>628</v>
      </c>
      <c r="L2" s="128"/>
      <c r="M2" s="128"/>
      <c r="N2" s="127" t="s">
        <v>16</v>
      </c>
      <c r="O2" s="127"/>
      <c r="P2" s="35" t="s">
        <v>42</v>
      </c>
      <c r="Q2" s="35" t="s">
        <v>42</v>
      </c>
      <c r="R2" s="35" t="s">
        <v>42</v>
      </c>
      <c r="S2" s="35" t="s">
        <v>42</v>
      </c>
      <c r="T2" s="35" t="s">
        <v>42</v>
      </c>
      <c r="U2" s="25"/>
      <c r="V2" s="35" t="s">
        <v>42</v>
      </c>
      <c r="W2" s="25"/>
      <c r="X2" s="35" t="s">
        <v>42</v>
      </c>
      <c r="Y2" s="35" t="s">
        <v>42</v>
      </c>
      <c r="Z2" s="25"/>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row>
    <row r="3" spans="1:57" ht="36" customHeight="1" x14ac:dyDescent="0.2">
      <c r="A3" s="126" t="s">
        <v>1759</v>
      </c>
      <c r="B3" s="126" t="s">
        <v>1760</v>
      </c>
      <c r="C3" s="126">
        <v>2020</v>
      </c>
      <c r="D3" s="126" t="s">
        <v>371</v>
      </c>
      <c r="E3" s="126" t="s">
        <v>1762</v>
      </c>
      <c r="F3" s="126" t="s">
        <v>1763</v>
      </c>
      <c r="G3" s="126" t="s">
        <v>376</v>
      </c>
      <c r="H3" s="126" t="s">
        <v>15</v>
      </c>
      <c r="I3" s="126" t="s">
        <v>253</v>
      </c>
      <c r="J3" s="127"/>
      <c r="K3" s="128" t="s">
        <v>1761</v>
      </c>
      <c r="L3" s="128"/>
      <c r="M3" s="128"/>
      <c r="N3" s="127" t="s">
        <v>16</v>
      </c>
      <c r="O3" s="127"/>
      <c r="P3" s="35" t="s">
        <v>42</v>
      </c>
      <c r="Q3" s="35" t="s">
        <v>42</v>
      </c>
      <c r="R3" s="35" t="s">
        <v>42</v>
      </c>
      <c r="S3" s="35" t="s">
        <v>42</v>
      </c>
      <c r="T3" s="35" t="s">
        <v>42</v>
      </c>
      <c r="U3" s="25"/>
      <c r="V3" s="35" t="s">
        <v>42</v>
      </c>
      <c r="W3" s="25"/>
      <c r="X3" s="35" t="s">
        <v>42</v>
      </c>
      <c r="Y3" s="35" t="s">
        <v>42</v>
      </c>
      <c r="Z3" s="25"/>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row>
    <row r="4" spans="1:57" ht="36" customHeight="1" x14ac:dyDescent="0.2">
      <c r="A4" s="126" t="s">
        <v>1389</v>
      </c>
      <c r="B4" s="126" t="s">
        <v>1390</v>
      </c>
      <c r="C4" s="126">
        <v>2025</v>
      </c>
      <c r="D4" s="126" t="s">
        <v>1391</v>
      </c>
      <c r="E4" s="126" t="s">
        <v>1393</v>
      </c>
      <c r="F4" s="126" t="s">
        <v>1394</v>
      </c>
      <c r="G4" s="126" t="s">
        <v>1395</v>
      </c>
      <c r="H4" s="126" t="s">
        <v>15</v>
      </c>
      <c r="I4" s="126" t="s">
        <v>253</v>
      </c>
      <c r="J4" s="127"/>
      <c r="K4" s="128" t="s">
        <v>1392</v>
      </c>
      <c r="L4" s="128" t="s">
        <v>23</v>
      </c>
      <c r="M4" s="128"/>
      <c r="N4" s="127" t="s">
        <v>16</v>
      </c>
      <c r="O4" s="127" t="s">
        <v>16</v>
      </c>
      <c r="P4" s="35" t="s">
        <v>42</v>
      </c>
      <c r="Q4" s="35" t="s">
        <v>42</v>
      </c>
      <c r="R4" s="35" t="s">
        <v>42</v>
      </c>
      <c r="S4" s="35" t="s">
        <v>42</v>
      </c>
      <c r="T4" s="35" t="s">
        <v>42</v>
      </c>
      <c r="U4" s="25"/>
      <c r="V4" s="35" t="s">
        <v>42</v>
      </c>
      <c r="W4" s="25"/>
      <c r="X4" s="35" t="s">
        <v>42</v>
      </c>
      <c r="Y4" s="35" t="s">
        <v>42</v>
      </c>
      <c r="Z4" s="25"/>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row>
    <row r="5" spans="1:57" ht="36" customHeight="1" x14ac:dyDescent="0.2">
      <c r="A5" s="126" t="s">
        <v>1030</v>
      </c>
      <c r="B5" s="126" t="s">
        <v>1031</v>
      </c>
      <c r="C5" s="126">
        <v>2023</v>
      </c>
      <c r="D5" s="126" t="s">
        <v>345</v>
      </c>
      <c r="E5" s="126" t="s">
        <v>1033</v>
      </c>
      <c r="F5" s="126" t="s">
        <v>1034</v>
      </c>
      <c r="G5" s="126" t="s">
        <v>350</v>
      </c>
      <c r="H5" s="126" t="s">
        <v>15</v>
      </c>
      <c r="I5" s="126" t="s">
        <v>253</v>
      </c>
      <c r="J5" s="127"/>
      <c r="K5" s="128" t="s">
        <v>1032</v>
      </c>
      <c r="L5" s="128" t="s">
        <v>17</v>
      </c>
      <c r="M5" s="128"/>
      <c r="N5" s="128"/>
      <c r="O5" s="127" t="s">
        <v>16</v>
      </c>
      <c r="P5" s="35" t="s">
        <v>42</v>
      </c>
      <c r="Q5" s="35" t="s">
        <v>42</v>
      </c>
      <c r="R5" s="35" t="s">
        <v>42</v>
      </c>
      <c r="S5" s="35" t="s">
        <v>42</v>
      </c>
      <c r="T5" s="35" t="s">
        <v>42</v>
      </c>
      <c r="U5" s="25"/>
      <c r="V5" s="35" t="s">
        <v>42</v>
      </c>
      <c r="W5" s="25"/>
      <c r="X5" s="35" t="s">
        <v>42</v>
      </c>
      <c r="Y5" s="35" t="s">
        <v>42</v>
      </c>
      <c r="Z5" s="25"/>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row>
    <row r="6" spans="1:57" ht="36" customHeight="1" x14ac:dyDescent="0.2">
      <c r="A6" s="126" t="s">
        <v>245</v>
      </c>
      <c r="B6" s="126" t="s">
        <v>246</v>
      </c>
      <c r="C6" s="126">
        <v>2025</v>
      </c>
      <c r="D6" s="126" t="s">
        <v>247</v>
      </c>
      <c r="E6" s="126" t="s">
        <v>249</v>
      </c>
      <c r="F6" s="126" t="s">
        <v>250</v>
      </c>
      <c r="G6" s="126" t="s">
        <v>252</v>
      </c>
      <c r="H6" s="126" t="s">
        <v>15</v>
      </c>
      <c r="I6" s="126" t="s">
        <v>253</v>
      </c>
      <c r="J6" s="127"/>
      <c r="K6" s="128" t="s">
        <v>248</v>
      </c>
      <c r="L6" s="128"/>
      <c r="M6" s="128"/>
      <c r="N6" s="127" t="s">
        <v>16</v>
      </c>
      <c r="O6" s="127"/>
      <c r="P6" s="35" t="s">
        <v>42</v>
      </c>
      <c r="Q6" s="35" t="s">
        <v>42</v>
      </c>
      <c r="R6" s="35" t="s">
        <v>42</v>
      </c>
      <c r="S6" s="35" t="s">
        <v>42</v>
      </c>
      <c r="T6" s="35" t="s">
        <v>42</v>
      </c>
      <c r="U6" s="25"/>
      <c r="V6" s="35" t="s">
        <v>42</v>
      </c>
      <c r="W6" s="25"/>
      <c r="X6" s="35" t="s">
        <v>42</v>
      </c>
      <c r="Y6" s="35" t="s">
        <v>42</v>
      </c>
      <c r="Z6" s="2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row>
    <row r="7" spans="1:57" ht="36" customHeight="1" x14ac:dyDescent="0.2">
      <c r="A7" s="126" t="s">
        <v>254</v>
      </c>
      <c r="B7" s="126" t="s">
        <v>255</v>
      </c>
      <c r="C7" s="126">
        <v>2024</v>
      </c>
      <c r="D7" s="126" t="s">
        <v>256</v>
      </c>
      <c r="E7" s="126" t="s">
        <v>258</v>
      </c>
      <c r="F7" s="126">
        <v>0</v>
      </c>
      <c r="G7" s="126" t="s">
        <v>260</v>
      </c>
      <c r="H7" s="126" t="s">
        <v>15</v>
      </c>
      <c r="I7" s="126" t="s">
        <v>253</v>
      </c>
      <c r="J7" s="127"/>
      <c r="K7" s="128" t="s">
        <v>257</v>
      </c>
      <c r="L7" s="128"/>
      <c r="M7" s="128"/>
      <c r="N7" s="127" t="s">
        <v>16</v>
      </c>
      <c r="O7" s="127"/>
      <c r="P7" s="35" t="s">
        <v>42</v>
      </c>
      <c r="Q7" s="35" t="s">
        <v>42</v>
      </c>
      <c r="R7" s="35" t="s">
        <v>42</v>
      </c>
      <c r="S7" s="35" t="s">
        <v>42</v>
      </c>
      <c r="T7" s="35" t="s">
        <v>42</v>
      </c>
      <c r="U7" s="25"/>
      <c r="V7" s="35" t="s">
        <v>42</v>
      </c>
      <c r="W7" s="25"/>
      <c r="X7" s="35" t="s">
        <v>42</v>
      </c>
      <c r="Y7" s="35" t="s">
        <v>42</v>
      </c>
      <c r="Z7" s="25"/>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row>
    <row r="8" spans="1:57" ht="36" customHeight="1" x14ac:dyDescent="0.2">
      <c r="A8" s="126" t="s">
        <v>267</v>
      </c>
      <c r="B8" s="126" t="s">
        <v>268</v>
      </c>
      <c r="C8" s="126">
        <v>2025</v>
      </c>
      <c r="D8" s="126" t="s">
        <v>269</v>
      </c>
      <c r="E8" s="126" t="s">
        <v>271</v>
      </c>
      <c r="F8" s="126" t="s">
        <v>272</v>
      </c>
      <c r="G8" s="126" t="s">
        <v>274</v>
      </c>
      <c r="H8" s="126" t="s">
        <v>15</v>
      </c>
      <c r="I8" s="126" t="s">
        <v>253</v>
      </c>
      <c r="J8" s="127"/>
      <c r="K8" s="128" t="s">
        <v>270</v>
      </c>
      <c r="L8" s="128" t="s">
        <v>28</v>
      </c>
      <c r="M8" s="128"/>
      <c r="N8" s="127" t="s">
        <v>16</v>
      </c>
      <c r="O8" s="127" t="s">
        <v>16</v>
      </c>
      <c r="P8" s="35" t="s">
        <v>42</v>
      </c>
      <c r="Q8" s="35" t="s">
        <v>42</v>
      </c>
      <c r="R8" s="35" t="s">
        <v>42</v>
      </c>
      <c r="S8" s="35" t="s">
        <v>42</v>
      </c>
      <c r="T8" s="35" t="s">
        <v>42</v>
      </c>
      <c r="U8" s="25"/>
      <c r="V8" s="35" t="s">
        <v>42</v>
      </c>
      <c r="W8" s="25"/>
      <c r="X8" s="35" t="s">
        <v>42</v>
      </c>
      <c r="Y8" s="35" t="s">
        <v>42</v>
      </c>
      <c r="Z8" s="2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row>
    <row r="9" spans="1:57" ht="36" customHeight="1" x14ac:dyDescent="0.2">
      <c r="A9" s="126" t="s">
        <v>275</v>
      </c>
      <c r="B9" s="126" t="s">
        <v>276</v>
      </c>
      <c r="C9" s="126">
        <v>2026</v>
      </c>
      <c r="D9" s="126" t="s">
        <v>277</v>
      </c>
      <c r="E9" s="126" t="s">
        <v>279</v>
      </c>
      <c r="F9" s="126" t="s">
        <v>280</v>
      </c>
      <c r="G9" s="126" t="s">
        <v>282</v>
      </c>
      <c r="H9" s="126" t="s">
        <v>15</v>
      </c>
      <c r="I9" s="126" t="s">
        <v>253</v>
      </c>
      <c r="J9" s="127"/>
      <c r="K9" s="128" t="s">
        <v>278</v>
      </c>
      <c r="L9" s="128"/>
      <c r="M9" s="128"/>
      <c r="N9" s="127" t="s">
        <v>16</v>
      </c>
      <c r="O9" s="127"/>
      <c r="P9" s="35" t="s">
        <v>42</v>
      </c>
      <c r="Q9" s="35" t="s">
        <v>42</v>
      </c>
      <c r="R9" s="35" t="s">
        <v>42</v>
      </c>
      <c r="S9" s="35" t="s">
        <v>42</v>
      </c>
      <c r="T9" s="35" t="s">
        <v>42</v>
      </c>
      <c r="U9" s="25"/>
      <c r="V9" s="35" t="s">
        <v>42</v>
      </c>
      <c r="W9" s="25"/>
      <c r="X9" s="35" t="s">
        <v>42</v>
      </c>
      <c r="Y9" s="35" t="s">
        <v>42</v>
      </c>
      <c r="Z9" s="2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row>
    <row r="10" spans="1:57" ht="36" customHeight="1" x14ac:dyDescent="0.2">
      <c r="A10" s="126" t="s">
        <v>652</v>
      </c>
      <c r="B10" s="126" t="s">
        <v>653</v>
      </c>
      <c r="C10" s="126">
        <v>2023</v>
      </c>
      <c r="D10" s="126" t="s">
        <v>654</v>
      </c>
      <c r="E10" s="126" t="s">
        <v>656</v>
      </c>
      <c r="F10" s="126" t="s">
        <v>657</v>
      </c>
      <c r="G10" s="126" t="s">
        <v>228</v>
      </c>
      <c r="H10" s="126" t="s">
        <v>15</v>
      </c>
      <c r="I10" s="126" t="s">
        <v>253</v>
      </c>
      <c r="J10" s="127"/>
      <c r="K10" s="128" t="s">
        <v>655</v>
      </c>
      <c r="L10" s="128" t="s">
        <v>21</v>
      </c>
      <c r="M10" s="128"/>
      <c r="N10" s="127" t="s">
        <v>16</v>
      </c>
      <c r="O10" s="127" t="s">
        <v>16</v>
      </c>
      <c r="P10" s="35" t="s">
        <v>42</v>
      </c>
      <c r="Q10" s="35" t="s">
        <v>42</v>
      </c>
      <c r="R10" s="35" t="s">
        <v>42</v>
      </c>
      <c r="S10" s="35" t="s">
        <v>42</v>
      </c>
      <c r="T10" s="35" t="s">
        <v>42</v>
      </c>
      <c r="U10" s="25"/>
      <c r="V10" s="35" t="s">
        <v>42</v>
      </c>
      <c r="W10" s="25"/>
      <c r="X10" s="35" t="s">
        <v>42</v>
      </c>
      <c r="Y10" s="35" t="s">
        <v>42</v>
      </c>
      <c r="Z10" s="2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row>
    <row r="11" spans="1:57" ht="36" customHeight="1" x14ac:dyDescent="0.2">
      <c r="A11" s="126" t="s">
        <v>1421</v>
      </c>
      <c r="B11" s="126" t="s">
        <v>1422</v>
      </c>
      <c r="C11" s="126">
        <v>2023</v>
      </c>
      <c r="D11" s="126" t="s">
        <v>277</v>
      </c>
      <c r="E11" s="126" t="s">
        <v>1424</v>
      </c>
      <c r="F11" s="126" t="s">
        <v>1425</v>
      </c>
      <c r="G11" s="126" t="s">
        <v>586</v>
      </c>
      <c r="H11" s="126" t="s">
        <v>15</v>
      </c>
      <c r="I11" s="126" t="s">
        <v>253</v>
      </c>
      <c r="J11" s="127"/>
      <c r="K11" s="128" t="s">
        <v>1423</v>
      </c>
      <c r="L11" s="128"/>
      <c r="M11" s="128"/>
      <c r="N11" s="127" t="s">
        <v>16</v>
      </c>
      <c r="O11" s="127"/>
      <c r="P11" s="35" t="s">
        <v>42</v>
      </c>
      <c r="Q11" s="35" t="s">
        <v>42</v>
      </c>
      <c r="R11" s="35" t="s">
        <v>42</v>
      </c>
      <c r="S11" s="35" t="s">
        <v>42</v>
      </c>
      <c r="T11" s="35" t="s">
        <v>42</v>
      </c>
      <c r="U11" s="25"/>
      <c r="V11" s="35" t="s">
        <v>42</v>
      </c>
      <c r="W11" s="25"/>
      <c r="X11" s="35" t="s">
        <v>42</v>
      </c>
      <c r="Y11" s="35" t="s">
        <v>42</v>
      </c>
      <c r="Z11" s="25"/>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row>
    <row r="12" spans="1:57" ht="36" customHeight="1" x14ac:dyDescent="0.2">
      <c r="A12" s="126" t="s">
        <v>665</v>
      </c>
      <c r="B12" s="126" t="s">
        <v>666</v>
      </c>
      <c r="C12" s="126">
        <v>2022</v>
      </c>
      <c r="D12" s="126" t="s">
        <v>385</v>
      </c>
      <c r="E12" s="126" t="s">
        <v>668</v>
      </c>
      <c r="F12" s="126" t="s">
        <v>669</v>
      </c>
      <c r="G12" s="126" t="s">
        <v>586</v>
      </c>
      <c r="H12" s="126" t="s">
        <v>15</v>
      </c>
      <c r="I12" s="126" t="s">
        <v>253</v>
      </c>
      <c r="J12" s="127"/>
      <c r="K12" s="128" t="s">
        <v>667</v>
      </c>
      <c r="L12" s="128" t="s">
        <v>27</v>
      </c>
      <c r="M12" s="128"/>
      <c r="N12" s="128"/>
      <c r="O12" s="127" t="s">
        <v>16</v>
      </c>
      <c r="P12" s="35" t="s">
        <v>42</v>
      </c>
      <c r="Q12" s="35" t="s">
        <v>42</v>
      </c>
      <c r="R12" s="35" t="s">
        <v>42</v>
      </c>
      <c r="S12" s="35" t="s">
        <v>42</v>
      </c>
      <c r="T12" s="35" t="s">
        <v>42</v>
      </c>
      <c r="U12" s="25"/>
      <c r="V12" s="35" t="s">
        <v>42</v>
      </c>
      <c r="W12" s="25"/>
      <c r="X12" s="35" t="s">
        <v>42</v>
      </c>
      <c r="Y12" s="35" t="s">
        <v>42</v>
      </c>
      <c r="Z12" s="2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row>
    <row r="13" spans="1:57" ht="36" customHeight="1" x14ac:dyDescent="0.2">
      <c r="A13" s="126" t="s">
        <v>671</v>
      </c>
      <c r="B13" s="126" t="s">
        <v>672</v>
      </c>
      <c r="C13" s="126">
        <v>2024</v>
      </c>
      <c r="D13" s="126" t="s">
        <v>673</v>
      </c>
      <c r="E13" s="126" t="s">
        <v>675</v>
      </c>
      <c r="F13" s="126" t="s">
        <v>676</v>
      </c>
      <c r="G13" s="126" t="s">
        <v>282</v>
      </c>
      <c r="H13" s="126" t="s">
        <v>15</v>
      </c>
      <c r="I13" s="126" t="s">
        <v>253</v>
      </c>
      <c r="J13" s="127"/>
      <c r="K13" s="128" t="s">
        <v>674</v>
      </c>
      <c r="L13" s="128"/>
      <c r="M13" s="128"/>
      <c r="N13" s="127" t="s">
        <v>16</v>
      </c>
      <c r="O13" s="127"/>
      <c r="P13" s="35" t="s">
        <v>42</v>
      </c>
      <c r="Q13" s="35" t="s">
        <v>42</v>
      </c>
      <c r="R13" s="35" t="s">
        <v>42</v>
      </c>
      <c r="S13" s="35" t="s">
        <v>42</v>
      </c>
      <c r="T13" s="35" t="s">
        <v>42</v>
      </c>
      <c r="U13" s="25"/>
      <c r="V13" s="35" t="s">
        <v>42</v>
      </c>
      <c r="W13" s="25"/>
      <c r="X13" s="35" t="s">
        <v>42</v>
      </c>
      <c r="Y13" s="35" t="s">
        <v>42</v>
      </c>
      <c r="Z13" s="2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row>
    <row r="14" spans="1:57" ht="36" customHeight="1" x14ac:dyDescent="0.2">
      <c r="A14" s="126" t="s">
        <v>288</v>
      </c>
      <c r="B14" s="126" t="s">
        <v>289</v>
      </c>
      <c r="C14" s="126">
        <v>2022</v>
      </c>
      <c r="D14" s="126" t="s">
        <v>290</v>
      </c>
      <c r="E14" s="126" t="s">
        <v>292</v>
      </c>
      <c r="F14" s="126" t="s">
        <v>293</v>
      </c>
      <c r="G14" s="126" t="s">
        <v>228</v>
      </c>
      <c r="H14" s="126" t="s">
        <v>15</v>
      </c>
      <c r="I14" s="126" t="s">
        <v>253</v>
      </c>
      <c r="J14" s="127"/>
      <c r="K14" s="128" t="s">
        <v>291</v>
      </c>
      <c r="L14" s="128"/>
      <c r="M14" s="128"/>
      <c r="N14" s="127" t="s">
        <v>16</v>
      </c>
      <c r="O14" s="127"/>
      <c r="P14" s="35" t="s">
        <v>42</v>
      </c>
      <c r="Q14" s="35" t="s">
        <v>42</v>
      </c>
      <c r="R14" s="35" t="s">
        <v>42</v>
      </c>
      <c r="S14" s="35" t="s">
        <v>42</v>
      </c>
      <c r="T14" s="35" t="s">
        <v>42</v>
      </c>
      <c r="U14" s="25"/>
      <c r="V14" s="35" t="s">
        <v>42</v>
      </c>
      <c r="W14" s="25"/>
      <c r="X14" s="35" t="s">
        <v>42</v>
      </c>
      <c r="Y14" s="35" t="s">
        <v>42</v>
      </c>
      <c r="Z14" s="2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row>
    <row r="15" spans="1:57" ht="36" customHeight="1" x14ac:dyDescent="0.2">
      <c r="A15" s="126" t="s">
        <v>684</v>
      </c>
      <c r="B15" s="126" t="s">
        <v>685</v>
      </c>
      <c r="C15" s="126">
        <v>2025</v>
      </c>
      <c r="D15" s="126" t="s">
        <v>686</v>
      </c>
      <c r="E15" s="126" t="s">
        <v>688</v>
      </c>
      <c r="F15" s="126" t="s">
        <v>689</v>
      </c>
      <c r="G15" s="126" t="s">
        <v>691</v>
      </c>
      <c r="H15" s="126" t="s">
        <v>15</v>
      </c>
      <c r="I15" s="126" t="s">
        <v>253</v>
      </c>
      <c r="J15" s="127"/>
      <c r="K15" s="128" t="s">
        <v>687</v>
      </c>
      <c r="L15" s="128"/>
      <c r="M15" s="128"/>
      <c r="N15" s="127" t="s">
        <v>16</v>
      </c>
      <c r="O15" s="127" t="s">
        <v>16</v>
      </c>
      <c r="P15" s="35" t="s">
        <v>42</v>
      </c>
      <c r="Q15" s="35" t="s">
        <v>42</v>
      </c>
      <c r="R15" s="35" t="s">
        <v>42</v>
      </c>
      <c r="S15" s="35" t="s">
        <v>42</v>
      </c>
      <c r="T15" s="35" t="s">
        <v>42</v>
      </c>
      <c r="U15" s="25"/>
      <c r="V15" s="35" t="s">
        <v>42</v>
      </c>
      <c r="W15" s="25"/>
      <c r="X15" s="35" t="s">
        <v>42</v>
      </c>
      <c r="Y15" s="35" t="s">
        <v>42</v>
      </c>
      <c r="Z15" s="2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row>
    <row r="16" spans="1:57" ht="36" customHeight="1" x14ac:dyDescent="0.2">
      <c r="A16" s="126" t="s">
        <v>315</v>
      </c>
      <c r="B16" s="126" t="s">
        <v>316</v>
      </c>
      <c r="C16" s="126">
        <v>2024</v>
      </c>
      <c r="D16" s="126" t="s">
        <v>317</v>
      </c>
      <c r="E16" s="126" t="s">
        <v>319</v>
      </c>
      <c r="F16" s="126" t="s">
        <v>320</v>
      </c>
      <c r="G16" s="126" t="s">
        <v>322</v>
      </c>
      <c r="H16" s="126" t="s">
        <v>15</v>
      </c>
      <c r="I16" s="126" t="s">
        <v>253</v>
      </c>
      <c r="J16" s="127"/>
      <c r="K16" s="128" t="s">
        <v>318</v>
      </c>
      <c r="L16" s="128" t="s">
        <v>25</v>
      </c>
      <c r="M16" s="128"/>
      <c r="N16" s="128"/>
      <c r="O16" s="127" t="s">
        <v>16</v>
      </c>
      <c r="P16" s="35" t="s">
        <v>42</v>
      </c>
      <c r="Q16" s="35" t="s">
        <v>42</v>
      </c>
      <c r="R16" s="35" t="s">
        <v>42</v>
      </c>
      <c r="S16" s="35" t="s">
        <v>42</v>
      </c>
      <c r="T16" s="35" t="s">
        <v>42</v>
      </c>
      <c r="U16" s="25"/>
      <c r="V16" s="35" t="s">
        <v>42</v>
      </c>
      <c r="W16" s="25"/>
      <c r="X16" s="35" t="s">
        <v>42</v>
      </c>
      <c r="Y16" s="35" t="s">
        <v>42</v>
      </c>
      <c r="Z16" s="2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row>
    <row r="17" spans="1:57" ht="36" customHeight="1" x14ac:dyDescent="0.2">
      <c r="A17" s="126" t="s">
        <v>1060</v>
      </c>
      <c r="B17" s="126" t="s">
        <v>1061</v>
      </c>
      <c r="C17" s="126">
        <v>2025</v>
      </c>
      <c r="D17" s="126" t="s">
        <v>1062</v>
      </c>
      <c r="E17" s="126" t="s">
        <v>1064</v>
      </c>
      <c r="F17" s="126" t="s">
        <v>1065</v>
      </c>
      <c r="G17" s="126" t="s">
        <v>691</v>
      </c>
      <c r="H17" s="126" t="s">
        <v>15</v>
      </c>
      <c r="I17" s="126" t="s">
        <v>253</v>
      </c>
      <c r="J17" s="127"/>
      <c r="K17" s="128" t="s">
        <v>1063</v>
      </c>
      <c r="L17" s="128"/>
      <c r="M17" s="128"/>
      <c r="N17" s="127" t="s">
        <v>16</v>
      </c>
      <c r="O17" s="127"/>
      <c r="P17" s="35" t="s">
        <v>42</v>
      </c>
      <c r="Q17" s="35" t="s">
        <v>42</v>
      </c>
      <c r="R17" s="35" t="s">
        <v>42</v>
      </c>
      <c r="S17" s="35" t="s">
        <v>42</v>
      </c>
      <c r="T17" s="35" t="s">
        <v>42</v>
      </c>
      <c r="U17" s="25"/>
      <c r="V17" s="35" t="s">
        <v>42</v>
      </c>
      <c r="W17" s="25"/>
      <c r="X17" s="35" t="s">
        <v>42</v>
      </c>
      <c r="Y17" s="35" t="s">
        <v>42</v>
      </c>
      <c r="Z17" s="25"/>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row>
    <row r="18" spans="1:57" ht="36" customHeight="1" x14ac:dyDescent="0.2">
      <c r="A18" s="126" t="s">
        <v>705</v>
      </c>
      <c r="B18" s="126" t="s">
        <v>706</v>
      </c>
      <c r="C18" s="126">
        <v>2026</v>
      </c>
      <c r="D18" s="126" t="s">
        <v>707</v>
      </c>
      <c r="E18" s="126" t="s">
        <v>709</v>
      </c>
      <c r="F18" s="126" t="s">
        <v>710</v>
      </c>
      <c r="G18" s="126" t="s">
        <v>252</v>
      </c>
      <c r="H18" s="126" t="s">
        <v>15</v>
      </c>
      <c r="I18" s="126" t="s">
        <v>253</v>
      </c>
      <c r="J18" s="127"/>
      <c r="K18" s="128" t="s">
        <v>708</v>
      </c>
      <c r="L18" s="128"/>
      <c r="M18" s="128"/>
      <c r="N18" s="127" t="s">
        <v>16</v>
      </c>
      <c r="O18" s="127"/>
      <c r="P18" s="35" t="s">
        <v>42</v>
      </c>
      <c r="Q18" s="35" t="s">
        <v>42</v>
      </c>
      <c r="R18" s="35" t="s">
        <v>42</v>
      </c>
      <c r="S18" s="35" t="s">
        <v>42</v>
      </c>
      <c r="T18" s="35" t="s">
        <v>42</v>
      </c>
      <c r="U18" s="25"/>
      <c r="V18" s="35" t="s">
        <v>42</v>
      </c>
      <c r="W18" s="25"/>
      <c r="X18" s="35" t="s">
        <v>42</v>
      </c>
      <c r="Y18" s="35" t="s">
        <v>42</v>
      </c>
      <c r="Z18" s="2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row>
    <row r="19" spans="1:57" ht="36" customHeight="1" x14ac:dyDescent="0.2">
      <c r="A19" s="126" t="s">
        <v>1079</v>
      </c>
      <c r="B19" s="126" t="s">
        <v>1080</v>
      </c>
      <c r="C19" s="126">
        <v>2023</v>
      </c>
      <c r="D19" s="126" t="s">
        <v>1081</v>
      </c>
      <c r="E19" s="126" t="s">
        <v>1083</v>
      </c>
      <c r="F19" s="126" t="s">
        <v>1084</v>
      </c>
      <c r="G19" s="126" t="s">
        <v>1086</v>
      </c>
      <c r="H19" s="126" t="s">
        <v>15</v>
      </c>
      <c r="I19" s="126" t="s">
        <v>253</v>
      </c>
      <c r="J19" s="127"/>
      <c r="K19" s="128" t="s">
        <v>1082</v>
      </c>
      <c r="L19" s="128"/>
      <c r="M19" s="128"/>
      <c r="N19" s="127" t="s">
        <v>16</v>
      </c>
      <c r="O19" s="127"/>
      <c r="P19" s="35" t="s">
        <v>42</v>
      </c>
      <c r="Q19" s="35" t="s">
        <v>42</v>
      </c>
      <c r="R19" s="35" t="s">
        <v>42</v>
      </c>
      <c r="S19" s="35" t="s">
        <v>42</v>
      </c>
      <c r="T19" s="35" t="s">
        <v>42</v>
      </c>
      <c r="U19" s="25"/>
      <c r="V19" s="35" t="s">
        <v>42</v>
      </c>
      <c r="W19" s="25"/>
      <c r="X19" s="35" t="s">
        <v>42</v>
      </c>
      <c r="Y19" s="35" t="s">
        <v>42</v>
      </c>
      <c r="Z19" s="2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row>
    <row r="20" spans="1:57" ht="36" customHeight="1" x14ac:dyDescent="0.2">
      <c r="A20" s="126" t="s">
        <v>1765</v>
      </c>
      <c r="B20" s="126" t="s">
        <v>1766</v>
      </c>
      <c r="C20" s="126">
        <v>2020</v>
      </c>
      <c r="D20" s="126" t="s">
        <v>1767</v>
      </c>
      <c r="E20" s="126" t="s">
        <v>1769</v>
      </c>
      <c r="F20" s="126">
        <v>0</v>
      </c>
      <c r="G20" s="126" t="s">
        <v>457</v>
      </c>
      <c r="H20" s="126" t="s">
        <v>15</v>
      </c>
      <c r="I20" s="126" t="s">
        <v>253</v>
      </c>
      <c r="J20" s="127"/>
      <c r="K20" s="128" t="s">
        <v>1768</v>
      </c>
      <c r="L20" s="128" t="s">
        <v>30</v>
      </c>
      <c r="M20" s="128"/>
      <c r="N20" s="128"/>
      <c r="O20" s="127" t="s">
        <v>16</v>
      </c>
      <c r="P20" s="35" t="s">
        <v>42</v>
      </c>
      <c r="Q20" s="35" t="s">
        <v>42</v>
      </c>
      <c r="R20" s="35" t="s">
        <v>42</v>
      </c>
      <c r="S20" s="35" t="s">
        <v>42</v>
      </c>
      <c r="T20" s="35" t="s">
        <v>42</v>
      </c>
      <c r="U20" s="25"/>
      <c r="V20" s="35" t="s">
        <v>42</v>
      </c>
      <c r="W20" s="25"/>
      <c r="X20" s="35" t="s">
        <v>42</v>
      </c>
      <c r="Y20" s="35" t="s">
        <v>42</v>
      </c>
      <c r="Z20" s="2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row>
    <row r="21" spans="1:57" ht="36" customHeight="1" x14ac:dyDescent="0.2">
      <c r="A21" s="126" t="s">
        <v>718</v>
      </c>
      <c r="B21" s="126" t="s">
        <v>719</v>
      </c>
      <c r="C21" s="126">
        <v>2025</v>
      </c>
      <c r="D21" s="126" t="s">
        <v>460</v>
      </c>
      <c r="E21" s="126" t="s">
        <v>721</v>
      </c>
      <c r="F21" s="126" t="s">
        <v>722</v>
      </c>
      <c r="G21" s="126" t="s">
        <v>465</v>
      </c>
      <c r="H21" s="126" t="s">
        <v>15</v>
      </c>
      <c r="I21" s="126" t="s">
        <v>253</v>
      </c>
      <c r="J21" s="127"/>
      <c r="K21" s="128" t="s">
        <v>720</v>
      </c>
      <c r="L21" s="128"/>
      <c r="M21" s="128"/>
      <c r="N21" s="127" t="s">
        <v>16</v>
      </c>
      <c r="O21" s="127"/>
      <c r="P21" s="35" t="s">
        <v>42</v>
      </c>
      <c r="Q21" s="35" t="s">
        <v>42</v>
      </c>
      <c r="R21" s="35" t="s">
        <v>42</v>
      </c>
      <c r="S21" s="35" t="s">
        <v>42</v>
      </c>
      <c r="T21" s="35" t="s">
        <v>42</v>
      </c>
      <c r="U21" s="25"/>
      <c r="V21" s="35" t="s">
        <v>42</v>
      </c>
      <c r="W21" s="25"/>
      <c r="X21" s="35" t="s">
        <v>42</v>
      </c>
      <c r="Y21" s="35" t="s">
        <v>42</v>
      </c>
      <c r="Z21" s="25"/>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row>
    <row r="22" spans="1:57" ht="36" customHeight="1" x14ac:dyDescent="0.2">
      <c r="A22" s="126" t="s">
        <v>343</v>
      </c>
      <c r="B22" s="126" t="s">
        <v>344</v>
      </c>
      <c r="C22" s="126">
        <v>2025</v>
      </c>
      <c r="D22" s="126" t="s">
        <v>345</v>
      </c>
      <c r="E22" s="126" t="s">
        <v>347</v>
      </c>
      <c r="F22" s="126" t="s">
        <v>348</v>
      </c>
      <c r="G22" s="126" t="s">
        <v>350</v>
      </c>
      <c r="H22" s="126" t="s">
        <v>15</v>
      </c>
      <c r="I22" s="126" t="s">
        <v>253</v>
      </c>
      <c r="J22" s="127"/>
      <c r="K22" s="128" t="s">
        <v>346</v>
      </c>
      <c r="L22" s="128"/>
      <c r="M22" s="128"/>
      <c r="N22" s="127" t="s">
        <v>16</v>
      </c>
      <c r="O22" s="127"/>
      <c r="P22" s="35" t="s">
        <v>42</v>
      </c>
      <c r="Q22" s="35" t="s">
        <v>42</v>
      </c>
      <c r="R22" s="35" t="s">
        <v>42</v>
      </c>
      <c r="S22" s="35" t="s">
        <v>42</v>
      </c>
      <c r="T22" s="35" t="s">
        <v>42</v>
      </c>
      <c r="U22" s="25"/>
      <c r="V22" s="35" t="s">
        <v>42</v>
      </c>
      <c r="W22" s="25"/>
      <c r="X22" s="35" t="s">
        <v>42</v>
      </c>
      <c r="Y22" s="35" t="s">
        <v>42</v>
      </c>
      <c r="Z22" s="25"/>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row>
    <row r="23" spans="1:57" ht="36" customHeight="1" x14ac:dyDescent="0.2">
      <c r="A23" s="126" t="s">
        <v>724</v>
      </c>
      <c r="B23" s="126" t="s">
        <v>725</v>
      </c>
      <c r="C23" s="126">
        <v>2022</v>
      </c>
      <c r="D23" s="126" t="s">
        <v>394</v>
      </c>
      <c r="E23" s="126" t="s">
        <v>727</v>
      </c>
      <c r="F23" s="126" t="s">
        <v>728</v>
      </c>
      <c r="G23" s="126" t="s">
        <v>274</v>
      </c>
      <c r="H23" s="126" t="s">
        <v>15</v>
      </c>
      <c r="I23" s="126" t="s">
        <v>253</v>
      </c>
      <c r="J23" s="127"/>
      <c r="K23" s="128" t="s">
        <v>726</v>
      </c>
      <c r="L23" s="128" t="s">
        <v>20</v>
      </c>
      <c r="M23" s="128"/>
      <c r="N23" s="127" t="s">
        <v>16</v>
      </c>
      <c r="O23" s="127" t="s">
        <v>16</v>
      </c>
      <c r="P23" s="35" t="s">
        <v>42</v>
      </c>
      <c r="Q23" s="35" t="s">
        <v>42</v>
      </c>
      <c r="R23" s="35" t="s">
        <v>42</v>
      </c>
      <c r="S23" s="35" t="s">
        <v>42</v>
      </c>
      <c r="T23" s="35" t="s">
        <v>42</v>
      </c>
      <c r="U23" s="25"/>
      <c r="V23" s="35" t="s">
        <v>42</v>
      </c>
      <c r="W23" s="25"/>
      <c r="X23" s="35" t="s">
        <v>42</v>
      </c>
      <c r="Y23" s="35" t="s">
        <v>42</v>
      </c>
      <c r="Z23" s="25"/>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row>
    <row r="24" spans="1:57" ht="36" customHeight="1" x14ac:dyDescent="0.2">
      <c r="A24" s="126" t="s">
        <v>1463</v>
      </c>
      <c r="B24" s="126" t="s">
        <v>1464</v>
      </c>
      <c r="C24" s="126">
        <v>2022</v>
      </c>
      <c r="D24" s="126" t="s">
        <v>297</v>
      </c>
      <c r="E24" s="126" t="s">
        <v>1466</v>
      </c>
      <c r="F24" s="126" t="s">
        <v>1467</v>
      </c>
      <c r="G24" s="126" t="s">
        <v>586</v>
      </c>
      <c r="H24" s="126" t="s">
        <v>15</v>
      </c>
      <c r="I24" s="126" t="s">
        <v>253</v>
      </c>
      <c r="J24" s="127"/>
      <c r="K24" s="128" t="s">
        <v>1465</v>
      </c>
      <c r="L24" s="128"/>
      <c r="M24" s="128"/>
      <c r="N24" s="127" t="s">
        <v>16</v>
      </c>
      <c r="O24" s="127"/>
      <c r="P24" s="35" t="s">
        <v>42</v>
      </c>
      <c r="Q24" s="35" t="s">
        <v>42</v>
      </c>
      <c r="R24" s="35" t="s">
        <v>42</v>
      </c>
      <c r="S24" s="35" t="s">
        <v>42</v>
      </c>
      <c r="T24" s="35" t="s">
        <v>42</v>
      </c>
      <c r="U24" s="25"/>
      <c r="V24" s="35" t="s">
        <v>42</v>
      </c>
      <c r="W24" s="25"/>
      <c r="X24" s="35" t="s">
        <v>42</v>
      </c>
      <c r="Y24" s="35" t="s">
        <v>42</v>
      </c>
      <c r="Z24" s="2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row>
    <row r="25" spans="1:57" ht="36" customHeight="1" x14ac:dyDescent="0.2">
      <c r="A25" s="126" t="s">
        <v>736</v>
      </c>
      <c r="B25" s="126" t="s">
        <v>737</v>
      </c>
      <c r="C25" s="126">
        <v>2023</v>
      </c>
      <c r="D25" s="126" t="s">
        <v>738</v>
      </c>
      <c r="E25" s="126" t="s">
        <v>740</v>
      </c>
      <c r="F25" s="126" t="s">
        <v>741</v>
      </c>
      <c r="G25" s="126" t="s">
        <v>743</v>
      </c>
      <c r="H25" s="126" t="s">
        <v>15</v>
      </c>
      <c r="I25" s="126" t="s">
        <v>253</v>
      </c>
      <c r="J25" s="127"/>
      <c r="K25" s="128" t="s">
        <v>739</v>
      </c>
      <c r="L25" s="128"/>
      <c r="M25" s="128"/>
      <c r="N25" s="127" t="s">
        <v>16</v>
      </c>
      <c r="O25" s="127"/>
      <c r="P25" s="35" t="s">
        <v>42</v>
      </c>
      <c r="Q25" s="35" t="s">
        <v>42</v>
      </c>
      <c r="R25" s="35" t="s">
        <v>42</v>
      </c>
      <c r="S25" s="35" t="s">
        <v>42</v>
      </c>
      <c r="T25" s="35" t="s">
        <v>42</v>
      </c>
      <c r="U25" s="25"/>
      <c r="V25" s="35" t="s">
        <v>42</v>
      </c>
      <c r="W25" s="25"/>
      <c r="X25" s="35" t="s">
        <v>42</v>
      </c>
      <c r="Y25" s="35" t="s">
        <v>42</v>
      </c>
      <c r="Z25" s="2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row>
    <row r="26" spans="1:57" ht="36" customHeight="1" x14ac:dyDescent="0.2">
      <c r="A26" s="126" t="s">
        <v>750</v>
      </c>
      <c r="B26" s="126" t="s">
        <v>751</v>
      </c>
      <c r="C26" s="126">
        <v>2024</v>
      </c>
      <c r="D26" s="126" t="s">
        <v>394</v>
      </c>
      <c r="E26" s="126" t="s">
        <v>753</v>
      </c>
      <c r="F26" s="126" t="s">
        <v>754</v>
      </c>
      <c r="G26" s="126" t="s">
        <v>274</v>
      </c>
      <c r="H26" s="126" t="s">
        <v>15</v>
      </c>
      <c r="I26" s="126" t="s">
        <v>253</v>
      </c>
      <c r="J26" s="127"/>
      <c r="K26" s="128" t="s">
        <v>752</v>
      </c>
      <c r="L26" s="128" t="s">
        <v>23</v>
      </c>
      <c r="M26" s="128"/>
      <c r="N26" s="128"/>
      <c r="O26" s="127" t="s">
        <v>16</v>
      </c>
      <c r="P26" s="35" t="s">
        <v>41</v>
      </c>
      <c r="Q26" s="35" t="s">
        <v>41</v>
      </c>
      <c r="R26" s="35" t="s">
        <v>42</v>
      </c>
      <c r="S26" s="35" t="s">
        <v>41</v>
      </c>
      <c r="T26" s="35" t="s">
        <v>41</v>
      </c>
      <c r="U26" s="27"/>
      <c r="V26" s="35" t="s">
        <v>42</v>
      </c>
      <c r="W26" s="27"/>
      <c r="X26" s="35" t="s">
        <v>42</v>
      </c>
      <c r="Y26" s="35" t="s">
        <v>42</v>
      </c>
      <c r="Z26" s="2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row>
    <row r="27" spans="1:57" ht="36" customHeight="1" x14ac:dyDescent="0.2">
      <c r="A27" s="126" t="s">
        <v>363</v>
      </c>
      <c r="B27" s="126" t="s">
        <v>364</v>
      </c>
      <c r="C27" s="126">
        <v>2025</v>
      </c>
      <c r="D27" s="126" t="s">
        <v>277</v>
      </c>
      <c r="E27" s="126" t="s">
        <v>366</v>
      </c>
      <c r="F27" s="126" t="s">
        <v>367</v>
      </c>
      <c r="G27" s="126" t="s">
        <v>282</v>
      </c>
      <c r="H27" s="126" t="s">
        <v>15</v>
      </c>
      <c r="I27" s="126" t="s">
        <v>253</v>
      </c>
      <c r="J27" s="127"/>
      <c r="K27" s="128" t="s">
        <v>365</v>
      </c>
      <c r="L27" s="128" t="s">
        <v>17</v>
      </c>
      <c r="M27" s="128"/>
      <c r="N27" s="128"/>
      <c r="O27" s="127" t="s">
        <v>16</v>
      </c>
      <c r="P27" s="35" t="s">
        <v>42</v>
      </c>
      <c r="Q27" s="35" t="s">
        <v>42</v>
      </c>
      <c r="R27" s="35" t="s">
        <v>42</v>
      </c>
      <c r="S27" s="35" t="s">
        <v>42</v>
      </c>
      <c r="T27" s="35" t="s">
        <v>42</v>
      </c>
      <c r="U27" s="27"/>
      <c r="V27" s="35" t="s">
        <v>42</v>
      </c>
      <c r="W27" s="27"/>
      <c r="X27" s="35" t="s">
        <v>42</v>
      </c>
      <c r="Y27" s="35" t="s">
        <v>42</v>
      </c>
      <c r="Z27" s="27"/>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row>
    <row r="28" spans="1:57" ht="36" customHeight="1" x14ac:dyDescent="0.2">
      <c r="A28" s="126" t="s">
        <v>1122</v>
      </c>
      <c r="B28" s="126" t="s">
        <v>1123</v>
      </c>
      <c r="C28" s="126">
        <v>2026</v>
      </c>
      <c r="D28" s="126" t="s">
        <v>1124</v>
      </c>
      <c r="E28" s="126" t="s">
        <v>1126</v>
      </c>
      <c r="F28" s="126" t="s">
        <v>1127</v>
      </c>
      <c r="G28" s="126" t="s">
        <v>260</v>
      </c>
      <c r="H28" s="126" t="s">
        <v>15</v>
      </c>
      <c r="I28" s="126" t="s">
        <v>253</v>
      </c>
      <c r="J28" s="127"/>
      <c r="K28" s="128" t="s">
        <v>1125</v>
      </c>
      <c r="L28" s="128"/>
      <c r="M28" s="128"/>
      <c r="N28" s="127" t="s">
        <v>16</v>
      </c>
      <c r="O28" s="127"/>
      <c r="P28" s="35" t="s">
        <v>41</v>
      </c>
      <c r="Q28" s="35" t="s">
        <v>41</v>
      </c>
      <c r="R28" s="35" t="s">
        <v>42</v>
      </c>
      <c r="S28" s="35" t="s">
        <v>41</v>
      </c>
      <c r="T28" s="35" t="s">
        <v>41</v>
      </c>
      <c r="U28" s="27"/>
      <c r="V28" s="35" t="s">
        <v>42</v>
      </c>
      <c r="W28" s="27"/>
      <c r="X28" s="35" t="s">
        <v>42</v>
      </c>
      <c r="Y28" s="35" t="s">
        <v>42</v>
      </c>
      <c r="Z28" s="2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row>
    <row r="29" spans="1:57" ht="36" customHeight="1" x14ac:dyDescent="0.2">
      <c r="A29" s="126" t="s">
        <v>369</v>
      </c>
      <c r="B29" s="126" t="s">
        <v>370</v>
      </c>
      <c r="C29" s="126">
        <v>2022</v>
      </c>
      <c r="D29" s="126" t="s">
        <v>371</v>
      </c>
      <c r="E29" s="126" t="s">
        <v>373</v>
      </c>
      <c r="F29" s="126" t="s">
        <v>374</v>
      </c>
      <c r="G29" s="126" t="s">
        <v>376</v>
      </c>
      <c r="H29" s="126" t="s">
        <v>15</v>
      </c>
      <c r="I29" s="126" t="s">
        <v>253</v>
      </c>
      <c r="J29" s="127"/>
      <c r="K29" s="128" t="s">
        <v>372</v>
      </c>
      <c r="L29" s="128" t="s">
        <v>23</v>
      </c>
      <c r="M29" s="128"/>
      <c r="N29" s="127" t="s">
        <v>16</v>
      </c>
      <c r="O29" s="127" t="s">
        <v>16</v>
      </c>
      <c r="P29" s="35" t="s">
        <v>42</v>
      </c>
      <c r="Q29" s="35" t="s">
        <v>42</v>
      </c>
      <c r="R29" s="35" t="s">
        <v>42</v>
      </c>
      <c r="S29" s="35" t="s">
        <v>42</v>
      </c>
      <c r="T29" s="35" t="s">
        <v>42</v>
      </c>
      <c r="U29" s="28"/>
      <c r="V29" s="35" t="s">
        <v>42</v>
      </c>
      <c r="W29" s="28"/>
      <c r="X29" s="35" t="s">
        <v>42</v>
      </c>
      <c r="Y29" s="35" t="s">
        <v>42</v>
      </c>
      <c r="Z29" s="28"/>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row>
    <row r="30" spans="1:57" ht="36" customHeight="1" x14ac:dyDescent="0.2">
      <c r="A30" s="126" t="s">
        <v>1771</v>
      </c>
      <c r="B30" s="126" t="s">
        <v>1772</v>
      </c>
      <c r="C30" s="126">
        <v>2021</v>
      </c>
      <c r="D30" s="126" t="s">
        <v>1773</v>
      </c>
      <c r="E30" s="126" t="s">
        <v>1775</v>
      </c>
      <c r="F30" s="126" t="s">
        <v>1776</v>
      </c>
      <c r="G30" s="126" t="s">
        <v>1778</v>
      </c>
      <c r="H30" s="126" t="s">
        <v>15</v>
      </c>
      <c r="I30" s="126" t="s">
        <v>253</v>
      </c>
      <c r="J30" s="127"/>
      <c r="K30" s="128" t="s">
        <v>1774</v>
      </c>
      <c r="L30" s="128"/>
      <c r="M30" s="128"/>
      <c r="N30" s="127" t="s">
        <v>16</v>
      </c>
      <c r="O30" s="127"/>
      <c r="P30" s="35" t="s">
        <v>42</v>
      </c>
      <c r="Q30" s="35" t="s">
        <v>42</v>
      </c>
      <c r="R30" s="35" t="s">
        <v>42</v>
      </c>
      <c r="S30" s="35" t="s">
        <v>42</v>
      </c>
      <c r="T30" s="35" t="s">
        <v>42</v>
      </c>
      <c r="U30" s="28"/>
      <c r="V30" s="35" t="s">
        <v>42</v>
      </c>
      <c r="W30" s="28"/>
      <c r="X30" s="35" t="s">
        <v>42</v>
      </c>
      <c r="Y30" s="35" t="s">
        <v>42</v>
      </c>
      <c r="Z30" s="29"/>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row>
    <row r="31" spans="1:57" ht="36" customHeight="1" x14ac:dyDescent="0.2">
      <c r="A31" s="126" t="s">
        <v>1140</v>
      </c>
      <c r="B31" s="126" t="s">
        <v>1141</v>
      </c>
      <c r="C31" s="126">
        <v>2022</v>
      </c>
      <c r="D31" s="126" t="s">
        <v>1142</v>
      </c>
      <c r="E31" s="126" t="s">
        <v>1144</v>
      </c>
      <c r="F31" s="126" t="s">
        <v>1145</v>
      </c>
      <c r="G31" s="126" t="s">
        <v>238</v>
      </c>
      <c r="H31" s="126" t="s">
        <v>15</v>
      </c>
      <c r="I31" s="126" t="s">
        <v>253</v>
      </c>
      <c r="J31" s="127"/>
      <c r="K31" s="128" t="s">
        <v>1143</v>
      </c>
      <c r="L31" s="128"/>
      <c r="M31" s="128"/>
      <c r="N31" s="127" t="s">
        <v>16</v>
      </c>
      <c r="O31" s="127"/>
      <c r="P31" s="35" t="s">
        <v>42</v>
      </c>
      <c r="Q31" s="35" t="s">
        <v>42</v>
      </c>
      <c r="R31" s="35" t="s">
        <v>42</v>
      </c>
      <c r="S31" s="35" t="s">
        <v>42</v>
      </c>
      <c r="T31" s="35" t="s">
        <v>42</v>
      </c>
      <c r="U31" s="28"/>
      <c r="V31" s="35" t="s">
        <v>42</v>
      </c>
      <c r="W31" s="28"/>
      <c r="X31" s="35" t="s">
        <v>42</v>
      </c>
      <c r="Y31" s="35" t="s">
        <v>42</v>
      </c>
      <c r="Z31" s="29"/>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row>
    <row r="32" spans="1:57" ht="36" customHeight="1" x14ac:dyDescent="0.2">
      <c r="A32" s="126" t="s">
        <v>796</v>
      </c>
      <c r="B32" s="126" t="s">
        <v>797</v>
      </c>
      <c r="C32" s="126">
        <v>2025</v>
      </c>
      <c r="D32" s="126" t="s">
        <v>798</v>
      </c>
      <c r="E32" s="126" t="s">
        <v>800</v>
      </c>
      <c r="F32" s="126" t="s">
        <v>801</v>
      </c>
      <c r="G32" s="126" t="s">
        <v>803</v>
      </c>
      <c r="H32" s="126" t="s">
        <v>15</v>
      </c>
      <c r="I32" s="126" t="s">
        <v>253</v>
      </c>
      <c r="J32" s="127"/>
      <c r="K32" s="128" t="s">
        <v>799</v>
      </c>
      <c r="L32" s="128"/>
      <c r="M32" s="128"/>
      <c r="N32" s="127" t="s">
        <v>16</v>
      </c>
      <c r="O32" s="127"/>
      <c r="P32" s="35" t="s">
        <v>42</v>
      </c>
      <c r="Q32" s="28" t="s">
        <v>42</v>
      </c>
      <c r="R32" s="35" t="s">
        <v>42</v>
      </c>
      <c r="S32" s="28" t="s">
        <v>41</v>
      </c>
      <c r="T32" s="28" t="s">
        <v>42</v>
      </c>
      <c r="U32" s="28"/>
      <c r="V32" s="35" t="s">
        <v>42</v>
      </c>
      <c r="W32" s="28"/>
      <c r="X32" s="28"/>
      <c r="Y32" s="35" t="s">
        <v>58</v>
      </c>
      <c r="Z32" s="28"/>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row>
    <row r="33" spans="1:57" ht="36" customHeight="1" x14ac:dyDescent="0.2">
      <c r="A33" s="126" t="s">
        <v>811</v>
      </c>
      <c r="B33" s="126" t="s">
        <v>812</v>
      </c>
      <c r="C33" s="126">
        <v>2024</v>
      </c>
      <c r="D33" s="126" t="s">
        <v>460</v>
      </c>
      <c r="E33" s="126" t="s">
        <v>814</v>
      </c>
      <c r="F33" s="126" t="s">
        <v>815</v>
      </c>
      <c r="G33" s="126" t="s">
        <v>465</v>
      </c>
      <c r="H33" s="126" t="s">
        <v>15</v>
      </c>
      <c r="I33" s="126" t="s">
        <v>253</v>
      </c>
      <c r="J33" s="127"/>
      <c r="K33" s="128" t="s">
        <v>813</v>
      </c>
      <c r="L33" s="128"/>
      <c r="M33" s="128"/>
      <c r="N33" s="127" t="s">
        <v>16</v>
      </c>
      <c r="O33" s="127"/>
      <c r="P33" s="35" t="s">
        <v>42</v>
      </c>
      <c r="Q33" s="31" t="s">
        <v>42</v>
      </c>
      <c r="R33" s="35" t="s">
        <v>42</v>
      </c>
      <c r="S33" s="31" t="s">
        <v>41</v>
      </c>
      <c r="T33" s="31" t="s">
        <v>41</v>
      </c>
      <c r="U33" s="30"/>
      <c r="V33" s="35" t="s">
        <v>42</v>
      </c>
      <c r="W33" s="30"/>
      <c r="X33" s="31"/>
      <c r="Y33" s="35" t="s">
        <v>58</v>
      </c>
      <c r="Z33" s="31"/>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row>
    <row r="34" spans="1:57" ht="36" customHeight="1" x14ac:dyDescent="0.2">
      <c r="A34" s="126" t="s">
        <v>1147</v>
      </c>
      <c r="B34" s="126" t="s">
        <v>1148</v>
      </c>
      <c r="C34" s="126">
        <v>2021</v>
      </c>
      <c r="D34" s="126" t="s">
        <v>1149</v>
      </c>
      <c r="E34" s="126" t="s">
        <v>1151</v>
      </c>
      <c r="F34" s="126" t="s">
        <v>1152</v>
      </c>
      <c r="G34" s="126" t="s">
        <v>274</v>
      </c>
      <c r="H34" s="126" t="s">
        <v>15</v>
      </c>
      <c r="I34" s="126" t="s">
        <v>253</v>
      </c>
      <c r="J34" s="127"/>
      <c r="K34" s="128" t="s">
        <v>1150</v>
      </c>
      <c r="L34" s="128" t="s">
        <v>20</v>
      </c>
      <c r="M34" s="128"/>
      <c r="N34" s="128" t="s">
        <v>16</v>
      </c>
      <c r="O34" s="127" t="s">
        <v>16</v>
      </c>
      <c r="P34" s="31" t="s">
        <v>42</v>
      </c>
      <c r="Q34" s="31" t="s">
        <v>42</v>
      </c>
      <c r="R34" s="35" t="s">
        <v>42</v>
      </c>
      <c r="S34" s="31" t="s">
        <v>41</v>
      </c>
      <c r="T34" s="31" t="s">
        <v>41</v>
      </c>
      <c r="U34" s="30"/>
      <c r="V34" s="35" t="s">
        <v>42</v>
      </c>
      <c r="W34" s="30"/>
      <c r="X34" s="31"/>
      <c r="Y34" s="35" t="s">
        <v>58</v>
      </c>
      <c r="Z34" s="31"/>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row>
    <row r="35" spans="1:57" ht="36" customHeight="1" x14ac:dyDescent="0.2">
      <c r="A35" s="126" t="s">
        <v>1779</v>
      </c>
      <c r="B35" s="126" t="s">
        <v>1780</v>
      </c>
      <c r="C35" s="126">
        <v>2020</v>
      </c>
      <c r="D35" s="126" t="s">
        <v>1781</v>
      </c>
      <c r="E35" s="126" t="s">
        <v>1782</v>
      </c>
      <c r="F35" s="126" t="s">
        <v>1783</v>
      </c>
      <c r="G35" s="126" t="s">
        <v>1784</v>
      </c>
      <c r="H35" s="126" t="s">
        <v>15</v>
      </c>
      <c r="I35" s="126" t="s">
        <v>253</v>
      </c>
      <c r="J35" s="127"/>
      <c r="K35" s="128">
        <v>0</v>
      </c>
      <c r="L35" s="128" t="s">
        <v>17</v>
      </c>
      <c r="M35" s="128"/>
      <c r="N35" s="127" t="s">
        <v>16</v>
      </c>
      <c r="O35" s="127" t="s">
        <v>16</v>
      </c>
      <c r="P35" s="30" t="s">
        <v>42</v>
      </c>
      <c r="Q35" s="30" t="s">
        <v>42</v>
      </c>
      <c r="R35" s="35" t="s">
        <v>42</v>
      </c>
      <c r="S35" s="30" t="s">
        <v>41</v>
      </c>
      <c r="T35" s="30" t="s">
        <v>41</v>
      </c>
      <c r="U35" s="30"/>
      <c r="V35" s="35" t="s">
        <v>42</v>
      </c>
      <c r="W35" s="30"/>
      <c r="X35" s="30"/>
      <c r="Y35" s="35" t="s">
        <v>58</v>
      </c>
      <c r="Z35" s="30"/>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row>
    <row r="36" spans="1:57" ht="36" customHeight="1" x14ac:dyDescent="0.2">
      <c r="A36" s="126" t="s">
        <v>383</v>
      </c>
      <c r="B36" s="126" t="s">
        <v>384</v>
      </c>
      <c r="C36" s="126">
        <v>2024</v>
      </c>
      <c r="D36" s="126" t="s">
        <v>385</v>
      </c>
      <c r="E36" s="126" t="s">
        <v>387</v>
      </c>
      <c r="F36" s="126" t="s">
        <v>388</v>
      </c>
      <c r="G36" s="126" t="s">
        <v>282</v>
      </c>
      <c r="H36" s="126" t="s">
        <v>15</v>
      </c>
      <c r="I36" s="126" t="s">
        <v>253</v>
      </c>
      <c r="J36" s="127"/>
      <c r="K36" s="128" t="s">
        <v>386</v>
      </c>
      <c r="L36" s="128"/>
      <c r="M36" s="128"/>
      <c r="N36" s="127" t="s">
        <v>16</v>
      </c>
      <c r="O36" s="127"/>
      <c r="P36" s="30" t="s">
        <v>42</v>
      </c>
      <c r="Q36" s="30" t="s">
        <v>42</v>
      </c>
      <c r="R36" s="30" t="s">
        <v>42</v>
      </c>
      <c r="S36" s="30" t="s">
        <v>41</v>
      </c>
      <c r="T36" s="30" t="s">
        <v>41</v>
      </c>
      <c r="U36" s="30"/>
      <c r="V36" s="35" t="s">
        <v>58</v>
      </c>
      <c r="W36" s="30"/>
      <c r="X36" s="30"/>
      <c r="Y36" s="35" t="s">
        <v>58</v>
      </c>
      <c r="Z36" s="30"/>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row>
    <row r="37" spans="1:57" ht="36" customHeight="1" x14ac:dyDescent="0.2">
      <c r="A37" s="126" t="s">
        <v>1499</v>
      </c>
      <c r="B37" s="126" t="s">
        <v>1500</v>
      </c>
      <c r="C37" s="126">
        <v>2025</v>
      </c>
      <c r="D37" s="126" t="s">
        <v>1501</v>
      </c>
      <c r="E37" s="126" t="s">
        <v>1823</v>
      </c>
      <c r="F37" s="126" t="s">
        <v>1503</v>
      </c>
      <c r="G37" s="126" t="s">
        <v>987</v>
      </c>
      <c r="H37" s="126" t="s">
        <v>15</v>
      </c>
      <c r="I37" s="126" t="s">
        <v>253</v>
      </c>
      <c r="J37" s="127"/>
      <c r="K37" s="128" t="s">
        <v>1502</v>
      </c>
      <c r="L37" s="128"/>
      <c r="M37" s="128"/>
      <c r="N37" s="127" t="s">
        <v>16</v>
      </c>
      <c r="O37" s="127"/>
      <c r="P37" s="30" t="s">
        <v>42</v>
      </c>
      <c r="Q37" s="30" t="s">
        <v>42</v>
      </c>
      <c r="R37" s="30" t="s">
        <v>42</v>
      </c>
      <c r="S37" s="30" t="s">
        <v>41</v>
      </c>
      <c r="T37" s="30" t="s">
        <v>41</v>
      </c>
      <c r="U37" s="30"/>
      <c r="V37" s="35" t="s">
        <v>58</v>
      </c>
      <c r="W37" s="30"/>
      <c r="X37" s="30"/>
      <c r="Y37" s="35" t="s">
        <v>58</v>
      </c>
      <c r="Z37" s="30"/>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row>
    <row r="38" spans="1:57" ht="36" customHeight="1" x14ac:dyDescent="0.2">
      <c r="A38" s="126" t="s">
        <v>392</v>
      </c>
      <c r="B38" s="126" t="s">
        <v>393</v>
      </c>
      <c r="C38" s="126">
        <v>2023</v>
      </c>
      <c r="D38" s="126" t="s">
        <v>394</v>
      </c>
      <c r="E38" s="126" t="s">
        <v>396</v>
      </c>
      <c r="F38" s="126" t="s">
        <v>397</v>
      </c>
      <c r="G38" s="126" t="s">
        <v>274</v>
      </c>
      <c r="H38" s="126" t="s">
        <v>15</v>
      </c>
      <c r="I38" s="126" t="s">
        <v>253</v>
      </c>
      <c r="J38" s="127"/>
      <c r="K38" s="128" t="s">
        <v>395</v>
      </c>
      <c r="L38" s="128"/>
      <c r="M38" s="128"/>
      <c r="N38" s="127" t="s">
        <v>16</v>
      </c>
      <c r="O38" s="127"/>
      <c r="P38" s="31" t="s">
        <v>42</v>
      </c>
      <c r="Q38" s="31" t="s">
        <v>42</v>
      </c>
      <c r="R38" s="31" t="s">
        <v>42</v>
      </c>
      <c r="S38" s="31" t="s">
        <v>41</v>
      </c>
      <c r="T38" s="31" t="s">
        <v>41</v>
      </c>
      <c r="U38" s="30"/>
      <c r="V38" s="35" t="s">
        <v>58</v>
      </c>
      <c r="W38" s="30"/>
      <c r="X38" s="31"/>
      <c r="Y38" s="35" t="s">
        <v>58</v>
      </c>
      <c r="Z38" s="32"/>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row>
    <row r="39" spans="1:57" ht="36" customHeight="1" x14ac:dyDescent="0.2">
      <c r="A39" s="126" t="s">
        <v>824</v>
      </c>
      <c r="B39" s="126" t="s">
        <v>825</v>
      </c>
      <c r="C39" s="126">
        <v>2025</v>
      </c>
      <c r="D39" s="126" t="s">
        <v>269</v>
      </c>
      <c r="E39" s="126" t="s">
        <v>827</v>
      </c>
      <c r="F39" s="126" t="s">
        <v>828</v>
      </c>
      <c r="G39" s="126" t="s">
        <v>274</v>
      </c>
      <c r="H39" s="126" t="s">
        <v>15</v>
      </c>
      <c r="I39" s="126" t="s">
        <v>253</v>
      </c>
      <c r="J39" s="127"/>
      <c r="K39" s="128" t="s">
        <v>826</v>
      </c>
      <c r="L39" s="128"/>
      <c r="M39" s="128"/>
      <c r="N39" s="127" t="s">
        <v>16</v>
      </c>
      <c r="O39" s="127"/>
      <c r="P39" s="31" t="s">
        <v>42</v>
      </c>
      <c r="Q39" s="31" t="s">
        <v>42</v>
      </c>
      <c r="R39" s="31" t="s">
        <v>42</v>
      </c>
      <c r="S39" s="31" t="s">
        <v>41</v>
      </c>
      <c r="T39" s="31" t="s">
        <v>41</v>
      </c>
      <c r="U39" s="30"/>
      <c r="V39" s="35" t="s">
        <v>58</v>
      </c>
      <c r="W39" s="30"/>
      <c r="X39" s="31"/>
      <c r="Y39" s="35" t="s">
        <v>58</v>
      </c>
      <c r="Z39" s="31"/>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row>
    <row r="40" spans="1:57" ht="36" customHeight="1" x14ac:dyDescent="0.2">
      <c r="A40" s="126" t="s">
        <v>399</v>
      </c>
      <c r="B40" s="126" t="s">
        <v>400</v>
      </c>
      <c r="C40" s="126">
        <v>2025</v>
      </c>
      <c r="D40" s="126" t="s">
        <v>331</v>
      </c>
      <c r="E40" s="126" t="s">
        <v>402</v>
      </c>
      <c r="F40" s="126" t="s">
        <v>403</v>
      </c>
      <c r="G40" s="126" t="s">
        <v>336</v>
      </c>
      <c r="H40" s="126" t="s">
        <v>15</v>
      </c>
      <c r="I40" s="126" t="s">
        <v>253</v>
      </c>
      <c r="J40" s="127"/>
      <c r="K40" s="128" t="s">
        <v>401</v>
      </c>
      <c r="L40" s="128"/>
      <c r="M40" s="128"/>
      <c r="N40" s="127" t="s">
        <v>16</v>
      </c>
      <c r="O40" s="127"/>
      <c r="P40" s="33" t="s">
        <v>42</v>
      </c>
      <c r="Q40" s="33" t="s">
        <v>42</v>
      </c>
      <c r="R40" s="33" t="s">
        <v>42</v>
      </c>
      <c r="S40" s="33" t="s">
        <v>42</v>
      </c>
      <c r="T40" s="33" t="s">
        <v>41</v>
      </c>
      <c r="U40" s="33"/>
      <c r="V40" s="35" t="s">
        <v>58</v>
      </c>
      <c r="W40" s="33"/>
      <c r="X40" s="33"/>
      <c r="Y40" s="35" t="s">
        <v>58</v>
      </c>
      <c r="Z40" s="33"/>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row>
    <row r="41" spans="1:57" ht="36" customHeight="1" x14ac:dyDescent="0.2">
      <c r="A41" s="126" t="s">
        <v>1516</v>
      </c>
      <c r="B41" s="126" t="s">
        <v>1517</v>
      </c>
      <c r="C41" s="126">
        <v>2023</v>
      </c>
      <c r="D41" s="126" t="s">
        <v>297</v>
      </c>
      <c r="E41" s="126" t="s">
        <v>1519</v>
      </c>
      <c r="F41" s="126" t="s">
        <v>1520</v>
      </c>
      <c r="G41" s="126" t="s">
        <v>282</v>
      </c>
      <c r="H41" s="126" t="s">
        <v>15</v>
      </c>
      <c r="I41" s="126" t="s">
        <v>253</v>
      </c>
      <c r="J41" s="127"/>
      <c r="K41" s="128" t="s">
        <v>1518</v>
      </c>
      <c r="L41" s="128" t="s">
        <v>35</v>
      </c>
      <c r="M41" s="128"/>
      <c r="N41" s="128"/>
      <c r="O41" s="127" t="s">
        <v>16</v>
      </c>
      <c r="P41" s="33" t="s">
        <v>42</v>
      </c>
      <c r="Q41" s="33" t="s">
        <v>42</v>
      </c>
      <c r="R41" s="33" t="s">
        <v>42</v>
      </c>
      <c r="S41" s="33" t="s">
        <v>42</v>
      </c>
      <c r="T41" s="33" t="s">
        <v>41</v>
      </c>
      <c r="U41" s="33"/>
      <c r="V41" s="35" t="s">
        <v>58</v>
      </c>
      <c r="W41" s="33"/>
      <c r="X41" s="33"/>
      <c r="Y41" s="35" t="s">
        <v>58</v>
      </c>
      <c r="Z41" s="33"/>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row>
    <row r="42" spans="1:57" ht="36" customHeight="1" x14ac:dyDescent="0.2">
      <c r="A42" s="126" t="s">
        <v>1785</v>
      </c>
      <c r="B42" s="126" t="s">
        <v>1824</v>
      </c>
      <c r="C42" s="126">
        <v>2021</v>
      </c>
      <c r="D42" s="126" t="s">
        <v>1786</v>
      </c>
      <c r="E42" s="126" t="s">
        <v>1788</v>
      </c>
      <c r="F42" s="126" t="s">
        <v>1789</v>
      </c>
      <c r="G42" s="126" t="s">
        <v>1791</v>
      </c>
      <c r="H42" s="126" t="s">
        <v>1792</v>
      </c>
      <c r="I42" s="126" t="s">
        <v>253</v>
      </c>
      <c r="J42" s="127"/>
      <c r="K42" s="128" t="s">
        <v>1787</v>
      </c>
      <c r="L42" s="128"/>
      <c r="M42" s="128"/>
      <c r="N42" s="127" t="s">
        <v>16</v>
      </c>
      <c r="O42" s="127"/>
      <c r="P42" s="33" t="s">
        <v>42</v>
      </c>
      <c r="Q42" s="33" t="s">
        <v>42</v>
      </c>
      <c r="R42" s="33" t="s">
        <v>42</v>
      </c>
      <c r="S42" s="33" t="s">
        <v>42</v>
      </c>
      <c r="T42" s="33" t="s">
        <v>41</v>
      </c>
      <c r="U42" s="33"/>
      <c r="V42" s="35" t="s">
        <v>58</v>
      </c>
      <c r="W42" s="33"/>
      <c r="X42" s="33"/>
      <c r="Y42" s="35" t="s">
        <v>58</v>
      </c>
      <c r="Z42" s="33"/>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row>
    <row r="43" spans="1:57" ht="36" customHeight="1" x14ac:dyDescent="0.2">
      <c r="A43" s="126" t="s">
        <v>1204</v>
      </c>
      <c r="B43" s="126" t="s">
        <v>1205</v>
      </c>
      <c r="C43" s="126">
        <v>2023</v>
      </c>
      <c r="D43" s="126" t="s">
        <v>1206</v>
      </c>
      <c r="E43" s="126" t="s">
        <v>1208</v>
      </c>
      <c r="F43" s="126" t="s">
        <v>1209</v>
      </c>
      <c r="G43" s="126" t="s">
        <v>1210</v>
      </c>
      <c r="H43" s="126" t="s">
        <v>1211</v>
      </c>
      <c r="I43" s="126" t="s">
        <v>253</v>
      </c>
      <c r="J43" s="127"/>
      <c r="K43" s="128" t="s">
        <v>1207</v>
      </c>
      <c r="L43" s="128"/>
      <c r="M43" s="128"/>
      <c r="N43" s="127" t="s">
        <v>16</v>
      </c>
      <c r="O43" s="127"/>
      <c r="P43" s="33" t="s">
        <v>42</v>
      </c>
      <c r="Q43" s="33" t="s">
        <v>42</v>
      </c>
      <c r="R43" s="33" t="s">
        <v>42</v>
      </c>
      <c r="S43" s="33" t="s">
        <v>42</v>
      </c>
      <c r="T43" s="33" t="s">
        <v>41</v>
      </c>
      <c r="U43" s="33"/>
      <c r="V43" s="35" t="s">
        <v>58</v>
      </c>
      <c r="W43" s="33"/>
      <c r="X43" s="33"/>
      <c r="Y43" s="35" t="s">
        <v>58</v>
      </c>
      <c r="Z43" s="33"/>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row>
    <row r="44" spans="1:57" ht="36" customHeight="1" x14ac:dyDescent="0.2">
      <c r="A44" s="126" t="s">
        <v>1212</v>
      </c>
      <c r="B44" s="126" t="s">
        <v>1213</v>
      </c>
      <c r="C44" s="126">
        <v>2025</v>
      </c>
      <c r="D44" s="126" t="s">
        <v>277</v>
      </c>
      <c r="E44" s="126" t="s">
        <v>1215</v>
      </c>
      <c r="F44" s="126" t="s">
        <v>1216</v>
      </c>
      <c r="G44" s="126" t="s">
        <v>282</v>
      </c>
      <c r="H44" s="126" t="s">
        <v>15</v>
      </c>
      <c r="I44" s="126" t="s">
        <v>253</v>
      </c>
      <c r="J44" s="35"/>
      <c r="K44" s="128" t="s">
        <v>1214</v>
      </c>
      <c r="L44" s="36"/>
      <c r="M44" s="36"/>
      <c r="N44" s="35" t="s">
        <v>16</v>
      </c>
      <c r="O44" s="35"/>
      <c r="P44" s="35" t="s">
        <v>42</v>
      </c>
      <c r="Q44" s="35" t="s">
        <v>42</v>
      </c>
      <c r="R44" s="35" t="s">
        <v>42</v>
      </c>
      <c r="S44" s="35" t="s">
        <v>42</v>
      </c>
      <c r="T44" s="35" t="s">
        <v>42</v>
      </c>
      <c r="U44" s="35"/>
      <c r="V44" s="35" t="s">
        <v>58</v>
      </c>
      <c r="W44" s="35"/>
      <c r="X44" s="35" t="s">
        <v>58</v>
      </c>
      <c r="Y44" s="35" t="s">
        <v>58</v>
      </c>
      <c r="Z44" s="35"/>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row>
    <row r="45" spans="1:57" ht="36" customHeight="1" x14ac:dyDescent="0.2">
      <c r="A45" s="126" t="s">
        <v>1218</v>
      </c>
      <c r="B45" s="126" t="s">
        <v>1219</v>
      </c>
      <c r="C45" s="126">
        <v>2023</v>
      </c>
      <c r="D45" s="126" t="s">
        <v>394</v>
      </c>
      <c r="E45" s="126" t="s">
        <v>1221</v>
      </c>
      <c r="F45" s="126" t="s">
        <v>1222</v>
      </c>
      <c r="G45" s="126" t="s">
        <v>274</v>
      </c>
      <c r="H45" s="126" t="s">
        <v>15</v>
      </c>
      <c r="I45" s="126" t="s">
        <v>253</v>
      </c>
      <c r="J45" s="35"/>
      <c r="K45" s="128" t="s">
        <v>1220</v>
      </c>
      <c r="L45" s="36" t="s">
        <v>20</v>
      </c>
      <c r="M45" s="36"/>
      <c r="N45" s="35" t="s">
        <v>16</v>
      </c>
      <c r="O45" s="35" t="s">
        <v>16</v>
      </c>
      <c r="P45" s="35" t="s">
        <v>42</v>
      </c>
      <c r="Q45" s="35" t="s">
        <v>42</v>
      </c>
      <c r="R45" s="35" t="s">
        <v>42</v>
      </c>
      <c r="S45" s="35" t="s">
        <v>42</v>
      </c>
      <c r="T45" s="35" t="s">
        <v>42</v>
      </c>
      <c r="U45" s="35"/>
      <c r="V45" s="35" t="s">
        <v>58</v>
      </c>
      <c r="W45" s="35"/>
      <c r="X45" s="35" t="s">
        <v>58</v>
      </c>
      <c r="Y45" s="35" t="s">
        <v>58</v>
      </c>
      <c r="Z45" s="35"/>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row>
    <row r="46" spans="1:57" ht="36" customHeight="1" x14ac:dyDescent="0.2">
      <c r="A46" s="126" t="s">
        <v>1224</v>
      </c>
      <c r="B46" s="126" t="s">
        <v>1225</v>
      </c>
      <c r="C46" s="126">
        <v>2023</v>
      </c>
      <c r="D46" s="126" t="s">
        <v>331</v>
      </c>
      <c r="E46" s="126" t="s">
        <v>1227</v>
      </c>
      <c r="F46" s="126" t="s">
        <v>1228</v>
      </c>
      <c r="G46" s="126" t="s">
        <v>336</v>
      </c>
      <c r="H46" s="126" t="s">
        <v>15</v>
      </c>
      <c r="I46" s="126" t="s">
        <v>253</v>
      </c>
      <c r="J46" s="35"/>
      <c r="K46" s="128" t="s">
        <v>1226</v>
      </c>
      <c r="L46" s="36"/>
      <c r="M46" s="36"/>
      <c r="N46" s="35" t="s">
        <v>16</v>
      </c>
      <c r="O46" s="35"/>
      <c r="P46" s="35" t="s">
        <v>42</v>
      </c>
      <c r="Q46" s="35" t="s">
        <v>42</v>
      </c>
      <c r="R46" s="35" t="s">
        <v>42</v>
      </c>
      <c r="S46" s="35" t="s">
        <v>42</v>
      </c>
      <c r="T46" s="35" t="s">
        <v>42</v>
      </c>
      <c r="U46" s="35"/>
      <c r="V46" s="35" t="s">
        <v>58</v>
      </c>
      <c r="W46" s="35"/>
      <c r="X46" s="35" t="s">
        <v>58</v>
      </c>
      <c r="Y46" s="35" t="s">
        <v>58</v>
      </c>
      <c r="Z46" s="35"/>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row>
    <row r="47" spans="1:57" ht="36" customHeight="1" x14ac:dyDescent="0.2">
      <c r="A47" s="126" t="s">
        <v>1235</v>
      </c>
      <c r="B47" s="126" t="s">
        <v>1236</v>
      </c>
      <c r="C47" s="126">
        <v>2025</v>
      </c>
      <c r="D47" s="126" t="s">
        <v>317</v>
      </c>
      <c r="E47" s="126" t="s">
        <v>1238</v>
      </c>
      <c r="F47" s="126" t="s">
        <v>1239</v>
      </c>
      <c r="G47" s="126" t="s">
        <v>322</v>
      </c>
      <c r="H47" s="126" t="s">
        <v>15</v>
      </c>
      <c r="I47" s="126" t="s">
        <v>253</v>
      </c>
      <c r="J47" s="35"/>
      <c r="K47" s="128" t="s">
        <v>1237</v>
      </c>
      <c r="L47" s="36" t="s">
        <v>20</v>
      </c>
      <c r="M47" s="36"/>
      <c r="N47" s="35" t="s">
        <v>16</v>
      </c>
      <c r="O47" s="35" t="s">
        <v>16</v>
      </c>
      <c r="P47" s="35" t="s">
        <v>42</v>
      </c>
      <c r="Q47" s="35" t="s">
        <v>42</v>
      </c>
      <c r="R47" s="35" t="s">
        <v>42</v>
      </c>
      <c r="S47" s="35" t="s">
        <v>42</v>
      </c>
      <c r="T47" s="35" t="s">
        <v>42</v>
      </c>
      <c r="U47" s="35"/>
      <c r="V47" s="35" t="s">
        <v>58</v>
      </c>
      <c r="W47" s="35"/>
      <c r="X47" s="35" t="s">
        <v>42</v>
      </c>
      <c r="Y47" s="35" t="s">
        <v>58</v>
      </c>
      <c r="Z47" s="35"/>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row>
    <row r="48" spans="1:57" ht="36" customHeight="1" x14ac:dyDescent="0.2">
      <c r="A48" s="126" t="s">
        <v>439</v>
      </c>
      <c r="B48" s="126" t="s">
        <v>440</v>
      </c>
      <c r="C48" s="126">
        <v>2023</v>
      </c>
      <c r="D48" s="126" t="s">
        <v>233</v>
      </c>
      <c r="E48" s="126" t="s">
        <v>442</v>
      </c>
      <c r="F48" s="126" t="s">
        <v>443</v>
      </c>
      <c r="G48" s="126" t="s">
        <v>238</v>
      </c>
      <c r="H48" s="126" t="s">
        <v>15</v>
      </c>
      <c r="I48" s="126" t="s">
        <v>253</v>
      </c>
      <c r="J48" s="35"/>
      <c r="K48" s="128" t="s">
        <v>441</v>
      </c>
      <c r="L48" s="36"/>
      <c r="M48" s="36"/>
      <c r="N48" s="35" t="s">
        <v>16</v>
      </c>
      <c r="O48" s="35" t="s">
        <v>16</v>
      </c>
      <c r="P48" s="35" t="s">
        <v>42</v>
      </c>
      <c r="Q48" s="35" t="s">
        <v>42</v>
      </c>
      <c r="R48" s="35" t="s">
        <v>42</v>
      </c>
      <c r="S48" s="35" t="s">
        <v>42</v>
      </c>
      <c r="T48" s="35" t="s">
        <v>42</v>
      </c>
      <c r="U48" s="35"/>
      <c r="V48" s="35" t="s">
        <v>58</v>
      </c>
      <c r="W48" s="35"/>
      <c r="X48" s="35" t="s">
        <v>42</v>
      </c>
      <c r="Y48" s="35" t="s">
        <v>58</v>
      </c>
      <c r="Z48" s="35"/>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row>
    <row r="49" spans="1:57" ht="36" customHeight="1" x14ac:dyDescent="0.2">
      <c r="A49" s="126" t="s">
        <v>451</v>
      </c>
      <c r="B49" s="126" t="s">
        <v>452</v>
      </c>
      <c r="C49" s="126">
        <v>2024</v>
      </c>
      <c r="D49" s="126" t="s">
        <v>453</v>
      </c>
      <c r="E49" s="126" t="s">
        <v>455</v>
      </c>
      <c r="F49" s="126">
        <v>0</v>
      </c>
      <c r="G49" s="126" t="s">
        <v>457</v>
      </c>
      <c r="H49" s="126" t="s">
        <v>15</v>
      </c>
      <c r="I49" s="126" t="s">
        <v>253</v>
      </c>
      <c r="J49" s="35"/>
      <c r="K49" s="128" t="s">
        <v>454</v>
      </c>
      <c r="L49" s="36" t="s">
        <v>37</v>
      </c>
      <c r="M49" s="36"/>
      <c r="N49" s="35" t="s">
        <v>16</v>
      </c>
      <c r="O49" s="35" t="s">
        <v>16</v>
      </c>
      <c r="P49" s="35" t="s">
        <v>42</v>
      </c>
      <c r="Q49" s="35" t="s">
        <v>42</v>
      </c>
      <c r="R49" s="35" t="s">
        <v>42</v>
      </c>
      <c r="S49" s="35" t="s">
        <v>42</v>
      </c>
      <c r="T49" s="35" t="s">
        <v>42</v>
      </c>
      <c r="U49" s="35"/>
      <c r="V49" s="35" t="s">
        <v>58</v>
      </c>
      <c r="W49" s="35"/>
      <c r="X49" s="35" t="s">
        <v>42</v>
      </c>
      <c r="Y49" s="35" t="s">
        <v>58</v>
      </c>
      <c r="Z49" s="35"/>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row>
    <row r="50" spans="1:57" ht="36" customHeight="1" x14ac:dyDescent="0.2">
      <c r="A50" s="126" t="s">
        <v>458</v>
      </c>
      <c r="B50" s="126" t="s">
        <v>459</v>
      </c>
      <c r="C50" s="126">
        <v>2024</v>
      </c>
      <c r="D50" s="126" t="s">
        <v>460</v>
      </c>
      <c r="E50" s="126" t="s">
        <v>462</v>
      </c>
      <c r="F50" s="126" t="s">
        <v>463</v>
      </c>
      <c r="G50" s="126" t="s">
        <v>465</v>
      </c>
      <c r="H50" s="126" t="s">
        <v>15</v>
      </c>
      <c r="I50" s="126" t="s">
        <v>253</v>
      </c>
      <c r="J50" s="35"/>
      <c r="K50" s="128" t="s">
        <v>461</v>
      </c>
      <c r="L50" s="36"/>
      <c r="M50" s="36"/>
      <c r="N50" s="35" t="s">
        <v>16</v>
      </c>
      <c r="O50" s="35"/>
      <c r="P50" s="35" t="s">
        <v>42</v>
      </c>
      <c r="Q50" s="35" t="s">
        <v>42</v>
      </c>
      <c r="R50" s="35" t="s">
        <v>42</v>
      </c>
      <c r="S50" s="35" t="s">
        <v>42</v>
      </c>
      <c r="T50" s="35" t="s">
        <v>42</v>
      </c>
      <c r="U50" s="35"/>
      <c r="V50" s="35" t="s">
        <v>58</v>
      </c>
      <c r="W50" s="35"/>
      <c r="X50" s="35" t="s">
        <v>42</v>
      </c>
      <c r="Y50" s="35" t="s">
        <v>58</v>
      </c>
      <c r="Z50" s="35"/>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row>
    <row r="51" spans="1:57" ht="36" customHeight="1" x14ac:dyDescent="0.2">
      <c r="A51" s="126" t="s">
        <v>849</v>
      </c>
      <c r="B51" s="126" t="s">
        <v>850</v>
      </c>
      <c r="C51" s="126">
        <v>2025</v>
      </c>
      <c r="D51" s="126" t="s">
        <v>371</v>
      </c>
      <c r="E51" s="126" t="s">
        <v>852</v>
      </c>
      <c r="F51" s="126" t="s">
        <v>853</v>
      </c>
      <c r="G51" s="126" t="s">
        <v>376</v>
      </c>
      <c r="H51" s="126" t="s">
        <v>15</v>
      </c>
      <c r="I51" s="126" t="s">
        <v>253</v>
      </c>
      <c r="J51" s="35"/>
      <c r="K51" s="128" t="s">
        <v>851</v>
      </c>
      <c r="L51" s="36"/>
      <c r="M51" s="36"/>
      <c r="N51" s="35" t="s">
        <v>16</v>
      </c>
      <c r="O51" s="35"/>
      <c r="P51" s="35" t="s">
        <v>42</v>
      </c>
      <c r="Q51" s="35" t="s">
        <v>42</v>
      </c>
      <c r="R51" s="35" t="s">
        <v>42</v>
      </c>
      <c r="S51" s="35" t="s">
        <v>42</v>
      </c>
      <c r="T51" s="35" t="s">
        <v>42</v>
      </c>
      <c r="U51" s="35"/>
      <c r="V51" s="35" t="s">
        <v>58</v>
      </c>
      <c r="W51" s="35"/>
      <c r="X51" s="35" t="s">
        <v>42</v>
      </c>
      <c r="Y51" s="35" t="s">
        <v>58</v>
      </c>
      <c r="Z51" s="35"/>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row>
    <row r="52" spans="1:57" ht="36" customHeight="1" x14ac:dyDescent="0.2">
      <c r="A52" s="126" t="s">
        <v>1569</v>
      </c>
      <c r="B52" s="126" t="s">
        <v>1570</v>
      </c>
      <c r="C52" s="126">
        <v>2024</v>
      </c>
      <c r="D52" s="126" t="s">
        <v>1322</v>
      </c>
      <c r="E52" s="126" t="s">
        <v>1572</v>
      </c>
      <c r="F52" s="126" t="s">
        <v>1573</v>
      </c>
      <c r="G52" s="126" t="s">
        <v>282</v>
      </c>
      <c r="H52" s="126" t="s">
        <v>15</v>
      </c>
      <c r="I52" s="126" t="s">
        <v>253</v>
      </c>
      <c r="J52" s="35"/>
      <c r="K52" s="128" t="s">
        <v>1571</v>
      </c>
      <c r="L52" s="36"/>
      <c r="M52" s="36"/>
      <c r="N52" s="35" t="s">
        <v>16</v>
      </c>
      <c r="O52" s="35"/>
      <c r="P52" s="35" t="s">
        <v>42</v>
      </c>
      <c r="Q52" s="35" t="s">
        <v>42</v>
      </c>
      <c r="R52" s="35" t="s">
        <v>42</v>
      </c>
      <c r="S52" s="35" t="s">
        <v>42</v>
      </c>
      <c r="T52" s="35" t="s">
        <v>42</v>
      </c>
      <c r="U52" s="35"/>
      <c r="V52" s="35" t="s">
        <v>58</v>
      </c>
      <c r="W52" s="35"/>
      <c r="X52" s="35" t="s">
        <v>42</v>
      </c>
      <c r="Y52" s="35" t="s">
        <v>58</v>
      </c>
      <c r="Z52" s="35"/>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row>
    <row r="53" spans="1:57" ht="36" customHeight="1" x14ac:dyDescent="0.2">
      <c r="A53" s="126" t="s">
        <v>1265</v>
      </c>
      <c r="B53" s="126" t="s">
        <v>1266</v>
      </c>
      <c r="C53" s="126">
        <v>2022</v>
      </c>
      <c r="D53" s="126" t="s">
        <v>1081</v>
      </c>
      <c r="E53" s="126" t="s">
        <v>1268</v>
      </c>
      <c r="F53" s="126" t="s">
        <v>1269</v>
      </c>
      <c r="G53" s="126" t="s">
        <v>1086</v>
      </c>
      <c r="H53" s="126" t="s">
        <v>15</v>
      </c>
      <c r="I53" s="126" t="s">
        <v>253</v>
      </c>
      <c r="J53" s="35"/>
      <c r="K53" s="128" t="s">
        <v>1267</v>
      </c>
      <c r="L53" s="36"/>
      <c r="M53" s="36"/>
      <c r="N53" s="35" t="s">
        <v>16</v>
      </c>
      <c r="O53" s="35"/>
      <c r="P53" s="35" t="s">
        <v>42</v>
      </c>
      <c r="Q53" s="35" t="s">
        <v>42</v>
      </c>
      <c r="R53" s="35" t="s">
        <v>42</v>
      </c>
      <c r="S53" s="35" t="s">
        <v>42</v>
      </c>
      <c r="T53" s="35" t="s">
        <v>42</v>
      </c>
      <c r="U53" s="35"/>
      <c r="V53" s="35" t="s">
        <v>58</v>
      </c>
      <c r="W53" s="35"/>
      <c r="X53" s="35" t="s">
        <v>42</v>
      </c>
      <c r="Y53" s="35" t="s">
        <v>58</v>
      </c>
      <c r="Z53" s="35"/>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row>
    <row r="54" spans="1:57" ht="36" customHeight="1" x14ac:dyDescent="0.2">
      <c r="A54" s="126" t="s">
        <v>493</v>
      </c>
      <c r="B54" s="126" t="s">
        <v>494</v>
      </c>
      <c r="C54" s="126">
        <v>2026</v>
      </c>
      <c r="D54" s="126" t="s">
        <v>394</v>
      </c>
      <c r="E54" s="126" t="s">
        <v>496</v>
      </c>
      <c r="F54" s="126" t="s">
        <v>497</v>
      </c>
      <c r="G54" s="126" t="s">
        <v>274</v>
      </c>
      <c r="H54" s="126" t="s">
        <v>15</v>
      </c>
      <c r="I54" s="126" t="s">
        <v>253</v>
      </c>
      <c r="J54" s="35"/>
      <c r="K54" s="128" t="s">
        <v>495</v>
      </c>
      <c r="L54" s="36" t="s">
        <v>22</v>
      </c>
      <c r="M54" s="36"/>
      <c r="N54" s="35" t="s">
        <v>16</v>
      </c>
      <c r="O54" s="35" t="s">
        <v>16</v>
      </c>
      <c r="P54" s="35" t="s">
        <v>42</v>
      </c>
      <c r="Q54" s="35" t="s">
        <v>42</v>
      </c>
      <c r="R54" s="35" t="s">
        <v>42</v>
      </c>
      <c r="S54" s="35" t="s">
        <v>42</v>
      </c>
      <c r="T54" s="35" t="s">
        <v>42</v>
      </c>
      <c r="U54" s="35"/>
      <c r="V54" s="35" t="s">
        <v>58</v>
      </c>
      <c r="W54" s="35"/>
      <c r="X54" s="35" t="s">
        <v>42</v>
      </c>
      <c r="Y54" s="35" t="s">
        <v>58</v>
      </c>
      <c r="Z54" s="35"/>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row>
    <row r="55" spans="1:57" ht="36" customHeight="1" x14ac:dyDescent="0.2">
      <c r="A55" s="126" t="s">
        <v>499</v>
      </c>
      <c r="B55" s="126" t="s">
        <v>500</v>
      </c>
      <c r="C55" s="126">
        <v>2024</v>
      </c>
      <c r="D55" s="126" t="s">
        <v>501</v>
      </c>
      <c r="E55" s="126" t="s">
        <v>503</v>
      </c>
      <c r="F55" s="126" t="s">
        <v>504</v>
      </c>
      <c r="G55" s="126" t="s">
        <v>506</v>
      </c>
      <c r="H55" s="126" t="s">
        <v>15</v>
      </c>
      <c r="I55" s="126" t="s">
        <v>253</v>
      </c>
      <c r="J55" s="35"/>
      <c r="K55" s="128" t="s">
        <v>502</v>
      </c>
      <c r="L55" s="36"/>
      <c r="M55" s="36"/>
      <c r="N55" s="35" t="s">
        <v>16</v>
      </c>
      <c r="O55" s="35"/>
      <c r="P55" s="35" t="s">
        <v>42</v>
      </c>
      <c r="Q55" s="35" t="s">
        <v>42</v>
      </c>
      <c r="R55" s="35" t="s">
        <v>42</v>
      </c>
      <c r="S55" s="35" t="s">
        <v>42</v>
      </c>
      <c r="T55" s="35" t="s">
        <v>42</v>
      </c>
      <c r="U55" s="35"/>
      <c r="V55" s="35" t="s">
        <v>58</v>
      </c>
      <c r="W55" s="35"/>
      <c r="X55" s="35" t="s">
        <v>41</v>
      </c>
      <c r="Y55" s="35" t="s">
        <v>58</v>
      </c>
      <c r="Z55" s="35"/>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row>
    <row r="56" spans="1:57" ht="36" customHeight="1" x14ac:dyDescent="0.2">
      <c r="A56" s="126" t="s">
        <v>514</v>
      </c>
      <c r="B56" s="126" t="s">
        <v>515</v>
      </c>
      <c r="C56" s="126">
        <v>2026</v>
      </c>
      <c r="D56" s="126" t="s">
        <v>516</v>
      </c>
      <c r="E56" s="126" t="s">
        <v>518</v>
      </c>
      <c r="F56" s="126" t="s">
        <v>519</v>
      </c>
      <c r="G56" s="126" t="s">
        <v>260</v>
      </c>
      <c r="H56" s="126" t="s">
        <v>15</v>
      </c>
      <c r="I56" s="126" t="s">
        <v>253</v>
      </c>
      <c r="J56" s="35"/>
      <c r="K56" s="128" t="s">
        <v>517</v>
      </c>
      <c r="L56" s="36" t="s">
        <v>19</v>
      </c>
      <c r="M56" s="36"/>
      <c r="N56" s="36"/>
      <c r="O56" s="35" t="s">
        <v>16</v>
      </c>
      <c r="P56" s="35" t="s">
        <v>42</v>
      </c>
      <c r="Q56" s="35" t="s">
        <v>42</v>
      </c>
      <c r="R56" s="35" t="s">
        <v>42</v>
      </c>
      <c r="S56" s="35" t="s">
        <v>42</v>
      </c>
      <c r="T56" s="35" t="s">
        <v>42</v>
      </c>
      <c r="U56" s="35"/>
      <c r="V56" s="35" t="s">
        <v>58</v>
      </c>
      <c r="W56" s="35"/>
      <c r="X56" s="35" t="s">
        <v>41</v>
      </c>
      <c r="Y56" s="35" t="s">
        <v>58</v>
      </c>
      <c r="Z56" s="35"/>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row>
    <row r="57" spans="1:57" ht="36" customHeight="1" x14ac:dyDescent="0.2">
      <c r="A57" s="126" t="s">
        <v>1593</v>
      </c>
      <c r="B57" s="126" t="s">
        <v>1594</v>
      </c>
      <c r="C57" s="126">
        <v>2024</v>
      </c>
      <c r="D57" s="126" t="s">
        <v>1595</v>
      </c>
      <c r="E57" s="126" t="s">
        <v>1597</v>
      </c>
      <c r="F57" s="126" t="s">
        <v>1598</v>
      </c>
      <c r="G57" s="126" t="s">
        <v>336</v>
      </c>
      <c r="H57" s="126" t="s">
        <v>15</v>
      </c>
      <c r="I57" s="126" t="s">
        <v>253</v>
      </c>
      <c r="J57" s="35"/>
      <c r="K57" s="128" t="s">
        <v>1596</v>
      </c>
      <c r="L57" s="36"/>
      <c r="M57" s="36"/>
      <c r="N57" s="35" t="s">
        <v>16</v>
      </c>
      <c r="O57" s="35"/>
      <c r="P57" s="35" t="s">
        <v>42</v>
      </c>
      <c r="Q57" s="35" t="s">
        <v>42</v>
      </c>
      <c r="R57" s="35" t="s">
        <v>42</v>
      </c>
      <c r="S57" s="35" t="s">
        <v>42</v>
      </c>
      <c r="T57" s="35" t="s">
        <v>42</v>
      </c>
      <c r="U57" s="35"/>
      <c r="V57" s="35" t="s">
        <v>58</v>
      </c>
      <c r="W57" s="35"/>
      <c r="X57" s="35" t="s">
        <v>42</v>
      </c>
      <c r="Y57" s="35" t="s">
        <v>58</v>
      </c>
      <c r="Z57" s="35"/>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row>
    <row r="58" spans="1:57" ht="36" customHeight="1" x14ac:dyDescent="0.2">
      <c r="A58" s="126" t="s">
        <v>1620</v>
      </c>
      <c r="B58" s="126" t="s">
        <v>1621</v>
      </c>
      <c r="C58" s="126">
        <v>2025</v>
      </c>
      <c r="D58" s="126" t="s">
        <v>1622</v>
      </c>
      <c r="E58" s="126" t="s">
        <v>1624</v>
      </c>
      <c r="F58" s="126" t="s">
        <v>1625</v>
      </c>
      <c r="G58" s="126" t="s">
        <v>1626</v>
      </c>
      <c r="H58" s="126" t="s">
        <v>15</v>
      </c>
      <c r="I58" s="126" t="s">
        <v>253</v>
      </c>
      <c r="J58" s="35"/>
      <c r="K58" s="128" t="s">
        <v>1623</v>
      </c>
      <c r="L58" s="36"/>
      <c r="M58" s="36"/>
      <c r="N58" s="35" t="s">
        <v>16</v>
      </c>
      <c r="O58" s="35"/>
      <c r="P58" s="35" t="s">
        <v>42</v>
      </c>
      <c r="Q58" s="35" t="s">
        <v>42</v>
      </c>
      <c r="R58" s="35" t="s">
        <v>42</v>
      </c>
      <c r="S58" s="35" t="s">
        <v>42</v>
      </c>
      <c r="T58" s="35" t="s">
        <v>42</v>
      </c>
      <c r="U58" s="35"/>
      <c r="V58" s="35" t="s">
        <v>58</v>
      </c>
      <c r="W58" s="35"/>
      <c r="X58" s="35" t="s">
        <v>42</v>
      </c>
      <c r="Y58" s="35" t="s">
        <v>58</v>
      </c>
      <c r="Z58" s="35"/>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row>
    <row r="59" spans="1:57" ht="36" customHeight="1" x14ac:dyDescent="0.2">
      <c r="A59" s="126" t="s">
        <v>1271</v>
      </c>
      <c r="B59" s="126" t="s">
        <v>1272</v>
      </c>
      <c r="C59" s="126">
        <v>2023</v>
      </c>
      <c r="D59" s="126" t="s">
        <v>927</v>
      </c>
      <c r="E59" s="126" t="s">
        <v>1274</v>
      </c>
      <c r="F59" s="126" t="s">
        <v>1275</v>
      </c>
      <c r="G59" s="126">
        <v>0</v>
      </c>
      <c r="H59" s="126" t="s">
        <v>15</v>
      </c>
      <c r="I59" s="126" t="s">
        <v>253</v>
      </c>
      <c r="J59" s="35"/>
      <c r="K59" s="128" t="s">
        <v>1273</v>
      </c>
      <c r="L59" s="36"/>
      <c r="M59" s="36"/>
      <c r="N59" s="35" t="s">
        <v>16</v>
      </c>
      <c r="O59" s="35"/>
      <c r="P59" s="35" t="s">
        <v>42</v>
      </c>
      <c r="Q59" s="35" t="s">
        <v>42</v>
      </c>
      <c r="R59" s="35" t="s">
        <v>42</v>
      </c>
      <c r="S59" s="35" t="s">
        <v>42</v>
      </c>
      <c r="T59" s="35" t="s">
        <v>42</v>
      </c>
      <c r="U59" s="35"/>
      <c r="V59" s="35" t="s">
        <v>58</v>
      </c>
      <c r="W59" s="35"/>
      <c r="X59" s="35" t="s">
        <v>41</v>
      </c>
      <c r="Y59" s="35" t="s">
        <v>58</v>
      </c>
      <c r="Z59" s="35"/>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row>
    <row r="60" spans="1:57" ht="36" customHeight="1" x14ac:dyDescent="0.2">
      <c r="A60" s="126" t="s">
        <v>1793</v>
      </c>
      <c r="B60" s="126" t="s">
        <v>1794</v>
      </c>
      <c r="C60" s="126">
        <v>2020</v>
      </c>
      <c r="D60" s="126" t="s">
        <v>1781</v>
      </c>
      <c r="E60" s="126" t="s">
        <v>1795</v>
      </c>
      <c r="F60" s="126" t="s">
        <v>1796</v>
      </c>
      <c r="G60" s="126" t="s">
        <v>1784</v>
      </c>
      <c r="H60" s="126" t="s">
        <v>15</v>
      </c>
      <c r="I60" s="126" t="s">
        <v>253</v>
      </c>
      <c r="J60" s="35"/>
      <c r="K60" s="128">
        <v>0</v>
      </c>
      <c r="L60" s="36" t="s">
        <v>29</v>
      </c>
      <c r="M60" s="36"/>
      <c r="N60" s="36"/>
      <c r="O60" s="35" t="s">
        <v>16</v>
      </c>
      <c r="P60" s="35" t="s">
        <v>42</v>
      </c>
      <c r="Q60" s="35" t="s">
        <v>42</v>
      </c>
      <c r="R60" s="35" t="s">
        <v>42</v>
      </c>
      <c r="S60" s="35" t="s">
        <v>42</v>
      </c>
      <c r="T60" s="35" t="s">
        <v>42</v>
      </c>
      <c r="U60" s="35"/>
      <c r="V60" s="35" t="s">
        <v>58</v>
      </c>
      <c r="W60" s="35"/>
      <c r="X60" s="35" t="s">
        <v>42</v>
      </c>
      <c r="Y60" s="35" t="s">
        <v>58</v>
      </c>
      <c r="Z60" s="35"/>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row>
    <row r="61" spans="1:57" ht="36" customHeight="1" x14ac:dyDescent="0.2">
      <c r="A61" s="126" t="s">
        <v>1294</v>
      </c>
      <c r="B61" s="126" t="s">
        <v>1295</v>
      </c>
      <c r="C61" s="126">
        <v>2025</v>
      </c>
      <c r="D61" s="126" t="s">
        <v>331</v>
      </c>
      <c r="E61" s="126" t="s">
        <v>1297</v>
      </c>
      <c r="F61" s="126" t="s">
        <v>1298</v>
      </c>
      <c r="G61" s="126" t="s">
        <v>336</v>
      </c>
      <c r="H61" s="126" t="s">
        <v>15</v>
      </c>
      <c r="I61" s="126" t="s">
        <v>253</v>
      </c>
      <c r="J61" s="35"/>
      <c r="K61" s="128" t="s">
        <v>1296</v>
      </c>
      <c r="L61" s="36"/>
      <c r="M61" s="36"/>
      <c r="N61" s="35" t="s">
        <v>16</v>
      </c>
      <c r="O61" s="35"/>
      <c r="P61" s="35" t="s">
        <v>42</v>
      </c>
      <c r="Q61" s="35" t="s">
        <v>42</v>
      </c>
      <c r="R61" s="35" t="s">
        <v>42</v>
      </c>
      <c r="S61" s="35" t="s">
        <v>42</v>
      </c>
      <c r="T61" s="35" t="s">
        <v>42</v>
      </c>
      <c r="U61" s="35"/>
      <c r="V61" s="35" t="s">
        <v>58</v>
      </c>
      <c r="W61" s="35"/>
      <c r="X61" s="35" t="s">
        <v>42</v>
      </c>
      <c r="Y61" s="35" t="s">
        <v>58</v>
      </c>
      <c r="Z61" s="35"/>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row>
    <row r="62" spans="1:57" ht="36" customHeight="1" x14ac:dyDescent="0.2">
      <c r="A62" s="126" t="s">
        <v>1300</v>
      </c>
      <c r="B62" s="126" t="s">
        <v>1301</v>
      </c>
      <c r="C62" s="126">
        <v>2026</v>
      </c>
      <c r="D62" s="126" t="s">
        <v>1302</v>
      </c>
      <c r="E62" s="126" t="s">
        <v>1304</v>
      </c>
      <c r="F62" s="126" t="s">
        <v>1305</v>
      </c>
      <c r="G62" s="126" t="s">
        <v>1307</v>
      </c>
      <c r="H62" s="126" t="s">
        <v>15</v>
      </c>
      <c r="I62" s="126" t="s">
        <v>253</v>
      </c>
      <c r="J62" s="35"/>
      <c r="K62" s="128" t="s">
        <v>1303</v>
      </c>
      <c r="L62" s="36" t="s">
        <v>20</v>
      </c>
      <c r="M62" s="36"/>
      <c r="N62" s="35" t="s">
        <v>16</v>
      </c>
      <c r="O62" s="35" t="s">
        <v>16</v>
      </c>
      <c r="P62" s="35" t="s">
        <v>42</v>
      </c>
      <c r="Q62" s="35" t="s">
        <v>42</v>
      </c>
      <c r="R62" s="35" t="s">
        <v>42</v>
      </c>
      <c r="S62" s="35" t="s">
        <v>42</v>
      </c>
      <c r="T62" s="35" t="s">
        <v>42</v>
      </c>
      <c r="U62" s="35"/>
      <c r="V62" s="35" t="s">
        <v>58</v>
      </c>
      <c r="W62" s="35"/>
      <c r="X62" s="35" t="s">
        <v>41</v>
      </c>
      <c r="Y62" s="35" t="s">
        <v>58</v>
      </c>
      <c r="Z62" s="35"/>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row>
    <row r="63" spans="1:57" ht="36" customHeight="1" x14ac:dyDescent="0.2">
      <c r="A63" s="126" t="s">
        <v>925</v>
      </c>
      <c r="B63" s="126" t="s">
        <v>926</v>
      </c>
      <c r="C63" s="126">
        <v>2023</v>
      </c>
      <c r="D63" s="126" t="s">
        <v>927</v>
      </c>
      <c r="E63" s="126" t="s">
        <v>929</v>
      </c>
      <c r="F63" s="126" t="s">
        <v>930</v>
      </c>
      <c r="G63" s="126">
        <v>0</v>
      </c>
      <c r="H63" s="126" t="s">
        <v>15</v>
      </c>
      <c r="I63" s="126" t="s">
        <v>253</v>
      </c>
      <c r="J63" s="35"/>
      <c r="K63" s="128" t="s">
        <v>928</v>
      </c>
      <c r="L63" s="36"/>
      <c r="M63" s="36"/>
      <c r="N63" s="35" t="s">
        <v>16</v>
      </c>
      <c r="O63" s="35"/>
      <c r="P63" s="35" t="s">
        <v>42</v>
      </c>
      <c r="Q63" s="35" t="s">
        <v>42</v>
      </c>
      <c r="R63" s="35" t="s">
        <v>42</v>
      </c>
      <c r="S63" s="35" t="s">
        <v>42</v>
      </c>
      <c r="T63" s="35" t="s">
        <v>42</v>
      </c>
      <c r="U63" s="35"/>
      <c r="V63" s="35" t="s">
        <v>58</v>
      </c>
      <c r="W63" s="35"/>
      <c r="X63" s="35" t="s">
        <v>42</v>
      </c>
      <c r="Y63" s="35" t="s">
        <v>58</v>
      </c>
      <c r="Z63" s="35"/>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row>
    <row r="64" spans="1:57" ht="36" customHeight="1" x14ac:dyDescent="0.2">
      <c r="A64" s="126" t="s">
        <v>937</v>
      </c>
      <c r="B64" s="126" t="s">
        <v>938</v>
      </c>
      <c r="C64" s="126">
        <v>2023</v>
      </c>
      <c r="D64" s="126" t="s">
        <v>939</v>
      </c>
      <c r="E64" s="126" t="s">
        <v>941</v>
      </c>
      <c r="F64" s="126">
        <v>0</v>
      </c>
      <c r="G64" s="126" t="s">
        <v>457</v>
      </c>
      <c r="H64" s="126" t="s">
        <v>15</v>
      </c>
      <c r="I64" s="126" t="s">
        <v>253</v>
      </c>
      <c r="J64" s="35"/>
      <c r="K64" s="128" t="s">
        <v>940</v>
      </c>
      <c r="L64" s="36"/>
      <c r="M64" s="36"/>
      <c r="N64" s="35" t="s">
        <v>16</v>
      </c>
      <c r="O64" s="35"/>
      <c r="P64" s="35" t="s">
        <v>42</v>
      </c>
      <c r="Q64" s="35" t="s">
        <v>42</v>
      </c>
      <c r="R64" s="35" t="s">
        <v>42</v>
      </c>
      <c r="S64" s="35" t="s">
        <v>42</v>
      </c>
      <c r="T64" s="35" t="s">
        <v>42</v>
      </c>
      <c r="U64" s="35"/>
      <c r="V64" s="35" t="s">
        <v>58</v>
      </c>
      <c r="W64" s="35"/>
      <c r="X64" s="35" t="s">
        <v>42</v>
      </c>
      <c r="Y64" s="35" t="s">
        <v>58</v>
      </c>
      <c r="Z64" s="35"/>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row>
    <row r="65" spans="1:57" ht="36" customHeight="1" x14ac:dyDescent="0.2">
      <c r="A65" s="126" t="s">
        <v>559</v>
      </c>
      <c r="B65" s="126" t="s">
        <v>560</v>
      </c>
      <c r="C65" s="126">
        <v>2026</v>
      </c>
      <c r="D65" s="126" t="s">
        <v>269</v>
      </c>
      <c r="E65" s="126" t="s">
        <v>562</v>
      </c>
      <c r="F65" s="126" t="s">
        <v>563</v>
      </c>
      <c r="G65" s="126" t="s">
        <v>274</v>
      </c>
      <c r="H65" s="126" t="s">
        <v>15</v>
      </c>
      <c r="I65" s="126" t="s">
        <v>253</v>
      </c>
      <c r="J65" s="35"/>
      <c r="K65" s="128" t="s">
        <v>561</v>
      </c>
      <c r="L65" s="36"/>
      <c r="M65" s="36"/>
      <c r="N65" s="35" t="s">
        <v>16</v>
      </c>
      <c r="O65" s="35"/>
      <c r="P65" s="35" t="s">
        <v>42</v>
      </c>
      <c r="Q65" s="35" t="s">
        <v>42</v>
      </c>
      <c r="R65" s="35" t="s">
        <v>42</v>
      </c>
      <c r="S65" s="35" t="s">
        <v>42</v>
      </c>
      <c r="T65" s="35" t="s">
        <v>42</v>
      </c>
      <c r="U65" s="35"/>
      <c r="V65" s="35" t="s">
        <v>58</v>
      </c>
      <c r="W65" s="35"/>
      <c r="X65" s="35" t="s">
        <v>42</v>
      </c>
      <c r="Y65" s="35" t="s">
        <v>58</v>
      </c>
      <c r="Z65" s="35"/>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row>
    <row r="66" spans="1:57" ht="36" customHeight="1" x14ac:dyDescent="0.2">
      <c r="A66" s="126" t="s">
        <v>1798</v>
      </c>
      <c r="B66" s="126" t="s">
        <v>1799</v>
      </c>
      <c r="C66" s="126">
        <v>2020</v>
      </c>
      <c r="D66" s="126" t="s">
        <v>1781</v>
      </c>
      <c r="E66" s="126" t="s">
        <v>1800</v>
      </c>
      <c r="F66" s="126" t="s">
        <v>1801</v>
      </c>
      <c r="G66" s="126" t="s">
        <v>1784</v>
      </c>
      <c r="H66" s="126" t="s">
        <v>15</v>
      </c>
      <c r="I66" s="126" t="s">
        <v>253</v>
      </c>
      <c r="J66" s="35"/>
      <c r="K66" s="128">
        <v>0</v>
      </c>
      <c r="L66" s="36"/>
      <c r="M66" s="36"/>
      <c r="N66" s="35" t="s">
        <v>16</v>
      </c>
      <c r="O66" s="35"/>
      <c r="P66" s="35" t="s">
        <v>42</v>
      </c>
      <c r="Q66" s="35" t="s">
        <v>42</v>
      </c>
      <c r="R66" s="35" t="s">
        <v>42</v>
      </c>
      <c r="S66" s="35" t="s">
        <v>42</v>
      </c>
      <c r="T66" s="35" t="s">
        <v>42</v>
      </c>
      <c r="U66" s="35"/>
      <c r="V66" s="35" t="s">
        <v>58</v>
      </c>
      <c r="W66" s="35"/>
      <c r="X66" s="35" t="s">
        <v>42</v>
      </c>
      <c r="Y66" s="35" t="s">
        <v>58</v>
      </c>
      <c r="Z66" s="35"/>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row>
    <row r="67" spans="1:57" ht="36" customHeight="1" x14ac:dyDescent="0.2">
      <c r="A67" s="126" t="s">
        <v>571</v>
      </c>
      <c r="B67" s="126" t="s">
        <v>572</v>
      </c>
      <c r="C67" s="126">
        <v>2025</v>
      </c>
      <c r="D67" s="126" t="s">
        <v>573</v>
      </c>
      <c r="E67" s="126" t="s">
        <v>575</v>
      </c>
      <c r="F67" s="126" t="s">
        <v>576</v>
      </c>
      <c r="G67" s="126" t="s">
        <v>578</v>
      </c>
      <c r="H67" s="126" t="s">
        <v>15</v>
      </c>
      <c r="I67" s="126" t="s">
        <v>253</v>
      </c>
      <c r="J67" s="35"/>
      <c r="K67" s="128" t="s">
        <v>574</v>
      </c>
      <c r="L67" s="36"/>
      <c r="M67" s="36"/>
      <c r="N67" s="35" t="s">
        <v>16</v>
      </c>
      <c r="O67" s="35"/>
      <c r="P67" s="35" t="s">
        <v>42</v>
      </c>
      <c r="Q67" s="35" t="s">
        <v>42</v>
      </c>
      <c r="R67" s="35" t="s">
        <v>42</v>
      </c>
      <c r="S67" s="35" t="s">
        <v>42</v>
      </c>
      <c r="T67" s="35" t="s">
        <v>42</v>
      </c>
      <c r="U67" s="35"/>
      <c r="V67" s="35" t="s">
        <v>58</v>
      </c>
      <c r="W67" s="35"/>
      <c r="X67" s="35" t="s">
        <v>41</v>
      </c>
      <c r="Y67" s="35" t="s">
        <v>58</v>
      </c>
      <c r="Z67" s="35"/>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row>
    <row r="68" spans="1:57" ht="36" customHeight="1" x14ac:dyDescent="0.2">
      <c r="A68" s="126" t="s">
        <v>1320</v>
      </c>
      <c r="B68" s="126" t="s">
        <v>1321</v>
      </c>
      <c r="C68" s="126">
        <v>2026</v>
      </c>
      <c r="D68" s="126" t="s">
        <v>1322</v>
      </c>
      <c r="E68" s="126" t="s">
        <v>1324</v>
      </c>
      <c r="F68" s="126" t="s">
        <v>1325</v>
      </c>
      <c r="G68" s="126" t="s">
        <v>282</v>
      </c>
      <c r="H68" s="126" t="s">
        <v>15</v>
      </c>
      <c r="I68" s="126" t="s">
        <v>253</v>
      </c>
      <c r="J68" s="35"/>
      <c r="K68" s="128" t="s">
        <v>1323</v>
      </c>
      <c r="L68" s="36"/>
      <c r="M68" s="36"/>
      <c r="N68" s="35" t="s">
        <v>16</v>
      </c>
      <c r="O68" s="35"/>
      <c r="P68" s="35" t="s">
        <v>42</v>
      </c>
      <c r="Q68" s="35" t="s">
        <v>42</v>
      </c>
      <c r="R68" s="35" t="s">
        <v>42</v>
      </c>
      <c r="S68" s="35" t="s">
        <v>42</v>
      </c>
      <c r="T68" s="35" t="s">
        <v>42</v>
      </c>
      <c r="U68" s="35"/>
      <c r="V68" s="35" t="s">
        <v>58</v>
      </c>
      <c r="W68" s="35"/>
      <c r="X68" s="35" t="s">
        <v>42</v>
      </c>
      <c r="Y68" s="35" t="s">
        <v>58</v>
      </c>
      <c r="Z68" s="35"/>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row>
    <row r="69" spans="1:57" ht="36" customHeight="1" x14ac:dyDescent="0.2">
      <c r="A69" s="126" t="s">
        <v>1715</v>
      </c>
      <c r="B69" s="126" t="s">
        <v>1716</v>
      </c>
      <c r="C69" s="126">
        <v>2025</v>
      </c>
      <c r="D69" s="126" t="s">
        <v>1717</v>
      </c>
      <c r="E69" s="126" t="s">
        <v>1719</v>
      </c>
      <c r="F69" s="126" t="s">
        <v>1720</v>
      </c>
      <c r="G69" s="126" t="s">
        <v>1722</v>
      </c>
      <c r="H69" s="126" t="s">
        <v>15</v>
      </c>
      <c r="I69" s="126" t="s">
        <v>253</v>
      </c>
      <c r="J69" s="35"/>
      <c r="K69" s="128" t="s">
        <v>1718</v>
      </c>
      <c r="L69" s="36" t="s">
        <v>22</v>
      </c>
      <c r="M69" s="36"/>
      <c r="N69" s="35" t="s">
        <v>16</v>
      </c>
      <c r="O69" s="35" t="s">
        <v>16</v>
      </c>
      <c r="P69" s="35" t="s">
        <v>42</v>
      </c>
      <c r="Q69" s="35" t="s">
        <v>42</v>
      </c>
      <c r="R69" s="35" t="s">
        <v>42</v>
      </c>
      <c r="S69" s="35" t="s">
        <v>42</v>
      </c>
      <c r="T69" s="35" t="s">
        <v>42</v>
      </c>
      <c r="U69" s="35"/>
      <c r="V69" s="35" t="s">
        <v>58</v>
      </c>
      <c r="W69" s="35"/>
      <c r="X69" s="35" t="s">
        <v>42</v>
      </c>
      <c r="Y69" s="35" t="s">
        <v>58</v>
      </c>
      <c r="Z69" s="35"/>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row>
    <row r="70" spans="1:57" ht="36" customHeight="1" x14ac:dyDescent="0.2">
      <c r="A70" s="126" t="s">
        <v>579</v>
      </c>
      <c r="B70" s="126" t="s">
        <v>580</v>
      </c>
      <c r="C70" s="126">
        <v>2023</v>
      </c>
      <c r="D70" s="126" t="s">
        <v>581</v>
      </c>
      <c r="E70" s="126" t="s">
        <v>583</v>
      </c>
      <c r="F70" s="126" t="s">
        <v>584</v>
      </c>
      <c r="G70" s="126" t="s">
        <v>586</v>
      </c>
      <c r="H70" s="126" t="s">
        <v>15</v>
      </c>
      <c r="I70" s="126" t="s">
        <v>253</v>
      </c>
      <c r="J70" s="35"/>
      <c r="K70" s="128" t="s">
        <v>582</v>
      </c>
      <c r="L70" s="36"/>
      <c r="M70" s="36"/>
      <c r="N70" s="35" t="s">
        <v>16</v>
      </c>
      <c r="O70" s="35" t="s">
        <v>16</v>
      </c>
      <c r="P70" s="35" t="s">
        <v>42</v>
      </c>
      <c r="Q70" s="35" t="s">
        <v>42</v>
      </c>
      <c r="R70" s="35" t="s">
        <v>42</v>
      </c>
      <c r="S70" s="35" t="s">
        <v>42</v>
      </c>
      <c r="T70" s="35" t="s">
        <v>42</v>
      </c>
      <c r="U70" s="35"/>
      <c r="V70" s="35" t="s">
        <v>58</v>
      </c>
      <c r="W70" s="35"/>
      <c r="X70" s="35" t="s">
        <v>41</v>
      </c>
      <c r="Y70" s="35" t="s">
        <v>58</v>
      </c>
      <c r="Z70" s="35"/>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row>
    <row r="71" spans="1:57" ht="36" customHeight="1" x14ac:dyDescent="0.2">
      <c r="A71" s="126" t="s">
        <v>1327</v>
      </c>
      <c r="B71" s="126" t="s">
        <v>1328</v>
      </c>
      <c r="C71" s="126">
        <v>2022</v>
      </c>
      <c r="D71" s="126" t="s">
        <v>331</v>
      </c>
      <c r="E71" s="126" t="s">
        <v>1330</v>
      </c>
      <c r="F71" s="126" t="s">
        <v>1331</v>
      </c>
      <c r="G71" s="126" t="s">
        <v>1333</v>
      </c>
      <c r="H71" s="126" t="s">
        <v>15</v>
      </c>
      <c r="I71" s="126" t="s">
        <v>253</v>
      </c>
      <c r="J71" s="35"/>
      <c r="K71" s="128" t="s">
        <v>1329</v>
      </c>
      <c r="L71" s="36"/>
      <c r="M71" s="36"/>
      <c r="N71" s="35" t="s">
        <v>16</v>
      </c>
      <c r="O71" s="35"/>
      <c r="P71" s="35" t="s">
        <v>42</v>
      </c>
      <c r="Q71" s="35" t="s">
        <v>42</v>
      </c>
      <c r="R71" s="35" t="s">
        <v>42</v>
      </c>
      <c r="S71" s="35" t="s">
        <v>42</v>
      </c>
      <c r="T71" s="35" t="s">
        <v>42</v>
      </c>
      <c r="U71" s="35"/>
      <c r="V71" s="35" t="s">
        <v>58</v>
      </c>
      <c r="W71" s="35"/>
      <c r="X71" s="35" t="s">
        <v>42</v>
      </c>
      <c r="Y71" s="35" t="s">
        <v>58</v>
      </c>
      <c r="Z71" s="35"/>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row>
    <row r="72" spans="1:57" ht="36" customHeight="1" x14ac:dyDescent="0.2">
      <c r="A72" s="126" t="s">
        <v>587</v>
      </c>
      <c r="B72" s="126" t="s">
        <v>588</v>
      </c>
      <c r="C72" s="126">
        <v>2026</v>
      </c>
      <c r="D72" s="126" t="s">
        <v>331</v>
      </c>
      <c r="E72" s="126" t="s">
        <v>590</v>
      </c>
      <c r="F72" s="126" t="s">
        <v>591</v>
      </c>
      <c r="G72" s="126" t="s">
        <v>336</v>
      </c>
      <c r="H72" s="126" t="s">
        <v>15</v>
      </c>
      <c r="I72" s="126" t="s">
        <v>253</v>
      </c>
      <c r="J72" s="35"/>
      <c r="K72" s="128" t="s">
        <v>589</v>
      </c>
      <c r="L72" s="36"/>
      <c r="M72" s="36"/>
      <c r="N72" s="35" t="s">
        <v>16</v>
      </c>
      <c r="O72" s="35"/>
      <c r="P72" s="35" t="s">
        <v>42</v>
      </c>
      <c r="Q72" s="35" t="s">
        <v>42</v>
      </c>
      <c r="R72" s="35" t="s">
        <v>42</v>
      </c>
      <c r="S72" s="35" t="s">
        <v>42</v>
      </c>
      <c r="T72" s="35" t="s">
        <v>42</v>
      </c>
      <c r="U72" s="35"/>
      <c r="V72" s="35" t="s">
        <v>58</v>
      </c>
      <c r="W72" s="35"/>
      <c r="X72" s="35" t="s">
        <v>41</v>
      </c>
      <c r="Y72" s="35" t="s">
        <v>58</v>
      </c>
      <c r="Z72" s="35"/>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row>
    <row r="73" spans="1:57" ht="36" customHeight="1" x14ac:dyDescent="0.2">
      <c r="A73" s="126" t="s">
        <v>593</v>
      </c>
      <c r="B73" s="126" t="s">
        <v>594</v>
      </c>
      <c r="C73" s="126">
        <v>2022</v>
      </c>
      <c r="D73" s="126" t="s">
        <v>277</v>
      </c>
      <c r="E73" s="126" t="s">
        <v>596</v>
      </c>
      <c r="F73" s="126" t="s">
        <v>597</v>
      </c>
      <c r="G73" s="126" t="s">
        <v>586</v>
      </c>
      <c r="H73" s="126" t="s">
        <v>15</v>
      </c>
      <c r="I73" s="126" t="s">
        <v>253</v>
      </c>
      <c r="J73" s="35"/>
      <c r="K73" s="128" t="s">
        <v>595</v>
      </c>
      <c r="L73" s="36" t="s">
        <v>27</v>
      </c>
      <c r="M73" s="36"/>
      <c r="N73" s="35" t="s">
        <v>16</v>
      </c>
      <c r="O73" s="35" t="s">
        <v>16</v>
      </c>
      <c r="P73" s="35" t="s">
        <v>42</v>
      </c>
      <c r="Q73" s="35" t="s">
        <v>42</v>
      </c>
      <c r="R73" s="35" t="s">
        <v>42</v>
      </c>
      <c r="S73" s="35" t="s">
        <v>42</v>
      </c>
      <c r="T73" s="35" t="s">
        <v>42</v>
      </c>
      <c r="U73" s="35"/>
      <c r="V73" s="35" t="s">
        <v>58</v>
      </c>
      <c r="W73" s="35"/>
      <c r="X73" s="35" t="s">
        <v>42</v>
      </c>
      <c r="Y73" s="35" t="s">
        <v>58</v>
      </c>
      <c r="Z73" s="35"/>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row>
    <row r="74" spans="1:57" ht="36" customHeight="1" x14ac:dyDescent="0.2">
      <c r="A74" s="126" t="s">
        <v>1803</v>
      </c>
      <c r="B74" s="126" t="s">
        <v>1804</v>
      </c>
      <c r="C74" s="126">
        <v>2020</v>
      </c>
      <c r="D74" s="126" t="s">
        <v>317</v>
      </c>
      <c r="E74" s="126" t="s">
        <v>1806</v>
      </c>
      <c r="F74" s="126" t="s">
        <v>1807</v>
      </c>
      <c r="G74" s="126" t="s">
        <v>322</v>
      </c>
      <c r="H74" s="126" t="s">
        <v>15</v>
      </c>
      <c r="I74" s="126" t="s">
        <v>253</v>
      </c>
      <c r="J74" s="35"/>
      <c r="K74" s="128" t="s">
        <v>1805</v>
      </c>
      <c r="L74" s="36" t="s">
        <v>23</v>
      </c>
      <c r="M74" s="36"/>
      <c r="N74" s="35" t="s">
        <v>16</v>
      </c>
      <c r="O74" s="35" t="s">
        <v>16</v>
      </c>
      <c r="P74" s="35" t="s">
        <v>42</v>
      </c>
      <c r="Q74" s="35" t="s">
        <v>42</v>
      </c>
      <c r="R74" s="35" t="s">
        <v>42</v>
      </c>
      <c r="S74" s="35" t="s">
        <v>42</v>
      </c>
      <c r="T74" s="35" t="s">
        <v>42</v>
      </c>
      <c r="U74" s="35"/>
      <c r="V74" s="35" t="s">
        <v>58</v>
      </c>
      <c r="W74" s="35"/>
      <c r="X74" s="35" t="s">
        <v>42</v>
      </c>
      <c r="Y74" s="35" t="s">
        <v>58</v>
      </c>
      <c r="Z74" s="37"/>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row>
    <row r="75" spans="1:57" ht="36" customHeight="1" x14ac:dyDescent="0.2">
      <c r="A75" s="126" t="s">
        <v>1809</v>
      </c>
      <c r="B75" s="126" t="s">
        <v>1810</v>
      </c>
      <c r="C75" s="126">
        <v>2020</v>
      </c>
      <c r="D75" s="126" t="s">
        <v>371</v>
      </c>
      <c r="E75" s="126" t="s">
        <v>1812</v>
      </c>
      <c r="F75" s="126" t="s">
        <v>1813</v>
      </c>
      <c r="G75" s="126" t="s">
        <v>376</v>
      </c>
      <c r="H75" s="126" t="s">
        <v>15</v>
      </c>
      <c r="I75" s="126" t="s">
        <v>253</v>
      </c>
      <c r="J75" s="35"/>
      <c r="K75" s="128" t="s">
        <v>1811</v>
      </c>
      <c r="L75" s="36"/>
      <c r="M75" s="36"/>
      <c r="N75" s="35" t="s">
        <v>16</v>
      </c>
      <c r="O75" s="35"/>
      <c r="P75" s="35" t="s">
        <v>42</v>
      </c>
      <c r="Q75" s="35" t="s">
        <v>42</v>
      </c>
      <c r="R75" s="35" t="s">
        <v>42</v>
      </c>
      <c r="S75" s="35" t="s">
        <v>42</v>
      </c>
      <c r="T75" s="35" t="s">
        <v>42</v>
      </c>
      <c r="U75" s="35"/>
      <c r="V75" s="35" t="s">
        <v>58</v>
      </c>
      <c r="W75" s="35"/>
      <c r="X75" s="35" t="s">
        <v>41</v>
      </c>
      <c r="Y75" s="35" t="s">
        <v>58</v>
      </c>
      <c r="Z75" s="35"/>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row>
    <row r="76" spans="1:57" ht="36" customHeight="1" x14ac:dyDescent="0.2">
      <c r="A76" s="126" t="s">
        <v>1729</v>
      </c>
      <c r="B76" s="126" t="s">
        <v>1730</v>
      </c>
      <c r="C76" s="126">
        <v>2024</v>
      </c>
      <c r="D76" s="126" t="s">
        <v>256</v>
      </c>
      <c r="E76" s="126" t="s">
        <v>1732</v>
      </c>
      <c r="F76" s="126" t="s">
        <v>1733</v>
      </c>
      <c r="G76" s="126" t="s">
        <v>260</v>
      </c>
      <c r="H76" s="126" t="s">
        <v>15</v>
      </c>
      <c r="I76" s="126" t="s">
        <v>253</v>
      </c>
      <c r="J76" s="35"/>
      <c r="K76" s="128" t="s">
        <v>1731</v>
      </c>
      <c r="L76" s="129"/>
      <c r="M76" s="129"/>
      <c r="N76" s="35" t="s">
        <v>16</v>
      </c>
      <c r="O76" s="35" t="s">
        <v>47</v>
      </c>
      <c r="P76" s="35" t="s">
        <v>42</v>
      </c>
      <c r="Q76" s="35" t="s">
        <v>42</v>
      </c>
      <c r="R76" s="35" t="s">
        <v>42</v>
      </c>
      <c r="S76" s="35" t="s">
        <v>42</v>
      </c>
      <c r="T76" s="35" t="s">
        <v>42</v>
      </c>
      <c r="U76" s="35"/>
      <c r="V76" s="35" t="s">
        <v>58</v>
      </c>
      <c r="W76" s="35"/>
      <c r="X76" s="35" t="s">
        <v>42</v>
      </c>
      <c r="Y76" s="35" t="s">
        <v>58</v>
      </c>
      <c r="Z76" s="35"/>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row>
    <row r="77" spans="1:57" ht="36" customHeight="1" x14ac:dyDescent="0.2">
      <c r="A77" s="126" t="s">
        <v>975</v>
      </c>
      <c r="B77" s="126" t="s">
        <v>976</v>
      </c>
      <c r="C77" s="126">
        <v>2022</v>
      </c>
      <c r="D77" s="126" t="s">
        <v>977</v>
      </c>
      <c r="E77" s="126" t="s">
        <v>979</v>
      </c>
      <c r="F77" s="126" t="s">
        <v>980</v>
      </c>
      <c r="G77" s="126" t="s">
        <v>473</v>
      </c>
      <c r="H77" s="126" t="s">
        <v>15</v>
      </c>
      <c r="I77" s="126" t="s">
        <v>253</v>
      </c>
      <c r="J77" s="35"/>
      <c r="K77" s="128" t="s">
        <v>978</v>
      </c>
      <c r="L77" s="36" t="s">
        <v>27</v>
      </c>
      <c r="M77" s="36"/>
      <c r="N77" s="35" t="s">
        <v>16</v>
      </c>
      <c r="O77" s="35" t="s">
        <v>16</v>
      </c>
      <c r="P77" s="35" t="s">
        <v>42</v>
      </c>
      <c r="Q77" s="35" t="s">
        <v>42</v>
      </c>
      <c r="R77" s="35" t="s">
        <v>42</v>
      </c>
      <c r="S77" s="35" t="s">
        <v>42</v>
      </c>
      <c r="T77" s="35" t="s">
        <v>42</v>
      </c>
      <c r="U77" s="35"/>
      <c r="V77" s="35" t="s">
        <v>58</v>
      </c>
      <c r="W77" s="35"/>
      <c r="X77" s="35" t="s">
        <v>41</v>
      </c>
      <c r="Y77" s="35" t="s">
        <v>58</v>
      </c>
      <c r="Z77" s="35"/>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row>
    <row r="78" spans="1:57" ht="36" customHeight="1" x14ac:dyDescent="0.2">
      <c r="A78" s="126" t="s">
        <v>611</v>
      </c>
      <c r="B78" s="126" t="s">
        <v>612</v>
      </c>
      <c r="C78" s="126">
        <v>2023</v>
      </c>
      <c r="D78" s="126" t="s">
        <v>317</v>
      </c>
      <c r="E78" s="126" t="s">
        <v>614</v>
      </c>
      <c r="F78" s="126" t="s">
        <v>615</v>
      </c>
      <c r="G78" s="126" t="s">
        <v>322</v>
      </c>
      <c r="H78" s="126" t="s">
        <v>15</v>
      </c>
      <c r="I78" s="126" t="s">
        <v>253</v>
      </c>
      <c r="J78" s="35"/>
      <c r="K78" s="128" t="s">
        <v>613</v>
      </c>
      <c r="L78" s="36"/>
      <c r="M78" s="36"/>
      <c r="N78" s="35" t="s">
        <v>16</v>
      </c>
      <c r="O78" s="35"/>
      <c r="P78" s="35" t="s">
        <v>42</v>
      </c>
      <c r="Q78" s="35" t="s">
        <v>42</v>
      </c>
      <c r="R78" s="35" t="s">
        <v>42</v>
      </c>
      <c r="S78" s="35" t="s">
        <v>42</v>
      </c>
      <c r="T78" s="35" t="s">
        <v>42</v>
      </c>
      <c r="U78" s="35"/>
      <c r="V78" s="35" t="s">
        <v>58</v>
      </c>
      <c r="W78" s="35"/>
      <c r="X78" s="35" t="s">
        <v>42</v>
      </c>
      <c r="Y78" s="35" t="s">
        <v>58</v>
      </c>
      <c r="Z78" s="35"/>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row>
    <row r="79" spans="1:57" ht="36" customHeight="1" x14ac:dyDescent="0.2">
      <c r="A79" s="126" t="s">
        <v>1815</v>
      </c>
      <c r="B79" s="126" t="s">
        <v>1816</v>
      </c>
      <c r="C79" s="126">
        <v>2020</v>
      </c>
      <c r="D79" s="126" t="s">
        <v>394</v>
      </c>
      <c r="E79" s="126" t="s">
        <v>1818</v>
      </c>
      <c r="F79" s="126" t="s">
        <v>1819</v>
      </c>
      <c r="G79" s="126" t="s">
        <v>274</v>
      </c>
      <c r="H79" s="126" t="s">
        <v>15</v>
      </c>
      <c r="I79" s="126" t="s">
        <v>253</v>
      </c>
      <c r="J79" s="35"/>
      <c r="K79" s="128" t="s">
        <v>1817</v>
      </c>
      <c r="L79" s="36"/>
      <c r="M79" s="36"/>
      <c r="N79" s="35" t="s">
        <v>16</v>
      </c>
      <c r="O79" s="35"/>
      <c r="P79" s="35" t="s">
        <v>42</v>
      </c>
      <c r="Q79" s="35" t="s">
        <v>42</v>
      </c>
      <c r="R79" s="35" t="s">
        <v>42</v>
      </c>
      <c r="S79" s="35" t="s">
        <v>42</v>
      </c>
      <c r="T79" s="35" t="s">
        <v>42</v>
      </c>
      <c r="U79" s="35"/>
      <c r="V79" s="35" t="s">
        <v>58</v>
      </c>
      <c r="W79" s="35"/>
      <c r="X79" s="35" t="s">
        <v>41</v>
      </c>
      <c r="Y79" s="35" t="s">
        <v>58</v>
      </c>
      <c r="Z79" s="35"/>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row>
    <row r="80" spans="1:57" ht="36" customHeight="1" x14ac:dyDescent="0.2">
      <c r="A80" s="126" t="s">
        <v>1747</v>
      </c>
      <c r="B80" s="126" t="s">
        <v>1748</v>
      </c>
      <c r="C80" s="126">
        <v>2025</v>
      </c>
      <c r="D80" s="126" t="s">
        <v>460</v>
      </c>
      <c r="E80" s="126" t="s">
        <v>1750</v>
      </c>
      <c r="F80" s="126" t="s">
        <v>1751</v>
      </c>
      <c r="G80" s="126" t="s">
        <v>465</v>
      </c>
      <c r="H80" s="126" t="s">
        <v>15</v>
      </c>
      <c r="I80" s="126" t="s">
        <v>253</v>
      </c>
      <c r="J80" s="35"/>
      <c r="K80" s="128" t="s">
        <v>1749</v>
      </c>
      <c r="L80" s="36" t="s">
        <v>20</v>
      </c>
      <c r="M80" s="36"/>
      <c r="N80" s="35" t="s">
        <v>16</v>
      </c>
      <c r="O80" s="35" t="s">
        <v>16</v>
      </c>
      <c r="P80" s="35" t="s">
        <v>42</v>
      </c>
      <c r="Q80" s="35" t="s">
        <v>42</v>
      </c>
      <c r="R80" s="35" t="s">
        <v>42</v>
      </c>
      <c r="S80" s="35" t="s">
        <v>42</v>
      </c>
      <c r="T80" s="35" t="s">
        <v>42</v>
      </c>
      <c r="U80" s="35"/>
      <c r="V80" s="35" t="s">
        <v>58</v>
      </c>
      <c r="W80" s="35"/>
      <c r="X80" s="35" t="s">
        <v>42</v>
      </c>
      <c r="Y80" s="35" t="s">
        <v>58</v>
      </c>
      <c r="Z80" s="35"/>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row>
    <row r="81" spans="1:57" ht="36" customHeight="1" x14ac:dyDescent="0.2">
      <c r="A81" s="126" t="s">
        <v>1366</v>
      </c>
      <c r="B81" s="126" t="s">
        <v>1367</v>
      </c>
      <c r="C81" s="126">
        <v>2025</v>
      </c>
      <c r="D81" s="126" t="s">
        <v>394</v>
      </c>
      <c r="E81" s="126" t="s">
        <v>1369</v>
      </c>
      <c r="F81" s="126" t="s">
        <v>1370</v>
      </c>
      <c r="G81" s="126" t="s">
        <v>274</v>
      </c>
      <c r="H81" s="126" t="s">
        <v>15</v>
      </c>
      <c r="I81" s="126" t="s">
        <v>253</v>
      </c>
      <c r="J81" s="35"/>
      <c r="K81" s="128" t="s">
        <v>1368</v>
      </c>
      <c r="L81" s="36"/>
      <c r="M81" s="36"/>
      <c r="N81" s="35" t="s">
        <v>16</v>
      </c>
      <c r="O81" s="35" t="s">
        <v>16</v>
      </c>
      <c r="P81" s="35" t="s">
        <v>42</v>
      </c>
      <c r="Q81" s="35" t="s">
        <v>42</v>
      </c>
      <c r="R81" s="35" t="s">
        <v>42</v>
      </c>
      <c r="S81" s="35" t="s">
        <v>42</v>
      </c>
      <c r="T81" s="35" t="s">
        <v>42</v>
      </c>
      <c r="U81" s="35"/>
      <c r="V81" s="35" t="s">
        <v>58</v>
      </c>
      <c r="W81" s="35"/>
      <c r="X81" s="35" t="s">
        <v>41</v>
      </c>
      <c r="Y81" s="35" t="s">
        <v>58</v>
      </c>
      <c r="Z81" s="35"/>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row>
    <row r="82" spans="1:57" ht="36" customHeight="1" x14ac:dyDescent="0.2">
      <c r="A82" s="126" t="s">
        <v>221</v>
      </c>
      <c r="B82" s="126" t="s">
        <v>222</v>
      </c>
      <c r="C82" s="126">
        <v>2025</v>
      </c>
      <c r="D82" s="126" t="s">
        <v>223</v>
      </c>
      <c r="E82" s="126" t="s">
        <v>225</v>
      </c>
      <c r="F82" s="126" t="s">
        <v>226</v>
      </c>
      <c r="G82" s="126" t="s">
        <v>228</v>
      </c>
      <c r="H82" s="126" t="s">
        <v>15</v>
      </c>
      <c r="I82" s="126" t="s">
        <v>230</v>
      </c>
      <c r="J82" s="35"/>
      <c r="K82" s="128" t="s">
        <v>224</v>
      </c>
      <c r="L82" s="36"/>
      <c r="M82" s="36"/>
      <c r="N82" s="35" t="s">
        <v>16</v>
      </c>
      <c r="O82" s="35"/>
      <c r="P82" s="35" t="s">
        <v>42</v>
      </c>
      <c r="Q82" s="35" t="s">
        <v>42</v>
      </c>
      <c r="R82" s="35" t="s">
        <v>42</v>
      </c>
      <c r="S82" s="35" t="s">
        <v>42</v>
      </c>
      <c r="T82" s="35" t="s">
        <v>42</v>
      </c>
      <c r="U82" s="35"/>
      <c r="V82" s="35" t="s">
        <v>58</v>
      </c>
      <c r="W82" s="35"/>
      <c r="X82" s="35" t="s">
        <v>42</v>
      </c>
      <c r="Y82" s="35" t="s">
        <v>58</v>
      </c>
      <c r="Z82" s="35"/>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row>
    <row r="83" spans="1:57" ht="36" customHeight="1" x14ac:dyDescent="0.2">
      <c r="A83" s="126" t="s">
        <v>231</v>
      </c>
      <c r="B83" s="126" t="s">
        <v>232</v>
      </c>
      <c r="C83" s="126">
        <v>2024</v>
      </c>
      <c r="D83" s="126" t="s">
        <v>233</v>
      </c>
      <c r="E83" s="126" t="s">
        <v>235</v>
      </c>
      <c r="F83" s="126" t="s">
        <v>236</v>
      </c>
      <c r="G83" s="126" t="s">
        <v>238</v>
      </c>
      <c r="H83" s="126" t="s">
        <v>15</v>
      </c>
      <c r="I83" s="126" t="s">
        <v>230</v>
      </c>
      <c r="J83" s="35"/>
      <c r="K83" s="128" t="s">
        <v>234</v>
      </c>
      <c r="L83" s="36"/>
      <c r="M83" s="36"/>
      <c r="N83" s="35" t="s">
        <v>16</v>
      </c>
      <c r="O83" s="35"/>
      <c r="P83" s="35" t="s">
        <v>42</v>
      </c>
      <c r="Q83" s="35" t="s">
        <v>42</v>
      </c>
      <c r="R83" s="35" t="s">
        <v>42</v>
      </c>
      <c r="S83" s="35" t="s">
        <v>42</v>
      </c>
      <c r="T83" s="35" t="s">
        <v>42</v>
      </c>
      <c r="U83" s="35"/>
      <c r="V83" s="35" t="s">
        <v>58</v>
      </c>
      <c r="W83" s="35"/>
      <c r="X83" s="35" t="s">
        <v>42</v>
      </c>
      <c r="Y83" s="35" t="s">
        <v>58</v>
      </c>
      <c r="Z83" s="35"/>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row>
    <row r="84" spans="1:57" ht="36" customHeight="1" x14ac:dyDescent="0.2">
      <c r="A84" s="126" t="s">
        <v>239</v>
      </c>
      <c r="B84" s="126" t="s">
        <v>240</v>
      </c>
      <c r="C84" s="126">
        <v>2024</v>
      </c>
      <c r="D84" s="126" t="s">
        <v>233</v>
      </c>
      <c r="E84" s="126" t="s">
        <v>242</v>
      </c>
      <c r="F84" s="126" t="s">
        <v>243</v>
      </c>
      <c r="G84" s="126" t="s">
        <v>238</v>
      </c>
      <c r="H84" s="126" t="s">
        <v>15</v>
      </c>
      <c r="I84" s="126" t="s">
        <v>230</v>
      </c>
      <c r="J84" s="35"/>
      <c r="K84" s="128" t="s">
        <v>241</v>
      </c>
      <c r="L84" s="36" t="s">
        <v>20</v>
      </c>
      <c r="M84" s="36"/>
      <c r="N84" s="36"/>
      <c r="O84" s="35" t="s">
        <v>16</v>
      </c>
      <c r="P84" s="38" t="s">
        <v>42</v>
      </c>
      <c r="Q84" s="38" t="s">
        <v>42</v>
      </c>
      <c r="R84" s="38" t="s">
        <v>42</v>
      </c>
      <c r="S84" s="38" t="s">
        <v>42</v>
      </c>
      <c r="T84" s="38" t="s">
        <v>42</v>
      </c>
      <c r="U84" s="35"/>
      <c r="V84" s="35" t="s">
        <v>58</v>
      </c>
      <c r="W84" s="35"/>
      <c r="X84" s="35" t="s">
        <v>42</v>
      </c>
      <c r="Y84" s="35" t="s">
        <v>58</v>
      </c>
      <c r="Z84" s="38"/>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row>
    <row r="85" spans="1:57" ht="36" customHeight="1" x14ac:dyDescent="0.2">
      <c r="A85" s="126" t="s">
        <v>245</v>
      </c>
      <c r="B85" s="126" t="s">
        <v>246</v>
      </c>
      <c r="C85" s="126">
        <v>2025</v>
      </c>
      <c r="D85" s="126" t="s">
        <v>247</v>
      </c>
      <c r="E85" s="126" t="s">
        <v>249</v>
      </c>
      <c r="F85" s="126" t="s">
        <v>250</v>
      </c>
      <c r="G85" s="126" t="s">
        <v>252</v>
      </c>
      <c r="H85" s="126" t="s">
        <v>15</v>
      </c>
      <c r="I85" s="126" t="s">
        <v>253</v>
      </c>
      <c r="J85" s="35"/>
      <c r="K85" s="128" t="s">
        <v>248</v>
      </c>
      <c r="L85" s="36"/>
      <c r="M85" s="36"/>
      <c r="N85" s="35" t="s">
        <v>16</v>
      </c>
      <c r="O85" s="35"/>
      <c r="P85" s="38" t="s">
        <v>42</v>
      </c>
      <c r="Q85" s="38" t="s">
        <v>42</v>
      </c>
      <c r="R85" s="38" t="s">
        <v>42</v>
      </c>
      <c r="S85" s="38" t="s">
        <v>42</v>
      </c>
      <c r="T85" s="38" t="s">
        <v>42</v>
      </c>
      <c r="U85" s="35"/>
      <c r="V85" s="35" t="s">
        <v>58</v>
      </c>
      <c r="W85" s="35"/>
      <c r="X85" s="35" t="s">
        <v>42</v>
      </c>
      <c r="Y85" s="35" t="s">
        <v>58</v>
      </c>
      <c r="Z85" s="38"/>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row>
    <row r="86" spans="1:57" ht="36" customHeight="1" x14ac:dyDescent="0.2">
      <c r="A86" s="126" t="s">
        <v>254</v>
      </c>
      <c r="B86" s="126" t="s">
        <v>255</v>
      </c>
      <c r="C86" s="126">
        <v>2024</v>
      </c>
      <c r="D86" s="126" t="s">
        <v>256</v>
      </c>
      <c r="E86" s="126" t="s">
        <v>258</v>
      </c>
      <c r="F86" s="126">
        <v>0</v>
      </c>
      <c r="G86" s="126" t="s">
        <v>260</v>
      </c>
      <c r="H86" s="126" t="s">
        <v>15</v>
      </c>
      <c r="I86" s="126" t="s">
        <v>253</v>
      </c>
      <c r="J86" s="35"/>
      <c r="K86" s="128" t="s">
        <v>257</v>
      </c>
      <c r="L86" s="36"/>
      <c r="M86" s="36"/>
      <c r="N86" s="35" t="s">
        <v>16</v>
      </c>
      <c r="O86" s="35"/>
      <c r="P86" s="38" t="s">
        <v>42</v>
      </c>
      <c r="Q86" s="38" t="s">
        <v>42</v>
      </c>
      <c r="R86" s="38" t="s">
        <v>42</v>
      </c>
      <c r="S86" s="38" t="s">
        <v>42</v>
      </c>
      <c r="T86" s="38" t="s">
        <v>42</v>
      </c>
      <c r="U86" s="35"/>
      <c r="V86" s="35" t="s">
        <v>58</v>
      </c>
      <c r="W86" s="35"/>
      <c r="X86" s="35" t="s">
        <v>42</v>
      </c>
      <c r="Y86" s="35" t="s">
        <v>58</v>
      </c>
      <c r="Z86" s="38"/>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row>
    <row r="87" spans="1:57" ht="36" customHeight="1" x14ac:dyDescent="0.2">
      <c r="A87" s="126" t="s">
        <v>261</v>
      </c>
      <c r="B87" s="126" t="s">
        <v>262</v>
      </c>
      <c r="C87" s="126">
        <v>2024</v>
      </c>
      <c r="D87" s="126" t="s">
        <v>233</v>
      </c>
      <c r="E87" s="126" t="s">
        <v>264</v>
      </c>
      <c r="F87" s="126" t="s">
        <v>265</v>
      </c>
      <c r="G87" s="126" t="s">
        <v>238</v>
      </c>
      <c r="H87" s="126" t="s">
        <v>15</v>
      </c>
      <c r="I87" s="126" t="s">
        <v>230</v>
      </c>
      <c r="J87" s="35"/>
      <c r="K87" s="128" t="s">
        <v>263</v>
      </c>
      <c r="L87" s="36"/>
      <c r="M87" s="36"/>
      <c r="N87" s="35" t="s">
        <v>16</v>
      </c>
      <c r="O87" s="35"/>
      <c r="P87" s="38" t="s">
        <v>42</v>
      </c>
      <c r="Q87" s="38" t="s">
        <v>42</v>
      </c>
      <c r="R87" s="38" t="s">
        <v>42</v>
      </c>
      <c r="S87" s="38" t="s">
        <v>42</v>
      </c>
      <c r="T87" s="38" t="s">
        <v>42</v>
      </c>
      <c r="U87" s="35"/>
      <c r="V87" s="35" t="s">
        <v>58</v>
      </c>
      <c r="W87" s="35"/>
      <c r="X87" s="35" t="s">
        <v>42</v>
      </c>
      <c r="Y87" s="35" t="s">
        <v>58</v>
      </c>
      <c r="Z87" s="38"/>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row>
    <row r="88" spans="1:57" ht="36" customHeight="1" x14ac:dyDescent="0.2">
      <c r="A88" s="126" t="s">
        <v>267</v>
      </c>
      <c r="B88" s="126" t="s">
        <v>268</v>
      </c>
      <c r="C88" s="126">
        <v>2025</v>
      </c>
      <c r="D88" s="126" t="s">
        <v>269</v>
      </c>
      <c r="E88" s="126" t="s">
        <v>271</v>
      </c>
      <c r="F88" s="126" t="s">
        <v>272</v>
      </c>
      <c r="G88" s="126" t="s">
        <v>274</v>
      </c>
      <c r="H88" s="126" t="s">
        <v>15</v>
      </c>
      <c r="I88" s="126" t="s">
        <v>253</v>
      </c>
      <c r="J88" s="35"/>
      <c r="K88" s="128" t="s">
        <v>270</v>
      </c>
      <c r="L88" s="36" t="s">
        <v>21</v>
      </c>
      <c r="M88" s="36"/>
      <c r="N88" s="35" t="s">
        <v>16</v>
      </c>
      <c r="O88" s="35" t="s">
        <v>16</v>
      </c>
      <c r="P88" s="38" t="s">
        <v>42</v>
      </c>
      <c r="Q88" s="38" t="s">
        <v>42</v>
      </c>
      <c r="R88" s="38" t="s">
        <v>42</v>
      </c>
      <c r="S88" s="38" t="s">
        <v>42</v>
      </c>
      <c r="T88" s="38" t="s">
        <v>42</v>
      </c>
      <c r="U88" s="35"/>
      <c r="V88" s="35" t="s">
        <v>58</v>
      </c>
      <c r="W88" s="35"/>
      <c r="X88" s="35" t="s">
        <v>58</v>
      </c>
      <c r="Y88" s="35" t="s">
        <v>58</v>
      </c>
      <c r="Z88" s="38"/>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row>
    <row r="89" spans="1:57" ht="36" customHeight="1" x14ac:dyDescent="0.2">
      <c r="A89" s="126" t="s">
        <v>275</v>
      </c>
      <c r="B89" s="126" t="s">
        <v>276</v>
      </c>
      <c r="C89" s="126">
        <v>2026</v>
      </c>
      <c r="D89" s="126" t="s">
        <v>277</v>
      </c>
      <c r="E89" s="126" t="s">
        <v>279</v>
      </c>
      <c r="F89" s="126" t="s">
        <v>280</v>
      </c>
      <c r="G89" s="126" t="s">
        <v>282</v>
      </c>
      <c r="H89" s="126" t="s">
        <v>15</v>
      </c>
      <c r="I89" s="126" t="s">
        <v>253</v>
      </c>
      <c r="J89" s="35"/>
      <c r="K89" s="128" t="s">
        <v>278</v>
      </c>
      <c r="L89" s="36" t="s">
        <v>26</v>
      </c>
      <c r="M89" s="36"/>
      <c r="N89" s="35" t="s">
        <v>16</v>
      </c>
      <c r="O89" s="35" t="s">
        <v>16</v>
      </c>
      <c r="P89" s="38" t="s">
        <v>42</v>
      </c>
      <c r="Q89" s="38" t="s">
        <v>42</v>
      </c>
      <c r="R89" s="38" t="s">
        <v>42</v>
      </c>
      <c r="S89" s="38" t="s">
        <v>42</v>
      </c>
      <c r="T89" s="38" t="s">
        <v>42</v>
      </c>
      <c r="U89" s="35"/>
      <c r="V89" s="35" t="s">
        <v>58</v>
      </c>
      <c r="W89" s="35"/>
      <c r="X89" s="35" t="s">
        <v>42</v>
      </c>
      <c r="Y89" s="35" t="s">
        <v>58</v>
      </c>
      <c r="Z89" s="38"/>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row>
    <row r="90" spans="1:57" ht="36" customHeight="1" x14ac:dyDescent="0.2">
      <c r="A90" s="126" t="s">
        <v>283</v>
      </c>
      <c r="B90" s="126" t="s">
        <v>284</v>
      </c>
      <c r="C90" s="126">
        <v>2022</v>
      </c>
      <c r="D90" s="126" t="s">
        <v>233</v>
      </c>
      <c r="E90" s="126" t="s">
        <v>286</v>
      </c>
      <c r="F90" s="126" t="s">
        <v>287</v>
      </c>
      <c r="G90" s="126" t="s">
        <v>238</v>
      </c>
      <c r="H90" s="126" t="s">
        <v>15</v>
      </c>
      <c r="I90" s="126" t="s">
        <v>230</v>
      </c>
      <c r="J90" s="35"/>
      <c r="K90" s="128" t="s">
        <v>285</v>
      </c>
      <c r="L90" s="36" t="s">
        <v>18</v>
      </c>
      <c r="M90" s="36"/>
      <c r="N90" s="35" t="s">
        <v>16</v>
      </c>
      <c r="O90" s="35" t="s">
        <v>16</v>
      </c>
      <c r="P90" s="38" t="s">
        <v>42</v>
      </c>
      <c r="Q90" s="38" t="s">
        <v>42</v>
      </c>
      <c r="R90" s="38" t="s">
        <v>42</v>
      </c>
      <c r="S90" s="38" t="s">
        <v>42</v>
      </c>
      <c r="T90" s="38" t="s">
        <v>42</v>
      </c>
      <c r="U90" s="35"/>
      <c r="V90" s="35" t="s">
        <v>58</v>
      </c>
      <c r="W90" s="35"/>
      <c r="X90" s="35" t="s">
        <v>42</v>
      </c>
      <c r="Y90" s="35" t="s">
        <v>58</v>
      </c>
      <c r="Z90" s="38"/>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row>
    <row r="91" spans="1:57" ht="36" customHeight="1" x14ac:dyDescent="0.2">
      <c r="A91" s="126" t="s">
        <v>288</v>
      </c>
      <c r="B91" s="126" t="s">
        <v>289</v>
      </c>
      <c r="C91" s="126">
        <v>2022</v>
      </c>
      <c r="D91" s="126" t="s">
        <v>290</v>
      </c>
      <c r="E91" s="126" t="s">
        <v>292</v>
      </c>
      <c r="F91" s="126" t="s">
        <v>293</v>
      </c>
      <c r="G91" s="126" t="s">
        <v>228</v>
      </c>
      <c r="H91" s="126" t="s">
        <v>15</v>
      </c>
      <c r="I91" s="126" t="s">
        <v>253</v>
      </c>
      <c r="J91" s="35"/>
      <c r="K91" s="128" t="s">
        <v>291</v>
      </c>
      <c r="L91" s="36"/>
      <c r="M91" s="36"/>
      <c r="N91" s="35" t="s">
        <v>16</v>
      </c>
      <c r="O91" s="35"/>
      <c r="P91" s="38" t="s">
        <v>42</v>
      </c>
      <c r="Q91" s="38" t="s">
        <v>42</v>
      </c>
      <c r="R91" s="38" t="s">
        <v>42</v>
      </c>
      <c r="S91" s="38" t="s">
        <v>42</v>
      </c>
      <c r="T91" s="38" t="s">
        <v>42</v>
      </c>
      <c r="U91" s="35"/>
      <c r="V91" s="35" t="s">
        <v>58</v>
      </c>
      <c r="W91" s="35"/>
      <c r="X91" s="35" t="s">
        <v>42</v>
      </c>
      <c r="Y91" s="35" t="s">
        <v>58</v>
      </c>
      <c r="Z91" s="38"/>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row>
    <row r="92" spans="1:57" ht="36" customHeight="1" x14ac:dyDescent="0.2">
      <c r="A92" s="126" t="s">
        <v>295</v>
      </c>
      <c r="B92" s="126" t="s">
        <v>296</v>
      </c>
      <c r="C92" s="126">
        <v>2023</v>
      </c>
      <c r="D92" s="126" t="s">
        <v>297</v>
      </c>
      <c r="E92" s="126" t="s">
        <v>299</v>
      </c>
      <c r="F92" s="126" t="s">
        <v>300</v>
      </c>
      <c r="G92" s="126" t="s">
        <v>282</v>
      </c>
      <c r="H92" s="126" t="s">
        <v>15</v>
      </c>
      <c r="I92" s="126" t="s">
        <v>302</v>
      </c>
      <c r="J92" s="35"/>
      <c r="K92" s="128" t="s">
        <v>298</v>
      </c>
      <c r="L92" s="36" t="s">
        <v>24</v>
      </c>
      <c r="M92" s="36"/>
      <c r="N92" s="36"/>
      <c r="O92" s="35" t="s">
        <v>16</v>
      </c>
      <c r="P92" s="38" t="s">
        <v>42</v>
      </c>
      <c r="Q92" s="38" t="s">
        <v>42</v>
      </c>
      <c r="R92" s="38" t="s">
        <v>42</v>
      </c>
      <c r="S92" s="38" t="s">
        <v>42</v>
      </c>
      <c r="T92" s="38" t="s">
        <v>42</v>
      </c>
      <c r="U92" s="35"/>
      <c r="V92" s="35" t="s">
        <v>58</v>
      </c>
      <c r="W92" s="35"/>
      <c r="X92" s="35" t="s">
        <v>42</v>
      </c>
      <c r="Y92" s="35" t="s">
        <v>58</v>
      </c>
      <c r="Z92" s="38"/>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row>
    <row r="93" spans="1:57" ht="36" customHeight="1" x14ac:dyDescent="0.2">
      <c r="A93" s="126" t="s">
        <v>303</v>
      </c>
      <c r="B93" s="126" t="s">
        <v>304</v>
      </c>
      <c r="C93" s="126">
        <v>2025</v>
      </c>
      <c r="D93" s="126" t="s">
        <v>233</v>
      </c>
      <c r="E93" s="126" t="s">
        <v>306</v>
      </c>
      <c r="F93" s="126" t="s">
        <v>307</v>
      </c>
      <c r="G93" s="126" t="s">
        <v>238</v>
      </c>
      <c r="H93" s="126" t="s">
        <v>15</v>
      </c>
      <c r="I93" s="126" t="s">
        <v>230</v>
      </c>
      <c r="J93" s="35"/>
      <c r="K93" s="128" t="s">
        <v>305</v>
      </c>
      <c r="L93" s="36"/>
      <c r="M93" s="36"/>
      <c r="N93" s="35" t="s">
        <v>16</v>
      </c>
      <c r="O93" s="35"/>
      <c r="P93" s="38" t="s">
        <v>42</v>
      </c>
      <c r="Q93" s="38" t="s">
        <v>42</v>
      </c>
      <c r="R93" s="38" t="s">
        <v>42</v>
      </c>
      <c r="S93" s="38" t="s">
        <v>42</v>
      </c>
      <c r="T93" s="38" t="s">
        <v>42</v>
      </c>
      <c r="U93" s="35"/>
      <c r="V93" s="35" t="s">
        <v>58</v>
      </c>
      <c r="W93" s="35"/>
      <c r="X93" s="35" t="s">
        <v>42</v>
      </c>
      <c r="Y93" s="35" t="s">
        <v>58</v>
      </c>
      <c r="Z93" s="38"/>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row>
    <row r="94" spans="1:57" ht="36" customHeight="1" x14ac:dyDescent="0.2">
      <c r="A94" s="126" t="s">
        <v>309</v>
      </c>
      <c r="B94" s="126" t="s">
        <v>310</v>
      </c>
      <c r="C94" s="126">
        <v>2023</v>
      </c>
      <c r="D94" s="126" t="s">
        <v>233</v>
      </c>
      <c r="E94" s="126" t="s">
        <v>312</v>
      </c>
      <c r="F94" s="126" t="s">
        <v>313</v>
      </c>
      <c r="G94" s="126" t="s">
        <v>238</v>
      </c>
      <c r="H94" s="126" t="s">
        <v>15</v>
      </c>
      <c r="I94" s="126" t="s">
        <v>230</v>
      </c>
      <c r="J94" s="35"/>
      <c r="K94" s="128" t="s">
        <v>311</v>
      </c>
      <c r="L94" s="36" t="s">
        <v>20</v>
      </c>
      <c r="M94" s="36"/>
      <c r="N94" s="35" t="s">
        <v>16</v>
      </c>
      <c r="O94" s="35" t="s">
        <v>16</v>
      </c>
      <c r="P94" s="38" t="s">
        <v>42</v>
      </c>
      <c r="Q94" s="38" t="s">
        <v>42</v>
      </c>
      <c r="R94" s="38" t="s">
        <v>42</v>
      </c>
      <c r="S94" s="38" t="s">
        <v>42</v>
      </c>
      <c r="T94" s="38" t="s">
        <v>42</v>
      </c>
      <c r="U94" s="35"/>
      <c r="V94" s="35" t="s">
        <v>58</v>
      </c>
      <c r="W94" s="35"/>
      <c r="X94" s="35" t="s">
        <v>42</v>
      </c>
      <c r="Y94" s="35" t="s">
        <v>58</v>
      </c>
      <c r="Z94" s="38"/>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row>
    <row r="95" spans="1:57" ht="36" customHeight="1" x14ac:dyDescent="0.2">
      <c r="A95" s="126" t="s">
        <v>315</v>
      </c>
      <c r="B95" s="126" t="s">
        <v>316</v>
      </c>
      <c r="C95" s="126">
        <v>2024</v>
      </c>
      <c r="D95" s="126" t="s">
        <v>317</v>
      </c>
      <c r="E95" s="126" t="s">
        <v>319</v>
      </c>
      <c r="F95" s="126" t="s">
        <v>320</v>
      </c>
      <c r="G95" s="126" t="s">
        <v>322</v>
      </c>
      <c r="H95" s="126" t="s">
        <v>15</v>
      </c>
      <c r="I95" s="126" t="s">
        <v>253</v>
      </c>
      <c r="J95" s="35"/>
      <c r="K95" s="128" t="s">
        <v>318</v>
      </c>
      <c r="L95" s="36"/>
      <c r="M95" s="36"/>
      <c r="N95" s="35" t="s">
        <v>16</v>
      </c>
      <c r="O95" s="35"/>
      <c r="P95" s="38" t="s">
        <v>42</v>
      </c>
      <c r="Q95" s="38" t="s">
        <v>42</v>
      </c>
      <c r="R95" s="38" t="s">
        <v>42</v>
      </c>
      <c r="S95" s="38" t="s">
        <v>42</v>
      </c>
      <c r="T95" s="38" t="s">
        <v>42</v>
      </c>
      <c r="U95" s="35"/>
      <c r="V95" s="35" t="s">
        <v>58</v>
      </c>
      <c r="W95" s="35"/>
      <c r="X95" s="35" t="s">
        <v>42</v>
      </c>
      <c r="Y95" s="35" t="s">
        <v>58</v>
      </c>
      <c r="Z95" s="39"/>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row>
    <row r="96" spans="1:57" ht="36" customHeight="1" x14ac:dyDescent="0.2">
      <c r="A96" s="126" t="s">
        <v>323</v>
      </c>
      <c r="B96" s="126" t="s">
        <v>324</v>
      </c>
      <c r="C96" s="126">
        <v>2022</v>
      </c>
      <c r="D96" s="126" t="s">
        <v>233</v>
      </c>
      <c r="E96" s="126" t="s">
        <v>326</v>
      </c>
      <c r="F96" s="126" t="s">
        <v>327</v>
      </c>
      <c r="G96" s="126" t="s">
        <v>238</v>
      </c>
      <c r="H96" s="126" t="s">
        <v>15</v>
      </c>
      <c r="I96" s="126" t="s">
        <v>230</v>
      </c>
      <c r="J96" s="35"/>
      <c r="K96" s="128" t="s">
        <v>325</v>
      </c>
      <c r="L96" s="36"/>
      <c r="M96" s="36"/>
      <c r="N96" s="35" t="s">
        <v>16</v>
      </c>
      <c r="O96" s="35" t="s">
        <v>16</v>
      </c>
      <c r="P96" s="38" t="s">
        <v>42</v>
      </c>
      <c r="Q96" s="38" t="s">
        <v>42</v>
      </c>
      <c r="R96" s="38" t="s">
        <v>42</v>
      </c>
      <c r="S96" s="38" t="s">
        <v>42</v>
      </c>
      <c r="T96" s="38" t="s">
        <v>42</v>
      </c>
      <c r="U96" s="35"/>
      <c r="V96" s="35" t="s">
        <v>58</v>
      </c>
      <c r="W96" s="35"/>
      <c r="X96" s="35" t="s">
        <v>42</v>
      </c>
      <c r="Y96" s="35" t="s">
        <v>58</v>
      </c>
      <c r="Z96" s="38"/>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row>
    <row r="97" spans="1:57" ht="36" customHeight="1" x14ac:dyDescent="0.2">
      <c r="A97" s="126" t="s">
        <v>329</v>
      </c>
      <c r="B97" s="126" t="s">
        <v>330</v>
      </c>
      <c r="C97" s="126">
        <v>2025</v>
      </c>
      <c r="D97" s="126" t="s">
        <v>331</v>
      </c>
      <c r="E97" s="126" t="s">
        <v>333</v>
      </c>
      <c r="F97" s="126" t="s">
        <v>334</v>
      </c>
      <c r="G97" s="126" t="s">
        <v>336</v>
      </c>
      <c r="H97" s="126" t="s">
        <v>15</v>
      </c>
      <c r="I97" s="126" t="s">
        <v>302</v>
      </c>
      <c r="J97" s="35"/>
      <c r="K97" s="128" t="s">
        <v>332</v>
      </c>
      <c r="L97" s="36" t="s">
        <v>20</v>
      </c>
      <c r="M97" s="36"/>
      <c r="N97" s="36"/>
      <c r="O97" s="35" t="s">
        <v>16</v>
      </c>
      <c r="P97" s="38" t="s">
        <v>42</v>
      </c>
      <c r="Q97" s="38" t="s">
        <v>42</v>
      </c>
      <c r="R97" s="38" t="s">
        <v>42</v>
      </c>
      <c r="S97" s="38" t="s">
        <v>42</v>
      </c>
      <c r="T97" s="38" t="s">
        <v>42</v>
      </c>
      <c r="U97" s="35"/>
      <c r="V97" s="35" t="s">
        <v>58</v>
      </c>
      <c r="W97" s="35"/>
      <c r="X97" s="35" t="s">
        <v>42</v>
      </c>
      <c r="Y97" s="35" t="s">
        <v>58</v>
      </c>
      <c r="Z97" s="38"/>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row>
    <row r="98" spans="1:57" ht="36" customHeight="1" x14ac:dyDescent="0.2">
      <c r="A98" s="126" t="s">
        <v>337</v>
      </c>
      <c r="B98" s="126" t="s">
        <v>338</v>
      </c>
      <c r="C98" s="126">
        <v>2025</v>
      </c>
      <c r="D98" s="126" t="s">
        <v>233</v>
      </c>
      <c r="E98" s="126" t="s">
        <v>340</v>
      </c>
      <c r="F98" s="126" t="s">
        <v>341</v>
      </c>
      <c r="G98" s="126" t="s">
        <v>238</v>
      </c>
      <c r="H98" s="126" t="s">
        <v>15</v>
      </c>
      <c r="I98" s="126" t="s">
        <v>230</v>
      </c>
      <c r="J98" s="35"/>
      <c r="K98" s="128" t="s">
        <v>339</v>
      </c>
      <c r="L98" s="36"/>
      <c r="M98" s="36"/>
      <c r="N98" s="35" t="s">
        <v>16</v>
      </c>
      <c r="O98" s="35"/>
      <c r="P98" s="38" t="s">
        <v>42</v>
      </c>
      <c r="Q98" s="38" t="s">
        <v>42</v>
      </c>
      <c r="R98" s="38" t="s">
        <v>42</v>
      </c>
      <c r="S98" s="38" t="s">
        <v>42</v>
      </c>
      <c r="T98" s="38" t="s">
        <v>42</v>
      </c>
      <c r="U98" s="35"/>
      <c r="V98" s="35" t="s">
        <v>58</v>
      </c>
      <c r="W98" s="35"/>
      <c r="X98" s="35" t="s">
        <v>42</v>
      </c>
      <c r="Y98" s="35" t="s">
        <v>58</v>
      </c>
      <c r="Z98" s="38"/>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row>
    <row r="99" spans="1:57" ht="36" customHeight="1" x14ac:dyDescent="0.2">
      <c r="A99" s="126" t="s">
        <v>343</v>
      </c>
      <c r="B99" s="126" t="s">
        <v>344</v>
      </c>
      <c r="C99" s="126">
        <v>2025</v>
      </c>
      <c r="D99" s="126" t="s">
        <v>345</v>
      </c>
      <c r="E99" s="126" t="s">
        <v>347</v>
      </c>
      <c r="F99" s="126" t="s">
        <v>348</v>
      </c>
      <c r="G99" s="126" t="s">
        <v>350</v>
      </c>
      <c r="H99" s="126" t="s">
        <v>15</v>
      </c>
      <c r="I99" s="126" t="s">
        <v>253</v>
      </c>
      <c r="J99" s="35"/>
      <c r="K99" s="128" t="s">
        <v>346</v>
      </c>
      <c r="L99" s="36" t="s">
        <v>20</v>
      </c>
      <c r="M99" s="36"/>
      <c r="N99" s="35" t="s">
        <v>16</v>
      </c>
      <c r="O99" s="35" t="s">
        <v>16</v>
      </c>
      <c r="P99" s="38" t="s">
        <v>42</v>
      </c>
      <c r="Q99" s="38" t="s">
        <v>42</v>
      </c>
      <c r="R99" s="38" t="s">
        <v>42</v>
      </c>
      <c r="S99" s="38" t="s">
        <v>42</v>
      </c>
      <c r="T99" s="38" t="s">
        <v>42</v>
      </c>
      <c r="U99" s="35"/>
      <c r="V99" s="35" t="s">
        <v>58</v>
      </c>
      <c r="W99" s="35"/>
      <c r="X99" s="35" t="s">
        <v>42</v>
      </c>
      <c r="Y99" s="35" t="s">
        <v>58</v>
      </c>
      <c r="Z99" s="40"/>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row>
    <row r="100" spans="1:57" ht="36" customHeight="1" x14ac:dyDescent="0.2">
      <c r="A100" s="126" t="s">
        <v>351</v>
      </c>
      <c r="B100" s="126" t="s">
        <v>352</v>
      </c>
      <c r="C100" s="126">
        <v>2022</v>
      </c>
      <c r="D100" s="126" t="s">
        <v>233</v>
      </c>
      <c r="E100" s="126" t="s">
        <v>354</v>
      </c>
      <c r="F100" s="126" t="s">
        <v>355</v>
      </c>
      <c r="G100" s="126" t="s">
        <v>238</v>
      </c>
      <c r="H100" s="126" t="s">
        <v>15</v>
      </c>
      <c r="I100" s="126" t="s">
        <v>230</v>
      </c>
      <c r="J100" s="35"/>
      <c r="K100" s="128" t="s">
        <v>353</v>
      </c>
      <c r="L100" s="36"/>
      <c r="M100" s="36"/>
      <c r="N100" s="35" t="s">
        <v>16</v>
      </c>
      <c r="O100" s="35"/>
      <c r="P100" s="38" t="s">
        <v>42</v>
      </c>
      <c r="Q100" s="38" t="s">
        <v>42</v>
      </c>
      <c r="R100" s="38" t="s">
        <v>42</v>
      </c>
      <c r="S100" s="38" t="s">
        <v>42</v>
      </c>
      <c r="T100" s="38" t="s">
        <v>42</v>
      </c>
      <c r="U100" s="35"/>
      <c r="V100" s="35" t="s">
        <v>58</v>
      </c>
      <c r="W100" s="35"/>
      <c r="X100" s="35" t="s">
        <v>42</v>
      </c>
      <c r="Y100" s="35" t="s">
        <v>58</v>
      </c>
      <c r="Z100" s="38"/>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row>
    <row r="101" spans="1:57" ht="36" customHeight="1" x14ac:dyDescent="0.2">
      <c r="A101" s="126" t="s">
        <v>357</v>
      </c>
      <c r="B101" s="126" t="s">
        <v>358</v>
      </c>
      <c r="C101" s="126">
        <v>2022</v>
      </c>
      <c r="D101" s="126" t="s">
        <v>233</v>
      </c>
      <c r="E101" s="126" t="s">
        <v>360</v>
      </c>
      <c r="F101" s="126" t="s">
        <v>361</v>
      </c>
      <c r="G101" s="126" t="s">
        <v>238</v>
      </c>
      <c r="H101" s="126" t="s">
        <v>15</v>
      </c>
      <c r="I101" s="126" t="s">
        <v>230</v>
      </c>
      <c r="J101" s="35"/>
      <c r="K101" s="128" t="s">
        <v>359</v>
      </c>
      <c r="L101" s="36" t="s">
        <v>20</v>
      </c>
      <c r="M101" s="36"/>
      <c r="N101" s="35" t="s">
        <v>16</v>
      </c>
      <c r="O101" s="35" t="s">
        <v>16</v>
      </c>
      <c r="P101" s="38" t="s">
        <v>42</v>
      </c>
      <c r="Q101" s="38" t="s">
        <v>42</v>
      </c>
      <c r="R101" s="38" t="s">
        <v>42</v>
      </c>
      <c r="S101" s="38" t="s">
        <v>42</v>
      </c>
      <c r="T101" s="38" t="s">
        <v>42</v>
      </c>
      <c r="U101" s="35"/>
      <c r="V101" s="35" t="s">
        <v>58</v>
      </c>
      <c r="W101" s="35"/>
      <c r="X101" s="35" t="s">
        <v>42</v>
      </c>
      <c r="Y101" s="35" t="s">
        <v>58</v>
      </c>
      <c r="Z101" s="38"/>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row>
    <row r="102" spans="1:57" ht="36" customHeight="1" x14ac:dyDescent="0.2">
      <c r="A102" s="126" t="s">
        <v>363</v>
      </c>
      <c r="B102" s="126" t="s">
        <v>364</v>
      </c>
      <c r="C102" s="126">
        <v>2025</v>
      </c>
      <c r="D102" s="126" t="s">
        <v>277</v>
      </c>
      <c r="E102" s="126" t="s">
        <v>366</v>
      </c>
      <c r="F102" s="126" t="s">
        <v>367</v>
      </c>
      <c r="G102" s="126" t="s">
        <v>282</v>
      </c>
      <c r="H102" s="126" t="s">
        <v>15</v>
      </c>
      <c r="I102" s="126" t="s">
        <v>253</v>
      </c>
      <c r="J102" s="35"/>
      <c r="K102" s="128" t="s">
        <v>365</v>
      </c>
      <c r="L102" s="36"/>
      <c r="M102" s="36"/>
      <c r="N102" s="35" t="s">
        <v>16</v>
      </c>
      <c r="O102" s="35"/>
      <c r="P102" s="38" t="s">
        <v>42</v>
      </c>
      <c r="Q102" s="38" t="s">
        <v>42</v>
      </c>
      <c r="R102" s="38" t="s">
        <v>42</v>
      </c>
      <c r="S102" s="38" t="s">
        <v>42</v>
      </c>
      <c r="T102" s="38" t="s">
        <v>42</v>
      </c>
      <c r="U102" s="35"/>
      <c r="V102" s="35" t="s">
        <v>58</v>
      </c>
      <c r="W102" s="35"/>
      <c r="X102" s="35" t="s">
        <v>42</v>
      </c>
      <c r="Y102" s="35" t="s">
        <v>58</v>
      </c>
      <c r="Z102" s="38"/>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row>
    <row r="103" spans="1:57" ht="36" customHeight="1" x14ac:dyDescent="0.2">
      <c r="A103" s="126" t="s">
        <v>369</v>
      </c>
      <c r="B103" s="126" t="s">
        <v>370</v>
      </c>
      <c r="C103" s="126">
        <v>2022</v>
      </c>
      <c r="D103" s="126" t="s">
        <v>371</v>
      </c>
      <c r="E103" s="126" t="s">
        <v>373</v>
      </c>
      <c r="F103" s="126" t="s">
        <v>374</v>
      </c>
      <c r="G103" s="126" t="s">
        <v>376</v>
      </c>
      <c r="H103" s="126" t="s">
        <v>15</v>
      </c>
      <c r="I103" s="126" t="s">
        <v>253</v>
      </c>
      <c r="J103" s="35"/>
      <c r="K103" s="128" t="s">
        <v>372</v>
      </c>
      <c r="L103" s="36"/>
      <c r="M103" s="36"/>
      <c r="N103" s="35" t="s">
        <v>16</v>
      </c>
      <c r="O103" s="35"/>
      <c r="P103" s="38" t="s">
        <v>42</v>
      </c>
      <c r="Q103" s="38" t="s">
        <v>42</v>
      </c>
      <c r="R103" s="38" t="s">
        <v>42</v>
      </c>
      <c r="S103" s="38" t="s">
        <v>42</v>
      </c>
      <c r="T103" s="38" t="s">
        <v>42</v>
      </c>
      <c r="U103" s="35"/>
      <c r="V103" s="35" t="s">
        <v>58</v>
      </c>
      <c r="W103" s="35"/>
      <c r="X103" s="35" t="s">
        <v>42</v>
      </c>
      <c r="Y103" s="35" t="s">
        <v>58</v>
      </c>
      <c r="Z103" s="38"/>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row>
    <row r="104" spans="1:57" ht="36" customHeight="1" x14ac:dyDescent="0.2">
      <c r="A104" s="126" t="s">
        <v>377</v>
      </c>
      <c r="B104" s="126" t="s">
        <v>378</v>
      </c>
      <c r="C104" s="126">
        <v>2025</v>
      </c>
      <c r="D104" s="126" t="s">
        <v>233</v>
      </c>
      <c r="E104" s="126" t="s">
        <v>380</v>
      </c>
      <c r="F104" s="126" t="s">
        <v>381</v>
      </c>
      <c r="G104" s="126" t="s">
        <v>238</v>
      </c>
      <c r="H104" s="126" t="s">
        <v>15</v>
      </c>
      <c r="I104" s="126" t="s">
        <v>230</v>
      </c>
      <c r="J104" s="35"/>
      <c r="K104" s="128" t="s">
        <v>379</v>
      </c>
      <c r="L104" s="36"/>
      <c r="M104" s="36"/>
      <c r="N104" s="35" t="s">
        <v>16</v>
      </c>
      <c r="O104" s="35"/>
      <c r="P104" s="38" t="s">
        <v>42</v>
      </c>
      <c r="Q104" s="38" t="s">
        <v>42</v>
      </c>
      <c r="R104" s="38" t="s">
        <v>42</v>
      </c>
      <c r="S104" s="38" t="s">
        <v>42</v>
      </c>
      <c r="T104" s="38" t="s">
        <v>42</v>
      </c>
      <c r="U104" s="35"/>
      <c r="V104" s="35" t="s">
        <v>58</v>
      </c>
      <c r="W104" s="35"/>
      <c r="X104" s="35" t="s">
        <v>42</v>
      </c>
      <c r="Y104" s="35" t="s">
        <v>58</v>
      </c>
      <c r="Z104" s="38"/>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row>
    <row r="105" spans="1:57" ht="36" customHeight="1" x14ac:dyDescent="0.2">
      <c r="A105" s="126" t="s">
        <v>383</v>
      </c>
      <c r="B105" s="126" t="s">
        <v>384</v>
      </c>
      <c r="C105" s="126">
        <v>2024</v>
      </c>
      <c r="D105" s="126" t="s">
        <v>385</v>
      </c>
      <c r="E105" s="126" t="s">
        <v>387</v>
      </c>
      <c r="F105" s="126" t="s">
        <v>388</v>
      </c>
      <c r="G105" s="126" t="s">
        <v>282</v>
      </c>
      <c r="H105" s="126" t="s">
        <v>15</v>
      </c>
      <c r="I105" s="126" t="s">
        <v>253</v>
      </c>
      <c r="J105" s="35"/>
      <c r="K105" s="128" t="s">
        <v>386</v>
      </c>
      <c r="L105" s="36" t="s">
        <v>20</v>
      </c>
      <c r="M105" s="36"/>
      <c r="N105" s="35" t="s">
        <v>16</v>
      </c>
      <c r="O105" s="35" t="s">
        <v>16</v>
      </c>
      <c r="P105" s="38" t="s">
        <v>42</v>
      </c>
      <c r="Q105" s="38" t="s">
        <v>42</v>
      </c>
      <c r="R105" s="38" t="s">
        <v>42</v>
      </c>
      <c r="S105" s="38" t="s">
        <v>42</v>
      </c>
      <c r="T105" s="38" t="s">
        <v>42</v>
      </c>
      <c r="U105" s="35"/>
      <c r="V105" s="35" t="s">
        <v>58</v>
      </c>
      <c r="W105" s="35"/>
      <c r="X105" s="35" t="s">
        <v>42</v>
      </c>
      <c r="Y105" s="35" t="s">
        <v>58</v>
      </c>
      <c r="Z105" s="38"/>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row>
    <row r="106" spans="1:57" ht="36" customHeight="1" x14ac:dyDescent="0.2">
      <c r="A106" s="126">
        <v>0</v>
      </c>
      <c r="B106" s="126" t="s">
        <v>229</v>
      </c>
      <c r="C106" s="126">
        <v>2025</v>
      </c>
      <c r="D106" s="126" t="s">
        <v>223</v>
      </c>
      <c r="E106" s="126" t="s">
        <v>390</v>
      </c>
      <c r="F106" s="126">
        <v>0</v>
      </c>
      <c r="G106" s="126" t="s">
        <v>228</v>
      </c>
      <c r="H106" s="126" t="s">
        <v>15</v>
      </c>
      <c r="I106" s="126" t="s">
        <v>391</v>
      </c>
      <c r="J106" s="35"/>
      <c r="K106" s="128">
        <v>0</v>
      </c>
      <c r="L106" s="36" t="s">
        <v>20</v>
      </c>
      <c r="M106" s="36"/>
      <c r="N106" s="35" t="s">
        <v>16</v>
      </c>
      <c r="O106" s="35" t="s">
        <v>16</v>
      </c>
      <c r="P106" s="38" t="s">
        <v>42</v>
      </c>
      <c r="Q106" s="38" t="s">
        <v>42</v>
      </c>
      <c r="R106" s="38" t="s">
        <v>42</v>
      </c>
      <c r="S106" s="38" t="s">
        <v>42</v>
      </c>
      <c r="T106" s="38" t="s">
        <v>42</v>
      </c>
      <c r="U106" s="35"/>
      <c r="V106" s="35" t="s">
        <v>58</v>
      </c>
      <c r="W106" s="35"/>
      <c r="X106" s="35" t="s">
        <v>42</v>
      </c>
      <c r="Y106" s="35" t="s">
        <v>58</v>
      </c>
      <c r="Z106" s="38"/>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row>
    <row r="107" spans="1:57" ht="36" customHeight="1" x14ac:dyDescent="0.2">
      <c r="A107" s="126" t="s">
        <v>392</v>
      </c>
      <c r="B107" s="126" t="s">
        <v>393</v>
      </c>
      <c r="C107" s="126">
        <v>2023</v>
      </c>
      <c r="D107" s="126" t="s">
        <v>394</v>
      </c>
      <c r="E107" s="126" t="s">
        <v>396</v>
      </c>
      <c r="F107" s="126" t="s">
        <v>397</v>
      </c>
      <c r="G107" s="126" t="s">
        <v>274</v>
      </c>
      <c r="H107" s="126" t="s">
        <v>15</v>
      </c>
      <c r="I107" s="126" t="s">
        <v>253</v>
      </c>
      <c r="J107" s="35"/>
      <c r="K107" s="128" t="s">
        <v>395</v>
      </c>
      <c r="L107" s="36" t="s">
        <v>32</v>
      </c>
      <c r="M107" s="36"/>
      <c r="N107" s="35" t="s">
        <v>16</v>
      </c>
      <c r="O107" s="35" t="s">
        <v>16</v>
      </c>
      <c r="P107" s="38" t="s">
        <v>42</v>
      </c>
      <c r="Q107" s="38" t="s">
        <v>42</v>
      </c>
      <c r="R107" s="38" t="s">
        <v>42</v>
      </c>
      <c r="S107" s="38" t="s">
        <v>42</v>
      </c>
      <c r="T107" s="38" t="s">
        <v>42</v>
      </c>
      <c r="U107" s="35"/>
      <c r="V107" s="35" t="s">
        <v>58</v>
      </c>
      <c r="W107" s="35"/>
      <c r="X107" s="35" t="s">
        <v>42</v>
      </c>
      <c r="Y107" s="35" t="s">
        <v>58</v>
      </c>
      <c r="Z107" s="38"/>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row>
    <row r="108" spans="1:57" ht="36" customHeight="1" x14ac:dyDescent="0.2">
      <c r="A108" s="126" t="s">
        <v>399</v>
      </c>
      <c r="B108" s="126" t="s">
        <v>400</v>
      </c>
      <c r="C108" s="126">
        <v>2025</v>
      </c>
      <c r="D108" s="126" t="s">
        <v>331</v>
      </c>
      <c r="E108" s="126" t="s">
        <v>402</v>
      </c>
      <c r="F108" s="126" t="s">
        <v>403</v>
      </c>
      <c r="G108" s="126" t="s">
        <v>336</v>
      </c>
      <c r="H108" s="126" t="s">
        <v>15</v>
      </c>
      <c r="I108" s="126" t="s">
        <v>253</v>
      </c>
      <c r="J108" s="35"/>
      <c r="K108" s="128" t="s">
        <v>401</v>
      </c>
      <c r="L108" s="36"/>
      <c r="M108" s="36"/>
      <c r="N108" s="35" t="s">
        <v>16</v>
      </c>
      <c r="O108" s="35"/>
      <c r="P108" s="38" t="s">
        <v>42</v>
      </c>
      <c r="Q108" s="38" t="s">
        <v>42</v>
      </c>
      <c r="R108" s="38" t="s">
        <v>42</v>
      </c>
      <c r="S108" s="38" t="s">
        <v>42</v>
      </c>
      <c r="T108" s="38" t="s">
        <v>42</v>
      </c>
      <c r="U108" s="35"/>
      <c r="V108" s="35" t="s">
        <v>58</v>
      </c>
      <c r="W108" s="35"/>
      <c r="X108" s="35" t="s">
        <v>42</v>
      </c>
      <c r="Y108" s="35" t="s">
        <v>58</v>
      </c>
      <c r="Z108" s="38"/>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row>
    <row r="109" spans="1:57" ht="36" customHeight="1" x14ac:dyDescent="0.2">
      <c r="A109" s="126" t="s">
        <v>405</v>
      </c>
      <c r="B109" s="126" t="s">
        <v>406</v>
      </c>
      <c r="C109" s="126">
        <v>2024</v>
      </c>
      <c r="D109" s="126" t="s">
        <v>233</v>
      </c>
      <c r="E109" s="126" t="s">
        <v>408</v>
      </c>
      <c r="F109" s="126" t="s">
        <v>409</v>
      </c>
      <c r="G109" s="126" t="s">
        <v>238</v>
      </c>
      <c r="H109" s="126" t="s">
        <v>15</v>
      </c>
      <c r="I109" s="126" t="s">
        <v>230</v>
      </c>
      <c r="J109" s="35"/>
      <c r="K109" s="128" t="s">
        <v>407</v>
      </c>
      <c r="L109" s="36" t="s">
        <v>33</v>
      </c>
      <c r="M109" s="36"/>
      <c r="N109" s="35" t="s">
        <v>16</v>
      </c>
      <c r="O109" s="35" t="s">
        <v>16</v>
      </c>
      <c r="P109" s="35" t="s">
        <v>42</v>
      </c>
      <c r="Q109" s="35" t="s">
        <v>42</v>
      </c>
      <c r="R109" s="35" t="s">
        <v>42</v>
      </c>
      <c r="S109" s="35" t="s">
        <v>42</v>
      </c>
      <c r="T109" s="35" t="s">
        <v>42</v>
      </c>
      <c r="U109" s="35"/>
      <c r="V109" s="35" t="s">
        <v>58</v>
      </c>
      <c r="W109" s="35"/>
      <c r="X109" s="35" t="s">
        <v>42</v>
      </c>
      <c r="Y109" s="35" t="s">
        <v>58</v>
      </c>
      <c r="Z109" s="35"/>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row>
    <row r="110" spans="1:57" ht="36" customHeight="1" x14ac:dyDescent="0.2">
      <c r="A110" s="126" t="s">
        <v>410</v>
      </c>
      <c r="B110" s="126" t="s">
        <v>411</v>
      </c>
      <c r="C110" s="126">
        <v>2025</v>
      </c>
      <c r="D110" s="126" t="s">
        <v>233</v>
      </c>
      <c r="E110" s="126" t="s">
        <v>413</v>
      </c>
      <c r="F110" s="126" t="s">
        <v>414</v>
      </c>
      <c r="G110" s="126" t="s">
        <v>238</v>
      </c>
      <c r="H110" s="126" t="s">
        <v>15</v>
      </c>
      <c r="I110" s="126" t="s">
        <v>230</v>
      </c>
      <c r="J110" s="35"/>
      <c r="K110" s="128" t="s">
        <v>412</v>
      </c>
      <c r="L110" s="36"/>
      <c r="M110" s="36"/>
      <c r="N110" s="35" t="s">
        <v>16</v>
      </c>
      <c r="O110" s="35"/>
      <c r="P110" s="35" t="s">
        <v>42</v>
      </c>
      <c r="Q110" s="35" t="s">
        <v>42</v>
      </c>
      <c r="R110" s="35" t="s">
        <v>42</v>
      </c>
      <c r="S110" s="35" t="s">
        <v>42</v>
      </c>
      <c r="T110" s="35" t="s">
        <v>42</v>
      </c>
      <c r="U110" s="35"/>
      <c r="V110" s="35" t="s">
        <v>58</v>
      </c>
      <c r="W110" s="35"/>
      <c r="X110" s="35" t="s">
        <v>42</v>
      </c>
      <c r="Y110" s="35" t="s">
        <v>58</v>
      </c>
      <c r="Z110" s="35"/>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row>
    <row r="111" spans="1:57" ht="36" customHeight="1" x14ac:dyDescent="0.2">
      <c r="A111" s="126" t="s">
        <v>416</v>
      </c>
      <c r="B111" s="126" t="s">
        <v>417</v>
      </c>
      <c r="C111" s="126">
        <v>2022</v>
      </c>
      <c r="D111" s="126" t="s">
        <v>233</v>
      </c>
      <c r="E111" s="126" t="s">
        <v>419</v>
      </c>
      <c r="F111" s="126" t="s">
        <v>420</v>
      </c>
      <c r="G111" s="126" t="s">
        <v>238</v>
      </c>
      <c r="H111" s="126" t="s">
        <v>15</v>
      </c>
      <c r="I111" s="126" t="s">
        <v>230</v>
      </c>
      <c r="J111" s="35"/>
      <c r="K111" s="128" t="s">
        <v>418</v>
      </c>
      <c r="L111" s="36" t="s">
        <v>31</v>
      </c>
      <c r="M111" s="36"/>
      <c r="N111" s="35" t="s">
        <v>16</v>
      </c>
      <c r="O111" s="35" t="s">
        <v>16</v>
      </c>
      <c r="P111" s="35" t="s">
        <v>42</v>
      </c>
      <c r="Q111" s="35" t="s">
        <v>42</v>
      </c>
      <c r="R111" s="35" t="s">
        <v>42</v>
      </c>
      <c r="S111" s="35" t="s">
        <v>42</v>
      </c>
      <c r="T111" s="35" t="s">
        <v>42</v>
      </c>
      <c r="U111" s="35"/>
      <c r="V111" s="35" t="s">
        <v>58</v>
      </c>
      <c r="W111" s="35"/>
      <c r="X111" s="35" t="s">
        <v>42</v>
      </c>
      <c r="Y111" s="35" t="s">
        <v>58</v>
      </c>
      <c r="Z111" s="35"/>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row>
    <row r="112" spans="1:57" ht="36" customHeight="1" x14ac:dyDescent="0.2">
      <c r="A112" s="126" t="s">
        <v>422</v>
      </c>
      <c r="B112" s="126" t="s">
        <v>423</v>
      </c>
      <c r="C112" s="126">
        <v>2022</v>
      </c>
      <c r="D112" s="126" t="s">
        <v>233</v>
      </c>
      <c r="E112" s="126" t="s">
        <v>425</v>
      </c>
      <c r="F112" s="126" t="s">
        <v>426</v>
      </c>
      <c r="G112" s="126" t="s">
        <v>238</v>
      </c>
      <c r="H112" s="126" t="s">
        <v>15</v>
      </c>
      <c r="I112" s="126" t="s">
        <v>230</v>
      </c>
      <c r="J112" s="35"/>
      <c r="K112" s="128" t="s">
        <v>424</v>
      </c>
      <c r="L112" s="36"/>
      <c r="M112" s="36"/>
      <c r="N112" s="35" t="s">
        <v>16</v>
      </c>
      <c r="O112" s="35"/>
      <c r="P112" s="35" t="s">
        <v>42</v>
      </c>
      <c r="Q112" s="35" t="s">
        <v>42</v>
      </c>
      <c r="R112" s="35" t="s">
        <v>42</v>
      </c>
      <c r="S112" s="35" t="s">
        <v>42</v>
      </c>
      <c r="T112" s="35" t="s">
        <v>42</v>
      </c>
      <c r="U112" s="35"/>
      <c r="V112" s="35" t="s">
        <v>58</v>
      </c>
      <c r="W112" s="35"/>
      <c r="X112" s="35" t="s">
        <v>42</v>
      </c>
      <c r="Y112" s="35" t="s">
        <v>58</v>
      </c>
      <c r="Z112" s="35"/>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row>
    <row r="113" spans="1:57" ht="36" customHeight="1" x14ac:dyDescent="0.2">
      <c r="A113" s="126" t="s">
        <v>428</v>
      </c>
      <c r="B113" s="126" t="s">
        <v>429</v>
      </c>
      <c r="C113" s="126">
        <v>2024</v>
      </c>
      <c r="D113" s="126" t="s">
        <v>233</v>
      </c>
      <c r="E113" s="126" t="s">
        <v>431</v>
      </c>
      <c r="F113" s="126" t="s">
        <v>432</v>
      </c>
      <c r="G113" s="126" t="s">
        <v>238</v>
      </c>
      <c r="H113" s="126" t="s">
        <v>15</v>
      </c>
      <c r="I113" s="126" t="s">
        <v>230</v>
      </c>
      <c r="J113" s="35"/>
      <c r="K113" s="128" t="s">
        <v>430</v>
      </c>
      <c r="L113" s="36" t="s">
        <v>20</v>
      </c>
      <c r="M113" s="36"/>
      <c r="N113" s="35" t="s">
        <v>16</v>
      </c>
      <c r="O113" s="35" t="s">
        <v>16</v>
      </c>
      <c r="P113" s="35" t="s">
        <v>42</v>
      </c>
      <c r="Q113" s="35" t="s">
        <v>42</v>
      </c>
      <c r="R113" s="35" t="s">
        <v>42</v>
      </c>
      <c r="S113" s="35" t="s">
        <v>42</v>
      </c>
      <c r="T113" s="35" t="s">
        <v>42</v>
      </c>
      <c r="U113" s="35"/>
      <c r="V113" s="35" t="s">
        <v>58</v>
      </c>
      <c r="W113" s="35"/>
      <c r="X113" s="35" t="s">
        <v>42</v>
      </c>
      <c r="Y113" s="35" t="s">
        <v>58</v>
      </c>
      <c r="Z113" s="35"/>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row>
    <row r="114" spans="1:57" ht="36" customHeight="1" x14ac:dyDescent="0.2">
      <c r="A114" s="126" t="s">
        <v>434</v>
      </c>
      <c r="B114" s="126" t="s">
        <v>435</v>
      </c>
      <c r="C114" s="126">
        <v>2025</v>
      </c>
      <c r="D114" s="126" t="s">
        <v>233</v>
      </c>
      <c r="E114" s="126" t="s">
        <v>437</v>
      </c>
      <c r="F114" s="126" t="s">
        <v>438</v>
      </c>
      <c r="G114" s="126" t="s">
        <v>238</v>
      </c>
      <c r="H114" s="126" t="s">
        <v>15</v>
      </c>
      <c r="I114" s="126" t="s">
        <v>230</v>
      </c>
      <c r="J114" s="35"/>
      <c r="K114" s="128" t="s">
        <v>436</v>
      </c>
      <c r="L114" s="36" t="s">
        <v>27</v>
      </c>
      <c r="M114" s="36"/>
      <c r="N114" s="35" t="s">
        <v>16</v>
      </c>
      <c r="O114" s="35" t="s">
        <v>16</v>
      </c>
      <c r="P114" s="35" t="s">
        <v>42</v>
      </c>
      <c r="Q114" s="35" t="s">
        <v>42</v>
      </c>
      <c r="R114" s="35" t="s">
        <v>42</v>
      </c>
      <c r="S114" s="35" t="s">
        <v>42</v>
      </c>
      <c r="T114" s="35" t="s">
        <v>42</v>
      </c>
      <c r="U114" s="35"/>
      <c r="V114" s="35" t="s">
        <v>58</v>
      </c>
      <c r="W114" s="35"/>
      <c r="X114" s="35" t="s">
        <v>42</v>
      </c>
      <c r="Y114" s="35" t="s">
        <v>58</v>
      </c>
      <c r="Z114" s="35"/>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row>
    <row r="115" spans="1:57" ht="36" customHeight="1" x14ac:dyDescent="0.2">
      <c r="A115" s="126" t="s">
        <v>439</v>
      </c>
      <c r="B115" s="126" t="s">
        <v>440</v>
      </c>
      <c r="C115" s="126">
        <v>2023</v>
      </c>
      <c r="D115" s="126" t="s">
        <v>233</v>
      </c>
      <c r="E115" s="126" t="s">
        <v>442</v>
      </c>
      <c r="F115" s="126" t="s">
        <v>443</v>
      </c>
      <c r="G115" s="126" t="s">
        <v>238</v>
      </c>
      <c r="H115" s="126" t="s">
        <v>15</v>
      </c>
      <c r="I115" s="126" t="s">
        <v>253</v>
      </c>
      <c r="J115" s="35"/>
      <c r="K115" s="128" t="s">
        <v>441</v>
      </c>
      <c r="L115" s="36"/>
      <c r="M115" s="36"/>
      <c r="N115" s="35" t="s">
        <v>16</v>
      </c>
      <c r="O115" s="35"/>
      <c r="P115" s="35" t="s">
        <v>42</v>
      </c>
      <c r="Q115" s="35" t="s">
        <v>42</v>
      </c>
      <c r="R115" s="35" t="s">
        <v>42</v>
      </c>
      <c r="S115" s="35" t="s">
        <v>42</v>
      </c>
      <c r="T115" s="35" t="s">
        <v>42</v>
      </c>
      <c r="U115" s="35"/>
      <c r="V115" s="35" t="s">
        <v>58</v>
      </c>
      <c r="W115" s="35"/>
      <c r="X115" s="35" t="s">
        <v>42</v>
      </c>
      <c r="Y115" s="35" t="s">
        <v>58</v>
      </c>
      <c r="Z115" s="35"/>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row>
    <row r="116" spans="1:57" ht="36" customHeight="1" x14ac:dyDescent="0.2">
      <c r="A116" s="126" t="s">
        <v>445</v>
      </c>
      <c r="B116" s="126" t="s">
        <v>446</v>
      </c>
      <c r="C116" s="126">
        <v>2025</v>
      </c>
      <c r="D116" s="126" t="s">
        <v>233</v>
      </c>
      <c r="E116" s="126" t="s">
        <v>448</v>
      </c>
      <c r="F116" s="126" t="s">
        <v>449</v>
      </c>
      <c r="G116" s="126" t="s">
        <v>238</v>
      </c>
      <c r="H116" s="126" t="s">
        <v>15</v>
      </c>
      <c r="I116" s="126" t="s">
        <v>230</v>
      </c>
      <c r="J116" s="35"/>
      <c r="K116" s="128" t="s">
        <v>447</v>
      </c>
      <c r="L116" s="36" t="s">
        <v>27</v>
      </c>
      <c r="M116" s="36"/>
      <c r="N116" s="35" t="s">
        <v>16</v>
      </c>
      <c r="O116" s="35" t="s">
        <v>16</v>
      </c>
      <c r="P116" s="35" t="s">
        <v>42</v>
      </c>
      <c r="Q116" s="35" t="s">
        <v>42</v>
      </c>
      <c r="R116" s="35" t="s">
        <v>42</v>
      </c>
      <c r="S116" s="35" t="s">
        <v>42</v>
      </c>
      <c r="T116" s="35" t="s">
        <v>42</v>
      </c>
      <c r="U116" s="35"/>
      <c r="V116" s="35" t="s">
        <v>58</v>
      </c>
      <c r="W116" s="35"/>
      <c r="X116" s="35" t="s">
        <v>42</v>
      </c>
      <c r="Y116" s="35" t="s">
        <v>58</v>
      </c>
      <c r="Z116" s="35"/>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row>
    <row r="117" spans="1:57" ht="36" customHeight="1" x14ac:dyDescent="0.2">
      <c r="A117" s="126" t="s">
        <v>451</v>
      </c>
      <c r="B117" s="126" t="s">
        <v>452</v>
      </c>
      <c r="C117" s="126">
        <v>2024</v>
      </c>
      <c r="D117" s="126" t="s">
        <v>453</v>
      </c>
      <c r="E117" s="126" t="s">
        <v>455</v>
      </c>
      <c r="F117" s="126">
        <v>0</v>
      </c>
      <c r="G117" s="126" t="s">
        <v>457</v>
      </c>
      <c r="H117" s="126" t="s">
        <v>15</v>
      </c>
      <c r="I117" s="126" t="s">
        <v>253</v>
      </c>
      <c r="J117" s="35"/>
      <c r="K117" s="128" t="s">
        <v>454</v>
      </c>
      <c r="L117" s="36"/>
      <c r="M117" s="36"/>
      <c r="N117" s="35" t="s">
        <v>16</v>
      </c>
      <c r="O117" s="35"/>
      <c r="P117" s="35" t="s">
        <v>42</v>
      </c>
      <c r="Q117" s="35" t="s">
        <v>42</v>
      </c>
      <c r="R117" s="35" t="s">
        <v>42</v>
      </c>
      <c r="S117" s="35" t="s">
        <v>42</v>
      </c>
      <c r="T117" s="35" t="s">
        <v>42</v>
      </c>
      <c r="U117" s="35"/>
      <c r="V117" s="35" t="s">
        <v>58</v>
      </c>
      <c r="W117" s="35"/>
      <c r="X117" s="35" t="s">
        <v>42</v>
      </c>
      <c r="Y117" s="35" t="s">
        <v>58</v>
      </c>
      <c r="Z117" s="35"/>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row>
    <row r="118" spans="1:57" ht="36" customHeight="1" x14ac:dyDescent="0.2">
      <c r="A118" s="126" t="s">
        <v>458</v>
      </c>
      <c r="B118" s="126" t="s">
        <v>459</v>
      </c>
      <c r="C118" s="126">
        <v>2024</v>
      </c>
      <c r="D118" s="126" t="s">
        <v>460</v>
      </c>
      <c r="E118" s="126" t="s">
        <v>462</v>
      </c>
      <c r="F118" s="126" t="s">
        <v>463</v>
      </c>
      <c r="G118" s="126" t="s">
        <v>465</v>
      </c>
      <c r="H118" s="126" t="s">
        <v>15</v>
      </c>
      <c r="I118" s="126" t="s">
        <v>253</v>
      </c>
      <c r="J118" s="35"/>
      <c r="K118" s="128" t="s">
        <v>461</v>
      </c>
      <c r="L118" s="36" t="s">
        <v>36</v>
      </c>
      <c r="M118" s="36"/>
      <c r="N118" s="35" t="s">
        <v>16</v>
      </c>
      <c r="O118" s="35" t="s">
        <v>16</v>
      </c>
      <c r="P118" s="35" t="s">
        <v>42</v>
      </c>
      <c r="Q118" s="35" t="s">
        <v>42</v>
      </c>
      <c r="R118" s="35" t="s">
        <v>42</v>
      </c>
      <c r="S118" s="35" t="s">
        <v>42</v>
      </c>
      <c r="T118" s="35" t="s">
        <v>42</v>
      </c>
      <c r="U118" s="35"/>
      <c r="V118" s="35" t="s">
        <v>58</v>
      </c>
      <c r="W118" s="35"/>
      <c r="X118" s="35" t="s">
        <v>42</v>
      </c>
      <c r="Y118" s="35" t="s">
        <v>58</v>
      </c>
      <c r="Z118" s="35"/>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row>
    <row r="119" spans="1:57" ht="36" customHeight="1" x14ac:dyDescent="0.2">
      <c r="A119" s="126" t="s">
        <v>466</v>
      </c>
      <c r="B119" s="126" t="s">
        <v>467</v>
      </c>
      <c r="C119" s="126">
        <v>2025</v>
      </c>
      <c r="D119" s="126" t="s">
        <v>468</v>
      </c>
      <c r="E119" s="126" t="s">
        <v>470</v>
      </c>
      <c r="F119" s="126" t="s">
        <v>471</v>
      </c>
      <c r="G119" s="126" t="s">
        <v>473</v>
      </c>
      <c r="H119" s="126" t="s">
        <v>15</v>
      </c>
      <c r="I119" s="126" t="s">
        <v>230</v>
      </c>
      <c r="J119" s="35"/>
      <c r="K119" s="128" t="s">
        <v>469</v>
      </c>
      <c r="L119" s="36" t="s">
        <v>34</v>
      </c>
      <c r="M119" s="36"/>
      <c r="N119" s="35" t="s">
        <v>16</v>
      </c>
      <c r="O119" s="35" t="s">
        <v>16</v>
      </c>
      <c r="P119" s="35" t="s">
        <v>42</v>
      </c>
      <c r="Q119" s="35" t="s">
        <v>42</v>
      </c>
      <c r="R119" s="35" t="s">
        <v>42</v>
      </c>
      <c r="S119" s="35" t="s">
        <v>42</v>
      </c>
      <c r="T119" s="35" t="s">
        <v>42</v>
      </c>
      <c r="U119" s="35"/>
      <c r="V119" s="35" t="s">
        <v>58</v>
      </c>
      <c r="W119" s="35"/>
      <c r="X119" s="35" t="s">
        <v>42</v>
      </c>
      <c r="Y119" s="35" t="s">
        <v>58</v>
      </c>
      <c r="Z119" s="35"/>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row>
    <row r="120" spans="1:57" ht="14.25" customHeight="1" x14ac:dyDescent="0.2">
      <c r="A120" s="126" t="s">
        <v>474</v>
      </c>
      <c r="B120" s="126" t="s">
        <v>475</v>
      </c>
      <c r="C120" s="126">
        <v>2023</v>
      </c>
      <c r="D120" s="126" t="s">
        <v>476</v>
      </c>
      <c r="E120" s="126" t="s">
        <v>478</v>
      </c>
      <c r="F120" s="126" t="s">
        <v>479</v>
      </c>
      <c r="G120" s="126" t="s">
        <v>228</v>
      </c>
      <c r="H120" s="126" t="s">
        <v>15</v>
      </c>
      <c r="I120" s="126" t="s">
        <v>230</v>
      </c>
      <c r="J120" s="35"/>
      <c r="K120" s="128" t="s">
        <v>477</v>
      </c>
      <c r="L120" s="36"/>
      <c r="M120" s="36"/>
      <c r="N120" s="35" t="s">
        <v>16</v>
      </c>
      <c r="O120" s="35"/>
      <c r="P120" s="35" t="s">
        <v>42</v>
      </c>
      <c r="Q120" s="35" t="s">
        <v>42</v>
      </c>
      <c r="R120" s="35" t="s">
        <v>42</v>
      </c>
      <c r="S120" s="35" t="s">
        <v>42</v>
      </c>
      <c r="T120" s="35" t="s">
        <v>42</v>
      </c>
      <c r="U120" s="35"/>
      <c r="V120" s="35" t="s">
        <v>58</v>
      </c>
      <c r="W120" s="35"/>
      <c r="X120" s="35" t="s">
        <v>58</v>
      </c>
      <c r="Y120" s="35" t="s">
        <v>58</v>
      </c>
      <c r="Z120" s="3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row>
    <row r="121" spans="1:57" ht="14.25" customHeight="1" x14ac:dyDescent="0.2">
      <c r="A121" s="126" t="s">
        <v>482</v>
      </c>
      <c r="B121" s="126" t="s">
        <v>483</v>
      </c>
      <c r="C121" s="126">
        <v>2024</v>
      </c>
      <c r="D121" s="126" t="s">
        <v>233</v>
      </c>
      <c r="E121" s="126" t="s">
        <v>485</v>
      </c>
      <c r="F121" s="126" t="s">
        <v>486</v>
      </c>
      <c r="G121" s="126" t="s">
        <v>238</v>
      </c>
      <c r="H121" s="126" t="s">
        <v>15</v>
      </c>
      <c r="I121" s="126" t="s">
        <v>230</v>
      </c>
      <c r="J121" s="35"/>
      <c r="K121" s="128" t="s">
        <v>484</v>
      </c>
      <c r="L121" s="36"/>
      <c r="M121" s="36"/>
      <c r="N121" s="35" t="s">
        <v>16</v>
      </c>
      <c r="O121" s="35" t="s">
        <v>16</v>
      </c>
      <c r="P121" s="35" t="s">
        <v>42</v>
      </c>
      <c r="Q121" s="35" t="s">
        <v>42</v>
      </c>
      <c r="R121" s="35" t="s">
        <v>42</v>
      </c>
      <c r="S121" s="35" t="s">
        <v>42</v>
      </c>
      <c r="T121" s="35" t="s">
        <v>42</v>
      </c>
      <c r="U121" s="35"/>
      <c r="V121" s="35" t="s">
        <v>58</v>
      </c>
      <c r="W121" s="35"/>
      <c r="X121" s="35" t="s">
        <v>58</v>
      </c>
      <c r="Y121" s="35" t="s">
        <v>58</v>
      </c>
      <c r="Z121" s="3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row>
    <row r="122" spans="1:57" ht="14.25" customHeight="1" x14ac:dyDescent="0.2">
      <c r="A122" s="126" t="s">
        <v>487</v>
      </c>
      <c r="B122" s="126" t="s">
        <v>488</v>
      </c>
      <c r="C122" s="126">
        <v>2022</v>
      </c>
      <c r="D122" s="126" t="s">
        <v>233</v>
      </c>
      <c r="E122" s="126" t="s">
        <v>490</v>
      </c>
      <c r="F122" s="126" t="s">
        <v>491</v>
      </c>
      <c r="G122" s="126" t="s">
        <v>238</v>
      </c>
      <c r="H122" s="126" t="s">
        <v>15</v>
      </c>
      <c r="I122" s="126" t="s">
        <v>230</v>
      </c>
      <c r="J122" s="35"/>
      <c r="K122" s="128" t="s">
        <v>489</v>
      </c>
      <c r="L122" s="36"/>
      <c r="M122" s="36"/>
      <c r="N122" s="35" t="s">
        <v>16</v>
      </c>
      <c r="O122" s="35"/>
      <c r="P122" s="35" t="s">
        <v>42</v>
      </c>
      <c r="Q122" s="35" t="s">
        <v>42</v>
      </c>
      <c r="R122" s="35" t="s">
        <v>42</v>
      </c>
      <c r="S122" s="35" t="s">
        <v>42</v>
      </c>
      <c r="T122" s="35" t="s">
        <v>42</v>
      </c>
      <c r="U122" s="35"/>
      <c r="V122" s="35" t="s">
        <v>58</v>
      </c>
      <c r="W122" s="35"/>
      <c r="X122" s="35" t="s">
        <v>58</v>
      </c>
      <c r="Y122" s="35" t="s">
        <v>58</v>
      </c>
      <c r="Z122" s="3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row>
    <row r="123" spans="1:57" ht="14.25" customHeight="1" x14ac:dyDescent="0.2">
      <c r="A123" s="126" t="s">
        <v>493</v>
      </c>
      <c r="B123" s="126" t="s">
        <v>494</v>
      </c>
      <c r="C123" s="126">
        <v>2026</v>
      </c>
      <c r="D123" s="126" t="s">
        <v>394</v>
      </c>
      <c r="E123" s="126" t="s">
        <v>496</v>
      </c>
      <c r="F123" s="126" t="s">
        <v>497</v>
      </c>
      <c r="G123" s="126" t="s">
        <v>274</v>
      </c>
      <c r="H123" s="126" t="s">
        <v>15</v>
      </c>
      <c r="I123" s="126" t="s">
        <v>253</v>
      </c>
      <c r="J123" s="35"/>
      <c r="K123" s="128" t="s">
        <v>495</v>
      </c>
      <c r="L123" s="36"/>
      <c r="M123" s="36"/>
      <c r="N123" s="35" t="s">
        <v>16</v>
      </c>
      <c r="O123" s="35" t="s">
        <v>16</v>
      </c>
      <c r="P123" s="35" t="s">
        <v>42</v>
      </c>
      <c r="Q123" s="35" t="s">
        <v>42</v>
      </c>
      <c r="R123" s="35" t="s">
        <v>42</v>
      </c>
      <c r="S123" s="35" t="s">
        <v>42</v>
      </c>
      <c r="T123" s="35" t="s">
        <v>42</v>
      </c>
      <c r="U123" s="35"/>
      <c r="V123" s="35" t="s">
        <v>42</v>
      </c>
      <c r="W123" s="35"/>
      <c r="X123" s="35" t="s">
        <v>42</v>
      </c>
      <c r="Y123" s="35" t="s">
        <v>58</v>
      </c>
      <c r="Z123" s="3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row>
    <row r="124" spans="1:57" ht="14.25" customHeight="1" x14ac:dyDescent="0.2">
      <c r="A124" s="126" t="s">
        <v>499</v>
      </c>
      <c r="B124" s="126" t="s">
        <v>500</v>
      </c>
      <c r="C124" s="126">
        <v>2024</v>
      </c>
      <c r="D124" s="126" t="s">
        <v>501</v>
      </c>
      <c r="E124" s="126" t="s">
        <v>503</v>
      </c>
      <c r="F124" s="126" t="s">
        <v>504</v>
      </c>
      <c r="G124" s="126" t="s">
        <v>506</v>
      </c>
      <c r="H124" s="126" t="s">
        <v>15</v>
      </c>
      <c r="I124" s="126" t="s">
        <v>253</v>
      </c>
      <c r="J124" s="35"/>
      <c r="K124" s="128" t="s">
        <v>502</v>
      </c>
      <c r="L124" s="36"/>
      <c r="M124" s="36"/>
      <c r="N124" s="35" t="s">
        <v>16</v>
      </c>
      <c r="O124" s="35" t="s">
        <v>16</v>
      </c>
      <c r="P124" s="35" t="s">
        <v>42</v>
      </c>
      <c r="Q124" s="35" t="s">
        <v>42</v>
      </c>
      <c r="R124" s="35" t="s">
        <v>42</v>
      </c>
      <c r="S124" s="35" t="s">
        <v>42</v>
      </c>
      <c r="T124" s="35" t="s">
        <v>42</v>
      </c>
      <c r="U124" s="35"/>
      <c r="V124" s="35" t="s">
        <v>42</v>
      </c>
      <c r="W124" s="35"/>
      <c r="X124" s="35" t="s">
        <v>42</v>
      </c>
      <c r="Y124" s="35" t="s">
        <v>58</v>
      </c>
      <c r="Z124" s="35"/>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row>
    <row r="125" spans="1:57" ht="14.25" customHeight="1" x14ac:dyDescent="0.2">
      <c r="A125" s="126" t="s">
        <v>507</v>
      </c>
      <c r="B125" s="126" t="s">
        <v>508</v>
      </c>
      <c r="C125" s="126">
        <v>2022</v>
      </c>
      <c r="D125" s="126" t="s">
        <v>509</v>
      </c>
      <c r="E125" s="126" t="s">
        <v>511</v>
      </c>
      <c r="F125" s="126" t="s">
        <v>512</v>
      </c>
      <c r="G125" s="126" t="s">
        <v>228</v>
      </c>
      <c r="H125" s="126" t="s">
        <v>15</v>
      </c>
      <c r="I125" s="126" t="s">
        <v>230</v>
      </c>
      <c r="J125" s="35"/>
      <c r="K125" s="128" t="s">
        <v>510</v>
      </c>
      <c r="L125" s="36"/>
      <c r="M125" s="36"/>
      <c r="N125" s="35" t="s">
        <v>16</v>
      </c>
      <c r="O125" s="35" t="s">
        <v>16</v>
      </c>
      <c r="P125" s="35" t="s">
        <v>42</v>
      </c>
      <c r="Q125" s="35" t="s">
        <v>42</v>
      </c>
      <c r="R125" s="35" t="s">
        <v>42</v>
      </c>
      <c r="S125" s="35" t="s">
        <v>42</v>
      </c>
      <c r="T125" s="35" t="s">
        <v>42</v>
      </c>
      <c r="U125" s="35"/>
      <c r="V125" s="35" t="s">
        <v>42</v>
      </c>
      <c r="W125" s="35"/>
      <c r="X125" s="35" t="s">
        <v>42</v>
      </c>
      <c r="Y125" s="35" t="s">
        <v>58</v>
      </c>
      <c r="Z125" s="35"/>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row>
    <row r="126" spans="1:57" ht="14.25" customHeight="1" x14ac:dyDescent="0.2">
      <c r="A126" s="126" t="s">
        <v>514</v>
      </c>
      <c r="B126" s="126" t="s">
        <v>515</v>
      </c>
      <c r="C126" s="126">
        <v>2026</v>
      </c>
      <c r="D126" s="126" t="s">
        <v>516</v>
      </c>
      <c r="E126" s="126" t="s">
        <v>518</v>
      </c>
      <c r="F126" s="126" t="s">
        <v>519</v>
      </c>
      <c r="G126" s="126" t="s">
        <v>260</v>
      </c>
      <c r="H126" s="126" t="s">
        <v>15</v>
      </c>
      <c r="I126" s="126" t="s">
        <v>253</v>
      </c>
      <c r="J126" s="35"/>
      <c r="K126" s="128" t="s">
        <v>517</v>
      </c>
      <c r="L126" s="36"/>
      <c r="M126" s="36"/>
      <c r="N126" s="35" t="s">
        <v>16</v>
      </c>
      <c r="O126" s="35"/>
      <c r="P126" s="35" t="s">
        <v>42</v>
      </c>
      <c r="Q126" s="35" t="s">
        <v>42</v>
      </c>
      <c r="R126" s="35" t="s">
        <v>42</v>
      </c>
      <c r="S126" s="35" t="s">
        <v>42</v>
      </c>
      <c r="T126" s="35" t="s">
        <v>42</v>
      </c>
      <c r="U126" s="35"/>
      <c r="V126" s="35" t="s">
        <v>42</v>
      </c>
      <c r="W126" s="35"/>
      <c r="X126" s="35" t="s">
        <v>42</v>
      </c>
      <c r="Y126" s="35" t="s">
        <v>58</v>
      </c>
      <c r="Z126" s="3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row>
    <row r="127" spans="1:57" ht="14.25" customHeight="1" x14ac:dyDescent="0.2">
      <c r="A127" s="126" t="s">
        <v>521</v>
      </c>
      <c r="B127" s="126" t="s">
        <v>522</v>
      </c>
      <c r="C127" s="126">
        <v>2024</v>
      </c>
      <c r="D127" s="126" t="s">
        <v>523</v>
      </c>
      <c r="E127" s="126" t="s">
        <v>525</v>
      </c>
      <c r="F127" s="126" t="s">
        <v>526</v>
      </c>
      <c r="G127" s="126" t="s">
        <v>228</v>
      </c>
      <c r="H127" s="126" t="s">
        <v>15</v>
      </c>
      <c r="I127" s="126" t="s">
        <v>230</v>
      </c>
      <c r="J127" s="35"/>
      <c r="K127" s="128" t="s">
        <v>524</v>
      </c>
      <c r="L127" s="36"/>
      <c r="M127" s="36"/>
      <c r="N127" s="35" t="s">
        <v>16</v>
      </c>
      <c r="O127" s="35"/>
      <c r="P127" s="35" t="s">
        <v>42</v>
      </c>
      <c r="Q127" s="35" t="s">
        <v>42</v>
      </c>
      <c r="R127" s="35" t="s">
        <v>42</v>
      </c>
      <c r="S127" s="35" t="s">
        <v>42</v>
      </c>
      <c r="T127" s="35" t="s">
        <v>42</v>
      </c>
      <c r="U127" s="35"/>
      <c r="V127" s="35" t="s">
        <v>42</v>
      </c>
      <c r="W127" s="35"/>
      <c r="X127" s="35" t="s">
        <v>42</v>
      </c>
      <c r="Y127" s="35" t="s">
        <v>58</v>
      </c>
      <c r="Z127" s="35"/>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row>
    <row r="128" spans="1:57" ht="14.25" customHeight="1" x14ac:dyDescent="0.2">
      <c r="A128" s="126" t="s">
        <v>528</v>
      </c>
      <c r="B128" s="126" t="s">
        <v>529</v>
      </c>
      <c r="C128" s="126">
        <v>2024</v>
      </c>
      <c r="D128" s="126" t="s">
        <v>530</v>
      </c>
      <c r="E128" s="126" t="s">
        <v>532</v>
      </c>
      <c r="F128" s="126" t="s">
        <v>533</v>
      </c>
      <c r="G128" s="126" t="s">
        <v>473</v>
      </c>
      <c r="H128" s="126" t="s">
        <v>15</v>
      </c>
      <c r="I128" s="126" t="s">
        <v>230</v>
      </c>
      <c r="J128" s="35"/>
      <c r="K128" s="128" t="s">
        <v>531</v>
      </c>
      <c r="L128" s="36"/>
      <c r="M128" s="36"/>
      <c r="N128" s="35" t="s">
        <v>16</v>
      </c>
      <c r="O128" s="35"/>
      <c r="P128" s="35" t="s">
        <v>42</v>
      </c>
      <c r="Q128" s="35" t="s">
        <v>42</v>
      </c>
      <c r="R128" s="35" t="s">
        <v>42</v>
      </c>
      <c r="S128" s="35" t="s">
        <v>42</v>
      </c>
      <c r="T128" s="35" t="s">
        <v>42</v>
      </c>
      <c r="U128" s="35"/>
      <c r="V128" s="35" t="s">
        <v>42</v>
      </c>
      <c r="W128" s="35"/>
      <c r="X128" s="35" t="s">
        <v>42</v>
      </c>
      <c r="Y128" s="35" t="s">
        <v>58</v>
      </c>
      <c r="Z128" s="35"/>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row>
    <row r="129" spans="1:57" ht="14.25" customHeight="1" x14ac:dyDescent="0.2">
      <c r="A129" s="126" t="s">
        <v>534</v>
      </c>
      <c r="B129" s="126" t="s">
        <v>535</v>
      </c>
      <c r="C129" s="126">
        <v>2022</v>
      </c>
      <c r="D129" s="126" t="s">
        <v>536</v>
      </c>
      <c r="E129" s="126" t="s">
        <v>538</v>
      </c>
      <c r="F129" s="126">
        <v>0</v>
      </c>
      <c r="G129" s="126" t="s">
        <v>473</v>
      </c>
      <c r="H129" s="126" t="s">
        <v>15</v>
      </c>
      <c r="I129" s="126" t="s">
        <v>230</v>
      </c>
      <c r="J129" s="35"/>
      <c r="K129" s="128" t="s">
        <v>537</v>
      </c>
      <c r="L129" s="36"/>
      <c r="M129" s="36"/>
      <c r="N129" s="35" t="s">
        <v>16</v>
      </c>
      <c r="O129" s="35"/>
      <c r="P129" s="35" t="s">
        <v>42</v>
      </c>
      <c r="Q129" s="35" t="s">
        <v>42</v>
      </c>
      <c r="R129" s="35" t="s">
        <v>42</v>
      </c>
      <c r="S129" s="35" t="s">
        <v>42</v>
      </c>
      <c r="T129" s="35" t="s">
        <v>42</v>
      </c>
      <c r="U129" s="35"/>
      <c r="V129" s="35" t="s">
        <v>42</v>
      </c>
      <c r="W129" s="35"/>
      <c r="X129" s="35" t="s">
        <v>42</v>
      </c>
      <c r="Y129" s="35" t="s">
        <v>58</v>
      </c>
      <c r="Z129" s="3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row>
    <row r="130" spans="1:57" ht="14.25" customHeight="1" x14ac:dyDescent="0.2">
      <c r="A130" s="126" t="s">
        <v>539</v>
      </c>
      <c r="B130" s="126" t="s">
        <v>540</v>
      </c>
      <c r="C130" s="126">
        <v>2022</v>
      </c>
      <c r="D130" s="126" t="s">
        <v>541</v>
      </c>
      <c r="E130" s="126" t="s">
        <v>543</v>
      </c>
      <c r="F130" s="126" t="s">
        <v>544</v>
      </c>
      <c r="G130" s="126" t="s">
        <v>506</v>
      </c>
      <c r="H130" s="126" t="s">
        <v>15</v>
      </c>
      <c r="I130" s="126" t="s">
        <v>545</v>
      </c>
      <c r="J130" s="35"/>
      <c r="K130" s="128" t="s">
        <v>542</v>
      </c>
      <c r="L130" s="36"/>
      <c r="M130" s="36"/>
      <c r="N130" s="35" t="s">
        <v>16</v>
      </c>
      <c r="O130" s="35" t="s">
        <v>16</v>
      </c>
      <c r="P130" s="35" t="s">
        <v>42</v>
      </c>
      <c r="Q130" s="35" t="s">
        <v>42</v>
      </c>
      <c r="R130" s="35" t="s">
        <v>42</v>
      </c>
      <c r="S130" s="35" t="s">
        <v>42</v>
      </c>
      <c r="T130" s="35" t="s">
        <v>42</v>
      </c>
      <c r="U130" s="35"/>
      <c r="V130" s="35" t="s">
        <v>42</v>
      </c>
      <c r="W130" s="35"/>
      <c r="X130" s="35" t="s">
        <v>42</v>
      </c>
      <c r="Y130" s="35" t="s">
        <v>58</v>
      </c>
      <c r="Z130" s="3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row>
    <row r="131" spans="1:57" ht="14.25" customHeight="1" x14ac:dyDescent="0.2">
      <c r="A131" s="126" t="s">
        <v>546</v>
      </c>
      <c r="B131" s="126" t="s">
        <v>547</v>
      </c>
      <c r="C131" s="126">
        <v>2026</v>
      </c>
      <c r="D131" s="126" t="s">
        <v>548</v>
      </c>
      <c r="E131" s="126" t="s">
        <v>550</v>
      </c>
      <c r="F131" s="126" t="s">
        <v>551</v>
      </c>
      <c r="G131" s="126" t="s">
        <v>228</v>
      </c>
      <c r="H131" s="126" t="s">
        <v>15</v>
      </c>
      <c r="I131" s="126" t="s">
        <v>230</v>
      </c>
      <c r="J131" s="35"/>
      <c r="K131" s="128" t="s">
        <v>549</v>
      </c>
      <c r="L131" s="36"/>
      <c r="M131" s="36"/>
      <c r="N131" s="35" t="s">
        <v>16</v>
      </c>
      <c r="O131" s="35"/>
      <c r="P131" s="35" t="s">
        <v>42</v>
      </c>
      <c r="Q131" s="35" t="s">
        <v>42</v>
      </c>
      <c r="R131" s="35" t="s">
        <v>42</v>
      </c>
      <c r="S131" s="35" t="s">
        <v>42</v>
      </c>
      <c r="T131" s="35" t="s">
        <v>42</v>
      </c>
      <c r="U131" s="35"/>
      <c r="V131" s="35" t="s">
        <v>42</v>
      </c>
      <c r="W131" s="35"/>
      <c r="X131" s="35" t="s">
        <v>42</v>
      </c>
      <c r="Y131" s="35" t="s">
        <v>58</v>
      </c>
      <c r="Z131" s="3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row>
    <row r="132" spans="1:57" ht="14.25" customHeight="1" x14ac:dyDescent="0.2">
      <c r="A132" s="126" t="s">
        <v>553</v>
      </c>
      <c r="B132" s="126" t="s">
        <v>554</v>
      </c>
      <c r="C132" s="126">
        <v>2025</v>
      </c>
      <c r="D132" s="126" t="s">
        <v>233</v>
      </c>
      <c r="E132" s="126" t="s">
        <v>556</v>
      </c>
      <c r="F132" s="126" t="s">
        <v>557</v>
      </c>
      <c r="G132" s="126" t="s">
        <v>238</v>
      </c>
      <c r="H132" s="126" t="s">
        <v>15</v>
      </c>
      <c r="I132" s="126" t="s">
        <v>230</v>
      </c>
      <c r="J132" s="35"/>
      <c r="K132" s="128" t="s">
        <v>555</v>
      </c>
      <c r="L132" s="36"/>
      <c r="M132" s="36"/>
      <c r="N132" s="36"/>
      <c r="O132" s="35" t="s">
        <v>16</v>
      </c>
      <c r="P132" s="35" t="s">
        <v>42</v>
      </c>
      <c r="Q132" s="35" t="s">
        <v>42</v>
      </c>
      <c r="R132" s="35" t="s">
        <v>42</v>
      </c>
      <c r="S132" s="35" t="s">
        <v>42</v>
      </c>
      <c r="T132" s="35" t="s">
        <v>42</v>
      </c>
      <c r="U132" s="35"/>
      <c r="V132" s="35" t="s">
        <v>42</v>
      </c>
      <c r="W132" s="35"/>
      <c r="X132" s="35" t="s">
        <v>42</v>
      </c>
      <c r="Y132" s="35" t="s">
        <v>58</v>
      </c>
      <c r="Z132" s="3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row>
    <row r="133" spans="1:57" ht="14.25" customHeight="1" x14ac:dyDescent="0.2">
      <c r="A133" s="126" t="s">
        <v>559</v>
      </c>
      <c r="B133" s="126" t="s">
        <v>560</v>
      </c>
      <c r="C133" s="126">
        <v>2026</v>
      </c>
      <c r="D133" s="126" t="s">
        <v>269</v>
      </c>
      <c r="E133" s="126" t="s">
        <v>562</v>
      </c>
      <c r="F133" s="126" t="s">
        <v>563</v>
      </c>
      <c r="G133" s="126" t="s">
        <v>274</v>
      </c>
      <c r="H133" s="126" t="s">
        <v>15</v>
      </c>
      <c r="I133" s="126" t="s">
        <v>253</v>
      </c>
      <c r="J133" s="35"/>
      <c r="K133" s="128" t="s">
        <v>561</v>
      </c>
      <c r="L133" s="36"/>
      <c r="M133" s="36"/>
      <c r="N133" s="35" t="s">
        <v>16</v>
      </c>
      <c r="O133" s="35"/>
      <c r="P133" s="35" t="s">
        <v>42</v>
      </c>
      <c r="Q133" s="35" t="s">
        <v>42</v>
      </c>
      <c r="R133" s="35" t="s">
        <v>42</v>
      </c>
      <c r="S133" s="35" t="s">
        <v>42</v>
      </c>
      <c r="T133" s="35" t="s">
        <v>42</v>
      </c>
      <c r="U133" s="35"/>
      <c r="V133" s="35" t="s">
        <v>42</v>
      </c>
      <c r="W133" s="35"/>
      <c r="X133" s="35" t="s">
        <v>42</v>
      </c>
      <c r="Y133" s="35" t="s">
        <v>58</v>
      </c>
      <c r="Z133" s="3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row>
    <row r="134" spans="1:57" ht="14.25" customHeight="1" x14ac:dyDescent="0.2">
      <c r="A134" s="126" t="s">
        <v>565</v>
      </c>
      <c r="B134" s="126" t="s">
        <v>566</v>
      </c>
      <c r="C134" s="126">
        <v>2025</v>
      </c>
      <c r="D134" s="126" t="s">
        <v>523</v>
      </c>
      <c r="E134" s="126" t="s">
        <v>568</v>
      </c>
      <c r="F134" s="126" t="s">
        <v>569</v>
      </c>
      <c r="G134" s="126" t="s">
        <v>228</v>
      </c>
      <c r="H134" s="126" t="s">
        <v>15</v>
      </c>
      <c r="I134" s="126" t="s">
        <v>230</v>
      </c>
      <c r="J134" s="35"/>
      <c r="K134" s="128" t="s">
        <v>567</v>
      </c>
      <c r="L134" s="36"/>
      <c r="M134" s="36"/>
      <c r="N134" s="35" t="s">
        <v>16</v>
      </c>
      <c r="O134" s="35"/>
      <c r="P134" s="35" t="s">
        <v>42</v>
      </c>
      <c r="Q134" s="35" t="s">
        <v>42</v>
      </c>
      <c r="R134" s="35" t="s">
        <v>42</v>
      </c>
      <c r="S134" s="35" t="s">
        <v>42</v>
      </c>
      <c r="T134" s="35" t="s">
        <v>42</v>
      </c>
      <c r="U134" s="35"/>
      <c r="V134" s="35" t="s">
        <v>42</v>
      </c>
      <c r="W134" s="35"/>
      <c r="X134" s="35" t="s">
        <v>42</v>
      </c>
      <c r="Y134" s="35" t="s">
        <v>58</v>
      </c>
      <c r="Z134" s="3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row>
    <row r="135" spans="1:57" ht="14.25" customHeight="1" x14ac:dyDescent="0.2">
      <c r="A135" s="126" t="s">
        <v>571</v>
      </c>
      <c r="B135" s="126" t="s">
        <v>572</v>
      </c>
      <c r="C135" s="126">
        <v>2025</v>
      </c>
      <c r="D135" s="126" t="s">
        <v>573</v>
      </c>
      <c r="E135" s="126" t="s">
        <v>575</v>
      </c>
      <c r="F135" s="126" t="s">
        <v>576</v>
      </c>
      <c r="G135" s="126" t="s">
        <v>578</v>
      </c>
      <c r="H135" s="126" t="s">
        <v>15</v>
      </c>
      <c r="I135" s="126" t="s">
        <v>253</v>
      </c>
      <c r="J135" s="35"/>
      <c r="K135" s="128" t="s">
        <v>574</v>
      </c>
      <c r="L135" s="36"/>
      <c r="M135" s="36"/>
      <c r="N135" s="35" t="s">
        <v>16</v>
      </c>
      <c r="O135" s="35"/>
      <c r="P135" s="35" t="s">
        <v>42</v>
      </c>
      <c r="Q135" s="35" t="s">
        <v>42</v>
      </c>
      <c r="R135" s="35" t="s">
        <v>42</v>
      </c>
      <c r="S135" s="35" t="s">
        <v>42</v>
      </c>
      <c r="T135" s="35" t="s">
        <v>42</v>
      </c>
      <c r="U135" s="35"/>
      <c r="V135" s="35" t="s">
        <v>42</v>
      </c>
      <c r="W135" s="35"/>
      <c r="X135" s="35" t="s">
        <v>42</v>
      </c>
      <c r="Y135" s="35" t="s">
        <v>58</v>
      </c>
      <c r="Z135" s="3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row>
    <row r="136" spans="1:57" ht="14.25" customHeight="1" x14ac:dyDescent="0.2">
      <c r="A136" s="126" t="s">
        <v>579</v>
      </c>
      <c r="B136" s="126" t="s">
        <v>580</v>
      </c>
      <c r="C136" s="126">
        <v>2023</v>
      </c>
      <c r="D136" s="126" t="s">
        <v>581</v>
      </c>
      <c r="E136" s="126" t="s">
        <v>583</v>
      </c>
      <c r="F136" s="126" t="s">
        <v>584</v>
      </c>
      <c r="G136" s="126" t="s">
        <v>586</v>
      </c>
      <c r="H136" s="126" t="s">
        <v>15</v>
      </c>
      <c r="I136" s="126" t="s">
        <v>253</v>
      </c>
      <c r="J136" s="35"/>
      <c r="K136" s="128" t="s">
        <v>582</v>
      </c>
      <c r="L136" s="36"/>
      <c r="M136" s="36"/>
      <c r="N136" s="36"/>
      <c r="O136" s="35" t="s">
        <v>16</v>
      </c>
      <c r="P136" s="35" t="s">
        <v>42</v>
      </c>
      <c r="Q136" s="35" t="s">
        <v>42</v>
      </c>
      <c r="R136" s="35" t="s">
        <v>42</v>
      </c>
      <c r="S136" s="35" t="s">
        <v>42</v>
      </c>
      <c r="T136" s="35" t="s">
        <v>42</v>
      </c>
      <c r="U136" s="35"/>
      <c r="V136" s="35" t="s">
        <v>42</v>
      </c>
      <c r="W136" s="35"/>
      <c r="X136" s="35" t="s">
        <v>42</v>
      </c>
      <c r="Y136" s="35" t="s">
        <v>58</v>
      </c>
      <c r="Z136" s="3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row>
    <row r="137" spans="1:57" ht="14.25" customHeight="1" x14ac:dyDescent="0.2">
      <c r="A137" s="126" t="s">
        <v>587</v>
      </c>
      <c r="B137" s="126" t="s">
        <v>588</v>
      </c>
      <c r="C137" s="126">
        <v>2026</v>
      </c>
      <c r="D137" s="126" t="s">
        <v>331</v>
      </c>
      <c r="E137" s="126" t="s">
        <v>590</v>
      </c>
      <c r="F137" s="126" t="s">
        <v>591</v>
      </c>
      <c r="G137" s="126" t="s">
        <v>336</v>
      </c>
      <c r="H137" s="126" t="s">
        <v>15</v>
      </c>
      <c r="I137" s="126" t="s">
        <v>253</v>
      </c>
      <c r="J137" s="35"/>
      <c r="K137" s="128" t="s">
        <v>589</v>
      </c>
      <c r="L137" s="36"/>
      <c r="M137" s="36"/>
      <c r="N137" s="35" t="s">
        <v>16</v>
      </c>
      <c r="O137" s="35"/>
      <c r="P137" s="35" t="s">
        <v>42</v>
      </c>
      <c r="Q137" s="35" t="s">
        <v>42</v>
      </c>
      <c r="R137" s="35" t="s">
        <v>42</v>
      </c>
      <c r="S137" s="35" t="s">
        <v>42</v>
      </c>
      <c r="T137" s="35" t="s">
        <v>42</v>
      </c>
      <c r="U137" s="35"/>
      <c r="V137" s="35" t="s">
        <v>42</v>
      </c>
      <c r="W137" s="35"/>
      <c r="X137" s="35" t="s">
        <v>42</v>
      </c>
      <c r="Y137" s="35" t="s">
        <v>58</v>
      </c>
      <c r="Z137" s="35"/>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row>
    <row r="138" spans="1:57" ht="14.25" customHeight="1" x14ac:dyDescent="0.2">
      <c r="A138" s="126" t="s">
        <v>593</v>
      </c>
      <c r="B138" s="126" t="s">
        <v>594</v>
      </c>
      <c r="C138" s="126">
        <v>2022</v>
      </c>
      <c r="D138" s="126" t="s">
        <v>277</v>
      </c>
      <c r="E138" s="126" t="s">
        <v>596</v>
      </c>
      <c r="F138" s="126" t="s">
        <v>597</v>
      </c>
      <c r="G138" s="126" t="s">
        <v>586</v>
      </c>
      <c r="H138" s="126" t="s">
        <v>15</v>
      </c>
      <c r="I138" s="126" t="s">
        <v>253</v>
      </c>
      <c r="J138" s="35"/>
      <c r="K138" s="128" t="s">
        <v>595</v>
      </c>
      <c r="L138" s="36"/>
      <c r="M138" s="36"/>
      <c r="N138" s="35" t="s">
        <v>16</v>
      </c>
      <c r="O138" s="35" t="s">
        <v>16</v>
      </c>
      <c r="P138" s="35" t="s">
        <v>42</v>
      </c>
      <c r="Q138" s="35" t="s">
        <v>42</v>
      </c>
      <c r="R138" s="35" t="s">
        <v>42</v>
      </c>
      <c r="S138" s="35" t="s">
        <v>42</v>
      </c>
      <c r="T138" s="35" t="s">
        <v>42</v>
      </c>
      <c r="U138" s="35"/>
      <c r="V138" s="35" t="s">
        <v>42</v>
      </c>
      <c r="W138" s="35"/>
      <c r="X138" s="35" t="s">
        <v>42</v>
      </c>
      <c r="Y138" s="35" t="s">
        <v>58</v>
      </c>
      <c r="Z138" s="35"/>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row>
    <row r="139" spans="1:57" ht="14.25" customHeight="1" x14ac:dyDescent="0.2">
      <c r="A139" s="126" t="s">
        <v>599</v>
      </c>
      <c r="B139" s="126" t="s">
        <v>600</v>
      </c>
      <c r="C139" s="126">
        <v>2024</v>
      </c>
      <c r="D139" s="126" t="s">
        <v>233</v>
      </c>
      <c r="E139" s="126" t="s">
        <v>602</v>
      </c>
      <c r="F139" s="126" t="s">
        <v>603</v>
      </c>
      <c r="G139" s="126" t="s">
        <v>238</v>
      </c>
      <c r="H139" s="126" t="s">
        <v>15</v>
      </c>
      <c r="I139" s="126" t="s">
        <v>230</v>
      </c>
      <c r="J139" s="35"/>
      <c r="K139" s="128" t="s">
        <v>601</v>
      </c>
      <c r="L139" s="36"/>
      <c r="M139" s="36"/>
      <c r="N139" s="35" t="s">
        <v>16</v>
      </c>
      <c r="O139" s="35"/>
      <c r="P139" s="35" t="s">
        <v>42</v>
      </c>
      <c r="Q139" s="35" t="s">
        <v>42</v>
      </c>
      <c r="R139" s="35" t="s">
        <v>42</v>
      </c>
      <c r="S139" s="35" t="s">
        <v>42</v>
      </c>
      <c r="T139" s="35" t="s">
        <v>42</v>
      </c>
      <c r="U139" s="35"/>
      <c r="V139" s="35" t="s">
        <v>42</v>
      </c>
      <c r="W139" s="35"/>
      <c r="X139" s="35" t="s">
        <v>42</v>
      </c>
      <c r="Y139" s="35" t="s">
        <v>58</v>
      </c>
      <c r="Z139" s="3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row>
    <row r="140" spans="1:57" ht="14.25" customHeight="1" x14ac:dyDescent="0.2">
      <c r="A140" s="126" t="s">
        <v>605</v>
      </c>
      <c r="B140" s="126" t="s">
        <v>606</v>
      </c>
      <c r="C140" s="126">
        <v>2022</v>
      </c>
      <c r="D140" s="126" t="s">
        <v>607</v>
      </c>
      <c r="E140" s="126" t="s">
        <v>608</v>
      </c>
      <c r="F140" s="126" t="s">
        <v>609</v>
      </c>
      <c r="G140" s="126" t="s">
        <v>610</v>
      </c>
      <c r="H140" s="126" t="s">
        <v>15</v>
      </c>
      <c r="I140" s="126" t="s">
        <v>230</v>
      </c>
      <c r="J140" s="35"/>
      <c r="K140" s="128">
        <v>0</v>
      </c>
      <c r="L140" s="36"/>
      <c r="M140" s="36"/>
      <c r="N140" s="35" t="s">
        <v>16</v>
      </c>
      <c r="O140" s="35"/>
      <c r="P140" s="35" t="s">
        <v>42</v>
      </c>
      <c r="Q140" s="35" t="s">
        <v>42</v>
      </c>
      <c r="R140" s="35" t="s">
        <v>42</v>
      </c>
      <c r="S140" s="35" t="s">
        <v>42</v>
      </c>
      <c r="T140" s="35" t="s">
        <v>42</v>
      </c>
      <c r="U140" s="35"/>
      <c r="V140" s="35" t="s">
        <v>42</v>
      </c>
      <c r="W140" s="35"/>
      <c r="X140" s="35" t="s">
        <v>42</v>
      </c>
      <c r="Y140" s="35" t="s">
        <v>58</v>
      </c>
      <c r="Z140" s="3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row>
    <row r="141" spans="1:57" ht="14.25" customHeight="1" x14ac:dyDescent="0.2">
      <c r="A141" s="126">
        <v>0</v>
      </c>
      <c r="B141" s="126" t="s">
        <v>229</v>
      </c>
      <c r="C141" s="126">
        <v>2025</v>
      </c>
      <c r="D141" s="126" t="s">
        <v>223</v>
      </c>
      <c r="E141" s="126" t="s">
        <v>390</v>
      </c>
      <c r="F141" s="126">
        <v>0</v>
      </c>
      <c r="G141" s="126" t="s">
        <v>228</v>
      </c>
      <c r="H141" s="126" t="s">
        <v>15</v>
      </c>
      <c r="I141" s="126" t="s">
        <v>391</v>
      </c>
      <c r="J141" s="35"/>
      <c r="K141" s="128">
        <v>0</v>
      </c>
      <c r="L141" s="36"/>
      <c r="M141" s="36"/>
      <c r="N141" s="35" t="s">
        <v>16</v>
      </c>
      <c r="O141" s="35"/>
      <c r="P141" s="35" t="s">
        <v>42</v>
      </c>
      <c r="Q141" s="35" t="s">
        <v>42</v>
      </c>
      <c r="R141" s="35" t="s">
        <v>42</v>
      </c>
      <c r="S141" s="35" t="s">
        <v>42</v>
      </c>
      <c r="T141" s="35" t="s">
        <v>42</v>
      </c>
      <c r="U141" s="35"/>
      <c r="V141" s="35" t="s">
        <v>42</v>
      </c>
      <c r="W141" s="35"/>
      <c r="X141" s="35" t="s">
        <v>42</v>
      </c>
      <c r="Y141" s="35" t="s">
        <v>58</v>
      </c>
      <c r="Z141" s="3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row>
    <row r="142" spans="1:57" ht="14.25" customHeight="1" x14ac:dyDescent="0.2">
      <c r="A142" s="126" t="s">
        <v>611</v>
      </c>
      <c r="B142" s="126" t="s">
        <v>612</v>
      </c>
      <c r="C142" s="126">
        <v>2023</v>
      </c>
      <c r="D142" s="126" t="s">
        <v>317</v>
      </c>
      <c r="E142" s="126" t="s">
        <v>614</v>
      </c>
      <c r="F142" s="126" t="s">
        <v>615</v>
      </c>
      <c r="G142" s="126" t="s">
        <v>322</v>
      </c>
      <c r="H142" s="126" t="s">
        <v>15</v>
      </c>
      <c r="I142" s="126" t="s">
        <v>253</v>
      </c>
      <c r="J142" s="35"/>
      <c r="K142" s="128" t="s">
        <v>613</v>
      </c>
      <c r="L142" s="36"/>
      <c r="M142" s="36"/>
      <c r="N142" s="35" t="s">
        <v>16</v>
      </c>
      <c r="O142" s="35"/>
      <c r="P142" s="35" t="s">
        <v>42</v>
      </c>
      <c r="Q142" s="35" t="s">
        <v>42</v>
      </c>
      <c r="R142" s="35" t="s">
        <v>42</v>
      </c>
      <c r="S142" s="35" t="s">
        <v>42</v>
      </c>
      <c r="T142" s="35" t="s">
        <v>42</v>
      </c>
      <c r="U142" s="35"/>
      <c r="V142" s="35" t="s">
        <v>42</v>
      </c>
      <c r="W142" s="35"/>
      <c r="X142" s="35" t="s">
        <v>42</v>
      </c>
      <c r="Y142" s="35" t="s">
        <v>58</v>
      </c>
      <c r="Z142" s="3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row>
    <row r="143" spans="1:57" ht="14.25" customHeight="1" x14ac:dyDescent="0.2">
      <c r="A143" s="126" t="s">
        <v>507</v>
      </c>
      <c r="B143" s="126" t="s">
        <v>617</v>
      </c>
      <c r="C143" s="126">
        <v>2022</v>
      </c>
      <c r="D143" s="126" t="s">
        <v>509</v>
      </c>
      <c r="E143" s="126" t="s">
        <v>619</v>
      </c>
      <c r="F143" s="126" t="s">
        <v>620</v>
      </c>
      <c r="G143" s="126" t="s">
        <v>228</v>
      </c>
      <c r="H143" s="126" t="s">
        <v>15</v>
      </c>
      <c r="I143" s="126" t="s">
        <v>230</v>
      </c>
      <c r="J143" s="35"/>
      <c r="K143" s="128" t="s">
        <v>618</v>
      </c>
      <c r="L143" s="36"/>
      <c r="M143" s="36"/>
      <c r="N143" s="35" t="s">
        <v>16</v>
      </c>
      <c r="O143" s="35"/>
      <c r="P143" s="35" t="s">
        <v>42</v>
      </c>
      <c r="Q143" s="35" t="s">
        <v>42</v>
      </c>
      <c r="R143" s="35" t="s">
        <v>42</v>
      </c>
      <c r="S143" s="35" t="s">
        <v>42</v>
      </c>
      <c r="T143" s="35" t="s">
        <v>42</v>
      </c>
      <c r="U143" s="35"/>
      <c r="V143" s="35" t="s">
        <v>42</v>
      </c>
      <c r="W143" s="35"/>
      <c r="X143" s="35" t="s">
        <v>42</v>
      </c>
      <c r="Y143" s="35" t="s">
        <v>58</v>
      </c>
      <c r="Z143" s="3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row>
    <row r="144" spans="1:57" ht="14.25" customHeight="1" x14ac:dyDescent="0.2">
      <c r="A144" s="126" t="s">
        <v>621</v>
      </c>
      <c r="B144" s="126" t="s">
        <v>622</v>
      </c>
      <c r="C144" s="126">
        <v>2024</v>
      </c>
      <c r="D144" s="126" t="s">
        <v>233</v>
      </c>
      <c r="E144" s="126" t="s">
        <v>624</v>
      </c>
      <c r="F144" s="126" t="s">
        <v>625</v>
      </c>
      <c r="G144" s="126" t="s">
        <v>238</v>
      </c>
      <c r="H144" s="126" t="s">
        <v>15</v>
      </c>
      <c r="I144" s="126" t="s">
        <v>230</v>
      </c>
      <c r="J144" s="35"/>
      <c r="K144" s="128" t="s">
        <v>623</v>
      </c>
      <c r="L144" s="36"/>
      <c r="M144" s="36"/>
      <c r="N144" s="35" t="s">
        <v>16</v>
      </c>
      <c r="O144" s="35"/>
      <c r="P144" s="35" t="s">
        <v>42</v>
      </c>
      <c r="Q144" s="35" t="s">
        <v>42</v>
      </c>
      <c r="R144" s="35" t="s">
        <v>42</v>
      </c>
      <c r="S144" s="35" t="s">
        <v>42</v>
      </c>
      <c r="T144" s="35" t="s">
        <v>42</v>
      </c>
      <c r="U144" s="35"/>
      <c r="V144" s="35" t="s">
        <v>42</v>
      </c>
      <c r="W144" s="35"/>
      <c r="X144" s="35" t="s">
        <v>42</v>
      </c>
      <c r="Y144" s="35" t="s">
        <v>58</v>
      </c>
      <c r="Z144" s="3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row>
    <row r="145" spans="1:57" ht="14.25" customHeight="1" x14ac:dyDescent="0.2">
      <c r="A145" s="126" t="s">
        <v>626</v>
      </c>
      <c r="B145" s="126" t="s">
        <v>627</v>
      </c>
      <c r="C145" s="126">
        <v>2026</v>
      </c>
      <c r="D145" s="126" t="s">
        <v>394</v>
      </c>
      <c r="E145" s="126" t="s">
        <v>629</v>
      </c>
      <c r="F145" s="126" t="s">
        <v>630</v>
      </c>
      <c r="G145" s="126" t="s">
        <v>274</v>
      </c>
      <c r="H145" s="126" t="s">
        <v>15</v>
      </c>
      <c r="I145" s="126" t="s">
        <v>253</v>
      </c>
      <c r="J145" s="35"/>
      <c r="K145" s="128" t="s">
        <v>628</v>
      </c>
      <c r="L145" s="36"/>
      <c r="M145" s="36"/>
      <c r="N145" s="35" t="s">
        <v>16</v>
      </c>
      <c r="O145" s="35" t="s">
        <v>16</v>
      </c>
      <c r="P145" s="35" t="s">
        <v>42</v>
      </c>
      <c r="Q145" s="35" t="s">
        <v>42</v>
      </c>
      <c r="R145" s="35" t="s">
        <v>42</v>
      </c>
      <c r="S145" s="35" t="s">
        <v>42</v>
      </c>
      <c r="T145" s="35" t="s">
        <v>42</v>
      </c>
      <c r="U145" s="35"/>
      <c r="V145" s="35" t="s">
        <v>42</v>
      </c>
      <c r="W145" s="35"/>
      <c r="X145" s="35" t="s">
        <v>42</v>
      </c>
      <c r="Y145" s="35" t="s">
        <v>58</v>
      </c>
      <c r="Z145" s="35"/>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row>
    <row r="146" spans="1:57" ht="14.25" customHeight="1" x14ac:dyDescent="0.2">
      <c r="A146" s="126" t="s">
        <v>632</v>
      </c>
      <c r="B146" s="126" t="s">
        <v>633</v>
      </c>
      <c r="C146" s="126">
        <v>2025</v>
      </c>
      <c r="D146" s="126" t="s">
        <v>634</v>
      </c>
      <c r="E146" s="126" t="s">
        <v>636</v>
      </c>
      <c r="F146" s="126" t="s">
        <v>637</v>
      </c>
      <c r="G146" s="126" t="s">
        <v>639</v>
      </c>
      <c r="H146" s="126" t="s">
        <v>15</v>
      </c>
      <c r="I146" s="126" t="s">
        <v>230</v>
      </c>
      <c r="J146" s="35"/>
      <c r="K146" s="128" t="s">
        <v>635</v>
      </c>
      <c r="L146" s="36"/>
      <c r="M146" s="36"/>
      <c r="N146" s="35" t="s">
        <v>16</v>
      </c>
      <c r="O146" s="35" t="s">
        <v>16</v>
      </c>
      <c r="P146" s="35" t="s">
        <v>42</v>
      </c>
      <c r="Q146" s="35" t="s">
        <v>42</v>
      </c>
      <c r="R146" s="35" t="s">
        <v>42</v>
      </c>
      <c r="S146" s="35" t="s">
        <v>42</v>
      </c>
      <c r="T146" s="35" t="s">
        <v>42</v>
      </c>
      <c r="U146" s="35"/>
      <c r="V146" s="35" t="s">
        <v>42</v>
      </c>
      <c r="W146" s="35"/>
      <c r="X146" s="35" t="s">
        <v>42</v>
      </c>
      <c r="Y146" s="35" t="s">
        <v>58</v>
      </c>
      <c r="Z146" s="35"/>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row>
    <row r="147" spans="1:57" ht="14.25" customHeight="1" x14ac:dyDescent="0.2">
      <c r="A147" s="126" t="s">
        <v>640</v>
      </c>
      <c r="B147" s="126" t="s">
        <v>641</v>
      </c>
      <c r="C147" s="126">
        <v>2025</v>
      </c>
      <c r="D147" s="126" t="s">
        <v>233</v>
      </c>
      <c r="E147" s="126" t="s">
        <v>643</v>
      </c>
      <c r="F147" s="126" t="s">
        <v>644</v>
      </c>
      <c r="G147" s="126" t="s">
        <v>238</v>
      </c>
      <c r="H147" s="126" t="s">
        <v>15</v>
      </c>
      <c r="I147" s="126" t="s">
        <v>230</v>
      </c>
      <c r="J147" s="35"/>
      <c r="K147" s="128" t="s">
        <v>642</v>
      </c>
      <c r="L147" s="36"/>
      <c r="M147" s="36"/>
      <c r="N147" s="35" t="s">
        <v>16</v>
      </c>
      <c r="O147" s="35"/>
      <c r="P147" s="35" t="s">
        <v>42</v>
      </c>
      <c r="Q147" s="35" t="s">
        <v>42</v>
      </c>
      <c r="R147" s="35" t="s">
        <v>42</v>
      </c>
      <c r="S147" s="35" t="s">
        <v>42</v>
      </c>
      <c r="T147" s="35" t="s">
        <v>42</v>
      </c>
      <c r="U147" s="35"/>
      <c r="V147" s="35" t="s">
        <v>42</v>
      </c>
      <c r="W147" s="35"/>
      <c r="X147" s="35" t="s">
        <v>42</v>
      </c>
      <c r="Y147" s="35" t="s">
        <v>58</v>
      </c>
      <c r="Z147" s="35"/>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row>
    <row r="148" spans="1:57" ht="14.25" customHeight="1" x14ac:dyDescent="0.2">
      <c r="A148" s="126" t="s">
        <v>646</v>
      </c>
      <c r="B148" s="126" t="s">
        <v>647</v>
      </c>
      <c r="C148" s="126">
        <v>2023</v>
      </c>
      <c r="D148" s="126" t="s">
        <v>509</v>
      </c>
      <c r="E148" s="126" t="s">
        <v>649</v>
      </c>
      <c r="F148" s="126" t="s">
        <v>650</v>
      </c>
      <c r="G148" s="126" t="s">
        <v>228</v>
      </c>
      <c r="H148" s="126" t="s">
        <v>15</v>
      </c>
      <c r="I148" s="126" t="s">
        <v>230</v>
      </c>
      <c r="J148" s="35"/>
      <c r="K148" s="128" t="s">
        <v>648</v>
      </c>
      <c r="L148" s="36"/>
      <c r="M148" s="36"/>
      <c r="N148" s="35" t="s">
        <v>16</v>
      </c>
      <c r="O148" s="35"/>
      <c r="P148" s="35" t="s">
        <v>42</v>
      </c>
      <c r="Q148" s="35" t="s">
        <v>42</v>
      </c>
      <c r="R148" s="35" t="s">
        <v>42</v>
      </c>
      <c r="S148" s="35" t="s">
        <v>42</v>
      </c>
      <c r="T148" s="35" t="s">
        <v>42</v>
      </c>
      <c r="U148" s="35"/>
      <c r="V148" s="35" t="s">
        <v>42</v>
      </c>
      <c r="W148" s="35"/>
      <c r="X148" s="35" t="s">
        <v>42</v>
      </c>
      <c r="Y148" s="35" t="s">
        <v>58</v>
      </c>
      <c r="Z148" s="3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row>
    <row r="149" spans="1:57" ht="14.25" customHeight="1" x14ac:dyDescent="0.2">
      <c r="A149" s="126" t="s">
        <v>652</v>
      </c>
      <c r="B149" s="126" t="s">
        <v>653</v>
      </c>
      <c r="C149" s="126">
        <v>2023</v>
      </c>
      <c r="D149" s="126" t="s">
        <v>654</v>
      </c>
      <c r="E149" s="126" t="s">
        <v>656</v>
      </c>
      <c r="F149" s="126" t="s">
        <v>657</v>
      </c>
      <c r="G149" s="126" t="s">
        <v>228</v>
      </c>
      <c r="H149" s="126" t="s">
        <v>15</v>
      </c>
      <c r="I149" s="126" t="s">
        <v>253</v>
      </c>
      <c r="J149" s="35"/>
      <c r="K149" s="128" t="s">
        <v>655</v>
      </c>
      <c r="L149" s="36"/>
      <c r="M149" s="36"/>
      <c r="N149" s="35" t="s">
        <v>16</v>
      </c>
      <c r="O149" s="35" t="s">
        <v>16</v>
      </c>
      <c r="P149" s="35" t="s">
        <v>42</v>
      </c>
      <c r="Q149" s="35" t="s">
        <v>42</v>
      </c>
      <c r="R149" s="35" t="s">
        <v>42</v>
      </c>
      <c r="S149" s="35" t="s">
        <v>42</v>
      </c>
      <c r="T149" s="35" t="s">
        <v>42</v>
      </c>
      <c r="U149" s="35"/>
      <c r="V149" s="35" t="s">
        <v>42</v>
      </c>
      <c r="W149" s="35"/>
      <c r="X149" s="35" t="s">
        <v>42</v>
      </c>
      <c r="Y149" s="35" t="s">
        <v>58</v>
      </c>
      <c r="Z149" s="3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row>
    <row r="150" spans="1:57" ht="14.25" customHeight="1" x14ac:dyDescent="0.2">
      <c r="A150" s="126" t="s">
        <v>659</v>
      </c>
      <c r="B150" s="126" t="s">
        <v>660</v>
      </c>
      <c r="C150" s="126">
        <v>2022</v>
      </c>
      <c r="D150" s="126" t="s">
        <v>233</v>
      </c>
      <c r="E150" s="126" t="s">
        <v>662</v>
      </c>
      <c r="F150" s="126" t="s">
        <v>663</v>
      </c>
      <c r="G150" s="126" t="s">
        <v>238</v>
      </c>
      <c r="H150" s="126" t="s">
        <v>15</v>
      </c>
      <c r="I150" s="126" t="s">
        <v>230</v>
      </c>
      <c r="J150" s="35"/>
      <c r="K150" s="128" t="s">
        <v>661</v>
      </c>
      <c r="L150" s="36"/>
      <c r="M150" s="36"/>
      <c r="N150" s="35" t="s">
        <v>16</v>
      </c>
      <c r="O150" s="35" t="s">
        <v>16</v>
      </c>
      <c r="P150" s="35" t="s">
        <v>42</v>
      </c>
      <c r="Q150" s="35" t="s">
        <v>42</v>
      </c>
      <c r="R150" s="35" t="s">
        <v>42</v>
      </c>
      <c r="S150" s="35" t="s">
        <v>42</v>
      </c>
      <c r="T150" s="35" t="s">
        <v>42</v>
      </c>
      <c r="U150" s="35"/>
      <c r="V150" s="35" t="s">
        <v>42</v>
      </c>
      <c r="W150" s="35"/>
      <c r="X150" s="35" t="s">
        <v>42</v>
      </c>
      <c r="Y150" s="35" t="s">
        <v>58</v>
      </c>
      <c r="Z150" s="3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row>
    <row r="151" spans="1:57" ht="14.25" customHeight="1" x14ac:dyDescent="0.2">
      <c r="A151" s="126" t="s">
        <v>665</v>
      </c>
      <c r="B151" s="126" t="s">
        <v>666</v>
      </c>
      <c r="C151" s="126">
        <v>2022</v>
      </c>
      <c r="D151" s="126" t="s">
        <v>385</v>
      </c>
      <c r="E151" s="126" t="s">
        <v>668</v>
      </c>
      <c r="F151" s="126" t="s">
        <v>669</v>
      </c>
      <c r="G151" s="126" t="s">
        <v>586</v>
      </c>
      <c r="H151" s="126" t="s">
        <v>15</v>
      </c>
      <c r="I151" s="126" t="s">
        <v>253</v>
      </c>
      <c r="J151" s="35"/>
      <c r="K151" s="128" t="s">
        <v>667</v>
      </c>
      <c r="L151" s="36"/>
      <c r="M151" s="36"/>
      <c r="N151" s="35" t="s">
        <v>16</v>
      </c>
      <c r="O151" s="35"/>
      <c r="P151" s="35" t="s">
        <v>42</v>
      </c>
      <c r="Q151" s="35" t="s">
        <v>42</v>
      </c>
      <c r="R151" s="35" t="s">
        <v>42</v>
      </c>
      <c r="S151" s="35" t="s">
        <v>42</v>
      </c>
      <c r="T151" s="35" t="s">
        <v>42</v>
      </c>
      <c r="U151" s="35"/>
      <c r="V151" s="35" t="s">
        <v>42</v>
      </c>
      <c r="W151" s="35"/>
      <c r="X151" s="35" t="s">
        <v>42</v>
      </c>
      <c r="Y151" s="35" t="s">
        <v>58</v>
      </c>
      <c r="Z151" s="3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row>
    <row r="152" spans="1:57" ht="14.25" customHeight="1" x14ac:dyDescent="0.2">
      <c r="A152" s="126" t="s">
        <v>671</v>
      </c>
      <c r="B152" s="126" t="s">
        <v>672</v>
      </c>
      <c r="C152" s="126">
        <v>2024</v>
      </c>
      <c r="D152" s="126" t="s">
        <v>673</v>
      </c>
      <c r="E152" s="126" t="s">
        <v>675</v>
      </c>
      <c r="F152" s="126" t="s">
        <v>676</v>
      </c>
      <c r="G152" s="126" t="s">
        <v>282</v>
      </c>
      <c r="H152" s="126" t="s">
        <v>15</v>
      </c>
      <c r="I152" s="126" t="s">
        <v>253</v>
      </c>
      <c r="J152" s="35"/>
      <c r="K152" s="128" t="s">
        <v>674</v>
      </c>
      <c r="L152" s="36"/>
      <c r="M152" s="36"/>
      <c r="N152" s="35" t="s">
        <v>16</v>
      </c>
      <c r="O152" s="35" t="s">
        <v>47</v>
      </c>
      <c r="P152" s="35" t="s">
        <v>42</v>
      </c>
      <c r="Q152" s="35" t="s">
        <v>42</v>
      </c>
      <c r="R152" s="35" t="s">
        <v>42</v>
      </c>
      <c r="S152" s="35" t="s">
        <v>42</v>
      </c>
      <c r="T152" s="35" t="s">
        <v>42</v>
      </c>
      <c r="U152" s="35"/>
      <c r="V152" s="35" t="s">
        <v>42</v>
      </c>
      <c r="W152" s="35"/>
      <c r="X152" s="35" t="s">
        <v>42</v>
      </c>
      <c r="Y152" s="35" t="s">
        <v>58</v>
      </c>
      <c r="Z152" s="35"/>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row>
    <row r="153" spans="1:57" ht="14.25" customHeight="1" x14ac:dyDescent="0.2">
      <c r="A153" s="126" t="s">
        <v>678</v>
      </c>
      <c r="B153" s="126" t="s">
        <v>679</v>
      </c>
      <c r="C153" s="126">
        <v>2023</v>
      </c>
      <c r="D153" s="126" t="s">
        <v>680</v>
      </c>
      <c r="E153" s="126" t="s">
        <v>682</v>
      </c>
      <c r="F153" s="126">
        <v>0</v>
      </c>
      <c r="G153" s="126" t="s">
        <v>473</v>
      </c>
      <c r="H153" s="126" t="s">
        <v>15</v>
      </c>
      <c r="I153" s="126" t="s">
        <v>230</v>
      </c>
      <c r="J153" s="35"/>
      <c r="K153" s="128" t="s">
        <v>681</v>
      </c>
      <c r="L153" s="36"/>
      <c r="M153" s="36"/>
      <c r="N153" s="35" t="s">
        <v>16</v>
      </c>
      <c r="O153" s="35" t="s">
        <v>16</v>
      </c>
      <c r="P153" s="35" t="s">
        <v>42</v>
      </c>
      <c r="Q153" s="35" t="s">
        <v>42</v>
      </c>
      <c r="R153" s="35" t="s">
        <v>42</v>
      </c>
      <c r="S153" s="35" t="s">
        <v>42</v>
      </c>
      <c r="T153" s="35" t="s">
        <v>42</v>
      </c>
      <c r="U153" s="35"/>
      <c r="V153" s="35" t="s">
        <v>42</v>
      </c>
      <c r="W153" s="35"/>
      <c r="X153" s="35" t="s">
        <v>42</v>
      </c>
      <c r="Y153" s="35" t="s">
        <v>58</v>
      </c>
      <c r="Z153" s="35"/>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row>
    <row r="154" spans="1:57" ht="14.25" customHeight="1" x14ac:dyDescent="0.2">
      <c r="A154" s="126" t="s">
        <v>684</v>
      </c>
      <c r="B154" s="126" t="s">
        <v>685</v>
      </c>
      <c r="C154" s="126">
        <v>2025</v>
      </c>
      <c r="D154" s="126" t="s">
        <v>686</v>
      </c>
      <c r="E154" s="126" t="s">
        <v>688</v>
      </c>
      <c r="F154" s="126" t="s">
        <v>689</v>
      </c>
      <c r="G154" s="126" t="s">
        <v>691</v>
      </c>
      <c r="H154" s="126" t="s">
        <v>15</v>
      </c>
      <c r="I154" s="126" t="s">
        <v>253</v>
      </c>
      <c r="J154" s="35"/>
      <c r="K154" s="128" t="s">
        <v>687</v>
      </c>
      <c r="L154" s="36"/>
      <c r="M154" s="36"/>
      <c r="N154" s="35" t="s">
        <v>16</v>
      </c>
      <c r="O154" s="35"/>
      <c r="P154" s="35" t="s">
        <v>42</v>
      </c>
      <c r="Q154" s="35" t="s">
        <v>42</v>
      </c>
      <c r="R154" s="35" t="s">
        <v>42</v>
      </c>
      <c r="S154" s="35" t="s">
        <v>42</v>
      </c>
      <c r="T154" s="35" t="s">
        <v>42</v>
      </c>
      <c r="U154" s="35"/>
      <c r="V154" s="35" t="s">
        <v>42</v>
      </c>
      <c r="W154" s="35"/>
      <c r="X154" s="35" t="s">
        <v>42</v>
      </c>
      <c r="Y154" s="35" t="s">
        <v>58</v>
      </c>
      <c r="Z154" s="35"/>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row>
    <row r="155" spans="1:57" ht="14.25" customHeight="1" x14ac:dyDescent="0.2">
      <c r="A155" s="126" t="s">
        <v>692</v>
      </c>
      <c r="B155" s="126" t="s">
        <v>693</v>
      </c>
      <c r="C155" s="126">
        <v>2025</v>
      </c>
      <c r="D155" s="126" t="s">
        <v>233</v>
      </c>
      <c r="E155" s="126" t="s">
        <v>695</v>
      </c>
      <c r="F155" s="126" t="s">
        <v>696</v>
      </c>
      <c r="G155" s="126" t="s">
        <v>238</v>
      </c>
      <c r="H155" s="126" t="s">
        <v>15</v>
      </c>
      <c r="I155" s="126" t="s">
        <v>230</v>
      </c>
      <c r="J155" s="35"/>
      <c r="K155" s="128" t="s">
        <v>694</v>
      </c>
      <c r="L155" s="36"/>
      <c r="M155" s="36"/>
      <c r="N155" s="35" t="s">
        <v>16</v>
      </c>
      <c r="O155" s="35"/>
      <c r="P155" s="35" t="s">
        <v>42</v>
      </c>
      <c r="Q155" s="35" t="s">
        <v>42</v>
      </c>
      <c r="R155" s="35" t="s">
        <v>42</v>
      </c>
      <c r="S155" s="35" t="s">
        <v>42</v>
      </c>
      <c r="T155" s="35" t="s">
        <v>42</v>
      </c>
      <c r="U155" s="35"/>
      <c r="V155" s="35" t="s">
        <v>42</v>
      </c>
      <c r="W155" s="35"/>
      <c r="X155" s="35" t="s">
        <v>42</v>
      </c>
      <c r="Y155" s="35" t="s">
        <v>58</v>
      </c>
      <c r="Z155" s="35"/>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row>
    <row r="156" spans="1:57" ht="14.25" customHeight="1" x14ac:dyDescent="0.2">
      <c r="A156" s="126">
        <v>0</v>
      </c>
      <c r="B156" s="126" t="s">
        <v>481</v>
      </c>
      <c r="C156" s="126">
        <v>2023</v>
      </c>
      <c r="D156" s="126" t="s">
        <v>476</v>
      </c>
      <c r="E156" s="126" t="s">
        <v>698</v>
      </c>
      <c r="F156" s="126">
        <v>0</v>
      </c>
      <c r="G156" s="126" t="s">
        <v>228</v>
      </c>
      <c r="H156" s="126" t="s">
        <v>15</v>
      </c>
      <c r="I156" s="126" t="s">
        <v>391</v>
      </c>
      <c r="J156" s="35"/>
      <c r="K156" s="128">
        <v>0</v>
      </c>
      <c r="L156" s="36"/>
      <c r="M156" s="36"/>
      <c r="N156" s="35" t="s">
        <v>16</v>
      </c>
      <c r="O156" s="35" t="s">
        <v>16</v>
      </c>
      <c r="P156" s="35" t="s">
        <v>42</v>
      </c>
      <c r="Q156" s="35" t="s">
        <v>42</v>
      </c>
      <c r="R156" s="35" t="s">
        <v>42</v>
      </c>
      <c r="S156" s="35" t="s">
        <v>42</v>
      </c>
      <c r="T156" s="35" t="s">
        <v>42</v>
      </c>
      <c r="U156" s="35"/>
      <c r="V156" s="35" t="s">
        <v>42</v>
      </c>
      <c r="W156" s="35"/>
      <c r="X156" s="35" t="s">
        <v>42</v>
      </c>
      <c r="Y156" s="35" t="s">
        <v>58</v>
      </c>
      <c r="Z156" s="3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row>
    <row r="157" spans="1:57" ht="14.25" customHeight="1" x14ac:dyDescent="0.2">
      <c r="A157" s="126" t="s">
        <v>699</v>
      </c>
      <c r="B157" s="126" t="s">
        <v>700</v>
      </c>
      <c r="C157" s="126">
        <v>2025</v>
      </c>
      <c r="D157" s="126" t="s">
        <v>233</v>
      </c>
      <c r="E157" s="126" t="s">
        <v>702</v>
      </c>
      <c r="F157" s="126" t="s">
        <v>703</v>
      </c>
      <c r="G157" s="126" t="s">
        <v>238</v>
      </c>
      <c r="H157" s="126" t="s">
        <v>15</v>
      </c>
      <c r="I157" s="126" t="s">
        <v>230</v>
      </c>
      <c r="J157" s="35"/>
      <c r="K157" s="128" t="s">
        <v>701</v>
      </c>
      <c r="L157" s="36"/>
      <c r="M157" s="36"/>
      <c r="N157" s="35" t="s">
        <v>16</v>
      </c>
      <c r="O157" s="35" t="s">
        <v>16</v>
      </c>
      <c r="P157" s="35" t="s">
        <v>42</v>
      </c>
      <c r="Q157" s="35" t="s">
        <v>42</v>
      </c>
      <c r="R157" s="35" t="s">
        <v>42</v>
      </c>
      <c r="S157" s="35" t="s">
        <v>42</v>
      </c>
      <c r="T157" s="35" t="s">
        <v>42</v>
      </c>
      <c r="U157" s="35"/>
      <c r="V157" s="35" t="s">
        <v>42</v>
      </c>
      <c r="W157" s="35"/>
      <c r="X157" s="35" t="s">
        <v>42</v>
      </c>
      <c r="Y157" s="35" t="s">
        <v>58</v>
      </c>
      <c r="Z157" s="35"/>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row>
    <row r="158" spans="1:57" ht="14.25" customHeight="1" x14ac:dyDescent="0.2">
      <c r="A158" s="126" t="s">
        <v>705</v>
      </c>
      <c r="B158" s="126" t="s">
        <v>706</v>
      </c>
      <c r="C158" s="126">
        <v>2026</v>
      </c>
      <c r="D158" s="126" t="s">
        <v>707</v>
      </c>
      <c r="E158" s="126" t="s">
        <v>709</v>
      </c>
      <c r="F158" s="126" t="s">
        <v>710</v>
      </c>
      <c r="G158" s="126" t="s">
        <v>252</v>
      </c>
      <c r="H158" s="126" t="s">
        <v>15</v>
      </c>
      <c r="I158" s="126" t="s">
        <v>253</v>
      </c>
      <c r="J158" s="35"/>
      <c r="K158" s="128" t="s">
        <v>708</v>
      </c>
      <c r="L158" s="36"/>
      <c r="M158" s="36"/>
      <c r="N158" s="35" t="s">
        <v>16</v>
      </c>
      <c r="O158" s="35"/>
      <c r="P158" s="35" t="s">
        <v>42</v>
      </c>
      <c r="Q158" s="35" t="s">
        <v>42</v>
      </c>
      <c r="R158" s="35" t="s">
        <v>42</v>
      </c>
      <c r="S158" s="35" t="s">
        <v>42</v>
      </c>
      <c r="T158" s="35" t="s">
        <v>42</v>
      </c>
      <c r="U158" s="35"/>
      <c r="V158" s="35" t="s">
        <v>42</v>
      </c>
      <c r="W158" s="35"/>
      <c r="X158" s="35" t="s">
        <v>42</v>
      </c>
      <c r="Y158" s="35" t="s">
        <v>58</v>
      </c>
      <c r="Z158" s="3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row>
    <row r="159" spans="1:57" ht="14.25" customHeight="1" x14ac:dyDescent="0.2">
      <c r="A159" s="126" t="s">
        <v>712</v>
      </c>
      <c r="B159" s="126" t="s">
        <v>713</v>
      </c>
      <c r="C159" s="126">
        <v>2025</v>
      </c>
      <c r="D159" s="126" t="s">
        <v>233</v>
      </c>
      <c r="E159" s="126" t="s">
        <v>715</v>
      </c>
      <c r="F159" s="126" t="s">
        <v>716</v>
      </c>
      <c r="G159" s="126" t="s">
        <v>238</v>
      </c>
      <c r="H159" s="126" t="s">
        <v>15</v>
      </c>
      <c r="I159" s="126" t="s">
        <v>230</v>
      </c>
      <c r="J159" s="35"/>
      <c r="K159" s="128" t="s">
        <v>714</v>
      </c>
      <c r="L159" s="36"/>
      <c r="M159" s="36"/>
      <c r="N159" s="35" t="s">
        <v>16</v>
      </c>
      <c r="O159" s="35"/>
      <c r="P159" s="35" t="s">
        <v>42</v>
      </c>
      <c r="Q159" s="35" t="s">
        <v>42</v>
      </c>
      <c r="R159" s="35" t="s">
        <v>42</v>
      </c>
      <c r="S159" s="35" t="s">
        <v>42</v>
      </c>
      <c r="T159" s="35" t="s">
        <v>42</v>
      </c>
      <c r="U159" s="35"/>
      <c r="V159" s="35" t="s">
        <v>42</v>
      </c>
      <c r="W159" s="35"/>
      <c r="X159" s="35" t="s">
        <v>42</v>
      </c>
      <c r="Y159" s="35" t="s">
        <v>58</v>
      </c>
      <c r="Z159" s="3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row>
    <row r="160" spans="1:57" ht="14.25" customHeight="1" x14ac:dyDescent="0.2">
      <c r="A160" s="126" t="s">
        <v>718</v>
      </c>
      <c r="B160" s="126" t="s">
        <v>719</v>
      </c>
      <c r="C160" s="126">
        <v>2025</v>
      </c>
      <c r="D160" s="126" t="s">
        <v>460</v>
      </c>
      <c r="E160" s="126" t="s">
        <v>721</v>
      </c>
      <c r="F160" s="126" t="s">
        <v>722</v>
      </c>
      <c r="G160" s="126" t="s">
        <v>465</v>
      </c>
      <c r="H160" s="126" t="s">
        <v>15</v>
      </c>
      <c r="I160" s="126" t="s">
        <v>253</v>
      </c>
      <c r="J160" s="35"/>
      <c r="K160" s="128" t="s">
        <v>720</v>
      </c>
      <c r="L160" s="36"/>
      <c r="M160" s="36"/>
      <c r="N160" s="36"/>
      <c r="O160" s="35" t="s">
        <v>16</v>
      </c>
      <c r="P160" s="38" t="s">
        <v>42</v>
      </c>
      <c r="Q160" s="38" t="s">
        <v>42</v>
      </c>
      <c r="R160" s="38" t="s">
        <v>42</v>
      </c>
      <c r="S160" s="38" t="s">
        <v>42</v>
      </c>
      <c r="T160" s="38" t="s">
        <v>42</v>
      </c>
      <c r="U160" s="35"/>
      <c r="V160" s="35" t="s">
        <v>42</v>
      </c>
      <c r="W160" s="35"/>
      <c r="X160" s="35" t="s">
        <v>42</v>
      </c>
      <c r="Y160" s="35" t="s">
        <v>58</v>
      </c>
      <c r="Z160" s="3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row>
    <row r="161" spans="1:57" ht="14.25" customHeight="1" x14ac:dyDescent="0.2">
      <c r="A161" s="126" t="s">
        <v>724</v>
      </c>
      <c r="B161" s="126" t="s">
        <v>725</v>
      </c>
      <c r="C161" s="126">
        <v>2022</v>
      </c>
      <c r="D161" s="126" t="s">
        <v>394</v>
      </c>
      <c r="E161" s="126" t="s">
        <v>727</v>
      </c>
      <c r="F161" s="126" t="s">
        <v>728</v>
      </c>
      <c r="G161" s="126" t="s">
        <v>274</v>
      </c>
      <c r="H161" s="126" t="s">
        <v>15</v>
      </c>
      <c r="I161" s="126" t="s">
        <v>253</v>
      </c>
      <c r="J161" s="35"/>
      <c r="K161" s="128" t="s">
        <v>726</v>
      </c>
      <c r="L161" s="36"/>
      <c r="M161" s="36"/>
      <c r="N161" s="35" t="s">
        <v>16</v>
      </c>
      <c r="O161" s="35"/>
      <c r="P161" s="38" t="s">
        <v>42</v>
      </c>
      <c r="Q161" s="38" t="s">
        <v>42</v>
      </c>
      <c r="R161" s="38" t="s">
        <v>42</v>
      </c>
      <c r="S161" s="38" t="s">
        <v>42</v>
      </c>
      <c r="T161" s="38" t="s">
        <v>42</v>
      </c>
      <c r="U161" s="35"/>
      <c r="V161" s="35" t="s">
        <v>58</v>
      </c>
      <c r="W161" s="35"/>
      <c r="X161" s="35" t="s">
        <v>42</v>
      </c>
      <c r="Y161" s="35" t="s">
        <v>58</v>
      </c>
      <c r="Z161" s="3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row>
    <row r="162" spans="1:57" ht="14.25" customHeight="1" x14ac:dyDescent="0.2">
      <c r="A162" s="126" t="s">
        <v>730</v>
      </c>
      <c r="B162" s="126" t="s">
        <v>731</v>
      </c>
      <c r="C162" s="126">
        <v>2024</v>
      </c>
      <c r="D162" s="126" t="s">
        <v>233</v>
      </c>
      <c r="E162" s="126" t="s">
        <v>733</v>
      </c>
      <c r="F162" s="126" t="s">
        <v>734</v>
      </c>
      <c r="G162" s="126" t="s">
        <v>238</v>
      </c>
      <c r="H162" s="126" t="s">
        <v>15</v>
      </c>
      <c r="I162" s="126" t="s">
        <v>230</v>
      </c>
      <c r="J162" s="35"/>
      <c r="K162" s="128" t="s">
        <v>732</v>
      </c>
      <c r="L162" s="36"/>
      <c r="M162" s="36"/>
      <c r="N162" s="35" t="s">
        <v>16</v>
      </c>
      <c r="O162" s="35"/>
      <c r="P162" s="38" t="s">
        <v>42</v>
      </c>
      <c r="Q162" s="38" t="s">
        <v>42</v>
      </c>
      <c r="R162" s="38" t="s">
        <v>42</v>
      </c>
      <c r="S162" s="38" t="s">
        <v>42</v>
      </c>
      <c r="T162" s="38" t="s">
        <v>42</v>
      </c>
      <c r="U162" s="35"/>
      <c r="V162" s="35" t="s">
        <v>42</v>
      </c>
      <c r="W162" s="35"/>
      <c r="X162" s="35" t="s">
        <v>42</v>
      </c>
      <c r="Y162" s="35" t="s">
        <v>58</v>
      </c>
      <c r="Z162" s="3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row>
    <row r="163" spans="1:57" ht="14.25" customHeight="1" x14ac:dyDescent="0.2">
      <c r="A163" s="126" t="s">
        <v>736</v>
      </c>
      <c r="B163" s="126" t="s">
        <v>737</v>
      </c>
      <c r="C163" s="126">
        <v>2023</v>
      </c>
      <c r="D163" s="126" t="s">
        <v>738</v>
      </c>
      <c r="E163" s="126" t="s">
        <v>740</v>
      </c>
      <c r="F163" s="126" t="s">
        <v>741</v>
      </c>
      <c r="G163" s="126" t="s">
        <v>743</v>
      </c>
      <c r="H163" s="126" t="s">
        <v>15</v>
      </c>
      <c r="I163" s="126" t="s">
        <v>253</v>
      </c>
      <c r="J163" s="35"/>
      <c r="K163" s="128" t="s">
        <v>739</v>
      </c>
      <c r="L163" s="36"/>
      <c r="M163" s="36"/>
      <c r="N163" s="35" t="s">
        <v>16</v>
      </c>
      <c r="O163" s="35"/>
      <c r="P163" s="38" t="s">
        <v>42</v>
      </c>
      <c r="Q163" s="38" t="s">
        <v>42</v>
      </c>
      <c r="R163" s="38" t="s">
        <v>42</v>
      </c>
      <c r="S163" s="38" t="s">
        <v>42</v>
      </c>
      <c r="T163" s="38" t="s">
        <v>42</v>
      </c>
      <c r="U163" s="35"/>
      <c r="V163" s="35" t="s">
        <v>42</v>
      </c>
      <c r="W163" s="35"/>
      <c r="X163" s="35" t="s">
        <v>42</v>
      </c>
      <c r="Y163" s="35" t="s">
        <v>58</v>
      </c>
      <c r="Z163" s="3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row>
    <row r="164" spans="1:57" ht="14.25" customHeight="1" x14ac:dyDescent="0.2">
      <c r="A164" s="126" t="s">
        <v>744</v>
      </c>
      <c r="B164" s="126" t="s">
        <v>745</v>
      </c>
      <c r="C164" s="126">
        <v>2022</v>
      </c>
      <c r="D164" s="126" t="s">
        <v>746</v>
      </c>
      <c r="E164" s="126" t="s">
        <v>748</v>
      </c>
      <c r="F164" s="126" t="s">
        <v>749</v>
      </c>
      <c r="G164" s="126" t="s">
        <v>473</v>
      </c>
      <c r="H164" s="126" t="s">
        <v>15</v>
      </c>
      <c r="I164" s="126" t="s">
        <v>230</v>
      </c>
      <c r="J164" s="35"/>
      <c r="K164" s="128" t="s">
        <v>747</v>
      </c>
      <c r="L164" s="36"/>
      <c r="M164" s="36"/>
      <c r="N164" s="35" t="s">
        <v>16</v>
      </c>
      <c r="O164" s="35" t="s">
        <v>16</v>
      </c>
      <c r="P164" s="38" t="s">
        <v>42</v>
      </c>
      <c r="Q164" s="38" t="s">
        <v>42</v>
      </c>
      <c r="R164" s="38" t="s">
        <v>42</v>
      </c>
      <c r="S164" s="38" t="s">
        <v>42</v>
      </c>
      <c r="T164" s="38" t="s">
        <v>42</v>
      </c>
      <c r="U164" s="35"/>
      <c r="V164" s="35" t="s">
        <v>42</v>
      </c>
      <c r="W164" s="35"/>
      <c r="X164" s="35" t="s">
        <v>58</v>
      </c>
      <c r="Y164" s="35" t="s">
        <v>58</v>
      </c>
      <c r="Z164" s="35"/>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row>
    <row r="165" spans="1:57" ht="14.25" customHeight="1" x14ac:dyDescent="0.2">
      <c r="A165" s="126" t="s">
        <v>750</v>
      </c>
      <c r="B165" s="126" t="s">
        <v>751</v>
      </c>
      <c r="C165" s="126">
        <v>2024</v>
      </c>
      <c r="D165" s="126" t="s">
        <v>394</v>
      </c>
      <c r="E165" s="126" t="s">
        <v>753</v>
      </c>
      <c r="F165" s="126" t="s">
        <v>754</v>
      </c>
      <c r="G165" s="126" t="s">
        <v>274</v>
      </c>
      <c r="H165" s="126" t="s">
        <v>15</v>
      </c>
      <c r="I165" s="126" t="s">
        <v>253</v>
      </c>
      <c r="J165" s="35"/>
      <c r="K165" s="128" t="s">
        <v>752</v>
      </c>
      <c r="L165" s="36"/>
      <c r="M165" s="36"/>
      <c r="N165" s="35" t="s">
        <v>16</v>
      </c>
      <c r="O165" s="35" t="s">
        <v>16</v>
      </c>
      <c r="P165" s="38" t="s">
        <v>42</v>
      </c>
      <c r="Q165" s="38" t="s">
        <v>42</v>
      </c>
      <c r="R165" s="38" t="s">
        <v>42</v>
      </c>
      <c r="S165" s="38" t="s">
        <v>42</v>
      </c>
      <c r="T165" s="38" t="s">
        <v>42</v>
      </c>
      <c r="U165" s="35"/>
      <c r="V165" s="35" t="s">
        <v>42</v>
      </c>
      <c r="W165" s="35"/>
      <c r="X165" s="35" t="s">
        <v>42</v>
      </c>
      <c r="Y165" s="35" t="s">
        <v>58</v>
      </c>
      <c r="Z165" s="3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row>
    <row r="166" spans="1:57" ht="14.25" customHeight="1" x14ac:dyDescent="0.2">
      <c r="A166" s="126" t="s">
        <v>756</v>
      </c>
      <c r="B166" s="126" t="s">
        <v>757</v>
      </c>
      <c r="C166" s="126">
        <v>2022</v>
      </c>
      <c r="D166" s="126" t="s">
        <v>233</v>
      </c>
      <c r="E166" s="126" t="s">
        <v>759</v>
      </c>
      <c r="F166" s="126" t="s">
        <v>760</v>
      </c>
      <c r="G166" s="126" t="s">
        <v>238</v>
      </c>
      <c r="H166" s="126" t="s">
        <v>15</v>
      </c>
      <c r="I166" s="126" t="s">
        <v>230</v>
      </c>
      <c r="J166" s="35"/>
      <c r="K166" s="128" t="s">
        <v>758</v>
      </c>
      <c r="L166" s="36"/>
      <c r="M166" s="36"/>
      <c r="N166" s="35" t="s">
        <v>16</v>
      </c>
      <c r="O166" s="35" t="s">
        <v>16</v>
      </c>
      <c r="P166" s="38" t="s">
        <v>42</v>
      </c>
      <c r="Q166" s="38" t="s">
        <v>42</v>
      </c>
      <c r="R166" s="38" t="s">
        <v>42</v>
      </c>
      <c r="S166" s="38" t="s">
        <v>42</v>
      </c>
      <c r="T166" s="38" t="s">
        <v>42</v>
      </c>
      <c r="U166" s="35"/>
      <c r="V166" s="35" t="s">
        <v>42</v>
      </c>
      <c r="W166" s="35"/>
      <c r="X166" s="35" t="s">
        <v>42</v>
      </c>
      <c r="Y166" s="35" t="s">
        <v>58</v>
      </c>
      <c r="Z166" s="3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row>
    <row r="167" spans="1:57" ht="14.25" customHeight="1" x14ac:dyDescent="0.2">
      <c r="A167" s="126" t="s">
        <v>762</v>
      </c>
      <c r="B167" s="126" t="s">
        <v>763</v>
      </c>
      <c r="C167" s="126">
        <v>2024</v>
      </c>
      <c r="D167" s="126" t="s">
        <v>764</v>
      </c>
      <c r="E167" s="126" t="s">
        <v>766</v>
      </c>
      <c r="F167" s="126" t="s">
        <v>767</v>
      </c>
      <c r="G167" s="126" t="s">
        <v>473</v>
      </c>
      <c r="H167" s="126" t="s">
        <v>15</v>
      </c>
      <c r="I167" s="126" t="s">
        <v>230</v>
      </c>
      <c r="J167" s="35"/>
      <c r="K167" s="128" t="s">
        <v>765</v>
      </c>
      <c r="L167" s="36"/>
      <c r="M167" s="36"/>
      <c r="N167" s="35" t="s">
        <v>16</v>
      </c>
      <c r="O167" s="35"/>
      <c r="P167" s="38" t="s">
        <v>42</v>
      </c>
      <c r="Q167" s="38" t="s">
        <v>42</v>
      </c>
      <c r="R167" s="38" t="s">
        <v>42</v>
      </c>
      <c r="S167" s="38" t="s">
        <v>42</v>
      </c>
      <c r="T167" s="38" t="s">
        <v>42</v>
      </c>
      <c r="U167" s="35"/>
      <c r="V167" s="35" t="s">
        <v>42</v>
      </c>
      <c r="W167" s="35"/>
      <c r="X167" s="35" t="s">
        <v>42</v>
      </c>
      <c r="Y167" s="35" t="s">
        <v>58</v>
      </c>
      <c r="Z167" s="3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row>
    <row r="168" spans="1:57" ht="14.25" customHeight="1" x14ac:dyDescent="0.2">
      <c r="A168" s="126" t="s">
        <v>769</v>
      </c>
      <c r="B168" s="126" t="s">
        <v>770</v>
      </c>
      <c r="C168" s="126">
        <v>2023</v>
      </c>
      <c r="D168" s="126" t="s">
        <v>771</v>
      </c>
      <c r="E168" s="126" t="s">
        <v>773</v>
      </c>
      <c r="F168" s="126" t="s">
        <v>774</v>
      </c>
      <c r="G168" s="126" t="s">
        <v>228</v>
      </c>
      <c r="H168" s="126" t="s">
        <v>15</v>
      </c>
      <c r="I168" s="126" t="s">
        <v>230</v>
      </c>
      <c r="J168" s="35"/>
      <c r="K168" s="128" t="s">
        <v>772</v>
      </c>
      <c r="L168" s="36"/>
      <c r="M168" s="36"/>
      <c r="N168" s="36"/>
      <c r="O168" s="35" t="s">
        <v>16</v>
      </c>
      <c r="P168" s="38" t="s">
        <v>42</v>
      </c>
      <c r="Q168" s="38" t="s">
        <v>42</v>
      </c>
      <c r="R168" s="38" t="s">
        <v>42</v>
      </c>
      <c r="S168" s="38" t="s">
        <v>42</v>
      </c>
      <c r="T168" s="38" t="s">
        <v>42</v>
      </c>
      <c r="U168" s="35"/>
      <c r="V168" s="35" t="s">
        <v>42</v>
      </c>
      <c r="W168" s="35"/>
      <c r="X168" s="35" t="s">
        <v>42</v>
      </c>
      <c r="Y168" s="35" t="s">
        <v>58</v>
      </c>
      <c r="Z168" s="3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row>
    <row r="169" spans="1:57" ht="14.25" customHeight="1" x14ac:dyDescent="0.2">
      <c r="A169" s="126" t="s">
        <v>776</v>
      </c>
      <c r="B169" s="126" t="s">
        <v>777</v>
      </c>
      <c r="C169" s="126">
        <v>2023</v>
      </c>
      <c r="D169" s="126" t="s">
        <v>233</v>
      </c>
      <c r="E169" s="126" t="s">
        <v>779</v>
      </c>
      <c r="F169" s="126" t="s">
        <v>780</v>
      </c>
      <c r="G169" s="126" t="s">
        <v>238</v>
      </c>
      <c r="H169" s="126" t="s">
        <v>15</v>
      </c>
      <c r="I169" s="126" t="s">
        <v>230</v>
      </c>
      <c r="J169" s="35"/>
      <c r="K169" s="128" t="s">
        <v>778</v>
      </c>
      <c r="L169" s="36"/>
      <c r="M169" s="36"/>
      <c r="N169" s="35" t="s">
        <v>16</v>
      </c>
      <c r="O169" s="35"/>
      <c r="P169" s="38" t="s">
        <v>42</v>
      </c>
      <c r="Q169" s="38" t="s">
        <v>42</v>
      </c>
      <c r="R169" s="38" t="s">
        <v>42</v>
      </c>
      <c r="S169" s="38" t="s">
        <v>42</v>
      </c>
      <c r="T169" s="38" t="s">
        <v>42</v>
      </c>
      <c r="U169" s="35"/>
      <c r="V169" s="35" t="s">
        <v>42</v>
      </c>
      <c r="W169" s="35"/>
      <c r="X169" s="35" t="s">
        <v>42</v>
      </c>
      <c r="Y169" s="35" t="s">
        <v>58</v>
      </c>
      <c r="Z169" s="35"/>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row>
    <row r="170" spans="1:57" ht="14.25" customHeight="1" x14ac:dyDescent="0.2">
      <c r="A170" s="126" t="s">
        <v>782</v>
      </c>
      <c r="B170" s="126" t="s">
        <v>783</v>
      </c>
      <c r="C170" s="126">
        <v>2026</v>
      </c>
      <c r="D170" s="126" t="s">
        <v>784</v>
      </c>
      <c r="E170" s="126" t="s">
        <v>786</v>
      </c>
      <c r="F170" s="126" t="s">
        <v>787</v>
      </c>
      <c r="G170" s="126" t="s">
        <v>789</v>
      </c>
      <c r="H170" s="126" t="s">
        <v>15</v>
      </c>
      <c r="I170" s="126" t="s">
        <v>230</v>
      </c>
      <c r="J170" s="35"/>
      <c r="K170" s="128" t="s">
        <v>785</v>
      </c>
      <c r="L170" s="36"/>
      <c r="M170" s="36"/>
      <c r="N170" s="35" t="s">
        <v>16</v>
      </c>
      <c r="O170" s="35" t="s">
        <v>16</v>
      </c>
      <c r="P170" s="38" t="s">
        <v>42</v>
      </c>
      <c r="Q170" s="38" t="s">
        <v>42</v>
      </c>
      <c r="R170" s="38" t="s">
        <v>42</v>
      </c>
      <c r="S170" s="38" t="s">
        <v>42</v>
      </c>
      <c r="T170" s="38" t="s">
        <v>42</v>
      </c>
      <c r="U170" s="35"/>
      <c r="V170" s="35" t="s">
        <v>42</v>
      </c>
      <c r="W170" s="35"/>
      <c r="X170" s="35" t="s">
        <v>42</v>
      </c>
      <c r="Y170" s="35" t="s">
        <v>58</v>
      </c>
      <c r="Z170" s="3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row>
    <row r="171" spans="1:57" ht="14.25" customHeight="1" x14ac:dyDescent="0.2">
      <c r="A171" s="126" t="s">
        <v>790</v>
      </c>
      <c r="B171" s="126" t="s">
        <v>791</v>
      </c>
      <c r="C171" s="126">
        <v>2022</v>
      </c>
      <c r="D171" s="126" t="s">
        <v>233</v>
      </c>
      <c r="E171" s="126" t="s">
        <v>793</v>
      </c>
      <c r="F171" s="126" t="s">
        <v>794</v>
      </c>
      <c r="G171" s="126" t="s">
        <v>238</v>
      </c>
      <c r="H171" s="126" t="s">
        <v>15</v>
      </c>
      <c r="I171" s="126" t="s">
        <v>230</v>
      </c>
      <c r="J171" s="35"/>
      <c r="K171" s="128" t="s">
        <v>792</v>
      </c>
      <c r="L171" s="36"/>
      <c r="M171" s="36"/>
      <c r="N171" s="35" t="s">
        <v>16</v>
      </c>
      <c r="O171" s="35"/>
      <c r="P171" s="38" t="s">
        <v>42</v>
      </c>
      <c r="Q171" s="38" t="s">
        <v>42</v>
      </c>
      <c r="R171" s="38" t="s">
        <v>42</v>
      </c>
      <c r="S171" s="38" t="s">
        <v>42</v>
      </c>
      <c r="T171" s="38" t="s">
        <v>42</v>
      </c>
      <c r="U171" s="35"/>
      <c r="V171" s="35" t="s">
        <v>42</v>
      </c>
      <c r="W171" s="35"/>
      <c r="X171" s="35" t="s">
        <v>42</v>
      </c>
      <c r="Y171" s="35" t="s">
        <v>58</v>
      </c>
      <c r="Z171" s="35"/>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row>
    <row r="172" spans="1:57" ht="14.25" customHeight="1" x14ac:dyDescent="0.2">
      <c r="A172" s="126" t="s">
        <v>796</v>
      </c>
      <c r="B172" s="126" t="s">
        <v>797</v>
      </c>
      <c r="C172" s="126">
        <v>2025</v>
      </c>
      <c r="D172" s="126" t="s">
        <v>798</v>
      </c>
      <c r="E172" s="126" t="s">
        <v>800</v>
      </c>
      <c r="F172" s="126" t="s">
        <v>801</v>
      </c>
      <c r="G172" s="126" t="s">
        <v>803</v>
      </c>
      <c r="H172" s="126" t="s">
        <v>15</v>
      </c>
      <c r="I172" s="126" t="s">
        <v>253</v>
      </c>
      <c r="J172" s="35"/>
      <c r="K172" s="128" t="s">
        <v>799</v>
      </c>
      <c r="L172" s="36"/>
      <c r="M172" s="36"/>
      <c r="N172" s="35" t="s">
        <v>16</v>
      </c>
      <c r="O172" s="35" t="s">
        <v>16</v>
      </c>
      <c r="P172" s="38" t="s">
        <v>42</v>
      </c>
      <c r="Q172" s="38" t="s">
        <v>42</v>
      </c>
      <c r="R172" s="38" t="s">
        <v>42</v>
      </c>
      <c r="S172" s="38" t="s">
        <v>42</v>
      </c>
      <c r="T172" s="38" t="s">
        <v>42</v>
      </c>
      <c r="U172" s="35"/>
      <c r="V172" s="35" t="s">
        <v>58</v>
      </c>
      <c r="W172" s="35"/>
      <c r="X172" s="35" t="s">
        <v>42</v>
      </c>
      <c r="Y172" s="35" t="s">
        <v>58</v>
      </c>
      <c r="Z172" s="35"/>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row>
    <row r="173" spans="1:57" ht="14.25" customHeight="1" x14ac:dyDescent="0.2">
      <c r="A173" s="126" t="s">
        <v>804</v>
      </c>
      <c r="B173" s="126" t="s">
        <v>805</v>
      </c>
      <c r="C173" s="126">
        <v>2025</v>
      </c>
      <c r="D173" s="126" t="s">
        <v>806</v>
      </c>
      <c r="E173" s="126" t="s">
        <v>808</v>
      </c>
      <c r="F173" s="126" t="s">
        <v>809</v>
      </c>
      <c r="G173" s="126" t="s">
        <v>465</v>
      </c>
      <c r="H173" s="126" t="s">
        <v>15</v>
      </c>
      <c r="I173" s="126" t="s">
        <v>545</v>
      </c>
      <c r="J173" s="35"/>
      <c r="K173" s="128" t="s">
        <v>807</v>
      </c>
      <c r="L173" s="36"/>
      <c r="M173" s="36"/>
      <c r="N173" s="36"/>
      <c r="O173" s="35" t="s">
        <v>16</v>
      </c>
      <c r="P173" s="38" t="s">
        <v>42</v>
      </c>
      <c r="Q173" s="38" t="s">
        <v>42</v>
      </c>
      <c r="R173" s="38" t="s">
        <v>42</v>
      </c>
      <c r="S173" s="38" t="s">
        <v>42</v>
      </c>
      <c r="T173" s="38" t="s">
        <v>42</v>
      </c>
      <c r="U173" s="35"/>
      <c r="V173" s="35" t="s">
        <v>42</v>
      </c>
      <c r="W173" s="35"/>
      <c r="X173" s="35" t="s">
        <v>42</v>
      </c>
      <c r="Y173" s="35" t="s">
        <v>58</v>
      </c>
      <c r="Z173" s="3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row>
    <row r="174" spans="1:57" ht="14.25" customHeight="1" x14ac:dyDescent="0.2">
      <c r="A174" s="126" t="s">
        <v>811</v>
      </c>
      <c r="B174" s="126" t="s">
        <v>812</v>
      </c>
      <c r="C174" s="126">
        <v>2024</v>
      </c>
      <c r="D174" s="126" t="s">
        <v>460</v>
      </c>
      <c r="E174" s="126" t="s">
        <v>814</v>
      </c>
      <c r="F174" s="126" t="s">
        <v>815</v>
      </c>
      <c r="G174" s="126" t="s">
        <v>465</v>
      </c>
      <c r="H174" s="126" t="s">
        <v>15</v>
      </c>
      <c r="I174" s="126" t="s">
        <v>253</v>
      </c>
      <c r="J174" s="35"/>
      <c r="K174" s="128" t="s">
        <v>813</v>
      </c>
      <c r="L174" s="36"/>
      <c r="M174" s="36"/>
      <c r="N174" s="35" t="s">
        <v>16</v>
      </c>
      <c r="O174" s="35"/>
      <c r="P174" s="38" t="s">
        <v>42</v>
      </c>
      <c r="Q174" s="38" t="s">
        <v>42</v>
      </c>
      <c r="R174" s="38" t="s">
        <v>42</v>
      </c>
      <c r="S174" s="38" t="s">
        <v>42</v>
      </c>
      <c r="T174" s="38" t="s">
        <v>42</v>
      </c>
      <c r="U174" s="35"/>
      <c r="V174" s="35" t="s">
        <v>42</v>
      </c>
      <c r="W174" s="35"/>
      <c r="X174" s="35" t="s">
        <v>42</v>
      </c>
      <c r="Y174" s="35" t="s">
        <v>58</v>
      </c>
      <c r="Z174" s="3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row>
    <row r="175" spans="1:57" ht="14.25" customHeight="1" x14ac:dyDescent="0.2">
      <c r="A175" s="126" t="s">
        <v>817</v>
      </c>
      <c r="B175" s="126" t="s">
        <v>818</v>
      </c>
      <c r="C175" s="126">
        <v>2022</v>
      </c>
      <c r="D175" s="126" t="s">
        <v>819</v>
      </c>
      <c r="E175" s="126" t="s">
        <v>821</v>
      </c>
      <c r="F175" s="126" t="s">
        <v>822</v>
      </c>
      <c r="G175" s="126" t="s">
        <v>823</v>
      </c>
      <c r="H175" s="126" t="s">
        <v>15</v>
      </c>
      <c r="I175" s="126" t="s">
        <v>230</v>
      </c>
      <c r="J175" s="35"/>
      <c r="K175" s="128" t="s">
        <v>820</v>
      </c>
      <c r="L175" s="36"/>
      <c r="M175" s="36"/>
      <c r="N175" s="35" t="s">
        <v>16</v>
      </c>
      <c r="O175" s="35" t="s">
        <v>16</v>
      </c>
      <c r="P175" s="38" t="s">
        <v>42</v>
      </c>
      <c r="Q175" s="38" t="s">
        <v>42</v>
      </c>
      <c r="R175" s="38" t="s">
        <v>42</v>
      </c>
      <c r="S175" s="38" t="s">
        <v>42</v>
      </c>
      <c r="T175" s="38" t="s">
        <v>42</v>
      </c>
      <c r="U175" s="35"/>
      <c r="V175" s="35" t="s">
        <v>42</v>
      </c>
      <c r="W175" s="35"/>
      <c r="X175" s="35" t="s">
        <v>42</v>
      </c>
      <c r="Y175" s="35" t="s">
        <v>58</v>
      </c>
      <c r="Z175" s="35"/>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row>
    <row r="176" spans="1:57" ht="14.25" customHeight="1" x14ac:dyDescent="0.2">
      <c r="A176" s="126" t="s">
        <v>824</v>
      </c>
      <c r="B176" s="126" t="s">
        <v>825</v>
      </c>
      <c r="C176" s="126">
        <v>2025</v>
      </c>
      <c r="D176" s="126" t="s">
        <v>269</v>
      </c>
      <c r="E176" s="126" t="s">
        <v>827</v>
      </c>
      <c r="F176" s="126" t="s">
        <v>828</v>
      </c>
      <c r="G176" s="126" t="s">
        <v>274</v>
      </c>
      <c r="H176" s="126" t="s">
        <v>15</v>
      </c>
      <c r="I176" s="126" t="s">
        <v>253</v>
      </c>
      <c r="J176" s="35"/>
      <c r="K176" s="128" t="s">
        <v>826</v>
      </c>
      <c r="L176" s="36"/>
      <c r="M176" s="36"/>
      <c r="N176" s="35" t="s">
        <v>16</v>
      </c>
      <c r="O176" s="35"/>
      <c r="P176" s="38" t="s">
        <v>42</v>
      </c>
      <c r="Q176" s="38" t="s">
        <v>42</v>
      </c>
      <c r="R176" s="38" t="s">
        <v>42</v>
      </c>
      <c r="S176" s="38" t="s">
        <v>42</v>
      </c>
      <c r="T176" s="38" t="s">
        <v>42</v>
      </c>
      <c r="U176" s="35"/>
      <c r="V176" s="35" t="s">
        <v>42</v>
      </c>
      <c r="W176" s="35"/>
      <c r="X176" s="35" t="s">
        <v>42</v>
      </c>
      <c r="Y176" s="35" t="s">
        <v>58</v>
      </c>
      <c r="Z176" s="3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row>
    <row r="177" spans="1:57" ht="14.25" customHeight="1" x14ac:dyDescent="0.2">
      <c r="A177" s="126" t="s">
        <v>830</v>
      </c>
      <c r="B177" s="126" t="s">
        <v>831</v>
      </c>
      <c r="C177" s="126">
        <v>2023</v>
      </c>
      <c r="D177" s="126" t="s">
        <v>832</v>
      </c>
      <c r="E177" s="126" t="s">
        <v>834</v>
      </c>
      <c r="F177" s="126" t="s">
        <v>835</v>
      </c>
      <c r="G177" s="126" t="s">
        <v>473</v>
      </c>
      <c r="H177" s="126" t="s">
        <v>15</v>
      </c>
      <c r="I177" s="126" t="s">
        <v>230</v>
      </c>
      <c r="J177" s="35"/>
      <c r="K177" s="128" t="s">
        <v>833</v>
      </c>
      <c r="L177" s="36"/>
      <c r="M177" s="36"/>
      <c r="N177" s="35" t="s">
        <v>16</v>
      </c>
      <c r="O177" s="35" t="s">
        <v>16</v>
      </c>
      <c r="P177" s="38" t="s">
        <v>42</v>
      </c>
      <c r="Q177" s="38" t="s">
        <v>42</v>
      </c>
      <c r="R177" s="38" t="s">
        <v>42</v>
      </c>
      <c r="S177" s="38" t="s">
        <v>42</v>
      </c>
      <c r="T177" s="38" t="s">
        <v>42</v>
      </c>
      <c r="U177" s="35"/>
      <c r="V177" s="35" t="s">
        <v>42</v>
      </c>
      <c r="W177" s="35"/>
      <c r="X177" s="35" t="s">
        <v>42</v>
      </c>
      <c r="Y177" s="35" t="s">
        <v>58</v>
      </c>
      <c r="Z177" s="3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row>
    <row r="178" spans="1:57" ht="14.25" customHeight="1" x14ac:dyDescent="0.2">
      <c r="A178" s="126" t="s">
        <v>837</v>
      </c>
      <c r="B178" s="126" t="s">
        <v>838</v>
      </c>
      <c r="C178" s="126">
        <v>2024</v>
      </c>
      <c r="D178" s="126" t="s">
        <v>839</v>
      </c>
      <c r="E178" s="126" t="s">
        <v>841</v>
      </c>
      <c r="F178" s="126" t="s">
        <v>842</v>
      </c>
      <c r="G178" s="126" t="s">
        <v>473</v>
      </c>
      <c r="H178" s="126" t="s">
        <v>15</v>
      </c>
      <c r="I178" s="126" t="s">
        <v>230</v>
      </c>
      <c r="J178" s="35"/>
      <c r="K178" s="128" t="s">
        <v>840</v>
      </c>
      <c r="L178" s="36"/>
      <c r="M178" s="36"/>
      <c r="N178" s="35" t="s">
        <v>16</v>
      </c>
      <c r="O178" s="35"/>
      <c r="P178" s="38" t="s">
        <v>42</v>
      </c>
      <c r="Q178" s="38" t="s">
        <v>42</v>
      </c>
      <c r="R178" s="38" t="s">
        <v>42</v>
      </c>
      <c r="S178" s="38" t="s">
        <v>42</v>
      </c>
      <c r="T178" s="38" t="s">
        <v>42</v>
      </c>
      <c r="U178" s="35"/>
      <c r="V178" s="35" t="s">
        <v>42</v>
      </c>
      <c r="W178" s="35"/>
      <c r="X178" s="35" t="s">
        <v>42</v>
      </c>
      <c r="Y178" s="35" t="s">
        <v>58</v>
      </c>
      <c r="Z178" s="3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row>
    <row r="179" spans="1:57" ht="14.25" customHeight="1" x14ac:dyDescent="0.2">
      <c r="A179" s="126" t="s">
        <v>843</v>
      </c>
      <c r="B179" s="126" t="s">
        <v>844</v>
      </c>
      <c r="C179" s="126">
        <v>2022</v>
      </c>
      <c r="D179" s="126" t="s">
        <v>233</v>
      </c>
      <c r="E179" s="126" t="s">
        <v>846</v>
      </c>
      <c r="F179" s="126" t="s">
        <v>847</v>
      </c>
      <c r="G179" s="126" t="s">
        <v>238</v>
      </c>
      <c r="H179" s="126" t="s">
        <v>15</v>
      </c>
      <c r="I179" s="126" t="s">
        <v>230</v>
      </c>
      <c r="J179" s="35"/>
      <c r="K179" s="128" t="s">
        <v>845</v>
      </c>
      <c r="L179" s="36"/>
      <c r="M179" s="36"/>
      <c r="N179" s="35" t="s">
        <v>16</v>
      </c>
      <c r="O179" s="35"/>
      <c r="P179" s="38" t="s">
        <v>42</v>
      </c>
      <c r="Q179" s="38" t="s">
        <v>42</v>
      </c>
      <c r="R179" s="38" t="s">
        <v>42</v>
      </c>
      <c r="S179" s="38" t="s">
        <v>42</v>
      </c>
      <c r="T179" s="38" t="s">
        <v>42</v>
      </c>
      <c r="U179" s="35"/>
      <c r="V179" s="35" t="s">
        <v>42</v>
      </c>
      <c r="W179" s="35"/>
      <c r="X179" s="35" t="s">
        <v>42</v>
      </c>
      <c r="Y179" s="35" t="s">
        <v>58</v>
      </c>
      <c r="Z179" s="3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row>
    <row r="180" spans="1:57" ht="14.25" customHeight="1" x14ac:dyDescent="0.2">
      <c r="A180" s="126" t="s">
        <v>849</v>
      </c>
      <c r="B180" s="126" t="s">
        <v>850</v>
      </c>
      <c r="C180" s="126">
        <v>2025</v>
      </c>
      <c r="D180" s="126" t="s">
        <v>371</v>
      </c>
      <c r="E180" s="126" t="s">
        <v>852</v>
      </c>
      <c r="F180" s="126" t="s">
        <v>853</v>
      </c>
      <c r="G180" s="126" t="s">
        <v>376</v>
      </c>
      <c r="H180" s="126" t="s">
        <v>15</v>
      </c>
      <c r="I180" s="126" t="s">
        <v>253</v>
      </c>
      <c r="J180" s="35"/>
      <c r="K180" s="128" t="s">
        <v>851</v>
      </c>
      <c r="L180" s="36"/>
      <c r="M180" s="36"/>
      <c r="N180" s="35" t="s">
        <v>16</v>
      </c>
      <c r="O180" s="35"/>
      <c r="P180" s="38" t="s">
        <v>42</v>
      </c>
      <c r="Q180" s="38" t="s">
        <v>42</v>
      </c>
      <c r="R180" s="38" t="s">
        <v>42</v>
      </c>
      <c r="S180" s="38" t="s">
        <v>42</v>
      </c>
      <c r="T180" s="38" t="s">
        <v>42</v>
      </c>
      <c r="U180" s="35"/>
      <c r="V180" s="35" t="s">
        <v>42</v>
      </c>
      <c r="W180" s="35"/>
      <c r="X180" s="35" t="s">
        <v>42</v>
      </c>
      <c r="Y180" s="35" t="s">
        <v>58</v>
      </c>
      <c r="Z180" s="3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row>
    <row r="181" spans="1:57" ht="14.25" customHeight="1" x14ac:dyDescent="0.2">
      <c r="A181" s="126" t="s">
        <v>855</v>
      </c>
      <c r="B181" s="126" t="s">
        <v>856</v>
      </c>
      <c r="C181" s="126">
        <v>2026</v>
      </c>
      <c r="D181" s="126" t="s">
        <v>233</v>
      </c>
      <c r="E181" s="126" t="s">
        <v>858</v>
      </c>
      <c r="F181" s="126" t="s">
        <v>859</v>
      </c>
      <c r="G181" s="126" t="s">
        <v>238</v>
      </c>
      <c r="H181" s="126" t="s">
        <v>15</v>
      </c>
      <c r="I181" s="126" t="s">
        <v>230</v>
      </c>
      <c r="J181" s="35"/>
      <c r="K181" s="128" t="s">
        <v>857</v>
      </c>
      <c r="L181" s="36"/>
      <c r="M181" s="36"/>
      <c r="N181" s="35" t="s">
        <v>16</v>
      </c>
      <c r="O181" s="35" t="s">
        <v>16</v>
      </c>
      <c r="P181" s="38" t="s">
        <v>42</v>
      </c>
      <c r="Q181" s="38" t="s">
        <v>42</v>
      </c>
      <c r="R181" s="38" t="s">
        <v>42</v>
      </c>
      <c r="S181" s="38" t="s">
        <v>42</v>
      </c>
      <c r="T181" s="38" t="s">
        <v>42</v>
      </c>
      <c r="U181" s="35"/>
      <c r="V181" s="35" t="s">
        <v>42</v>
      </c>
      <c r="W181" s="35"/>
      <c r="X181" s="35" t="s">
        <v>42</v>
      </c>
      <c r="Y181" s="35" t="s">
        <v>58</v>
      </c>
      <c r="Z181" s="35"/>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row>
    <row r="182" spans="1:57" ht="14.25" customHeight="1" x14ac:dyDescent="0.2">
      <c r="A182" s="126" t="s">
        <v>861</v>
      </c>
      <c r="B182" s="126" t="s">
        <v>862</v>
      </c>
      <c r="C182" s="126">
        <v>2024</v>
      </c>
      <c r="D182" s="126" t="s">
        <v>863</v>
      </c>
      <c r="E182" s="126" t="s">
        <v>864</v>
      </c>
      <c r="F182" s="126" t="s">
        <v>865</v>
      </c>
      <c r="G182" s="126" t="s">
        <v>866</v>
      </c>
      <c r="H182" s="126" t="s">
        <v>15</v>
      </c>
      <c r="I182" s="126" t="s">
        <v>230</v>
      </c>
      <c r="J182" s="35"/>
      <c r="K182" s="128">
        <v>0</v>
      </c>
      <c r="L182" s="36"/>
      <c r="M182" s="36"/>
      <c r="N182" s="35" t="s">
        <v>16</v>
      </c>
      <c r="O182" s="35" t="s">
        <v>16</v>
      </c>
      <c r="P182" s="38" t="s">
        <v>42</v>
      </c>
      <c r="Q182" s="38" t="s">
        <v>42</v>
      </c>
      <c r="R182" s="38" t="s">
        <v>42</v>
      </c>
      <c r="S182" s="38" t="s">
        <v>42</v>
      </c>
      <c r="T182" s="38" t="s">
        <v>42</v>
      </c>
      <c r="U182" s="35"/>
      <c r="V182" s="35" t="s">
        <v>42</v>
      </c>
      <c r="W182" s="35"/>
      <c r="X182" s="35" t="s">
        <v>42</v>
      </c>
      <c r="Y182" s="35" t="s">
        <v>58</v>
      </c>
      <c r="Z182" s="3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row>
    <row r="183" spans="1:57" ht="14.25" customHeight="1" x14ac:dyDescent="0.2">
      <c r="A183" s="126" t="s">
        <v>867</v>
      </c>
      <c r="B183" s="126" t="s">
        <v>868</v>
      </c>
      <c r="C183" s="126">
        <v>2024</v>
      </c>
      <c r="D183" s="126" t="s">
        <v>233</v>
      </c>
      <c r="E183" s="126" t="s">
        <v>870</v>
      </c>
      <c r="F183" s="126" t="s">
        <v>871</v>
      </c>
      <c r="G183" s="126" t="s">
        <v>238</v>
      </c>
      <c r="H183" s="126" t="s">
        <v>15</v>
      </c>
      <c r="I183" s="126" t="s">
        <v>230</v>
      </c>
      <c r="J183" s="35"/>
      <c r="K183" s="128" t="s">
        <v>869</v>
      </c>
      <c r="L183" s="36"/>
      <c r="M183" s="36"/>
      <c r="N183" s="35" t="s">
        <v>16</v>
      </c>
      <c r="O183" s="35" t="s">
        <v>16</v>
      </c>
      <c r="P183" s="38" t="s">
        <v>42</v>
      </c>
      <c r="Q183" s="38" t="s">
        <v>42</v>
      </c>
      <c r="R183" s="38" t="s">
        <v>42</v>
      </c>
      <c r="S183" s="38" t="s">
        <v>42</v>
      </c>
      <c r="T183" s="38" t="s">
        <v>42</v>
      </c>
      <c r="U183" s="35"/>
      <c r="V183" s="35" t="s">
        <v>42</v>
      </c>
      <c r="W183" s="35"/>
      <c r="X183" s="35" t="s">
        <v>42</v>
      </c>
      <c r="Y183" s="35" t="s">
        <v>58</v>
      </c>
      <c r="Z183" s="3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row>
    <row r="184" spans="1:57" ht="14.25" customHeight="1" x14ac:dyDescent="0.2">
      <c r="A184" s="126" t="s">
        <v>873</v>
      </c>
      <c r="B184" s="126" t="s">
        <v>874</v>
      </c>
      <c r="C184" s="126">
        <v>2024</v>
      </c>
      <c r="D184" s="126" t="s">
        <v>233</v>
      </c>
      <c r="E184" s="126" t="s">
        <v>876</v>
      </c>
      <c r="F184" s="126" t="s">
        <v>877</v>
      </c>
      <c r="G184" s="126" t="s">
        <v>238</v>
      </c>
      <c r="H184" s="126" t="s">
        <v>15</v>
      </c>
      <c r="I184" s="126" t="s">
        <v>230</v>
      </c>
      <c r="J184" s="35"/>
      <c r="K184" s="128" t="s">
        <v>875</v>
      </c>
      <c r="L184" s="36"/>
      <c r="M184" s="36"/>
      <c r="N184" s="35" t="s">
        <v>16</v>
      </c>
      <c r="O184" s="35"/>
      <c r="P184" s="38" t="s">
        <v>42</v>
      </c>
      <c r="Q184" s="38" t="s">
        <v>42</v>
      </c>
      <c r="R184" s="38" t="s">
        <v>42</v>
      </c>
      <c r="S184" s="38" t="s">
        <v>42</v>
      </c>
      <c r="T184" s="38" t="s">
        <v>42</v>
      </c>
      <c r="U184" s="35"/>
      <c r="V184" s="35" t="s">
        <v>42</v>
      </c>
      <c r="W184" s="35"/>
      <c r="X184" s="35" t="s">
        <v>42</v>
      </c>
      <c r="Y184" s="35" t="s">
        <v>58</v>
      </c>
      <c r="Z184" s="3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row>
    <row r="185" spans="1:57" ht="14.25" customHeight="1" x14ac:dyDescent="0.2">
      <c r="A185" s="126" t="s">
        <v>879</v>
      </c>
      <c r="B185" s="126" t="s">
        <v>880</v>
      </c>
      <c r="C185" s="126">
        <v>2025</v>
      </c>
      <c r="D185" s="126" t="s">
        <v>881</v>
      </c>
      <c r="E185" s="126" t="s">
        <v>883</v>
      </c>
      <c r="F185" s="126" t="s">
        <v>884</v>
      </c>
      <c r="G185" s="126" t="s">
        <v>473</v>
      </c>
      <c r="H185" s="126" t="s">
        <v>15</v>
      </c>
      <c r="I185" s="126" t="s">
        <v>230</v>
      </c>
      <c r="J185" s="35"/>
      <c r="K185" s="128" t="s">
        <v>882</v>
      </c>
      <c r="L185" s="36"/>
      <c r="M185" s="36"/>
      <c r="N185" s="35" t="s">
        <v>16</v>
      </c>
      <c r="O185" s="35" t="s">
        <v>16</v>
      </c>
      <c r="P185" s="35" t="s">
        <v>42</v>
      </c>
      <c r="Q185" s="35" t="s">
        <v>42</v>
      </c>
      <c r="R185" s="35" t="s">
        <v>42</v>
      </c>
      <c r="S185" s="35" t="s">
        <v>42</v>
      </c>
      <c r="T185" s="35" t="s">
        <v>42</v>
      </c>
      <c r="U185" s="35"/>
      <c r="V185" s="35" t="s">
        <v>42</v>
      </c>
      <c r="W185" s="35"/>
      <c r="X185" s="35" t="s">
        <v>42</v>
      </c>
      <c r="Y185" s="35" t="s">
        <v>58</v>
      </c>
      <c r="Z185" s="3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row>
    <row r="186" spans="1:57" ht="14.25" customHeight="1" x14ac:dyDescent="0.2">
      <c r="A186" s="126" t="s">
        <v>886</v>
      </c>
      <c r="B186" s="126" t="s">
        <v>887</v>
      </c>
      <c r="C186" s="126">
        <v>2023</v>
      </c>
      <c r="D186" s="126" t="s">
        <v>607</v>
      </c>
      <c r="E186" s="126" t="s">
        <v>888</v>
      </c>
      <c r="F186" s="126" t="s">
        <v>889</v>
      </c>
      <c r="G186" s="126" t="s">
        <v>610</v>
      </c>
      <c r="H186" s="126" t="s">
        <v>15</v>
      </c>
      <c r="I186" s="126" t="s">
        <v>230</v>
      </c>
      <c r="J186" s="35"/>
      <c r="K186" s="128">
        <v>0</v>
      </c>
      <c r="L186" s="36"/>
      <c r="M186" s="36"/>
      <c r="N186" s="35" t="s">
        <v>16</v>
      </c>
      <c r="O186" s="35"/>
      <c r="P186" s="35" t="s">
        <v>42</v>
      </c>
      <c r="Q186" s="35" t="s">
        <v>42</v>
      </c>
      <c r="R186" s="35" t="s">
        <v>42</v>
      </c>
      <c r="S186" s="35" t="s">
        <v>42</v>
      </c>
      <c r="T186" s="35" t="s">
        <v>42</v>
      </c>
      <c r="U186" s="35"/>
      <c r="V186" s="35" t="s">
        <v>42</v>
      </c>
      <c r="W186" s="35"/>
      <c r="X186" s="35" t="s">
        <v>42</v>
      </c>
      <c r="Y186" s="35" t="s">
        <v>58</v>
      </c>
      <c r="Z186" s="3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row>
    <row r="187" spans="1:57" ht="14.25" customHeight="1" x14ac:dyDescent="0.2">
      <c r="A187" s="126" t="s">
        <v>891</v>
      </c>
      <c r="B187" s="126" t="s">
        <v>892</v>
      </c>
      <c r="C187" s="126">
        <v>2022</v>
      </c>
      <c r="D187" s="126" t="s">
        <v>893</v>
      </c>
      <c r="E187" s="126" t="s">
        <v>894</v>
      </c>
      <c r="F187" s="126">
        <v>0</v>
      </c>
      <c r="G187" s="126" t="s">
        <v>895</v>
      </c>
      <c r="H187" s="126" t="s">
        <v>15</v>
      </c>
      <c r="I187" s="126" t="s">
        <v>230</v>
      </c>
      <c r="J187" s="35"/>
      <c r="K187" s="128">
        <v>0</v>
      </c>
      <c r="L187" s="36"/>
      <c r="M187" s="36"/>
      <c r="N187" s="35" t="s">
        <v>16</v>
      </c>
      <c r="O187" s="35" t="s">
        <v>16</v>
      </c>
      <c r="P187" s="35" t="s">
        <v>42</v>
      </c>
      <c r="Q187" s="35" t="s">
        <v>42</v>
      </c>
      <c r="R187" s="35" t="s">
        <v>42</v>
      </c>
      <c r="S187" s="35" t="s">
        <v>42</v>
      </c>
      <c r="T187" s="35" t="s">
        <v>42</v>
      </c>
      <c r="U187" s="35"/>
      <c r="V187" s="35" t="s">
        <v>42</v>
      </c>
      <c r="W187" s="35"/>
      <c r="X187" s="35" t="s">
        <v>42</v>
      </c>
      <c r="Y187" s="35" t="s">
        <v>58</v>
      </c>
      <c r="Z187" s="3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row>
    <row r="188" spans="1:57" ht="14.25" customHeight="1" x14ac:dyDescent="0.2">
      <c r="A188" s="126" t="s">
        <v>896</v>
      </c>
      <c r="B188" s="126" t="s">
        <v>897</v>
      </c>
      <c r="C188" s="126">
        <v>2025</v>
      </c>
      <c r="D188" s="126" t="s">
        <v>898</v>
      </c>
      <c r="E188" s="126" t="s">
        <v>900</v>
      </c>
      <c r="F188" s="126" t="s">
        <v>901</v>
      </c>
      <c r="G188" s="126" t="s">
        <v>473</v>
      </c>
      <c r="H188" s="126" t="s">
        <v>15</v>
      </c>
      <c r="I188" s="126" t="s">
        <v>230</v>
      </c>
      <c r="J188" s="35"/>
      <c r="K188" s="128" t="s">
        <v>899</v>
      </c>
      <c r="L188" s="36"/>
      <c r="M188" s="36"/>
      <c r="N188" s="35" t="s">
        <v>16</v>
      </c>
      <c r="O188" s="35"/>
      <c r="P188" s="35" t="s">
        <v>42</v>
      </c>
      <c r="Q188" s="35" t="s">
        <v>42</v>
      </c>
      <c r="R188" s="35" t="s">
        <v>42</v>
      </c>
      <c r="S188" s="35" t="s">
        <v>42</v>
      </c>
      <c r="T188" s="35" t="s">
        <v>42</v>
      </c>
      <c r="U188" s="35"/>
      <c r="V188" s="35" t="s">
        <v>42</v>
      </c>
      <c r="W188" s="35"/>
      <c r="X188" s="35" t="s">
        <v>42</v>
      </c>
      <c r="Y188" s="35" t="s">
        <v>58</v>
      </c>
      <c r="Z188" s="3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row>
    <row r="189" spans="1:57" ht="14.25" customHeight="1" x14ac:dyDescent="0.2">
      <c r="A189" s="126" t="s">
        <v>902</v>
      </c>
      <c r="B189" s="126" t="s">
        <v>903</v>
      </c>
      <c r="C189" s="126">
        <v>2025</v>
      </c>
      <c r="D189" s="126" t="s">
        <v>904</v>
      </c>
      <c r="E189" s="126" t="s">
        <v>905</v>
      </c>
      <c r="F189" s="126" t="s">
        <v>906</v>
      </c>
      <c r="G189" s="126" t="s">
        <v>908</v>
      </c>
      <c r="H189" s="126" t="s">
        <v>15</v>
      </c>
      <c r="I189" s="126" t="s">
        <v>545</v>
      </c>
      <c r="J189" s="35"/>
      <c r="K189" s="128">
        <v>0</v>
      </c>
      <c r="L189" s="36"/>
      <c r="M189" s="36"/>
      <c r="N189" s="35" t="s">
        <v>16</v>
      </c>
      <c r="O189" s="35"/>
      <c r="P189" s="38" t="s">
        <v>42</v>
      </c>
      <c r="Q189" s="38" t="s">
        <v>42</v>
      </c>
      <c r="R189" s="38" t="s">
        <v>42</v>
      </c>
      <c r="S189" s="38" t="s">
        <v>42</v>
      </c>
      <c r="T189" s="38" t="s">
        <v>42</v>
      </c>
      <c r="U189" s="35"/>
      <c r="V189" s="35" t="s">
        <v>42</v>
      </c>
      <c r="W189" s="35"/>
      <c r="X189" s="35" t="s">
        <v>42</v>
      </c>
      <c r="Y189" s="35" t="s">
        <v>58</v>
      </c>
      <c r="Z189" s="3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row>
    <row r="190" spans="1:57" ht="14.25" customHeight="1" x14ac:dyDescent="0.2">
      <c r="A190" s="126" t="s">
        <v>909</v>
      </c>
      <c r="B190" s="126" t="s">
        <v>910</v>
      </c>
      <c r="C190" s="126">
        <v>2022</v>
      </c>
      <c r="D190" s="126" t="s">
        <v>607</v>
      </c>
      <c r="E190" s="126" t="s">
        <v>911</v>
      </c>
      <c r="F190" s="126" t="s">
        <v>912</v>
      </c>
      <c r="G190" s="126" t="s">
        <v>610</v>
      </c>
      <c r="H190" s="126" t="s">
        <v>15</v>
      </c>
      <c r="I190" s="126" t="s">
        <v>230</v>
      </c>
      <c r="J190" s="35"/>
      <c r="K190" s="128">
        <v>0</v>
      </c>
      <c r="L190" s="36"/>
      <c r="M190" s="36"/>
      <c r="N190" s="35" t="s">
        <v>16</v>
      </c>
      <c r="O190" s="35" t="s">
        <v>16</v>
      </c>
      <c r="P190" s="38" t="s">
        <v>42</v>
      </c>
      <c r="Q190" s="38" t="s">
        <v>42</v>
      </c>
      <c r="R190" s="38" t="s">
        <v>42</v>
      </c>
      <c r="S190" s="38" t="s">
        <v>42</v>
      </c>
      <c r="T190" s="38" t="s">
        <v>42</v>
      </c>
      <c r="U190" s="35"/>
      <c r="V190" s="35" t="s">
        <v>42</v>
      </c>
      <c r="W190" s="35"/>
      <c r="X190" s="35" t="s">
        <v>42</v>
      </c>
      <c r="Y190" s="35" t="s">
        <v>58</v>
      </c>
      <c r="Z190" s="3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row>
    <row r="191" spans="1:57" ht="14.25" customHeight="1" x14ac:dyDescent="0.2">
      <c r="A191" s="126" t="s">
        <v>605</v>
      </c>
      <c r="B191" s="126" t="s">
        <v>913</v>
      </c>
      <c r="C191" s="126">
        <v>2025</v>
      </c>
      <c r="D191" s="126" t="s">
        <v>914</v>
      </c>
      <c r="E191" s="126" t="s">
        <v>916</v>
      </c>
      <c r="F191" s="126" t="s">
        <v>917</v>
      </c>
      <c r="G191" s="126" t="s">
        <v>228</v>
      </c>
      <c r="H191" s="126" t="s">
        <v>15</v>
      </c>
      <c r="I191" s="126" t="s">
        <v>230</v>
      </c>
      <c r="J191" s="35"/>
      <c r="K191" s="128" t="s">
        <v>915</v>
      </c>
      <c r="L191" s="36"/>
      <c r="M191" s="36"/>
      <c r="N191" s="35" t="s">
        <v>16</v>
      </c>
      <c r="O191" s="35" t="s">
        <v>16</v>
      </c>
      <c r="P191" s="38" t="s">
        <v>42</v>
      </c>
      <c r="Q191" s="38" t="s">
        <v>42</v>
      </c>
      <c r="R191" s="38" t="s">
        <v>42</v>
      </c>
      <c r="S191" s="38" t="s">
        <v>42</v>
      </c>
      <c r="T191" s="38" t="s">
        <v>42</v>
      </c>
      <c r="U191" s="35"/>
      <c r="V191" s="35" t="s">
        <v>42</v>
      </c>
      <c r="W191" s="35"/>
      <c r="X191" s="35" t="s">
        <v>42</v>
      </c>
      <c r="Y191" s="35" t="s">
        <v>58</v>
      </c>
      <c r="Z191" s="35"/>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row>
    <row r="192" spans="1:57" ht="14.25" customHeight="1" x14ac:dyDescent="0.2">
      <c r="A192" s="126" t="s">
        <v>919</v>
      </c>
      <c r="B192" s="126" t="s">
        <v>920</v>
      </c>
      <c r="C192" s="126">
        <v>2025</v>
      </c>
      <c r="D192" s="126" t="s">
        <v>233</v>
      </c>
      <c r="E192" s="126" t="s">
        <v>922</v>
      </c>
      <c r="F192" s="126" t="s">
        <v>923</v>
      </c>
      <c r="G192" s="126" t="s">
        <v>238</v>
      </c>
      <c r="H192" s="126" t="s">
        <v>15</v>
      </c>
      <c r="I192" s="126" t="s">
        <v>230</v>
      </c>
      <c r="J192" s="35"/>
      <c r="K192" s="128" t="s">
        <v>921</v>
      </c>
      <c r="L192" s="36"/>
      <c r="M192" s="36"/>
      <c r="N192" s="35" t="s">
        <v>16</v>
      </c>
      <c r="O192" s="35" t="s">
        <v>16</v>
      </c>
      <c r="P192" s="38" t="s">
        <v>42</v>
      </c>
      <c r="Q192" s="38" t="s">
        <v>42</v>
      </c>
      <c r="R192" s="38" t="s">
        <v>42</v>
      </c>
      <c r="S192" s="38" t="s">
        <v>42</v>
      </c>
      <c r="T192" s="38" t="s">
        <v>42</v>
      </c>
      <c r="U192" s="35"/>
      <c r="V192" s="35" t="s">
        <v>42</v>
      </c>
      <c r="W192" s="35"/>
      <c r="X192" s="35" t="s">
        <v>42</v>
      </c>
      <c r="Y192" s="35" t="s">
        <v>58</v>
      </c>
      <c r="Z192" s="35"/>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row>
    <row r="193" spans="1:57" ht="14.25" customHeight="1" x14ac:dyDescent="0.2">
      <c r="A193" s="126" t="s">
        <v>925</v>
      </c>
      <c r="B193" s="126" t="s">
        <v>926</v>
      </c>
      <c r="C193" s="126">
        <v>2023</v>
      </c>
      <c r="D193" s="126" t="s">
        <v>927</v>
      </c>
      <c r="E193" s="126" t="s">
        <v>929</v>
      </c>
      <c r="F193" s="126" t="s">
        <v>930</v>
      </c>
      <c r="G193" s="126">
        <v>0</v>
      </c>
      <c r="H193" s="126" t="s">
        <v>15</v>
      </c>
      <c r="I193" s="126" t="s">
        <v>253</v>
      </c>
      <c r="J193" s="35"/>
      <c r="K193" s="128" t="s">
        <v>928</v>
      </c>
      <c r="L193" s="36"/>
      <c r="M193" s="36"/>
      <c r="N193" s="35" t="s">
        <v>16</v>
      </c>
      <c r="O193" s="35"/>
      <c r="P193" s="38" t="s">
        <v>42</v>
      </c>
      <c r="Q193" s="38" t="s">
        <v>42</v>
      </c>
      <c r="R193" s="38" t="s">
        <v>42</v>
      </c>
      <c r="S193" s="38" t="s">
        <v>42</v>
      </c>
      <c r="T193" s="38" t="s">
        <v>42</v>
      </c>
      <c r="U193" s="35"/>
      <c r="V193" s="35" t="s">
        <v>42</v>
      </c>
      <c r="W193" s="35"/>
      <c r="X193" s="35" t="s">
        <v>42</v>
      </c>
      <c r="Y193" s="35" t="s">
        <v>58</v>
      </c>
      <c r="Z193" s="3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row>
    <row r="194" spans="1:57" ht="14.25" customHeight="1" x14ac:dyDescent="0.2">
      <c r="A194" s="126" t="s">
        <v>931</v>
      </c>
      <c r="B194" s="126" t="s">
        <v>932</v>
      </c>
      <c r="C194" s="126">
        <v>2022</v>
      </c>
      <c r="D194" s="126" t="s">
        <v>233</v>
      </c>
      <c r="E194" s="126" t="s">
        <v>934</v>
      </c>
      <c r="F194" s="126" t="s">
        <v>935</v>
      </c>
      <c r="G194" s="126" t="s">
        <v>238</v>
      </c>
      <c r="H194" s="126" t="s">
        <v>15</v>
      </c>
      <c r="I194" s="126" t="s">
        <v>230</v>
      </c>
      <c r="J194" s="35"/>
      <c r="K194" s="128" t="s">
        <v>933</v>
      </c>
      <c r="L194" s="36"/>
      <c r="M194" s="36"/>
      <c r="N194" s="35" t="s">
        <v>16</v>
      </c>
      <c r="O194" s="35" t="s">
        <v>16</v>
      </c>
      <c r="P194" s="35" t="s">
        <v>42</v>
      </c>
      <c r="Q194" s="35" t="s">
        <v>42</v>
      </c>
      <c r="R194" s="35" t="s">
        <v>42</v>
      </c>
      <c r="S194" s="35" t="s">
        <v>42</v>
      </c>
      <c r="T194" s="35" t="s">
        <v>42</v>
      </c>
      <c r="U194" s="35"/>
      <c r="V194" s="35" t="s">
        <v>42</v>
      </c>
      <c r="W194" s="35"/>
      <c r="X194" s="35" t="s">
        <v>42</v>
      </c>
      <c r="Y194" s="35" t="s">
        <v>58</v>
      </c>
      <c r="Z194" s="35"/>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row>
    <row r="195" spans="1:57" ht="14.25" customHeight="1" x14ac:dyDescent="0.2">
      <c r="A195" s="126" t="s">
        <v>937</v>
      </c>
      <c r="B195" s="126" t="s">
        <v>938</v>
      </c>
      <c r="C195" s="126">
        <v>2023</v>
      </c>
      <c r="D195" s="126" t="s">
        <v>939</v>
      </c>
      <c r="E195" s="126" t="s">
        <v>941</v>
      </c>
      <c r="F195" s="126">
        <v>0</v>
      </c>
      <c r="G195" s="126" t="s">
        <v>457</v>
      </c>
      <c r="H195" s="126" t="s">
        <v>15</v>
      </c>
      <c r="I195" s="126" t="s">
        <v>253</v>
      </c>
      <c r="J195" s="35"/>
      <c r="K195" s="128" t="s">
        <v>940</v>
      </c>
      <c r="L195" s="36"/>
      <c r="M195" s="36"/>
      <c r="N195" s="35" t="s">
        <v>16</v>
      </c>
      <c r="O195" s="35"/>
      <c r="P195" s="35" t="s">
        <v>42</v>
      </c>
      <c r="Q195" s="35" t="s">
        <v>42</v>
      </c>
      <c r="R195" s="35" t="s">
        <v>42</v>
      </c>
      <c r="S195" s="35" t="s">
        <v>42</v>
      </c>
      <c r="T195" s="35" t="s">
        <v>42</v>
      </c>
      <c r="U195" s="35"/>
      <c r="V195" s="35" t="s">
        <v>42</v>
      </c>
      <c r="W195" s="35"/>
      <c r="X195" s="35" t="s">
        <v>42</v>
      </c>
      <c r="Y195" s="35" t="s">
        <v>58</v>
      </c>
      <c r="Z195" s="3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row>
    <row r="196" spans="1:57" ht="14.25" customHeight="1" x14ac:dyDescent="0.2">
      <c r="A196" s="126" t="s">
        <v>943</v>
      </c>
      <c r="B196" s="126" t="s">
        <v>944</v>
      </c>
      <c r="C196" s="126">
        <v>2023</v>
      </c>
      <c r="D196" s="126" t="s">
        <v>233</v>
      </c>
      <c r="E196" s="126" t="s">
        <v>946</v>
      </c>
      <c r="F196" s="126" t="s">
        <v>947</v>
      </c>
      <c r="G196" s="126" t="s">
        <v>238</v>
      </c>
      <c r="H196" s="126" t="s">
        <v>15</v>
      </c>
      <c r="I196" s="126" t="s">
        <v>230</v>
      </c>
      <c r="J196" s="35"/>
      <c r="K196" s="128" t="s">
        <v>945</v>
      </c>
      <c r="L196" s="36"/>
      <c r="M196" s="36"/>
      <c r="N196" s="35" t="s">
        <v>16</v>
      </c>
      <c r="O196" s="35" t="s">
        <v>16</v>
      </c>
      <c r="P196" s="35" t="s">
        <v>42</v>
      </c>
      <c r="Q196" s="35" t="s">
        <v>42</v>
      </c>
      <c r="R196" s="35" t="s">
        <v>42</v>
      </c>
      <c r="S196" s="35" t="s">
        <v>42</v>
      </c>
      <c r="T196" s="35" t="s">
        <v>42</v>
      </c>
      <c r="U196" s="35"/>
      <c r="V196" s="35" t="s">
        <v>42</v>
      </c>
      <c r="W196" s="35"/>
      <c r="X196" s="35" t="s">
        <v>42</v>
      </c>
      <c r="Y196" s="35" t="s">
        <v>58</v>
      </c>
      <c r="Z196" s="3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row>
    <row r="197" spans="1:57" ht="14.25" customHeight="1" x14ac:dyDescent="0.2">
      <c r="A197" s="126" t="s">
        <v>949</v>
      </c>
      <c r="B197" s="126" t="s">
        <v>950</v>
      </c>
      <c r="C197" s="126">
        <v>2024</v>
      </c>
      <c r="D197" s="126" t="s">
        <v>233</v>
      </c>
      <c r="E197" s="126" t="s">
        <v>952</v>
      </c>
      <c r="F197" s="126" t="s">
        <v>953</v>
      </c>
      <c r="G197" s="126" t="s">
        <v>238</v>
      </c>
      <c r="H197" s="126" t="s">
        <v>15</v>
      </c>
      <c r="I197" s="126" t="s">
        <v>230</v>
      </c>
      <c r="J197" s="35"/>
      <c r="K197" s="128" t="s">
        <v>951</v>
      </c>
      <c r="L197" s="36"/>
      <c r="M197" s="36"/>
      <c r="N197" s="35" t="s">
        <v>16</v>
      </c>
      <c r="O197" s="35"/>
      <c r="P197" s="35" t="s">
        <v>42</v>
      </c>
      <c r="Q197" s="35" t="s">
        <v>42</v>
      </c>
      <c r="R197" s="35" t="s">
        <v>42</v>
      </c>
      <c r="S197" s="35" t="s">
        <v>42</v>
      </c>
      <c r="T197" s="35" t="s">
        <v>42</v>
      </c>
      <c r="U197" s="35"/>
      <c r="V197" s="35" t="s">
        <v>42</v>
      </c>
      <c r="W197" s="35"/>
      <c r="X197" s="35" t="s">
        <v>42</v>
      </c>
      <c r="Y197" s="35" t="s">
        <v>58</v>
      </c>
      <c r="Z197" s="35"/>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row>
    <row r="198" spans="1:57" ht="14.25" customHeight="1" x14ac:dyDescent="0.2">
      <c r="A198" s="126" t="s">
        <v>955</v>
      </c>
      <c r="B198" s="126" t="s">
        <v>956</v>
      </c>
      <c r="C198" s="126">
        <v>2024</v>
      </c>
      <c r="D198" s="126" t="s">
        <v>957</v>
      </c>
      <c r="E198" s="126" t="s">
        <v>959</v>
      </c>
      <c r="F198" s="126" t="s">
        <v>960</v>
      </c>
      <c r="G198" s="126" t="s">
        <v>473</v>
      </c>
      <c r="H198" s="126" t="s">
        <v>961</v>
      </c>
      <c r="I198" s="126" t="s">
        <v>230</v>
      </c>
      <c r="J198" s="35"/>
      <c r="K198" s="128" t="s">
        <v>958</v>
      </c>
      <c r="L198" s="36"/>
      <c r="M198" s="36"/>
      <c r="N198" s="35"/>
      <c r="O198" s="36"/>
      <c r="P198" s="36"/>
      <c r="Q198" s="36"/>
      <c r="R198" s="36"/>
      <c r="S198" s="36"/>
      <c r="T198" s="36"/>
      <c r="U198" s="36"/>
      <c r="V198" s="36"/>
      <c r="W198" s="36"/>
      <c r="X198" s="36"/>
      <c r="Y198" s="36"/>
      <c r="Z198" s="3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row>
    <row r="199" spans="1:57" ht="14.25" customHeight="1" x14ac:dyDescent="0.2">
      <c r="A199" s="126" t="s">
        <v>962</v>
      </c>
      <c r="B199" s="126" t="s">
        <v>963</v>
      </c>
      <c r="C199" s="126">
        <v>2025</v>
      </c>
      <c r="D199" s="126" t="s">
        <v>476</v>
      </c>
      <c r="E199" s="126" t="s">
        <v>965</v>
      </c>
      <c r="F199" s="126" t="s">
        <v>966</v>
      </c>
      <c r="G199" s="126" t="s">
        <v>228</v>
      </c>
      <c r="H199" s="126" t="s">
        <v>15</v>
      </c>
      <c r="I199" s="126" t="s">
        <v>230</v>
      </c>
      <c r="J199" s="35"/>
      <c r="K199" s="128" t="s">
        <v>964</v>
      </c>
      <c r="L199" s="36"/>
      <c r="M199" s="36"/>
      <c r="N199" s="35"/>
      <c r="O199" s="36"/>
      <c r="P199" s="36"/>
      <c r="Q199" s="36"/>
      <c r="R199" s="36"/>
      <c r="S199" s="36"/>
      <c r="T199" s="36"/>
      <c r="U199" s="36"/>
      <c r="V199" s="36"/>
      <c r="W199" s="36"/>
      <c r="X199" s="36"/>
      <c r="Y199" s="36"/>
      <c r="Z199" s="3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row>
    <row r="200" spans="1:57" ht="14.25" customHeight="1" x14ac:dyDescent="0.2">
      <c r="A200" s="126" t="s">
        <v>968</v>
      </c>
      <c r="B200" s="126" t="s">
        <v>969</v>
      </c>
      <c r="C200" s="126">
        <v>2026</v>
      </c>
      <c r="D200" s="126" t="s">
        <v>970</v>
      </c>
      <c r="E200" s="126" t="s">
        <v>972</v>
      </c>
      <c r="F200" s="126" t="s">
        <v>973</v>
      </c>
      <c r="G200" s="126" t="s">
        <v>228</v>
      </c>
      <c r="H200" s="126" t="s">
        <v>15</v>
      </c>
      <c r="I200" s="126" t="s">
        <v>230</v>
      </c>
      <c r="J200" s="35"/>
      <c r="K200" s="128" t="s">
        <v>971</v>
      </c>
      <c r="L200" s="36"/>
      <c r="M200" s="36"/>
      <c r="N200" s="35"/>
      <c r="O200" s="36"/>
      <c r="P200" s="36"/>
      <c r="Q200" s="36"/>
      <c r="R200" s="36"/>
      <c r="S200" s="36"/>
      <c r="T200" s="36"/>
      <c r="U200" s="36"/>
      <c r="V200" s="36"/>
      <c r="W200" s="36"/>
      <c r="X200" s="36"/>
      <c r="Y200" s="36"/>
      <c r="Z200" s="3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row>
    <row r="201" spans="1:57" ht="14.25" customHeight="1" x14ac:dyDescent="0.2">
      <c r="A201" s="36"/>
      <c r="B201" s="36"/>
      <c r="C201" s="35"/>
      <c r="D201" s="36"/>
      <c r="E201" s="36"/>
      <c r="F201" s="36"/>
      <c r="G201" s="36"/>
      <c r="H201" s="35"/>
      <c r="I201" s="35"/>
      <c r="J201" s="35"/>
      <c r="K201" s="36"/>
      <c r="L201" s="36"/>
      <c r="M201" s="36"/>
      <c r="N201" s="36"/>
      <c r="O201" s="35"/>
      <c r="P201" s="35"/>
      <c r="Q201" s="35"/>
      <c r="R201" s="35"/>
      <c r="S201" s="35"/>
      <c r="T201" s="35"/>
      <c r="U201" s="35"/>
      <c r="V201" s="35"/>
      <c r="W201" s="35"/>
      <c r="X201" s="35"/>
      <c r="Y201" s="35"/>
      <c r="Z201" s="35"/>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row>
    <row r="202" spans="1:57" ht="14.25" customHeight="1" x14ac:dyDescent="0.2">
      <c r="A202" s="36"/>
      <c r="B202" s="36"/>
      <c r="C202" s="35"/>
      <c r="D202" s="36"/>
      <c r="E202" s="36"/>
      <c r="F202" s="36"/>
      <c r="G202" s="36"/>
      <c r="H202" s="35"/>
      <c r="I202" s="35"/>
      <c r="J202" s="35"/>
      <c r="K202" s="36"/>
      <c r="L202" s="36"/>
      <c r="M202" s="36"/>
      <c r="N202" s="35"/>
      <c r="O202" s="36"/>
      <c r="P202" s="36"/>
      <c r="Q202" s="36"/>
      <c r="R202" s="36"/>
      <c r="S202" s="36"/>
      <c r="T202" s="36"/>
      <c r="U202" s="36"/>
      <c r="V202" s="36"/>
      <c r="W202" s="36"/>
      <c r="X202" s="36"/>
      <c r="Y202" s="36"/>
      <c r="Z202" s="3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row>
    <row r="203" spans="1:57" ht="14.25" customHeight="1" x14ac:dyDescent="0.2">
      <c r="A203" s="36"/>
      <c r="B203" s="36"/>
      <c r="C203" s="35"/>
      <c r="D203" s="36"/>
      <c r="E203" s="36"/>
      <c r="F203" s="36"/>
      <c r="G203" s="36"/>
      <c r="H203" s="35"/>
      <c r="I203" s="35"/>
      <c r="J203" s="35"/>
      <c r="K203" s="36"/>
      <c r="L203" s="36"/>
      <c r="M203" s="36"/>
      <c r="N203" s="35"/>
      <c r="O203" s="36"/>
      <c r="P203" s="36"/>
      <c r="Q203" s="36"/>
      <c r="R203" s="36"/>
      <c r="S203" s="36"/>
      <c r="T203" s="36"/>
      <c r="U203" s="36"/>
      <c r="V203" s="36"/>
      <c r="W203" s="36"/>
      <c r="X203" s="36"/>
      <c r="Y203" s="36"/>
      <c r="Z203" s="3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row>
    <row r="204" spans="1:57" ht="14.25" customHeight="1" x14ac:dyDescent="0.2">
      <c r="A204" s="36"/>
      <c r="B204" s="36"/>
      <c r="C204" s="35"/>
      <c r="D204" s="36"/>
      <c r="E204" s="36"/>
      <c r="F204" s="36"/>
      <c r="G204" s="36"/>
      <c r="H204" s="35"/>
      <c r="I204" s="35"/>
      <c r="J204" s="35"/>
      <c r="K204" s="36"/>
      <c r="L204" s="36"/>
      <c r="M204" s="36"/>
      <c r="N204" s="36"/>
      <c r="O204" s="35"/>
      <c r="P204" s="35"/>
      <c r="Q204" s="35"/>
      <c r="R204" s="35"/>
      <c r="S204" s="35"/>
      <c r="T204" s="35"/>
      <c r="U204" s="35"/>
      <c r="V204" s="35"/>
      <c r="W204" s="35"/>
      <c r="X204" s="35"/>
      <c r="Y204" s="35"/>
      <c r="Z204" s="35"/>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row>
    <row r="205" spans="1:57" ht="14.25" customHeight="1" x14ac:dyDescent="0.2">
      <c r="A205" s="36"/>
      <c r="B205" s="36"/>
      <c r="C205" s="35"/>
      <c r="D205" s="36"/>
      <c r="E205" s="36"/>
      <c r="F205" s="36"/>
      <c r="G205" s="36"/>
      <c r="H205" s="35"/>
      <c r="I205" s="35"/>
      <c r="J205" s="35"/>
      <c r="K205" s="36"/>
      <c r="L205" s="36"/>
      <c r="M205" s="36"/>
      <c r="N205" s="35"/>
      <c r="O205" s="36"/>
      <c r="P205" s="36"/>
      <c r="Q205" s="36"/>
      <c r="R205" s="36"/>
      <c r="S205" s="36"/>
      <c r="T205" s="36"/>
      <c r="U205" s="36"/>
      <c r="V205" s="36"/>
      <c r="W205" s="36"/>
      <c r="X205" s="36"/>
      <c r="Y205" s="36"/>
      <c r="Z205" s="3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row>
    <row r="206" spans="1:57" ht="14.25" customHeight="1" x14ac:dyDescent="0.2">
      <c r="A206" s="36"/>
      <c r="B206" s="36"/>
      <c r="C206" s="35"/>
      <c r="D206" s="36"/>
      <c r="E206" s="36"/>
      <c r="F206" s="36"/>
      <c r="G206" s="36"/>
      <c r="H206" s="35"/>
      <c r="I206" s="35"/>
      <c r="J206" s="35"/>
      <c r="K206" s="36"/>
      <c r="L206" s="36"/>
      <c r="M206" s="36"/>
      <c r="N206" s="35"/>
      <c r="O206" s="36"/>
      <c r="P206" s="36"/>
      <c r="Q206" s="36"/>
      <c r="R206" s="36"/>
      <c r="S206" s="36"/>
      <c r="T206" s="36"/>
      <c r="U206" s="36"/>
      <c r="V206" s="36"/>
      <c r="W206" s="36"/>
      <c r="X206" s="36"/>
      <c r="Y206" s="36"/>
      <c r="Z206" s="3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row>
    <row r="207" spans="1:57" ht="14.25" customHeight="1" x14ac:dyDescent="0.2">
      <c r="A207" s="36"/>
      <c r="B207" s="36"/>
      <c r="C207" s="35"/>
      <c r="D207" s="36"/>
      <c r="E207" s="36"/>
      <c r="F207" s="36"/>
      <c r="G207" s="36"/>
      <c r="H207" s="35"/>
      <c r="I207" s="35"/>
      <c r="J207" s="35"/>
      <c r="K207" s="36"/>
      <c r="L207" s="36"/>
      <c r="M207" s="36"/>
      <c r="N207" s="36"/>
      <c r="O207" s="35"/>
      <c r="P207" s="35"/>
      <c r="Q207" s="35"/>
      <c r="R207" s="35"/>
      <c r="S207" s="35"/>
      <c r="T207" s="35"/>
      <c r="U207" s="35"/>
      <c r="V207" s="35"/>
      <c r="W207" s="35"/>
      <c r="X207" s="35"/>
      <c r="Y207" s="35"/>
      <c r="Z207" s="35"/>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row>
    <row r="208" spans="1:57" ht="14.25" customHeight="1" x14ac:dyDescent="0.2">
      <c r="A208" s="36"/>
      <c r="B208" s="36"/>
      <c r="C208" s="35"/>
      <c r="D208" s="36"/>
      <c r="E208" s="36"/>
      <c r="F208" s="36"/>
      <c r="G208" s="36"/>
      <c r="H208" s="35"/>
      <c r="I208" s="35"/>
      <c r="J208" s="35"/>
      <c r="K208" s="36"/>
      <c r="L208" s="36"/>
      <c r="M208" s="36"/>
      <c r="N208" s="35"/>
      <c r="O208" s="36"/>
      <c r="P208" s="36"/>
      <c r="Q208" s="36"/>
      <c r="R208" s="36"/>
      <c r="S208" s="36"/>
      <c r="T208" s="36"/>
      <c r="U208" s="36"/>
      <c r="V208" s="36"/>
      <c r="W208" s="36"/>
      <c r="X208" s="36"/>
      <c r="Y208" s="36"/>
      <c r="Z208" s="3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row>
    <row r="209" spans="1:57" ht="14.25" customHeight="1" x14ac:dyDescent="0.2">
      <c r="A209" s="36"/>
      <c r="B209" s="36"/>
      <c r="C209" s="35"/>
      <c r="D209" s="36"/>
      <c r="E209" s="36"/>
      <c r="F209" s="36"/>
      <c r="G209" s="36"/>
      <c r="H209" s="35"/>
      <c r="I209" s="35"/>
      <c r="J209" s="35"/>
      <c r="K209" s="36"/>
      <c r="L209" s="36"/>
      <c r="M209" s="36"/>
      <c r="N209" s="35"/>
      <c r="O209" s="36"/>
      <c r="P209" s="36"/>
      <c r="Q209" s="36"/>
      <c r="R209" s="36"/>
      <c r="S209" s="36"/>
      <c r="T209" s="36"/>
      <c r="U209" s="36"/>
      <c r="V209" s="36"/>
      <c r="W209" s="36"/>
      <c r="X209" s="36"/>
      <c r="Y209" s="36"/>
      <c r="Z209" s="3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row>
    <row r="210" spans="1:57" ht="14.25" customHeight="1" x14ac:dyDescent="0.2">
      <c r="A210" s="36"/>
      <c r="B210" s="36"/>
      <c r="C210" s="35"/>
      <c r="D210" s="36"/>
      <c r="E210" s="36"/>
      <c r="F210" s="36"/>
      <c r="G210" s="36"/>
      <c r="H210" s="35"/>
      <c r="I210" s="35"/>
      <c r="J210" s="35"/>
      <c r="K210" s="36"/>
      <c r="L210" s="36"/>
      <c r="M210" s="36"/>
      <c r="N210" s="35"/>
      <c r="O210" s="36"/>
      <c r="P210" s="36"/>
      <c r="Q210" s="36"/>
      <c r="R210" s="36"/>
      <c r="S210" s="36"/>
      <c r="T210" s="36"/>
      <c r="U210" s="36"/>
      <c r="V210" s="36"/>
      <c r="W210" s="36"/>
      <c r="X210" s="36"/>
      <c r="Y210" s="36"/>
      <c r="Z210" s="3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row>
    <row r="211" spans="1:57" ht="14.25" customHeight="1" x14ac:dyDescent="0.2">
      <c r="A211" s="36"/>
      <c r="B211" s="36"/>
      <c r="C211" s="35"/>
      <c r="D211" s="36"/>
      <c r="E211" s="36"/>
      <c r="F211" s="36"/>
      <c r="G211" s="36"/>
      <c r="H211" s="35"/>
      <c r="I211" s="35"/>
      <c r="J211" s="35"/>
      <c r="K211" s="36"/>
      <c r="L211" s="36"/>
      <c r="M211" s="36"/>
      <c r="N211" s="35"/>
      <c r="O211" s="36"/>
      <c r="P211" s="36"/>
      <c r="Q211" s="36"/>
      <c r="R211" s="36"/>
      <c r="S211" s="36"/>
      <c r="T211" s="36"/>
      <c r="U211" s="36"/>
      <c r="V211" s="36"/>
      <c r="W211" s="36"/>
      <c r="X211" s="36"/>
      <c r="Y211" s="36"/>
      <c r="Z211" s="3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row>
    <row r="212" spans="1:57" ht="14.25" customHeight="1" x14ac:dyDescent="0.2">
      <c r="A212" s="36"/>
      <c r="B212" s="36"/>
      <c r="C212" s="35"/>
      <c r="D212" s="36"/>
      <c r="E212" s="36"/>
      <c r="F212" s="36"/>
      <c r="G212" s="36"/>
      <c r="H212" s="35"/>
      <c r="I212" s="35"/>
      <c r="J212" s="35"/>
      <c r="K212" s="36"/>
      <c r="L212" s="36"/>
      <c r="M212" s="36"/>
      <c r="N212" s="36"/>
      <c r="O212" s="35"/>
      <c r="P212" s="35"/>
      <c r="Q212" s="35"/>
      <c r="R212" s="35"/>
      <c r="S212" s="35"/>
      <c r="T212" s="35"/>
      <c r="U212" s="35"/>
      <c r="V212" s="35"/>
      <c r="W212" s="35"/>
      <c r="X212" s="35"/>
      <c r="Y212" s="35"/>
      <c r="Z212" s="35"/>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row>
    <row r="213" spans="1:57" ht="14.25" customHeight="1" x14ac:dyDescent="0.2">
      <c r="A213" s="36"/>
      <c r="B213" s="36"/>
      <c r="C213" s="35"/>
      <c r="D213" s="36"/>
      <c r="E213" s="36"/>
      <c r="F213" s="36"/>
      <c r="G213" s="36"/>
      <c r="H213" s="35"/>
      <c r="I213" s="35"/>
      <c r="J213" s="35"/>
      <c r="K213" s="36"/>
      <c r="L213" s="36"/>
      <c r="M213" s="36"/>
      <c r="N213" s="35"/>
      <c r="O213" s="36"/>
      <c r="P213" s="36"/>
      <c r="Q213" s="36"/>
      <c r="R213" s="36"/>
      <c r="S213" s="36"/>
      <c r="T213" s="36"/>
      <c r="U213" s="36"/>
      <c r="V213" s="36"/>
      <c r="W213" s="36"/>
      <c r="X213" s="36"/>
      <c r="Y213" s="36"/>
      <c r="Z213" s="3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row>
    <row r="214" spans="1:57" ht="14.25" customHeight="1" x14ac:dyDescent="0.2">
      <c r="A214" s="36"/>
      <c r="B214" s="36"/>
      <c r="C214" s="35"/>
      <c r="D214" s="36"/>
      <c r="E214" s="36"/>
      <c r="F214" s="36"/>
      <c r="G214" s="36"/>
      <c r="H214" s="35"/>
      <c r="I214" s="35"/>
      <c r="J214" s="35"/>
      <c r="K214" s="36"/>
      <c r="L214" s="36"/>
      <c r="M214" s="36"/>
      <c r="N214" s="36"/>
      <c r="O214" s="35"/>
      <c r="P214" s="35"/>
      <c r="Q214" s="35"/>
      <c r="R214" s="35"/>
      <c r="S214" s="35"/>
      <c r="T214" s="35"/>
      <c r="U214" s="35"/>
      <c r="V214" s="35"/>
      <c r="W214" s="35"/>
      <c r="X214" s="35"/>
      <c r="Y214" s="35"/>
      <c r="Z214" s="35"/>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row>
    <row r="215" spans="1:57" ht="14.25" customHeight="1" x14ac:dyDescent="0.2">
      <c r="A215" s="36"/>
      <c r="B215" s="36"/>
      <c r="C215" s="35"/>
      <c r="D215" s="36"/>
      <c r="E215" s="36"/>
      <c r="F215" s="36"/>
      <c r="G215" s="36"/>
      <c r="H215" s="35"/>
      <c r="I215" s="35"/>
      <c r="J215" s="35"/>
      <c r="K215" s="36"/>
      <c r="L215" s="36"/>
      <c r="M215" s="36"/>
      <c r="N215" s="35"/>
      <c r="O215" s="36"/>
      <c r="P215" s="36"/>
      <c r="Q215" s="36"/>
      <c r="R215" s="36"/>
      <c r="S215" s="36"/>
      <c r="T215" s="36"/>
      <c r="U215" s="36"/>
      <c r="V215" s="36"/>
      <c r="W215" s="36"/>
      <c r="X215" s="36"/>
      <c r="Y215" s="36"/>
      <c r="Z215" s="3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row>
    <row r="216" spans="1:57" ht="14.25" customHeight="1" x14ac:dyDescent="0.2">
      <c r="A216" s="36"/>
      <c r="B216" s="36"/>
      <c r="C216" s="35"/>
      <c r="D216" s="36"/>
      <c r="E216" s="36"/>
      <c r="F216" s="36"/>
      <c r="G216" s="36"/>
      <c r="H216" s="35"/>
      <c r="I216" s="35"/>
      <c r="J216" s="35"/>
      <c r="K216" s="36"/>
      <c r="L216" s="36"/>
      <c r="M216" s="36"/>
      <c r="N216" s="36"/>
      <c r="O216" s="35"/>
      <c r="P216" s="35"/>
      <c r="Q216" s="35"/>
      <c r="R216" s="35"/>
      <c r="S216" s="35"/>
      <c r="T216" s="35"/>
      <c r="U216" s="35"/>
      <c r="V216" s="35"/>
      <c r="W216" s="35"/>
      <c r="X216" s="35"/>
      <c r="Y216" s="35"/>
      <c r="Z216" s="35"/>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row>
    <row r="217" spans="1:57" ht="14.25" customHeight="1" x14ac:dyDescent="0.2">
      <c r="A217" s="36"/>
      <c r="B217" s="36"/>
      <c r="C217" s="35"/>
      <c r="D217" s="36"/>
      <c r="E217" s="36"/>
      <c r="F217" s="36"/>
      <c r="G217" s="36"/>
      <c r="H217" s="35"/>
      <c r="I217" s="35"/>
      <c r="J217" s="35"/>
      <c r="K217" s="36"/>
      <c r="L217" s="36"/>
      <c r="M217" s="36"/>
      <c r="N217" s="36"/>
      <c r="O217" s="35"/>
      <c r="P217" s="35"/>
      <c r="Q217" s="35"/>
      <c r="R217" s="35"/>
      <c r="S217" s="35"/>
      <c r="T217" s="35"/>
      <c r="U217" s="35"/>
      <c r="V217" s="35"/>
      <c r="W217" s="35"/>
      <c r="X217" s="35"/>
      <c r="Y217" s="35"/>
      <c r="Z217" s="35"/>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row>
    <row r="218" spans="1:57" ht="14.25" customHeight="1" x14ac:dyDescent="0.2">
      <c r="A218" s="36"/>
      <c r="B218" s="36"/>
      <c r="C218" s="35"/>
      <c r="D218" s="36"/>
      <c r="E218" s="36"/>
      <c r="F218" s="36"/>
      <c r="G218" s="36"/>
      <c r="H218" s="35"/>
      <c r="I218" s="35"/>
      <c r="J218" s="35"/>
      <c r="K218" s="36"/>
      <c r="L218" s="36"/>
      <c r="M218" s="36"/>
      <c r="N218" s="35"/>
      <c r="O218" s="36"/>
      <c r="P218" s="36"/>
      <c r="Q218" s="36"/>
      <c r="R218" s="36"/>
      <c r="S218" s="36"/>
      <c r="T218" s="36"/>
      <c r="U218" s="36"/>
      <c r="V218" s="36"/>
      <c r="W218" s="36"/>
      <c r="X218" s="36"/>
      <c r="Y218" s="36"/>
      <c r="Z218" s="3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row>
    <row r="219" spans="1:57" ht="14.25" customHeight="1" x14ac:dyDescent="0.2">
      <c r="A219" s="36"/>
      <c r="B219" s="36"/>
      <c r="C219" s="35"/>
      <c r="D219" s="36"/>
      <c r="E219" s="36"/>
      <c r="F219" s="36"/>
      <c r="G219" s="36"/>
      <c r="H219" s="35"/>
      <c r="I219" s="35"/>
      <c r="J219" s="35"/>
      <c r="K219" s="36"/>
      <c r="L219" s="36"/>
      <c r="M219" s="36"/>
      <c r="N219" s="35"/>
      <c r="O219" s="36"/>
      <c r="P219" s="36"/>
      <c r="Q219" s="36"/>
      <c r="R219" s="36"/>
      <c r="S219" s="36"/>
      <c r="T219" s="36"/>
      <c r="U219" s="36"/>
      <c r="V219" s="36"/>
      <c r="W219" s="36"/>
      <c r="X219" s="36"/>
      <c r="Y219" s="36"/>
      <c r="Z219" s="3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row>
    <row r="220" spans="1:57" ht="14.25" customHeight="1" x14ac:dyDescent="0.2">
      <c r="A220" s="36"/>
      <c r="B220" s="36"/>
      <c r="C220" s="35"/>
      <c r="D220" s="36"/>
      <c r="E220" s="36"/>
      <c r="F220" s="36"/>
      <c r="G220" s="36"/>
      <c r="H220" s="35"/>
      <c r="I220" s="35"/>
      <c r="J220" s="35"/>
      <c r="K220" s="36"/>
      <c r="L220" s="36"/>
      <c r="M220" s="36"/>
      <c r="N220" s="35"/>
      <c r="O220" s="36"/>
      <c r="P220" s="36"/>
      <c r="Q220" s="36"/>
      <c r="R220" s="36"/>
      <c r="S220" s="36"/>
      <c r="T220" s="36"/>
      <c r="U220" s="36"/>
      <c r="V220" s="36"/>
      <c r="W220" s="36"/>
      <c r="X220" s="36"/>
      <c r="Y220" s="36"/>
      <c r="Z220" s="3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row>
    <row r="221" spans="1:57" ht="14.25" customHeight="1" x14ac:dyDescent="0.2">
      <c r="A221" s="36"/>
      <c r="B221" s="36"/>
      <c r="C221" s="35"/>
      <c r="D221" s="36"/>
      <c r="E221" s="36"/>
      <c r="F221" s="36"/>
      <c r="G221" s="36"/>
      <c r="H221" s="35"/>
      <c r="I221" s="35"/>
      <c r="J221" s="35"/>
      <c r="K221" s="36"/>
      <c r="L221" s="36"/>
      <c r="M221" s="36"/>
      <c r="N221" s="35"/>
      <c r="O221" s="36"/>
      <c r="P221" s="36"/>
      <c r="Q221" s="36"/>
      <c r="R221" s="36"/>
      <c r="S221" s="36"/>
      <c r="T221" s="36"/>
      <c r="U221" s="36"/>
      <c r="V221" s="36"/>
      <c r="W221" s="36"/>
      <c r="X221" s="36"/>
      <c r="Y221" s="36"/>
      <c r="Z221" s="3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row>
    <row r="222" spans="1:57" ht="14.25" customHeight="1" x14ac:dyDescent="0.2">
      <c r="A222" s="36"/>
      <c r="B222" s="36"/>
      <c r="C222" s="35"/>
      <c r="D222" s="36"/>
      <c r="E222" s="36"/>
      <c r="F222" s="36"/>
      <c r="G222" s="36"/>
      <c r="H222" s="35"/>
      <c r="I222" s="35"/>
      <c r="J222" s="35"/>
      <c r="K222" s="36"/>
      <c r="L222" s="36"/>
      <c r="M222" s="36"/>
      <c r="N222" s="36"/>
      <c r="O222" s="35"/>
      <c r="P222" s="35"/>
      <c r="Q222" s="35"/>
      <c r="R222" s="35"/>
      <c r="S222" s="35"/>
      <c r="T222" s="35"/>
      <c r="U222" s="35"/>
      <c r="V222" s="35"/>
      <c r="W222" s="35"/>
      <c r="X222" s="35"/>
      <c r="Y222" s="35"/>
      <c r="Z222" s="35"/>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row>
    <row r="223" spans="1:57" ht="14.25" customHeight="1" x14ac:dyDescent="0.2">
      <c r="A223" s="36"/>
      <c r="B223" s="36"/>
      <c r="C223" s="35"/>
      <c r="D223" s="36"/>
      <c r="E223" s="36"/>
      <c r="F223" s="36"/>
      <c r="G223" s="36"/>
      <c r="H223" s="35"/>
      <c r="I223" s="35"/>
      <c r="J223" s="35"/>
      <c r="K223" s="36"/>
      <c r="L223" s="36"/>
      <c r="M223" s="36"/>
      <c r="N223" s="35"/>
      <c r="O223" s="36"/>
      <c r="P223" s="36"/>
      <c r="Q223" s="36"/>
      <c r="R223" s="36"/>
      <c r="S223" s="36"/>
      <c r="T223" s="36"/>
      <c r="U223" s="36"/>
      <c r="V223" s="36"/>
      <c r="W223" s="36"/>
      <c r="X223" s="36"/>
      <c r="Y223" s="36"/>
      <c r="Z223" s="3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row>
    <row r="224" spans="1:57" ht="14.25" customHeight="1" x14ac:dyDescent="0.2">
      <c r="A224" s="36"/>
      <c r="B224" s="36"/>
      <c r="C224" s="35"/>
      <c r="D224" s="36"/>
      <c r="E224" s="36"/>
      <c r="F224" s="36"/>
      <c r="G224" s="36"/>
      <c r="H224" s="35"/>
      <c r="I224" s="35"/>
      <c r="J224" s="35"/>
      <c r="K224" s="36"/>
      <c r="L224" s="36"/>
      <c r="M224" s="36"/>
      <c r="N224" s="35"/>
      <c r="O224" s="36"/>
      <c r="P224" s="36"/>
      <c r="Q224" s="36"/>
      <c r="R224" s="36"/>
      <c r="S224" s="36"/>
      <c r="T224" s="36"/>
      <c r="U224" s="36"/>
      <c r="V224" s="36"/>
      <c r="W224" s="36"/>
      <c r="X224" s="36"/>
      <c r="Y224" s="36"/>
      <c r="Z224" s="3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row>
    <row r="225" spans="1:57" ht="14.25" customHeight="1" x14ac:dyDescent="0.2">
      <c r="A225" s="36"/>
      <c r="B225" s="36"/>
      <c r="C225" s="35"/>
      <c r="D225" s="36"/>
      <c r="E225" s="36"/>
      <c r="F225" s="36"/>
      <c r="G225" s="36"/>
      <c r="H225" s="35"/>
      <c r="I225" s="35"/>
      <c r="J225" s="35"/>
      <c r="K225" s="36"/>
      <c r="L225" s="36"/>
      <c r="M225" s="36"/>
      <c r="N225" s="35"/>
      <c r="O225" s="36"/>
      <c r="P225" s="36"/>
      <c r="Q225" s="36"/>
      <c r="R225" s="36"/>
      <c r="S225" s="36"/>
      <c r="T225" s="36"/>
      <c r="U225" s="36"/>
      <c r="V225" s="36"/>
      <c r="W225" s="36"/>
      <c r="X225" s="36"/>
      <c r="Y225" s="36"/>
      <c r="Z225" s="3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row>
    <row r="226" spans="1:57" ht="14.25" customHeight="1" x14ac:dyDescent="0.2">
      <c r="A226" s="36"/>
      <c r="B226" s="36"/>
      <c r="C226" s="35"/>
      <c r="D226" s="36"/>
      <c r="E226" s="36"/>
      <c r="F226" s="36"/>
      <c r="G226" s="36"/>
      <c r="H226" s="35"/>
      <c r="I226" s="35"/>
      <c r="J226" s="35"/>
      <c r="K226" s="36"/>
      <c r="L226" s="36"/>
      <c r="M226" s="36"/>
      <c r="N226" s="35"/>
      <c r="O226" s="36"/>
      <c r="P226" s="36"/>
      <c r="Q226" s="36"/>
      <c r="R226" s="36"/>
      <c r="S226" s="36"/>
      <c r="T226" s="36"/>
      <c r="U226" s="36"/>
      <c r="V226" s="36"/>
      <c r="W226" s="36"/>
      <c r="X226" s="36"/>
      <c r="Y226" s="36"/>
      <c r="Z226" s="3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row>
    <row r="227" spans="1:57" ht="14.25" customHeight="1" x14ac:dyDescent="0.2">
      <c r="A227" s="36"/>
      <c r="B227" s="36"/>
      <c r="C227" s="35"/>
      <c r="D227" s="36"/>
      <c r="E227" s="36"/>
      <c r="F227" s="36"/>
      <c r="G227" s="36"/>
      <c r="H227" s="35"/>
      <c r="I227" s="35"/>
      <c r="J227" s="35"/>
      <c r="K227" s="36"/>
      <c r="L227" s="36"/>
      <c r="M227" s="36"/>
      <c r="N227" s="35"/>
      <c r="O227" s="36"/>
      <c r="P227" s="36"/>
      <c r="Q227" s="36"/>
      <c r="R227" s="36"/>
      <c r="S227" s="36"/>
      <c r="T227" s="36"/>
      <c r="U227" s="36"/>
      <c r="V227" s="36"/>
      <c r="W227" s="36"/>
      <c r="X227" s="36"/>
      <c r="Y227" s="36"/>
      <c r="Z227" s="3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row>
    <row r="228" spans="1:57" ht="14.25" customHeight="1" x14ac:dyDescent="0.2">
      <c r="A228" s="36"/>
      <c r="B228" s="36"/>
      <c r="C228" s="35"/>
      <c r="D228" s="36"/>
      <c r="E228" s="36"/>
      <c r="F228" s="36"/>
      <c r="G228" s="36"/>
      <c r="H228" s="35"/>
      <c r="I228" s="35"/>
      <c r="J228" s="35"/>
      <c r="K228" s="36"/>
      <c r="L228" s="36"/>
      <c r="M228" s="36"/>
      <c r="N228" s="35"/>
      <c r="O228" s="36"/>
      <c r="P228" s="36"/>
      <c r="Q228" s="36"/>
      <c r="R228" s="36"/>
      <c r="S228" s="36"/>
      <c r="T228" s="36"/>
      <c r="U228" s="36"/>
      <c r="V228" s="36"/>
      <c r="W228" s="36"/>
      <c r="X228" s="36"/>
      <c r="Y228" s="36"/>
      <c r="Z228" s="3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row>
    <row r="229" spans="1:57" ht="14.25" customHeight="1" x14ac:dyDescent="0.2">
      <c r="A229" s="36"/>
      <c r="B229" s="36"/>
      <c r="C229" s="35"/>
      <c r="D229" s="36"/>
      <c r="E229" s="36"/>
      <c r="F229" s="36"/>
      <c r="G229" s="36"/>
      <c r="H229" s="35"/>
      <c r="I229" s="35"/>
      <c r="J229" s="35"/>
      <c r="K229" s="36"/>
      <c r="L229" s="36"/>
      <c r="M229" s="36"/>
      <c r="N229" s="35"/>
      <c r="O229" s="36"/>
      <c r="P229" s="36"/>
      <c r="Q229" s="36"/>
      <c r="R229" s="36"/>
      <c r="S229" s="36"/>
      <c r="T229" s="36"/>
      <c r="U229" s="36"/>
      <c r="V229" s="36"/>
      <c r="W229" s="36"/>
      <c r="X229" s="36"/>
      <c r="Y229" s="36"/>
      <c r="Z229" s="3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row>
    <row r="230" spans="1:57" ht="14.25" customHeight="1" x14ac:dyDescent="0.2">
      <c r="A230" s="36"/>
      <c r="B230" s="36"/>
      <c r="C230" s="35"/>
      <c r="D230" s="36"/>
      <c r="E230" s="36"/>
      <c r="F230" s="36"/>
      <c r="G230" s="36"/>
      <c r="H230" s="35"/>
      <c r="I230" s="35"/>
      <c r="J230" s="35"/>
      <c r="K230" s="36"/>
      <c r="L230" s="36"/>
      <c r="M230" s="36"/>
      <c r="N230" s="35"/>
      <c r="O230" s="36"/>
      <c r="P230" s="36"/>
      <c r="Q230" s="36"/>
      <c r="R230" s="36"/>
      <c r="S230" s="36"/>
      <c r="T230" s="36"/>
      <c r="U230" s="36"/>
      <c r="V230" s="36"/>
      <c r="W230" s="36"/>
      <c r="X230" s="36"/>
      <c r="Y230" s="36"/>
      <c r="Z230" s="3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row>
    <row r="231" spans="1:57" ht="14.25" customHeight="1" x14ac:dyDescent="0.2">
      <c r="A231" s="36"/>
      <c r="B231" s="36"/>
      <c r="C231" s="35"/>
      <c r="D231" s="36"/>
      <c r="E231" s="36"/>
      <c r="F231" s="36"/>
      <c r="G231" s="36"/>
      <c r="H231" s="35"/>
      <c r="I231" s="35"/>
      <c r="J231" s="35"/>
      <c r="K231" s="36"/>
      <c r="L231" s="36"/>
      <c r="M231" s="36"/>
      <c r="N231" s="36"/>
      <c r="O231" s="35"/>
      <c r="P231" s="35"/>
      <c r="Q231" s="35"/>
      <c r="R231" s="35"/>
      <c r="S231" s="35"/>
      <c r="T231" s="35"/>
      <c r="U231" s="35"/>
      <c r="V231" s="35"/>
      <c r="W231" s="35"/>
      <c r="X231" s="35"/>
      <c r="Y231" s="35"/>
      <c r="Z231" s="35"/>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row>
    <row r="232" spans="1:57" ht="14.25" customHeight="1" x14ac:dyDescent="0.2">
      <c r="A232" s="36"/>
      <c r="B232" s="36"/>
      <c r="C232" s="35"/>
      <c r="D232" s="36"/>
      <c r="E232" s="36"/>
      <c r="F232" s="36"/>
      <c r="G232" s="36"/>
      <c r="H232" s="35"/>
      <c r="I232" s="35"/>
      <c r="J232" s="35"/>
      <c r="K232" s="36"/>
      <c r="L232" s="36"/>
      <c r="M232" s="36"/>
      <c r="N232" s="35"/>
      <c r="O232" s="36"/>
      <c r="P232" s="36"/>
      <c r="Q232" s="36"/>
      <c r="R232" s="36"/>
      <c r="S232" s="36"/>
      <c r="T232" s="36"/>
      <c r="U232" s="36"/>
      <c r="V232" s="36"/>
      <c r="W232" s="36"/>
      <c r="X232" s="36"/>
      <c r="Y232" s="36"/>
      <c r="Z232" s="3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row>
    <row r="233" spans="1:57" ht="14.25" customHeight="1" x14ac:dyDescent="0.2">
      <c r="A233" s="36"/>
      <c r="B233" s="36"/>
      <c r="C233" s="35"/>
      <c r="D233" s="36"/>
      <c r="E233" s="36"/>
      <c r="F233" s="36"/>
      <c r="G233" s="36"/>
      <c r="H233" s="35"/>
      <c r="I233" s="35"/>
      <c r="J233" s="35"/>
      <c r="K233" s="36"/>
      <c r="L233" s="36"/>
      <c r="M233" s="36"/>
      <c r="N233" s="35"/>
      <c r="O233" s="36"/>
      <c r="P233" s="36"/>
      <c r="Q233" s="36"/>
      <c r="R233" s="36"/>
      <c r="S233" s="36"/>
      <c r="T233" s="36"/>
      <c r="U233" s="36"/>
      <c r="V233" s="36"/>
      <c r="W233" s="36"/>
      <c r="X233" s="36"/>
      <c r="Y233" s="36"/>
      <c r="Z233" s="3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row>
    <row r="234" spans="1:57" ht="14.25" customHeight="1" x14ac:dyDescent="0.2">
      <c r="A234" s="36"/>
      <c r="B234" s="36"/>
      <c r="C234" s="35"/>
      <c r="D234" s="36"/>
      <c r="E234" s="36"/>
      <c r="F234" s="36"/>
      <c r="G234" s="36"/>
      <c r="H234" s="35"/>
      <c r="I234" s="35"/>
      <c r="J234" s="35"/>
      <c r="K234" s="36"/>
      <c r="L234" s="36"/>
      <c r="M234" s="36"/>
      <c r="N234" s="35"/>
      <c r="O234" s="36"/>
      <c r="P234" s="36"/>
      <c r="Q234" s="36"/>
      <c r="R234" s="36"/>
      <c r="S234" s="36"/>
      <c r="T234" s="36"/>
      <c r="U234" s="36"/>
      <c r="V234" s="36"/>
      <c r="W234" s="36"/>
      <c r="X234" s="36"/>
      <c r="Y234" s="36"/>
      <c r="Z234" s="3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row>
    <row r="235" spans="1:57" ht="14.25" customHeight="1" x14ac:dyDescent="0.2">
      <c r="A235" s="36"/>
      <c r="B235" s="36"/>
      <c r="C235" s="35"/>
      <c r="D235" s="36"/>
      <c r="E235" s="36"/>
      <c r="F235" s="36"/>
      <c r="G235" s="36"/>
      <c r="H235" s="35"/>
      <c r="I235" s="35"/>
      <c r="J235" s="35"/>
      <c r="K235" s="36"/>
      <c r="L235" s="36"/>
      <c r="M235" s="36"/>
      <c r="N235" s="35"/>
      <c r="O235" s="36"/>
      <c r="P235" s="36"/>
      <c r="Q235" s="36"/>
      <c r="R235" s="36"/>
      <c r="S235" s="36"/>
      <c r="T235" s="36"/>
      <c r="U235" s="36"/>
      <c r="V235" s="36"/>
      <c r="W235" s="36"/>
      <c r="X235" s="36"/>
      <c r="Y235" s="36"/>
      <c r="Z235" s="3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row>
    <row r="236" spans="1:57" ht="14.25" customHeight="1" x14ac:dyDescent="0.2">
      <c r="A236" s="36"/>
      <c r="B236" s="36"/>
      <c r="C236" s="35"/>
      <c r="D236" s="36"/>
      <c r="E236" s="36"/>
      <c r="F236" s="36"/>
      <c r="G236" s="36"/>
      <c r="H236" s="35"/>
      <c r="I236" s="35"/>
      <c r="J236" s="35"/>
      <c r="K236" s="36"/>
      <c r="L236" s="36"/>
      <c r="M236" s="36"/>
      <c r="N236" s="35"/>
      <c r="O236" s="36"/>
      <c r="P236" s="36"/>
      <c r="Q236" s="36"/>
      <c r="R236" s="36"/>
      <c r="S236" s="36"/>
      <c r="T236" s="36"/>
      <c r="U236" s="36"/>
      <c r="V236" s="36"/>
      <c r="W236" s="36"/>
      <c r="X236" s="36"/>
      <c r="Y236" s="36"/>
      <c r="Z236" s="3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row>
    <row r="237" spans="1:57" ht="14.25" customHeight="1" x14ac:dyDescent="0.2">
      <c r="A237" s="36"/>
      <c r="B237" s="36"/>
      <c r="C237" s="35"/>
      <c r="D237" s="36"/>
      <c r="E237" s="36"/>
      <c r="F237" s="36"/>
      <c r="G237" s="36"/>
      <c r="H237" s="35"/>
      <c r="I237" s="35"/>
      <c r="J237" s="35"/>
      <c r="K237" s="36"/>
      <c r="L237" s="36"/>
      <c r="M237" s="36"/>
      <c r="N237" s="35"/>
      <c r="O237" s="36"/>
      <c r="P237" s="36"/>
      <c r="Q237" s="36"/>
      <c r="R237" s="36"/>
      <c r="S237" s="36"/>
      <c r="T237" s="36"/>
      <c r="U237" s="36"/>
      <c r="V237" s="36"/>
      <c r="W237" s="36"/>
      <c r="X237" s="36"/>
      <c r="Y237" s="36"/>
      <c r="Z237" s="3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row>
    <row r="238" spans="1:57" ht="14.25" customHeight="1" x14ac:dyDescent="0.2">
      <c r="A238" s="36"/>
      <c r="B238" s="36"/>
      <c r="C238" s="35"/>
      <c r="D238" s="36"/>
      <c r="E238" s="36"/>
      <c r="F238" s="36"/>
      <c r="G238" s="36"/>
      <c r="H238" s="35"/>
      <c r="I238" s="35"/>
      <c r="J238" s="35"/>
      <c r="K238" s="36"/>
      <c r="L238" s="36"/>
      <c r="M238" s="36"/>
      <c r="N238" s="36"/>
      <c r="O238" s="35"/>
      <c r="P238" s="35"/>
      <c r="Q238" s="35"/>
      <c r="R238" s="35"/>
      <c r="S238" s="35"/>
      <c r="T238" s="35"/>
      <c r="U238" s="35"/>
      <c r="V238" s="35"/>
      <c r="W238" s="35"/>
      <c r="X238" s="35"/>
      <c r="Y238" s="35"/>
      <c r="Z238" s="35"/>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row>
    <row r="239" spans="1:57" ht="14.25" customHeight="1" x14ac:dyDescent="0.2">
      <c r="A239" s="36"/>
      <c r="B239" s="36"/>
      <c r="C239" s="35"/>
      <c r="D239" s="36"/>
      <c r="E239" s="36"/>
      <c r="F239" s="36"/>
      <c r="G239" s="36"/>
      <c r="H239" s="35"/>
      <c r="I239" s="35"/>
      <c r="J239" s="35"/>
      <c r="K239" s="36"/>
      <c r="L239" s="36"/>
      <c r="M239" s="36"/>
      <c r="N239" s="35"/>
      <c r="O239" s="36"/>
      <c r="P239" s="36"/>
      <c r="Q239" s="36"/>
      <c r="R239" s="36"/>
      <c r="S239" s="36"/>
      <c r="T239" s="36"/>
      <c r="U239" s="36"/>
      <c r="V239" s="36"/>
      <c r="W239" s="36"/>
      <c r="X239" s="36"/>
      <c r="Y239" s="36"/>
      <c r="Z239" s="3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row>
    <row r="240" spans="1:57" ht="14.25" customHeight="1" x14ac:dyDescent="0.2">
      <c r="A240" s="36"/>
      <c r="B240" s="36"/>
      <c r="C240" s="35"/>
      <c r="D240" s="36"/>
      <c r="E240" s="36"/>
      <c r="F240" s="36"/>
      <c r="G240" s="36"/>
      <c r="H240" s="35"/>
      <c r="I240" s="35"/>
      <c r="J240" s="35"/>
      <c r="K240" s="36"/>
      <c r="L240" s="36"/>
      <c r="M240" s="36"/>
      <c r="N240" s="35"/>
      <c r="O240" s="36"/>
      <c r="P240" s="36"/>
      <c r="Q240" s="36"/>
      <c r="R240" s="36"/>
      <c r="S240" s="36"/>
      <c r="T240" s="36"/>
      <c r="U240" s="36"/>
      <c r="V240" s="36"/>
      <c r="W240" s="36"/>
      <c r="X240" s="36"/>
      <c r="Y240" s="36"/>
      <c r="Z240" s="3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row>
    <row r="241" spans="1:57" ht="14.25" customHeight="1" x14ac:dyDescent="0.2">
      <c r="A241" s="36"/>
      <c r="B241" s="36"/>
      <c r="C241" s="35"/>
      <c r="D241" s="36"/>
      <c r="E241" s="36"/>
      <c r="F241" s="36"/>
      <c r="G241" s="36"/>
      <c r="H241" s="35"/>
      <c r="I241" s="35"/>
      <c r="J241" s="35"/>
      <c r="K241" s="36"/>
      <c r="L241" s="36"/>
      <c r="M241" s="36"/>
      <c r="N241" s="36"/>
      <c r="O241" s="35"/>
      <c r="P241" s="35"/>
      <c r="Q241" s="35"/>
      <c r="R241" s="35"/>
      <c r="S241" s="35"/>
      <c r="T241" s="35"/>
      <c r="U241" s="35"/>
      <c r="V241" s="35"/>
      <c r="W241" s="35"/>
      <c r="X241" s="35"/>
      <c r="Y241" s="35"/>
      <c r="Z241" s="35"/>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row>
    <row r="242" spans="1:57" ht="14.25" customHeight="1" x14ac:dyDescent="0.2">
      <c r="A242" s="36"/>
      <c r="B242" s="36"/>
      <c r="C242" s="35"/>
      <c r="D242" s="36"/>
      <c r="E242" s="36"/>
      <c r="F242" s="36"/>
      <c r="G242" s="36"/>
      <c r="H242" s="35"/>
      <c r="I242" s="35"/>
      <c r="J242" s="35"/>
      <c r="K242" s="36"/>
      <c r="L242" s="36"/>
      <c r="M242" s="36"/>
      <c r="N242" s="35"/>
      <c r="O242" s="36"/>
      <c r="P242" s="36"/>
      <c r="Q242" s="36"/>
      <c r="R242" s="36"/>
      <c r="S242" s="36"/>
      <c r="T242" s="36"/>
      <c r="U242" s="36"/>
      <c r="V242" s="36"/>
      <c r="W242" s="36"/>
      <c r="X242" s="36"/>
      <c r="Y242" s="36"/>
      <c r="Z242" s="3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row>
    <row r="243" spans="1:57" ht="14.25" customHeight="1" x14ac:dyDescent="0.2">
      <c r="A243" s="36"/>
      <c r="B243" s="36"/>
      <c r="C243" s="35"/>
      <c r="D243" s="36"/>
      <c r="E243" s="36"/>
      <c r="F243" s="36"/>
      <c r="G243" s="36"/>
      <c r="H243" s="35"/>
      <c r="I243" s="35"/>
      <c r="J243" s="35"/>
      <c r="K243" s="36"/>
      <c r="L243" s="36"/>
      <c r="M243" s="36"/>
      <c r="N243" s="35"/>
      <c r="O243" s="36"/>
      <c r="P243" s="36"/>
      <c r="Q243" s="36"/>
      <c r="R243" s="36"/>
      <c r="S243" s="36"/>
      <c r="T243" s="36"/>
      <c r="U243" s="36"/>
      <c r="V243" s="36"/>
      <c r="W243" s="36"/>
      <c r="X243" s="36"/>
      <c r="Y243" s="36"/>
      <c r="Z243" s="3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row>
    <row r="244" spans="1:57" ht="14.25" customHeight="1" x14ac:dyDescent="0.2">
      <c r="A244" s="36"/>
      <c r="B244" s="36"/>
      <c r="C244" s="35"/>
      <c r="D244" s="36"/>
      <c r="E244" s="36"/>
      <c r="F244" s="36"/>
      <c r="G244" s="36"/>
      <c r="H244" s="35"/>
      <c r="I244" s="35"/>
      <c r="J244" s="35"/>
      <c r="K244" s="36"/>
      <c r="L244" s="36"/>
      <c r="M244" s="36"/>
      <c r="N244" s="35"/>
      <c r="O244" s="36"/>
      <c r="P244" s="36"/>
      <c r="Q244" s="36"/>
      <c r="R244" s="36"/>
      <c r="S244" s="36"/>
      <c r="T244" s="36"/>
      <c r="U244" s="36"/>
      <c r="V244" s="36"/>
      <c r="W244" s="36"/>
      <c r="X244" s="36"/>
      <c r="Y244" s="36"/>
      <c r="Z244" s="3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row>
    <row r="245" spans="1:57" ht="14.25" customHeight="1" x14ac:dyDescent="0.2">
      <c r="A245" s="36"/>
      <c r="B245" s="36"/>
      <c r="C245" s="35"/>
      <c r="D245" s="36"/>
      <c r="E245" s="36"/>
      <c r="F245" s="36"/>
      <c r="G245" s="36"/>
      <c r="H245" s="35"/>
      <c r="I245" s="35"/>
      <c r="J245" s="35"/>
      <c r="K245" s="36"/>
      <c r="L245" s="36"/>
      <c r="M245" s="36"/>
      <c r="N245" s="35"/>
      <c r="O245" s="36"/>
      <c r="P245" s="36"/>
      <c r="Q245" s="36"/>
      <c r="R245" s="36"/>
      <c r="S245" s="36"/>
      <c r="T245" s="36"/>
      <c r="U245" s="36"/>
      <c r="V245" s="36"/>
      <c r="W245" s="36"/>
      <c r="X245" s="36"/>
      <c r="Y245" s="36"/>
      <c r="Z245" s="3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row>
    <row r="246" spans="1:57" ht="14.25" customHeight="1" x14ac:dyDescent="0.2">
      <c r="A246" s="36"/>
      <c r="B246" s="36"/>
      <c r="C246" s="35"/>
      <c r="D246" s="36"/>
      <c r="E246" s="36"/>
      <c r="F246" s="36"/>
      <c r="G246" s="36"/>
      <c r="H246" s="35"/>
      <c r="I246" s="35"/>
      <c r="J246" s="35"/>
      <c r="K246" s="36"/>
      <c r="L246" s="36"/>
      <c r="M246" s="36"/>
      <c r="N246" s="36"/>
      <c r="O246" s="35"/>
      <c r="P246" s="35"/>
      <c r="Q246" s="35"/>
      <c r="R246" s="35"/>
      <c r="S246" s="35"/>
      <c r="T246" s="35"/>
      <c r="U246" s="35"/>
      <c r="V246" s="35"/>
      <c r="W246" s="35"/>
      <c r="X246" s="35"/>
      <c r="Y246" s="35"/>
      <c r="Z246" s="35"/>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row>
    <row r="247" spans="1:57" ht="14.25" customHeight="1" x14ac:dyDescent="0.2">
      <c r="A247" s="36"/>
      <c r="B247" s="36"/>
      <c r="C247" s="35"/>
      <c r="D247" s="36"/>
      <c r="E247" s="36"/>
      <c r="F247" s="36"/>
      <c r="G247" s="36"/>
      <c r="H247" s="35"/>
      <c r="I247" s="35"/>
      <c r="J247" s="35"/>
      <c r="K247" s="36"/>
      <c r="L247" s="36"/>
      <c r="M247" s="36"/>
      <c r="N247" s="36"/>
      <c r="O247" s="35"/>
      <c r="P247" s="35"/>
      <c r="Q247" s="35"/>
      <c r="R247" s="35"/>
      <c r="S247" s="35"/>
      <c r="T247" s="35"/>
      <c r="U247" s="35"/>
      <c r="V247" s="35"/>
      <c r="W247" s="35"/>
      <c r="X247" s="35"/>
      <c r="Y247" s="35"/>
      <c r="Z247" s="35"/>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row>
    <row r="248" spans="1:57" ht="14.25" customHeight="1" x14ac:dyDescent="0.2">
      <c r="A248" s="36"/>
      <c r="B248" s="36"/>
      <c r="C248" s="35"/>
      <c r="D248" s="36"/>
      <c r="E248" s="36"/>
      <c r="F248" s="36"/>
      <c r="G248" s="36"/>
      <c r="H248" s="35"/>
      <c r="I248" s="35"/>
      <c r="J248" s="35"/>
      <c r="K248" s="36"/>
      <c r="L248" s="36"/>
      <c r="M248" s="36"/>
      <c r="N248" s="35"/>
      <c r="O248" s="36"/>
      <c r="P248" s="36"/>
      <c r="Q248" s="36"/>
      <c r="R248" s="36"/>
      <c r="S248" s="36"/>
      <c r="T248" s="36"/>
      <c r="U248" s="36"/>
      <c r="V248" s="36"/>
      <c r="W248" s="36"/>
      <c r="X248" s="36"/>
      <c r="Y248" s="36"/>
      <c r="Z248" s="3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row>
    <row r="249" spans="1:57" ht="14.25" customHeight="1" x14ac:dyDescent="0.2">
      <c r="A249" s="36"/>
      <c r="B249" s="36"/>
      <c r="C249" s="35"/>
      <c r="D249" s="36"/>
      <c r="E249" s="36"/>
      <c r="F249" s="36"/>
      <c r="G249" s="36"/>
      <c r="H249" s="35"/>
      <c r="I249" s="35"/>
      <c r="J249" s="35"/>
      <c r="K249" s="36"/>
      <c r="L249" s="36"/>
      <c r="M249" s="36"/>
      <c r="N249" s="35"/>
      <c r="O249" s="36"/>
      <c r="P249" s="36"/>
      <c r="Q249" s="36"/>
      <c r="R249" s="36"/>
      <c r="S249" s="36"/>
      <c r="T249" s="36"/>
      <c r="U249" s="36"/>
      <c r="V249" s="36"/>
      <c r="W249" s="36"/>
      <c r="X249" s="36"/>
      <c r="Y249" s="36"/>
      <c r="Z249" s="3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row>
    <row r="250" spans="1:57" ht="14.25" customHeight="1" x14ac:dyDescent="0.2">
      <c r="A250" s="36"/>
      <c r="B250" s="36"/>
      <c r="C250" s="35"/>
      <c r="D250" s="36"/>
      <c r="E250" s="36"/>
      <c r="F250" s="36"/>
      <c r="G250" s="36"/>
      <c r="H250" s="35"/>
      <c r="I250" s="35"/>
      <c r="J250" s="35"/>
      <c r="K250" s="36"/>
      <c r="L250" s="36"/>
      <c r="M250" s="36"/>
      <c r="N250" s="35"/>
      <c r="O250" s="36"/>
      <c r="P250" s="36"/>
      <c r="Q250" s="36"/>
      <c r="R250" s="36"/>
      <c r="S250" s="36"/>
      <c r="T250" s="36"/>
      <c r="U250" s="36"/>
      <c r="V250" s="36"/>
      <c r="W250" s="36"/>
      <c r="X250" s="36"/>
      <c r="Y250" s="36"/>
      <c r="Z250" s="3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row>
    <row r="251" spans="1:57" ht="14.25" customHeight="1" x14ac:dyDescent="0.2">
      <c r="A251" s="36"/>
      <c r="B251" s="36"/>
      <c r="C251" s="35"/>
      <c r="D251" s="36"/>
      <c r="E251" s="36"/>
      <c r="F251" s="36"/>
      <c r="G251" s="36"/>
      <c r="H251" s="35"/>
      <c r="I251" s="35"/>
      <c r="J251" s="35"/>
      <c r="K251" s="36"/>
      <c r="L251" s="36"/>
      <c r="M251" s="36"/>
      <c r="N251" s="35"/>
      <c r="O251" s="36"/>
      <c r="P251" s="36"/>
      <c r="Q251" s="36"/>
      <c r="R251" s="36"/>
      <c r="S251" s="36"/>
      <c r="T251" s="36"/>
      <c r="U251" s="36"/>
      <c r="V251" s="36"/>
      <c r="W251" s="36"/>
      <c r="X251" s="36"/>
      <c r="Y251" s="36"/>
      <c r="Z251" s="3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row>
    <row r="252" spans="1:57" ht="14.25" customHeight="1" x14ac:dyDescent="0.2">
      <c r="A252" s="36"/>
      <c r="B252" s="36"/>
      <c r="C252" s="35"/>
      <c r="D252" s="36"/>
      <c r="E252" s="36"/>
      <c r="F252" s="36"/>
      <c r="G252" s="36"/>
      <c r="H252" s="35"/>
      <c r="I252" s="35"/>
      <c r="J252" s="35"/>
      <c r="K252" s="36"/>
      <c r="L252" s="36"/>
      <c r="M252" s="36"/>
      <c r="N252" s="35"/>
      <c r="O252" s="36"/>
      <c r="P252" s="36"/>
      <c r="Q252" s="36"/>
      <c r="R252" s="36"/>
      <c r="S252" s="36"/>
      <c r="T252" s="36"/>
      <c r="U252" s="36"/>
      <c r="V252" s="36"/>
      <c r="W252" s="36"/>
      <c r="X252" s="36"/>
      <c r="Y252" s="36"/>
      <c r="Z252" s="3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row>
    <row r="253" spans="1:57" ht="14.25" customHeight="1" x14ac:dyDescent="0.2">
      <c r="A253" s="36"/>
      <c r="B253" s="36"/>
      <c r="C253" s="35"/>
      <c r="D253" s="36"/>
      <c r="E253" s="36"/>
      <c r="F253" s="36"/>
      <c r="G253" s="36"/>
      <c r="H253" s="35"/>
      <c r="I253" s="35"/>
      <c r="J253" s="35"/>
      <c r="K253" s="36"/>
      <c r="L253" s="36"/>
      <c r="M253" s="36"/>
      <c r="N253" s="35"/>
      <c r="O253" s="36"/>
      <c r="P253" s="36"/>
      <c r="Q253" s="36"/>
      <c r="R253" s="36"/>
      <c r="S253" s="36"/>
      <c r="T253" s="36"/>
      <c r="U253" s="36"/>
      <c r="V253" s="36"/>
      <c r="W253" s="36"/>
      <c r="X253" s="36"/>
      <c r="Y253" s="36"/>
      <c r="Z253" s="3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row>
    <row r="254" spans="1:57" ht="14.25" customHeight="1" x14ac:dyDescent="0.2">
      <c r="A254" s="36"/>
      <c r="B254" s="36"/>
      <c r="C254" s="35"/>
      <c r="D254" s="36"/>
      <c r="E254" s="36"/>
      <c r="F254" s="36"/>
      <c r="G254" s="36"/>
      <c r="H254" s="35"/>
      <c r="I254" s="35"/>
      <c r="J254" s="35"/>
      <c r="K254" s="36"/>
      <c r="L254" s="36"/>
      <c r="M254" s="36"/>
      <c r="N254" s="35"/>
      <c r="O254" s="36"/>
      <c r="P254" s="36"/>
      <c r="Q254" s="36"/>
      <c r="R254" s="36"/>
      <c r="S254" s="36"/>
      <c r="T254" s="36"/>
      <c r="U254" s="36"/>
      <c r="V254" s="36"/>
      <c r="W254" s="36"/>
      <c r="X254" s="36"/>
      <c r="Y254" s="36"/>
      <c r="Z254" s="3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row>
    <row r="255" spans="1:57" ht="14.25" customHeight="1" x14ac:dyDescent="0.2">
      <c r="A255" s="36"/>
      <c r="B255" s="36"/>
      <c r="C255" s="35"/>
      <c r="D255" s="36"/>
      <c r="E255" s="36"/>
      <c r="F255" s="36"/>
      <c r="G255" s="36"/>
      <c r="H255" s="35"/>
      <c r="I255" s="35"/>
      <c r="J255" s="35"/>
      <c r="K255" s="36"/>
      <c r="L255" s="36"/>
      <c r="M255" s="36"/>
      <c r="N255" s="35"/>
      <c r="O255" s="36"/>
      <c r="P255" s="36"/>
      <c r="Q255" s="36"/>
      <c r="R255" s="36"/>
      <c r="S255" s="36"/>
      <c r="T255" s="36"/>
      <c r="U255" s="36"/>
      <c r="V255" s="36"/>
      <c r="W255" s="36"/>
      <c r="X255" s="36"/>
      <c r="Y255" s="36"/>
      <c r="Z255" s="3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row>
    <row r="256" spans="1:57" ht="14.25" customHeight="1" x14ac:dyDescent="0.2">
      <c r="A256" s="36"/>
      <c r="B256" s="36"/>
      <c r="C256" s="35"/>
      <c r="D256" s="36"/>
      <c r="E256" s="36"/>
      <c r="F256" s="36"/>
      <c r="G256" s="36"/>
      <c r="H256" s="35"/>
      <c r="I256" s="35"/>
      <c r="J256" s="35"/>
      <c r="K256" s="36"/>
      <c r="L256" s="36"/>
      <c r="M256" s="36"/>
      <c r="N256" s="35"/>
      <c r="O256" s="36"/>
      <c r="P256" s="36"/>
      <c r="Q256" s="36"/>
      <c r="R256" s="36"/>
      <c r="S256" s="36"/>
      <c r="T256" s="36"/>
      <c r="U256" s="36"/>
      <c r="V256" s="36"/>
      <c r="W256" s="36"/>
      <c r="X256" s="36"/>
      <c r="Y256" s="36"/>
      <c r="Z256" s="3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row>
    <row r="257" spans="1:57" ht="14.25" customHeight="1" x14ac:dyDescent="0.2">
      <c r="A257" s="36"/>
      <c r="B257" s="36"/>
      <c r="C257" s="35"/>
      <c r="D257" s="36"/>
      <c r="E257" s="36"/>
      <c r="F257" s="36"/>
      <c r="G257" s="36"/>
      <c r="H257" s="35"/>
      <c r="I257" s="35"/>
      <c r="J257" s="35"/>
      <c r="K257" s="36"/>
      <c r="L257" s="36"/>
      <c r="M257" s="36"/>
      <c r="N257" s="35"/>
      <c r="O257" s="36"/>
      <c r="P257" s="36"/>
      <c r="Q257" s="36"/>
      <c r="R257" s="36"/>
      <c r="S257" s="36"/>
      <c r="T257" s="36"/>
      <c r="U257" s="36"/>
      <c r="V257" s="36"/>
      <c r="W257" s="36"/>
      <c r="X257" s="36"/>
      <c r="Y257" s="36"/>
      <c r="Z257" s="3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row>
    <row r="258" spans="1:57" ht="14.25" customHeight="1" x14ac:dyDescent="0.2">
      <c r="A258" s="36"/>
      <c r="B258" s="36"/>
      <c r="C258" s="35"/>
      <c r="D258" s="36"/>
      <c r="E258" s="36"/>
      <c r="F258" s="36"/>
      <c r="G258" s="36"/>
      <c r="H258" s="35"/>
      <c r="I258" s="35"/>
      <c r="J258" s="35"/>
      <c r="K258" s="36"/>
      <c r="L258" s="36"/>
      <c r="M258" s="36"/>
      <c r="N258" s="35"/>
      <c r="O258" s="36"/>
      <c r="P258" s="36"/>
      <c r="Q258" s="36"/>
      <c r="R258" s="36"/>
      <c r="S258" s="36"/>
      <c r="T258" s="36"/>
      <c r="U258" s="36"/>
      <c r="V258" s="36"/>
      <c r="W258" s="36"/>
      <c r="X258" s="36"/>
      <c r="Y258" s="36"/>
      <c r="Z258" s="3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row>
    <row r="259" spans="1:57" ht="14.25" customHeight="1" x14ac:dyDescent="0.2">
      <c r="A259" s="36"/>
      <c r="B259" s="36"/>
      <c r="C259" s="35"/>
      <c r="D259" s="36"/>
      <c r="E259" s="36"/>
      <c r="F259" s="36"/>
      <c r="G259" s="36"/>
      <c r="H259" s="35"/>
      <c r="I259" s="35"/>
      <c r="J259" s="35"/>
      <c r="K259" s="36"/>
      <c r="L259" s="36"/>
      <c r="M259" s="36"/>
      <c r="N259" s="35"/>
      <c r="O259" s="36"/>
      <c r="P259" s="36"/>
      <c r="Q259" s="36"/>
      <c r="R259" s="36"/>
      <c r="S259" s="36"/>
      <c r="T259" s="36"/>
      <c r="U259" s="36"/>
      <c r="V259" s="36"/>
      <c r="W259" s="36"/>
      <c r="X259" s="36"/>
      <c r="Y259" s="36"/>
      <c r="Z259" s="3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row>
    <row r="260" spans="1:57" ht="14.25" customHeight="1" x14ac:dyDescent="0.2">
      <c r="A260" s="36"/>
      <c r="B260" s="36"/>
      <c r="C260" s="35"/>
      <c r="D260" s="36"/>
      <c r="E260" s="36"/>
      <c r="F260" s="36"/>
      <c r="G260" s="36"/>
      <c r="H260" s="35"/>
      <c r="I260" s="35"/>
      <c r="J260" s="35"/>
      <c r="K260" s="36"/>
      <c r="L260" s="36"/>
      <c r="M260" s="36"/>
      <c r="N260" s="35"/>
      <c r="O260" s="36"/>
      <c r="P260" s="36"/>
      <c r="Q260" s="36"/>
      <c r="R260" s="36"/>
      <c r="S260" s="36"/>
      <c r="T260" s="36"/>
      <c r="U260" s="36"/>
      <c r="V260" s="36"/>
      <c r="W260" s="36"/>
      <c r="X260" s="36"/>
      <c r="Y260" s="36"/>
      <c r="Z260" s="3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row>
    <row r="261" spans="1:57" ht="14.25" customHeight="1" x14ac:dyDescent="0.2">
      <c r="A261" s="36"/>
      <c r="B261" s="36"/>
      <c r="C261" s="35"/>
      <c r="D261" s="36"/>
      <c r="E261" s="36"/>
      <c r="F261" s="36"/>
      <c r="G261" s="36"/>
      <c r="H261" s="35"/>
      <c r="I261" s="35"/>
      <c r="J261" s="35"/>
      <c r="K261" s="36"/>
      <c r="L261" s="36"/>
      <c r="M261" s="36"/>
      <c r="N261" s="35"/>
      <c r="O261" s="36"/>
      <c r="P261" s="36"/>
      <c r="Q261" s="36"/>
      <c r="R261" s="36"/>
      <c r="S261" s="36"/>
      <c r="T261" s="36"/>
      <c r="U261" s="36"/>
      <c r="V261" s="36"/>
      <c r="W261" s="36"/>
      <c r="X261" s="36"/>
      <c r="Y261" s="36"/>
      <c r="Z261" s="3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row>
    <row r="262" spans="1:57" ht="14.25" customHeight="1" x14ac:dyDescent="0.2">
      <c r="A262" s="36"/>
      <c r="B262" s="36"/>
      <c r="C262" s="35"/>
      <c r="D262" s="36"/>
      <c r="E262" s="36"/>
      <c r="F262" s="36"/>
      <c r="G262" s="36"/>
      <c r="H262" s="35"/>
      <c r="I262" s="35"/>
      <c r="J262" s="35"/>
      <c r="K262" s="36"/>
      <c r="L262" s="36"/>
      <c r="M262" s="36"/>
      <c r="N262" s="35"/>
      <c r="O262" s="36"/>
      <c r="P262" s="36"/>
      <c r="Q262" s="36"/>
      <c r="R262" s="36"/>
      <c r="S262" s="36"/>
      <c r="T262" s="36"/>
      <c r="U262" s="36"/>
      <c r="V262" s="36"/>
      <c r="W262" s="36"/>
      <c r="X262" s="36"/>
      <c r="Y262" s="36"/>
      <c r="Z262" s="3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row>
    <row r="263" spans="1:57" ht="14.25" customHeight="1" x14ac:dyDescent="0.2">
      <c r="A263" s="36"/>
      <c r="B263" s="36"/>
      <c r="C263" s="35"/>
      <c r="D263" s="36"/>
      <c r="E263" s="36"/>
      <c r="F263" s="36"/>
      <c r="G263" s="36"/>
      <c r="H263" s="35"/>
      <c r="I263" s="35"/>
      <c r="J263" s="35"/>
      <c r="K263" s="36"/>
      <c r="L263" s="36"/>
      <c r="M263" s="36"/>
      <c r="N263" s="35"/>
      <c r="O263" s="36"/>
      <c r="P263" s="36"/>
      <c r="Q263" s="36"/>
      <c r="R263" s="36"/>
      <c r="S263" s="36"/>
      <c r="T263" s="36"/>
      <c r="U263" s="36"/>
      <c r="V263" s="36"/>
      <c r="W263" s="36"/>
      <c r="X263" s="36"/>
      <c r="Y263" s="36"/>
      <c r="Z263" s="3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row>
    <row r="264" spans="1:57" ht="14.25" customHeight="1" x14ac:dyDescent="0.2">
      <c r="A264" s="36"/>
      <c r="B264" s="36"/>
      <c r="C264" s="35"/>
      <c r="D264" s="36"/>
      <c r="E264" s="36"/>
      <c r="F264" s="36"/>
      <c r="G264" s="36"/>
      <c r="H264" s="35"/>
      <c r="I264" s="35"/>
      <c r="J264" s="35"/>
      <c r="K264" s="36"/>
      <c r="L264" s="36"/>
      <c r="M264" s="36"/>
      <c r="N264" s="35"/>
      <c r="O264" s="36"/>
      <c r="P264" s="36"/>
      <c r="Q264" s="36"/>
      <c r="R264" s="36"/>
      <c r="S264" s="36"/>
      <c r="T264" s="36"/>
      <c r="U264" s="36"/>
      <c r="V264" s="36"/>
      <c r="W264" s="36"/>
      <c r="X264" s="36"/>
      <c r="Y264" s="36"/>
      <c r="Z264" s="3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row>
    <row r="265" spans="1:57" ht="14.25" customHeight="1" x14ac:dyDescent="0.2">
      <c r="A265" s="36"/>
      <c r="B265" s="36"/>
      <c r="C265" s="35"/>
      <c r="D265" s="36"/>
      <c r="E265" s="36"/>
      <c r="F265" s="36"/>
      <c r="G265" s="36"/>
      <c r="H265" s="35"/>
      <c r="I265" s="35"/>
      <c r="J265" s="35"/>
      <c r="K265" s="36"/>
      <c r="L265" s="36"/>
      <c r="M265" s="36"/>
      <c r="N265" s="35"/>
      <c r="O265" s="36"/>
      <c r="P265" s="36"/>
      <c r="Q265" s="36"/>
      <c r="R265" s="36"/>
      <c r="S265" s="36"/>
      <c r="T265" s="36"/>
      <c r="U265" s="36"/>
      <c r="V265" s="36"/>
      <c r="W265" s="36"/>
      <c r="X265" s="36"/>
      <c r="Y265" s="36"/>
      <c r="Z265" s="3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row>
    <row r="266" spans="1:57" ht="14.25" customHeight="1" x14ac:dyDescent="0.2">
      <c r="A266" s="36"/>
      <c r="B266" s="36"/>
      <c r="C266" s="35"/>
      <c r="D266" s="36"/>
      <c r="E266" s="36"/>
      <c r="F266" s="36"/>
      <c r="G266" s="36"/>
      <c r="H266" s="35"/>
      <c r="I266" s="35"/>
      <c r="J266" s="35"/>
      <c r="K266" s="36"/>
      <c r="L266" s="36"/>
      <c r="M266" s="36"/>
      <c r="N266" s="35"/>
      <c r="O266" s="36"/>
      <c r="P266" s="36"/>
      <c r="Q266" s="36"/>
      <c r="R266" s="36"/>
      <c r="S266" s="36"/>
      <c r="T266" s="36"/>
      <c r="U266" s="36"/>
      <c r="V266" s="36"/>
      <c r="W266" s="36"/>
      <c r="X266" s="36"/>
      <c r="Y266" s="36"/>
      <c r="Z266" s="3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row>
    <row r="267" spans="1:57" ht="14.25" customHeight="1" x14ac:dyDescent="0.2">
      <c r="A267" s="36"/>
      <c r="B267" s="36"/>
      <c r="C267" s="35"/>
      <c r="D267" s="36"/>
      <c r="E267" s="36"/>
      <c r="F267" s="36"/>
      <c r="G267" s="36"/>
      <c r="H267" s="35"/>
      <c r="I267" s="35"/>
      <c r="J267" s="35"/>
      <c r="K267" s="36"/>
      <c r="L267" s="36"/>
      <c r="M267" s="36"/>
      <c r="N267" s="36"/>
      <c r="O267" s="35"/>
      <c r="P267" s="35"/>
      <c r="Q267" s="35"/>
      <c r="R267" s="35"/>
      <c r="S267" s="35"/>
      <c r="T267" s="35"/>
      <c r="U267" s="35"/>
      <c r="V267" s="35"/>
      <c r="W267" s="35"/>
      <c r="X267" s="35"/>
      <c r="Y267" s="35"/>
      <c r="Z267" s="35"/>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row>
    <row r="268" spans="1:57" ht="14.25" customHeight="1" x14ac:dyDescent="0.2">
      <c r="A268" s="36"/>
      <c r="B268" s="36"/>
      <c r="C268" s="35"/>
      <c r="D268" s="36"/>
      <c r="E268" s="36"/>
      <c r="F268" s="36"/>
      <c r="G268" s="36"/>
      <c r="H268" s="35"/>
      <c r="I268" s="35"/>
      <c r="J268" s="35"/>
      <c r="K268" s="36"/>
      <c r="L268" s="36"/>
      <c r="M268" s="36"/>
      <c r="N268" s="36"/>
      <c r="O268" s="35"/>
      <c r="P268" s="35"/>
      <c r="Q268" s="35"/>
      <c r="R268" s="35"/>
      <c r="S268" s="35"/>
      <c r="T268" s="35"/>
      <c r="U268" s="35"/>
      <c r="V268" s="35"/>
      <c r="W268" s="35"/>
      <c r="X268" s="35"/>
      <c r="Y268" s="35"/>
      <c r="Z268" s="35"/>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row>
    <row r="269" spans="1:57" ht="14.25" customHeight="1" x14ac:dyDescent="0.2">
      <c r="A269" s="36"/>
      <c r="B269" s="36"/>
      <c r="C269" s="35"/>
      <c r="D269" s="36"/>
      <c r="E269" s="36"/>
      <c r="F269" s="36"/>
      <c r="G269" s="36"/>
      <c r="H269" s="35"/>
      <c r="I269" s="35"/>
      <c r="J269" s="35"/>
      <c r="K269" s="36"/>
      <c r="L269" s="36"/>
      <c r="M269" s="36"/>
      <c r="N269" s="36"/>
      <c r="O269" s="35"/>
      <c r="P269" s="35"/>
      <c r="Q269" s="35"/>
      <c r="R269" s="35"/>
      <c r="S269" s="35"/>
      <c r="T269" s="35"/>
      <c r="U269" s="35"/>
      <c r="V269" s="35"/>
      <c r="W269" s="35"/>
      <c r="X269" s="35"/>
      <c r="Y269" s="35"/>
      <c r="Z269" s="35"/>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row>
    <row r="270" spans="1:57" ht="14.25" customHeight="1" x14ac:dyDescent="0.2">
      <c r="A270" s="36"/>
      <c r="B270" s="36"/>
      <c r="C270" s="35"/>
      <c r="D270" s="36"/>
      <c r="E270" s="36"/>
      <c r="F270" s="36"/>
      <c r="G270" s="36"/>
      <c r="H270" s="35"/>
      <c r="I270" s="35"/>
      <c r="J270" s="35"/>
      <c r="K270" s="36"/>
      <c r="L270" s="36"/>
      <c r="M270" s="36"/>
      <c r="N270" s="36"/>
      <c r="O270" s="35"/>
      <c r="P270" s="35"/>
      <c r="Q270" s="35"/>
      <c r="R270" s="35"/>
      <c r="S270" s="35"/>
      <c r="T270" s="35"/>
      <c r="U270" s="35"/>
      <c r="V270" s="35"/>
      <c r="W270" s="35"/>
      <c r="X270" s="35"/>
      <c r="Y270" s="35"/>
      <c r="Z270" s="35"/>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row>
    <row r="271" spans="1:57" ht="14.25" customHeight="1" x14ac:dyDescent="0.2">
      <c r="A271" s="36"/>
      <c r="B271" s="36"/>
      <c r="C271" s="35"/>
      <c r="D271" s="36"/>
      <c r="E271" s="36"/>
      <c r="F271" s="36"/>
      <c r="G271" s="36"/>
      <c r="H271" s="35"/>
      <c r="I271" s="35"/>
      <c r="J271" s="35"/>
      <c r="K271" s="36"/>
      <c r="L271" s="36"/>
      <c r="M271" s="36"/>
      <c r="N271" s="36"/>
      <c r="O271" s="35"/>
      <c r="P271" s="35"/>
      <c r="Q271" s="35"/>
      <c r="R271" s="35"/>
      <c r="S271" s="35"/>
      <c r="T271" s="35"/>
      <c r="U271" s="35"/>
      <c r="V271" s="35"/>
      <c r="W271" s="35"/>
      <c r="X271" s="35"/>
      <c r="Y271" s="35"/>
      <c r="Z271" s="35"/>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row>
    <row r="272" spans="1:57" ht="14.25" customHeight="1" x14ac:dyDescent="0.2">
      <c r="A272" s="36"/>
      <c r="B272" s="36"/>
      <c r="C272" s="35"/>
      <c r="D272" s="36"/>
      <c r="E272" s="36"/>
      <c r="F272" s="36"/>
      <c r="G272" s="36"/>
      <c r="H272" s="35"/>
      <c r="I272" s="35"/>
      <c r="J272" s="35"/>
      <c r="K272" s="36"/>
      <c r="L272" s="36"/>
      <c r="M272" s="36"/>
      <c r="N272" s="36"/>
      <c r="O272" s="35"/>
      <c r="P272" s="35"/>
      <c r="Q272" s="35"/>
      <c r="R272" s="35"/>
      <c r="S272" s="35"/>
      <c r="T272" s="35"/>
      <c r="U272" s="35"/>
      <c r="V272" s="35"/>
      <c r="W272" s="35"/>
      <c r="X272" s="35"/>
      <c r="Y272" s="35"/>
      <c r="Z272" s="35"/>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row>
    <row r="273" spans="1:57" ht="14.25" customHeight="1" x14ac:dyDescent="0.2">
      <c r="A273" s="36"/>
      <c r="B273" s="36"/>
      <c r="C273" s="35"/>
      <c r="D273" s="36"/>
      <c r="E273" s="36"/>
      <c r="F273" s="36"/>
      <c r="G273" s="36"/>
      <c r="H273" s="35"/>
      <c r="I273" s="35"/>
      <c r="J273" s="35"/>
      <c r="K273" s="36"/>
      <c r="L273" s="36"/>
      <c r="M273" s="36"/>
      <c r="N273" s="36"/>
      <c r="O273" s="35"/>
      <c r="P273" s="35"/>
      <c r="Q273" s="35"/>
      <c r="R273" s="35"/>
      <c r="S273" s="35"/>
      <c r="T273" s="35"/>
      <c r="U273" s="35"/>
      <c r="V273" s="35"/>
      <c r="W273" s="35"/>
      <c r="X273" s="35"/>
      <c r="Y273" s="35"/>
      <c r="Z273" s="35"/>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row>
    <row r="274" spans="1:57" ht="14.25" customHeight="1" x14ac:dyDescent="0.2">
      <c r="A274" s="36"/>
      <c r="B274" s="36"/>
      <c r="C274" s="35"/>
      <c r="D274" s="36"/>
      <c r="E274" s="36"/>
      <c r="F274" s="36"/>
      <c r="G274" s="36"/>
      <c r="H274" s="35"/>
      <c r="I274" s="35"/>
      <c r="J274" s="35"/>
      <c r="K274" s="36"/>
      <c r="L274" s="36"/>
      <c r="M274" s="36"/>
      <c r="N274" s="36"/>
      <c r="O274" s="35"/>
      <c r="P274" s="35"/>
      <c r="Q274" s="35"/>
      <c r="R274" s="35"/>
      <c r="S274" s="35"/>
      <c r="T274" s="35"/>
      <c r="U274" s="35"/>
      <c r="V274" s="35"/>
      <c r="W274" s="35"/>
      <c r="X274" s="35"/>
      <c r="Y274" s="35"/>
      <c r="Z274" s="35"/>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row>
    <row r="275" spans="1:57" ht="14.25" customHeight="1" x14ac:dyDescent="0.2">
      <c r="A275" s="36"/>
      <c r="B275" s="36"/>
      <c r="C275" s="35"/>
      <c r="D275" s="36"/>
      <c r="E275" s="36"/>
      <c r="F275" s="36"/>
      <c r="G275" s="36"/>
      <c r="H275" s="35"/>
      <c r="I275" s="35"/>
      <c r="J275" s="35"/>
      <c r="K275" s="36"/>
      <c r="L275" s="36"/>
      <c r="M275" s="36"/>
      <c r="N275" s="36"/>
      <c r="O275" s="35"/>
      <c r="P275" s="35"/>
      <c r="Q275" s="35"/>
      <c r="R275" s="35"/>
      <c r="S275" s="35"/>
      <c r="T275" s="35"/>
      <c r="U275" s="35"/>
      <c r="V275" s="35"/>
      <c r="W275" s="35"/>
      <c r="X275" s="35"/>
      <c r="Y275" s="35"/>
      <c r="Z275" s="35"/>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row>
    <row r="276" spans="1:57" ht="14.25" customHeight="1" x14ac:dyDescent="0.2">
      <c r="A276" s="36"/>
      <c r="B276" s="36"/>
      <c r="C276" s="35"/>
      <c r="D276" s="36"/>
      <c r="E276" s="36"/>
      <c r="F276" s="36"/>
      <c r="G276" s="36"/>
      <c r="H276" s="35"/>
      <c r="I276" s="35"/>
      <c r="J276" s="35"/>
      <c r="K276" s="36"/>
      <c r="L276" s="36"/>
      <c r="M276" s="36"/>
      <c r="N276" s="35"/>
      <c r="O276" s="36"/>
      <c r="P276" s="36"/>
      <c r="Q276" s="36"/>
      <c r="R276" s="36"/>
      <c r="S276" s="36"/>
      <c r="T276" s="36"/>
      <c r="U276" s="36"/>
      <c r="V276" s="36"/>
      <c r="W276" s="36"/>
      <c r="X276" s="36"/>
      <c r="Y276" s="36"/>
      <c r="Z276" s="3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row>
    <row r="277" spans="1:57" ht="14.25" customHeight="1" x14ac:dyDescent="0.2">
      <c r="A277" s="36"/>
      <c r="B277" s="36"/>
      <c r="C277" s="35"/>
      <c r="D277" s="36"/>
      <c r="E277" s="36"/>
      <c r="F277" s="36"/>
      <c r="G277" s="36"/>
      <c r="H277" s="35"/>
      <c r="I277" s="35"/>
      <c r="J277" s="35"/>
      <c r="K277" s="36"/>
      <c r="L277" s="36"/>
      <c r="M277" s="36"/>
      <c r="N277" s="36"/>
      <c r="O277" s="35"/>
      <c r="P277" s="35"/>
      <c r="Q277" s="35"/>
      <c r="R277" s="35"/>
      <c r="S277" s="35"/>
      <c r="T277" s="35"/>
      <c r="U277" s="35"/>
      <c r="V277" s="35"/>
      <c r="W277" s="35"/>
      <c r="X277" s="35"/>
      <c r="Y277" s="35"/>
      <c r="Z277" s="35"/>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row>
    <row r="278" spans="1:57" ht="14.25" customHeight="1" x14ac:dyDescent="0.2">
      <c r="A278" s="36"/>
      <c r="B278" s="36"/>
      <c r="C278" s="35"/>
      <c r="D278" s="36"/>
      <c r="E278" s="36"/>
      <c r="F278" s="36"/>
      <c r="G278" s="36"/>
      <c r="H278" s="35"/>
      <c r="I278" s="35"/>
      <c r="J278" s="35"/>
      <c r="K278" s="36"/>
      <c r="L278" s="36"/>
      <c r="M278" s="36"/>
      <c r="N278" s="35"/>
      <c r="O278" s="36"/>
      <c r="P278" s="36"/>
      <c r="Q278" s="36"/>
      <c r="R278" s="36"/>
      <c r="S278" s="36"/>
      <c r="T278" s="36"/>
      <c r="U278" s="36"/>
      <c r="V278" s="36"/>
      <c r="W278" s="36"/>
      <c r="X278" s="36"/>
      <c r="Y278" s="36"/>
      <c r="Z278" s="3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row>
    <row r="279" spans="1:57" ht="14.25" customHeight="1" x14ac:dyDescent="0.2">
      <c r="A279" s="36"/>
      <c r="B279" s="36"/>
      <c r="C279" s="35"/>
      <c r="D279" s="36"/>
      <c r="E279" s="36"/>
      <c r="F279" s="36"/>
      <c r="G279" s="36"/>
      <c r="H279" s="35"/>
      <c r="I279" s="35"/>
      <c r="J279" s="35"/>
      <c r="K279" s="36"/>
      <c r="L279" s="36"/>
      <c r="M279" s="36"/>
      <c r="N279" s="35"/>
      <c r="O279" s="36"/>
      <c r="P279" s="36"/>
      <c r="Q279" s="36"/>
      <c r="R279" s="36"/>
      <c r="S279" s="36"/>
      <c r="T279" s="36"/>
      <c r="U279" s="36"/>
      <c r="V279" s="36"/>
      <c r="W279" s="36"/>
      <c r="X279" s="36"/>
      <c r="Y279" s="36"/>
      <c r="Z279" s="3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row>
    <row r="280" spans="1:57" ht="14.25" customHeight="1" x14ac:dyDescent="0.2">
      <c r="A280" s="36"/>
      <c r="B280" s="36"/>
      <c r="C280" s="35"/>
      <c r="D280" s="36"/>
      <c r="E280" s="36"/>
      <c r="F280" s="36"/>
      <c r="G280" s="36"/>
      <c r="H280" s="35"/>
      <c r="I280" s="35"/>
      <c r="J280" s="35"/>
      <c r="K280" s="36"/>
      <c r="L280" s="36"/>
      <c r="M280" s="36"/>
      <c r="N280" s="35"/>
      <c r="O280" s="36"/>
      <c r="P280" s="36"/>
      <c r="Q280" s="36"/>
      <c r="R280" s="36"/>
      <c r="S280" s="36"/>
      <c r="T280" s="36"/>
      <c r="U280" s="36"/>
      <c r="V280" s="36"/>
      <c r="W280" s="36"/>
      <c r="X280" s="36"/>
      <c r="Y280" s="36"/>
      <c r="Z280" s="3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row>
    <row r="281" spans="1:57" ht="14.25" customHeight="1" x14ac:dyDescent="0.2">
      <c r="A281" s="36"/>
      <c r="B281" s="36"/>
      <c r="C281" s="35"/>
      <c r="D281" s="36"/>
      <c r="E281" s="36"/>
      <c r="F281" s="36"/>
      <c r="G281" s="36"/>
      <c r="H281" s="35"/>
      <c r="I281" s="35"/>
      <c r="J281" s="35"/>
      <c r="K281" s="36"/>
      <c r="L281" s="36"/>
      <c r="M281" s="36"/>
      <c r="N281" s="36"/>
      <c r="O281" s="35"/>
      <c r="P281" s="35"/>
      <c r="Q281" s="35"/>
      <c r="R281" s="35"/>
      <c r="S281" s="35"/>
      <c r="T281" s="35"/>
      <c r="U281" s="35"/>
      <c r="V281" s="35"/>
      <c r="W281" s="35"/>
      <c r="X281" s="35"/>
      <c r="Y281" s="35"/>
      <c r="Z281" s="35"/>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row>
    <row r="282" spans="1:57" ht="14.25" customHeight="1" x14ac:dyDescent="0.2">
      <c r="A282" s="36"/>
      <c r="B282" s="36"/>
      <c r="C282" s="35"/>
      <c r="D282" s="36"/>
      <c r="E282" s="36"/>
      <c r="F282" s="36"/>
      <c r="G282" s="36"/>
      <c r="H282" s="35"/>
      <c r="I282" s="35"/>
      <c r="J282" s="35"/>
      <c r="K282" s="36"/>
      <c r="L282" s="36"/>
      <c r="M282" s="36"/>
      <c r="N282" s="36"/>
      <c r="O282" s="35"/>
      <c r="P282" s="35"/>
      <c r="Q282" s="35"/>
      <c r="R282" s="35"/>
      <c r="S282" s="35"/>
      <c r="T282" s="35"/>
      <c r="U282" s="35"/>
      <c r="V282" s="35"/>
      <c r="W282" s="35"/>
      <c r="X282" s="35"/>
      <c r="Y282" s="35"/>
      <c r="Z282" s="35"/>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row>
    <row r="283" spans="1:57" ht="14.25" customHeight="1" x14ac:dyDescent="0.2">
      <c r="A283" s="36"/>
      <c r="B283" s="36"/>
      <c r="C283" s="35"/>
      <c r="D283" s="36"/>
      <c r="E283" s="36"/>
      <c r="F283" s="36"/>
      <c r="G283" s="36"/>
      <c r="H283" s="35"/>
      <c r="I283" s="35"/>
      <c r="J283" s="35"/>
      <c r="K283" s="36"/>
      <c r="L283" s="36"/>
      <c r="M283" s="36"/>
      <c r="N283" s="35"/>
      <c r="O283" s="36"/>
      <c r="P283" s="36"/>
      <c r="Q283" s="36"/>
      <c r="R283" s="36"/>
      <c r="S283" s="36"/>
      <c r="T283" s="36"/>
      <c r="U283" s="36"/>
      <c r="V283" s="36"/>
      <c r="W283" s="36"/>
      <c r="X283" s="36"/>
      <c r="Y283" s="36"/>
      <c r="Z283" s="3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row>
    <row r="284" spans="1:57" ht="14.25" customHeight="1" x14ac:dyDescent="0.2">
      <c r="A284" s="36"/>
      <c r="B284" s="36"/>
      <c r="C284" s="35"/>
      <c r="D284" s="36"/>
      <c r="E284" s="36"/>
      <c r="F284" s="36"/>
      <c r="G284" s="36"/>
      <c r="H284" s="35"/>
      <c r="I284" s="35"/>
      <c r="J284" s="35"/>
      <c r="K284" s="36"/>
      <c r="L284" s="36"/>
      <c r="M284" s="36"/>
      <c r="N284" s="35"/>
      <c r="O284" s="36"/>
      <c r="P284" s="36"/>
      <c r="Q284" s="36"/>
      <c r="R284" s="36"/>
      <c r="S284" s="36"/>
      <c r="T284" s="36"/>
      <c r="U284" s="36"/>
      <c r="V284" s="36"/>
      <c r="W284" s="36"/>
      <c r="X284" s="36"/>
      <c r="Y284" s="36"/>
      <c r="Z284" s="3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row>
    <row r="285" spans="1:57" ht="14.25" customHeight="1" x14ac:dyDescent="0.2">
      <c r="A285" s="36"/>
      <c r="B285" s="36"/>
      <c r="C285" s="35"/>
      <c r="D285" s="36"/>
      <c r="E285" s="36"/>
      <c r="F285" s="36"/>
      <c r="G285" s="36"/>
      <c r="H285" s="35"/>
      <c r="I285" s="35"/>
      <c r="J285" s="35"/>
      <c r="K285" s="36"/>
      <c r="L285" s="36"/>
      <c r="M285" s="36"/>
      <c r="N285" s="35"/>
      <c r="O285" s="36"/>
      <c r="P285" s="36"/>
      <c r="Q285" s="36"/>
      <c r="R285" s="36"/>
      <c r="S285" s="36"/>
      <c r="T285" s="36"/>
      <c r="U285" s="36"/>
      <c r="V285" s="36"/>
      <c r="W285" s="36"/>
      <c r="X285" s="36"/>
      <c r="Y285" s="36"/>
      <c r="Z285" s="3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row>
    <row r="286" spans="1:57" ht="14.25" customHeight="1" x14ac:dyDescent="0.2">
      <c r="A286" s="36"/>
      <c r="B286" s="36"/>
      <c r="C286" s="35"/>
      <c r="D286" s="36"/>
      <c r="E286" s="36"/>
      <c r="F286" s="36"/>
      <c r="G286" s="36"/>
      <c r="H286" s="35"/>
      <c r="I286" s="35"/>
      <c r="J286" s="35"/>
      <c r="K286" s="36"/>
      <c r="L286" s="36"/>
      <c r="M286" s="36"/>
      <c r="N286" s="36"/>
      <c r="O286" s="35"/>
      <c r="P286" s="35"/>
      <c r="Q286" s="35"/>
      <c r="R286" s="35"/>
      <c r="S286" s="35"/>
      <c r="T286" s="35"/>
      <c r="U286" s="35"/>
      <c r="V286" s="35"/>
      <c r="W286" s="35"/>
      <c r="X286" s="35"/>
      <c r="Y286" s="35"/>
      <c r="Z286" s="35"/>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row>
    <row r="287" spans="1:57" ht="14.25" customHeight="1" x14ac:dyDescent="0.2">
      <c r="A287" s="36"/>
      <c r="B287" s="36"/>
      <c r="C287" s="35"/>
      <c r="D287" s="36"/>
      <c r="E287" s="36"/>
      <c r="F287" s="36"/>
      <c r="G287" s="36"/>
      <c r="H287" s="35"/>
      <c r="I287" s="35"/>
      <c r="J287" s="35"/>
      <c r="K287" s="36"/>
      <c r="L287" s="36"/>
      <c r="M287" s="36"/>
      <c r="N287" s="36"/>
      <c r="O287" s="35"/>
      <c r="P287" s="35"/>
      <c r="Q287" s="35"/>
      <c r="R287" s="35"/>
      <c r="S287" s="35"/>
      <c r="T287" s="35"/>
      <c r="U287" s="35"/>
      <c r="V287" s="35"/>
      <c r="W287" s="35"/>
      <c r="X287" s="35"/>
      <c r="Y287" s="35"/>
      <c r="Z287" s="35"/>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row>
    <row r="288" spans="1:57" ht="14.25" customHeight="1" x14ac:dyDescent="0.2">
      <c r="A288" s="36"/>
      <c r="B288" s="36"/>
      <c r="C288" s="35"/>
      <c r="D288" s="36"/>
      <c r="E288" s="36"/>
      <c r="F288" s="36"/>
      <c r="G288" s="36"/>
      <c r="H288" s="35"/>
      <c r="I288" s="35"/>
      <c r="J288" s="35"/>
      <c r="K288" s="36"/>
      <c r="L288" s="36"/>
      <c r="M288" s="36"/>
      <c r="N288" s="35"/>
      <c r="O288" s="36"/>
      <c r="P288" s="36"/>
      <c r="Q288" s="36"/>
      <c r="R288" s="36"/>
      <c r="S288" s="36"/>
      <c r="T288" s="36"/>
      <c r="U288" s="36"/>
      <c r="V288" s="36"/>
      <c r="W288" s="36"/>
      <c r="X288" s="36"/>
      <c r="Y288" s="36"/>
      <c r="Z288" s="3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row>
    <row r="289" spans="1:57" ht="14.25" customHeight="1" x14ac:dyDescent="0.2">
      <c r="A289" s="36"/>
      <c r="B289" s="36"/>
      <c r="C289" s="35"/>
      <c r="D289" s="36"/>
      <c r="E289" s="36"/>
      <c r="F289" s="36"/>
      <c r="G289" s="36"/>
      <c r="H289" s="35"/>
      <c r="I289" s="35"/>
      <c r="J289" s="35"/>
      <c r="K289" s="36"/>
      <c r="L289" s="36"/>
      <c r="M289" s="36"/>
      <c r="N289" s="35"/>
      <c r="O289" s="36"/>
      <c r="P289" s="36"/>
      <c r="Q289" s="36"/>
      <c r="R289" s="36"/>
      <c r="S289" s="36"/>
      <c r="T289" s="36"/>
      <c r="U289" s="36"/>
      <c r="V289" s="36"/>
      <c r="W289" s="36"/>
      <c r="X289" s="36"/>
      <c r="Y289" s="36"/>
      <c r="Z289" s="3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row>
    <row r="290" spans="1:57" ht="14.25" customHeight="1" x14ac:dyDescent="0.2">
      <c r="A290" s="36"/>
      <c r="B290" s="36"/>
      <c r="C290" s="35"/>
      <c r="D290" s="36"/>
      <c r="E290" s="36"/>
      <c r="F290" s="36"/>
      <c r="G290" s="36"/>
      <c r="H290" s="35"/>
      <c r="I290" s="35"/>
      <c r="J290" s="35"/>
      <c r="K290" s="36"/>
      <c r="L290" s="36"/>
      <c r="M290" s="36"/>
      <c r="N290" s="35"/>
      <c r="O290" s="36"/>
      <c r="P290" s="36"/>
      <c r="Q290" s="36"/>
      <c r="R290" s="36"/>
      <c r="S290" s="36"/>
      <c r="T290" s="36"/>
      <c r="U290" s="36"/>
      <c r="V290" s="36"/>
      <c r="W290" s="36"/>
      <c r="X290" s="36"/>
      <c r="Y290" s="36"/>
      <c r="Z290" s="3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row>
    <row r="291" spans="1:57" ht="14.25" customHeight="1" x14ac:dyDescent="0.2">
      <c r="A291" s="36"/>
      <c r="B291" s="36"/>
      <c r="C291" s="35"/>
      <c r="D291" s="36"/>
      <c r="E291" s="36"/>
      <c r="F291" s="36"/>
      <c r="G291" s="36"/>
      <c r="H291" s="35"/>
      <c r="I291" s="35"/>
      <c r="J291" s="35"/>
      <c r="K291" s="36"/>
      <c r="L291" s="36"/>
      <c r="M291" s="36"/>
      <c r="N291" s="36"/>
      <c r="O291" s="35"/>
      <c r="P291" s="35"/>
      <c r="Q291" s="35"/>
      <c r="R291" s="35"/>
      <c r="S291" s="35"/>
      <c r="T291" s="35"/>
      <c r="U291" s="35"/>
      <c r="V291" s="35"/>
      <c r="W291" s="35"/>
      <c r="X291" s="35"/>
      <c r="Y291" s="35"/>
      <c r="Z291" s="35"/>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row>
    <row r="292" spans="1:57" ht="14.25" customHeight="1" x14ac:dyDescent="0.2">
      <c r="A292" s="36"/>
      <c r="B292" s="36"/>
      <c r="C292" s="35"/>
      <c r="D292" s="36"/>
      <c r="E292" s="36"/>
      <c r="F292" s="36"/>
      <c r="G292" s="36"/>
      <c r="H292" s="35"/>
      <c r="I292" s="35"/>
      <c r="J292" s="35"/>
      <c r="K292" s="36"/>
      <c r="L292" s="36"/>
      <c r="M292" s="36"/>
      <c r="N292" s="35"/>
      <c r="O292" s="36"/>
      <c r="P292" s="36"/>
      <c r="Q292" s="36"/>
      <c r="R292" s="36"/>
      <c r="S292" s="36"/>
      <c r="T292" s="36"/>
      <c r="U292" s="36"/>
      <c r="V292" s="36"/>
      <c r="W292" s="36"/>
      <c r="X292" s="36"/>
      <c r="Y292" s="36"/>
      <c r="Z292" s="3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row>
    <row r="293" spans="1:57" ht="14.25" customHeight="1" x14ac:dyDescent="0.2">
      <c r="A293" s="36"/>
      <c r="B293" s="36"/>
      <c r="C293" s="35"/>
      <c r="D293" s="36"/>
      <c r="E293" s="36"/>
      <c r="F293" s="36"/>
      <c r="G293" s="36"/>
      <c r="H293" s="35"/>
      <c r="I293" s="35"/>
      <c r="J293" s="35"/>
      <c r="K293" s="36"/>
      <c r="L293" s="36"/>
      <c r="M293" s="36"/>
      <c r="N293" s="36"/>
      <c r="O293" s="35"/>
      <c r="P293" s="35"/>
      <c r="Q293" s="35"/>
      <c r="R293" s="35"/>
      <c r="S293" s="35"/>
      <c r="T293" s="35"/>
      <c r="U293" s="35"/>
      <c r="V293" s="35"/>
      <c r="W293" s="35"/>
      <c r="X293" s="35"/>
      <c r="Y293" s="35"/>
      <c r="Z293" s="35"/>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row>
    <row r="294" spans="1:57" ht="14.25" customHeight="1" x14ac:dyDescent="0.2">
      <c r="A294" s="36"/>
      <c r="B294" s="36"/>
      <c r="C294" s="35"/>
      <c r="D294" s="36"/>
      <c r="E294" s="36"/>
      <c r="F294" s="36"/>
      <c r="G294" s="36"/>
      <c r="H294" s="35"/>
      <c r="I294" s="35"/>
      <c r="J294" s="35"/>
      <c r="K294" s="36"/>
      <c r="L294" s="36"/>
      <c r="M294" s="36"/>
      <c r="N294" s="35"/>
      <c r="O294" s="36"/>
      <c r="P294" s="36"/>
      <c r="Q294" s="36"/>
      <c r="R294" s="36"/>
      <c r="S294" s="36"/>
      <c r="T294" s="36"/>
      <c r="U294" s="36"/>
      <c r="V294" s="36"/>
      <c r="W294" s="36"/>
      <c r="X294" s="36"/>
      <c r="Y294" s="36"/>
      <c r="Z294" s="3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row>
    <row r="295" spans="1:57" ht="14.25" customHeight="1" x14ac:dyDescent="0.2">
      <c r="A295" s="36"/>
      <c r="B295" s="36"/>
      <c r="C295" s="35"/>
      <c r="D295" s="36"/>
      <c r="E295" s="36"/>
      <c r="F295" s="36"/>
      <c r="G295" s="36"/>
      <c r="H295" s="35"/>
      <c r="I295" s="35"/>
      <c r="J295" s="35"/>
      <c r="K295" s="36"/>
      <c r="L295" s="36"/>
      <c r="M295" s="36"/>
      <c r="N295" s="35"/>
      <c r="O295" s="36"/>
      <c r="P295" s="36"/>
      <c r="Q295" s="36"/>
      <c r="R295" s="36"/>
      <c r="S295" s="36"/>
      <c r="T295" s="36"/>
      <c r="U295" s="36"/>
      <c r="V295" s="36"/>
      <c r="W295" s="36"/>
      <c r="X295" s="36"/>
      <c r="Y295" s="36"/>
      <c r="Z295" s="3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row>
    <row r="296" spans="1:57" ht="14.25" customHeight="1" x14ac:dyDescent="0.2">
      <c r="A296" s="36"/>
      <c r="B296" s="36"/>
      <c r="C296" s="35"/>
      <c r="D296" s="36"/>
      <c r="E296" s="36"/>
      <c r="F296" s="36"/>
      <c r="G296" s="36"/>
      <c r="H296" s="35"/>
      <c r="I296" s="35"/>
      <c r="J296" s="35"/>
      <c r="K296" s="36"/>
      <c r="L296" s="36"/>
      <c r="M296" s="36"/>
      <c r="N296" s="36"/>
      <c r="O296" s="35"/>
      <c r="P296" s="35"/>
      <c r="Q296" s="35"/>
      <c r="R296" s="35"/>
      <c r="S296" s="35"/>
      <c r="T296" s="35"/>
      <c r="U296" s="35"/>
      <c r="V296" s="35"/>
      <c r="W296" s="35"/>
      <c r="X296" s="35"/>
      <c r="Y296" s="35"/>
      <c r="Z296" s="35"/>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row>
    <row r="297" spans="1:57" ht="14.25" customHeight="1" x14ac:dyDescent="0.2">
      <c r="A297" s="36"/>
      <c r="B297" s="36"/>
      <c r="C297" s="35"/>
      <c r="D297" s="36"/>
      <c r="E297" s="36"/>
      <c r="F297" s="36"/>
      <c r="G297" s="36"/>
      <c r="H297" s="35"/>
      <c r="I297" s="35"/>
      <c r="J297" s="35"/>
      <c r="K297" s="36"/>
      <c r="L297" s="36"/>
      <c r="M297" s="36"/>
      <c r="N297" s="35"/>
      <c r="O297" s="36"/>
      <c r="P297" s="36"/>
      <c r="Q297" s="36"/>
      <c r="R297" s="36"/>
      <c r="S297" s="36"/>
      <c r="T297" s="36"/>
      <c r="U297" s="36"/>
      <c r="V297" s="36"/>
      <c r="W297" s="36"/>
      <c r="X297" s="36"/>
      <c r="Y297" s="36"/>
      <c r="Z297" s="3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row>
    <row r="298" spans="1:57" ht="14.25" customHeight="1" x14ac:dyDescent="0.2">
      <c r="A298" s="36"/>
      <c r="B298" s="36"/>
      <c r="C298" s="35"/>
      <c r="D298" s="36"/>
      <c r="E298" s="36"/>
      <c r="F298" s="36"/>
      <c r="G298" s="36"/>
      <c r="H298" s="35"/>
      <c r="I298" s="35"/>
      <c r="J298" s="35"/>
      <c r="K298" s="36"/>
      <c r="L298" s="36"/>
      <c r="M298" s="36"/>
      <c r="N298" s="36"/>
      <c r="O298" s="35"/>
      <c r="P298" s="35"/>
      <c r="Q298" s="35"/>
      <c r="R298" s="35"/>
      <c r="S298" s="35"/>
      <c r="T298" s="35"/>
      <c r="U298" s="35"/>
      <c r="V298" s="35"/>
      <c r="W298" s="35"/>
      <c r="X298" s="35"/>
      <c r="Y298" s="35"/>
      <c r="Z298" s="35"/>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row>
    <row r="299" spans="1:57" ht="14.25" customHeight="1" x14ac:dyDescent="0.2">
      <c r="A299" s="36"/>
      <c r="B299" s="36"/>
      <c r="C299" s="35"/>
      <c r="D299" s="36"/>
      <c r="E299" s="36"/>
      <c r="F299" s="36"/>
      <c r="G299" s="36"/>
      <c r="H299" s="35"/>
      <c r="I299" s="35"/>
      <c r="J299" s="35"/>
      <c r="K299" s="36"/>
      <c r="L299" s="36"/>
      <c r="M299" s="36"/>
      <c r="N299" s="35"/>
      <c r="O299" s="36"/>
      <c r="P299" s="36"/>
      <c r="Q299" s="36"/>
      <c r="R299" s="36"/>
      <c r="S299" s="36"/>
      <c r="T299" s="36"/>
      <c r="U299" s="36"/>
      <c r="V299" s="36"/>
      <c r="W299" s="36"/>
      <c r="X299" s="36"/>
      <c r="Y299" s="36"/>
      <c r="Z299" s="3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row>
    <row r="300" spans="1:57" ht="14.25" customHeight="1" x14ac:dyDescent="0.2">
      <c r="A300" s="36"/>
      <c r="B300" s="36"/>
      <c r="C300" s="35"/>
      <c r="D300" s="36"/>
      <c r="E300" s="36"/>
      <c r="F300" s="36"/>
      <c r="G300" s="36"/>
      <c r="H300" s="35"/>
      <c r="I300" s="35"/>
      <c r="J300" s="35"/>
      <c r="K300" s="36"/>
      <c r="L300" s="36"/>
      <c r="M300" s="36"/>
      <c r="N300" s="35"/>
      <c r="O300" s="36"/>
      <c r="P300" s="36"/>
      <c r="Q300" s="36"/>
      <c r="R300" s="36"/>
      <c r="S300" s="36"/>
      <c r="T300" s="36"/>
      <c r="U300" s="36"/>
      <c r="V300" s="36"/>
      <c r="W300" s="36"/>
      <c r="X300" s="36"/>
      <c r="Y300" s="36"/>
      <c r="Z300" s="3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row>
    <row r="301" spans="1:57" ht="14.25" customHeight="1" x14ac:dyDescent="0.2">
      <c r="A301" s="36"/>
      <c r="B301" s="36"/>
      <c r="C301" s="35"/>
      <c r="D301" s="36"/>
      <c r="E301" s="36"/>
      <c r="F301" s="36"/>
      <c r="G301" s="36"/>
      <c r="H301" s="35"/>
      <c r="I301" s="35"/>
      <c r="J301" s="35"/>
      <c r="K301" s="36"/>
      <c r="L301" s="36"/>
      <c r="M301" s="36"/>
      <c r="N301" s="36"/>
      <c r="O301" s="35"/>
      <c r="P301" s="35"/>
      <c r="Q301" s="35"/>
      <c r="R301" s="35"/>
      <c r="S301" s="35"/>
      <c r="T301" s="35"/>
      <c r="U301" s="35"/>
      <c r="V301" s="35"/>
      <c r="W301" s="35"/>
      <c r="X301" s="35"/>
      <c r="Y301" s="35"/>
      <c r="Z301" s="35"/>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row>
    <row r="302" spans="1:57" ht="14.25" customHeight="1" x14ac:dyDescent="0.2">
      <c r="A302" s="36"/>
      <c r="B302" s="36"/>
      <c r="C302" s="35"/>
      <c r="D302" s="36"/>
      <c r="E302" s="36"/>
      <c r="F302" s="36"/>
      <c r="G302" s="36"/>
      <c r="H302" s="35"/>
      <c r="I302" s="35"/>
      <c r="J302" s="35"/>
      <c r="K302" s="36"/>
      <c r="L302" s="36"/>
      <c r="M302" s="36"/>
      <c r="N302" s="35"/>
      <c r="O302" s="36"/>
      <c r="P302" s="36"/>
      <c r="Q302" s="36"/>
      <c r="R302" s="36"/>
      <c r="S302" s="36"/>
      <c r="T302" s="36"/>
      <c r="U302" s="36"/>
      <c r="V302" s="36"/>
      <c r="W302" s="36"/>
      <c r="X302" s="36"/>
      <c r="Y302" s="36"/>
      <c r="Z302" s="3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row>
    <row r="303" spans="1:57" ht="14.25" customHeight="1" x14ac:dyDescent="0.2">
      <c r="A303" s="36"/>
      <c r="B303" s="36"/>
      <c r="C303" s="35"/>
      <c r="D303" s="36"/>
      <c r="E303" s="36"/>
      <c r="F303" s="36"/>
      <c r="G303" s="36"/>
      <c r="H303" s="35"/>
      <c r="I303" s="35"/>
      <c r="J303" s="35"/>
      <c r="K303" s="36"/>
      <c r="L303" s="36"/>
      <c r="M303" s="36"/>
      <c r="N303" s="35"/>
      <c r="O303" s="36"/>
      <c r="P303" s="36"/>
      <c r="Q303" s="36"/>
      <c r="R303" s="36"/>
      <c r="S303" s="36"/>
      <c r="T303" s="36"/>
      <c r="U303" s="36"/>
      <c r="V303" s="36"/>
      <c r="W303" s="36"/>
      <c r="X303" s="36"/>
      <c r="Y303" s="36"/>
      <c r="Z303" s="3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row>
    <row r="304" spans="1:57" ht="14.25" customHeight="1" x14ac:dyDescent="0.2">
      <c r="A304" s="36"/>
      <c r="B304" s="36"/>
      <c r="C304" s="35"/>
      <c r="D304" s="36"/>
      <c r="E304" s="36"/>
      <c r="F304" s="36"/>
      <c r="G304" s="36"/>
      <c r="H304" s="35"/>
      <c r="I304" s="35"/>
      <c r="J304" s="35"/>
      <c r="K304" s="36"/>
      <c r="L304" s="36"/>
      <c r="M304" s="36"/>
      <c r="N304" s="35"/>
      <c r="O304" s="36"/>
      <c r="P304" s="36"/>
      <c r="Q304" s="36"/>
      <c r="R304" s="36"/>
      <c r="S304" s="36"/>
      <c r="T304" s="36"/>
      <c r="U304" s="36"/>
      <c r="V304" s="36"/>
      <c r="W304" s="36"/>
      <c r="X304" s="36"/>
      <c r="Y304" s="36"/>
      <c r="Z304" s="3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row>
    <row r="305" spans="1:57" ht="14.25" customHeight="1" x14ac:dyDescent="0.2">
      <c r="A305" s="36"/>
      <c r="B305" s="36"/>
      <c r="C305" s="35"/>
      <c r="D305" s="36"/>
      <c r="E305" s="36"/>
      <c r="F305" s="36"/>
      <c r="G305" s="36"/>
      <c r="H305" s="35"/>
      <c r="I305" s="35"/>
      <c r="J305" s="35"/>
      <c r="K305" s="36"/>
      <c r="L305" s="36"/>
      <c r="M305" s="36"/>
      <c r="N305" s="35"/>
      <c r="O305" s="36"/>
      <c r="P305" s="36"/>
      <c r="Q305" s="36"/>
      <c r="R305" s="36"/>
      <c r="S305" s="36"/>
      <c r="T305" s="36"/>
      <c r="U305" s="36"/>
      <c r="V305" s="36"/>
      <c r="W305" s="36"/>
      <c r="X305" s="36"/>
      <c r="Y305" s="36"/>
      <c r="Z305" s="3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row>
    <row r="306" spans="1:57" ht="14.25" customHeight="1" x14ac:dyDescent="0.2">
      <c r="A306" s="36"/>
      <c r="B306" s="36"/>
      <c r="C306" s="35"/>
      <c r="D306" s="36"/>
      <c r="E306" s="36"/>
      <c r="F306" s="36"/>
      <c r="G306" s="36"/>
      <c r="H306" s="35"/>
      <c r="I306" s="35"/>
      <c r="J306" s="35"/>
      <c r="K306" s="36"/>
      <c r="L306" s="36"/>
      <c r="M306" s="36"/>
      <c r="N306" s="36"/>
      <c r="O306" s="35"/>
      <c r="P306" s="35"/>
      <c r="Q306" s="35"/>
      <c r="R306" s="35"/>
      <c r="S306" s="35"/>
      <c r="T306" s="35"/>
      <c r="U306" s="35"/>
      <c r="V306" s="35"/>
      <c r="W306" s="35"/>
      <c r="X306" s="35"/>
      <c r="Y306" s="35"/>
      <c r="Z306" s="35"/>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row>
    <row r="307" spans="1:57" ht="14.25" customHeight="1" x14ac:dyDescent="0.2">
      <c r="A307" s="36"/>
      <c r="B307" s="36"/>
      <c r="C307" s="35"/>
      <c r="D307" s="36"/>
      <c r="E307" s="36"/>
      <c r="F307" s="36"/>
      <c r="G307" s="36"/>
      <c r="H307" s="35"/>
      <c r="I307" s="35"/>
      <c r="J307" s="35"/>
      <c r="K307" s="36"/>
      <c r="L307" s="36"/>
      <c r="M307" s="36"/>
      <c r="N307" s="36"/>
      <c r="O307" s="35"/>
      <c r="P307" s="35"/>
      <c r="Q307" s="35"/>
      <c r="R307" s="35"/>
      <c r="S307" s="35"/>
      <c r="T307" s="35"/>
      <c r="U307" s="35"/>
      <c r="V307" s="35"/>
      <c r="W307" s="35"/>
      <c r="X307" s="35"/>
      <c r="Y307" s="35"/>
      <c r="Z307" s="35"/>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row>
    <row r="308" spans="1:57" ht="14.25" customHeight="1" x14ac:dyDescent="0.2">
      <c r="A308" s="36"/>
      <c r="B308" s="36"/>
      <c r="C308" s="35"/>
      <c r="D308" s="36"/>
      <c r="E308" s="36"/>
      <c r="F308" s="36"/>
      <c r="G308" s="36"/>
      <c r="H308" s="35"/>
      <c r="I308" s="35"/>
      <c r="J308" s="35"/>
      <c r="K308" s="36"/>
      <c r="L308" s="36"/>
      <c r="M308" s="36"/>
      <c r="N308" s="35"/>
      <c r="O308" s="36"/>
      <c r="P308" s="36"/>
      <c r="Q308" s="36"/>
      <c r="R308" s="36"/>
      <c r="S308" s="36"/>
      <c r="T308" s="36"/>
      <c r="U308" s="36"/>
      <c r="V308" s="36"/>
      <c r="W308" s="36"/>
      <c r="X308" s="36"/>
      <c r="Y308" s="36"/>
      <c r="Z308" s="3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row>
    <row r="309" spans="1:57" ht="14.25" customHeight="1" x14ac:dyDescent="0.2">
      <c r="A309" s="36"/>
      <c r="B309" s="36"/>
      <c r="C309" s="35"/>
      <c r="D309" s="36"/>
      <c r="E309" s="36"/>
      <c r="F309" s="36"/>
      <c r="G309" s="36"/>
      <c r="H309" s="35"/>
      <c r="I309" s="35"/>
      <c r="J309" s="35"/>
      <c r="K309" s="36"/>
      <c r="L309" s="36"/>
      <c r="M309" s="36"/>
      <c r="N309" s="35"/>
      <c r="O309" s="36"/>
      <c r="P309" s="36"/>
      <c r="Q309" s="36"/>
      <c r="R309" s="36"/>
      <c r="S309" s="36"/>
      <c r="T309" s="36"/>
      <c r="U309" s="36"/>
      <c r="V309" s="36"/>
      <c r="W309" s="36"/>
      <c r="X309" s="36"/>
      <c r="Y309" s="36"/>
      <c r="Z309" s="3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row>
    <row r="310" spans="1:57" ht="14.25" customHeight="1" x14ac:dyDescent="0.2">
      <c r="A310" s="36"/>
      <c r="B310" s="36"/>
      <c r="C310" s="35"/>
      <c r="D310" s="36"/>
      <c r="E310" s="36"/>
      <c r="F310" s="36"/>
      <c r="G310" s="36"/>
      <c r="H310" s="35"/>
      <c r="I310" s="35"/>
      <c r="J310" s="35"/>
      <c r="K310" s="36"/>
      <c r="L310" s="36"/>
      <c r="M310" s="36"/>
      <c r="N310" s="35"/>
      <c r="O310" s="36"/>
      <c r="P310" s="36"/>
      <c r="Q310" s="36"/>
      <c r="R310" s="36"/>
      <c r="S310" s="36"/>
      <c r="T310" s="36"/>
      <c r="U310" s="36"/>
      <c r="V310" s="36"/>
      <c r="W310" s="36"/>
      <c r="X310" s="36"/>
      <c r="Y310" s="36"/>
      <c r="Z310" s="3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row>
    <row r="311" spans="1:57" ht="14.25" customHeight="1" x14ac:dyDescent="0.2">
      <c r="A311" s="36"/>
      <c r="B311" s="36"/>
      <c r="C311" s="35"/>
      <c r="D311" s="36"/>
      <c r="E311" s="36"/>
      <c r="F311" s="36"/>
      <c r="G311" s="36"/>
      <c r="H311" s="35"/>
      <c r="I311" s="35"/>
      <c r="J311" s="35"/>
      <c r="K311" s="36"/>
      <c r="L311" s="36"/>
      <c r="M311" s="36"/>
      <c r="N311" s="35"/>
      <c r="O311" s="36"/>
      <c r="P311" s="36"/>
      <c r="Q311" s="36"/>
      <c r="R311" s="36"/>
      <c r="S311" s="36"/>
      <c r="T311" s="36"/>
      <c r="U311" s="36"/>
      <c r="V311" s="36"/>
      <c r="W311" s="36"/>
      <c r="X311" s="36"/>
      <c r="Y311" s="36"/>
      <c r="Z311" s="3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row>
    <row r="312" spans="1:57" ht="14.25" customHeight="1" x14ac:dyDescent="0.2">
      <c r="A312" s="36"/>
      <c r="B312" s="36"/>
      <c r="C312" s="35"/>
      <c r="D312" s="36"/>
      <c r="E312" s="36"/>
      <c r="F312" s="36"/>
      <c r="G312" s="36"/>
      <c r="H312" s="35"/>
      <c r="I312" s="35"/>
      <c r="J312" s="35"/>
      <c r="K312" s="36"/>
      <c r="L312" s="36"/>
      <c r="M312" s="36"/>
      <c r="N312" s="36"/>
      <c r="O312" s="35"/>
      <c r="P312" s="35"/>
      <c r="Q312" s="35"/>
      <c r="R312" s="35"/>
      <c r="S312" s="35"/>
      <c r="T312" s="35"/>
      <c r="U312" s="35"/>
      <c r="V312" s="35"/>
      <c r="W312" s="35"/>
      <c r="X312" s="35"/>
      <c r="Y312" s="35"/>
      <c r="Z312" s="35"/>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row>
    <row r="313" spans="1:57" ht="14.25" customHeight="1" x14ac:dyDescent="0.2">
      <c r="A313" s="36"/>
      <c r="B313" s="36"/>
      <c r="C313" s="35"/>
      <c r="D313" s="36"/>
      <c r="E313" s="36"/>
      <c r="F313" s="36"/>
      <c r="G313" s="36"/>
      <c r="H313" s="35"/>
      <c r="I313" s="35"/>
      <c r="J313" s="35"/>
      <c r="K313" s="36"/>
      <c r="L313" s="36"/>
      <c r="M313" s="36"/>
      <c r="N313" s="35"/>
      <c r="O313" s="36"/>
      <c r="P313" s="36"/>
      <c r="Q313" s="36"/>
      <c r="R313" s="36"/>
      <c r="S313" s="36"/>
      <c r="T313" s="36"/>
      <c r="U313" s="36"/>
      <c r="V313" s="36"/>
      <c r="W313" s="36"/>
      <c r="X313" s="36"/>
      <c r="Y313" s="36"/>
      <c r="Z313" s="3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36"/>
      <c r="M314" s="36"/>
      <c r="N314" s="35"/>
      <c r="O314" s="36"/>
      <c r="P314" s="36"/>
      <c r="Q314" s="36"/>
      <c r="R314" s="36"/>
      <c r="S314" s="36"/>
      <c r="T314" s="36"/>
      <c r="U314" s="36"/>
      <c r="V314" s="36"/>
      <c r="W314" s="36"/>
      <c r="X314" s="36"/>
      <c r="Y314" s="36"/>
      <c r="Z314" s="3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row>
    <row r="315" spans="1:57" ht="14.25" customHeight="1" x14ac:dyDescent="0.2">
      <c r="A315" s="36"/>
      <c r="B315" s="36"/>
      <c r="C315" s="35"/>
      <c r="D315" s="36"/>
      <c r="E315" s="36"/>
      <c r="F315" s="36"/>
      <c r="G315" s="36"/>
      <c r="H315" s="35"/>
      <c r="I315" s="35"/>
      <c r="J315" s="35"/>
      <c r="K315" s="36"/>
      <c r="L315" s="36"/>
      <c r="M315" s="36"/>
      <c r="N315" s="35"/>
      <c r="O315" s="36"/>
      <c r="P315" s="36"/>
      <c r="Q315" s="36"/>
      <c r="R315" s="36"/>
      <c r="S315" s="36"/>
      <c r="T315" s="36"/>
      <c r="U315" s="36"/>
      <c r="V315" s="36"/>
      <c r="W315" s="36"/>
      <c r="X315" s="36"/>
      <c r="Y315" s="36"/>
      <c r="Z315" s="3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row>
    <row r="316" spans="1:57" ht="14.25" customHeight="1" x14ac:dyDescent="0.2">
      <c r="A316" s="36"/>
      <c r="B316" s="36"/>
      <c r="C316" s="35"/>
      <c r="D316" s="36"/>
      <c r="E316" s="36"/>
      <c r="F316" s="36"/>
      <c r="G316" s="36"/>
      <c r="H316" s="35"/>
      <c r="I316" s="35"/>
      <c r="J316" s="35"/>
      <c r="K316" s="36"/>
      <c r="L316" s="36"/>
      <c r="M316" s="36"/>
      <c r="N316" s="35"/>
      <c r="O316" s="36"/>
      <c r="P316" s="36"/>
      <c r="Q316" s="36"/>
      <c r="R316" s="36"/>
      <c r="S316" s="36"/>
      <c r="T316" s="36"/>
      <c r="U316" s="36"/>
      <c r="V316" s="36"/>
      <c r="W316" s="36"/>
      <c r="X316" s="36"/>
      <c r="Y316" s="36"/>
      <c r="Z316" s="3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row>
    <row r="317" spans="1:57" ht="14.25" customHeight="1" x14ac:dyDescent="0.2">
      <c r="A317" s="36"/>
      <c r="B317" s="36"/>
      <c r="C317" s="35"/>
      <c r="D317" s="36"/>
      <c r="E317" s="36"/>
      <c r="F317" s="36"/>
      <c r="G317" s="36"/>
      <c r="H317" s="35"/>
      <c r="I317" s="35"/>
      <c r="J317" s="35"/>
      <c r="K317" s="36"/>
      <c r="L317" s="36"/>
      <c r="M317" s="36"/>
      <c r="N317" s="36"/>
      <c r="O317" s="35"/>
      <c r="P317" s="35"/>
      <c r="Q317" s="35"/>
      <c r="R317" s="35"/>
      <c r="S317" s="35"/>
      <c r="T317" s="35"/>
      <c r="U317" s="35"/>
      <c r="V317" s="35"/>
      <c r="W317" s="35"/>
      <c r="X317" s="35"/>
      <c r="Y317" s="35"/>
      <c r="Z317" s="35"/>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row>
    <row r="318" spans="1:57" ht="14.25" customHeight="1" x14ac:dyDescent="0.2">
      <c r="A318" s="36"/>
      <c r="B318" s="36"/>
      <c r="C318" s="35"/>
      <c r="D318" s="36"/>
      <c r="E318" s="36"/>
      <c r="F318" s="36"/>
      <c r="G318" s="36"/>
      <c r="H318" s="35"/>
      <c r="I318" s="35"/>
      <c r="J318" s="35"/>
      <c r="K318" s="36"/>
      <c r="L318" s="36"/>
      <c r="M318" s="36"/>
      <c r="N318" s="35"/>
      <c r="O318" s="36"/>
      <c r="P318" s="36"/>
      <c r="Q318" s="36"/>
      <c r="R318" s="36"/>
      <c r="S318" s="36"/>
      <c r="T318" s="36"/>
      <c r="U318" s="36"/>
      <c r="V318" s="36"/>
      <c r="W318" s="36"/>
      <c r="X318" s="36"/>
      <c r="Y318" s="36"/>
      <c r="Z318" s="3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row>
    <row r="319" spans="1:57" ht="14.25" customHeight="1" x14ac:dyDescent="0.2">
      <c r="A319" s="36"/>
      <c r="B319" s="36"/>
      <c r="C319" s="35"/>
      <c r="D319" s="36"/>
      <c r="E319" s="36"/>
      <c r="F319" s="36"/>
      <c r="G319" s="36"/>
      <c r="H319" s="35"/>
      <c r="I319" s="35"/>
      <c r="J319" s="35"/>
      <c r="K319" s="36"/>
      <c r="L319" s="36"/>
      <c r="M319" s="36"/>
      <c r="N319" s="36"/>
      <c r="O319" s="35"/>
      <c r="P319" s="35"/>
      <c r="Q319" s="35"/>
      <c r="R319" s="35"/>
      <c r="S319" s="35"/>
      <c r="T319" s="35"/>
      <c r="U319" s="35"/>
      <c r="V319" s="35"/>
      <c r="W319" s="35"/>
      <c r="X319" s="35"/>
      <c r="Y319" s="35"/>
      <c r="Z319" s="35"/>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row>
    <row r="320" spans="1:57" ht="15.75" customHeight="1" x14ac:dyDescent="0.2">
      <c r="A320" s="36"/>
      <c r="B320" s="36"/>
      <c r="C320" s="35"/>
      <c r="D320" s="36"/>
      <c r="E320" s="36"/>
      <c r="F320" s="36"/>
      <c r="G320" s="36"/>
      <c r="H320" s="35"/>
      <c r="I320" s="35"/>
      <c r="J320" s="35"/>
      <c r="K320" s="36"/>
      <c r="L320" s="36"/>
      <c r="M320" s="36"/>
      <c r="N320" s="36"/>
      <c r="O320" s="36"/>
      <c r="P320" s="36"/>
      <c r="Q320" s="36"/>
      <c r="R320" s="36"/>
      <c r="S320" s="36"/>
      <c r="T320" s="36"/>
      <c r="U320" s="36"/>
      <c r="V320" s="36"/>
      <c r="W320" s="36"/>
      <c r="X320" s="36"/>
      <c r="Y320" s="36"/>
      <c r="Z320" s="3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row>
    <row r="321" spans="1:57" ht="15.75" customHeight="1" x14ac:dyDescent="0.2">
      <c r="A321" s="36"/>
      <c r="B321" s="36"/>
      <c r="C321" s="35"/>
      <c r="D321" s="36"/>
      <c r="E321" s="36"/>
      <c r="F321" s="36"/>
      <c r="G321" s="36"/>
      <c r="H321" s="35"/>
      <c r="I321" s="35"/>
      <c r="J321" s="35"/>
      <c r="K321" s="36"/>
      <c r="L321" s="36"/>
      <c r="M321" s="36"/>
      <c r="N321" s="36"/>
      <c r="O321" s="36"/>
      <c r="P321" s="36"/>
      <c r="Q321" s="36"/>
      <c r="R321" s="36"/>
      <c r="S321" s="36"/>
      <c r="T321" s="36"/>
      <c r="U321" s="36"/>
      <c r="V321" s="36"/>
      <c r="W321" s="36"/>
      <c r="X321" s="36"/>
      <c r="Y321" s="36"/>
      <c r="Z321" s="3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row>
    <row r="322" spans="1:57" ht="15.75" customHeight="1" x14ac:dyDescent="0.2">
      <c r="A322" s="36"/>
      <c r="B322" s="36"/>
      <c r="C322" s="35"/>
      <c r="D322" s="36"/>
      <c r="E322" s="36"/>
      <c r="F322" s="36"/>
      <c r="G322" s="36"/>
      <c r="H322" s="35"/>
      <c r="I322" s="35"/>
      <c r="J322" s="35"/>
      <c r="K322" s="36"/>
      <c r="L322" s="36"/>
      <c r="M322" s="36"/>
      <c r="N322" s="36"/>
      <c r="O322" s="36"/>
      <c r="P322" s="36"/>
      <c r="Q322" s="36"/>
      <c r="R322" s="36"/>
      <c r="S322" s="36"/>
      <c r="T322" s="36"/>
      <c r="U322" s="36"/>
      <c r="V322" s="36"/>
      <c r="W322" s="36"/>
      <c r="X322" s="36"/>
      <c r="Y322" s="36"/>
      <c r="Z322" s="3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row>
    <row r="323" spans="1:57" ht="15.75" customHeight="1" x14ac:dyDescent="0.2">
      <c r="A323" s="36"/>
      <c r="B323" s="36"/>
      <c r="C323" s="35"/>
      <c r="D323" s="36"/>
      <c r="E323" s="36"/>
      <c r="F323" s="36"/>
      <c r="G323" s="36"/>
      <c r="H323" s="35"/>
      <c r="I323" s="35"/>
      <c r="J323" s="35"/>
      <c r="K323" s="36"/>
      <c r="L323" s="36"/>
      <c r="M323" s="36"/>
      <c r="N323" s="36"/>
      <c r="O323" s="36"/>
      <c r="P323" s="36"/>
      <c r="Q323" s="36"/>
      <c r="R323" s="36"/>
      <c r="S323" s="36"/>
      <c r="T323" s="36"/>
      <c r="U323" s="36"/>
      <c r="V323" s="36"/>
      <c r="W323" s="36"/>
      <c r="X323" s="36"/>
      <c r="Y323" s="36"/>
      <c r="Z323" s="3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row>
    <row r="324" spans="1:57" ht="15.75" customHeight="1" x14ac:dyDescent="0.2">
      <c r="A324" s="36"/>
      <c r="B324" s="36"/>
      <c r="C324" s="35"/>
      <c r="D324" s="36"/>
      <c r="E324" s="36"/>
      <c r="F324" s="36"/>
      <c r="G324" s="36"/>
      <c r="H324" s="35"/>
      <c r="I324" s="35"/>
      <c r="J324" s="35"/>
      <c r="K324" s="36"/>
      <c r="L324" s="36"/>
      <c r="M324" s="36"/>
      <c r="N324" s="36"/>
      <c r="O324" s="36"/>
      <c r="P324" s="36"/>
      <c r="Q324" s="36"/>
      <c r="R324" s="36"/>
      <c r="S324" s="36"/>
      <c r="T324" s="36"/>
      <c r="U324" s="36"/>
      <c r="V324" s="36"/>
      <c r="W324" s="36"/>
      <c r="X324" s="36"/>
      <c r="Y324" s="36"/>
      <c r="Z324" s="3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row>
    <row r="325" spans="1:57" ht="15.75" customHeight="1" x14ac:dyDescent="0.2">
      <c r="A325" s="36"/>
      <c r="B325" s="36"/>
      <c r="C325" s="35"/>
      <c r="D325" s="36"/>
      <c r="E325" s="36"/>
      <c r="F325" s="36"/>
      <c r="G325" s="36"/>
      <c r="H325" s="35"/>
      <c r="I325" s="35"/>
      <c r="J325" s="35"/>
      <c r="K325" s="36"/>
      <c r="L325" s="36"/>
      <c r="M325" s="36"/>
      <c r="N325" s="36"/>
      <c r="O325" s="36"/>
      <c r="P325" s="36"/>
      <c r="Q325" s="36"/>
      <c r="R325" s="36"/>
      <c r="S325" s="36"/>
      <c r="T325" s="36"/>
      <c r="U325" s="36"/>
      <c r="V325" s="36"/>
      <c r="W325" s="36"/>
      <c r="X325" s="36"/>
      <c r="Y325" s="36"/>
      <c r="Z325" s="3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row>
    <row r="326" spans="1:57" ht="15.75" customHeight="1" x14ac:dyDescent="0.2">
      <c r="A326" s="36"/>
      <c r="B326" s="36"/>
      <c r="C326" s="35"/>
      <c r="D326" s="36"/>
      <c r="E326" s="36"/>
      <c r="F326" s="36"/>
      <c r="G326" s="36"/>
      <c r="H326" s="35"/>
      <c r="I326" s="35"/>
      <c r="J326" s="35"/>
      <c r="K326" s="36"/>
      <c r="L326" s="36"/>
      <c r="M326" s="36"/>
      <c r="N326" s="36"/>
      <c r="O326" s="36"/>
      <c r="P326" s="36"/>
      <c r="Q326" s="36"/>
      <c r="R326" s="36"/>
      <c r="S326" s="36"/>
      <c r="T326" s="36"/>
      <c r="U326" s="36"/>
      <c r="V326" s="36"/>
      <c r="W326" s="36"/>
      <c r="X326" s="36"/>
      <c r="Y326" s="36"/>
      <c r="Z326" s="3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row>
    <row r="327" spans="1:57" ht="15.75" customHeight="1" x14ac:dyDescent="0.2">
      <c r="A327" s="36"/>
      <c r="B327" s="36"/>
      <c r="C327" s="35"/>
      <c r="D327" s="36"/>
      <c r="E327" s="36"/>
      <c r="F327" s="36"/>
      <c r="G327" s="36"/>
      <c r="H327" s="35"/>
      <c r="I327" s="35"/>
      <c r="J327" s="35"/>
      <c r="K327" s="36"/>
      <c r="L327" s="36"/>
      <c r="M327" s="36"/>
      <c r="N327" s="36"/>
      <c r="O327" s="36"/>
      <c r="P327" s="36"/>
      <c r="Q327" s="36"/>
      <c r="R327" s="36"/>
      <c r="S327" s="36"/>
      <c r="T327" s="36"/>
      <c r="U327" s="36"/>
      <c r="V327" s="36"/>
      <c r="W327" s="36"/>
      <c r="X327" s="36"/>
      <c r="Y327" s="36"/>
      <c r="Z327" s="3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row>
    <row r="328" spans="1:57" ht="15.75" customHeight="1" x14ac:dyDescent="0.2">
      <c r="A328" s="36"/>
      <c r="B328" s="36"/>
      <c r="C328" s="35"/>
      <c r="D328" s="36"/>
      <c r="E328" s="36"/>
      <c r="F328" s="36"/>
      <c r="G328" s="36"/>
      <c r="H328" s="35"/>
      <c r="I328" s="35"/>
      <c r="J328" s="35"/>
      <c r="K328" s="36"/>
      <c r="L328" s="36"/>
      <c r="M328" s="36"/>
      <c r="N328" s="36"/>
      <c r="O328" s="36"/>
      <c r="P328" s="36"/>
      <c r="Q328" s="36"/>
      <c r="R328" s="36"/>
      <c r="S328" s="36"/>
      <c r="T328" s="36"/>
      <c r="U328" s="36"/>
      <c r="V328" s="36"/>
      <c r="W328" s="36"/>
      <c r="X328" s="36"/>
      <c r="Y328" s="36"/>
      <c r="Z328" s="3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row>
    <row r="329" spans="1:57" ht="15.75" customHeight="1" x14ac:dyDescent="0.2">
      <c r="A329" s="36"/>
      <c r="B329" s="36"/>
      <c r="C329" s="35"/>
      <c r="D329" s="36"/>
      <c r="E329" s="36"/>
      <c r="F329" s="36"/>
      <c r="G329" s="36"/>
      <c r="H329" s="35"/>
      <c r="I329" s="35"/>
      <c r="J329" s="35"/>
      <c r="K329" s="36"/>
      <c r="L329" s="36"/>
      <c r="M329" s="36"/>
      <c r="N329" s="36"/>
      <c r="O329" s="36"/>
      <c r="P329" s="36"/>
      <c r="Q329" s="36"/>
      <c r="R329" s="36"/>
      <c r="S329" s="36"/>
      <c r="T329" s="36"/>
      <c r="U329" s="36"/>
      <c r="V329" s="36"/>
      <c r="W329" s="36"/>
      <c r="X329" s="36"/>
      <c r="Y329" s="36"/>
      <c r="Z329" s="3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row>
    <row r="330" spans="1:57" ht="15.75" customHeight="1" x14ac:dyDescent="0.2">
      <c r="A330" s="36"/>
      <c r="B330" s="36"/>
      <c r="C330" s="35"/>
      <c r="D330" s="36"/>
      <c r="E330" s="36"/>
      <c r="F330" s="36"/>
      <c r="G330" s="36"/>
      <c r="H330" s="35"/>
      <c r="I330" s="35"/>
      <c r="J330" s="35"/>
      <c r="K330" s="36"/>
      <c r="L330" s="36"/>
      <c r="M330" s="36"/>
      <c r="N330" s="36"/>
      <c r="O330" s="36"/>
      <c r="P330" s="36"/>
      <c r="Q330" s="36"/>
      <c r="R330" s="36"/>
      <c r="S330" s="36"/>
      <c r="T330" s="36"/>
      <c r="U330" s="36"/>
      <c r="V330" s="36"/>
      <c r="W330" s="36"/>
      <c r="X330" s="36"/>
      <c r="Y330" s="36"/>
      <c r="Z330" s="3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row>
    <row r="331" spans="1:57" ht="15.75" customHeight="1" x14ac:dyDescent="0.2">
      <c r="A331" s="36"/>
      <c r="B331" s="36"/>
      <c r="C331" s="35"/>
      <c r="D331" s="36"/>
      <c r="E331" s="36"/>
      <c r="F331" s="36"/>
      <c r="G331" s="36"/>
      <c r="H331" s="35"/>
      <c r="I331" s="35"/>
      <c r="J331" s="35"/>
      <c r="K331" s="36"/>
      <c r="L331" s="36"/>
      <c r="M331" s="36"/>
      <c r="N331" s="36"/>
      <c r="O331" s="36"/>
      <c r="P331" s="36"/>
      <c r="Q331" s="36"/>
      <c r="R331" s="36"/>
      <c r="S331" s="36"/>
      <c r="T331" s="36"/>
      <c r="U331" s="36"/>
      <c r="V331" s="36"/>
      <c r="W331" s="36"/>
      <c r="X331" s="36"/>
      <c r="Y331" s="36"/>
      <c r="Z331" s="3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row>
    <row r="332" spans="1:57" ht="15.75" customHeight="1" x14ac:dyDescent="0.2">
      <c r="A332" s="36"/>
      <c r="B332" s="36"/>
      <c r="C332" s="35"/>
      <c r="D332" s="36"/>
      <c r="E332" s="36"/>
      <c r="F332" s="36"/>
      <c r="G332" s="36"/>
      <c r="H332" s="35"/>
      <c r="I332" s="35"/>
      <c r="J332" s="35"/>
      <c r="K332" s="36"/>
      <c r="L332" s="36"/>
      <c r="M332" s="36"/>
      <c r="N332" s="36"/>
      <c r="O332" s="36"/>
      <c r="P332" s="36"/>
      <c r="Q332" s="36"/>
      <c r="R332" s="36"/>
      <c r="S332" s="36"/>
      <c r="T332" s="36"/>
      <c r="U332" s="36"/>
      <c r="V332" s="36"/>
      <c r="W332" s="36"/>
      <c r="X332" s="36"/>
      <c r="Y332" s="36"/>
      <c r="Z332" s="3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row>
    <row r="333" spans="1:57" ht="15.75" customHeight="1" x14ac:dyDescent="0.2">
      <c r="A333" s="36"/>
      <c r="B333" s="36"/>
      <c r="C333" s="35"/>
      <c r="D333" s="36"/>
      <c r="E333" s="36"/>
      <c r="F333" s="36"/>
      <c r="G333" s="36"/>
      <c r="H333" s="35"/>
      <c r="I333" s="35"/>
      <c r="J333" s="35"/>
      <c r="K333" s="36"/>
      <c r="L333" s="36"/>
      <c r="M333" s="36"/>
      <c r="N333" s="36"/>
      <c r="O333" s="36"/>
      <c r="P333" s="36"/>
      <c r="Q333" s="36"/>
      <c r="R333" s="36"/>
      <c r="S333" s="36"/>
      <c r="T333" s="36"/>
      <c r="U333" s="36"/>
      <c r="V333" s="36"/>
      <c r="W333" s="36"/>
      <c r="X333" s="36"/>
      <c r="Y333" s="36"/>
      <c r="Z333" s="3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row>
    <row r="334" spans="1:57" ht="15.75" customHeight="1" x14ac:dyDescent="0.2">
      <c r="A334" s="36"/>
      <c r="B334" s="36"/>
      <c r="C334" s="35"/>
      <c r="D334" s="36"/>
      <c r="E334" s="36"/>
      <c r="F334" s="36"/>
      <c r="G334" s="36"/>
      <c r="H334" s="35"/>
      <c r="I334" s="35"/>
      <c r="J334" s="35"/>
      <c r="K334" s="36"/>
      <c r="L334" s="36"/>
      <c r="M334" s="36"/>
      <c r="N334" s="36"/>
      <c r="O334" s="36"/>
      <c r="P334" s="36"/>
      <c r="Q334" s="36"/>
      <c r="R334" s="36"/>
      <c r="S334" s="36"/>
      <c r="T334" s="36"/>
      <c r="U334" s="36"/>
      <c r="V334" s="36"/>
      <c r="W334" s="36"/>
      <c r="X334" s="36"/>
      <c r="Y334" s="36"/>
      <c r="Z334" s="3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row>
    <row r="335" spans="1:57" ht="15.75" customHeight="1" x14ac:dyDescent="0.2">
      <c r="A335" s="36"/>
      <c r="B335" s="36"/>
      <c r="C335" s="35"/>
      <c r="D335" s="36"/>
      <c r="E335" s="36"/>
      <c r="F335" s="36"/>
      <c r="G335" s="36"/>
      <c r="H335" s="35"/>
      <c r="I335" s="35"/>
      <c r="J335" s="35"/>
      <c r="K335" s="36"/>
      <c r="L335" s="36"/>
      <c r="M335" s="36"/>
      <c r="N335" s="36"/>
      <c r="O335" s="36"/>
      <c r="P335" s="36"/>
      <c r="Q335" s="36"/>
      <c r="R335" s="36"/>
      <c r="S335" s="36"/>
      <c r="T335" s="36"/>
      <c r="U335" s="36"/>
      <c r="V335" s="36"/>
      <c r="W335" s="36"/>
      <c r="X335" s="36"/>
      <c r="Y335" s="36"/>
      <c r="Z335" s="3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row>
    <row r="336" spans="1:57" ht="15.75" customHeight="1" x14ac:dyDescent="0.2">
      <c r="A336" s="36"/>
      <c r="B336" s="36"/>
      <c r="C336" s="35"/>
      <c r="D336" s="36"/>
      <c r="E336" s="36"/>
      <c r="F336" s="36"/>
      <c r="G336" s="36"/>
      <c r="H336" s="35"/>
      <c r="I336" s="35"/>
      <c r="J336" s="35"/>
      <c r="K336" s="36"/>
      <c r="L336" s="36"/>
      <c r="M336" s="36"/>
      <c r="N336" s="36"/>
      <c r="O336" s="36"/>
      <c r="P336" s="36"/>
      <c r="Q336" s="36"/>
      <c r="R336" s="36"/>
      <c r="S336" s="36"/>
      <c r="T336" s="36"/>
      <c r="U336" s="36"/>
      <c r="V336" s="36"/>
      <c r="W336" s="36"/>
      <c r="X336" s="36"/>
      <c r="Y336" s="36"/>
      <c r="Z336" s="3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row>
    <row r="337" spans="1:57" ht="15.75" customHeight="1" x14ac:dyDescent="0.2">
      <c r="A337" s="36"/>
      <c r="B337" s="36"/>
      <c r="C337" s="35"/>
      <c r="D337" s="36"/>
      <c r="E337" s="36"/>
      <c r="F337" s="36"/>
      <c r="G337" s="36"/>
      <c r="H337" s="35"/>
      <c r="I337" s="35"/>
      <c r="J337" s="35"/>
      <c r="K337" s="36"/>
      <c r="L337" s="36"/>
      <c r="M337" s="36"/>
      <c r="N337" s="36"/>
      <c r="O337" s="36"/>
      <c r="P337" s="36"/>
      <c r="Q337" s="36"/>
      <c r="R337" s="36"/>
      <c r="S337" s="36"/>
      <c r="T337" s="36"/>
      <c r="U337" s="36"/>
      <c r="V337" s="36"/>
      <c r="W337" s="36"/>
      <c r="X337" s="36"/>
      <c r="Y337" s="36"/>
      <c r="Z337" s="3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row>
    <row r="338" spans="1:57" ht="15.75" customHeight="1" x14ac:dyDescent="0.2">
      <c r="A338" s="36"/>
      <c r="B338" s="36"/>
      <c r="C338" s="35"/>
      <c r="D338" s="36"/>
      <c r="E338" s="36"/>
      <c r="F338" s="36"/>
      <c r="G338" s="36"/>
      <c r="H338" s="35"/>
      <c r="I338" s="35"/>
      <c r="J338" s="35"/>
      <c r="K338" s="36"/>
      <c r="L338" s="36"/>
      <c r="M338" s="36"/>
      <c r="N338" s="36"/>
      <c r="O338" s="36"/>
      <c r="P338" s="36"/>
      <c r="Q338" s="36"/>
      <c r="R338" s="36"/>
      <c r="S338" s="36"/>
      <c r="T338" s="36"/>
      <c r="U338" s="36"/>
      <c r="V338" s="36"/>
      <c r="W338" s="36"/>
      <c r="X338" s="36"/>
      <c r="Y338" s="36"/>
      <c r="Z338" s="3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row>
    <row r="339" spans="1:57" ht="15.75" customHeight="1" x14ac:dyDescent="0.2">
      <c r="A339" s="36"/>
      <c r="B339" s="36"/>
      <c r="C339" s="35"/>
      <c r="D339" s="36"/>
      <c r="E339" s="36"/>
      <c r="F339" s="36"/>
      <c r="G339" s="36"/>
      <c r="H339" s="35"/>
      <c r="I339" s="35"/>
      <c r="J339" s="35"/>
      <c r="K339" s="36"/>
      <c r="L339" s="36"/>
      <c r="M339" s="36"/>
      <c r="N339" s="36"/>
      <c r="O339" s="36"/>
      <c r="P339" s="36"/>
      <c r="Q339" s="36"/>
      <c r="R339" s="36"/>
      <c r="S339" s="36"/>
      <c r="T339" s="36"/>
      <c r="U339" s="36"/>
      <c r="V339" s="36"/>
      <c r="W339" s="36"/>
      <c r="X339" s="36"/>
      <c r="Y339" s="36"/>
      <c r="Z339" s="3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row>
    <row r="340" spans="1:57" ht="15.75" customHeight="1" x14ac:dyDescent="0.2">
      <c r="A340" s="36"/>
      <c r="B340" s="36"/>
      <c r="C340" s="35"/>
      <c r="D340" s="36"/>
      <c r="E340" s="36"/>
      <c r="F340" s="36"/>
      <c r="G340" s="36"/>
      <c r="H340" s="35"/>
      <c r="I340" s="35"/>
      <c r="J340" s="35"/>
      <c r="K340" s="36"/>
      <c r="L340" s="36"/>
      <c r="M340" s="36"/>
      <c r="N340" s="36"/>
      <c r="O340" s="36"/>
      <c r="P340" s="36"/>
      <c r="Q340" s="36"/>
      <c r="R340" s="36"/>
      <c r="S340" s="36"/>
      <c r="T340" s="36"/>
      <c r="U340" s="36"/>
      <c r="V340" s="36"/>
      <c r="W340" s="36"/>
      <c r="X340" s="36"/>
      <c r="Y340" s="36"/>
      <c r="Z340" s="3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row>
    <row r="341" spans="1:57" ht="15.75" customHeight="1" x14ac:dyDescent="0.2">
      <c r="A341" s="36"/>
      <c r="B341" s="36"/>
      <c r="C341" s="35"/>
      <c r="D341" s="36"/>
      <c r="E341" s="36"/>
      <c r="F341" s="36"/>
      <c r="G341" s="36"/>
      <c r="H341" s="35"/>
      <c r="I341" s="35"/>
      <c r="J341" s="35"/>
      <c r="K341" s="36"/>
      <c r="L341" s="36"/>
      <c r="M341" s="36"/>
      <c r="N341" s="36"/>
      <c r="O341" s="36"/>
      <c r="P341" s="36"/>
      <c r="Q341" s="36"/>
      <c r="R341" s="36"/>
      <c r="S341" s="36"/>
      <c r="T341" s="36"/>
      <c r="U341" s="36"/>
      <c r="V341" s="36"/>
      <c r="W341" s="36"/>
      <c r="X341" s="36"/>
      <c r="Y341" s="36"/>
      <c r="Z341" s="3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row>
    <row r="342" spans="1:57" ht="15.75" customHeight="1" x14ac:dyDescent="0.2">
      <c r="A342" s="36"/>
      <c r="B342" s="36"/>
      <c r="C342" s="35"/>
      <c r="D342" s="36"/>
      <c r="E342" s="36"/>
      <c r="F342" s="36"/>
      <c r="G342" s="36"/>
      <c r="H342" s="35"/>
      <c r="I342" s="35"/>
      <c r="J342" s="35"/>
      <c r="K342" s="36"/>
      <c r="L342" s="36"/>
      <c r="M342" s="36"/>
      <c r="N342" s="36"/>
      <c r="O342" s="36"/>
      <c r="P342" s="36"/>
      <c r="Q342" s="36"/>
      <c r="R342" s="36"/>
      <c r="S342" s="36"/>
      <c r="T342" s="36"/>
      <c r="U342" s="36"/>
      <c r="V342" s="36"/>
      <c r="W342" s="36"/>
      <c r="X342" s="36"/>
      <c r="Y342" s="36"/>
      <c r="Z342" s="3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row>
    <row r="343" spans="1:57" ht="15.75" customHeight="1" x14ac:dyDescent="0.2">
      <c r="A343" s="36"/>
      <c r="B343" s="36"/>
      <c r="C343" s="35"/>
      <c r="D343" s="36"/>
      <c r="E343" s="36"/>
      <c r="F343" s="36"/>
      <c r="G343" s="36"/>
      <c r="H343" s="35"/>
      <c r="I343" s="35"/>
      <c r="J343" s="35"/>
      <c r="K343" s="36"/>
      <c r="L343" s="36"/>
      <c r="M343" s="36"/>
      <c r="N343" s="36"/>
      <c r="O343" s="36"/>
      <c r="P343" s="36"/>
      <c r="Q343" s="36"/>
      <c r="R343" s="36"/>
      <c r="S343" s="36"/>
      <c r="T343" s="36"/>
      <c r="U343" s="36"/>
      <c r="V343" s="36"/>
      <c r="W343" s="36"/>
      <c r="X343" s="36"/>
      <c r="Y343" s="36"/>
      <c r="Z343" s="3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row>
    <row r="344" spans="1:57" ht="15.75" customHeight="1" x14ac:dyDescent="0.2">
      <c r="A344" s="36"/>
      <c r="B344" s="36"/>
      <c r="C344" s="35"/>
      <c r="D344" s="36"/>
      <c r="E344" s="36"/>
      <c r="F344" s="36"/>
      <c r="G344" s="36"/>
      <c r="H344" s="35"/>
      <c r="I344" s="35"/>
      <c r="J344" s="35"/>
      <c r="K344" s="36"/>
      <c r="L344" s="36"/>
      <c r="M344" s="36"/>
      <c r="N344" s="36"/>
      <c r="O344" s="36"/>
      <c r="P344" s="36"/>
      <c r="Q344" s="36"/>
      <c r="R344" s="36"/>
      <c r="S344" s="36"/>
      <c r="T344" s="36"/>
      <c r="U344" s="36"/>
      <c r="V344" s="36"/>
      <c r="W344" s="36"/>
      <c r="X344" s="36"/>
      <c r="Y344" s="36"/>
      <c r="Z344" s="3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row>
    <row r="345" spans="1:57" ht="15.75" customHeight="1" x14ac:dyDescent="0.2">
      <c r="A345" s="36"/>
      <c r="B345" s="36"/>
      <c r="C345" s="35"/>
      <c r="D345" s="36"/>
      <c r="E345" s="36"/>
      <c r="F345" s="36"/>
      <c r="G345" s="36"/>
      <c r="H345" s="35"/>
      <c r="I345" s="35"/>
      <c r="J345" s="35"/>
      <c r="K345" s="36"/>
      <c r="L345" s="36"/>
      <c r="M345" s="36"/>
      <c r="N345" s="36"/>
      <c r="O345" s="36"/>
      <c r="P345" s="36"/>
      <c r="Q345" s="36"/>
      <c r="R345" s="36"/>
      <c r="S345" s="36"/>
      <c r="T345" s="36"/>
      <c r="U345" s="36"/>
      <c r="V345" s="36"/>
      <c r="W345" s="36"/>
      <c r="X345" s="36"/>
      <c r="Y345" s="36"/>
      <c r="Z345" s="3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row>
    <row r="346" spans="1:57" ht="15.75" customHeight="1" x14ac:dyDescent="0.2">
      <c r="A346" s="36"/>
      <c r="B346" s="36"/>
      <c r="C346" s="35"/>
      <c r="D346" s="36"/>
      <c r="E346" s="36"/>
      <c r="F346" s="36"/>
      <c r="G346" s="36"/>
      <c r="H346" s="35"/>
      <c r="I346" s="35"/>
      <c r="J346" s="35"/>
      <c r="K346" s="36"/>
      <c r="L346" s="36"/>
      <c r="M346" s="36"/>
      <c r="N346" s="36"/>
      <c r="O346" s="36"/>
      <c r="P346" s="36"/>
      <c r="Q346" s="36"/>
      <c r="R346" s="36"/>
      <c r="S346" s="36"/>
      <c r="T346" s="36"/>
      <c r="U346" s="36"/>
      <c r="V346" s="36"/>
      <c r="W346" s="36"/>
      <c r="X346" s="36"/>
      <c r="Y346" s="36"/>
      <c r="Z346" s="3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row>
    <row r="347" spans="1:57" ht="15.75" customHeight="1" x14ac:dyDescent="0.2">
      <c r="A347" s="36"/>
      <c r="B347" s="36"/>
      <c r="C347" s="35"/>
      <c r="D347" s="36"/>
      <c r="E347" s="36"/>
      <c r="F347" s="36"/>
      <c r="G347" s="36"/>
      <c r="H347" s="35"/>
      <c r="I347" s="35"/>
      <c r="J347" s="35"/>
      <c r="K347" s="36"/>
      <c r="L347" s="36"/>
      <c r="M347" s="36"/>
      <c r="N347" s="36"/>
      <c r="O347" s="36"/>
      <c r="P347" s="36"/>
      <c r="Q347" s="36"/>
      <c r="R347" s="36"/>
      <c r="S347" s="36"/>
      <c r="T347" s="36"/>
      <c r="U347" s="36"/>
      <c r="V347" s="36"/>
      <c r="W347" s="36"/>
      <c r="X347" s="36"/>
      <c r="Y347" s="36"/>
      <c r="Z347" s="3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row>
    <row r="348" spans="1:57" ht="15.75" customHeight="1" x14ac:dyDescent="0.2">
      <c r="A348" s="36"/>
      <c r="B348" s="36"/>
      <c r="C348" s="35"/>
      <c r="D348" s="36"/>
      <c r="E348" s="36"/>
      <c r="F348" s="36"/>
      <c r="G348" s="36"/>
      <c r="H348" s="35"/>
      <c r="I348" s="35"/>
      <c r="J348" s="35"/>
      <c r="K348" s="36"/>
      <c r="L348" s="36"/>
      <c r="M348" s="36"/>
      <c r="N348" s="36"/>
      <c r="O348" s="36"/>
      <c r="P348" s="36"/>
      <c r="Q348" s="36"/>
      <c r="R348" s="36"/>
      <c r="S348" s="36"/>
      <c r="T348" s="36"/>
      <c r="U348" s="36"/>
      <c r="V348" s="36"/>
      <c r="W348" s="36"/>
      <c r="X348" s="36"/>
      <c r="Y348" s="36"/>
      <c r="Z348" s="3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row>
    <row r="349" spans="1:57" ht="15.75" customHeight="1" x14ac:dyDescent="0.2">
      <c r="A349" s="36"/>
      <c r="B349" s="36"/>
      <c r="C349" s="35"/>
      <c r="D349" s="36"/>
      <c r="E349" s="36"/>
      <c r="F349" s="36"/>
      <c r="G349" s="36"/>
      <c r="H349" s="35"/>
      <c r="I349" s="35"/>
      <c r="J349" s="35"/>
      <c r="K349" s="36"/>
      <c r="L349" s="36"/>
      <c r="M349" s="36"/>
      <c r="N349" s="36"/>
      <c r="O349" s="36"/>
      <c r="P349" s="36"/>
      <c r="Q349" s="36"/>
      <c r="R349" s="36"/>
      <c r="S349" s="36"/>
      <c r="T349" s="36"/>
      <c r="U349" s="36"/>
      <c r="V349" s="36"/>
      <c r="W349" s="36"/>
      <c r="X349" s="36"/>
      <c r="Y349" s="36"/>
      <c r="Z349" s="3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row>
    <row r="350" spans="1:57" ht="15.75" customHeight="1" x14ac:dyDescent="0.2">
      <c r="A350" s="36"/>
      <c r="B350" s="36"/>
      <c r="C350" s="35"/>
      <c r="D350" s="36"/>
      <c r="E350" s="36"/>
      <c r="F350" s="36"/>
      <c r="G350" s="36"/>
      <c r="H350" s="35"/>
      <c r="I350" s="35"/>
      <c r="J350" s="35"/>
      <c r="K350" s="36"/>
      <c r="L350" s="36"/>
      <c r="M350" s="36"/>
      <c r="N350" s="36"/>
      <c r="O350" s="36"/>
      <c r="P350" s="36"/>
      <c r="Q350" s="36"/>
      <c r="R350" s="36"/>
      <c r="S350" s="36"/>
      <c r="T350" s="36"/>
      <c r="U350" s="36"/>
      <c r="V350" s="36"/>
      <c r="W350" s="36"/>
      <c r="X350" s="36"/>
      <c r="Y350" s="36"/>
      <c r="Z350" s="3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row>
    <row r="351" spans="1:57" ht="15.75" customHeight="1" x14ac:dyDescent="0.2">
      <c r="A351" s="36"/>
      <c r="B351" s="36"/>
      <c r="C351" s="35"/>
      <c r="D351" s="36"/>
      <c r="E351" s="36"/>
      <c r="F351" s="36"/>
      <c r="G351" s="36"/>
      <c r="H351" s="35"/>
      <c r="I351" s="35"/>
      <c r="J351" s="35"/>
      <c r="K351" s="36"/>
      <c r="L351" s="36"/>
      <c r="M351" s="36"/>
      <c r="N351" s="36"/>
      <c r="O351" s="36"/>
      <c r="P351" s="36"/>
      <c r="Q351" s="36"/>
      <c r="R351" s="36"/>
      <c r="S351" s="36"/>
      <c r="T351" s="36"/>
      <c r="U351" s="36"/>
      <c r="V351" s="36"/>
      <c r="W351" s="36"/>
      <c r="X351" s="36"/>
      <c r="Y351" s="36"/>
      <c r="Z351" s="3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row>
    <row r="352" spans="1:57" ht="15.75" customHeight="1" x14ac:dyDescent="0.2">
      <c r="A352" s="36"/>
      <c r="B352" s="36"/>
      <c r="C352" s="35"/>
      <c r="D352" s="36"/>
      <c r="E352" s="36"/>
      <c r="F352" s="36"/>
      <c r="G352" s="36"/>
      <c r="H352" s="35"/>
      <c r="I352" s="35"/>
      <c r="J352" s="35"/>
      <c r="K352" s="36"/>
      <c r="L352" s="36"/>
      <c r="M352" s="36"/>
      <c r="N352" s="36"/>
      <c r="O352" s="36"/>
      <c r="P352" s="36"/>
      <c r="Q352" s="36"/>
      <c r="R352" s="36"/>
      <c r="S352" s="36"/>
      <c r="T352" s="36"/>
      <c r="U352" s="36"/>
      <c r="V352" s="36"/>
      <c r="W352" s="36"/>
      <c r="X352" s="36"/>
      <c r="Y352" s="36"/>
      <c r="Z352" s="3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row>
    <row r="353" spans="1:57" ht="15.75" customHeight="1" x14ac:dyDescent="0.2">
      <c r="A353" s="36"/>
      <c r="B353" s="36"/>
      <c r="C353" s="35"/>
      <c r="D353" s="36"/>
      <c r="E353" s="36"/>
      <c r="F353" s="36"/>
      <c r="G353" s="36"/>
      <c r="H353" s="35"/>
      <c r="I353" s="35"/>
      <c r="J353" s="35"/>
      <c r="K353" s="36"/>
      <c r="L353" s="36"/>
      <c r="M353" s="36"/>
      <c r="N353" s="36"/>
      <c r="O353" s="36"/>
      <c r="P353" s="36"/>
      <c r="Q353" s="36"/>
      <c r="R353" s="36"/>
      <c r="S353" s="36"/>
      <c r="T353" s="36"/>
      <c r="U353" s="36"/>
      <c r="V353" s="36"/>
      <c r="W353" s="36"/>
      <c r="X353" s="36"/>
      <c r="Y353" s="36"/>
      <c r="Z353" s="3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row>
    <row r="354" spans="1:57" ht="15.75" customHeight="1" x14ac:dyDescent="0.2">
      <c r="A354" s="36"/>
      <c r="B354" s="36"/>
      <c r="C354" s="35"/>
      <c r="D354" s="36"/>
      <c r="E354" s="36"/>
      <c r="F354" s="36"/>
      <c r="G354" s="36"/>
      <c r="H354" s="35"/>
      <c r="I354" s="35"/>
      <c r="J354" s="35"/>
      <c r="K354" s="36"/>
      <c r="L354" s="36"/>
      <c r="M354" s="36"/>
      <c r="N354" s="36"/>
      <c r="O354" s="36"/>
      <c r="P354" s="36"/>
      <c r="Q354" s="36"/>
      <c r="R354" s="36"/>
      <c r="S354" s="36"/>
      <c r="T354" s="36"/>
      <c r="U354" s="36"/>
      <c r="V354" s="36"/>
      <c r="W354" s="36"/>
      <c r="X354" s="36"/>
      <c r="Y354" s="36"/>
      <c r="Z354" s="3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row>
    <row r="355" spans="1:57" ht="15.75" customHeight="1" x14ac:dyDescent="0.2">
      <c r="A355" s="36"/>
      <c r="B355" s="36"/>
      <c r="C355" s="35"/>
      <c r="D355" s="36"/>
      <c r="E355" s="36"/>
      <c r="F355" s="36"/>
      <c r="G355" s="36"/>
      <c r="H355" s="35"/>
      <c r="I355" s="35"/>
      <c r="J355" s="35"/>
      <c r="K355" s="36"/>
      <c r="L355" s="36"/>
      <c r="M355" s="36"/>
      <c r="N355" s="36"/>
      <c r="O355" s="36"/>
      <c r="P355" s="36"/>
      <c r="Q355" s="36"/>
      <c r="R355" s="36"/>
      <c r="S355" s="36"/>
      <c r="T355" s="36"/>
      <c r="U355" s="36"/>
      <c r="V355" s="36"/>
      <c r="W355" s="36"/>
      <c r="X355" s="36"/>
      <c r="Y355" s="36"/>
      <c r="Z355" s="3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row>
    <row r="356" spans="1:57" ht="15.75" customHeight="1" x14ac:dyDescent="0.2">
      <c r="A356" s="36"/>
      <c r="B356" s="36"/>
      <c r="C356" s="35"/>
      <c r="D356" s="36"/>
      <c r="E356" s="36"/>
      <c r="F356" s="36"/>
      <c r="G356" s="36"/>
      <c r="H356" s="35"/>
      <c r="I356" s="35"/>
      <c r="J356" s="35"/>
      <c r="K356" s="36"/>
      <c r="L356" s="36"/>
      <c r="M356" s="36"/>
      <c r="N356" s="36"/>
      <c r="O356" s="36"/>
      <c r="P356" s="36"/>
      <c r="Q356" s="36"/>
      <c r="R356" s="36"/>
      <c r="S356" s="36"/>
      <c r="T356" s="36"/>
      <c r="U356" s="36"/>
      <c r="V356" s="36"/>
      <c r="W356" s="36"/>
      <c r="X356" s="36"/>
      <c r="Y356" s="36"/>
      <c r="Z356" s="3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row>
    <row r="357" spans="1:57" ht="15.75" customHeight="1" x14ac:dyDescent="0.2">
      <c r="A357" s="36"/>
      <c r="B357" s="36"/>
      <c r="C357" s="35"/>
      <c r="D357" s="36"/>
      <c r="E357" s="36"/>
      <c r="F357" s="36"/>
      <c r="G357" s="36"/>
      <c r="H357" s="35"/>
      <c r="I357" s="35"/>
      <c r="J357" s="35"/>
      <c r="K357" s="36"/>
      <c r="L357" s="36"/>
      <c r="M357" s="36"/>
      <c r="N357" s="36"/>
      <c r="O357" s="36"/>
      <c r="P357" s="36"/>
      <c r="Q357" s="36"/>
      <c r="R357" s="36"/>
      <c r="S357" s="36"/>
      <c r="T357" s="36"/>
      <c r="U357" s="36"/>
      <c r="V357" s="36"/>
      <c r="W357" s="36"/>
      <c r="X357" s="36"/>
      <c r="Y357" s="36"/>
      <c r="Z357" s="3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row>
    <row r="358" spans="1:57" ht="15.75" customHeight="1" x14ac:dyDescent="0.2">
      <c r="A358" s="36"/>
      <c r="B358" s="36"/>
      <c r="C358" s="35"/>
      <c r="D358" s="36"/>
      <c r="E358" s="36"/>
      <c r="F358" s="36"/>
      <c r="G358" s="36"/>
      <c r="H358" s="35"/>
      <c r="I358" s="35"/>
      <c r="J358" s="35"/>
      <c r="K358" s="36"/>
      <c r="L358" s="36"/>
      <c r="M358" s="36"/>
      <c r="N358" s="36"/>
      <c r="O358" s="36"/>
      <c r="P358" s="36"/>
      <c r="Q358" s="36"/>
      <c r="R358" s="36"/>
      <c r="S358" s="36"/>
      <c r="T358" s="36"/>
      <c r="U358" s="36"/>
      <c r="V358" s="36"/>
      <c r="W358" s="36"/>
      <c r="X358" s="36"/>
      <c r="Y358" s="36"/>
      <c r="Z358" s="3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row>
    <row r="359" spans="1:57" ht="15.75" customHeight="1" x14ac:dyDescent="0.2">
      <c r="A359" s="36"/>
      <c r="B359" s="36"/>
      <c r="C359" s="35"/>
      <c r="D359" s="36"/>
      <c r="E359" s="36"/>
      <c r="F359" s="36"/>
      <c r="G359" s="36"/>
      <c r="H359" s="35"/>
      <c r="I359" s="35"/>
      <c r="J359" s="35"/>
      <c r="K359" s="36"/>
      <c r="L359" s="36"/>
      <c r="M359" s="36"/>
      <c r="N359" s="36"/>
      <c r="O359" s="36"/>
      <c r="P359" s="36"/>
      <c r="Q359" s="36"/>
      <c r="R359" s="36"/>
      <c r="S359" s="36"/>
      <c r="T359" s="36"/>
      <c r="U359" s="36"/>
      <c r="V359" s="36"/>
      <c r="W359" s="36"/>
      <c r="X359" s="36"/>
      <c r="Y359" s="36"/>
      <c r="Z359" s="3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row>
    <row r="360" spans="1:57" ht="15.75" customHeight="1" x14ac:dyDescent="0.2">
      <c r="A360" s="36"/>
      <c r="B360" s="36"/>
      <c r="C360" s="35"/>
      <c r="D360" s="36"/>
      <c r="E360" s="36"/>
      <c r="F360" s="36"/>
      <c r="G360" s="36"/>
      <c r="H360" s="35"/>
      <c r="I360" s="35"/>
      <c r="J360" s="35"/>
      <c r="K360" s="36"/>
      <c r="L360" s="36"/>
      <c r="M360" s="36"/>
      <c r="N360" s="36"/>
      <c r="O360" s="36"/>
      <c r="P360" s="36"/>
      <c r="Q360" s="36"/>
      <c r="R360" s="36"/>
      <c r="S360" s="36"/>
      <c r="T360" s="36"/>
      <c r="U360" s="36"/>
      <c r="V360" s="36"/>
      <c r="W360" s="36"/>
      <c r="X360" s="36"/>
      <c r="Y360" s="36"/>
      <c r="Z360" s="3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row>
    <row r="361" spans="1:57" ht="15.75" customHeight="1" x14ac:dyDescent="0.2">
      <c r="A361" s="36"/>
      <c r="B361" s="36"/>
      <c r="C361" s="35"/>
      <c r="D361" s="36"/>
      <c r="E361" s="36"/>
      <c r="F361" s="36"/>
      <c r="G361" s="36"/>
      <c r="H361" s="35"/>
      <c r="I361" s="35"/>
      <c r="J361" s="35"/>
      <c r="K361" s="36"/>
      <c r="L361" s="36"/>
      <c r="M361" s="36"/>
      <c r="N361" s="36"/>
      <c r="O361" s="36"/>
      <c r="P361" s="36"/>
      <c r="Q361" s="36"/>
      <c r="R361" s="36"/>
      <c r="S361" s="36"/>
      <c r="T361" s="36"/>
      <c r="U361" s="36"/>
      <c r="V361" s="36"/>
      <c r="W361" s="36"/>
      <c r="X361" s="36"/>
      <c r="Y361" s="36"/>
      <c r="Z361" s="3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row>
    <row r="362" spans="1:57" ht="15.75" customHeight="1" x14ac:dyDescent="0.2">
      <c r="A362" s="36"/>
      <c r="B362" s="36"/>
      <c r="C362" s="35"/>
      <c r="D362" s="36"/>
      <c r="E362" s="36"/>
      <c r="F362" s="36"/>
      <c r="G362" s="36"/>
      <c r="H362" s="35"/>
      <c r="I362" s="35"/>
      <c r="J362" s="35"/>
      <c r="K362" s="36"/>
      <c r="L362" s="36"/>
      <c r="M362" s="36"/>
      <c r="N362" s="36"/>
      <c r="O362" s="36"/>
      <c r="P362" s="36"/>
      <c r="Q362" s="36"/>
      <c r="R362" s="36"/>
      <c r="S362" s="36"/>
      <c r="T362" s="36"/>
      <c r="U362" s="36"/>
      <c r="V362" s="36"/>
      <c r="W362" s="36"/>
      <c r="X362" s="36"/>
      <c r="Y362" s="36"/>
      <c r="Z362" s="3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row>
    <row r="363" spans="1:57" ht="15.75" customHeight="1" x14ac:dyDescent="0.2">
      <c r="A363" s="36"/>
      <c r="B363" s="36"/>
      <c r="C363" s="35"/>
      <c r="D363" s="36"/>
      <c r="E363" s="36"/>
      <c r="F363" s="36"/>
      <c r="G363" s="36"/>
      <c r="H363" s="35"/>
      <c r="I363" s="35"/>
      <c r="J363" s="35"/>
      <c r="K363" s="36"/>
      <c r="L363" s="36"/>
      <c r="M363" s="36"/>
      <c r="N363" s="36"/>
      <c r="O363" s="36"/>
      <c r="P363" s="36"/>
      <c r="Q363" s="36"/>
      <c r="R363" s="36"/>
      <c r="S363" s="36"/>
      <c r="T363" s="36"/>
      <c r="U363" s="36"/>
      <c r="V363" s="36"/>
      <c r="W363" s="36"/>
      <c r="X363" s="36"/>
      <c r="Y363" s="36"/>
      <c r="Z363" s="3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row>
    <row r="364" spans="1:57" ht="15.75" customHeight="1" x14ac:dyDescent="0.2">
      <c r="A364" s="36"/>
      <c r="B364" s="36"/>
      <c r="C364" s="35"/>
      <c r="D364" s="36"/>
      <c r="E364" s="36"/>
      <c r="F364" s="36"/>
      <c r="G364" s="36"/>
      <c r="H364" s="35"/>
      <c r="I364" s="35"/>
      <c r="J364" s="35"/>
      <c r="K364" s="36"/>
      <c r="L364" s="36"/>
      <c r="M364" s="36"/>
      <c r="N364" s="36"/>
      <c r="O364" s="36"/>
      <c r="P364" s="36"/>
      <c r="Q364" s="36"/>
      <c r="R364" s="36"/>
      <c r="S364" s="36"/>
      <c r="T364" s="36"/>
      <c r="U364" s="36"/>
      <c r="V364" s="36"/>
      <c r="W364" s="36"/>
      <c r="X364" s="36"/>
      <c r="Y364" s="36"/>
      <c r="Z364" s="3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row>
    <row r="365" spans="1:57" ht="15.75" customHeight="1" x14ac:dyDescent="0.2">
      <c r="A365" s="36"/>
      <c r="B365" s="36"/>
      <c r="C365" s="35"/>
      <c r="D365" s="36"/>
      <c r="E365" s="36"/>
      <c r="F365" s="36"/>
      <c r="G365" s="36"/>
      <c r="H365" s="35"/>
      <c r="I365" s="35"/>
      <c r="J365" s="35"/>
      <c r="K365" s="36"/>
      <c r="L365" s="36"/>
      <c r="M365" s="36"/>
      <c r="N365" s="36"/>
      <c r="O365" s="36"/>
      <c r="P365" s="36"/>
      <c r="Q365" s="36"/>
      <c r="R365" s="36"/>
      <c r="S365" s="36"/>
      <c r="T365" s="36"/>
      <c r="U365" s="36"/>
      <c r="V365" s="36"/>
      <c r="W365" s="36"/>
      <c r="X365" s="36"/>
      <c r="Y365" s="36"/>
      <c r="Z365" s="3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row>
    <row r="366" spans="1:57" ht="15.75" customHeight="1" x14ac:dyDescent="0.2">
      <c r="A366" s="36"/>
      <c r="B366" s="36"/>
      <c r="C366" s="35"/>
      <c r="D366" s="36"/>
      <c r="E366" s="36"/>
      <c r="F366" s="36"/>
      <c r="G366" s="36"/>
      <c r="H366" s="35"/>
      <c r="I366" s="35"/>
      <c r="J366" s="35"/>
      <c r="K366" s="36"/>
      <c r="L366" s="36"/>
      <c r="M366" s="36"/>
      <c r="N366" s="36"/>
      <c r="O366" s="36"/>
      <c r="P366" s="36"/>
      <c r="Q366" s="36"/>
      <c r="R366" s="36"/>
      <c r="S366" s="36"/>
      <c r="T366" s="36"/>
      <c r="U366" s="36"/>
      <c r="V366" s="36"/>
      <c r="W366" s="36"/>
      <c r="X366" s="36"/>
      <c r="Y366" s="36"/>
      <c r="Z366" s="3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row>
    <row r="367" spans="1:57" ht="15.75" customHeight="1" x14ac:dyDescent="0.2">
      <c r="A367" s="36"/>
      <c r="B367" s="36"/>
      <c r="C367" s="35"/>
      <c r="D367" s="36"/>
      <c r="E367" s="36"/>
      <c r="F367" s="36"/>
      <c r="G367" s="36"/>
      <c r="H367" s="35"/>
      <c r="I367" s="35"/>
      <c r="J367" s="35"/>
      <c r="K367" s="36"/>
      <c r="L367" s="36"/>
      <c r="M367" s="36"/>
      <c r="N367" s="36"/>
      <c r="O367" s="36"/>
      <c r="P367" s="36"/>
      <c r="Q367" s="36"/>
      <c r="R367" s="36"/>
      <c r="S367" s="36"/>
      <c r="T367" s="36"/>
      <c r="U367" s="36"/>
      <c r="V367" s="36"/>
      <c r="W367" s="36"/>
      <c r="X367" s="36"/>
      <c r="Y367" s="36"/>
      <c r="Z367" s="3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row>
    <row r="368" spans="1:57" ht="15.75" customHeight="1" x14ac:dyDescent="0.2">
      <c r="A368" s="36"/>
      <c r="B368" s="36"/>
      <c r="C368" s="35"/>
      <c r="D368" s="36"/>
      <c r="E368" s="36"/>
      <c r="F368" s="36"/>
      <c r="G368" s="36"/>
      <c r="H368" s="35"/>
      <c r="I368" s="35"/>
      <c r="J368" s="35"/>
      <c r="K368" s="36"/>
      <c r="L368" s="36"/>
      <c r="M368" s="36"/>
      <c r="N368" s="36"/>
      <c r="O368" s="36"/>
      <c r="P368" s="36"/>
      <c r="Q368" s="36"/>
      <c r="R368" s="36"/>
      <c r="S368" s="36"/>
      <c r="T368" s="36"/>
      <c r="U368" s="36"/>
      <c r="V368" s="36"/>
      <c r="W368" s="36"/>
      <c r="X368" s="36"/>
      <c r="Y368" s="36"/>
      <c r="Z368" s="3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row>
    <row r="369" spans="1:57" ht="15.75" customHeight="1" x14ac:dyDescent="0.2">
      <c r="A369" s="36"/>
      <c r="B369" s="36"/>
      <c r="C369" s="35"/>
      <c r="D369" s="36"/>
      <c r="E369" s="36"/>
      <c r="F369" s="36"/>
      <c r="G369" s="36"/>
      <c r="H369" s="35"/>
      <c r="I369" s="35"/>
      <c r="J369" s="35"/>
      <c r="K369" s="36"/>
      <c r="L369" s="36"/>
      <c r="M369" s="36"/>
      <c r="N369" s="36"/>
      <c r="O369" s="36"/>
      <c r="P369" s="36"/>
      <c r="Q369" s="36"/>
      <c r="R369" s="36"/>
      <c r="S369" s="36"/>
      <c r="T369" s="36"/>
      <c r="U369" s="36"/>
      <c r="V369" s="36"/>
      <c r="W369" s="36"/>
      <c r="X369" s="36"/>
      <c r="Y369" s="36"/>
      <c r="Z369" s="3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row>
    <row r="370" spans="1:57" ht="15.75" customHeight="1" x14ac:dyDescent="0.2">
      <c r="A370" s="36"/>
      <c r="B370" s="36"/>
      <c r="C370" s="35"/>
      <c r="D370" s="36"/>
      <c r="E370" s="36"/>
      <c r="F370" s="36"/>
      <c r="G370" s="36"/>
      <c r="H370" s="35"/>
      <c r="I370" s="35"/>
      <c r="J370" s="35"/>
      <c r="K370" s="36"/>
      <c r="L370" s="36"/>
      <c r="M370" s="36"/>
      <c r="N370" s="36"/>
      <c r="O370" s="36"/>
      <c r="P370" s="36"/>
      <c r="Q370" s="36"/>
      <c r="R370" s="36"/>
      <c r="S370" s="36"/>
      <c r="T370" s="36"/>
      <c r="U370" s="36"/>
      <c r="V370" s="36"/>
      <c r="W370" s="36"/>
      <c r="X370" s="36"/>
      <c r="Y370" s="36"/>
      <c r="Z370" s="3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row>
    <row r="371" spans="1:57" ht="15.75" customHeight="1" x14ac:dyDescent="0.2">
      <c r="A371" s="36"/>
      <c r="B371" s="36"/>
      <c r="C371" s="35"/>
      <c r="D371" s="36"/>
      <c r="E371" s="36"/>
      <c r="F371" s="36"/>
      <c r="G371" s="36"/>
      <c r="H371" s="35"/>
      <c r="I371" s="35"/>
      <c r="J371" s="35"/>
      <c r="K371" s="36"/>
      <c r="L371" s="36"/>
      <c r="M371" s="36"/>
      <c r="N371" s="36"/>
      <c r="O371" s="36"/>
      <c r="P371" s="36"/>
      <c r="Q371" s="36"/>
      <c r="R371" s="36"/>
      <c r="S371" s="36"/>
      <c r="T371" s="36"/>
      <c r="U371" s="36"/>
      <c r="V371" s="36"/>
      <c r="W371" s="36"/>
      <c r="X371" s="36"/>
      <c r="Y371" s="36"/>
      <c r="Z371" s="3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row>
    <row r="372" spans="1:57" ht="15.75" customHeight="1" x14ac:dyDescent="0.2">
      <c r="A372" s="36"/>
      <c r="B372" s="36"/>
      <c r="C372" s="35"/>
      <c r="D372" s="36"/>
      <c r="E372" s="36"/>
      <c r="F372" s="36"/>
      <c r="G372" s="36"/>
      <c r="H372" s="35"/>
      <c r="I372" s="35"/>
      <c r="J372" s="35"/>
      <c r="K372" s="36"/>
      <c r="L372" s="36"/>
      <c r="M372" s="36"/>
      <c r="N372" s="36"/>
      <c r="O372" s="36"/>
      <c r="P372" s="36"/>
      <c r="Q372" s="36"/>
      <c r="R372" s="36"/>
      <c r="S372" s="36"/>
      <c r="T372" s="36"/>
      <c r="U372" s="36"/>
      <c r="V372" s="36"/>
      <c r="W372" s="36"/>
      <c r="X372" s="36"/>
      <c r="Y372" s="36"/>
      <c r="Z372" s="3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row>
    <row r="373" spans="1:57" ht="15.75" customHeight="1" x14ac:dyDescent="0.2">
      <c r="A373" s="36"/>
      <c r="B373" s="36"/>
      <c r="C373" s="35"/>
      <c r="D373" s="36"/>
      <c r="E373" s="36"/>
      <c r="F373" s="36"/>
      <c r="G373" s="36"/>
      <c r="H373" s="35"/>
      <c r="I373" s="35"/>
      <c r="J373" s="35"/>
      <c r="K373" s="36"/>
      <c r="L373" s="36"/>
      <c r="M373" s="36"/>
      <c r="N373" s="36"/>
      <c r="O373" s="36"/>
      <c r="P373" s="36"/>
      <c r="Q373" s="36"/>
      <c r="R373" s="36"/>
      <c r="S373" s="36"/>
      <c r="T373" s="36"/>
      <c r="U373" s="36"/>
      <c r="V373" s="36"/>
      <c r="W373" s="36"/>
      <c r="X373" s="36"/>
      <c r="Y373" s="36"/>
      <c r="Z373" s="3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row>
    <row r="374" spans="1:57" ht="15.75" customHeight="1" x14ac:dyDescent="0.2">
      <c r="A374" s="36"/>
      <c r="B374" s="36"/>
      <c r="C374" s="35"/>
      <c r="D374" s="36"/>
      <c r="E374" s="36"/>
      <c r="F374" s="36"/>
      <c r="G374" s="36"/>
      <c r="H374" s="35"/>
      <c r="I374" s="35"/>
      <c r="J374" s="35"/>
      <c r="K374" s="36"/>
      <c r="L374" s="36"/>
      <c r="M374" s="36"/>
      <c r="N374" s="36"/>
      <c r="O374" s="36"/>
      <c r="P374" s="36"/>
      <c r="Q374" s="36"/>
      <c r="R374" s="36"/>
      <c r="S374" s="36"/>
      <c r="T374" s="36"/>
      <c r="U374" s="36"/>
      <c r="V374" s="36"/>
      <c r="W374" s="36"/>
      <c r="X374" s="36"/>
      <c r="Y374" s="36"/>
      <c r="Z374" s="3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row>
    <row r="375" spans="1:57" ht="15.75" customHeight="1" x14ac:dyDescent="0.2">
      <c r="A375" s="36"/>
      <c r="B375" s="36"/>
      <c r="C375" s="35"/>
      <c r="D375" s="36"/>
      <c r="E375" s="36"/>
      <c r="F375" s="36"/>
      <c r="G375" s="36"/>
      <c r="H375" s="35"/>
      <c r="I375" s="35"/>
      <c r="J375" s="35"/>
      <c r="K375" s="36"/>
      <c r="L375" s="36"/>
      <c r="M375" s="36"/>
      <c r="N375" s="36"/>
      <c r="O375" s="36"/>
      <c r="P375" s="36"/>
      <c r="Q375" s="36"/>
      <c r="R375" s="36"/>
      <c r="S375" s="36"/>
      <c r="T375" s="36"/>
      <c r="U375" s="36"/>
      <c r="V375" s="36"/>
      <c r="W375" s="36"/>
      <c r="X375" s="36"/>
      <c r="Y375" s="36"/>
      <c r="Z375" s="3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row>
    <row r="376" spans="1:57" ht="15.75" customHeight="1" x14ac:dyDescent="0.2">
      <c r="A376" s="36"/>
      <c r="B376" s="36"/>
      <c r="C376" s="35"/>
      <c r="D376" s="36"/>
      <c r="E376" s="36"/>
      <c r="F376" s="36"/>
      <c r="G376" s="36"/>
      <c r="H376" s="35"/>
      <c r="I376" s="35"/>
      <c r="J376" s="35"/>
      <c r="K376" s="36"/>
      <c r="L376" s="36"/>
      <c r="M376" s="36"/>
      <c r="N376" s="36"/>
      <c r="O376" s="36"/>
      <c r="P376" s="36"/>
      <c r="Q376" s="36"/>
      <c r="R376" s="36"/>
      <c r="S376" s="36"/>
      <c r="T376" s="36"/>
      <c r="U376" s="36"/>
      <c r="V376" s="36"/>
      <c r="W376" s="36"/>
      <c r="X376" s="36"/>
      <c r="Y376" s="36"/>
      <c r="Z376" s="3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row>
    <row r="377" spans="1:57" ht="15.75" customHeight="1" x14ac:dyDescent="0.2">
      <c r="A377" s="36"/>
      <c r="B377" s="36"/>
      <c r="C377" s="35"/>
      <c r="D377" s="36"/>
      <c r="E377" s="36"/>
      <c r="F377" s="36"/>
      <c r="G377" s="36"/>
      <c r="H377" s="35"/>
      <c r="I377" s="35"/>
      <c r="J377" s="35"/>
      <c r="K377" s="36"/>
      <c r="L377" s="36"/>
      <c r="M377" s="36"/>
      <c r="N377" s="36"/>
      <c r="O377" s="36"/>
      <c r="P377" s="36"/>
      <c r="Q377" s="36"/>
      <c r="R377" s="36"/>
      <c r="S377" s="36"/>
      <c r="T377" s="36"/>
      <c r="U377" s="36"/>
      <c r="V377" s="36"/>
      <c r="W377" s="36"/>
      <c r="X377" s="36"/>
      <c r="Y377" s="36"/>
      <c r="Z377" s="3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row>
    <row r="378" spans="1:57" ht="15.75" customHeight="1" x14ac:dyDescent="0.2">
      <c r="A378" s="36"/>
      <c r="B378" s="36"/>
      <c r="C378" s="35"/>
      <c r="D378" s="36"/>
      <c r="E378" s="36"/>
      <c r="F378" s="36"/>
      <c r="G378" s="36"/>
      <c r="H378" s="35"/>
      <c r="I378" s="35"/>
      <c r="J378" s="35"/>
      <c r="K378" s="36"/>
      <c r="L378" s="36"/>
      <c r="M378" s="36"/>
      <c r="N378" s="36"/>
      <c r="O378" s="36"/>
      <c r="P378" s="36"/>
      <c r="Q378" s="36"/>
      <c r="R378" s="36"/>
      <c r="S378" s="36"/>
      <c r="T378" s="36"/>
      <c r="U378" s="36"/>
      <c r="V378" s="36"/>
      <c r="W378" s="36"/>
      <c r="X378" s="36"/>
      <c r="Y378" s="36"/>
      <c r="Z378" s="3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row>
    <row r="379" spans="1:57" ht="15.75" customHeight="1" x14ac:dyDescent="0.2">
      <c r="A379" s="36"/>
      <c r="B379" s="36"/>
      <c r="C379" s="35"/>
      <c r="D379" s="36"/>
      <c r="E379" s="36"/>
      <c r="F379" s="36"/>
      <c r="G379" s="36"/>
      <c r="H379" s="35"/>
      <c r="I379" s="35"/>
      <c r="J379" s="35"/>
      <c r="K379" s="36"/>
      <c r="L379" s="36"/>
      <c r="M379" s="36"/>
      <c r="N379" s="36"/>
      <c r="O379" s="36"/>
      <c r="P379" s="36"/>
      <c r="Q379" s="36"/>
      <c r="R379" s="36"/>
      <c r="S379" s="36"/>
      <c r="T379" s="36"/>
      <c r="U379" s="36"/>
      <c r="V379" s="36"/>
      <c r="W379" s="36"/>
      <c r="X379" s="36"/>
      <c r="Y379" s="36"/>
      <c r="Z379" s="3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row>
    <row r="380" spans="1:57" ht="15.75" customHeight="1" x14ac:dyDescent="0.2">
      <c r="A380" s="36"/>
      <c r="B380" s="36"/>
      <c r="C380" s="35"/>
      <c r="D380" s="36"/>
      <c r="E380" s="36"/>
      <c r="F380" s="36"/>
      <c r="G380" s="36"/>
      <c r="H380" s="35"/>
      <c r="I380" s="35"/>
      <c r="J380" s="35"/>
      <c r="K380" s="36"/>
      <c r="L380" s="36"/>
      <c r="M380" s="36"/>
      <c r="N380" s="36"/>
      <c r="O380" s="36"/>
      <c r="P380" s="36"/>
      <c r="Q380" s="36"/>
      <c r="R380" s="36"/>
      <c r="S380" s="36"/>
      <c r="T380" s="36"/>
      <c r="U380" s="36"/>
      <c r="V380" s="36"/>
      <c r="W380" s="36"/>
      <c r="X380" s="36"/>
      <c r="Y380" s="36"/>
      <c r="Z380" s="3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row>
    <row r="381" spans="1:57" ht="15.75" customHeight="1" x14ac:dyDescent="0.2">
      <c r="A381" s="36"/>
      <c r="B381" s="36"/>
      <c r="C381" s="35"/>
      <c r="D381" s="36"/>
      <c r="E381" s="36"/>
      <c r="F381" s="36"/>
      <c r="G381" s="36"/>
      <c r="H381" s="35"/>
      <c r="I381" s="35"/>
      <c r="J381" s="35"/>
      <c r="K381" s="36"/>
      <c r="L381" s="36"/>
      <c r="M381" s="36"/>
      <c r="N381" s="36"/>
      <c r="O381" s="36"/>
      <c r="P381" s="36"/>
      <c r="Q381" s="36"/>
      <c r="R381" s="36"/>
      <c r="S381" s="36"/>
      <c r="T381" s="36"/>
      <c r="U381" s="36"/>
      <c r="V381" s="36"/>
      <c r="W381" s="36"/>
      <c r="X381" s="36"/>
      <c r="Y381" s="36"/>
      <c r="Z381" s="3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row>
    <row r="382" spans="1:57" ht="15.75" customHeight="1" x14ac:dyDescent="0.2">
      <c r="A382" s="36"/>
      <c r="B382" s="36"/>
      <c r="C382" s="35"/>
      <c r="D382" s="36"/>
      <c r="E382" s="36"/>
      <c r="F382" s="36"/>
      <c r="G382" s="36"/>
      <c r="H382" s="35"/>
      <c r="I382" s="35"/>
      <c r="J382" s="35"/>
      <c r="K382" s="36"/>
      <c r="L382" s="36"/>
      <c r="M382" s="36"/>
      <c r="N382" s="36"/>
      <c r="O382" s="36"/>
      <c r="P382" s="36"/>
      <c r="Q382" s="36"/>
      <c r="R382" s="36"/>
      <c r="S382" s="36"/>
      <c r="T382" s="36"/>
      <c r="U382" s="36"/>
      <c r="V382" s="36"/>
      <c r="W382" s="36"/>
      <c r="X382" s="36"/>
      <c r="Y382" s="36"/>
      <c r="Z382" s="3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row>
    <row r="383" spans="1:57" ht="15.75" customHeight="1" x14ac:dyDescent="0.2">
      <c r="A383" s="36"/>
      <c r="B383" s="36"/>
      <c r="C383" s="35"/>
      <c r="D383" s="36"/>
      <c r="E383" s="36"/>
      <c r="F383" s="36"/>
      <c r="G383" s="36"/>
      <c r="H383" s="35"/>
      <c r="I383" s="35"/>
      <c r="J383" s="35"/>
      <c r="K383" s="36"/>
      <c r="L383" s="36"/>
      <c r="M383" s="36"/>
      <c r="N383" s="36"/>
      <c r="O383" s="36"/>
      <c r="P383" s="36"/>
      <c r="Q383" s="36"/>
      <c r="R383" s="36"/>
      <c r="S383" s="36"/>
      <c r="T383" s="36"/>
      <c r="U383" s="36"/>
      <c r="V383" s="36"/>
      <c r="W383" s="36"/>
      <c r="X383" s="36"/>
      <c r="Y383" s="36"/>
      <c r="Z383" s="3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row>
    <row r="384" spans="1:57" ht="15.75" customHeight="1" x14ac:dyDescent="0.2">
      <c r="A384" s="36"/>
      <c r="B384" s="36"/>
      <c r="C384" s="35"/>
      <c r="D384" s="36"/>
      <c r="E384" s="36"/>
      <c r="F384" s="36"/>
      <c r="G384" s="36"/>
      <c r="H384" s="35"/>
      <c r="I384" s="35"/>
      <c r="J384" s="35"/>
      <c r="K384" s="36"/>
      <c r="L384" s="36"/>
      <c r="M384" s="36"/>
      <c r="N384" s="36"/>
      <c r="O384" s="36"/>
      <c r="P384" s="36"/>
      <c r="Q384" s="36"/>
      <c r="R384" s="36"/>
      <c r="S384" s="36"/>
      <c r="T384" s="36"/>
      <c r="U384" s="36"/>
      <c r="V384" s="36"/>
      <c r="W384" s="36"/>
      <c r="X384" s="36"/>
      <c r="Y384" s="36"/>
      <c r="Z384" s="3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row>
    <row r="385" spans="1:57" ht="15.75" customHeight="1" x14ac:dyDescent="0.2">
      <c r="A385" s="36"/>
      <c r="B385" s="36"/>
      <c r="C385" s="35"/>
      <c r="D385" s="36"/>
      <c r="E385" s="36"/>
      <c r="F385" s="36"/>
      <c r="G385" s="36"/>
      <c r="H385" s="35"/>
      <c r="I385" s="35"/>
      <c r="J385" s="35"/>
      <c r="K385" s="36"/>
      <c r="L385" s="36"/>
      <c r="M385" s="36"/>
      <c r="N385" s="36"/>
      <c r="O385" s="36"/>
      <c r="P385" s="36"/>
      <c r="Q385" s="36"/>
      <c r="R385" s="36"/>
      <c r="S385" s="36"/>
      <c r="T385" s="36"/>
      <c r="U385" s="36"/>
      <c r="V385" s="36"/>
      <c r="W385" s="36"/>
      <c r="X385" s="36"/>
      <c r="Y385" s="36"/>
      <c r="Z385" s="3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row>
    <row r="386" spans="1:57" ht="15.75" customHeight="1" x14ac:dyDescent="0.2">
      <c r="A386" s="36"/>
      <c r="B386" s="36"/>
      <c r="C386" s="35"/>
      <c r="D386" s="36"/>
      <c r="E386" s="36"/>
      <c r="F386" s="36"/>
      <c r="G386" s="36"/>
      <c r="H386" s="35"/>
      <c r="I386" s="35"/>
      <c r="J386" s="35"/>
      <c r="K386" s="36"/>
      <c r="L386" s="36"/>
      <c r="M386" s="36"/>
      <c r="N386" s="36"/>
      <c r="O386" s="36"/>
      <c r="P386" s="36"/>
      <c r="Q386" s="36"/>
      <c r="R386" s="36"/>
      <c r="S386" s="36"/>
      <c r="T386" s="36"/>
      <c r="U386" s="36"/>
      <c r="V386" s="36"/>
      <c r="W386" s="36"/>
      <c r="X386" s="36"/>
      <c r="Y386" s="36"/>
      <c r="Z386" s="3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row>
    <row r="387" spans="1:57" ht="15.75" customHeight="1" x14ac:dyDescent="0.2">
      <c r="A387" s="36"/>
      <c r="B387" s="36"/>
      <c r="C387" s="35"/>
      <c r="D387" s="36"/>
      <c r="E387" s="36"/>
      <c r="F387" s="36"/>
      <c r="G387" s="36"/>
      <c r="H387" s="35"/>
      <c r="I387" s="35"/>
      <c r="J387" s="35"/>
      <c r="K387" s="36"/>
      <c r="L387" s="36"/>
      <c r="M387" s="36"/>
      <c r="N387" s="36"/>
      <c r="O387" s="36"/>
      <c r="P387" s="36"/>
      <c r="Q387" s="36"/>
      <c r="R387" s="36"/>
      <c r="S387" s="36"/>
      <c r="T387" s="36"/>
      <c r="U387" s="36"/>
      <c r="V387" s="36"/>
      <c r="W387" s="36"/>
      <c r="X387" s="36"/>
      <c r="Y387" s="36"/>
      <c r="Z387" s="3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row>
    <row r="388" spans="1:57" ht="15.75" customHeight="1" x14ac:dyDescent="0.2">
      <c r="A388" s="36"/>
      <c r="B388" s="36"/>
      <c r="C388" s="35"/>
      <c r="D388" s="36"/>
      <c r="E388" s="36"/>
      <c r="F388" s="36"/>
      <c r="G388" s="36"/>
      <c r="H388" s="35"/>
      <c r="I388" s="35"/>
      <c r="J388" s="35"/>
      <c r="K388" s="36"/>
      <c r="L388" s="36"/>
      <c r="M388" s="36"/>
      <c r="N388" s="36"/>
      <c r="O388" s="36"/>
      <c r="P388" s="36"/>
      <c r="Q388" s="36"/>
      <c r="R388" s="36"/>
      <c r="S388" s="36"/>
      <c r="T388" s="36"/>
      <c r="U388" s="36"/>
      <c r="V388" s="36"/>
      <c r="W388" s="36"/>
      <c r="X388" s="36"/>
      <c r="Y388" s="36"/>
      <c r="Z388" s="3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row>
    <row r="389" spans="1:57" ht="15.75" customHeight="1" x14ac:dyDescent="0.2">
      <c r="A389" s="36"/>
      <c r="B389" s="36"/>
      <c r="C389" s="35"/>
      <c r="D389" s="36"/>
      <c r="E389" s="36"/>
      <c r="F389" s="36"/>
      <c r="G389" s="36"/>
      <c r="H389" s="35"/>
      <c r="I389" s="35"/>
      <c r="J389" s="35"/>
      <c r="K389" s="36"/>
      <c r="L389" s="36"/>
      <c r="M389" s="36"/>
      <c r="N389" s="36"/>
      <c r="O389" s="36"/>
      <c r="P389" s="36"/>
      <c r="Q389" s="36"/>
      <c r="R389" s="36"/>
      <c r="S389" s="36"/>
      <c r="T389" s="36"/>
      <c r="U389" s="36"/>
      <c r="V389" s="36"/>
      <c r="W389" s="36"/>
      <c r="X389" s="36"/>
      <c r="Y389" s="36"/>
      <c r="Z389" s="3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row>
    <row r="390" spans="1:57" ht="15.75" customHeight="1" x14ac:dyDescent="0.2">
      <c r="A390" s="36"/>
      <c r="B390" s="36"/>
      <c r="C390" s="35"/>
      <c r="D390" s="36"/>
      <c r="E390" s="36"/>
      <c r="F390" s="36"/>
      <c r="G390" s="36"/>
      <c r="H390" s="35"/>
      <c r="I390" s="35"/>
      <c r="J390" s="35"/>
      <c r="K390" s="36"/>
      <c r="L390" s="36"/>
      <c r="M390" s="36"/>
      <c r="N390" s="36"/>
      <c r="O390" s="36"/>
      <c r="P390" s="36"/>
      <c r="Q390" s="36"/>
      <c r="R390" s="36"/>
      <c r="S390" s="36"/>
      <c r="T390" s="36"/>
      <c r="U390" s="36"/>
      <c r="V390" s="36"/>
      <c r="W390" s="36"/>
      <c r="X390" s="36"/>
      <c r="Y390" s="36"/>
      <c r="Z390" s="3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row>
    <row r="391" spans="1:57" ht="15.75" customHeight="1" x14ac:dyDescent="0.2">
      <c r="A391" s="36"/>
      <c r="B391" s="36"/>
      <c r="C391" s="35"/>
      <c r="D391" s="36"/>
      <c r="E391" s="36"/>
      <c r="F391" s="36"/>
      <c r="G391" s="36"/>
      <c r="H391" s="35"/>
      <c r="I391" s="35"/>
      <c r="J391" s="35"/>
      <c r="K391" s="36"/>
      <c r="L391" s="36"/>
      <c r="M391" s="36"/>
      <c r="N391" s="36"/>
      <c r="O391" s="36"/>
      <c r="P391" s="36"/>
      <c r="Q391" s="36"/>
      <c r="R391" s="36"/>
      <c r="S391" s="36"/>
      <c r="T391" s="36"/>
      <c r="U391" s="36"/>
      <c r="V391" s="36"/>
      <c r="W391" s="36"/>
      <c r="X391" s="36"/>
      <c r="Y391" s="36"/>
      <c r="Z391" s="3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row>
    <row r="392" spans="1:57" ht="15.75" customHeight="1" x14ac:dyDescent="0.2">
      <c r="A392" s="36"/>
      <c r="B392" s="36"/>
      <c r="C392" s="35"/>
      <c r="D392" s="36"/>
      <c r="E392" s="36"/>
      <c r="F392" s="36"/>
      <c r="G392" s="36"/>
      <c r="H392" s="35"/>
      <c r="I392" s="35"/>
      <c r="J392" s="35"/>
      <c r="K392" s="36"/>
      <c r="L392" s="36"/>
      <c r="M392" s="36"/>
      <c r="N392" s="36"/>
      <c r="O392" s="36"/>
      <c r="P392" s="36"/>
      <c r="Q392" s="36"/>
      <c r="R392" s="36"/>
      <c r="S392" s="36"/>
      <c r="T392" s="36"/>
      <c r="U392" s="36"/>
      <c r="V392" s="36"/>
      <c r="W392" s="36"/>
      <c r="X392" s="36"/>
      <c r="Y392" s="36"/>
      <c r="Z392" s="3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row>
    <row r="393" spans="1:57" ht="15.75" customHeight="1" x14ac:dyDescent="0.2">
      <c r="A393" s="36"/>
      <c r="B393" s="36"/>
      <c r="C393" s="35"/>
      <c r="D393" s="36"/>
      <c r="E393" s="36"/>
      <c r="F393" s="36"/>
      <c r="G393" s="36"/>
      <c r="H393" s="35"/>
      <c r="I393" s="35"/>
      <c r="J393" s="35"/>
      <c r="K393" s="36"/>
      <c r="L393" s="36"/>
      <c r="M393" s="36"/>
      <c r="N393" s="36"/>
      <c r="O393" s="36"/>
      <c r="P393" s="36"/>
      <c r="Q393" s="36"/>
      <c r="R393" s="36"/>
      <c r="S393" s="36"/>
      <c r="T393" s="36"/>
      <c r="U393" s="36"/>
      <c r="V393" s="36"/>
      <c r="W393" s="36"/>
      <c r="X393" s="36"/>
      <c r="Y393" s="36"/>
      <c r="Z393" s="3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row>
    <row r="394" spans="1:57" ht="15.75" customHeight="1" x14ac:dyDescent="0.2">
      <c r="A394" s="36"/>
      <c r="B394" s="36"/>
      <c r="C394" s="35"/>
      <c r="D394" s="36"/>
      <c r="E394" s="36"/>
      <c r="F394" s="36"/>
      <c r="G394" s="36"/>
      <c r="H394" s="35"/>
      <c r="I394" s="35"/>
      <c r="J394" s="35"/>
      <c r="K394" s="36"/>
      <c r="L394" s="36"/>
      <c r="M394" s="36"/>
      <c r="N394" s="36"/>
      <c r="O394" s="36"/>
      <c r="P394" s="36"/>
      <c r="Q394" s="36"/>
      <c r="R394" s="36"/>
      <c r="S394" s="36"/>
      <c r="T394" s="36"/>
      <c r="U394" s="36"/>
      <c r="V394" s="36"/>
      <c r="W394" s="36"/>
      <c r="X394" s="36"/>
      <c r="Y394" s="36"/>
      <c r="Z394" s="3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row>
    <row r="395" spans="1:57" ht="15.75" customHeight="1" x14ac:dyDescent="0.2">
      <c r="A395" s="36"/>
      <c r="B395" s="36"/>
      <c r="C395" s="35"/>
      <c r="D395" s="36"/>
      <c r="E395" s="36"/>
      <c r="F395" s="36"/>
      <c r="G395" s="36"/>
      <c r="H395" s="35"/>
      <c r="I395" s="35"/>
      <c r="J395" s="35"/>
      <c r="K395" s="36"/>
      <c r="L395" s="36"/>
      <c r="M395" s="36"/>
      <c r="N395" s="36"/>
      <c r="O395" s="36"/>
      <c r="P395" s="36"/>
      <c r="Q395" s="36"/>
      <c r="R395" s="36"/>
      <c r="S395" s="36"/>
      <c r="T395" s="36"/>
      <c r="U395" s="36"/>
      <c r="V395" s="36"/>
      <c r="W395" s="36"/>
      <c r="X395" s="36"/>
      <c r="Y395" s="36"/>
      <c r="Z395" s="3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row>
    <row r="396" spans="1:57" ht="15.75" customHeight="1" x14ac:dyDescent="0.2">
      <c r="A396" s="36"/>
      <c r="B396" s="36"/>
      <c r="C396" s="35"/>
      <c r="D396" s="36"/>
      <c r="E396" s="36"/>
      <c r="F396" s="36"/>
      <c r="G396" s="36"/>
      <c r="H396" s="35"/>
      <c r="I396" s="35"/>
      <c r="J396" s="35"/>
      <c r="K396" s="36"/>
      <c r="L396" s="36"/>
      <c r="M396" s="36"/>
      <c r="N396" s="36"/>
      <c r="O396" s="36"/>
      <c r="P396" s="36"/>
      <c r="Q396" s="36"/>
      <c r="R396" s="36"/>
      <c r="S396" s="36"/>
      <c r="T396" s="36"/>
      <c r="U396" s="36"/>
      <c r="V396" s="36"/>
      <c r="W396" s="36"/>
      <c r="X396" s="36"/>
      <c r="Y396" s="36"/>
      <c r="Z396" s="3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row>
    <row r="397" spans="1:57" ht="15.75" customHeight="1" x14ac:dyDescent="0.2">
      <c r="A397" s="36"/>
      <c r="B397" s="36"/>
      <c r="C397" s="35"/>
      <c r="D397" s="36"/>
      <c r="E397" s="36"/>
      <c r="F397" s="36"/>
      <c r="G397" s="36"/>
      <c r="H397" s="35"/>
      <c r="I397" s="35"/>
      <c r="J397" s="35"/>
      <c r="K397" s="36"/>
      <c r="L397" s="36"/>
      <c r="M397" s="36"/>
      <c r="N397" s="36"/>
      <c r="O397" s="36"/>
      <c r="P397" s="36"/>
      <c r="Q397" s="36"/>
      <c r="R397" s="36"/>
      <c r="S397" s="36"/>
      <c r="T397" s="36"/>
      <c r="U397" s="36"/>
      <c r="V397" s="36"/>
      <c r="W397" s="36"/>
      <c r="X397" s="36"/>
      <c r="Y397" s="36"/>
      <c r="Z397" s="3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row>
    <row r="398" spans="1:57" ht="15.75" customHeight="1" x14ac:dyDescent="0.2">
      <c r="A398" s="36"/>
      <c r="B398" s="36"/>
      <c r="C398" s="35"/>
      <c r="D398" s="36"/>
      <c r="E398" s="36"/>
      <c r="F398" s="36"/>
      <c r="G398" s="36"/>
      <c r="H398" s="35"/>
      <c r="I398" s="35"/>
      <c r="J398" s="35"/>
      <c r="K398" s="36"/>
      <c r="L398" s="36"/>
      <c r="M398" s="36"/>
      <c r="N398" s="36"/>
      <c r="O398" s="36"/>
      <c r="P398" s="36"/>
      <c r="Q398" s="36"/>
      <c r="R398" s="36"/>
      <c r="S398" s="36"/>
      <c r="T398" s="36"/>
      <c r="U398" s="36"/>
      <c r="V398" s="36"/>
      <c r="W398" s="36"/>
      <c r="X398" s="36"/>
      <c r="Y398" s="36"/>
      <c r="Z398" s="3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row>
    <row r="399" spans="1:57" ht="15.75" customHeight="1" x14ac:dyDescent="0.2">
      <c r="A399" s="36"/>
      <c r="B399" s="36"/>
      <c r="C399" s="35"/>
      <c r="D399" s="36"/>
      <c r="E399" s="36"/>
      <c r="F399" s="36"/>
      <c r="G399" s="36"/>
      <c r="H399" s="35"/>
      <c r="I399" s="35"/>
      <c r="J399" s="35"/>
      <c r="K399" s="36"/>
      <c r="L399" s="36"/>
      <c r="M399" s="36"/>
      <c r="N399" s="36"/>
      <c r="O399" s="36"/>
      <c r="P399" s="36"/>
      <c r="Q399" s="36"/>
      <c r="R399" s="36"/>
      <c r="S399" s="36"/>
      <c r="T399" s="36"/>
      <c r="U399" s="36"/>
      <c r="V399" s="36"/>
      <c r="W399" s="36"/>
      <c r="X399" s="36"/>
      <c r="Y399" s="36"/>
      <c r="Z399" s="3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row>
    <row r="400" spans="1:57" ht="15.75" customHeight="1" x14ac:dyDescent="0.2">
      <c r="A400" s="36"/>
      <c r="B400" s="36"/>
      <c r="C400" s="35"/>
      <c r="D400" s="36"/>
      <c r="E400" s="36"/>
      <c r="F400" s="36"/>
      <c r="G400" s="36"/>
      <c r="H400" s="35"/>
      <c r="I400" s="35"/>
      <c r="J400" s="35"/>
      <c r="K400" s="36"/>
      <c r="L400" s="36"/>
      <c r="M400" s="36"/>
      <c r="N400" s="36"/>
      <c r="O400" s="36"/>
      <c r="P400" s="36"/>
      <c r="Q400" s="36"/>
      <c r="R400" s="36"/>
      <c r="S400" s="36"/>
      <c r="T400" s="36"/>
      <c r="U400" s="36"/>
      <c r="V400" s="36"/>
      <c r="W400" s="36"/>
      <c r="X400" s="36"/>
      <c r="Y400" s="36"/>
      <c r="Z400" s="3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row>
    <row r="401" spans="1:57" ht="15.75" customHeight="1" x14ac:dyDescent="0.2">
      <c r="A401" s="36"/>
      <c r="B401" s="36"/>
      <c r="C401" s="35"/>
      <c r="D401" s="36"/>
      <c r="E401" s="36"/>
      <c r="F401" s="36"/>
      <c r="G401" s="36"/>
      <c r="H401" s="35"/>
      <c r="I401" s="35"/>
      <c r="J401" s="35"/>
      <c r="K401" s="36"/>
      <c r="L401" s="36"/>
      <c r="M401" s="36"/>
      <c r="N401" s="36"/>
      <c r="O401" s="36"/>
      <c r="P401" s="36"/>
      <c r="Q401" s="36"/>
      <c r="R401" s="36"/>
      <c r="S401" s="36"/>
      <c r="T401" s="36"/>
      <c r="U401" s="36"/>
      <c r="V401" s="36"/>
      <c r="W401" s="36"/>
      <c r="X401" s="36"/>
      <c r="Y401" s="36"/>
      <c r="Z401" s="3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row>
    <row r="402" spans="1:57" ht="15.75" customHeight="1" x14ac:dyDescent="0.2">
      <c r="A402" s="36"/>
      <c r="B402" s="36"/>
      <c r="C402" s="35"/>
      <c r="D402" s="36"/>
      <c r="E402" s="36"/>
      <c r="F402" s="36"/>
      <c r="G402" s="36"/>
      <c r="H402" s="35"/>
      <c r="I402" s="35"/>
      <c r="J402" s="35"/>
      <c r="K402" s="36"/>
      <c r="L402" s="36"/>
      <c r="M402" s="36"/>
      <c r="N402" s="36"/>
      <c r="O402" s="36"/>
      <c r="P402" s="36"/>
      <c r="Q402" s="36"/>
      <c r="R402" s="36"/>
      <c r="S402" s="36"/>
      <c r="T402" s="36"/>
      <c r="U402" s="36"/>
      <c r="V402" s="36"/>
      <c r="W402" s="36"/>
      <c r="X402" s="36"/>
      <c r="Y402" s="36"/>
      <c r="Z402" s="3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row>
    <row r="403" spans="1:57" ht="15.75" customHeight="1" x14ac:dyDescent="0.2">
      <c r="A403" s="36"/>
      <c r="B403" s="36"/>
      <c r="C403" s="35"/>
      <c r="D403" s="36"/>
      <c r="E403" s="36"/>
      <c r="F403" s="36"/>
      <c r="G403" s="36"/>
      <c r="H403" s="35"/>
      <c r="I403" s="35"/>
      <c r="J403" s="35"/>
      <c r="K403" s="36"/>
      <c r="L403" s="36"/>
      <c r="M403" s="36"/>
      <c r="N403" s="36"/>
      <c r="O403" s="36"/>
      <c r="P403" s="36"/>
      <c r="Q403" s="36"/>
      <c r="R403" s="36"/>
      <c r="S403" s="36"/>
      <c r="T403" s="36"/>
      <c r="U403" s="36"/>
      <c r="V403" s="36"/>
      <c r="W403" s="36"/>
      <c r="X403" s="36"/>
      <c r="Y403" s="36"/>
      <c r="Z403" s="3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row>
    <row r="404" spans="1:57" ht="15.75" customHeight="1" x14ac:dyDescent="0.2">
      <c r="A404" s="36"/>
      <c r="B404" s="36"/>
      <c r="C404" s="35"/>
      <c r="D404" s="36"/>
      <c r="E404" s="36"/>
      <c r="F404" s="36"/>
      <c r="G404" s="36"/>
      <c r="H404" s="35"/>
      <c r="I404" s="35"/>
      <c r="J404" s="35"/>
      <c r="K404" s="36"/>
      <c r="L404" s="36"/>
      <c r="M404" s="36"/>
      <c r="N404" s="36"/>
      <c r="O404" s="36"/>
      <c r="P404" s="36"/>
      <c r="Q404" s="36"/>
      <c r="R404" s="36"/>
      <c r="S404" s="36"/>
      <c r="T404" s="36"/>
      <c r="U404" s="36"/>
      <c r="V404" s="36"/>
      <c r="W404" s="36"/>
      <c r="X404" s="36"/>
      <c r="Y404" s="36"/>
      <c r="Z404" s="3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row>
    <row r="405" spans="1:57" ht="15.75" customHeight="1" x14ac:dyDescent="0.2">
      <c r="A405" s="36"/>
      <c r="B405" s="36"/>
      <c r="C405" s="35"/>
      <c r="D405" s="36"/>
      <c r="E405" s="36"/>
      <c r="F405" s="36"/>
      <c r="G405" s="36"/>
      <c r="H405" s="35"/>
      <c r="I405" s="35"/>
      <c r="J405" s="35"/>
      <c r="K405" s="36"/>
      <c r="L405" s="36"/>
      <c r="M405" s="36"/>
      <c r="N405" s="36"/>
      <c r="O405" s="36"/>
      <c r="P405" s="36"/>
      <c r="Q405" s="36"/>
      <c r="R405" s="36"/>
      <c r="S405" s="36"/>
      <c r="T405" s="36"/>
      <c r="U405" s="36"/>
      <c r="V405" s="36"/>
      <c r="W405" s="36"/>
      <c r="X405" s="36"/>
      <c r="Y405" s="36"/>
      <c r="Z405" s="3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row>
    <row r="406" spans="1:57" ht="15.75" customHeight="1" x14ac:dyDescent="0.2">
      <c r="A406" s="36"/>
      <c r="B406" s="36"/>
      <c r="C406" s="35"/>
      <c r="D406" s="36"/>
      <c r="E406" s="36"/>
      <c r="F406" s="36"/>
      <c r="G406" s="36"/>
      <c r="H406" s="35"/>
      <c r="I406" s="35"/>
      <c r="J406" s="35"/>
      <c r="K406" s="36"/>
      <c r="L406" s="36"/>
      <c r="M406" s="36"/>
      <c r="N406" s="36"/>
      <c r="O406" s="36"/>
      <c r="P406" s="36"/>
      <c r="Q406" s="36"/>
      <c r="R406" s="36"/>
      <c r="S406" s="36"/>
      <c r="T406" s="36"/>
      <c r="U406" s="36"/>
      <c r="V406" s="36"/>
      <c r="W406" s="36"/>
      <c r="X406" s="36"/>
      <c r="Y406" s="36"/>
      <c r="Z406" s="3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row>
    <row r="407" spans="1:57" ht="15.75" customHeight="1" x14ac:dyDescent="0.2">
      <c r="A407" s="36"/>
      <c r="B407" s="36"/>
      <c r="C407" s="35"/>
      <c r="D407" s="36"/>
      <c r="E407" s="36"/>
      <c r="F407" s="36"/>
      <c r="G407" s="36"/>
      <c r="H407" s="35"/>
      <c r="I407" s="35"/>
      <c r="J407" s="35"/>
      <c r="K407" s="36"/>
      <c r="L407" s="36"/>
      <c r="M407" s="36"/>
      <c r="N407" s="36"/>
      <c r="O407" s="36"/>
      <c r="P407" s="36"/>
      <c r="Q407" s="36"/>
      <c r="R407" s="36"/>
      <c r="S407" s="36"/>
      <c r="T407" s="36"/>
      <c r="U407" s="36"/>
      <c r="V407" s="36"/>
      <c r="W407" s="36"/>
      <c r="X407" s="36"/>
      <c r="Y407" s="36"/>
      <c r="Z407" s="3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row>
    <row r="408" spans="1:57" ht="15.75" customHeight="1" x14ac:dyDescent="0.2">
      <c r="A408" s="36"/>
      <c r="B408" s="36"/>
      <c r="C408" s="35"/>
      <c r="D408" s="36"/>
      <c r="E408" s="36"/>
      <c r="F408" s="36"/>
      <c r="G408" s="36"/>
      <c r="H408" s="35"/>
      <c r="I408" s="35"/>
      <c r="J408" s="35"/>
      <c r="K408" s="36"/>
      <c r="L408" s="36"/>
      <c r="M408" s="36"/>
      <c r="N408" s="36"/>
      <c r="O408" s="36"/>
      <c r="P408" s="36"/>
      <c r="Q408" s="36"/>
      <c r="R408" s="36"/>
      <c r="S408" s="36"/>
      <c r="T408" s="36"/>
      <c r="U408" s="36"/>
      <c r="V408" s="36"/>
      <c r="W408" s="36"/>
      <c r="X408" s="36"/>
      <c r="Y408" s="36"/>
      <c r="Z408" s="3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row>
    <row r="409" spans="1:57" ht="15.75" customHeight="1" x14ac:dyDescent="0.2">
      <c r="A409" s="36"/>
      <c r="B409" s="36"/>
      <c r="C409" s="35"/>
      <c r="D409" s="36"/>
      <c r="E409" s="36"/>
      <c r="F409" s="36"/>
      <c r="G409" s="36"/>
      <c r="H409" s="35"/>
      <c r="I409" s="35"/>
      <c r="J409" s="35"/>
      <c r="K409" s="36"/>
      <c r="L409" s="36"/>
      <c r="M409" s="36"/>
      <c r="N409" s="36"/>
      <c r="O409" s="36"/>
      <c r="P409" s="36"/>
      <c r="Q409" s="36"/>
      <c r="R409" s="36"/>
      <c r="S409" s="36"/>
      <c r="T409" s="36"/>
      <c r="U409" s="36"/>
      <c r="V409" s="36"/>
      <c r="W409" s="36"/>
      <c r="X409" s="36"/>
      <c r="Y409" s="36"/>
      <c r="Z409" s="3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row>
    <row r="410" spans="1:57" ht="15.75" customHeight="1" x14ac:dyDescent="0.2">
      <c r="A410" s="36"/>
      <c r="B410" s="36"/>
      <c r="C410" s="35"/>
      <c r="D410" s="36"/>
      <c r="E410" s="36"/>
      <c r="F410" s="36"/>
      <c r="G410" s="36"/>
      <c r="H410" s="35"/>
      <c r="I410" s="35"/>
      <c r="J410" s="35"/>
      <c r="K410" s="36"/>
      <c r="L410" s="36"/>
      <c r="M410" s="36"/>
      <c r="N410" s="36"/>
      <c r="O410" s="36"/>
      <c r="P410" s="36"/>
      <c r="Q410" s="36"/>
      <c r="R410" s="36"/>
      <c r="S410" s="36"/>
      <c r="T410" s="36"/>
      <c r="U410" s="36"/>
      <c r="V410" s="36"/>
      <c r="W410" s="36"/>
      <c r="X410" s="36"/>
      <c r="Y410" s="36"/>
      <c r="Z410" s="3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row>
    <row r="411" spans="1:57" ht="15.75" customHeight="1" x14ac:dyDescent="0.2">
      <c r="A411" s="36"/>
      <c r="B411" s="36"/>
      <c r="C411" s="35"/>
      <c r="D411" s="36"/>
      <c r="E411" s="36"/>
      <c r="F411" s="36"/>
      <c r="G411" s="36"/>
      <c r="H411" s="35"/>
      <c r="I411" s="35"/>
      <c r="J411" s="35"/>
      <c r="K411" s="36"/>
      <c r="L411" s="36"/>
      <c r="M411" s="36"/>
      <c r="N411" s="36"/>
      <c r="O411" s="36"/>
      <c r="P411" s="36"/>
      <c r="Q411" s="36"/>
      <c r="R411" s="36"/>
      <c r="S411" s="36"/>
      <c r="T411" s="36"/>
      <c r="U411" s="36"/>
      <c r="V411" s="36"/>
      <c r="W411" s="36"/>
      <c r="X411" s="36"/>
      <c r="Y411" s="36"/>
      <c r="Z411" s="3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row>
    <row r="412" spans="1:57" ht="15.75" customHeight="1" x14ac:dyDescent="0.2">
      <c r="A412" s="36"/>
      <c r="B412" s="36"/>
      <c r="C412" s="35"/>
      <c r="D412" s="36"/>
      <c r="E412" s="36"/>
      <c r="F412" s="36"/>
      <c r="G412" s="36"/>
      <c r="H412" s="35"/>
      <c r="I412" s="35"/>
      <c r="J412" s="35"/>
      <c r="K412" s="36"/>
      <c r="L412" s="36"/>
      <c r="M412" s="36"/>
      <c r="N412" s="36"/>
      <c r="O412" s="36"/>
      <c r="P412" s="36"/>
      <c r="Q412" s="36"/>
      <c r="R412" s="36"/>
      <c r="S412" s="36"/>
      <c r="T412" s="36"/>
      <c r="U412" s="36"/>
      <c r="V412" s="36"/>
      <c r="W412" s="36"/>
      <c r="X412" s="36"/>
      <c r="Y412" s="36"/>
      <c r="Z412" s="3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row>
    <row r="413" spans="1:57" ht="15.75" customHeight="1" x14ac:dyDescent="0.2">
      <c r="A413" s="36"/>
      <c r="B413" s="36"/>
      <c r="C413" s="35"/>
      <c r="D413" s="36"/>
      <c r="E413" s="36"/>
      <c r="F413" s="36"/>
      <c r="G413" s="36"/>
      <c r="H413" s="35"/>
      <c r="I413" s="35"/>
      <c r="J413" s="35"/>
      <c r="K413" s="36"/>
      <c r="L413" s="36"/>
      <c r="M413" s="36"/>
      <c r="N413" s="36"/>
      <c r="O413" s="36"/>
      <c r="P413" s="36"/>
      <c r="Q413" s="36"/>
      <c r="R413" s="36"/>
      <c r="S413" s="36"/>
      <c r="T413" s="36"/>
      <c r="U413" s="36"/>
      <c r="V413" s="36"/>
      <c r="W413" s="36"/>
      <c r="X413" s="36"/>
      <c r="Y413" s="36"/>
      <c r="Z413" s="3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row>
    <row r="414" spans="1:57" ht="15.75" customHeight="1" x14ac:dyDescent="0.2">
      <c r="A414" s="36"/>
      <c r="B414" s="36"/>
      <c r="C414" s="35"/>
      <c r="D414" s="36"/>
      <c r="E414" s="36"/>
      <c r="F414" s="36"/>
      <c r="G414" s="36"/>
      <c r="H414" s="35"/>
      <c r="I414" s="35"/>
      <c r="J414" s="35"/>
      <c r="K414" s="36"/>
      <c r="L414" s="36"/>
      <c r="M414" s="36"/>
      <c r="N414" s="36"/>
      <c r="O414" s="36"/>
      <c r="P414" s="36"/>
      <c r="Q414" s="36"/>
      <c r="R414" s="36"/>
      <c r="S414" s="36"/>
      <c r="T414" s="36"/>
      <c r="U414" s="36"/>
      <c r="V414" s="36"/>
      <c r="W414" s="36"/>
      <c r="X414" s="36"/>
      <c r="Y414" s="36"/>
      <c r="Z414" s="3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row>
    <row r="415" spans="1:57" ht="15.75" customHeight="1" x14ac:dyDescent="0.2">
      <c r="A415" s="36"/>
      <c r="B415" s="36"/>
      <c r="C415" s="35"/>
      <c r="D415" s="36"/>
      <c r="E415" s="36"/>
      <c r="F415" s="36"/>
      <c r="G415" s="36"/>
      <c r="H415" s="35"/>
      <c r="I415" s="35"/>
      <c r="J415" s="35"/>
      <c r="K415" s="36"/>
      <c r="L415" s="36"/>
      <c r="M415" s="36"/>
      <c r="N415" s="36"/>
      <c r="O415" s="36"/>
      <c r="P415" s="36"/>
      <c r="Q415" s="36"/>
      <c r="R415" s="36"/>
      <c r="S415" s="36"/>
      <c r="T415" s="36"/>
      <c r="U415" s="36"/>
      <c r="V415" s="36"/>
      <c r="W415" s="36"/>
      <c r="X415" s="36"/>
      <c r="Y415" s="36"/>
      <c r="Z415" s="3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row>
    <row r="416" spans="1:57" ht="15.75" customHeight="1" x14ac:dyDescent="0.2">
      <c r="A416" s="36"/>
      <c r="B416" s="36"/>
      <c r="C416" s="35"/>
      <c r="D416" s="36"/>
      <c r="E416" s="36"/>
      <c r="F416" s="36"/>
      <c r="G416" s="36"/>
      <c r="H416" s="35"/>
      <c r="I416" s="35"/>
      <c r="J416" s="35"/>
      <c r="K416" s="36"/>
      <c r="L416" s="36"/>
      <c r="M416" s="36"/>
      <c r="N416" s="36"/>
      <c r="O416" s="36"/>
      <c r="P416" s="36"/>
      <c r="Q416" s="36"/>
      <c r="R416" s="36"/>
      <c r="S416" s="36"/>
      <c r="T416" s="36"/>
      <c r="U416" s="36"/>
      <c r="V416" s="36"/>
      <c r="W416" s="36"/>
      <c r="X416" s="36"/>
      <c r="Y416" s="36"/>
      <c r="Z416" s="3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row>
    <row r="417" spans="1:57" ht="15.75" customHeight="1" x14ac:dyDescent="0.2">
      <c r="A417" s="36"/>
      <c r="B417" s="36"/>
      <c r="C417" s="35"/>
      <c r="D417" s="36"/>
      <c r="E417" s="36"/>
      <c r="F417" s="36"/>
      <c r="G417" s="36"/>
      <c r="H417" s="35"/>
      <c r="I417" s="35"/>
      <c r="J417" s="35"/>
      <c r="K417" s="36"/>
      <c r="L417" s="36"/>
      <c r="M417" s="36"/>
      <c r="N417" s="36"/>
      <c r="O417" s="36"/>
      <c r="P417" s="36"/>
      <c r="Q417" s="36"/>
      <c r="R417" s="36"/>
      <c r="S417" s="36"/>
      <c r="T417" s="36"/>
      <c r="U417" s="36"/>
      <c r="V417" s="36"/>
      <c r="W417" s="36"/>
      <c r="X417" s="36"/>
      <c r="Y417" s="36"/>
      <c r="Z417" s="3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row>
    <row r="418" spans="1:57" ht="15.75" customHeight="1" x14ac:dyDescent="0.2">
      <c r="A418" s="36"/>
      <c r="B418" s="36"/>
      <c r="C418" s="35"/>
      <c r="D418" s="36"/>
      <c r="E418" s="36"/>
      <c r="F418" s="36"/>
      <c r="G418" s="36"/>
      <c r="H418" s="35"/>
      <c r="I418" s="35"/>
      <c r="J418" s="35"/>
      <c r="K418" s="36"/>
      <c r="L418" s="36"/>
      <c r="M418" s="36"/>
      <c r="N418" s="36"/>
      <c r="O418" s="36"/>
      <c r="P418" s="36"/>
      <c r="Q418" s="36"/>
      <c r="R418" s="36"/>
      <c r="S418" s="36"/>
      <c r="T418" s="36"/>
      <c r="U418" s="36"/>
      <c r="V418" s="36"/>
      <c r="W418" s="36"/>
      <c r="X418" s="36"/>
      <c r="Y418" s="36"/>
      <c r="Z418" s="3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row>
    <row r="419" spans="1:57" ht="15.75" customHeight="1" x14ac:dyDescent="0.2">
      <c r="A419" s="36"/>
      <c r="B419" s="36"/>
      <c r="C419" s="35"/>
      <c r="D419" s="36"/>
      <c r="E419" s="36"/>
      <c r="F419" s="36"/>
      <c r="G419" s="36"/>
      <c r="H419" s="35"/>
      <c r="I419" s="35"/>
      <c r="J419" s="35"/>
      <c r="K419" s="36"/>
      <c r="L419" s="36"/>
      <c r="M419" s="36"/>
      <c r="N419" s="36"/>
      <c r="O419" s="36"/>
      <c r="P419" s="36"/>
      <c r="Q419" s="36"/>
      <c r="R419" s="36"/>
      <c r="S419" s="36"/>
      <c r="T419" s="36"/>
      <c r="U419" s="36"/>
      <c r="V419" s="36"/>
      <c r="W419" s="36"/>
      <c r="X419" s="36"/>
      <c r="Y419" s="36"/>
      <c r="Z419" s="3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row>
    <row r="420" spans="1:57" ht="15.75" customHeight="1" x14ac:dyDescent="0.2">
      <c r="A420" s="36"/>
      <c r="B420" s="36"/>
      <c r="C420" s="35"/>
      <c r="D420" s="36"/>
      <c r="E420" s="36"/>
      <c r="F420" s="36"/>
      <c r="G420" s="36"/>
      <c r="H420" s="35"/>
      <c r="I420" s="35"/>
      <c r="J420" s="35"/>
      <c r="K420" s="36"/>
      <c r="L420" s="36"/>
      <c r="M420" s="36"/>
      <c r="N420" s="36"/>
      <c r="O420" s="36"/>
      <c r="P420" s="36"/>
      <c r="Q420" s="36"/>
      <c r="R420" s="36"/>
      <c r="S420" s="36"/>
      <c r="T420" s="36"/>
      <c r="U420" s="36"/>
      <c r="V420" s="36"/>
      <c r="W420" s="36"/>
      <c r="X420" s="36"/>
      <c r="Y420" s="36"/>
      <c r="Z420" s="3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row>
    <row r="421" spans="1:57" ht="15.75" customHeight="1" x14ac:dyDescent="0.2">
      <c r="A421" s="36"/>
      <c r="B421" s="36"/>
      <c r="C421" s="35"/>
      <c r="D421" s="36"/>
      <c r="E421" s="36"/>
      <c r="F421" s="36"/>
      <c r="G421" s="36"/>
      <c r="H421" s="35"/>
      <c r="I421" s="35"/>
      <c r="J421" s="35"/>
      <c r="K421" s="36"/>
      <c r="L421" s="36"/>
      <c r="M421" s="36"/>
      <c r="N421" s="36"/>
      <c r="O421" s="36"/>
      <c r="P421" s="36"/>
      <c r="Q421" s="36"/>
      <c r="R421" s="36"/>
      <c r="S421" s="36"/>
      <c r="T421" s="36"/>
      <c r="U421" s="36"/>
      <c r="V421" s="36"/>
      <c r="W421" s="36"/>
      <c r="X421" s="36"/>
      <c r="Y421" s="36"/>
      <c r="Z421" s="3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row>
    <row r="422" spans="1:57" ht="15.75" customHeight="1" x14ac:dyDescent="0.2">
      <c r="A422" s="36"/>
      <c r="B422" s="36"/>
      <c r="C422" s="35"/>
      <c r="D422" s="36"/>
      <c r="E422" s="36"/>
      <c r="F422" s="36"/>
      <c r="G422" s="36"/>
      <c r="H422" s="35"/>
      <c r="I422" s="35"/>
      <c r="J422" s="35"/>
      <c r="K422" s="36"/>
      <c r="L422" s="36"/>
      <c r="M422" s="36"/>
      <c r="N422" s="36"/>
      <c r="O422" s="36"/>
      <c r="P422" s="36"/>
      <c r="Q422" s="36"/>
      <c r="R422" s="36"/>
      <c r="S422" s="36"/>
      <c r="T422" s="36"/>
      <c r="U422" s="36"/>
      <c r="V422" s="36"/>
      <c r="W422" s="36"/>
      <c r="X422" s="36"/>
      <c r="Y422" s="36"/>
      <c r="Z422" s="3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row>
    <row r="423" spans="1:57" ht="15.75" customHeight="1" x14ac:dyDescent="0.2">
      <c r="A423" s="36"/>
      <c r="B423" s="36"/>
      <c r="C423" s="35"/>
      <c r="D423" s="36"/>
      <c r="E423" s="36"/>
      <c r="F423" s="36"/>
      <c r="G423" s="36"/>
      <c r="H423" s="35"/>
      <c r="I423" s="35"/>
      <c r="J423" s="35"/>
      <c r="K423" s="36"/>
      <c r="L423" s="36"/>
      <c r="M423" s="36"/>
      <c r="N423" s="36"/>
      <c r="O423" s="36"/>
      <c r="P423" s="36"/>
      <c r="Q423" s="36"/>
      <c r="R423" s="36"/>
      <c r="S423" s="36"/>
      <c r="T423" s="36"/>
      <c r="U423" s="36"/>
      <c r="V423" s="36"/>
      <c r="W423" s="36"/>
      <c r="X423" s="36"/>
      <c r="Y423" s="36"/>
      <c r="Z423" s="3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row>
    <row r="424" spans="1:57" ht="15.75" customHeight="1" x14ac:dyDescent="0.2">
      <c r="A424" s="36"/>
      <c r="B424" s="36"/>
      <c r="C424" s="35"/>
      <c r="D424" s="36"/>
      <c r="E424" s="36"/>
      <c r="F424" s="36"/>
      <c r="G424" s="36"/>
      <c r="H424" s="35"/>
      <c r="I424" s="35"/>
      <c r="J424" s="35"/>
      <c r="K424" s="36"/>
      <c r="L424" s="36"/>
      <c r="M424" s="36"/>
      <c r="N424" s="36"/>
      <c r="O424" s="36"/>
      <c r="P424" s="36"/>
      <c r="Q424" s="36"/>
      <c r="R424" s="36"/>
      <c r="S424" s="36"/>
      <c r="T424" s="36"/>
      <c r="U424" s="36"/>
      <c r="V424" s="36"/>
      <c r="W424" s="36"/>
      <c r="X424" s="36"/>
      <c r="Y424" s="36"/>
      <c r="Z424" s="3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row>
    <row r="425" spans="1:57" ht="15.75" customHeight="1" x14ac:dyDescent="0.2">
      <c r="A425" s="36"/>
      <c r="B425" s="36"/>
      <c r="C425" s="35"/>
      <c r="D425" s="36"/>
      <c r="E425" s="36"/>
      <c r="F425" s="36"/>
      <c r="G425" s="36"/>
      <c r="H425" s="35"/>
      <c r="I425" s="35"/>
      <c r="J425" s="35"/>
      <c r="K425" s="36"/>
      <c r="L425" s="36"/>
      <c r="M425" s="36"/>
      <c r="N425" s="36"/>
      <c r="O425" s="36"/>
      <c r="P425" s="36"/>
      <c r="Q425" s="36"/>
      <c r="R425" s="36"/>
      <c r="S425" s="36"/>
      <c r="T425" s="36"/>
      <c r="U425" s="36"/>
      <c r="V425" s="36"/>
      <c r="W425" s="36"/>
      <c r="X425" s="36"/>
      <c r="Y425" s="36"/>
      <c r="Z425" s="3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row>
    <row r="426" spans="1:57" ht="15.75" customHeight="1" x14ac:dyDescent="0.2">
      <c r="A426" s="36"/>
      <c r="B426" s="36"/>
      <c r="C426" s="35"/>
      <c r="D426" s="36"/>
      <c r="E426" s="36"/>
      <c r="F426" s="36"/>
      <c r="G426" s="36"/>
      <c r="H426" s="35"/>
      <c r="I426" s="35"/>
      <c r="J426" s="35"/>
      <c r="K426" s="36"/>
      <c r="L426" s="36"/>
      <c r="M426" s="36"/>
      <c r="N426" s="36"/>
      <c r="O426" s="36"/>
      <c r="P426" s="36"/>
      <c r="Q426" s="36"/>
      <c r="R426" s="36"/>
      <c r="S426" s="36"/>
      <c r="T426" s="36"/>
      <c r="U426" s="36"/>
      <c r="V426" s="36"/>
      <c r="W426" s="36"/>
      <c r="X426" s="36"/>
      <c r="Y426" s="36"/>
      <c r="Z426" s="3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row>
    <row r="427" spans="1:57" ht="15.75" customHeight="1" x14ac:dyDescent="0.2">
      <c r="A427" s="36"/>
      <c r="B427" s="36"/>
      <c r="C427" s="35"/>
      <c r="D427" s="36"/>
      <c r="E427" s="36"/>
      <c r="F427" s="36"/>
      <c r="G427" s="36"/>
      <c r="H427" s="35"/>
      <c r="I427" s="35"/>
      <c r="J427" s="35"/>
      <c r="K427" s="36"/>
      <c r="L427" s="36"/>
      <c r="M427" s="36"/>
      <c r="N427" s="36"/>
      <c r="O427" s="36"/>
      <c r="P427" s="36"/>
      <c r="Q427" s="36"/>
      <c r="R427" s="36"/>
      <c r="S427" s="36"/>
      <c r="T427" s="36"/>
      <c r="U427" s="36"/>
      <c r="V427" s="36"/>
      <c r="W427" s="36"/>
      <c r="X427" s="36"/>
      <c r="Y427" s="36"/>
      <c r="Z427" s="3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row>
    <row r="428" spans="1:57" ht="15.75" customHeight="1" x14ac:dyDescent="0.2">
      <c r="A428" s="36"/>
      <c r="B428" s="36"/>
      <c r="C428" s="35"/>
      <c r="D428" s="36"/>
      <c r="E428" s="36"/>
      <c r="F428" s="36"/>
      <c r="G428" s="36"/>
      <c r="H428" s="35"/>
      <c r="I428" s="35"/>
      <c r="J428" s="35"/>
      <c r="K428" s="36"/>
      <c r="L428" s="36"/>
      <c r="M428" s="36"/>
      <c r="N428" s="36"/>
      <c r="O428" s="36"/>
      <c r="P428" s="36"/>
      <c r="Q428" s="36"/>
      <c r="R428" s="36"/>
      <c r="S428" s="36"/>
      <c r="T428" s="36"/>
      <c r="U428" s="36"/>
      <c r="V428" s="36"/>
      <c r="W428" s="36"/>
      <c r="X428" s="36"/>
      <c r="Y428" s="36"/>
      <c r="Z428" s="3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row>
    <row r="429" spans="1:57" ht="15.75" customHeight="1" x14ac:dyDescent="0.2">
      <c r="A429" s="36"/>
      <c r="B429" s="36"/>
      <c r="C429" s="35"/>
      <c r="D429" s="36"/>
      <c r="E429" s="36"/>
      <c r="F429" s="36"/>
      <c r="G429" s="36"/>
      <c r="H429" s="35"/>
      <c r="I429" s="35"/>
      <c r="J429" s="35"/>
      <c r="K429" s="36"/>
      <c r="L429" s="36"/>
      <c r="M429" s="36"/>
      <c r="N429" s="36"/>
      <c r="O429" s="36"/>
      <c r="P429" s="36"/>
      <c r="Q429" s="36"/>
      <c r="R429" s="36"/>
      <c r="S429" s="36"/>
      <c r="T429" s="36"/>
      <c r="U429" s="36"/>
      <c r="V429" s="36"/>
      <c r="W429" s="36"/>
      <c r="X429" s="36"/>
      <c r="Y429" s="36"/>
      <c r="Z429" s="3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row>
    <row r="430" spans="1:57" ht="15.75" customHeight="1" x14ac:dyDescent="0.2">
      <c r="A430" s="36"/>
      <c r="B430" s="36"/>
      <c r="C430" s="35"/>
      <c r="D430" s="36"/>
      <c r="E430" s="36"/>
      <c r="F430" s="36"/>
      <c r="G430" s="36"/>
      <c r="H430" s="35"/>
      <c r="I430" s="35"/>
      <c r="J430" s="35"/>
      <c r="K430" s="36"/>
      <c r="L430" s="36"/>
      <c r="M430" s="36"/>
      <c r="N430" s="36"/>
      <c r="O430" s="36"/>
      <c r="P430" s="36"/>
      <c r="Q430" s="36"/>
      <c r="R430" s="36"/>
      <c r="S430" s="36"/>
      <c r="T430" s="36"/>
      <c r="U430" s="36"/>
      <c r="V430" s="36"/>
      <c r="W430" s="36"/>
      <c r="X430" s="36"/>
      <c r="Y430" s="36"/>
      <c r="Z430" s="3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row>
    <row r="431" spans="1:57" ht="15.75" customHeight="1" x14ac:dyDescent="0.2">
      <c r="A431" s="36"/>
      <c r="B431" s="36"/>
      <c r="C431" s="35"/>
      <c r="D431" s="36"/>
      <c r="E431" s="36"/>
      <c r="F431" s="36"/>
      <c r="G431" s="36"/>
      <c r="H431" s="35"/>
      <c r="I431" s="35"/>
      <c r="J431" s="35"/>
      <c r="K431" s="36"/>
      <c r="L431" s="36"/>
      <c r="M431" s="36"/>
      <c r="N431" s="36"/>
      <c r="O431" s="36"/>
      <c r="P431" s="36"/>
      <c r="Q431" s="36"/>
      <c r="R431" s="36"/>
      <c r="S431" s="36"/>
      <c r="T431" s="36"/>
      <c r="U431" s="36"/>
      <c r="V431" s="36"/>
      <c r="W431" s="36"/>
      <c r="X431" s="36"/>
      <c r="Y431" s="36"/>
      <c r="Z431" s="3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row>
    <row r="432" spans="1:57" ht="15.75" customHeight="1" x14ac:dyDescent="0.2">
      <c r="A432" s="36"/>
      <c r="B432" s="36"/>
      <c r="C432" s="35"/>
      <c r="D432" s="36"/>
      <c r="E432" s="36"/>
      <c r="F432" s="36"/>
      <c r="G432" s="36"/>
      <c r="H432" s="35"/>
      <c r="I432" s="35"/>
      <c r="J432" s="35"/>
      <c r="K432" s="36"/>
      <c r="L432" s="36"/>
      <c r="M432" s="36"/>
      <c r="N432" s="36"/>
      <c r="O432" s="36"/>
      <c r="P432" s="36"/>
      <c r="Q432" s="36"/>
      <c r="R432" s="36"/>
      <c r="S432" s="36"/>
      <c r="T432" s="36"/>
      <c r="U432" s="36"/>
      <c r="V432" s="36"/>
      <c r="W432" s="36"/>
      <c r="X432" s="36"/>
      <c r="Y432" s="36"/>
      <c r="Z432" s="3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row>
    <row r="433" spans="1:57" ht="15.75" customHeight="1" x14ac:dyDescent="0.2">
      <c r="A433" s="36"/>
      <c r="B433" s="36"/>
      <c r="C433" s="35"/>
      <c r="D433" s="36"/>
      <c r="E433" s="36"/>
      <c r="F433" s="36"/>
      <c r="G433" s="36"/>
      <c r="H433" s="35"/>
      <c r="I433" s="35"/>
      <c r="J433" s="35"/>
      <c r="K433" s="36"/>
      <c r="L433" s="36"/>
      <c r="M433" s="36"/>
      <c r="N433" s="36"/>
      <c r="O433" s="36"/>
      <c r="P433" s="36"/>
      <c r="Q433" s="36"/>
      <c r="R433" s="36"/>
      <c r="S433" s="36"/>
      <c r="T433" s="36"/>
      <c r="U433" s="36"/>
      <c r="V433" s="36"/>
      <c r="W433" s="36"/>
      <c r="X433" s="36"/>
      <c r="Y433" s="36"/>
      <c r="Z433" s="3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row>
    <row r="434" spans="1:57" ht="15.75" customHeight="1" x14ac:dyDescent="0.2">
      <c r="A434" s="36"/>
      <c r="B434" s="36"/>
      <c r="C434" s="35"/>
      <c r="D434" s="36"/>
      <c r="E434" s="36"/>
      <c r="F434" s="36"/>
      <c r="G434" s="36"/>
      <c r="H434" s="35"/>
      <c r="I434" s="35"/>
      <c r="J434" s="35"/>
      <c r="K434" s="36"/>
      <c r="L434" s="36"/>
      <c r="M434" s="36"/>
      <c r="N434" s="36"/>
      <c r="O434" s="36"/>
      <c r="P434" s="36"/>
      <c r="Q434" s="36"/>
      <c r="R434" s="36"/>
      <c r="S434" s="36"/>
      <c r="T434" s="36"/>
      <c r="U434" s="36"/>
      <c r="V434" s="36"/>
      <c r="W434" s="36"/>
      <c r="X434" s="36"/>
      <c r="Y434" s="36"/>
      <c r="Z434" s="3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row>
    <row r="435" spans="1:57" ht="15.75" customHeight="1" x14ac:dyDescent="0.2">
      <c r="A435" s="36"/>
      <c r="B435" s="36"/>
      <c r="C435" s="35"/>
      <c r="D435" s="36"/>
      <c r="E435" s="36"/>
      <c r="F435" s="36"/>
      <c r="G435" s="36"/>
      <c r="H435" s="35"/>
      <c r="I435" s="35"/>
      <c r="J435" s="35"/>
      <c r="K435" s="36"/>
      <c r="L435" s="36"/>
      <c r="M435" s="36"/>
      <c r="N435" s="36"/>
      <c r="O435" s="36"/>
      <c r="P435" s="36"/>
      <c r="Q435" s="36"/>
      <c r="R435" s="36"/>
      <c r="S435" s="36"/>
      <c r="T435" s="36"/>
      <c r="U435" s="36"/>
      <c r="V435" s="36"/>
      <c r="W435" s="36"/>
      <c r="X435" s="36"/>
      <c r="Y435" s="36"/>
      <c r="Z435" s="3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row>
    <row r="436" spans="1:57" ht="15.75" customHeight="1" x14ac:dyDescent="0.2">
      <c r="A436" s="36"/>
      <c r="B436" s="36"/>
      <c r="C436" s="35"/>
      <c r="D436" s="36"/>
      <c r="E436" s="36"/>
      <c r="F436" s="36"/>
      <c r="G436" s="36"/>
      <c r="H436" s="35"/>
      <c r="I436" s="35"/>
      <c r="J436" s="35"/>
      <c r="K436" s="36"/>
      <c r="L436" s="36"/>
      <c r="M436" s="36"/>
      <c r="N436" s="36"/>
      <c r="O436" s="36"/>
      <c r="P436" s="36"/>
      <c r="Q436" s="36"/>
      <c r="R436" s="36"/>
      <c r="S436" s="36"/>
      <c r="T436" s="36"/>
      <c r="U436" s="36"/>
      <c r="V436" s="36"/>
      <c r="W436" s="36"/>
      <c r="X436" s="36"/>
      <c r="Y436" s="36"/>
      <c r="Z436" s="3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row>
    <row r="437" spans="1:57" ht="15.75" customHeight="1" x14ac:dyDescent="0.2">
      <c r="A437" s="36"/>
      <c r="B437" s="36"/>
      <c r="C437" s="35"/>
      <c r="D437" s="36"/>
      <c r="E437" s="36"/>
      <c r="F437" s="36"/>
      <c r="G437" s="36"/>
      <c r="H437" s="35"/>
      <c r="I437" s="35"/>
      <c r="J437" s="35"/>
      <c r="K437" s="36"/>
      <c r="L437" s="36"/>
      <c r="M437" s="36"/>
      <c r="N437" s="36"/>
      <c r="O437" s="36"/>
      <c r="P437" s="36"/>
      <c r="Q437" s="36"/>
      <c r="R437" s="36"/>
      <c r="S437" s="36"/>
      <c r="T437" s="36"/>
      <c r="U437" s="36"/>
      <c r="V437" s="36"/>
      <c r="W437" s="36"/>
      <c r="X437" s="36"/>
      <c r="Y437" s="36"/>
      <c r="Z437" s="3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row>
    <row r="438" spans="1:57" ht="15.75" customHeight="1" x14ac:dyDescent="0.2">
      <c r="A438" s="36"/>
      <c r="B438" s="36"/>
      <c r="C438" s="35"/>
      <c r="D438" s="36"/>
      <c r="E438" s="36"/>
      <c r="F438" s="36"/>
      <c r="G438" s="36"/>
      <c r="H438" s="35"/>
      <c r="I438" s="35"/>
      <c r="J438" s="35"/>
      <c r="K438" s="36"/>
      <c r="L438" s="36"/>
      <c r="M438" s="36"/>
      <c r="N438" s="36"/>
      <c r="O438" s="36"/>
      <c r="P438" s="36"/>
      <c r="Q438" s="36"/>
      <c r="R438" s="36"/>
      <c r="S438" s="36"/>
      <c r="T438" s="36"/>
      <c r="U438" s="36"/>
      <c r="V438" s="36"/>
      <c r="W438" s="36"/>
      <c r="X438" s="36"/>
      <c r="Y438" s="36"/>
      <c r="Z438" s="3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row>
    <row r="439" spans="1:57" ht="15.75" customHeight="1" x14ac:dyDescent="0.2">
      <c r="A439" s="36"/>
      <c r="B439" s="36"/>
      <c r="C439" s="35"/>
      <c r="D439" s="36"/>
      <c r="E439" s="36"/>
      <c r="F439" s="36"/>
      <c r="G439" s="36"/>
      <c r="H439" s="35"/>
      <c r="I439" s="35"/>
      <c r="J439" s="35"/>
      <c r="K439" s="36"/>
      <c r="L439" s="36"/>
      <c r="M439" s="36"/>
      <c r="N439" s="36"/>
      <c r="O439" s="36"/>
      <c r="P439" s="36"/>
      <c r="Q439" s="36"/>
      <c r="R439" s="36"/>
      <c r="S439" s="36"/>
      <c r="T439" s="36"/>
      <c r="U439" s="36"/>
      <c r="V439" s="36"/>
      <c r="W439" s="36"/>
      <c r="X439" s="36"/>
      <c r="Y439" s="36"/>
      <c r="Z439" s="3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row>
    <row r="440" spans="1:57" ht="15.75" customHeight="1" x14ac:dyDescent="0.2">
      <c r="A440" s="36"/>
      <c r="B440" s="36"/>
      <c r="C440" s="35"/>
      <c r="D440" s="36"/>
      <c r="E440" s="36"/>
      <c r="F440" s="36"/>
      <c r="G440" s="36"/>
      <c r="H440" s="35"/>
      <c r="I440" s="35"/>
      <c r="J440" s="35"/>
      <c r="K440" s="36"/>
      <c r="L440" s="36"/>
      <c r="M440" s="36"/>
      <c r="N440" s="36"/>
      <c r="O440" s="36"/>
      <c r="P440" s="36"/>
      <c r="Q440" s="36"/>
      <c r="R440" s="36"/>
      <c r="S440" s="36"/>
      <c r="T440" s="36"/>
      <c r="U440" s="36"/>
      <c r="V440" s="36"/>
      <c r="W440" s="36"/>
      <c r="X440" s="36"/>
      <c r="Y440" s="36"/>
      <c r="Z440" s="3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row>
    <row r="441" spans="1:57" ht="15.75" customHeight="1" x14ac:dyDescent="0.2">
      <c r="A441" s="36"/>
      <c r="B441" s="36"/>
      <c r="C441" s="35"/>
      <c r="D441" s="36"/>
      <c r="E441" s="36"/>
      <c r="F441" s="36"/>
      <c r="G441" s="36"/>
      <c r="H441" s="35"/>
      <c r="I441" s="35"/>
      <c r="J441" s="35"/>
      <c r="K441" s="36"/>
      <c r="L441" s="36"/>
      <c r="M441" s="36"/>
      <c r="N441" s="36"/>
      <c r="O441" s="36"/>
      <c r="P441" s="36"/>
      <c r="Q441" s="36"/>
      <c r="R441" s="36"/>
      <c r="S441" s="36"/>
      <c r="T441" s="36"/>
      <c r="U441" s="36"/>
      <c r="V441" s="36"/>
      <c r="W441" s="36"/>
      <c r="X441" s="36"/>
      <c r="Y441" s="36"/>
      <c r="Z441" s="3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row>
    <row r="442" spans="1:57" ht="15.75" customHeight="1" x14ac:dyDescent="0.2">
      <c r="A442" s="36"/>
      <c r="B442" s="36"/>
      <c r="C442" s="35"/>
      <c r="D442" s="36"/>
      <c r="E442" s="36"/>
      <c r="F442" s="36"/>
      <c r="G442" s="36"/>
      <c r="H442" s="35"/>
      <c r="I442" s="35"/>
      <c r="J442" s="35"/>
      <c r="K442" s="36"/>
      <c r="L442" s="36"/>
      <c r="M442" s="36"/>
      <c r="N442" s="36"/>
      <c r="O442" s="36"/>
      <c r="P442" s="36"/>
      <c r="Q442" s="36"/>
      <c r="R442" s="36"/>
      <c r="S442" s="36"/>
      <c r="T442" s="36"/>
      <c r="U442" s="36"/>
      <c r="V442" s="36"/>
      <c r="W442" s="36"/>
      <c r="X442" s="36"/>
      <c r="Y442" s="36"/>
      <c r="Z442" s="3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row>
    <row r="443" spans="1:57" ht="15.75" customHeight="1" x14ac:dyDescent="0.2">
      <c r="A443" s="36"/>
      <c r="B443" s="36"/>
      <c r="C443" s="35"/>
      <c r="D443" s="36"/>
      <c r="E443" s="36"/>
      <c r="F443" s="36"/>
      <c r="G443" s="36"/>
      <c r="H443" s="35"/>
      <c r="I443" s="35"/>
      <c r="J443" s="35"/>
      <c r="K443" s="36"/>
      <c r="L443" s="36"/>
      <c r="M443" s="36"/>
      <c r="N443" s="36"/>
      <c r="O443" s="36"/>
      <c r="P443" s="36"/>
      <c r="Q443" s="36"/>
      <c r="R443" s="36"/>
      <c r="S443" s="36"/>
      <c r="T443" s="36"/>
      <c r="U443" s="36"/>
      <c r="V443" s="36"/>
      <c r="W443" s="36"/>
      <c r="X443" s="36"/>
      <c r="Y443" s="36"/>
      <c r="Z443" s="3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row>
    <row r="444" spans="1:57" ht="15.75" customHeight="1" x14ac:dyDescent="0.2">
      <c r="A444" s="36"/>
      <c r="B444" s="36"/>
      <c r="C444" s="35"/>
      <c r="D444" s="36"/>
      <c r="E444" s="36"/>
      <c r="F444" s="36"/>
      <c r="G444" s="36"/>
      <c r="H444" s="35"/>
      <c r="I444" s="35"/>
      <c r="J444" s="35"/>
      <c r="K444" s="36"/>
      <c r="L444" s="36"/>
      <c r="M444" s="36"/>
      <c r="N444" s="36"/>
      <c r="O444" s="36"/>
      <c r="P444" s="36"/>
      <c r="Q444" s="36"/>
      <c r="R444" s="36"/>
      <c r="S444" s="36"/>
      <c r="T444" s="36"/>
      <c r="U444" s="36"/>
      <c r="V444" s="36"/>
      <c r="W444" s="36"/>
      <c r="X444" s="36"/>
      <c r="Y444" s="36"/>
      <c r="Z444" s="3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row>
    <row r="445" spans="1:57" ht="15.75" customHeight="1" x14ac:dyDescent="0.2">
      <c r="A445" s="36"/>
      <c r="B445" s="36"/>
      <c r="C445" s="35"/>
      <c r="D445" s="36"/>
      <c r="E445" s="36"/>
      <c r="F445" s="36"/>
      <c r="G445" s="36"/>
      <c r="H445" s="35"/>
      <c r="I445" s="35"/>
      <c r="J445" s="35"/>
      <c r="K445" s="36"/>
      <c r="L445" s="36"/>
      <c r="M445" s="36"/>
      <c r="N445" s="36"/>
      <c r="O445" s="36"/>
      <c r="P445" s="36"/>
      <c r="Q445" s="36"/>
      <c r="R445" s="36"/>
      <c r="S445" s="36"/>
      <c r="T445" s="36"/>
      <c r="U445" s="36"/>
      <c r="V445" s="36"/>
      <c r="W445" s="36"/>
      <c r="X445" s="36"/>
      <c r="Y445" s="36"/>
      <c r="Z445" s="3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row>
    <row r="446" spans="1:57" ht="15.75" customHeight="1" x14ac:dyDescent="0.2">
      <c r="A446" s="36"/>
      <c r="B446" s="36"/>
      <c r="C446" s="35"/>
      <c r="D446" s="36"/>
      <c r="E446" s="36"/>
      <c r="F446" s="36"/>
      <c r="G446" s="36"/>
      <c r="H446" s="35"/>
      <c r="I446" s="35"/>
      <c r="J446" s="35"/>
      <c r="K446" s="36"/>
      <c r="L446" s="36"/>
      <c r="M446" s="36"/>
      <c r="N446" s="36"/>
      <c r="O446" s="36"/>
      <c r="P446" s="36"/>
      <c r="Q446" s="36"/>
      <c r="R446" s="36"/>
      <c r="S446" s="36"/>
      <c r="T446" s="36"/>
      <c r="U446" s="36"/>
      <c r="V446" s="36"/>
      <c r="W446" s="36"/>
      <c r="X446" s="36"/>
      <c r="Y446" s="36"/>
      <c r="Z446" s="3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row>
    <row r="447" spans="1:57" ht="15.75" customHeight="1" x14ac:dyDescent="0.2">
      <c r="A447" s="36"/>
      <c r="B447" s="36"/>
      <c r="C447" s="35"/>
      <c r="D447" s="36"/>
      <c r="E447" s="36"/>
      <c r="F447" s="36"/>
      <c r="G447" s="36"/>
      <c r="H447" s="35"/>
      <c r="I447" s="35"/>
      <c r="J447" s="35"/>
      <c r="K447" s="36"/>
      <c r="L447" s="36"/>
      <c r="M447" s="36"/>
      <c r="N447" s="36"/>
      <c r="O447" s="36"/>
      <c r="P447" s="36"/>
      <c r="Q447" s="36"/>
      <c r="R447" s="36"/>
      <c r="S447" s="36"/>
      <c r="T447" s="36"/>
      <c r="U447" s="36"/>
      <c r="V447" s="36"/>
      <c r="W447" s="36"/>
      <c r="X447" s="36"/>
      <c r="Y447" s="36"/>
      <c r="Z447" s="3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row>
    <row r="448" spans="1:57" ht="15.75" customHeight="1" x14ac:dyDescent="0.2">
      <c r="A448" s="36"/>
      <c r="B448" s="36"/>
      <c r="C448" s="35"/>
      <c r="D448" s="36"/>
      <c r="E448" s="36"/>
      <c r="F448" s="36"/>
      <c r="G448" s="36"/>
      <c r="H448" s="35"/>
      <c r="I448" s="35"/>
      <c r="J448" s="35"/>
      <c r="K448" s="36"/>
      <c r="L448" s="36"/>
      <c r="M448" s="36"/>
      <c r="N448" s="36"/>
      <c r="O448" s="36"/>
      <c r="P448" s="36"/>
      <c r="Q448" s="36"/>
      <c r="R448" s="36"/>
      <c r="S448" s="36"/>
      <c r="T448" s="36"/>
      <c r="U448" s="36"/>
      <c r="V448" s="36"/>
      <c r="W448" s="36"/>
      <c r="X448" s="36"/>
      <c r="Y448" s="36"/>
      <c r="Z448" s="3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row>
    <row r="449" spans="1:57" ht="15.75" customHeight="1" x14ac:dyDescent="0.2">
      <c r="A449" s="36"/>
      <c r="B449" s="36"/>
      <c r="C449" s="35"/>
      <c r="D449" s="36"/>
      <c r="E449" s="36"/>
      <c r="F449" s="36"/>
      <c r="G449" s="36"/>
      <c r="H449" s="35"/>
      <c r="I449" s="35"/>
      <c r="J449" s="35"/>
      <c r="K449" s="36"/>
      <c r="L449" s="36"/>
      <c r="M449" s="36"/>
      <c r="N449" s="36"/>
      <c r="O449" s="36"/>
      <c r="P449" s="36"/>
      <c r="Q449" s="36"/>
      <c r="R449" s="36"/>
      <c r="S449" s="36"/>
      <c r="T449" s="36"/>
      <c r="U449" s="36"/>
      <c r="V449" s="36"/>
      <c r="W449" s="36"/>
      <c r="X449" s="36"/>
      <c r="Y449" s="36"/>
      <c r="Z449" s="3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row>
    <row r="450" spans="1:57" ht="15.75" customHeight="1" x14ac:dyDescent="0.2">
      <c r="A450" s="36"/>
      <c r="B450" s="36"/>
      <c r="C450" s="35"/>
      <c r="D450" s="36"/>
      <c r="E450" s="36"/>
      <c r="F450" s="36"/>
      <c r="G450" s="36"/>
      <c r="H450" s="35"/>
      <c r="I450" s="35"/>
      <c r="J450" s="35"/>
      <c r="K450" s="36"/>
      <c r="L450" s="36"/>
      <c r="M450" s="36"/>
      <c r="N450" s="36"/>
      <c r="O450" s="36"/>
      <c r="P450" s="36"/>
      <c r="Q450" s="36"/>
      <c r="R450" s="36"/>
      <c r="S450" s="36"/>
      <c r="T450" s="36"/>
      <c r="U450" s="36"/>
      <c r="V450" s="36"/>
      <c r="W450" s="36"/>
      <c r="X450" s="36"/>
      <c r="Y450" s="36"/>
      <c r="Z450" s="3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row>
    <row r="451" spans="1:57" ht="15.75" customHeight="1" x14ac:dyDescent="0.2">
      <c r="A451" s="36"/>
      <c r="B451" s="36"/>
      <c r="C451" s="35"/>
      <c r="D451" s="36"/>
      <c r="E451" s="36"/>
      <c r="F451" s="36"/>
      <c r="G451" s="36"/>
      <c r="H451" s="35"/>
      <c r="I451" s="35"/>
      <c r="J451" s="35"/>
      <c r="K451" s="36"/>
      <c r="L451" s="36"/>
      <c r="M451" s="36"/>
      <c r="N451" s="36"/>
      <c r="O451" s="36"/>
      <c r="P451" s="36"/>
      <c r="Q451" s="36"/>
      <c r="R451" s="36"/>
      <c r="S451" s="36"/>
      <c r="T451" s="36"/>
      <c r="U451" s="36"/>
      <c r="V451" s="36"/>
      <c r="W451" s="36"/>
      <c r="X451" s="36"/>
      <c r="Y451" s="36"/>
      <c r="Z451" s="3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row>
    <row r="452" spans="1:57" ht="15.75" customHeight="1" x14ac:dyDescent="0.2">
      <c r="A452" s="36"/>
      <c r="B452" s="36"/>
      <c r="C452" s="35"/>
      <c r="D452" s="36"/>
      <c r="E452" s="36"/>
      <c r="F452" s="36"/>
      <c r="G452" s="36"/>
      <c r="H452" s="35"/>
      <c r="I452" s="35"/>
      <c r="J452" s="35"/>
      <c r="K452" s="36"/>
      <c r="L452" s="36"/>
      <c r="M452" s="36"/>
      <c r="N452" s="36"/>
      <c r="O452" s="36"/>
      <c r="P452" s="36"/>
      <c r="Q452" s="36"/>
      <c r="R452" s="36"/>
      <c r="S452" s="36"/>
      <c r="T452" s="36"/>
      <c r="U452" s="36"/>
      <c r="V452" s="36"/>
      <c r="W452" s="36"/>
      <c r="X452" s="36"/>
      <c r="Y452" s="36"/>
      <c r="Z452" s="3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row>
    <row r="453" spans="1:57" ht="15.75" customHeight="1" x14ac:dyDescent="0.2">
      <c r="A453" s="36"/>
      <c r="B453" s="36"/>
      <c r="C453" s="35"/>
      <c r="D453" s="36"/>
      <c r="E453" s="36"/>
      <c r="F453" s="36"/>
      <c r="G453" s="36"/>
      <c r="H453" s="35"/>
      <c r="I453" s="35"/>
      <c r="J453" s="35"/>
      <c r="K453" s="36"/>
      <c r="L453" s="36"/>
      <c r="M453" s="36"/>
      <c r="N453" s="36"/>
      <c r="O453" s="36"/>
      <c r="P453" s="36"/>
      <c r="Q453" s="36"/>
      <c r="R453" s="36"/>
      <c r="S453" s="36"/>
      <c r="T453" s="36"/>
      <c r="U453" s="36"/>
      <c r="V453" s="36"/>
      <c r="W453" s="36"/>
      <c r="X453" s="36"/>
      <c r="Y453" s="36"/>
      <c r="Z453" s="3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row>
    <row r="454" spans="1:57" ht="15.75" customHeight="1" x14ac:dyDescent="0.2">
      <c r="A454" s="36"/>
      <c r="B454" s="36"/>
      <c r="C454" s="35"/>
      <c r="D454" s="36"/>
      <c r="E454" s="36"/>
      <c r="F454" s="36"/>
      <c r="G454" s="36"/>
      <c r="H454" s="35"/>
      <c r="I454" s="35"/>
      <c r="J454" s="35"/>
      <c r="K454" s="36"/>
      <c r="L454" s="36"/>
      <c r="M454" s="36"/>
      <c r="N454" s="36"/>
      <c r="O454" s="36"/>
      <c r="P454" s="36"/>
      <c r="Q454" s="36"/>
      <c r="R454" s="36"/>
      <c r="S454" s="36"/>
      <c r="T454" s="36"/>
      <c r="U454" s="36"/>
      <c r="V454" s="36"/>
      <c r="W454" s="36"/>
      <c r="X454" s="36"/>
      <c r="Y454" s="36"/>
      <c r="Z454" s="3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row>
    <row r="455" spans="1:57" ht="15.75" customHeight="1" x14ac:dyDescent="0.2">
      <c r="A455" s="36"/>
      <c r="B455" s="36"/>
      <c r="C455" s="35"/>
      <c r="D455" s="36"/>
      <c r="E455" s="36"/>
      <c r="F455" s="36"/>
      <c r="G455" s="36"/>
      <c r="H455" s="35"/>
      <c r="I455" s="35"/>
      <c r="J455" s="35"/>
      <c r="K455" s="36"/>
      <c r="L455" s="36"/>
      <c r="M455" s="36"/>
      <c r="N455" s="36"/>
      <c r="O455" s="36"/>
      <c r="P455" s="36"/>
      <c r="Q455" s="36"/>
      <c r="R455" s="36"/>
      <c r="S455" s="36"/>
      <c r="T455" s="36"/>
      <c r="U455" s="36"/>
      <c r="V455" s="36"/>
      <c r="W455" s="36"/>
      <c r="X455" s="36"/>
      <c r="Y455" s="36"/>
      <c r="Z455" s="3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row>
    <row r="456" spans="1:57" ht="15.75" customHeight="1" x14ac:dyDescent="0.2">
      <c r="A456" s="36"/>
      <c r="B456" s="36"/>
      <c r="C456" s="35"/>
      <c r="D456" s="36"/>
      <c r="E456" s="36"/>
      <c r="F456" s="36"/>
      <c r="G456" s="36"/>
      <c r="H456" s="35"/>
      <c r="I456" s="35"/>
      <c r="J456" s="35"/>
      <c r="K456" s="36"/>
      <c r="L456" s="36"/>
      <c r="M456" s="36"/>
      <c r="N456" s="36"/>
      <c r="O456" s="36"/>
      <c r="P456" s="36"/>
      <c r="Q456" s="36"/>
      <c r="R456" s="36"/>
      <c r="S456" s="36"/>
      <c r="T456" s="36"/>
      <c r="U456" s="36"/>
      <c r="V456" s="36"/>
      <c r="W456" s="36"/>
      <c r="X456" s="36"/>
      <c r="Y456" s="36"/>
      <c r="Z456" s="3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row>
    <row r="457" spans="1:57" ht="15.75" customHeight="1" x14ac:dyDescent="0.2">
      <c r="A457" s="36"/>
      <c r="B457" s="36"/>
      <c r="C457" s="35"/>
      <c r="D457" s="36"/>
      <c r="E457" s="36"/>
      <c r="F457" s="36"/>
      <c r="G457" s="36"/>
      <c r="H457" s="35"/>
      <c r="I457" s="35"/>
      <c r="J457" s="35"/>
      <c r="K457" s="36"/>
      <c r="L457" s="36"/>
      <c r="M457" s="36"/>
      <c r="N457" s="36"/>
      <c r="O457" s="36"/>
      <c r="P457" s="36"/>
      <c r="Q457" s="36"/>
      <c r="R457" s="36"/>
      <c r="S457" s="36"/>
      <c r="T457" s="36"/>
      <c r="U457" s="36"/>
      <c r="V457" s="36"/>
      <c r="W457" s="36"/>
      <c r="X457" s="36"/>
      <c r="Y457" s="36"/>
      <c r="Z457" s="3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row>
    <row r="458" spans="1:57" ht="15.75" customHeight="1" x14ac:dyDescent="0.2">
      <c r="A458" s="36"/>
      <c r="B458" s="36"/>
      <c r="C458" s="35"/>
      <c r="D458" s="36"/>
      <c r="E458" s="36"/>
      <c r="F458" s="36"/>
      <c r="G458" s="36"/>
      <c r="H458" s="35"/>
      <c r="I458" s="35"/>
      <c r="J458" s="35"/>
      <c r="K458" s="36"/>
      <c r="L458" s="36"/>
      <c r="M458" s="36"/>
      <c r="N458" s="36"/>
      <c r="O458" s="36"/>
      <c r="P458" s="36"/>
      <c r="Q458" s="36"/>
      <c r="R458" s="36"/>
      <c r="S458" s="36"/>
      <c r="T458" s="36"/>
      <c r="U458" s="36"/>
      <c r="V458" s="36"/>
      <c r="W458" s="36"/>
      <c r="X458" s="36"/>
      <c r="Y458" s="36"/>
      <c r="Z458" s="3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row>
    <row r="459" spans="1:57" ht="15.75" customHeight="1" x14ac:dyDescent="0.2">
      <c r="A459" s="36"/>
      <c r="B459" s="36"/>
      <c r="C459" s="35"/>
      <c r="D459" s="36"/>
      <c r="E459" s="36"/>
      <c r="F459" s="36"/>
      <c r="G459" s="36"/>
      <c r="H459" s="35"/>
      <c r="I459" s="35"/>
      <c r="J459" s="35"/>
      <c r="K459" s="36"/>
      <c r="L459" s="36"/>
      <c r="M459" s="36"/>
      <c r="N459" s="36"/>
      <c r="O459" s="36"/>
      <c r="P459" s="36"/>
      <c r="Q459" s="36"/>
      <c r="R459" s="36"/>
      <c r="S459" s="36"/>
      <c r="T459" s="36"/>
      <c r="U459" s="36"/>
      <c r="V459" s="36"/>
      <c r="W459" s="36"/>
      <c r="X459" s="36"/>
      <c r="Y459" s="36"/>
      <c r="Z459" s="3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row>
    <row r="460" spans="1:57" ht="15.75" customHeight="1" x14ac:dyDescent="0.2">
      <c r="A460" s="36"/>
      <c r="B460" s="36"/>
      <c r="C460" s="35"/>
      <c r="D460" s="36"/>
      <c r="E460" s="36"/>
      <c r="F460" s="36"/>
      <c r="G460" s="36"/>
      <c r="H460" s="35"/>
      <c r="I460" s="35"/>
      <c r="J460" s="35"/>
      <c r="K460" s="36"/>
      <c r="L460" s="36"/>
      <c r="M460" s="36"/>
      <c r="N460" s="36"/>
      <c r="O460" s="36"/>
      <c r="P460" s="36"/>
      <c r="Q460" s="36"/>
      <c r="R460" s="36"/>
      <c r="S460" s="36"/>
      <c r="T460" s="36"/>
      <c r="U460" s="36"/>
      <c r="V460" s="36"/>
      <c r="W460" s="36"/>
      <c r="X460" s="36"/>
      <c r="Y460" s="36"/>
      <c r="Z460" s="3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row>
    <row r="461" spans="1:57" ht="15.75" customHeight="1" x14ac:dyDescent="0.2">
      <c r="A461" s="36"/>
      <c r="B461" s="36"/>
      <c r="C461" s="35"/>
      <c r="D461" s="36"/>
      <c r="E461" s="36"/>
      <c r="F461" s="36"/>
      <c r="G461" s="36"/>
      <c r="H461" s="35"/>
      <c r="I461" s="35"/>
      <c r="J461" s="35"/>
      <c r="K461" s="36"/>
      <c r="L461" s="36"/>
      <c r="M461" s="36"/>
      <c r="N461" s="36"/>
      <c r="O461" s="36"/>
      <c r="P461" s="36"/>
      <c r="Q461" s="36"/>
      <c r="R461" s="36"/>
      <c r="S461" s="36"/>
      <c r="T461" s="36"/>
      <c r="U461" s="36"/>
      <c r="V461" s="36"/>
      <c r="W461" s="36"/>
      <c r="X461" s="36"/>
      <c r="Y461" s="36"/>
      <c r="Z461" s="3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row>
    <row r="462" spans="1:57" ht="15.75" customHeight="1" x14ac:dyDescent="0.2">
      <c r="A462" s="36"/>
      <c r="B462" s="36"/>
      <c r="C462" s="35"/>
      <c r="D462" s="36"/>
      <c r="E462" s="36"/>
      <c r="F462" s="36"/>
      <c r="G462" s="36"/>
      <c r="H462" s="35"/>
      <c r="I462" s="35"/>
      <c r="J462" s="35"/>
      <c r="K462" s="36"/>
      <c r="L462" s="36"/>
      <c r="M462" s="36"/>
      <c r="N462" s="36"/>
      <c r="O462" s="36"/>
      <c r="P462" s="36"/>
      <c r="Q462" s="36"/>
      <c r="R462" s="36"/>
      <c r="S462" s="36"/>
      <c r="T462" s="36"/>
      <c r="U462" s="36"/>
      <c r="V462" s="36"/>
      <c r="W462" s="36"/>
      <c r="X462" s="36"/>
      <c r="Y462" s="36"/>
      <c r="Z462" s="3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row>
    <row r="463" spans="1:57" ht="15.75" customHeight="1" x14ac:dyDescent="0.2">
      <c r="A463" s="36"/>
      <c r="B463" s="36"/>
      <c r="C463" s="35"/>
      <c r="D463" s="36"/>
      <c r="E463" s="36"/>
      <c r="F463" s="36"/>
      <c r="G463" s="36"/>
      <c r="H463" s="35"/>
      <c r="I463" s="35"/>
      <c r="J463" s="35"/>
      <c r="K463" s="36"/>
      <c r="L463" s="36"/>
      <c r="M463" s="36"/>
      <c r="N463" s="36"/>
      <c r="O463" s="36"/>
      <c r="P463" s="36"/>
      <c r="Q463" s="36"/>
      <c r="R463" s="36"/>
      <c r="S463" s="36"/>
      <c r="T463" s="36"/>
      <c r="U463" s="36"/>
      <c r="V463" s="36"/>
      <c r="W463" s="36"/>
      <c r="X463" s="36"/>
      <c r="Y463" s="36"/>
      <c r="Z463" s="3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row>
    <row r="464" spans="1:57" ht="15.75" customHeight="1" x14ac:dyDescent="0.2">
      <c r="A464" s="36"/>
      <c r="B464" s="36"/>
      <c r="C464" s="35"/>
      <c r="D464" s="36"/>
      <c r="E464" s="36"/>
      <c r="F464" s="36"/>
      <c r="G464" s="36"/>
      <c r="H464" s="35"/>
      <c r="I464" s="35"/>
      <c r="J464" s="35"/>
      <c r="K464" s="36"/>
      <c r="L464" s="36"/>
      <c r="M464" s="36"/>
      <c r="N464" s="36"/>
      <c r="O464" s="36"/>
      <c r="P464" s="36"/>
      <c r="Q464" s="36"/>
      <c r="R464" s="36"/>
      <c r="S464" s="36"/>
      <c r="T464" s="36"/>
      <c r="U464" s="36"/>
      <c r="V464" s="36"/>
      <c r="W464" s="36"/>
      <c r="X464" s="36"/>
      <c r="Y464" s="36"/>
      <c r="Z464" s="3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row>
    <row r="465" spans="1:57" ht="15.75" customHeight="1" x14ac:dyDescent="0.2">
      <c r="A465" s="36"/>
      <c r="B465" s="36"/>
      <c r="C465" s="35"/>
      <c r="D465" s="36"/>
      <c r="E465" s="36"/>
      <c r="F465" s="36"/>
      <c r="G465" s="36"/>
      <c r="H465" s="35"/>
      <c r="I465" s="35"/>
      <c r="J465" s="35"/>
      <c r="K465" s="36"/>
      <c r="L465" s="36"/>
      <c r="M465" s="36"/>
      <c r="N465" s="36"/>
      <c r="O465" s="36"/>
      <c r="P465" s="36"/>
      <c r="Q465" s="36"/>
      <c r="R465" s="36"/>
      <c r="S465" s="36"/>
      <c r="T465" s="36"/>
      <c r="U465" s="36"/>
      <c r="V465" s="36"/>
      <c r="W465" s="36"/>
      <c r="X465" s="36"/>
      <c r="Y465" s="36"/>
      <c r="Z465" s="3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row>
    <row r="466" spans="1:57" ht="15.75" customHeight="1" x14ac:dyDescent="0.2">
      <c r="A466" s="36"/>
      <c r="B466" s="36"/>
      <c r="C466" s="35"/>
      <c r="D466" s="36"/>
      <c r="E466" s="36"/>
      <c r="F466" s="36"/>
      <c r="G466" s="36"/>
      <c r="H466" s="35"/>
      <c r="I466" s="35"/>
      <c r="J466" s="35"/>
      <c r="K466" s="36"/>
      <c r="L466" s="36"/>
      <c r="M466" s="36"/>
      <c r="N466" s="36"/>
      <c r="O466" s="36"/>
      <c r="P466" s="36"/>
      <c r="Q466" s="36"/>
      <c r="R466" s="36"/>
      <c r="S466" s="36"/>
      <c r="T466" s="36"/>
      <c r="U466" s="36"/>
      <c r="V466" s="36"/>
      <c r="W466" s="36"/>
      <c r="X466" s="36"/>
      <c r="Y466" s="36"/>
      <c r="Z466" s="3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row>
    <row r="467" spans="1:57" ht="15.75" customHeight="1" x14ac:dyDescent="0.2">
      <c r="A467" s="36"/>
      <c r="B467" s="36"/>
      <c r="C467" s="35"/>
      <c r="D467" s="36"/>
      <c r="E467" s="36"/>
      <c r="F467" s="36"/>
      <c r="G467" s="36"/>
      <c r="H467" s="35"/>
      <c r="I467" s="35"/>
      <c r="J467" s="35"/>
      <c r="K467" s="36"/>
      <c r="L467" s="36"/>
      <c r="M467" s="36"/>
      <c r="N467" s="36"/>
      <c r="O467" s="36"/>
      <c r="P467" s="36"/>
      <c r="Q467" s="36"/>
      <c r="R467" s="36"/>
      <c r="S467" s="36"/>
      <c r="T467" s="36"/>
      <c r="U467" s="36"/>
      <c r="V467" s="36"/>
      <c r="W467" s="36"/>
      <c r="X467" s="36"/>
      <c r="Y467" s="36"/>
      <c r="Z467" s="3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row>
    <row r="468" spans="1:57" ht="15.75" customHeight="1" x14ac:dyDescent="0.2">
      <c r="A468" s="36"/>
      <c r="B468" s="36"/>
      <c r="C468" s="35"/>
      <c r="D468" s="36"/>
      <c r="E468" s="36"/>
      <c r="F468" s="36"/>
      <c r="G468" s="36"/>
      <c r="H468" s="35"/>
      <c r="I468" s="35"/>
      <c r="J468" s="35"/>
      <c r="K468" s="36"/>
      <c r="L468" s="36"/>
      <c r="M468" s="36"/>
      <c r="N468" s="36"/>
      <c r="O468" s="36"/>
      <c r="P468" s="36"/>
      <c r="Q468" s="36"/>
      <c r="R468" s="36"/>
      <c r="S468" s="36"/>
      <c r="T468" s="36"/>
      <c r="U468" s="36"/>
      <c r="V468" s="36"/>
      <c r="W468" s="36"/>
      <c r="X468" s="36"/>
      <c r="Y468" s="36"/>
      <c r="Z468" s="3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row>
    <row r="469" spans="1:57" ht="15.75" customHeight="1" x14ac:dyDescent="0.2">
      <c r="A469" s="36"/>
      <c r="B469" s="36"/>
      <c r="C469" s="35"/>
      <c r="D469" s="36"/>
      <c r="E469" s="36"/>
      <c r="F469" s="36"/>
      <c r="G469" s="36"/>
      <c r="H469" s="35"/>
      <c r="I469" s="35"/>
      <c r="J469" s="35"/>
      <c r="K469" s="36"/>
      <c r="L469" s="36"/>
      <c r="M469" s="36"/>
      <c r="N469" s="36"/>
      <c r="O469" s="36"/>
      <c r="P469" s="36"/>
      <c r="Q469" s="36"/>
      <c r="R469" s="36"/>
      <c r="S469" s="36"/>
      <c r="T469" s="36"/>
      <c r="U469" s="36"/>
      <c r="V469" s="36"/>
      <c r="W469" s="36"/>
      <c r="X469" s="36"/>
      <c r="Y469" s="36"/>
      <c r="Z469" s="3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row>
    <row r="470" spans="1:57" ht="15.75" customHeight="1" x14ac:dyDescent="0.2">
      <c r="A470" s="36"/>
      <c r="B470" s="36"/>
      <c r="C470" s="35"/>
      <c r="D470" s="36"/>
      <c r="E470" s="36"/>
      <c r="F470" s="36"/>
      <c r="G470" s="36"/>
      <c r="H470" s="35"/>
      <c r="I470" s="35"/>
      <c r="J470" s="35"/>
      <c r="K470" s="36"/>
      <c r="L470" s="36"/>
      <c r="M470" s="36"/>
      <c r="N470" s="36"/>
      <c r="O470" s="36"/>
      <c r="P470" s="36"/>
      <c r="Q470" s="36"/>
      <c r="R470" s="36"/>
      <c r="S470" s="36"/>
      <c r="T470" s="36"/>
      <c r="U470" s="36"/>
      <c r="V470" s="36"/>
      <c r="W470" s="36"/>
      <c r="X470" s="36"/>
      <c r="Y470" s="36"/>
      <c r="Z470" s="3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row>
    <row r="471" spans="1:57" ht="15.75" customHeight="1" x14ac:dyDescent="0.2">
      <c r="A471" s="36"/>
      <c r="B471" s="36"/>
      <c r="C471" s="35"/>
      <c r="D471" s="36"/>
      <c r="E471" s="36"/>
      <c r="F471" s="36"/>
      <c r="G471" s="36"/>
      <c r="H471" s="35"/>
      <c r="I471" s="35"/>
      <c r="J471" s="35"/>
      <c r="K471" s="36"/>
      <c r="L471" s="36"/>
      <c r="M471" s="36"/>
      <c r="N471" s="36"/>
      <c r="O471" s="36"/>
      <c r="P471" s="36"/>
      <c r="Q471" s="36"/>
      <c r="R471" s="36"/>
      <c r="S471" s="36"/>
      <c r="T471" s="36"/>
      <c r="U471" s="36"/>
      <c r="V471" s="36"/>
      <c r="W471" s="36"/>
      <c r="X471" s="36"/>
      <c r="Y471" s="36"/>
      <c r="Z471" s="3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row>
    <row r="472" spans="1:57" ht="15.75" customHeight="1" x14ac:dyDescent="0.2">
      <c r="A472" s="36"/>
      <c r="B472" s="36"/>
      <c r="C472" s="35"/>
      <c r="D472" s="36"/>
      <c r="E472" s="36"/>
      <c r="F472" s="36"/>
      <c r="G472" s="36"/>
      <c r="H472" s="35"/>
      <c r="I472" s="35"/>
      <c r="J472" s="35"/>
      <c r="K472" s="36"/>
      <c r="L472" s="36"/>
      <c r="M472" s="36"/>
      <c r="N472" s="36"/>
      <c r="O472" s="36"/>
      <c r="P472" s="36"/>
      <c r="Q472" s="36"/>
      <c r="R472" s="36"/>
      <c r="S472" s="36"/>
      <c r="T472" s="36"/>
      <c r="U472" s="36"/>
      <c r="V472" s="36"/>
      <c r="W472" s="36"/>
      <c r="X472" s="36"/>
      <c r="Y472" s="36"/>
      <c r="Z472" s="3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row>
    <row r="473" spans="1:57" ht="15.75" customHeight="1" x14ac:dyDescent="0.2">
      <c r="A473" s="36"/>
      <c r="B473" s="36"/>
      <c r="C473" s="35"/>
      <c r="D473" s="36"/>
      <c r="E473" s="36"/>
      <c r="F473" s="36"/>
      <c r="G473" s="36"/>
      <c r="H473" s="35"/>
      <c r="I473" s="35"/>
      <c r="J473" s="35"/>
      <c r="K473" s="36"/>
      <c r="L473" s="36"/>
      <c r="M473" s="36"/>
      <c r="N473" s="36"/>
      <c r="O473" s="36"/>
      <c r="P473" s="36"/>
      <c r="Q473" s="36"/>
      <c r="R473" s="36"/>
      <c r="S473" s="36"/>
      <c r="T473" s="36"/>
      <c r="U473" s="36"/>
      <c r="V473" s="36"/>
      <c r="W473" s="36"/>
      <c r="X473" s="36"/>
      <c r="Y473" s="36"/>
      <c r="Z473" s="3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row>
    <row r="474" spans="1:57" ht="15.75" customHeight="1" x14ac:dyDescent="0.2">
      <c r="A474" s="36"/>
      <c r="B474" s="36"/>
      <c r="C474" s="35"/>
      <c r="D474" s="36"/>
      <c r="E474" s="36"/>
      <c r="F474" s="36"/>
      <c r="G474" s="36"/>
      <c r="H474" s="35"/>
      <c r="I474" s="35"/>
      <c r="J474" s="35"/>
      <c r="K474" s="36"/>
      <c r="L474" s="36"/>
      <c r="M474" s="36"/>
      <c r="N474" s="36"/>
      <c r="O474" s="36"/>
      <c r="P474" s="36"/>
      <c r="Q474" s="36"/>
      <c r="R474" s="36"/>
      <c r="S474" s="36"/>
      <c r="T474" s="36"/>
      <c r="U474" s="36"/>
      <c r="V474" s="36"/>
      <c r="W474" s="36"/>
      <c r="X474" s="36"/>
      <c r="Y474" s="36"/>
      <c r="Z474" s="3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row>
    <row r="475" spans="1:57" ht="15.75" customHeight="1" x14ac:dyDescent="0.2">
      <c r="A475" s="36"/>
      <c r="B475" s="36"/>
      <c r="C475" s="35"/>
      <c r="D475" s="36"/>
      <c r="E475" s="36"/>
      <c r="F475" s="36"/>
      <c r="G475" s="36"/>
      <c r="H475" s="35"/>
      <c r="I475" s="35"/>
      <c r="J475" s="35"/>
      <c r="K475" s="36"/>
      <c r="L475" s="36"/>
      <c r="M475" s="36"/>
      <c r="N475" s="36"/>
      <c r="O475" s="36"/>
      <c r="P475" s="36"/>
      <c r="Q475" s="36"/>
      <c r="R475" s="36"/>
      <c r="S475" s="36"/>
      <c r="T475" s="36"/>
      <c r="U475" s="36"/>
      <c r="V475" s="36"/>
      <c r="W475" s="36"/>
      <c r="X475" s="36"/>
      <c r="Y475" s="36"/>
      <c r="Z475" s="3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row>
    <row r="476" spans="1:57" ht="15.75" customHeight="1" x14ac:dyDescent="0.2">
      <c r="A476" s="36"/>
      <c r="B476" s="36"/>
      <c r="C476" s="35"/>
      <c r="D476" s="36"/>
      <c r="E476" s="36"/>
      <c r="F476" s="36"/>
      <c r="G476" s="36"/>
      <c r="H476" s="35"/>
      <c r="I476" s="35"/>
      <c r="J476" s="35"/>
      <c r="K476" s="36"/>
      <c r="L476" s="36"/>
      <c r="M476" s="36"/>
      <c r="N476" s="36"/>
      <c r="O476" s="36"/>
      <c r="P476" s="36"/>
      <c r="Q476" s="36"/>
      <c r="R476" s="36"/>
      <c r="S476" s="36"/>
      <c r="T476" s="36"/>
      <c r="U476" s="36"/>
      <c r="V476" s="36"/>
      <c r="W476" s="36"/>
      <c r="X476" s="36"/>
      <c r="Y476" s="36"/>
      <c r="Z476" s="3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row>
    <row r="477" spans="1:57" ht="15.75" customHeight="1" x14ac:dyDescent="0.2">
      <c r="A477" s="36"/>
      <c r="B477" s="36"/>
      <c r="C477" s="35"/>
      <c r="D477" s="36"/>
      <c r="E477" s="36"/>
      <c r="F477" s="36"/>
      <c r="G477" s="36"/>
      <c r="H477" s="35"/>
      <c r="I477" s="35"/>
      <c r="J477" s="35"/>
      <c r="K477" s="36"/>
      <c r="L477" s="36"/>
      <c r="M477" s="36"/>
      <c r="N477" s="36"/>
      <c r="O477" s="36"/>
      <c r="P477" s="36"/>
      <c r="Q477" s="36"/>
      <c r="R477" s="36"/>
      <c r="S477" s="36"/>
      <c r="T477" s="36"/>
      <c r="U477" s="36"/>
      <c r="V477" s="36"/>
      <c r="W477" s="36"/>
      <c r="X477" s="36"/>
      <c r="Y477" s="36"/>
      <c r="Z477" s="3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row>
    <row r="478" spans="1:57" ht="15.75" customHeight="1" x14ac:dyDescent="0.2">
      <c r="A478" s="36"/>
      <c r="B478" s="36"/>
      <c r="C478" s="35"/>
      <c r="D478" s="36"/>
      <c r="E478" s="36"/>
      <c r="F478" s="36"/>
      <c r="G478" s="36"/>
      <c r="H478" s="35"/>
      <c r="I478" s="35"/>
      <c r="J478" s="35"/>
      <c r="K478" s="36"/>
      <c r="L478" s="36"/>
      <c r="M478" s="36"/>
      <c r="N478" s="36"/>
      <c r="O478" s="36"/>
      <c r="P478" s="36"/>
      <c r="Q478" s="36"/>
      <c r="R478" s="36"/>
      <c r="S478" s="36"/>
      <c r="T478" s="36"/>
      <c r="U478" s="36"/>
      <c r="V478" s="36"/>
      <c r="W478" s="36"/>
      <c r="X478" s="36"/>
      <c r="Y478" s="36"/>
      <c r="Z478" s="3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row>
    <row r="479" spans="1:57" ht="15.75" customHeight="1" x14ac:dyDescent="0.2">
      <c r="A479" s="36"/>
      <c r="B479" s="36"/>
      <c r="C479" s="35"/>
      <c r="D479" s="36"/>
      <c r="E479" s="36"/>
      <c r="F479" s="36"/>
      <c r="G479" s="36"/>
      <c r="H479" s="35"/>
      <c r="I479" s="35"/>
      <c r="J479" s="35"/>
      <c r="K479" s="36"/>
      <c r="L479" s="36"/>
      <c r="M479" s="36"/>
      <c r="N479" s="36"/>
      <c r="O479" s="36"/>
      <c r="P479" s="36"/>
      <c r="Q479" s="36"/>
      <c r="R479" s="36"/>
      <c r="S479" s="36"/>
      <c r="T479" s="36"/>
      <c r="U479" s="36"/>
      <c r="V479" s="36"/>
      <c r="W479" s="36"/>
      <c r="X479" s="36"/>
      <c r="Y479" s="36"/>
      <c r="Z479" s="3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row>
    <row r="480" spans="1:57" ht="15.75" customHeight="1" x14ac:dyDescent="0.2">
      <c r="A480" s="36"/>
      <c r="B480" s="36"/>
      <c r="C480" s="35"/>
      <c r="D480" s="36"/>
      <c r="E480" s="36"/>
      <c r="F480" s="36"/>
      <c r="G480" s="36"/>
      <c r="H480" s="35"/>
      <c r="I480" s="35"/>
      <c r="J480" s="35"/>
      <c r="K480" s="36"/>
      <c r="L480" s="36"/>
      <c r="M480" s="36"/>
      <c r="N480" s="36"/>
      <c r="O480" s="36"/>
      <c r="P480" s="36"/>
      <c r="Q480" s="36"/>
      <c r="R480" s="36"/>
      <c r="S480" s="36"/>
      <c r="T480" s="36"/>
      <c r="U480" s="36"/>
      <c r="V480" s="36"/>
      <c r="W480" s="36"/>
      <c r="X480" s="36"/>
      <c r="Y480" s="36"/>
      <c r="Z480" s="3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row>
    <row r="481" spans="1:57" ht="15.75" customHeight="1" x14ac:dyDescent="0.2">
      <c r="A481" s="36"/>
      <c r="B481" s="36"/>
      <c r="C481" s="35"/>
      <c r="D481" s="36"/>
      <c r="E481" s="36"/>
      <c r="F481" s="36"/>
      <c r="G481" s="36"/>
      <c r="H481" s="35"/>
      <c r="I481" s="35"/>
      <c r="J481" s="35"/>
      <c r="K481" s="36"/>
      <c r="L481" s="36"/>
      <c r="M481" s="36"/>
      <c r="N481" s="36"/>
      <c r="O481" s="36"/>
      <c r="P481" s="36"/>
      <c r="Q481" s="36"/>
      <c r="R481" s="36"/>
      <c r="S481" s="36"/>
      <c r="T481" s="36"/>
      <c r="U481" s="36"/>
      <c r="V481" s="36"/>
      <c r="W481" s="36"/>
      <c r="X481" s="36"/>
      <c r="Y481" s="36"/>
      <c r="Z481" s="3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row>
    <row r="482" spans="1:57" ht="15.75" customHeight="1" x14ac:dyDescent="0.2">
      <c r="A482" s="36"/>
      <c r="B482" s="36"/>
      <c r="C482" s="35"/>
      <c r="D482" s="36"/>
      <c r="E482" s="36"/>
      <c r="F482" s="36"/>
      <c r="G482" s="36"/>
      <c r="H482" s="35"/>
      <c r="I482" s="35"/>
      <c r="J482" s="35"/>
      <c r="K482" s="36"/>
      <c r="L482" s="36"/>
      <c r="M482" s="36"/>
      <c r="N482" s="36"/>
      <c r="O482" s="36"/>
      <c r="P482" s="36"/>
      <c r="Q482" s="36"/>
      <c r="R482" s="36"/>
      <c r="S482" s="36"/>
      <c r="T482" s="36"/>
      <c r="U482" s="36"/>
      <c r="V482" s="36"/>
      <c r="W482" s="36"/>
      <c r="X482" s="36"/>
      <c r="Y482" s="36"/>
      <c r="Z482" s="3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row>
    <row r="483" spans="1:57" ht="15.75" customHeight="1" x14ac:dyDescent="0.2">
      <c r="A483" s="36"/>
      <c r="B483" s="36"/>
      <c r="C483" s="35"/>
      <c r="D483" s="36"/>
      <c r="E483" s="36"/>
      <c r="F483" s="36"/>
      <c r="G483" s="36"/>
      <c r="H483" s="35"/>
      <c r="I483" s="35"/>
      <c r="J483" s="35"/>
      <c r="K483" s="36"/>
      <c r="L483" s="36"/>
      <c r="M483" s="36"/>
      <c r="N483" s="36"/>
      <c r="O483" s="36"/>
      <c r="P483" s="36"/>
      <c r="Q483" s="36"/>
      <c r="R483" s="36"/>
      <c r="S483" s="36"/>
      <c r="T483" s="36"/>
      <c r="U483" s="36"/>
      <c r="V483" s="36"/>
      <c r="W483" s="36"/>
      <c r="X483" s="36"/>
      <c r="Y483" s="36"/>
      <c r="Z483" s="3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row>
    <row r="484" spans="1:57" ht="15.75" customHeight="1" x14ac:dyDescent="0.2">
      <c r="A484" s="36"/>
      <c r="B484" s="36"/>
      <c r="C484" s="35"/>
      <c r="D484" s="36"/>
      <c r="E484" s="36"/>
      <c r="F484" s="36"/>
      <c r="G484" s="36"/>
      <c r="H484" s="35"/>
      <c r="I484" s="35"/>
      <c r="J484" s="35"/>
      <c r="K484" s="36"/>
      <c r="L484" s="36"/>
      <c r="M484" s="36"/>
      <c r="N484" s="36"/>
      <c r="O484" s="36"/>
      <c r="P484" s="36"/>
      <c r="Q484" s="36"/>
      <c r="R484" s="36"/>
      <c r="S484" s="36"/>
      <c r="T484" s="36"/>
      <c r="U484" s="36"/>
      <c r="V484" s="36"/>
      <c r="W484" s="36"/>
      <c r="X484" s="36"/>
      <c r="Y484" s="36"/>
      <c r="Z484" s="3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row>
    <row r="485" spans="1:57" ht="15.75" customHeight="1" x14ac:dyDescent="0.2">
      <c r="A485" s="36"/>
      <c r="B485" s="36"/>
      <c r="C485" s="35"/>
      <c r="D485" s="36"/>
      <c r="E485" s="36"/>
      <c r="F485" s="36"/>
      <c r="G485" s="36"/>
      <c r="H485" s="35"/>
      <c r="I485" s="35"/>
      <c r="J485" s="35"/>
      <c r="K485" s="36"/>
      <c r="L485" s="36"/>
      <c r="M485" s="36"/>
      <c r="N485" s="36"/>
      <c r="O485" s="36"/>
      <c r="P485" s="36"/>
      <c r="Q485" s="36"/>
      <c r="R485" s="36"/>
      <c r="S485" s="36"/>
      <c r="T485" s="36"/>
      <c r="U485" s="36"/>
      <c r="V485" s="36"/>
      <c r="W485" s="36"/>
      <c r="X485" s="36"/>
      <c r="Y485" s="36"/>
      <c r="Z485" s="3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row>
    <row r="486" spans="1:57" ht="15.75" customHeight="1" x14ac:dyDescent="0.2">
      <c r="A486" s="36"/>
      <c r="B486" s="36"/>
      <c r="C486" s="35"/>
      <c r="D486" s="36"/>
      <c r="E486" s="36"/>
      <c r="F486" s="36"/>
      <c r="G486" s="36"/>
      <c r="H486" s="35"/>
      <c r="I486" s="35"/>
      <c r="J486" s="35"/>
      <c r="K486" s="36"/>
      <c r="L486" s="36"/>
      <c r="M486" s="36"/>
      <c r="N486" s="36"/>
      <c r="O486" s="36"/>
      <c r="P486" s="36"/>
      <c r="Q486" s="36"/>
      <c r="R486" s="36"/>
      <c r="S486" s="36"/>
      <c r="T486" s="36"/>
      <c r="U486" s="36"/>
      <c r="V486" s="36"/>
      <c r="W486" s="36"/>
      <c r="X486" s="36"/>
      <c r="Y486" s="36"/>
      <c r="Z486" s="3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row>
    <row r="487" spans="1:57" ht="15.75" customHeight="1" x14ac:dyDescent="0.2">
      <c r="A487" s="36"/>
      <c r="B487" s="36"/>
      <c r="C487" s="35"/>
      <c r="D487" s="36"/>
      <c r="E487" s="36"/>
      <c r="F487" s="36"/>
      <c r="G487" s="36"/>
      <c r="H487" s="35"/>
      <c r="I487" s="35"/>
      <c r="J487" s="35"/>
      <c r="K487" s="36"/>
      <c r="L487" s="36"/>
      <c r="M487" s="36"/>
      <c r="N487" s="36"/>
      <c r="O487" s="36"/>
      <c r="P487" s="36"/>
      <c r="Q487" s="36"/>
      <c r="R487" s="36"/>
      <c r="S487" s="36"/>
      <c r="T487" s="36"/>
      <c r="U487" s="36"/>
      <c r="V487" s="36"/>
      <c r="W487" s="36"/>
      <c r="X487" s="36"/>
      <c r="Y487" s="36"/>
      <c r="Z487" s="3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row>
    <row r="488" spans="1:57" ht="15.75" customHeight="1" x14ac:dyDescent="0.2">
      <c r="A488" s="36"/>
      <c r="B488" s="36"/>
      <c r="C488" s="35"/>
      <c r="D488" s="36"/>
      <c r="E488" s="36"/>
      <c r="F488" s="36"/>
      <c r="G488" s="36"/>
      <c r="H488" s="35"/>
      <c r="I488" s="35"/>
      <c r="J488" s="35"/>
      <c r="K488" s="36"/>
      <c r="L488" s="36"/>
      <c r="M488" s="36"/>
      <c r="N488" s="36"/>
      <c r="O488" s="36"/>
      <c r="P488" s="36"/>
      <c r="Q488" s="36"/>
      <c r="R488" s="36"/>
      <c r="S488" s="36"/>
      <c r="T488" s="36"/>
      <c r="U488" s="36"/>
      <c r="V488" s="36"/>
      <c r="W488" s="36"/>
      <c r="X488" s="36"/>
      <c r="Y488" s="36"/>
      <c r="Z488" s="3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row>
    <row r="489" spans="1:57" ht="15.75" customHeight="1" x14ac:dyDescent="0.2">
      <c r="A489" s="36"/>
      <c r="B489" s="36"/>
      <c r="C489" s="35"/>
      <c r="D489" s="36"/>
      <c r="E489" s="36"/>
      <c r="F489" s="36"/>
      <c r="G489" s="36"/>
      <c r="H489" s="35"/>
      <c r="I489" s="35"/>
      <c r="J489" s="35"/>
      <c r="K489" s="36"/>
      <c r="L489" s="36"/>
      <c r="M489" s="36"/>
      <c r="N489" s="36"/>
      <c r="O489" s="36"/>
      <c r="P489" s="36"/>
      <c r="Q489" s="36"/>
      <c r="R489" s="36"/>
      <c r="S489" s="36"/>
      <c r="T489" s="36"/>
      <c r="U489" s="36"/>
      <c r="V489" s="36"/>
      <c r="W489" s="36"/>
      <c r="X489" s="36"/>
      <c r="Y489" s="36"/>
      <c r="Z489" s="3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row>
    <row r="490" spans="1:57" ht="15.75" customHeight="1" x14ac:dyDescent="0.2">
      <c r="A490" s="36"/>
      <c r="B490" s="36"/>
      <c r="C490" s="35"/>
      <c r="D490" s="36"/>
      <c r="E490" s="36"/>
      <c r="F490" s="36"/>
      <c r="G490" s="36"/>
      <c r="H490" s="35"/>
      <c r="I490" s="35"/>
      <c r="J490" s="35"/>
      <c r="K490" s="36"/>
      <c r="L490" s="36"/>
      <c r="M490" s="36"/>
      <c r="N490" s="36"/>
      <c r="O490" s="36"/>
      <c r="P490" s="36"/>
      <c r="Q490" s="36"/>
      <c r="R490" s="36"/>
      <c r="S490" s="36"/>
      <c r="T490" s="36"/>
      <c r="U490" s="36"/>
      <c r="V490" s="36"/>
      <c r="W490" s="36"/>
      <c r="X490" s="36"/>
      <c r="Y490" s="36"/>
      <c r="Z490" s="3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row>
    <row r="491" spans="1:57" ht="15.75" customHeight="1" x14ac:dyDescent="0.2">
      <c r="A491" s="36"/>
      <c r="B491" s="36"/>
      <c r="C491" s="35"/>
      <c r="D491" s="36"/>
      <c r="E491" s="36"/>
      <c r="F491" s="36"/>
      <c r="G491" s="36"/>
      <c r="H491" s="35"/>
      <c r="I491" s="35"/>
      <c r="J491" s="35"/>
      <c r="K491" s="36"/>
      <c r="L491" s="36"/>
      <c r="M491" s="36"/>
      <c r="N491" s="36"/>
      <c r="O491" s="36"/>
      <c r="P491" s="36"/>
      <c r="Q491" s="36"/>
      <c r="R491" s="36"/>
      <c r="S491" s="36"/>
      <c r="T491" s="36"/>
      <c r="U491" s="36"/>
      <c r="V491" s="36"/>
      <c r="W491" s="36"/>
      <c r="X491" s="36"/>
      <c r="Y491" s="36"/>
      <c r="Z491" s="3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row>
    <row r="492" spans="1:57" ht="15.75" customHeight="1" x14ac:dyDescent="0.2">
      <c r="A492" s="36"/>
      <c r="B492" s="36"/>
      <c r="C492" s="35"/>
      <c r="D492" s="36"/>
      <c r="E492" s="36"/>
      <c r="F492" s="36"/>
      <c r="G492" s="36"/>
      <c r="H492" s="35"/>
      <c r="I492" s="35"/>
      <c r="J492" s="35"/>
      <c r="K492" s="36"/>
      <c r="L492" s="36"/>
      <c r="M492" s="36"/>
      <c r="N492" s="36"/>
      <c r="O492" s="36"/>
      <c r="P492" s="36"/>
      <c r="Q492" s="36"/>
      <c r="R492" s="36"/>
      <c r="S492" s="36"/>
      <c r="T492" s="36"/>
      <c r="U492" s="36"/>
      <c r="V492" s="36"/>
      <c r="W492" s="36"/>
      <c r="X492" s="36"/>
      <c r="Y492" s="36"/>
      <c r="Z492" s="3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row>
    <row r="493" spans="1:57" ht="15.75" customHeight="1" x14ac:dyDescent="0.2">
      <c r="A493" s="36"/>
      <c r="B493" s="36"/>
      <c r="C493" s="35"/>
      <c r="D493" s="36"/>
      <c r="E493" s="36"/>
      <c r="F493" s="36"/>
      <c r="G493" s="36"/>
      <c r="H493" s="35"/>
      <c r="I493" s="35"/>
      <c r="J493" s="35"/>
      <c r="K493" s="36"/>
      <c r="L493" s="36"/>
      <c r="M493" s="36"/>
      <c r="N493" s="36"/>
      <c r="O493" s="36"/>
      <c r="P493" s="36"/>
      <c r="Q493" s="36"/>
      <c r="R493" s="36"/>
      <c r="S493" s="36"/>
      <c r="T493" s="36"/>
      <c r="U493" s="36"/>
      <c r="V493" s="36"/>
      <c r="W493" s="36"/>
      <c r="X493" s="36"/>
      <c r="Y493" s="36"/>
      <c r="Z493" s="3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row>
    <row r="494" spans="1:57" ht="15.75" customHeight="1" x14ac:dyDescent="0.2">
      <c r="A494" s="36"/>
      <c r="B494" s="36"/>
      <c r="C494" s="35"/>
      <c r="D494" s="36"/>
      <c r="E494" s="36"/>
      <c r="F494" s="36"/>
      <c r="G494" s="36"/>
      <c r="H494" s="35"/>
      <c r="I494" s="35"/>
      <c r="J494" s="35"/>
      <c r="K494" s="36"/>
      <c r="L494" s="36"/>
      <c r="M494" s="36"/>
      <c r="N494" s="36"/>
      <c r="O494" s="36"/>
      <c r="P494" s="36"/>
      <c r="Q494" s="36"/>
      <c r="R494" s="36"/>
      <c r="S494" s="36"/>
      <c r="T494" s="36"/>
      <c r="U494" s="36"/>
      <c r="V494" s="36"/>
      <c r="W494" s="36"/>
      <c r="X494" s="36"/>
      <c r="Y494" s="36"/>
      <c r="Z494" s="3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row>
    <row r="495" spans="1:57" ht="15.75" customHeight="1" x14ac:dyDescent="0.2">
      <c r="A495" s="36"/>
      <c r="B495" s="36"/>
      <c r="C495" s="35"/>
      <c r="D495" s="36"/>
      <c r="E495" s="36"/>
      <c r="F495" s="36"/>
      <c r="G495" s="36"/>
      <c r="H495" s="35"/>
      <c r="I495" s="35"/>
      <c r="J495" s="35"/>
      <c r="K495" s="36"/>
      <c r="L495" s="36"/>
      <c r="M495" s="36"/>
      <c r="N495" s="36"/>
      <c r="O495" s="36"/>
      <c r="P495" s="36"/>
      <c r="Q495" s="36"/>
      <c r="R495" s="36"/>
      <c r="S495" s="36"/>
      <c r="T495" s="36"/>
      <c r="U495" s="36"/>
      <c r="V495" s="36"/>
      <c r="W495" s="36"/>
      <c r="X495" s="36"/>
      <c r="Y495" s="36"/>
      <c r="Z495" s="3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row>
    <row r="496" spans="1:57" ht="15.75" customHeight="1" x14ac:dyDescent="0.2">
      <c r="A496" s="36"/>
      <c r="B496" s="36"/>
      <c r="C496" s="35"/>
      <c r="D496" s="36"/>
      <c r="E496" s="36"/>
      <c r="F496" s="36"/>
      <c r="G496" s="36"/>
      <c r="H496" s="35"/>
      <c r="I496" s="35"/>
      <c r="J496" s="35"/>
      <c r="K496" s="36"/>
      <c r="L496" s="36"/>
      <c r="M496" s="36"/>
      <c r="N496" s="36"/>
      <c r="O496" s="36"/>
      <c r="P496" s="36"/>
      <c r="Q496" s="36"/>
      <c r="R496" s="36"/>
      <c r="S496" s="36"/>
      <c r="T496" s="36"/>
      <c r="U496" s="36"/>
      <c r="V496" s="36"/>
      <c r="W496" s="36"/>
      <c r="X496" s="36"/>
      <c r="Y496" s="36"/>
      <c r="Z496" s="3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row>
    <row r="497" spans="1:57" ht="15.75" customHeight="1" x14ac:dyDescent="0.2">
      <c r="A497" s="36"/>
      <c r="B497" s="36"/>
      <c r="C497" s="35"/>
      <c r="D497" s="36"/>
      <c r="E497" s="36"/>
      <c r="F497" s="36"/>
      <c r="G497" s="36"/>
      <c r="H497" s="35"/>
      <c r="I497" s="35"/>
      <c r="J497" s="35"/>
      <c r="K497" s="36"/>
      <c r="L497" s="36"/>
      <c r="M497" s="36"/>
      <c r="N497" s="36"/>
      <c r="O497" s="36"/>
      <c r="P497" s="36"/>
      <c r="Q497" s="36"/>
      <c r="R497" s="36"/>
      <c r="S497" s="36"/>
      <c r="T497" s="36"/>
      <c r="U497" s="36"/>
      <c r="V497" s="36"/>
      <c r="W497" s="36"/>
      <c r="X497" s="36"/>
      <c r="Y497" s="36"/>
      <c r="Z497" s="3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row>
    <row r="498" spans="1:57" ht="15.75" customHeight="1" x14ac:dyDescent="0.2">
      <c r="A498" s="36"/>
      <c r="B498" s="36"/>
      <c r="C498" s="35"/>
      <c r="D498" s="36"/>
      <c r="E498" s="36"/>
      <c r="F498" s="36"/>
      <c r="G498" s="36"/>
      <c r="H498" s="35"/>
      <c r="I498" s="35"/>
      <c r="J498" s="35"/>
      <c r="K498" s="36"/>
      <c r="L498" s="36"/>
      <c r="M498" s="36"/>
      <c r="N498" s="36"/>
      <c r="O498" s="36"/>
      <c r="P498" s="36"/>
      <c r="Q498" s="36"/>
      <c r="R498" s="36"/>
      <c r="S498" s="36"/>
      <c r="T498" s="36"/>
      <c r="U498" s="36"/>
      <c r="V498" s="36"/>
      <c r="W498" s="36"/>
      <c r="X498" s="36"/>
      <c r="Y498" s="36"/>
      <c r="Z498" s="3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row>
    <row r="499" spans="1:57" ht="15.75" customHeight="1" x14ac:dyDescent="0.2">
      <c r="A499" s="36"/>
      <c r="B499" s="36"/>
      <c r="C499" s="35"/>
      <c r="D499" s="36"/>
      <c r="E499" s="36"/>
      <c r="F499" s="36"/>
      <c r="G499" s="36"/>
      <c r="H499" s="35"/>
      <c r="I499" s="35"/>
      <c r="J499" s="35"/>
      <c r="K499" s="36"/>
      <c r="L499" s="36"/>
      <c r="M499" s="36"/>
      <c r="N499" s="36"/>
      <c r="O499" s="36"/>
      <c r="P499" s="36"/>
      <c r="Q499" s="36"/>
      <c r="R499" s="36"/>
      <c r="S499" s="36"/>
      <c r="T499" s="36"/>
      <c r="U499" s="36"/>
      <c r="V499" s="36"/>
      <c r="W499" s="36"/>
      <c r="X499" s="36"/>
      <c r="Y499" s="36"/>
      <c r="Z499" s="3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row>
    <row r="500" spans="1:57" ht="15.75" customHeight="1" x14ac:dyDescent="0.2">
      <c r="A500" s="36"/>
      <c r="B500" s="36"/>
      <c r="C500" s="35"/>
      <c r="D500" s="36"/>
      <c r="E500" s="36"/>
      <c r="F500" s="36"/>
      <c r="G500" s="36"/>
      <c r="H500" s="35"/>
      <c r="I500" s="35"/>
      <c r="J500" s="35"/>
      <c r="K500" s="36"/>
      <c r="L500" s="36"/>
      <c r="M500" s="36"/>
      <c r="N500" s="36"/>
      <c r="O500" s="36"/>
      <c r="P500" s="36"/>
      <c r="Q500" s="36"/>
      <c r="R500" s="36"/>
      <c r="S500" s="36"/>
      <c r="T500" s="36"/>
      <c r="U500" s="36"/>
      <c r="V500" s="36"/>
      <c r="W500" s="36"/>
      <c r="X500" s="36"/>
      <c r="Y500" s="36"/>
      <c r="Z500" s="3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row>
    <row r="501" spans="1:57" ht="15.75" customHeight="1" x14ac:dyDescent="0.2">
      <c r="A501" s="36"/>
      <c r="B501" s="36"/>
      <c r="C501" s="35"/>
      <c r="D501" s="36"/>
      <c r="E501" s="36"/>
      <c r="F501" s="36"/>
      <c r="G501" s="36"/>
      <c r="H501" s="35"/>
      <c r="I501" s="35"/>
      <c r="J501" s="35"/>
      <c r="K501" s="36"/>
      <c r="L501" s="36"/>
      <c r="M501" s="36"/>
      <c r="N501" s="36"/>
      <c r="O501" s="36"/>
      <c r="P501" s="36"/>
      <c r="Q501" s="36"/>
      <c r="R501" s="36"/>
      <c r="S501" s="36"/>
      <c r="T501" s="36"/>
      <c r="U501" s="36"/>
      <c r="V501" s="36"/>
      <c r="W501" s="36"/>
      <c r="X501" s="36"/>
      <c r="Y501" s="36"/>
      <c r="Z501" s="3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row>
    <row r="502" spans="1:57" ht="15.75" customHeight="1" x14ac:dyDescent="0.2">
      <c r="A502" s="36"/>
      <c r="B502" s="36"/>
      <c r="C502" s="35"/>
      <c r="D502" s="36"/>
      <c r="E502" s="36"/>
      <c r="F502" s="36"/>
      <c r="G502" s="36"/>
      <c r="H502" s="35"/>
      <c r="I502" s="35"/>
      <c r="J502" s="35"/>
      <c r="K502" s="36"/>
      <c r="L502" s="36"/>
      <c r="M502" s="36"/>
      <c r="N502" s="36"/>
      <c r="O502" s="36"/>
      <c r="P502" s="36"/>
      <c r="Q502" s="36"/>
      <c r="R502" s="36"/>
      <c r="S502" s="36"/>
      <c r="T502" s="36"/>
      <c r="U502" s="36"/>
      <c r="V502" s="36"/>
      <c r="W502" s="36"/>
      <c r="X502" s="36"/>
      <c r="Y502" s="36"/>
      <c r="Z502" s="3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row>
    <row r="503" spans="1:57" ht="15.75" customHeight="1" x14ac:dyDescent="0.2">
      <c r="A503" s="36"/>
      <c r="B503" s="36"/>
      <c r="C503" s="35"/>
      <c r="D503" s="36"/>
      <c r="E503" s="36"/>
      <c r="F503" s="36"/>
      <c r="G503" s="36"/>
      <c r="H503" s="35"/>
      <c r="I503" s="35"/>
      <c r="J503" s="35"/>
      <c r="K503" s="36"/>
      <c r="L503" s="36"/>
      <c r="M503" s="36"/>
      <c r="N503" s="36"/>
      <c r="O503" s="36"/>
      <c r="P503" s="36"/>
      <c r="Q503" s="36"/>
      <c r="R503" s="36"/>
      <c r="S503" s="36"/>
      <c r="T503" s="36"/>
      <c r="U503" s="36"/>
      <c r="V503" s="36"/>
      <c r="W503" s="36"/>
      <c r="X503" s="36"/>
      <c r="Y503" s="36"/>
      <c r="Z503" s="3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row>
    <row r="504" spans="1:57" ht="15.75" customHeight="1" x14ac:dyDescent="0.2">
      <c r="A504" s="36"/>
      <c r="B504" s="36"/>
      <c r="C504" s="35"/>
      <c r="D504" s="36"/>
      <c r="E504" s="36"/>
      <c r="F504" s="36"/>
      <c r="G504" s="36"/>
      <c r="H504" s="35"/>
      <c r="I504" s="35"/>
      <c r="J504" s="35"/>
      <c r="K504" s="36"/>
      <c r="L504" s="36"/>
      <c r="M504" s="36"/>
      <c r="N504" s="36"/>
      <c r="O504" s="36"/>
      <c r="P504" s="36"/>
      <c r="Q504" s="36"/>
      <c r="R504" s="36"/>
      <c r="S504" s="36"/>
      <c r="T504" s="36"/>
      <c r="U504" s="36"/>
      <c r="V504" s="36"/>
      <c r="W504" s="36"/>
      <c r="X504" s="36"/>
      <c r="Y504" s="36"/>
      <c r="Z504" s="3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row>
    <row r="505" spans="1:57" ht="15.75" customHeight="1" x14ac:dyDescent="0.2">
      <c r="A505" s="36"/>
      <c r="B505" s="36"/>
      <c r="C505" s="35"/>
      <c r="D505" s="36"/>
      <c r="E505" s="36"/>
      <c r="F505" s="36"/>
      <c r="G505" s="36"/>
      <c r="H505" s="35"/>
      <c r="I505" s="35"/>
      <c r="J505" s="35"/>
      <c r="K505" s="36"/>
      <c r="L505" s="36"/>
      <c r="M505" s="36"/>
      <c r="N505" s="36"/>
      <c r="O505" s="36"/>
      <c r="P505" s="36"/>
      <c r="Q505" s="36"/>
      <c r="R505" s="36"/>
      <c r="S505" s="36"/>
      <c r="T505" s="36"/>
      <c r="U505" s="36"/>
      <c r="V505" s="36"/>
      <c r="W505" s="36"/>
      <c r="X505" s="36"/>
      <c r="Y505" s="36"/>
      <c r="Z505" s="3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row>
    <row r="506" spans="1:57" ht="15.75" customHeight="1" x14ac:dyDescent="0.2">
      <c r="A506" s="36"/>
      <c r="B506" s="36"/>
      <c r="C506" s="35"/>
      <c r="D506" s="36"/>
      <c r="E506" s="36"/>
      <c r="F506" s="36"/>
      <c r="G506" s="36"/>
      <c r="H506" s="35"/>
      <c r="I506" s="35"/>
      <c r="J506" s="35"/>
      <c r="K506" s="36"/>
      <c r="L506" s="36"/>
      <c r="M506" s="36"/>
      <c r="N506" s="36"/>
      <c r="O506" s="36"/>
      <c r="P506" s="36"/>
      <c r="Q506" s="36"/>
      <c r="R506" s="36"/>
      <c r="S506" s="36"/>
      <c r="T506" s="36"/>
      <c r="U506" s="36"/>
      <c r="V506" s="36"/>
      <c r="W506" s="36"/>
      <c r="X506" s="36"/>
      <c r="Y506" s="36"/>
      <c r="Z506" s="3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row>
    <row r="507" spans="1:57" ht="15.75" customHeight="1" x14ac:dyDescent="0.2">
      <c r="A507" s="36"/>
      <c r="B507" s="36"/>
      <c r="C507" s="35"/>
      <c r="D507" s="36"/>
      <c r="E507" s="36"/>
      <c r="F507" s="36"/>
      <c r="G507" s="36"/>
      <c r="H507" s="35"/>
      <c r="I507" s="35"/>
      <c r="J507" s="35"/>
      <c r="K507" s="36"/>
      <c r="L507" s="36"/>
      <c r="M507" s="36"/>
      <c r="N507" s="36"/>
      <c r="O507" s="36"/>
      <c r="P507" s="36"/>
      <c r="Q507" s="36"/>
      <c r="R507" s="36"/>
      <c r="S507" s="36"/>
      <c r="T507" s="36"/>
      <c r="U507" s="36"/>
      <c r="V507" s="36"/>
      <c r="W507" s="36"/>
      <c r="X507" s="36"/>
      <c r="Y507" s="36"/>
      <c r="Z507" s="3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row>
    <row r="508" spans="1:57" ht="15.75" customHeight="1" x14ac:dyDescent="0.2">
      <c r="A508" s="36"/>
      <c r="B508" s="36"/>
      <c r="C508" s="35"/>
      <c r="D508" s="36"/>
      <c r="E508" s="36"/>
      <c r="F508" s="36"/>
      <c r="G508" s="36"/>
      <c r="H508" s="35"/>
      <c r="I508" s="35"/>
      <c r="J508" s="35"/>
      <c r="K508" s="36"/>
      <c r="L508" s="36"/>
      <c r="M508" s="36"/>
      <c r="N508" s="36"/>
      <c r="O508" s="36"/>
      <c r="P508" s="36"/>
      <c r="Q508" s="36"/>
      <c r="R508" s="36"/>
      <c r="S508" s="36"/>
      <c r="T508" s="36"/>
      <c r="U508" s="36"/>
      <c r="V508" s="36"/>
      <c r="W508" s="36"/>
      <c r="X508" s="36"/>
      <c r="Y508" s="36"/>
      <c r="Z508" s="3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row>
    <row r="509" spans="1:57" ht="15.75" customHeight="1" x14ac:dyDescent="0.2">
      <c r="A509" s="36"/>
      <c r="B509" s="36"/>
      <c r="C509" s="35"/>
      <c r="D509" s="36"/>
      <c r="E509" s="36"/>
      <c r="F509" s="36"/>
      <c r="G509" s="36"/>
      <c r="H509" s="35"/>
      <c r="I509" s="35"/>
      <c r="J509" s="35"/>
      <c r="K509" s="36"/>
      <c r="L509" s="36"/>
      <c r="M509" s="36"/>
      <c r="N509" s="36"/>
      <c r="O509" s="36"/>
      <c r="P509" s="36"/>
      <c r="Q509" s="36"/>
      <c r="R509" s="36"/>
      <c r="S509" s="36"/>
      <c r="T509" s="36"/>
      <c r="U509" s="36"/>
      <c r="V509" s="36"/>
      <c r="W509" s="36"/>
      <c r="X509" s="36"/>
      <c r="Y509" s="36"/>
      <c r="Z509" s="3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row>
    <row r="510" spans="1:57" ht="15.75" customHeight="1" x14ac:dyDescent="0.2">
      <c r="A510" s="36"/>
      <c r="B510" s="36"/>
      <c r="C510" s="35"/>
      <c r="D510" s="36"/>
      <c r="E510" s="36"/>
      <c r="F510" s="36"/>
      <c r="G510" s="36"/>
      <c r="H510" s="35"/>
      <c r="I510" s="35"/>
      <c r="J510" s="35"/>
      <c r="K510" s="36"/>
      <c r="L510" s="36"/>
      <c r="M510" s="36"/>
      <c r="N510" s="36"/>
      <c r="O510" s="36"/>
      <c r="P510" s="36"/>
      <c r="Q510" s="36"/>
      <c r="R510" s="36"/>
      <c r="S510" s="36"/>
      <c r="T510" s="36"/>
      <c r="U510" s="36"/>
      <c r="V510" s="36"/>
      <c r="W510" s="36"/>
      <c r="X510" s="36"/>
      <c r="Y510" s="36"/>
      <c r="Z510" s="3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row>
    <row r="511" spans="1:57" ht="15.75" customHeight="1" x14ac:dyDescent="0.2">
      <c r="A511" s="36"/>
      <c r="B511" s="36"/>
      <c r="C511" s="35"/>
      <c r="D511" s="36"/>
      <c r="E511" s="36"/>
      <c r="F511" s="36"/>
      <c r="G511" s="36"/>
      <c r="H511" s="35"/>
      <c r="I511" s="35"/>
      <c r="J511" s="35"/>
      <c r="K511" s="36"/>
      <c r="L511" s="36"/>
      <c r="M511" s="36"/>
      <c r="N511" s="36"/>
      <c r="O511" s="36"/>
      <c r="P511" s="36"/>
      <c r="Q511" s="36"/>
      <c r="R511" s="36"/>
      <c r="S511" s="36"/>
      <c r="T511" s="36"/>
      <c r="U511" s="36"/>
      <c r="V511" s="36"/>
      <c r="W511" s="36"/>
      <c r="X511" s="36"/>
      <c r="Y511" s="36"/>
      <c r="Z511" s="3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row>
    <row r="512" spans="1:57" ht="15.75" customHeight="1" x14ac:dyDescent="0.2">
      <c r="A512" s="36"/>
      <c r="B512" s="36"/>
      <c r="C512" s="35"/>
      <c r="D512" s="36"/>
      <c r="E512" s="36"/>
      <c r="F512" s="36"/>
      <c r="G512" s="36"/>
      <c r="H512" s="35"/>
      <c r="I512" s="35"/>
      <c r="J512" s="35"/>
      <c r="K512" s="36"/>
      <c r="L512" s="36"/>
      <c r="M512" s="36"/>
      <c r="N512" s="36"/>
      <c r="O512" s="36"/>
      <c r="P512" s="36"/>
      <c r="Q512" s="36"/>
      <c r="R512" s="36"/>
      <c r="S512" s="36"/>
      <c r="T512" s="36"/>
      <c r="U512" s="36"/>
      <c r="V512" s="36"/>
      <c r="W512" s="36"/>
      <c r="X512" s="36"/>
      <c r="Y512" s="36"/>
      <c r="Z512" s="3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row>
    <row r="513" spans="1:57" ht="15.75" customHeight="1" x14ac:dyDescent="0.2">
      <c r="A513" s="36"/>
      <c r="B513" s="36"/>
      <c r="C513" s="35"/>
      <c r="D513" s="36"/>
      <c r="E513" s="36"/>
      <c r="F513" s="36"/>
      <c r="G513" s="36"/>
      <c r="H513" s="35"/>
      <c r="I513" s="35"/>
      <c r="J513" s="35"/>
      <c r="K513" s="36"/>
      <c r="L513" s="36"/>
      <c r="M513" s="36"/>
      <c r="N513" s="36"/>
      <c r="O513" s="36"/>
      <c r="P513" s="36"/>
      <c r="Q513" s="36"/>
      <c r="R513" s="36"/>
      <c r="S513" s="36"/>
      <c r="T513" s="36"/>
      <c r="U513" s="36"/>
      <c r="V513" s="36"/>
      <c r="W513" s="36"/>
      <c r="X513" s="36"/>
      <c r="Y513" s="36"/>
      <c r="Z513" s="3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row>
    <row r="514" spans="1:57" ht="15.75" customHeight="1" x14ac:dyDescent="0.2">
      <c r="A514" s="36"/>
      <c r="B514" s="36"/>
      <c r="C514" s="35"/>
      <c r="D514" s="36"/>
      <c r="E514" s="36"/>
      <c r="F514" s="36"/>
      <c r="G514" s="36"/>
      <c r="H514" s="35"/>
      <c r="I514" s="35"/>
      <c r="J514" s="35"/>
      <c r="K514" s="36"/>
      <c r="L514" s="36"/>
      <c r="M514" s="36"/>
      <c r="N514" s="36"/>
      <c r="O514" s="36"/>
      <c r="P514" s="36"/>
      <c r="Q514" s="36"/>
      <c r="R514" s="36"/>
      <c r="S514" s="36"/>
      <c r="T514" s="36"/>
      <c r="U514" s="36"/>
      <c r="V514" s="36"/>
      <c r="W514" s="36"/>
      <c r="X514" s="36"/>
      <c r="Y514" s="36"/>
      <c r="Z514" s="3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row>
    <row r="515" spans="1:57" ht="15.75" customHeight="1" x14ac:dyDescent="0.2">
      <c r="A515" s="36"/>
      <c r="B515" s="36"/>
      <c r="C515" s="35"/>
      <c r="D515" s="36"/>
      <c r="E515" s="36"/>
      <c r="F515" s="36"/>
      <c r="G515" s="36"/>
      <c r="H515" s="35"/>
      <c r="I515" s="35"/>
      <c r="J515" s="35"/>
      <c r="K515" s="36"/>
      <c r="L515" s="36"/>
      <c r="M515" s="36"/>
      <c r="N515" s="36"/>
      <c r="O515" s="36"/>
      <c r="P515" s="36"/>
      <c r="Q515" s="36"/>
      <c r="R515" s="36"/>
      <c r="S515" s="36"/>
      <c r="T515" s="36"/>
      <c r="U515" s="36"/>
      <c r="V515" s="36"/>
      <c r="W515" s="36"/>
      <c r="X515" s="36"/>
      <c r="Y515" s="36"/>
      <c r="Z515" s="3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row>
    <row r="516" spans="1:57" ht="15.75" customHeight="1" x14ac:dyDescent="0.2">
      <c r="A516" s="36"/>
      <c r="B516" s="36"/>
      <c r="C516" s="35"/>
      <c r="D516" s="36"/>
      <c r="E516" s="36"/>
      <c r="F516" s="36"/>
      <c r="G516" s="36"/>
      <c r="H516" s="35"/>
      <c r="I516" s="35"/>
      <c r="J516" s="35"/>
      <c r="K516" s="36"/>
      <c r="L516" s="36"/>
      <c r="M516" s="36"/>
      <c r="N516" s="36"/>
      <c r="O516" s="36"/>
      <c r="P516" s="36"/>
      <c r="Q516" s="36"/>
      <c r="R516" s="36"/>
      <c r="S516" s="36"/>
      <c r="T516" s="36"/>
      <c r="U516" s="36"/>
      <c r="V516" s="36"/>
      <c r="W516" s="36"/>
      <c r="X516" s="36"/>
      <c r="Y516" s="36"/>
      <c r="Z516" s="3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row>
    <row r="517" spans="1:57" ht="15.75" customHeight="1" x14ac:dyDescent="0.2">
      <c r="A517" s="36"/>
      <c r="B517" s="36"/>
      <c r="C517" s="35"/>
      <c r="D517" s="36"/>
      <c r="E517" s="36"/>
      <c r="F517" s="36"/>
      <c r="G517" s="36"/>
      <c r="H517" s="35"/>
      <c r="I517" s="35"/>
      <c r="J517" s="35"/>
      <c r="K517" s="36"/>
      <c r="L517" s="36"/>
      <c r="M517" s="36"/>
      <c r="N517" s="36"/>
      <c r="O517" s="36"/>
      <c r="P517" s="36"/>
      <c r="Q517" s="36"/>
      <c r="R517" s="36"/>
      <c r="S517" s="36"/>
      <c r="T517" s="36"/>
      <c r="U517" s="36"/>
      <c r="V517" s="36"/>
      <c r="W517" s="36"/>
      <c r="X517" s="36"/>
      <c r="Y517" s="36"/>
      <c r="Z517" s="3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row>
    <row r="518" spans="1:57" ht="15.75" customHeight="1" x14ac:dyDescent="0.2">
      <c r="A518" s="36"/>
      <c r="B518" s="36"/>
      <c r="C518" s="35"/>
      <c r="D518" s="36"/>
      <c r="E518" s="36"/>
      <c r="F518" s="36"/>
      <c r="G518" s="36"/>
      <c r="H518" s="35"/>
      <c r="I518" s="35"/>
      <c r="J518" s="35"/>
      <c r="K518" s="36"/>
      <c r="L518" s="36"/>
      <c r="M518" s="36"/>
      <c r="N518" s="36"/>
      <c r="O518" s="36"/>
      <c r="P518" s="36"/>
      <c r="Q518" s="36"/>
      <c r="R518" s="36"/>
      <c r="S518" s="36"/>
      <c r="T518" s="36"/>
      <c r="U518" s="36"/>
      <c r="V518" s="36"/>
      <c r="W518" s="36"/>
      <c r="X518" s="36"/>
      <c r="Y518" s="36"/>
      <c r="Z518" s="3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row>
    <row r="519" spans="1:57" ht="15.75" customHeight="1" x14ac:dyDescent="0.2">
      <c r="A519" s="36"/>
      <c r="B519" s="36"/>
      <c r="C519" s="35"/>
      <c r="D519" s="36"/>
      <c r="E519" s="36"/>
      <c r="F519" s="36"/>
      <c r="G519" s="36"/>
      <c r="H519" s="35"/>
      <c r="I519" s="35"/>
      <c r="J519" s="35"/>
      <c r="K519" s="36"/>
      <c r="L519" s="36"/>
      <c r="M519" s="36"/>
      <c r="N519" s="36"/>
      <c r="O519" s="36"/>
      <c r="P519" s="36"/>
      <c r="Q519" s="36"/>
      <c r="R519" s="36"/>
      <c r="S519" s="36"/>
      <c r="T519" s="36"/>
      <c r="U519" s="36"/>
      <c r="V519" s="36"/>
      <c r="W519" s="36"/>
      <c r="X519" s="36"/>
      <c r="Y519" s="36"/>
      <c r="Z519" s="3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row>
    <row r="520" spans="1:57" ht="15.75" customHeight="1" x14ac:dyDescent="0.2">
      <c r="A520" s="36"/>
      <c r="B520" s="36"/>
      <c r="C520" s="35"/>
      <c r="D520" s="36"/>
      <c r="E520" s="36"/>
      <c r="F520" s="36"/>
      <c r="G520" s="36"/>
      <c r="H520" s="35"/>
      <c r="I520" s="35"/>
      <c r="J520" s="35"/>
      <c r="K520" s="36"/>
      <c r="L520" s="36"/>
      <c r="M520" s="36"/>
      <c r="N520" s="36"/>
      <c r="O520" s="36"/>
      <c r="P520" s="36"/>
      <c r="Q520" s="36"/>
      <c r="R520" s="36"/>
      <c r="S520" s="36"/>
      <c r="T520" s="36"/>
      <c r="U520" s="36"/>
      <c r="V520" s="36"/>
      <c r="W520" s="36"/>
      <c r="X520" s="36"/>
      <c r="Y520" s="36"/>
      <c r="Z520" s="3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row>
    <row r="521" spans="1:57" ht="15.75" customHeight="1" x14ac:dyDescent="0.2">
      <c r="A521" s="36"/>
      <c r="B521" s="36"/>
      <c r="C521" s="35"/>
      <c r="D521" s="36"/>
      <c r="E521" s="36"/>
      <c r="F521" s="36"/>
      <c r="G521" s="36"/>
      <c r="H521" s="35"/>
      <c r="I521" s="35"/>
      <c r="J521" s="35"/>
      <c r="K521" s="36"/>
      <c r="L521" s="36"/>
      <c r="M521" s="36"/>
      <c r="N521" s="36"/>
      <c r="O521" s="36"/>
      <c r="P521" s="36"/>
      <c r="Q521" s="36"/>
      <c r="R521" s="36"/>
      <c r="S521" s="36"/>
      <c r="T521" s="36"/>
      <c r="U521" s="36"/>
      <c r="V521" s="36"/>
      <c r="W521" s="36"/>
      <c r="X521" s="36"/>
      <c r="Y521" s="36"/>
      <c r="Z521" s="3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row>
    <row r="522" spans="1:57" ht="15.75" customHeight="1" x14ac:dyDescent="0.2">
      <c r="A522" s="36"/>
      <c r="B522" s="36"/>
      <c r="C522" s="35"/>
      <c r="D522" s="36"/>
      <c r="E522" s="36"/>
      <c r="F522" s="36"/>
      <c r="G522" s="36"/>
      <c r="H522" s="35"/>
      <c r="I522" s="35"/>
      <c r="J522" s="35"/>
      <c r="K522" s="36"/>
      <c r="L522" s="36"/>
      <c r="M522" s="36"/>
      <c r="N522" s="36"/>
      <c r="O522" s="36"/>
      <c r="P522" s="36"/>
      <c r="Q522" s="36"/>
      <c r="R522" s="36"/>
      <c r="S522" s="36"/>
      <c r="T522" s="36"/>
      <c r="U522" s="36"/>
      <c r="V522" s="36"/>
      <c r="W522" s="36"/>
      <c r="X522" s="36"/>
      <c r="Y522" s="36"/>
      <c r="Z522" s="3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row>
    <row r="523" spans="1:57" ht="15.75" customHeight="1" x14ac:dyDescent="0.2">
      <c r="A523" s="36"/>
      <c r="B523" s="36"/>
      <c r="C523" s="35"/>
      <c r="D523" s="36"/>
      <c r="E523" s="36"/>
      <c r="F523" s="36"/>
      <c r="G523" s="36"/>
      <c r="H523" s="35"/>
      <c r="I523" s="35"/>
      <c r="J523" s="35"/>
      <c r="K523" s="36"/>
      <c r="L523" s="36"/>
      <c r="M523" s="36"/>
      <c r="N523" s="36"/>
      <c r="O523" s="36"/>
      <c r="P523" s="36"/>
      <c r="Q523" s="36"/>
      <c r="R523" s="36"/>
      <c r="S523" s="36"/>
      <c r="T523" s="36"/>
      <c r="U523" s="36"/>
      <c r="V523" s="36"/>
      <c r="W523" s="36"/>
      <c r="X523" s="36"/>
      <c r="Y523" s="36"/>
      <c r="Z523" s="3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row>
    <row r="524" spans="1:57" ht="15.75" customHeight="1" x14ac:dyDescent="0.2">
      <c r="A524" s="36"/>
      <c r="B524" s="36"/>
      <c r="C524" s="35"/>
      <c r="D524" s="36"/>
      <c r="E524" s="36"/>
      <c r="F524" s="36"/>
      <c r="G524" s="36"/>
      <c r="H524" s="35"/>
      <c r="I524" s="35"/>
      <c r="J524" s="35"/>
      <c r="K524" s="36"/>
      <c r="L524" s="36"/>
      <c r="M524" s="36"/>
      <c r="N524" s="36"/>
      <c r="O524" s="36"/>
      <c r="P524" s="36"/>
      <c r="Q524" s="36"/>
      <c r="R524" s="36"/>
      <c r="S524" s="36"/>
      <c r="T524" s="36"/>
      <c r="U524" s="36"/>
      <c r="V524" s="36"/>
      <c r="W524" s="36"/>
      <c r="X524" s="36"/>
      <c r="Y524" s="36"/>
      <c r="Z524" s="3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row>
    <row r="525" spans="1:57" ht="15.75" customHeight="1" x14ac:dyDescent="0.2">
      <c r="A525" s="36"/>
      <c r="B525" s="36"/>
      <c r="C525" s="35"/>
      <c r="D525" s="36"/>
      <c r="E525" s="36"/>
      <c r="F525" s="36"/>
      <c r="G525" s="36"/>
      <c r="H525" s="35"/>
      <c r="I525" s="35"/>
      <c r="J525" s="35"/>
      <c r="K525" s="36"/>
      <c r="L525" s="36"/>
      <c r="M525" s="36"/>
      <c r="N525" s="36"/>
      <c r="O525" s="36"/>
      <c r="P525" s="36"/>
      <c r="Q525" s="36"/>
      <c r="R525" s="36"/>
      <c r="S525" s="36"/>
      <c r="T525" s="36"/>
      <c r="U525" s="36"/>
      <c r="V525" s="36"/>
      <c r="W525" s="36"/>
      <c r="X525" s="36"/>
      <c r="Y525" s="36"/>
      <c r="Z525" s="3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row>
    <row r="526" spans="1:57" ht="15.75" customHeight="1" x14ac:dyDescent="0.2">
      <c r="A526" s="36"/>
      <c r="B526" s="36"/>
      <c r="C526" s="35"/>
      <c r="D526" s="36"/>
      <c r="E526" s="36"/>
      <c r="F526" s="36"/>
      <c r="G526" s="36"/>
      <c r="H526" s="35"/>
      <c r="I526" s="35"/>
      <c r="J526" s="35"/>
      <c r="K526" s="36"/>
      <c r="L526" s="36"/>
      <c r="M526" s="36"/>
      <c r="N526" s="36"/>
      <c r="O526" s="36"/>
      <c r="P526" s="36"/>
      <c r="Q526" s="36"/>
      <c r="R526" s="36"/>
      <c r="S526" s="36"/>
      <c r="T526" s="36"/>
      <c r="U526" s="36"/>
      <c r="V526" s="36"/>
      <c r="W526" s="36"/>
      <c r="X526" s="36"/>
      <c r="Y526" s="36"/>
      <c r="Z526" s="3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row>
    <row r="527" spans="1:57" ht="15.75" customHeight="1" x14ac:dyDescent="0.2">
      <c r="A527" s="36"/>
      <c r="B527" s="36"/>
      <c r="C527" s="35"/>
      <c r="D527" s="36"/>
      <c r="E527" s="36"/>
      <c r="F527" s="36"/>
      <c r="G527" s="36"/>
      <c r="H527" s="35"/>
      <c r="I527" s="35"/>
      <c r="J527" s="35"/>
      <c r="K527" s="36"/>
      <c r="L527" s="36"/>
      <c r="M527" s="36"/>
      <c r="N527" s="36"/>
      <c r="O527" s="36"/>
      <c r="P527" s="36"/>
      <c r="Q527" s="36"/>
      <c r="R527" s="36"/>
      <c r="S527" s="36"/>
      <c r="T527" s="36"/>
      <c r="U527" s="36"/>
      <c r="V527" s="36"/>
      <c r="W527" s="36"/>
      <c r="X527" s="36"/>
      <c r="Y527" s="36"/>
      <c r="Z527" s="3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row>
    <row r="528" spans="1:57" ht="15.75" customHeight="1" x14ac:dyDescent="0.2">
      <c r="A528" s="36"/>
      <c r="B528" s="36"/>
      <c r="C528" s="35"/>
      <c r="D528" s="36"/>
      <c r="E528" s="36"/>
      <c r="F528" s="36"/>
      <c r="G528" s="36"/>
      <c r="H528" s="35"/>
      <c r="I528" s="35"/>
      <c r="J528" s="35"/>
      <c r="K528" s="36"/>
      <c r="L528" s="36"/>
      <c r="M528" s="36"/>
      <c r="N528" s="36"/>
      <c r="O528" s="36"/>
      <c r="P528" s="36"/>
      <c r="Q528" s="36"/>
      <c r="R528" s="36"/>
      <c r="S528" s="36"/>
      <c r="T528" s="36"/>
      <c r="U528" s="36"/>
      <c r="V528" s="36"/>
      <c r="W528" s="36"/>
      <c r="X528" s="36"/>
      <c r="Y528" s="36"/>
      <c r="Z528" s="3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row>
    <row r="529" spans="1:57" ht="15.75" customHeight="1" x14ac:dyDescent="0.2">
      <c r="A529" s="36"/>
      <c r="B529" s="36"/>
      <c r="C529" s="35"/>
      <c r="D529" s="36"/>
      <c r="E529" s="36"/>
      <c r="F529" s="36"/>
      <c r="G529" s="36"/>
      <c r="H529" s="35"/>
      <c r="I529" s="35"/>
      <c r="J529" s="35"/>
      <c r="K529" s="36"/>
      <c r="L529" s="36"/>
      <c r="M529" s="36"/>
      <c r="N529" s="36"/>
      <c r="O529" s="36"/>
      <c r="P529" s="36"/>
      <c r="Q529" s="36"/>
      <c r="R529" s="36"/>
      <c r="S529" s="36"/>
      <c r="T529" s="36"/>
      <c r="U529" s="36"/>
      <c r="V529" s="36"/>
      <c r="W529" s="36"/>
      <c r="X529" s="36"/>
      <c r="Y529" s="36"/>
      <c r="Z529" s="3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row>
    <row r="530" spans="1:57" ht="15.75" customHeight="1" x14ac:dyDescent="0.2">
      <c r="A530" s="36"/>
      <c r="B530" s="36"/>
      <c r="C530" s="35"/>
      <c r="D530" s="36"/>
      <c r="E530" s="36"/>
      <c r="F530" s="36"/>
      <c r="G530" s="36"/>
      <c r="H530" s="35"/>
      <c r="I530" s="35"/>
      <c r="J530" s="35"/>
      <c r="K530" s="36"/>
      <c r="L530" s="36"/>
      <c r="M530" s="36"/>
      <c r="N530" s="36"/>
      <c r="O530" s="36"/>
      <c r="P530" s="36"/>
      <c r="Q530" s="36"/>
      <c r="R530" s="36"/>
      <c r="S530" s="36"/>
      <c r="T530" s="36"/>
      <c r="U530" s="36"/>
      <c r="V530" s="36"/>
      <c r="W530" s="36"/>
      <c r="X530" s="36"/>
      <c r="Y530" s="36"/>
      <c r="Z530" s="3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row>
    <row r="531" spans="1:57" ht="15.75" customHeight="1" x14ac:dyDescent="0.2">
      <c r="A531" s="36"/>
      <c r="B531" s="36"/>
      <c r="C531" s="35"/>
      <c r="D531" s="36"/>
      <c r="E531" s="36"/>
      <c r="F531" s="36"/>
      <c r="G531" s="36"/>
      <c r="H531" s="35"/>
      <c r="I531" s="35"/>
      <c r="J531" s="35"/>
      <c r="K531" s="36"/>
      <c r="L531" s="36"/>
      <c r="M531" s="36"/>
      <c r="N531" s="36"/>
      <c r="O531" s="36"/>
      <c r="P531" s="36"/>
      <c r="Q531" s="36"/>
      <c r="R531" s="36"/>
      <c r="S531" s="36"/>
      <c r="T531" s="36"/>
      <c r="U531" s="36"/>
      <c r="V531" s="36"/>
      <c r="W531" s="36"/>
      <c r="X531" s="36"/>
      <c r="Y531" s="36"/>
      <c r="Z531" s="3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row>
    <row r="532" spans="1:57" ht="15.75" customHeight="1" x14ac:dyDescent="0.2">
      <c r="A532" s="36"/>
      <c r="B532" s="36"/>
      <c r="C532" s="35"/>
      <c r="D532" s="36"/>
      <c r="E532" s="36"/>
      <c r="F532" s="36"/>
      <c r="G532" s="36"/>
      <c r="H532" s="35"/>
      <c r="I532" s="35"/>
      <c r="J532" s="35"/>
      <c r="K532" s="36"/>
      <c r="L532" s="36"/>
      <c r="M532" s="36"/>
      <c r="N532" s="36"/>
      <c r="O532" s="36"/>
      <c r="P532" s="36"/>
      <c r="Q532" s="36"/>
      <c r="R532" s="36"/>
      <c r="S532" s="36"/>
      <c r="T532" s="36"/>
      <c r="U532" s="36"/>
      <c r="V532" s="36"/>
      <c r="W532" s="36"/>
      <c r="X532" s="36"/>
      <c r="Y532" s="36"/>
      <c r="Z532" s="3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row>
    <row r="533" spans="1:57" ht="15.75" customHeight="1" x14ac:dyDescent="0.2">
      <c r="A533" s="36"/>
      <c r="B533" s="36"/>
      <c r="C533" s="35"/>
      <c r="D533" s="36"/>
      <c r="E533" s="36"/>
      <c r="F533" s="36"/>
      <c r="G533" s="36"/>
      <c r="H533" s="35"/>
      <c r="I533" s="35"/>
      <c r="J533" s="35"/>
      <c r="K533" s="36"/>
      <c r="L533" s="36"/>
      <c r="M533" s="36"/>
      <c r="N533" s="36"/>
      <c r="O533" s="36"/>
      <c r="P533" s="36"/>
      <c r="Q533" s="36"/>
      <c r="R533" s="36"/>
      <c r="S533" s="36"/>
      <c r="T533" s="36"/>
      <c r="U533" s="36"/>
      <c r="V533" s="36"/>
      <c r="W533" s="36"/>
      <c r="X533" s="36"/>
      <c r="Y533" s="36"/>
      <c r="Z533" s="3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row>
    <row r="534" spans="1:57" ht="15.75" customHeight="1" x14ac:dyDescent="0.2">
      <c r="A534" s="36"/>
      <c r="B534" s="36"/>
      <c r="C534" s="35"/>
      <c r="D534" s="36"/>
      <c r="E534" s="36"/>
      <c r="F534" s="36"/>
      <c r="G534" s="36"/>
      <c r="H534" s="35"/>
      <c r="I534" s="35"/>
      <c r="J534" s="35"/>
      <c r="K534" s="36"/>
      <c r="L534" s="36"/>
      <c r="M534" s="36"/>
      <c r="N534" s="36"/>
      <c r="O534" s="36"/>
      <c r="P534" s="36"/>
      <c r="Q534" s="36"/>
      <c r="R534" s="36"/>
      <c r="S534" s="36"/>
      <c r="T534" s="36"/>
      <c r="U534" s="36"/>
      <c r="V534" s="36"/>
      <c r="W534" s="36"/>
      <c r="X534" s="36"/>
      <c r="Y534" s="36"/>
      <c r="Z534" s="3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row>
    <row r="535" spans="1:57" ht="15.75" customHeight="1" x14ac:dyDescent="0.2">
      <c r="A535" s="36"/>
      <c r="B535" s="36"/>
      <c r="C535" s="35"/>
      <c r="D535" s="36"/>
      <c r="E535" s="36"/>
      <c r="F535" s="36"/>
      <c r="G535" s="36"/>
      <c r="H535" s="35"/>
      <c r="I535" s="35"/>
      <c r="J535" s="35"/>
      <c r="K535" s="36"/>
      <c r="L535" s="36"/>
      <c r="M535" s="36"/>
      <c r="N535" s="36"/>
      <c r="O535" s="36"/>
      <c r="P535" s="36"/>
      <c r="Q535" s="36"/>
      <c r="R535" s="36"/>
      <c r="S535" s="36"/>
      <c r="T535" s="36"/>
      <c r="U535" s="36"/>
      <c r="V535" s="36"/>
      <c r="W535" s="36"/>
      <c r="X535" s="36"/>
      <c r="Y535" s="36"/>
      <c r="Z535" s="3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row>
    <row r="536" spans="1:57" ht="15.75" customHeight="1" x14ac:dyDescent="0.2">
      <c r="A536" s="36"/>
      <c r="B536" s="36"/>
      <c r="C536" s="35"/>
      <c r="D536" s="36"/>
      <c r="E536" s="36"/>
      <c r="F536" s="36"/>
      <c r="G536" s="36"/>
      <c r="H536" s="35"/>
      <c r="I536" s="35"/>
      <c r="J536" s="35"/>
      <c r="K536" s="36"/>
      <c r="L536" s="36"/>
      <c r="M536" s="36"/>
      <c r="N536" s="36"/>
      <c r="O536" s="36"/>
      <c r="P536" s="36"/>
      <c r="Q536" s="36"/>
      <c r="R536" s="36"/>
      <c r="S536" s="36"/>
      <c r="T536" s="36"/>
      <c r="U536" s="36"/>
      <c r="V536" s="36"/>
      <c r="W536" s="36"/>
      <c r="X536" s="36"/>
      <c r="Y536" s="36"/>
      <c r="Z536" s="3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row>
    <row r="537" spans="1:57" ht="15.75" customHeight="1" x14ac:dyDescent="0.2">
      <c r="A537" s="36"/>
      <c r="B537" s="36"/>
      <c r="C537" s="35"/>
      <c r="D537" s="36"/>
      <c r="E537" s="36"/>
      <c r="F537" s="36"/>
      <c r="G537" s="36"/>
      <c r="H537" s="35"/>
      <c r="I537" s="35"/>
      <c r="J537" s="35"/>
      <c r="K537" s="36"/>
      <c r="L537" s="36"/>
      <c r="M537" s="36"/>
      <c r="N537" s="36"/>
      <c r="O537" s="36"/>
      <c r="P537" s="36"/>
      <c r="Q537" s="36"/>
      <c r="R537" s="36"/>
      <c r="S537" s="36"/>
      <c r="T537" s="36"/>
      <c r="U537" s="36"/>
      <c r="V537" s="36"/>
      <c r="W537" s="36"/>
      <c r="X537" s="36"/>
      <c r="Y537" s="36"/>
      <c r="Z537" s="3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row>
    <row r="538" spans="1:57" ht="15.75" customHeight="1" x14ac:dyDescent="0.2">
      <c r="A538" s="36"/>
      <c r="B538" s="36"/>
      <c r="C538" s="35"/>
      <c r="D538" s="36"/>
      <c r="E538" s="36"/>
      <c r="F538" s="36"/>
      <c r="G538" s="36"/>
      <c r="H538" s="35"/>
      <c r="I538" s="35"/>
      <c r="J538" s="35"/>
      <c r="K538" s="36"/>
      <c r="L538" s="36"/>
      <c r="M538" s="36"/>
      <c r="N538" s="36"/>
      <c r="O538" s="36"/>
      <c r="P538" s="36"/>
      <c r="Q538" s="36"/>
      <c r="R538" s="36"/>
      <c r="S538" s="36"/>
      <c r="T538" s="36"/>
      <c r="U538" s="36"/>
      <c r="V538" s="36"/>
      <c r="W538" s="36"/>
      <c r="X538" s="36"/>
      <c r="Y538" s="36"/>
      <c r="Z538" s="3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row>
    <row r="539" spans="1:57" ht="15.75" customHeight="1" x14ac:dyDescent="0.2">
      <c r="A539" s="36"/>
      <c r="B539" s="36"/>
      <c r="C539" s="35"/>
      <c r="D539" s="36"/>
      <c r="E539" s="36"/>
      <c r="F539" s="36"/>
      <c r="G539" s="36"/>
      <c r="H539" s="35"/>
      <c r="I539" s="35"/>
      <c r="J539" s="35"/>
      <c r="K539" s="36"/>
      <c r="L539" s="36"/>
      <c r="M539" s="36"/>
      <c r="N539" s="36"/>
      <c r="O539" s="36"/>
      <c r="P539" s="36"/>
      <c r="Q539" s="36"/>
      <c r="R539" s="36"/>
      <c r="S539" s="36"/>
      <c r="T539" s="36"/>
      <c r="U539" s="36"/>
      <c r="V539" s="36"/>
      <c r="W539" s="36"/>
      <c r="X539" s="36"/>
      <c r="Y539" s="36"/>
      <c r="Z539" s="3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row>
    <row r="540" spans="1:57" ht="15.75" customHeight="1" x14ac:dyDescent="0.2">
      <c r="A540" s="36"/>
      <c r="B540" s="36"/>
      <c r="C540" s="35"/>
      <c r="D540" s="36"/>
      <c r="E540" s="36"/>
      <c r="F540" s="36"/>
      <c r="G540" s="36"/>
      <c r="H540" s="35"/>
      <c r="I540" s="35"/>
      <c r="J540" s="35"/>
      <c r="K540" s="36"/>
      <c r="L540" s="36"/>
      <c r="M540" s="36"/>
      <c r="N540" s="36"/>
      <c r="O540" s="36"/>
      <c r="P540" s="36"/>
      <c r="Q540" s="36"/>
      <c r="R540" s="36"/>
      <c r="S540" s="36"/>
      <c r="T540" s="36"/>
      <c r="U540" s="36"/>
      <c r="V540" s="36"/>
      <c r="W540" s="36"/>
      <c r="X540" s="36"/>
      <c r="Y540" s="36"/>
      <c r="Z540" s="3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row>
    <row r="541" spans="1:57" ht="15.75" customHeight="1" x14ac:dyDescent="0.2">
      <c r="A541" s="36"/>
      <c r="B541" s="36"/>
      <c r="C541" s="35"/>
      <c r="D541" s="36"/>
      <c r="E541" s="36"/>
      <c r="F541" s="36"/>
      <c r="G541" s="36"/>
      <c r="H541" s="35"/>
      <c r="I541" s="35"/>
      <c r="J541" s="35"/>
      <c r="K541" s="36"/>
      <c r="L541" s="36"/>
      <c r="M541" s="36"/>
      <c r="N541" s="36"/>
      <c r="O541" s="36"/>
      <c r="P541" s="36"/>
      <c r="Q541" s="36"/>
      <c r="R541" s="36"/>
      <c r="S541" s="36"/>
      <c r="T541" s="36"/>
      <c r="U541" s="36"/>
      <c r="V541" s="36"/>
      <c r="W541" s="36"/>
      <c r="X541" s="36"/>
      <c r="Y541" s="36"/>
      <c r="Z541" s="3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row>
    <row r="542" spans="1:57" ht="15.75" customHeight="1" x14ac:dyDescent="0.2">
      <c r="A542" s="36"/>
      <c r="B542" s="36"/>
      <c r="C542" s="35"/>
      <c r="D542" s="36"/>
      <c r="E542" s="36"/>
      <c r="F542" s="36"/>
      <c r="G542" s="36"/>
      <c r="H542" s="35"/>
      <c r="I542" s="35"/>
      <c r="J542" s="35"/>
      <c r="K542" s="36"/>
      <c r="L542" s="36"/>
      <c r="M542" s="36"/>
      <c r="N542" s="36"/>
      <c r="O542" s="36"/>
      <c r="P542" s="36"/>
      <c r="Q542" s="36"/>
      <c r="R542" s="36"/>
      <c r="S542" s="36"/>
      <c r="T542" s="36"/>
      <c r="U542" s="36"/>
      <c r="V542" s="36"/>
      <c r="W542" s="36"/>
      <c r="X542" s="36"/>
      <c r="Y542" s="36"/>
      <c r="Z542" s="3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row>
    <row r="543" spans="1:57" ht="15.75" customHeight="1" x14ac:dyDescent="0.2">
      <c r="A543" s="36"/>
      <c r="B543" s="36"/>
      <c r="C543" s="35"/>
      <c r="D543" s="36"/>
      <c r="E543" s="36"/>
      <c r="F543" s="36"/>
      <c r="G543" s="36"/>
      <c r="H543" s="35"/>
      <c r="I543" s="35"/>
      <c r="J543" s="35"/>
      <c r="K543" s="36"/>
      <c r="L543" s="36"/>
      <c r="M543" s="36"/>
      <c r="N543" s="36"/>
      <c r="O543" s="36"/>
      <c r="P543" s="36"/>
      <c r="Q543" s="36"/>
      <c r="R543" s="36"/>
      <c r="S543" s="36"/>
      <c r="T543" s="36"/>
      <c r="U543" s="36"/>
      <c r="V543" s="36"/>
      <c r="W543" s="36"/>
      <c r="X543" s="36"/>
      <c r="Y543" s="36"/>
      <c r="Z543" s="3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row>
    <row r="544" spans="1:57" ht="15.75" customHeight="1" x14ac:dyDescent="0.2">
      <c r="A544" s="36"/>
      <c r="B544" s="36"/>
      <c r="C544" s="35"/>
      <c r="D544" s="36"/>
      <c r="E544" s="36"/>
      <c r="F544" s="36"/>
      <c r="G544" s="36"/>
      <c r="H544" s="35"/>
      <c r="I544" s="35"/>
      <c r="J544" s="35"/>
      <c r="K544" s="36"/>
      <c r="L544" s="36"/>
      <c r="M544" s="36"/>
      <c r="N544" s="36"/>
      <c r="O544" s="36"/>
      <c r="P544" s="36"/>
      <c r="Q544" s="36"/>
      <c r="R544" s="36"/>
      <c r="S544" s="36"/>
      <c r="T544" s="36"/>
      <c r="U544" s="36"/>
      <c r="V544" s="36"/>
      <c r="W544" s="36"/>
      <c r="X544" s="36"/>
      <c r="Y544" s="36"/>
      <c r="Z544" s="3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row>
    <row r="545" spans="1:57" ht="15.75" customHeight="1" x14ac:dyDescent="0.2">
      <c r="A545" s="36"/>
      <c r="B545" s="36"/>
      <c r="C545" s="35"/>
      <c r="D545" s="36"/>
      <c r="E545" s="36"/>
      <c r="F545" s="36"/>
      <c r="G545" s="36"/>
      <c r="H545" s="35"/>
      <c r="I545" s="35"/>
      <c r="J545" s="35"/>
      <c r="K545" s="36"/>
      <c r="L545" s="36"/>
      <c r="M545" s="36"/>
      <c r="N545" s="36"/>
      <c r="O545" s="36"/>
      <c r="P545" s="36"/>
      <c r="Q545" s="36"/>
      <c r="R545" s="36"/>
      <c r="S545" s="36"/>
      <c r="T545" s="36"/>
      <c r="U545" s="36"/>
      <c r="V545" s="36"/>
      <c r="W545" s="36"/>
      <c r="X545" s="36"/>
      <c r="Y545" s="36"/>
      <c r="Z545" s="3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row>
    <row r="546" spans="1:57" ht="15.75" customHeight="1" x14ac:dyDescent="0.2">
      <c r="A546" s="36"/>
      <c r="B546" s="36"/>
      <c r="C546" s="35"/>
      <c r="D546" s="36"/>
      <c r="E546" s="36"/>
      <c r="F546" s="36"/>
      <c r="G546" s="36"/>
      <c r="H546" s="35"/>
      <c r="I546" s="35"/>
      <c r="J546" s="35"/>
      <c r="K546" s="36"/>
      <c r="L546" s="36"/>
      <c r="M546" s="36"/>
      <c r="N546" s="36"/>
      <c r="O546" s="36"/>
      <c r="P546" s="36"/>
      <c r="Q546" s="36"/>
      <c r="R546" s="36"/>
      <c r="S546" s="36"/>
      <c r="T546" s="36"/>
      <c r="U546" s="36"/>
      <c r="V546" s="36"/>
      <c r="W546" s="36"/>
      <c r="X546" s="36"/>
      <c r="Y546" s="36"/>
      <c r="Z546" s="3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row>
    <row r="547" spans="1:57" ht="15.75" customHeight="1" x14ac:dyDescent="0.2">
      <c r="A547" s="36"/>
      <c r="B547" s="36"/>
      <c r="C547" s="35"/>
      <c r="D547" s="36"/>
      <c r="E547" s="36"/>
      <c r="F547" s="36"/>
      <c r="G547" s="36"/>
      <c r="H547" s="35"/>
      <c r="I547" s="35"/>
      <c r="J547" s="35"/>
      <c r="K547" s="36"/>
      <c r="L547" s="36"/>
      <c r="M547" s="36"/>
      <c r="N547" s="36"/>
      <c r="O547" s="36"/>
      <c r="P547" s="36"/>
      <c r="Q547" s="36"/>
      <c r="R547" s="36"/>
      <c r="S547" s="36"/>
      <c r="T547" s="36"/>
      <c r="U547" s="36"/>
      <c r="V547" s="36"/>
      <c r="W547" s="36"/>
      <c r="X547" s="36"/>
      <c r="Y547" s="36"/>
      <c r="Z547" s="3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row>
    <row r="548" spans="1:57" ht="15.75" customHeight="1" x14ac:dyDescent="0.2">
      <c r="A548" s="36"/>
      <c r="B548" s="36"/>
      <c r="C548" s="35"/>
      <c r="D548" s="36"/>
      <c r="E548" s="36"/>
      <c r="F548" s="36"/>
      <c r="G548" s="36"/>
      <c r="H548" s="35"/>
      <c r="I548" s="35"/>
      <c r="J548" s="35"/>
      <c r="K548" s="36"/>
      <c r="L548" s="36"/>
      <c r="M548" s="36"/>
      <c r="N548" s="36"/>
      <c r="O548" s="36"/>
      <c r="P548" s="36"/>
      <c r="Q548" s="36"/>
      <c r="R548" s="36"/>
      <c r="S548" s="36"/>
      <c r="T548" s="36"/>
      <c r="U548" s="36"/>
      <c r="V548" s="36"/>
      <c r="W548" s="36"/>
      <c r="X548" s="36"/>
      <c r="Y548" s="36"/>
      <c r="Z548" s="3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row>
    <row r="549" spans="1:57" ht="15.75" customHeight="1" x14ac:dyDescent="0.2">
      <c r="A549" s="36"/>
      <c r="B549" s="36"/>
      <c r="C549" s="35"/>
      <c r="D549" s="36"/>
      <c r="E549" s="36"/>
      <c r="F549" s="36"/>
      <c r="G549" s="36"/>
      <c r="H549" s="35"/>
      <c r="I549" s="35"/>
      <c r="J549" s="35"/>
      <c r="K549" s="36"/>
      <c r="L549" s="36"/>
      <c r="M549" s="36"/>
      <c r="N549" s="36"/>
      <c r="O549" s="36"/>
      <c r="P549" s="36"/>
      <c r="Q549" s="36"/>
      <c r="R549" s="36"/>
      <c r="S549" s="36"/>
      <c r="T549" s="36"/>
      <c r="U549" s="36"/>
      <c r="V549" s="36"/>
      <c r="W549" s="36"/>
      <c r="X549" s="36"/>
      <c r="Y549" s="36"/>
      <c r="Z549" s="3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row>
    <row r="550" spans="1:57" ht="15.75" customHeight="1" x14ac:dyDescent="0.2">
      <c r="A550" s="36"/>
      <c r="B550" s="36"/>
      <c r="C550" s="35"/>
      <c r="D550" s="36"/>
      <c r="E550" s="36"/>
      <c r="F550" s="36"/>
      <c r="G550" s="36"/>
      <c r="H550" s="35"/>
      <c r="I550" s="35"/>
      <c r="J550" s="35"/>
      <c r="K550" s="36"/>
      <c r="L550" s="36"/>
      <c r="M550" s="36"/>
      <c r="N550" s="36"/>
      <c r="O550" s="36"/>
      <c r="P550" s="36"/>
      <c r="Q550" s="36"/>
      <c r="R550" s="36"/>
      <c r="S550" s="36"/>
      <c r="T550" s="36"/>
      <c r="U550" s="36"/>
      <c r="V550" s="36"/>
      <c r="W550" s="36"/>
      <c r="X550" s="36"/>
      <c r="Y550" s="36"/>
      <c r="Z550" s="3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row>
    <row r="551" spans="1:57" ht="15.75" customHeight="1" x14ac:dyDescent="0.2">
      <c r="A551" s="36"/>
      <c r="B551" s="36"/>
      <c r="C551" s="35"/>
      <c r="D551" s="36"/>
      <c r="E551" s="36"/>
      <c r="F551" s="36"/>
      <c r="G551" s="36"/>
      <c r="H551" s="35"/>
      <c r="I551" s="35"/>
      <c r="J551" s="35"/>
      <c r="K551" s="36"/>
      <c r="L551" s="36"/>
      <c r="M551" s="36"/>
      <c r="N551" s="36"/>
      <c r="O551" s="36"/>
      <c r="P551" s="36"/>
      <c r="Q551" s="36"/>
      <c r="R551" s="36"/>
      <c r="S551" s="36"/>
      <c r="T551" s="36"/>
      <c r="U551" s="36"/>
      <c r="V551" s="36"/>
      <c r="W551" s="36"/>
      <c r="X551" s="36"/>
      <c r="Y551" s="36"/>
      <c r="Z551" s="3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row>
    <row r="552" spans="1:57" ht="15.75" customHeight="1" x14ac:dyDescent="0.2">
      <c r="A552" s="36"/>
      <c r="B552" s="36"/>
      <c r="C552" s="35"/>
      <c r="D552" s="36"/>
      <c r="E552" s="36"/>
      <c r="F552" s="36"/>
      <c r="G552" s="36"/>
      <c r="H552" s="35"/>
      <c r="I552" s="35"/>
      <c r="J552" s="35"/>
      <c r="K552" s="36"/>
      <c r="L552" s="36"/>
      <c r="M552" s="36"/>
      <c r="N552" s="36"/>
      <c r="O552" s="36"/>
      <c r="P552" s="36"/>
      <c r="Q552" s="36"/>
      <c r="R552" s="36"/>
      <c r="S552" s="36"/>
      <c r="T552" s="36"/>
      <c r="U552" s="36"/>
      <c r="V552" s="36"/>
      <c r="W552" s="36"/>
      <c r="X552" s="36"/>
      <c r="Y552" s="36"/>
      <c r="Z552" s="3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row>
    <row r="553" spans="1:57" ht="15.75" customHeight="1" x14ac:dyDescent="0.2">
      <c r="A553" s="36"/>
      <c r="B553" s="36"/>
      <c r="C553" s="35"/>
      <c r="D553" s="36"/>
      <c r="E553" s="36"/>
      <c r="F553" s="36"/>
      <c r="G553" s="36"/>
      <c r="H553" s="35"/>
      <c r="I553" s="35"/>
      <c r="J553" s="35"/>
      <c r="K553" s="36"/>
      <c r="L553" s="36"/>
      <c r="M553" s="36"/>
      <c r="N553" s="36"/>
      <c r="O553" s="36"/>
      <c r="P553" s="36"/>
      <c r="Q553" s="36"/>
      <c r="R553" s="36"/>
      <c r="S553" s="36"/>
      <c r="T553" s="36"/>
      <c r="U553" s="36"/>
      <c r="V553" s="36"/>
      <c r="W553" s="36"/>
      <c r="X553" s="36"/>
      <c r="Y553" s="36"/>
      <c r="Z553" s="3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row>
    <row r="554" spans="1:57" ht="15.75" customHeight="1" x14ac:dyDescent="0.2">
      <c r="A554" s="36"/>
      <c r="B554" s="36"/>
      <c r="C554" s="35"/>
      <c r="D554" s="36"/>
      <c r="E554" s="36"/>
      <c r="F554" s="36"/>
      <c r="G554" s="36"/>
      <c r="H554" s="35"/>
      <c r="I554" s="35"/>
      <c r="J554" s="35"/>
      <c r="K554" s="36"/>
      <c r="L554" s="36"/>
      <c r="M554" s="36"/>
      <c r="N554" s="36"/>
      <c r="O554" s="36"/>
      <c r="P554" s="36"/>
      <c r="Q554" s="36"/>
      <c r="R554" s="36"/>
      <c r="S554" s="36"/>
      <c r="T554" s="36"/>
      <c r="U554" s="36"/>
      <c r="V554" s="36"/>
      <c r="W554" s="36"/>
      <c r="X554" s="36"/>
      <c r="Y554" s="36"/>
      <c r="Z554" s="3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row>
    <row r="555" spans="1:57" ht="15.75" customHeight="1" x14ac:dyDescent="0.2">
      <c r="A555" s="36"/>
      <c r="B555" s="36"/>
      <c r="C555" s="35"/>
      <c r="D555" s="36"/>
      <c r="E555" s="36"/>
      <c r="F555" s="36"/>
      <c r="G555" s="36"/>
      <c r="H555" s="35"/>
      <c r="I555" s="35"/>
      <c r="J555" s="35"/>
      <c r="K555" s="36"/>
      <c r="L555" s="36"/>
      <c r="M555" s="36"/>
      <c r="N555" s="36"/>
      <c r="O555" s="36"/>
      <c r="P555" s="36"/>
      <c r="Q555" s="36"/>
      <c r="R555" s="36"/>
      <c r="S555" s="36"/>
      <c r="T555" s="36"/>
      <c r="U555" s="36"/>
      <c r="V555" s="36"/>
      <c r="W555" s="36"/>
      <c r="X555" s="36"/>
      <c r="Y555" s="36"/>
      <c r="Z555" s="3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row>
    <row r="556" spans="1:57" ht="15.75" customHeight="1" x14ac:dyDescent="0.2">
      <c r="A556" s="36"/>
      <c r="B556" s="36"/>
      <c r="C556" s="35"/>
      <c r="D556" s="36"/>
      <c r="E556" s="36"/>
      <c r="F556" s="36"/>
      <c r="G556" s="36"/>
      <c r="H556" s="35"/>
      <c r="I556" s="35"/>
      <c r="J556" s="35"/>
      <c r="K556" s="36"/>
      <c r="L556" s="36"/>
      <c r="M556" s="36"/>
      <c r="N556" s="36"/>
      <c r="O556" s="36"/>
      <c r="P556" s="36"/>
      <c r="Q556" s="36"/>
      <c r="R556" s="36"/>
      <c r="S556" s="36"/>
      <c r="T556" s="36"/>
      <c r="U556" s="36"/>
      <c r="V556" s="36"/>
      <c r="W556" s="36"/>
      <c r="X556" s="36"/>
      <c r="Y556" s="36"/>
      <c r="Z556" s="3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row>
    <row r="557" spans="1:57" ht="15.75" customHeight="1" x14ac:dyDescent="0.2">
      <c r="A557" s="36"/>
      <c r="B557" s="36"/>
      <c r="C557" s="35"/>
      <c r="D557" s="36"/>
      <c r="E557" s="36"/>
      <c r="F557" s="36"/>
      <c r="G557" s="36"/>
      <c r="H557" s="35"/>
      <c r="I557" s="35"/>
      <c r="J557" s="35"/>
      <c r="K557" s="36"/>
      <c r="L557" s="36"/>
      <c r="M557" s="36"/>
      <c r="N557" s="36"/>
      <c r="O557" s="36"/>
      <c r="P557" s="36"/>
      <c r="Q557" s="36"/>
      <c r="R557" s="36"/>
      <c r="S557" s="36"/>
      <c r="T557" s="36"/>
      <c r="U557" s="36"/>
      <c r="V557" s="36"/>
      <c r="W557" s="36"/>
      <c r="X557" s="36"/>
      <c r="Y557" s="36"/>
      <c r="Z557" s="3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row>
    <row r="558" spans="1:57" ht="15.75" customHeight="1" x14ac:dyDescent="0.2">
      <c r="A558" s="36"/>
      <c r="B558" s="36"/>
      <c r="C558" s="35"/>
      <c r="D558" s="36"/>
      <c r="E558" s="36"/>
      <c r="F558" s="36"/>
      <c r="G558" s="36"/>
      <c r="H558" s="35"/>
      <c r="I558" s="35"/>
      <c r="J558" s="35"/>
      <c r="K558" s="36"/>
      <c r="L558" s="36"/>
      <c r="M558" s="36"/>
      <c r="N558" s="36"/>
      <c r="O558" s="36"/>
      <c r="P558" s="36"/>
      <c r="Q558" s="36"/>
      <c r="R558" s="36"/>
      <c r="S558" s="36"/>
      <c r="T558" s="36"/>
      <c r="U558" s="36"/>
      <c r="V558" s="36"/>
      <c r="W558" s="36"/>
      <c r="X558" s="36"/>
      <c r="Y558" s="36"/>
      <c r="Z558" s="3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row>
    <row r="559" spans="1:57" ht="15.75" customHeight="1" x14ac:dyDescent="0.2">
      <c r="A559" s="36"/>
      <c r="B559" s="36"/>
      <c r="C559" s="35"/>
      <c r="D559" s="36"/>
      <c r="E559" s="36"/>
      <c r="F559" s="36"/>
      <c r="G559" s="36"/>
      <c r="H559" s="35"/>
      <c r="I559" s="35"/>
      <c r="J559" s="35"/>
      <c r="K559" s="36"/>
      <c r="L559" s="36"/>
      <c r="M559" s="36"/>
      <c r="N559" s="36"/>
      <c r="O559" s="36"/>
      <c r="P559" s="36"/>
      <c r="Q559" s="36"/>
      <c r="R559" s="36"/>
      <c r="S559" s="36"/>
      <c r="T559" s="36"/>
      <c r="U559" s="36"/>
      <c r="V559" s="36"/>
      <c r="W559" s="36"/>
      <c r="X559" s="36"/>
      <c r="Y559" s="36"/>
      <c r="Z559" s="3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row>
    <row r="560" spans="1:57" ht="15.75" customHeight="1" x14ac:dyDescent="0.2">
      <c r="A560" s="36"/>
      <c r="B560" s="36"/>
      <c r="C560" s="35"/>
      <c r="D560" s="36"/>
      <c r="E560" s="36"/>
      <c r="F560" s="36"/>
      <c r="G560" s="36"/>
      <c r="H560" s="35"/>
      <c r="I560" s="35"/>
      <c r="J560" s="35"/>
      <c r="K560" s="36"/>
      <c r="L560" s="36"/>
      <c r="M560" s="36"/>
      <c r="N560" s="36"/>
      <c r="O560" s="36"/>
      <c r="P560" s="36"/>
      <c r="Q560" s="36"/>
      <c r="R560" s="36"/>
      <c r="S560" s="36"/>
      <c r="T560" s="36"/>
      <c r="U560" s="36"/>
      <c r="V560" s="36"/>
      <c r="W560" s="36"/>
      <c r="X560" s="36"/>
      <c r="Y560" s="36"/>
      <c r="Z560" s="3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row>
    <row r="561" spans="1:57" ht="15.75" customHeight="1" x14ac:dyDescent="0.2">
      <c r="A561" s="36"/>
      <c r="B561" s="36"/>
      <c r="C561" s="35"/>
      <c r="D561" s="36"/>
      <c r="E561" s="36"/>
      <c r="F561" s="36"/>
      <c r="G561" s="36"/>
      <c r="H561" s="35"/>
      <c r="I561" s="35"/>
      <c r="J561" s="35"/>
      <c r="K561" s="36"/>
      <c r="L561" s="36"/>
      <c r="M561" s="36"/>
      <c r="N561" s="36"/>
      <c r="O561" s="36"/>
      <c r="P561" s="36"/>
      <c r="Q561" s="36"/>
      <c r="R561" s="36"/>
      <c r="S561" s="36"/>
      <c r="T561" s="36"/>
      <c r="U561" s="36"/>
      <c r="V561" s="36"/>
      <c r="W561" s="36"/>
      <c r="X561" s="36"/>
      <c r="Y561" s="36"/>
      <c r="Z561" s="3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row>
    <row r="562" spans="1:57" ht="15.75" customHeight="1" x14ac:dyDescent="0.2">
      <c r="A562" s="36"/>
      <c r="B562" s="36"/>
      <c r="C562" s="35"/>
      <c r="D562" s="36"/>
      <c r="E562" s="36"/>
      <c r="F562" s="36"/>
      <c r="G562" s="36"/>
      <c r="H562" s="35"/>
      <c r="I562" s="35"/>
      <c r="J562" s="35"/>
      <c r="K562" s="36"/>
      <c r="L562" s="36"/>
      <c r="M562" s="36"/>
      <c r="N562" s="36"/>
      <c r="O562" s="36"/>
      <c r="P562" s="36"/>
      <c r="Q562" s="36"/>
      <c r="R562" s="36"/>
      <c r="S562" s="36"/>
      <c r="T562" s="36"/>
      <c r="U562" s="36"/>
      <c r="V562" s="36"/>
      <c r="W562" s="36"/>
      <c r="X562" s="36"/>
      <c r="Y562" s="36"/>
      <c r="Z562" s="3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row>
    <row r="563" spans="1:57" ht="15.75" customHeight="1" x14ac:dyDescent="0.2">
      <c r="A563" s="36"/>
      <c r="B563" s="36"/>
      <c r="C563" s="35"/>
      <c r="D563" s="36"/>
      <c r="E563" s="36"/>
      <c r="F563" s="36"/>
      <c r="G563" s="36"/>
      <c r="H563" s="35"/>
      <c r="I563" s="35"/>
      <c r="J563" s="35"/>
      <c r="K563" s="36"/>
      <c r="L563" s="36"/>
      <c r="M563" s="36"/>
      <c r="N563" s="36"/>
      <c r="O563" s="36"/>
      <c r="P563" s="36"/>
      <c r="Q563" s="36"/>
      <c r="R563" s="36"/>
      <c r="S563" s="36"/>
      <c r="T563" s="36"/>
      <c r="U563" s="36"/>
      <c r="V563" s="36"/>
      <c r="W563" s="36"/>
      <c r="X563" s="36"/>
      <c r="Y563" s="36"/>
      <c r="Z563" s="3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row>
    <row r="564" spans="1:57" ht="15.75" customHeight="1" x14ac:dyDescent="0.2">
      <c r="A564" s="36"/>
      <c r="B564" s="36"/>
      <c r="C564" s="35"/>
      <c r="D564" s="36"/>
      <c r="E564" s="36"/>
      <c r="F564" s="36"/>
      <c r="G564" s="36"/>
      <c r="H564" s="35"/>
      <c r="I564" s="35"/>
      <c r="J564" s="35"/>
      <c r="K564" s="36"/>
      <c r="L564" s="36"/>
      <c r="M564" s="36"/>
      <c r="N564" s="36"/>
      <c r="O564" s="36"/>
      <c r="P564" s="36"/>
      <c r="Q564" s="36"/>
      <c r="R564" s="36"/>
      <c r="S564" s="36"/>
      <c r="T564" s="36"/>
      <c r="U564" s="36"/>
      <c r="V564" s="36"/>
      <c r="W564" s="36"/>
      <c r="X564" s="36"/>
      <c r="Y564" s="36"/>
      <c r="Z564" s="3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row>
    <row r="565" spans="1:57" ht="15.75" customHeight="1" x14ac:dyDescent="0.2">
      <c r="A565" s="36"/>
      <c r="B565" s="36"/>
      <c r="C565" s="35"/>
      <c r="D565" s="36"/>
      <c r="E565" s="36"/>
      <c r="F565" s="36"/>
      <c r="G565" s="36"/>
      <c r="H565" s="35"/>
      <c r="I565" s="35"/>
      <c r="J565" s="35"/>
      <c r="K565" s="36"/>
      <c r="L565" s="36"/>
      <c r="M565" s="36"/>
      <c r="N565" s="36"/>
      <c r="O565" s="36"/>
      <c r="P565" s="36"/>
      <c r="Q565" s="36"/>
      <c r="R565" s="36"/>
      <c r="S565" s="36"/>
      <c r="T565" s="36"/>
      <c r="U565" s="36"/>
      <c r="V565" s="36"/>
      <c r="W565" s="36"/>
      <c r="X565" s="36"/>
      <c r="Y565" s="36"/>
      <c r="Z565" s="3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row>
    <row r="566" spans="1:57" ht="15.75" customHeight="1" x14ac:dyDescent="0.2">
      <c r="A566" s="36"/>
      <c r="B566" s="36"/>
      <c r="C566" s="35"/>
      <c r="D566" s="36"/>
      <c r="E566" s="36"/>
      <c r="F566" s="36"/>
      <c r="G566" s="36"/>
      <c r="H566" s="35"/>
      <c r="I566" s="35"/>
      <c r="J566" s="35"/>
      <c r="K566" s="36"/>
      <c r="L566" s="36"/>
      <c r="M566" s="36"/>
      <c r="N566" s="36"/>
      <c r="O566" s="36"/>
      <c r="P566" s="36"/>
      <c r="Q566" s="36"/>
      <c r="R566" s="36"/>
      <c r="S566" s="36"/>
      <c r="T566" s="36"/>
      <c r="U566" s="36"/>
      <c r="V566" s="36"/>
      <c r="W566" s="36"/>
      <c r="X566" s="36"/>
      <c r="Y566" s="36"/>
      <c r="Z566" s="3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row>
    <row r="567" spans="1:57" ht="15.75" customHeight="1" x14ac:dyDescent="0.2">
      <c r="A567" s="36"/>
      <c r="B567" s="36"/>
      <c r="C567" s="35"/>
      <c r="D567" s="36"/>
      <c r="E567" s="36"/>
      <c r="F567" s="36"/>
      <c r="G567" s="36"/>
      <c r="H567" s="35"/>
      <c r="I567" s="35"/>
      <c r="J567" s="35"/>
      <c r="K567" s="36"/>
      <c r="L567" s="36"/>
      <c r="M567" s="36"/>
      <c r="N567" s="36"/>
      <c r="O567" s="36"/>
      <c r="P567" s="36"/>
      <c r="Q567" s="36"/>
      <c r="R567" s="36"/>
      <c r="S567" s="36"/>
      <c r="T567" s="36"/>
      <c r="U567" s="36"/>
      <c r="V567" s="36"/>
      <c r="W567" s="36"/>
      <c r="X567" s="36"/>
      <c r="Y567" s="36"/>
      <c r="Z567" s="3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row>
    <row r="568" spans="1:57" ht="15.75" customHeight="1" x14ac:dyDescent="0.2">
      <c r="A568" s="36"/>
      <c r="B568" s="36"/>
      <c r="C568" s="35"/>
      <c r="D568" s="36"/>
      <c r="E568" s="36"/>
      <c r="F568" s="36"/>
      <c r="G568" s="36"/>
      <c r="H568" s="35"/>
      <c r="I568" s="35"/>
      <c r="J568" s="35"/>
      <c r="K568" s="36"/>
      <c r="L568" s="36"/>
      <c r="M568" s="36"/>
      <c r="N568" s="36"/>
      <c r="O568" s="36"/>
      <c r="P568" s="36"/>
      <c r="Q568" s="36"/>
      <c r="R568" s="36"/>
      <c r="S568" s="36"/>
      <c r="T568" s="36"/>
      <c r="U568" s="36"/>
      <c r="V568" s="36"/>
      <c r="W568" s="36"/>
      <c r="X568" s="36"/>
      <c r="Y568" s="36"/>
      <c r="Z568" s="3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row>
    <row r="569" spans="1:57" ht="15.75" customHeight="1" x14ac:dyDescent="0.2">
      <c r="A569" s="36"/>
      <c r="B569" s="36"/>
      <c r="C569" s="35"/>
      <c r="D569" s="36"/>
      <c r="E569" s="36"/>
      <c r="F569" s="36"/>
      <c r="G569" s="36"/>
      <c r="H569" s="35"/>
      <c r="I569" s="35"/>
      <c r="J569" s="35"/>
      <c r="K569" s="36"/>
      <c r="L569" s="36"/>
      <c r="M569" s="36"/>
      <c r="N569" s="36"/>
      <c r="O569" s="36"/>
      <c r="P569" s="36"/>
      <c r="Q569" s="36"/>
      <c r="R569" s="36"/>
      <c r="S569" s="36"/>
      <c r="T569" s="36"/>
      <c r="U569" s="36"/>
      <c r="V569" s="36"/>
      <c r="W569" s="36"/>
      <c r="X569" s="36"/>
      <c r="Y569" s="36"/>
      <c r="Z569" s="3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row>
    <row r="570" spans="1:57" ht="15.75" customHeight="1" x14ac:dyDescent="0.2">
      <c r="A570" s="36"/>
      <c r="B570" s="36"/>
      <c r="C570" s="35"/>
      <c r="D570" s="36"/>
      <c r="E570" s="36"/>
      <c r="F570" s="36"/>
      <c r="G570" s="36"/>
      <c r="H570" s="35"/>
      <c r="I570" s="35"/>
      <c r="J570" s="35"/>
      <c r="K570" s="36"/>
      <c r="L570" s="36"/>
      <c r="M570" s="36"/>
      <c r="N570" s="36"/>
      <c r="O570" s="36"/>
      <c r="P570" s="36"/>
      <c r="Q570" s="36"/>
      <c r="R570" s="36"/>
      <c r="S570" s="36"/>
      <c r="T570" s="36"/>
      <c r="U570" s="36"/>
      <c r="V570" s="36"/>
      <c r="W570" s="36"/>
      <c r="X570" s="36"/>
      <c r="Y570" s="36"/>
      <c r="Z570" s="3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row>
    <row r="571" spans="1:57" ht="15.75" customHeight="1" x14ac:dyDescent="0.2">
      <c r="A571" s="36"/>
      <c r="B571" s="36"/>
      <c r="C571" s="35"/>
      <c r="D571" s="36"/>
      <c r="E571" s="36"/>
      <c r="F571" s="36"/>
      <c r="G571" s="36"/>
      <c r="H571" s="35"/>
      <c r="I571" s="35"/>
      <c r="J571" s="35"/>
      <c r="K571" s="36"/>
      <c r="L571" s="36"/>
      <c r="M571" s="36"/>
      <c r="N571" s="36"/>
      <c r="O571" s="36"/>
      <c r="P571" s="36"/>
      <c r="Q571" s="36"/>
      <c r="R571" s="36"/>
      <c r="S571" s="36"/>
      <c r="T571" s="36"/>
      <c r="U571" s="36"/>
      <c r="V571" s="36"/>
      <c r="W571" s="36"/>
      <c r="X571" s="36"/>
      <c r="Y571" s="36"/>
      <c r="Z571" s="3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row>
    <row r="572" spans="1:57" ht="15.75" customHeight="1" x14ac:dyDescent="0.2">
      <c r="A572" s="36"/>
      <c r="B572" s="36"/>
      <c r="C572" s="35"/>
      <c r="D572" s="36"/>
      <c r="E572" s="36"/>
      <c r="F572" s="36"/>
      <c r="G572" s="36"/>
      <c r="H572" s="35"/>
      <c r="I572" s="35"/>
      <c r="J572" s="35"/>
      <c r="K572" s="36"/>
      <c r="L572" s="36"/>
      <c r="M572" s="36"/>
      <c r="N572" s="36"/>
      <c r="O572" s="36"/>
      <c r="P572" s="36"/>
      <c r="Q572" s="36"/>
      <c r="R572" s="36"/>
      <c r="S572" s="36"/>
      <c r="T572" s="36"/>
      <c r="U572" s="36"/>
      <c r="V572" s="36"/>
      <c r="W572" s="36"/>
      <c r="X572" s="36"/>
      <c r="Y572" s="36"/>
      <c r="Z572" s="3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row>
    <row r="573" spans="1:57" ht="15.75" customHeight="1" x14ac:dyDescent="0.2">
      <c r="A573" s="36"/>
      <c r="B573" s="36"/>
      <c r="C573" s="35"/>
      <c r="D573" s="36"/>
      <c r="E573" s="36"/>
      <c r="F573" s="36"/>
      <c r="G573" s="36"/>
      <c r="H573" s="35"/>
      <c r="I573" s="35"/>
      <c r="J573" s="35"/>
      <c r="K573" s="36"/>
      <c r="L573" s="36"/>
      <c r="M573" s="36"/>
      <c r="N573" s="36"/>
      <c r="O573" s="36"/>
      <c r="P573" s="36"/>
      <c r="Q573" s="36"/>
      <c r="R573" s="36"/>
      <c r="S573" s="36"/>
      <c r="T573" s="36"/>
      <c r="U573" s="36"/>
      <c r="V573" s="36"/>
      <c r="W573" s="36"/>
      <c r="X573" s="36"/>
      <c r="Y573" s="36"/>
      <c r="Z573" s="3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row>
    <row r="574" spans="1:57" ht="15.75" customHeight="1" x14ac:dyDescent="0.2">
      <c r="A574" s="36"/>
      <c r="B574" s="36"/>
      <c r="C574" s="35"/>
      <c r="D574" s="36"/>
      <c r="E574" s="36"/>
      <c r="F574" s="36"/>
      <c r="G574" s="36"/>
      <c r="H574" s="35"/>
      <c r="I574" s="35"/>
      <c r="J574" s="35"/>
      <c r="K574" s="36"/>
      <c r="L574" s="36"/>
      <c r="M574" s="36"/>
      <c r="N574" s="36"/>
      <c r="O574" s="36"/>
      <c r="P574" s="36"/>
      <c r="Q574" s="36"/>
      <c r="R574" s="36"/>
      <c r="S574" s="36"/>
      <c r="T574" s="36"/>
      <c r="U574" s="36"/>
      <c r="V574" s="36"/>
      <c r="W574" s="36"/>
      <c r="X574" s="36"/>
      <c r="Y574" s="36"/>
      <c r="Z574" s="3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row>
    <row r="575" spans="1:57" ht="15.75" customHeight="1" x14ac:dyDescent="0.2">
      <c r="A575" s="36"/>
      <c r="B575" s="36"/>
      <c r="C575" s="35"/>
      <c r="D575" s="36"/>
      <c r="E575" s="36"/>
      <c r="F575" s="36"/>
      <c r="G575" s="36"/>
      <c r="H575" s="35"/>
      <c r="I575" s="35"/>
      <c r="J575" s="35"/>
      <c r="K575" s="36"/>
      <c r="L575" s="36"/>
      <c r="M575" s="36"/>
      <c r="N575" s="36"/>
      <c r="O575" s="36"/>
      <c r="P575" s="36"/>
      <c r="Q575" s="36"/>
      <c r="R575" s="36"/>
      <c r="S575" s="36"/>
      <c r="T575" s="36"/>
      <c r="U575" s="36"/>
      <c r="V575" s="36"/>
      <c r="W575" s="36"/>
      <c r="X575" s="36"/>
      <c r="Y575" s="36"/>
      <c r="Z575" s="3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row>
    <row r="576" spans="1:57" ht="15.75" customHeight="1" x14ac:dyDescent="0.2">
      <c r="A576" s="36"/>
      <c r="B576" s="36"/>
      <c r="C576" s="35"/>
      <c r="D576" s="36"/>
      <c r="E576" s="36"/>
      <c r="F576" s="36"/>
      <c r="G576" s="36"/>
      <c r="H576" s="35"/>
      <c r="I576" s="35"/>
      <c r="J576" s="35"/>
      <c r="K576" s="36"/>
      <c r="L576" s="36"/>
      <c r="M576" s="36"/>
      <c r="N576" s="36"/>
      <c r="O576" s="36"/>
      <c r="P576" s="36"/>
      <c r="Q576" s="36"/>
      <c r="R576" s="36"/>
      <c r="S576" s="36"/>
      <c r="T576" s="36"/>
      <c r="U576" s="36"/>
      <c r="V576" s="36"/>
      <c r="W576" s="36"/>
      <c r="X576" s="36"/>
      <c r="Y576" s="36"/>
      <c r="Z576" s="3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row>
    <row r="577" spans="1:57" ht="15.75" customHeight="1" x14ac:dyDescent="0.2">
      <c r="A577" s="36"/>
      <c r="B577" s="36"/>
      <c r="C577" s="35"/>
      <c r="D577" s="36"/>
      <c r="E577" s="36"/>
      <c r="F577" s="36"/>
      <c r="G577" s="36"/>
      <c r="H577" s="35"/>
      <c r="I577" s="35"/>
      <c r="J577" s="35"/>
      <c r="K577" s="36"/>
      <c r="L577" s="36"/>
      <c r="M577" s="36"/>
      <c r="N577" s="36"/>
      <c r="O577" s="36"/>
      <c r="P577" s="36"/>
      <c r="Q577" s="36"/>
      <c r="R577" s="36"/>
      <c r="S577" s="36"/>
      <c r="T577" s="36"/>
      <c r="U577" s="36"/>
      <c r="V577" s="36"/>
      <c r="W577" s="36"/>
      <c r="X577" s="36"/>
      <c r="Y577" s="36"/>
      <c r="Z577" s="3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row>
    <row r="578" spans="1:57" ht="15.75" customHeight="1" x14ac:dyDescent="0.2">
      <c r="A578" s="36"/>
      <c r="B578" s="36"/>
      <c r="C578" s="35"/>
      <c r="D578" s="36"/>
      <c r="E578" s="36"/>
      <c r="F578" s="36"/>
      <c r="G578" s="36"/>
      <c r="H578" s="35"/>
      <c r="I578" s="35"/>
      <c r="J578" s="35"/>
      <c r="K578" s="36"/>
      <c r="L578" s="36"/>
      <c r="M578" s="36"/>
      <c r="N578" s="36"/>
      <c r="O578" s="36"/>
      <c r="P578" s="36"/>
      <c r="Q578" s="36"/>
      <c r="R578" s="36"/>
      <c r="S578" s="36"/>
      <c r="T578" s="36"/>
      <c r="U578" s="36"/>
      <c r="V578" s="36"/>
      <c r="W578" s="36"/>
      <c r="X578" s="36"/>
      <c r="Y578" s="36"/>
      <c r="Z578" s="3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row>
    <row r="579" spans="1:57" ht="15.75" customHeight="1" x14ac:dyDescent="0.2">
      <c r="A579" s="36"/>
      <c r="B579" s="36"/>
      <c r="C579" s="35"/>
      <c r="D579" s="36"/>
      <c r="E579" s="36"/>
      <c r="F579" s="36"/>
      <c r="G579" s="36"/>
      <c r="H579" s="35"/>
      <c r="I579" s="35"/>
      <c r="J579" s="35"/>
      <c r="K579" s="36"/>
      <c r="L579" s="36"/>
      <c r="M579" s="36"/>
      <c r="N579" s="36"/>
      <c r="O579" s="36"/>
      <c r="P579" s="36"/>
      <c r="Q579" s="36"/>
      <c r="R579" s="36"/>
      <c r="S579" s="36"/>
      <c r="T579" s="36"/>
      <c r="U579" s="36"/>
      <c r="V579" s="36"/>
      <c r="W579" s="36"/>
      <c r="X579" s="36"/>
      <c r="Y579" s="36"/>
      <c r="Z579" s="3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row>
    <row r="580" spans="1:57" ht="15.75" customHeight="1" x14ac:dyDescent="0.2">
      <c r="A580" s="36"/>
      <c r="B580" s="36"/>
      <c r="C580" s="35"/>
      <c r="D580" s="36"/>
      <c r="E580" s="36"/>
      <c r="F580" s="36"/>
      <c r="G580" s="36"/>
      <c r="H580" s="35"/>
      <c r="I580" s="35"/>
      <c r="J580" s="35"/>
      <c r="K580" s="36"/>
      <c r="L580" s="36"/>
      <c r="M580" s="36"/>
      <c r="N580" s="36"/>
      <c r="O580" s="36"/>
      <c r="P580" s="36"/>
      <c r="Q580" s="36"/>
      <c r="R580" s="36"/>
      <c r="S580" s="36"/>
      <c r="T580" s="36"/>
      <c r="U580" s="36"/>
      <c r="V580" s="36"/>
      <c r="W580" s="36"/>
      <c r="X580" s="36"/>
      <c r="Y580" s="36"/>
      <c r="Z580" s="3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row>
    <row r="581" spans="1:57" ht="15.75" customHeight="1" x14ac:dyDescent="0.2">
      <c r="A581" s="36"/>
      <c r="B581" s="36"/>
      <c r="C581" s="35"/>
      <c r="D581" s="36"/>
      <c r="E581" s="36"/>
      <c r="F581" s="36"/>
      <c r="G581" s="36"/>
      <c r="H581" s="35"/>
      <c r="I581" s="35"/>
      <c r="J581" s="35"/>
      <c r="K581" s="36"/>
      <c r="L581" s="36"/>
      <c r="M581" s="36"/>
      <c r="N581" s="36"/>
      <c r="O581" s="36"/>
      <c r="P581" s="36"/>
      <c r="Q581" s="36"/>
      <c r="R581" s="36"/>
      <c r="S581" s="36"/>
      <c r="T581" s="36"/>
      <c r="U581" s="36"/>
      <c r="V581" s="36"/>
      <c r="W581" s="36"/>
      <c r="X581" s="36"/>
      <c r="Y581" s="36"/>
      <c r="Z581" s="3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row>
    <row r="582" spans="1:57" ht="15.75" customHeight="1" x14ac:dyDescent="0.2">
      <c r="A582" s="36"/>
      <c r="B582" s="36"/>
      <c r="C582" s="35"/>
      <c r="D582" s="36"/>
      <c r="E582" s="36"/>
      <c r="F582" s="36"/>
      <c r="G582" s="36"/>
      <c r="H582" s="35"/>
      <c r="I582" s="35"/>
      <c r="J582" s="35"/>
      <c r="K582" s="36"/>
      <c r="L582" s="36"/>
      <c r="M582" s="36"/>
      <c r="N582" s="36"/>
      <c r="O582" s="36"/>
      <c r="P582" s="36"/>
      <c r="Q582" s="36"/>
      <c r="R582" s="36"/>
      <c r="S582" s="36"/>
      <c r="T582" s="36"/>
      <c r="U582" s="36"/>
      <c r="V582" s="36"/>
      <c r="W582" s="36"/>
      <c r="X582" s="36"/>
      <c r="Y582" s="36"/>
      <c r="Z582" s="3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row>
    <row r="583" spans="1:57" ht="15.75" customHeight="1" x14ac:dyDescent="0.2">
      <c r="A583" s="36"/>
      <c r="B583" s="36"/>
      <c r="C583" s="35"/>
      <c r="D583" s="36"/>
      <c r="E583" s="36"/>
      <c r="F583" s="36"/>
      <c r="G583" s="36"/>
      <c r="H583" s="35"/>
      <c r="I583" s="35"/>
      <c r="J583" s="35"/>
      <c r="K583" s="36"/>
      <c r="L583" s="36"/>
      <c r="M583" s="36"/>
      <c r="N583" s="36"/>
      <c r="O583" s="36"/>
      <c r="P583" s="36"/>
      <c r="Q583" s="36"/>
      <c r="R583" s="36"/>
      <c r="S583" s="36"/>
      <c r="T583" s="36"/>
      <c r="U583" s="36"/>
      <c r="V583" s="36"/>
      <c r="W583" s="36"/>
      <c r="X583" s="36"/>
      <c r="Y583" s="36"/>
      <c r="Z583" s="3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row>
    <row r="584" spans="1:57" ht="15.75" customHeight="1" x14ac:dyDescent="0.2">
      <c r="A584" s="36"/>
      <c r="B584" s="36"/>
      <c r="C584" s="35"/>
      <c r="D584" s="36"/>
      <c r="E584" s="36"/>
      <c r="F584" s="36"/>
      <c r="G584" s="36"/>
      <c r="H584" s="35"/>
      <c r="I584" s="35"/>
      <c r="J584" s="35"/>
      <c r="K584" s="36"/>
      <c r="L584" s="36"/>
      <c r="M584" s="36"/>
      <c r="N584" s="36"/>
      <c r="O584" s="36"/>
      <c r="P584" s="36"/>
      <c r="Q584" s="36"/>
      <c r="R584" s="36"/>
      <c r="S584" s="36"/>
      <c r="T584" s="36"/>
      <c r="U584" s="36"/>
      <c r="V584" s="36"/>
      <c r="W584" s="36"/>
      <c r="X584" s="36"/>
      <c r="Y584" s="36"/>
      <c r="Z584" s="3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row>
    <row r="585" spans="1:57" ht="15.75" customHeight="1" x14ac:dyDescent="0.2">
      <c r="A585" s="36"/>
      <c r="B585" s="36"/>
      <c r="C585" s="35"/>
      <c r="D585" s="36"/>
      <c r="E585" s="36"/>
      <c r="F585" s="36"/>
      <c r="G585" s="36"/>
      <c r="H585" s="35"/>
      <c r="I585" s="35"/>
      <c r="J585" s="35"/>
      <c r="K585" s="36"/>
      <c r="L585" s="36"/>
      <c r="M585" s="36"/>
      <c r="N585" s="36"/>
      <c r="O585" s="36"/>
      <c r="P585" s="36"/>
      <c r="Q585" s="36"/>
      <c r="R585" s="36"/>
      <c r="S585" s="36"/>
      <c r="T585" s="36"/>
      <c r="U585" s="36"/>
      <c r="V585" s="36"/>
      <c r="W585" s="36"/>
      <c r="X585" s="36"/>
      <c r="Y585" s="36"/>
      <c r="Z585" s="3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row>
    <row r="586" spans="1:57" ht="15.75" customHeight="1" x14ac:dyDescent="0.2">
      <c r="A586" s="36"/>
      <c r="B586" s="36"/>
      <c r="C586" s="35"/>
      <c r="D586" s="36"/>
      <c r="E586" s="36"/>
      <c r="F586" s="36"/>
      <c r="G586" s="36"/>
      <c r="H586" s="35"/>
      <c r="I586" s="35"/>
      <c r="J586" s="35"/>
      <c r="K586" s="36"/>
      <c r="L586" s="36"/>
      <c r="M586" s="36"/>
      <c r="N586" s="36"/>
      <c r="O586" s="36"/>
      <c r="P586" s="36"/>
      <c r="Q586" s="36"/>
      <c r="R586" s="36"/>
      <c r="S586" s="36"/>
      <c r="T586" s="36"/>
      <c r="U586" s="36"/>
      <c r="V586" s="36"/>
      <c r="W586" s="36"/>
      <c r="X586" s="36"/>
      <c r="Y586" s="36"/>
      <c r="Z586" s="3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row>
    <row r="587" spans="1:57" ht="15.75" customHeight="1" x14ac:dyDescent="0.2">
      <c r="A587" s="36"/>
      <c r="B587" s="36"/>
      <c r="C587" s="35"/>
      <c r="D587" s="36"/>
      <c r="E587" s="36"/>
      <c r="F587" s="36"/>
      <c r="G587" s="36"/>
      <c r="H587" s="35"/>
      <c r="I587" s="35"/>
      <c r="J587" s="35"/>
      <c r="K587" s="36"/>
      <c r="L587" s="36"/>
      <c r="M587" s="36"/>
      <c r="N587" s="36"/>
      <c r="O587" s="36"/>
      <c r="P587" s="36"/>
      <c r="Q587" s="36"/>
      <c r="R587" s="36"/>
      <c r="S587" s="36"/>
      <c r="T587" s="36"/>
      <c r="U587" s="36"/>
      <c r="V587" s="36"/>
      <c r="W587" s="36"/>
      <c r="X587" s="36"/>
      <c r="Y587" s="36"/>
      <c r="Z587" s="3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row>
    <row r="588" spans="1:57" ht="15.75" customHeight="1" x14ac:dyDescent="0.2">
      <c r="A588" s="36"/>
      <c r="B588" s="36"/>
      <c r="C588" s="35"/>
      <c r="D588" s="36"/>
      <c r="E588" s="36"/>
      <c r="F588" s="36"/>
      <c r="G588" s="36"/>
      <c r="H588" s="35"/>
      <c r="I588" s="35"/>
      <c r="J588" s="35"/>
      <c r="K588" s="36"/>
      <c r="L588" s="36"/>
      <c r="M588" s="36"/>
      <c r="N588" s="36"/>
      <c r="O588" s="36"/>
      <c r="P588" s="36"/>
      <c r="Q588" s="36"/>
      <c r="R588" s="36"/>
      <c r="S588" s="36"/>
      <c r="T588" s="36"/>
      <c r="U588" s="36"/>
      <c r="V588" s="36"/>
      <c r="W588" s="36"/>
      <c r="X588" s="36"/>
      <c r="Y588" s="36"/>
      <c r="Z588" s="3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row>
    <row r="589" spans="1:57" ht="15.75" customHeight="1" x14ac:dyDescent="0.2">
      <c r="A589" s="36"/>
      <c r="B589" s="36"/>
      <c r="C589" s="35"/>
      <c r="D589" s="36"/>
      <c r="E589" s="36"/>
      <c r="F589" s="36"/>
      <c r="G589" s="36"/>
      <c r="H589" s="35"/>
      <c r="I589" s="35"/>
      <c r="J589" s="35"/>
      <c r="K589" s="36"/>
      <c r="L589" s="36"/>
      <c r="M589" s="36"/>
      <c r="N589" s="36"/>
      <c r="O589" s="36"/>
      <c r="P589" s="36"/>
      <c r="Q589" s="36"/>
      <c r="R589" s="36"/>
      <c r="S589" s="36"/>
      <c r="T589" s="36"/>
      <c r="U589" s="36"/>
      <c r="V589" s="36"/>
      <c r="W589" s="36"/>
      <c r="X589" s="36"/>
      <c r="Y589" s="36"/>
      <c r="Z589" s="3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row>
    <row r="590" spans="1:57" ht="15.75" customHeight="1" x14ac:dyDescent="0.2">
      <c r="A590" s="36"/>
      <c r="B590" s="36"/>
      <c r="C590" s="35"/>
      <c r="D590" s="36"/>
      <c r="E590" s="36"/>
      <c r="F590" s="36"/>
      <c r="G590" s="36"/>
      <c r="H590" s="35"/>
      <c r="I590" s="35"/>
      <c r="J590" s="35"/>
      <c r="K590" s="36"/>
      <c r="L590" s="36"/>
      <c r="M590" s="36"/>
      <c r="N590" s="36"/>
      <c r="O590" s="36"/>
      <c r="P590" s="36"/>
      <c r="Q590" s="36"/>
      <c r="R590" s="36"/>
      <c r="S590" s="36"/>
      <c r="T590" s="36"/>
      <c r="U590" s="36"/>
      <c r="V590" s="36"/>
      <c r="W590" s="36"/>
      <c r="X590" s="36"/>
      <c r="Y590" s="36"/>
      <c r="Z590" s="3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row>
    <row r="591" spans="1:57" ht="15.75" customHeight="1" x14ac:dyDescent="0.2">
      <c r="A591" s="36"/>
      <c r="B591" s="36"/>
      <c r="C591" s="35"/>
      <c r="D591" s="36"/>
      <c r="E591" s="36"/>
      <c r="F591" s="36"/>
      <c r="G591" s="36"/>
      <c r="H591" s="35"/>
      <c r="I591" s="35"/>
      <c r="J591" s="35"/>
      <c r="K591" s="36"/>
      <c r="L591" s="36"/>
      <c r="M591" s="36"/>
      <c r="N591" s="36"/>
      <c r="O591" s="36"/>
      <c r="P591" s="36"/>
      <c r="Q591" s="36"/>
      <c r="R591" s="36"/>
      <c r="S591" s="36"/>
      <c r="T591" s="36"/>
      <c r="U591" s="36"/>
      <c r="V591" s="36"/>
      <c r="W591" s="36"/>
      <c r="X591" s="36"/>
      <c r="Y591" s="36"/>
      <c r="Z591" s="3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row>
    <row r="592" spans="1:57" ht="15.75" customHeight="1" x14ac:dyDescent="0.2">
      <c r="A592" s="36"/>
      <c r="B592" s="36"/>
      <c r="C592" s="35"/>
      <c r="D592" s="36"/>
      <c r="E592" s="36"/>
      <c r="F592" s="36"/>
      <c r="G592" s="36"/>
      <c r="H592" s="35"/>
      <c r="I592" s="35"/>
      <c r="J592" s="35"/>
      <c r="K592" s="36"/>
      <c r="L592" s="36"/>
      <c r="M592" s="36"/>
      <c r="N592" s="36"/>
      <c r="O592" s="36"/>
      <c r="P592" s="36"/>
      <c r="Q592" s="36"/>
      <c r="R592" s="36"/>
      <c r="S592" s="36"/>
      <c r="T592" s="36"/>
      <c r="U592" s="36"/>
      <c r="V592" s="36"/>
      <c r="W592" s="36"/>
      <c r="X592" s="36"/>
      <c r="Y592" s="36"/>
      <c r="Z592" s="3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row>
    <row r="593" spans="1:57" ht="15.75" customHeight="1" x14ac:dyDescent="0.2">
      <c r="A593" s="36"/>
      <c r="B593" s="36"/>
      <c r="C593" s="35"/>
      <c r="D593" s="36"/>
      <c r="E593" s="36"/>
      <c r="F593" s="36"/>
      <c r="G593" s="36"/>
      <c r="H593" s="35"/>
      <c r="I593" s="35"/>
      <c r="J593" s="35"/>
      <c r="K593" s="36"/>
      <c r="L593" s="36"/>
      <c r="M593" s="36"/>
      <c r="N593" s="36"/>
      <c r="O593" s="36"/>
      <c r="P593" s="36"/>
      <c r="Q593" s="36"/>
      <c r="R593" s="36"/>
      <c r="S593" s="36"/>
      <c r="T593" s="36"/>
      <c r="U593" s="36"/>
      <c r="V593" s="36"/>
      <c r="W593" s="36"/>
      <c r="X593" s="36"/>
      <c r="Y593" s="36"/>
      <c r="Z593" s="3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row>
    <row r="594" spans="1:57" ht="15.75" customHeight="1" x14ac:dyDescent="0.2">
      <c r="A594" s="36"/>
      <c r="B594" s="36"/>
      <c r="C594" s="35"/>
      <c r="D594" s="36"/>
      <c r="E594" s="36"/>
      <c r="F594" s="36"/>
      <c r="G594" s="36"/>
      <c r="H594" s="35"/>
      <c r="I594" s="35"/>
      <c r="J594" s="35"/>
      <c r="K594" s="36"/>
      <c r="L594" s="36"/>
      <c r="M594" s="36"/>
      <c r="N594" s="36"/>
      <c r="O594" s="36"/>
      <c r="P594" s="36"/>
      <c r="Q594" s="36"/>
      <c r="R594" s="36"/>
      <c r="S594" s="36"/>
      <c r="T594" s="36"/>
      <c r="U594" s="36"/>
      <c r="V594" s="36"/>
      <c r="W594" s="36"/>
      <c r="X594" s="36"/>
      <c r="Y594" s="36"/>
      <c r="Z594" s="3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row>
    <row r="595" spans="1:57" ht="15.75" customHeight="1" x14ac:dyDescent="0.2">
      <c r="A595" s="36"/>
      <c r="B595" s="36"/>
      <c r="C595" s="35"/>
      <c r="D595" s="36"/>
      <c r="E595" s="36"/>
      <c r="F595" s="36"/>
      <c r="G595" s="36"/>
      <c r="H595" s="35"/>
      <c r="I595" s="35"/>
      <c r="J595" s="35"/>
      <c r="K595" s="36"/>
      <c r="L595" s="36"/>
      <c r="M595" s="36"/>
      <c r="N595" s="36"/>
      <c r="O595" s="36"/>
      <c r="P595" s="36"/>
      <c r="Q595" s="36"/>
      <c r="R595" s="36"/>
      <c r="S595" s="36"/>
      <c r="T595" s="36"/>
      <c r="U595" s="36"/>
      <c r="V595" s="36"/>
      <c r="W595" s="36"/>
      <c r="X595" s="36"/>
      <c r="Y595" s="36"/>
      <c r="Z595" s="3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row>
    <row r="596" spans="1:57" ht="15.75" customHeight="1" x14ac:dyDescent="0.2">
      <c r="A596" s="36"/>
      <c r="B596" s="36"/>
      <c r="C596" s="35"/>
      <c r="D596" s="36"/>
      <c r="E596" s="36"/>
      <c r="F596" s="36"/>
      <c r="G596" s="36"/>
      <c r="H596" s="35"/>
      <c r="I596" s="35"/>
      <c r="J596" s="35"/>
      <c r="K596" s="36"/>
      <c r="L596" s="36"/>
      <c r="M596" s="36"/>
      <c r="N596" s="36"/>
      <c r="O596" s="36"/>
      <c r="P596" s="36"/>
      <c r="Q596" s="36"/>
      <c r="R596" s="36"/>
      <c r="S596" s="36"/>
      <c r="T596" s="36"/>
      <c r="U596" s="36"/>
      <c r="V596" s="36"/>
      <c r="W596" s="36"/>
      <c r="X596" s="36"/>
      <c r="Y596" s="36"/>
      <c r="Z596" s="3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row>
    <row r="597" spans="1:57" ht="15.75" customHeight="1" x14ac:dyDescent="0.2">
      <c r="A597" s="36"/>
      <c r="B597" s="36"/>
      <c r="C597" s="35"/>
      <c r="D597" s="36"/>
      <c r="E597" s="36"/>
      <c r="F597" s="36"/>
      <c r="G597" s="36"/>
      <c r="H597" s="35"/>
      <c r="I597" s="35"/>
      <c r="J597" s="35"/>
      <c r="K597" s="36"/>
      <c r="L597" s="36"/>
      <c r="M597" s="36"/>
      <c r="N597" s="36"/>
      <c r="O597" s="36"/>
      <c r="P597" s="36"/>
      <c r="Q597" s="36"/>
      <c r="R597" s="36"/>
      <c r="S597" s="36"/>
      <c r="T597" s="36"/>
      <c r="U597" s="36"/>
      <c r="V597" s="36"/>
      <c r="W597" s="36"/>
      <c r="X597" s="36"/>
      <c r="Y597" s="36"/>
      <c r="Z597" s="3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row>
    <row r="598" spans="1:57" ht="15.75" customHeight="1" x14ac:dyDescent="0.2">
      <c r="A598" s="36"/>
      <c r="B598" s="36"/>
      <c r="C598" s="35"/>
      <c r="D598" s="36"/>
      <c r="E598" s="36"/>
      <c r="F598" s="36"/>
      <c r="G598" s="36"/>
      <c r="H598" s="35"/>
      <c r="I598" s="35"/>
      <c r="J598" s="35"/>
      <c r="K598" s="36"/>
      <c r="L598" s="36"/>
      <c r="M598" s="36"/>
      <c r="N598" s="36"/>
      <c r="O598" s="36"/>
      <c r="P598" s="36"/>
      <c r="Q598" s="36"/>
      <c r="R598" s="36"/>
      <c r="S598" s="36"/>
      <c r="T598" s="36"/>
      <c r="U598" s="36"/>
      <c r="V598" s="36"/>
      <c r="W598" s="36"/>
      <c r="X598" s="36"/>
      <c r="Y598" s="36"/>
      <c r="Z598" s="3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row>
    <row r="599" spans="1:57" ht="15.75" customHeight="1" x14ac:dyDescent="0.2">
      <c r="A599" s="36"/>
      <c r="B599" s="36"/>
      <c r="C599" s="35"/>
      <c r="D599" s="36"/>
      <c r="E599" s="36"/>
      <c r="F599" s="36"/>
      <c r="G599" s="36"/>
      <c r="H599" s="35"/>
      <c r="I599" s="35"/>
      <c r="J599" s="35"/>
      <c r="K599" s="36"/>
      <c r="L599" s="36"/>
      <c r="M599" s="36"/>
      <c r="N599" s="36"/>
      <c r="O599" s="36"/>
      <c r="P599" s="36"/>
      <c r="Q599" s="36"/>
      <c r="R599" s="36"/>
      <c r="S599" s="36"/>
      <c r="T599" s="36"/>
      <c r="U599" s="36"/>
      <c r="V599" s="36"/>
      <c r="W599" s="36"/>
      <c r="X599" s="36"/>
      <c r="Y599" s="36"/>
      <c r="Z599" s="3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row>
    <row r="600" spans="1:57" ht="15.75" customHeight="1" x14ac:dyDescent="0.2">
      <c r="A600" s="36"/>
      <c r="B600" s="36"/>
      <c r="C600" s="35"/>
      <c r="D600" s="36"/>
      <c r="E600" s="36"/>
      <c r="F600" s="36"/>
      <c r="G600" s="36"/>
      <c r="H600" s="35"/>
      <c r="I600" s="35"/>
      <c r="J600" s="35"/>
      <c r="K600" s="36"/>
      <c r="L600" s="36"/>
      <c r="M600" s="36"/>
      <c r="N600" s="36"/>
      <c r="O600" s="36"/>
      <c r="P600" s="36"/>
      <c r="Q600" s="36"/>
      <c r="R600" s="36"/>
      <c r="S600" s="36"/>
      <c r="T600" s="36"/>
      <c r="U600" s="36"/>
      <c r="V600" s="36"/>
      <c r="W600" s="36"/>
      <c r="X600" s="36"/>
      <c r="Y600" s="36"/>
      <c r="Z600" s="3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row>
    <row r="601" spans="1:57" ht="15.75" customHeight="1" x14ac:dyDescent="0.2">
      <c r="A601" s="36"/>
      <c r="B601" s="36"/>
      <c r="C601" s="35"/>
      <c r="D601" s="36"/>
      <c r="E601" s="36"/>
      <c r="F601" s="36"/>
      <c r="G601" s="36"/>
      <c r="H601" s="35"/>
      <c r="I601" s="35"/>
      <c r="J601" s="35"/>
      <c r="K601" s="36"/>
      <c r="L601" s="36"/>
      <c r="M601" s="36"/>
      <c r="N601" s="36"/>
      <c r="O601" s="36"/>
      <c r="P601" s="36"/>
      <c r="Q601" s="36"/>
      <c r="R601" s="36"/>
      <c r="S601" s="36"/>
      <c r="T601" s="36"/>
      <c r="U601" s="36"/>
      <c r="V601" s="36"/>
      <c r="W601" s="36"/>
      <c r="X601" s="36"/>
      <c r="Y601" s="36"/>
      <c r="Z601" s="3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row>
    <row r="602" spans="1:57" ht="15.75" customHeight="1" x14ac:dyDescent="0.2">
      <c r="A602" s="36"/>
      <c r="B602" s="36"/>
      <c r="C602" s="35"/>
      <c r="D602" s="36"/>
      <c r="E602" s="36"/>
      <c r="F602" s="36"/>
      <c r="G602" s="36"/>
      <c r="H602" s="35"/>
      <c r="I602" s="35"/>
      <c r="J602" s="35"/>
      <c r="K602" s="36"/>
      <c r="L602" s="36"/>
      <c r="M602" s="36"/>
      <c r="N602" s="36"/>
      <c r="O602" s="36"/>
      <c r="P602" s="36"/>
      <c r="Q602" s="36"/>
      <c r="R602" s="36"/>
      <c r="S602" s="36"/>
      <c r="T602" s="36"/>
      <c r="U602" s="36"/>
      <c r="V602" s="36"/>
      <c r="W602" s="36"/>
      <c r="X602" s="36"/>
      <c r="Y602" s="36"/>
      <c r="Z602" s="3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row>
    <row r="603" spans="1:57" ht="15.75" customHeight="1" x14ac:dyDescent="0.2">
      <c r="A603" s="36"/>
      <c r="B603" s="36"/>
      <c r="C603" s="35"/>
      <c r="D603" s="36"/>
      <c r="E603" s="36"/>
      <c r="F603" s="36"/>
      <c r="G603" s="36"/>
      <c r="H603" s="35"/>
      <c r="I603" s="35"/>
      <c r="J603" s="35"/>
      <c r="K603" s="36"/>
      <c r="L603" s="36"/>
      <c r="M603" s="36"/>
      <c r="N603" s="36"/>
      <c r="O603" s="36"/>
      <c r="P603" s="36"/>
      <c r="Q603" s="36"/>
      <c r="R603" s="36"/>
      <c r="S603" s="36"/>
      <c r="T603" s="36"/>
      <c r="U603" s="36"/>
      <c r="V603" s="36"/>
      <c r="W603" s="36"/>
      <c r="X603" s="36"/>
      <c r="Y603" s="36"/>
      <c r="Z603" s="3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row>
    <row r="604" spans="1:57" ht="15.75" customHeight="1" x14ac:dyDescent="0.2">
      <c r="A604" s="36"/>
      <c r="B604" s="36"/>
      <c r="C604" s="35"/>
      <c r="D604" s="36"/>
      <c r="E604" s="36"/>
      <c r="F604" s="36"/>
      <c r="G604" s="36"/>
      <c r="H604" s="35"/>
      <c r="I604" s="35"/>
      <c r="J604" s="35"/>
      <c r="K604" s="36"/>
      <c r="L604" s="36"/>
      <c r="M604" s="36"/>
      <c r="N604" s="36"/>
      <c r="O604" s="36"/>
      <c r="P604" s="36"/>
      <c r="Q604" s="36"/>
      <c r="R604" s="36"/>
      <c r="S604" s="36"/>
      <c r="T604" s="36"/>
      <c r="U604" s="36"/>
      <c r="V604" s="36"/>
      <c r="W604" s="36"/>
      <c r="X604" s="36"/>
      <c r="Y604" s="36"/>
      <c r="Z604" s="3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row>
    <row r="605" spans="1:57" ht="15.75" customHeight="1" x14ac:dyDescent="0.2">
      <c r="A605" s="36"/>
      <c r="B605" s="36"/>
      <c r="C605" s="35"/>
      <c r="D605" s="36"/>
      <c r="E605" s="36"/>
      <c r="F605" s="36"/>
      <c r="G605" s="36"/>
      <c r="H605" s="35"/>
      <c r="I605" s="35"/>
      <c r="J605" s="35"/>
      <c r="K605" s="36"/>
      <c r="L605" s="36"/>
      <c r="M605" s="36"/>
      <c r="N605" s="36"/>
      <c r="O605" s="36"/>
      <c r="P605" s="36"/>
      <c r="Q605" s="36"/>
      <c r="R605" s="36"/>
      <c r="S605" s="36"/>
      <c r="T605" s="36"/>
      <c r="U605" s="36"/>
      <c r="V605" s="36"/>
      <c r="W605" s="36"/>
      <c r="X605" s="36"/>
      <c r="Y605" s="36"/>
      <c r="Z605" s="3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row>
    <row r="606" spans="1:57" ht="15.75" customHeight="1" x14ac:dyDescent="0.2">
      <c r="A606" s="36"/>
      <c r="B606" s="36"/>
      <c r="C606" s="35"/>
      <c r="D606" s="36"/>
      <c r="E606" s="36"/>
      <c r="F606" s="36"/>
      <c r="G606" s="36"/>
      <c r="H606" s="35"/>
      <c r="I606" s="35"/>
      <c r="J606" s="35"/>
      <c r="K606" s="36"/>
      <c r="L606" s="36"/>
      <c r="M606" s="36"/>
      <c r="N606" s="36"/>
      <c r="O606" s="36"/>
      <c r="P606" s="36"/>
      <c r="Q606" s="36"/>
      <c r="R606" s="36"/>
      <c r="S606" s="36"/>
      <c r="T606" s="36"/>
      <c r="U606" s="36"/>
      <c r="V606" s="36"/>
      <c r="W606" s="36"/>
      <c r="X606" s="36"/>
      <c r="Y606" s="36"/>
      <c r="Z606" s="3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row>
    <row r="607" spans="1:57" ht="15.75" customHeight="1" x14ac:dyDescent="0.2">
      <c r="A607" s="36"/>
      <c r="B607" s="36"/>
      <c r="C607" s="35"/>
      <c r="D607" s="36"/>
      <c r="E607" s="36"/>
      <c r="F607" s="36"/>
      <c r="G607" s="36"/>
      <c r="H607" s="35"/>
      <c r="I607" s="35"/>
      <c r="J607" s="35"/>
      <c r="K607" s="36"/>
      <c r="L607" s="36"/>
      <c r="M607" s="36"/>
      <c r="N607" s="36"/>
      <c r="O607" s="36"/>
      <c r="P607" s="36"/>
      <c r="Q607" s="36"/>
      <c r="R607" s="36"/>
      <c r="S607" s="36"/>
      <c r="T607" s="36"/>
      <c r="U607" s="36"/>
      <c r="V607" s="36"/>
      <c r="W607" s="36"/>
      <c r="X607" s="36"/>
      <c r="Y607" s="36"/>
      <c r="Z607" s="3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row>
    <row r="608" spans="1:57" ht="15.75" customHeight="1" x14ac:dyDescent="0.2">
      <c r="A608" s="36"/>
      <c r="B608" s="36"/>
      <c r="C608" s="35"/>
      <c r="D608" s="36"/>
      <c r="E608" s="36"/>
      <c r="F608" s="36"/>
      <c r="G608" s="36"/>
      <c r="H608" s="35"/>
      <c r="I608" s="35"/>
      <c r="J608" s="35"/>
      <c r="K608" s="36"/>
      <c r="L608" s="36"/>
      <c r="M608" s="36"/>
      <c r="N608" s="36"/>
      <c r="O608" s="36"/>
      <c r="P608" s="36"/>
      <c r="Q608" s="36"/>
      <c r="R608" s="36"/>
      <c r="S608" s="36"/>
      <c r="T608" s="36"/>
      <c r="U608" s="36"/>
      <c r="V608" s="36"/>
      <c r="W608" s="36"/>
      <c r="X608" s="36"/>
      <c r="Y608" s="36"/>
      <c r="Z608" s="3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row>
    <row r="609" spans="1:57" ht="15.75" customHeight="1" x14ac:dyDescent="0.2">
      <c r="A609" s="36"/>
      <c r="B609" s="36"/>
      <c r="C609" s="35"/>
      <c r="D609" s="36"/>
      <c r="E609" s="36"/>
      <c r="F609" s="36"/>
      <c r="G609" s="36"/>
      <c r="H609" s="35"/>
      <c r="I609" s="35"/>
      <c r="J609" s="35"/>
      <c r="K609" s="36"/>
      <c r="L609" s="36"/>
      <c r="M609" s="36"/>
      <c r="N609" s="36"/>
      <c r="O609" s="36"/>
      <c r="P609" s="36"/>
      <c r="Q609" s="36"/>
      <c r="R609" s="36"/>
      <c r="S609" s="36"/>
      <c r="T609" s="36"/>
      <c r="U609" s="36"/>
      <c r="V609" s="36"/>
      <c r="W609" s="36"/>
      <c r="X609" s="36"/>
      <c r="Y609" s="36"/>
      <c r="Z609" s="3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row>
    <row r="610" spans="1:57" ht="15.75" customHeight="1" x14ac:dyDescent="0.2">
      <c r="A610" s="36"/>
      <c r="B610" s="36"/>
      <c r="C610" s="35"/>
      <c r="D610" s="36"/>
      <c r="E610" s="36"/>
      <c r="F610" s="36"/>
      <c r="G610" s="36"/>
      <c r="H610" s="35"/>
      <c r="I610" s="35"/>
      <c r="J610" s="35"/>
      <c r="K610" s="36"/>
      <c r="L610" s="36"/>
      <c r="M610" s="36"/>
      <c r="N610" s="36"/>
      <c r="O610" s="36"/>
      <c r="P610" s="36"/>
      <c r="Q610" s="36"/>
      <c r="R610" s="36"/>
      <c r="S610" s="36"/>
      <c r="T610" s="36"/>
      <c r="U610" s="36"/>
      <c r="V610" s="36"/>
      <c r="W610" s="36"/>
      <c r="X610" s="36"/>
      <c r="Y610" s="36"/>
      <c r="Z610" s="3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row>
    <row r="611" spans="1:57" ht="15.75" customHeight="1" x14ac:dyDescent="0.2">
      <c r="A611" s="36"/>
      <c r="B611" s="36"/>
      <c r="C611" s="35"/>
      <c r="D611" s="36"/>
      <c r="E611" s="36"/>
      <c r="F611" s="36"/>
      <c r="G611" s="36"/>
      <c r="H611" s="35"/>
      <c r="I611" s="35"/>
      <c r="J611" s="35"/>
      <c r="K611" s="36"/>
      <c r="L611" s="36"/>
      <c r="M611" s="36"/>
      <c r="N611" s="36"/>
      <c r="O611" s="36"/>
      <c r="P611" s="36"/>
      <c r="Q611" s="36"/>
      <c r="R611" s="36"/>
      <c r="S611" s="36"/>
      <c r="T611" s="36"/>
      <c r="U611" s="36"/>
      <c r="V611" s="36"/>
      <c r="W611" s="36"/>
      <c r="X611" s="36"/>
      <c r="Y611" s="36"/>
      <c r="Z611" s="3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row>
    <row r="612" spans="1:57" ht="15.75" customHeight="1" x14ac:dyDescent="0.2">
      <c r="A612" s="36"/>
      <c r="B612" s="36"/>
      <c r="C612" s="35"/>
      <c r="D612" s="36"/>
      <c r="E612" s="36"/>
      <c r="F612" s="36"/>
      <c r="G612" s="36"/>
      <c r="H612" s="35"/>
      <c r="I612" s="35"/>
      <c r="J612" s="35"/>
      <c r="K612" s="36"/>
      <c r="L612" s="36"/>
      <c r="M612" s="36"/>
      <c r="N612" s="36"/>
      <c r="O612" s="36"/>
      <c r="P612" s="36"/>
      <c r="Q612" s="36"/>
      <c r="R612" s="36"/>
      <c r="S612" s="36"/>
      <c r="T612" s="36"/>
      <c r="U612" s="36"/>
      <c r="V612" s="36"/>
      <c r="W612" s="36"/>
      <c r="X612" s="36"/>
      <c r="Y612" s="36"/>
      <c r="Z612" s="3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row>
    <row r="613" spans="1:57" ht="15.75" customHeight="1" x14ac:dyDescent="0.2">
      <c r="A613" s="36"/>
      <c r="B613" s="36"/>
      <c r="C613" s="35"/>
      <c r="D613" s="36"/>
      <c r="E613" s="36"/>
      <c r="F613" s="36"/>
      <c r="G613" s="36"/>
      <c r="H613" s="35"/>
      <c r="I613" s="35"/>
      <c r="J613" s="35"/>
      <c r="K613" s="36"/>
      <c r="L613" s="36"/>
      <c r="M613" s="36"/>
      <c r="N613" s="36"/>
      <c r="O613" s="36"/>
      <c r="P613" s="36"/>
      <c r="Q613" s="36"/>
      <c r="R613" s="36"/>
      <c r="S613" s="36"/>
      <c r="T613" s="36"/>
      <c r="U613" s="36"/>
      <c r="V613" s="36"/>
      <c r="W613" s="36"/>
      <c r="X613" s="36"/>
      <c r="Y613" s="36"/>
      <c r="Z613" s="3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row>
    <row r="614" spans="1:57" ht="15.75" customHeight="1" x14ac:dyDescent="0.2">
      <c r="A614" s="36"/>
      <c r="B614" s="36"/>
      <c r="C614" s="35"/>
      <c r="D614" s="36"/>
      <c r="E614" s="36"/>
      <c r="F614" s="36"/>
      <c r="G614" s="36"/>
      <c r="H614" s="35"/>
      <c r="I614" s="35"/>
      <c r="J614" s="35"/>
      <c r="K614" s="36"/>
      <c r="L614" s="36"/>
      <c r="M614" s="36"/>
      <c r="N614" s="36"/>
      <c r="O614" s="36"/>
      <c r="P614" s="36"/>
      <c r="Q614" s="36"/>
      <c r="R614" s="36"/>
      <c r="S614" s="36"/>
      <c r="T614" s="36"/>
      <c r="U614" s="36"/>
      <c r="V614" s="36"/>
      <c r="W614" s="36"/>
      <c r="X614" s="36"/>
      <c r="Y614" s="36"/>
      <c r="Z614" s="3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row>
    <row r="615" spans="1:57" ht="15.75" customHeight="1" x14ac:dyDescent="0.2">
      <c r="A615" s="36"/>
      <c r="B615" s="36"/>
      <c r="C615" s="35"/>
      <c r="D615" s="36"/>
      <c r="E615" s="36"/>
      <c r="F615" s="36"/>
      <c r="G615" s="36"/>
      <c r="H615" s="35"/>
      <c r="I615" s="35"/>
      <c r="J615" s="35"/>
      <c r="K615" s="36"/>
      <c r="L615" s="36"/>
      <c r="M615" s="36"/>
      <c r="N615" s="36"/>
      <c r="O615" s="36"/>
      <c r="P615" s="36"/>
      <c r="Q615" s="36"/>
      <c r="R615" s="36"/>
      <c r="S615" s="36"/>
      <c r="T615" s="36"/>
      <c r="U615" s="36"/>
      <c r="V615" s="36"/>
      <c r="W615" s="36"/>
      <c r="X615" s="36"/>
      <c r="Y615" s="36"/>
      <c r="Z615" s="3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row>
    <row r="616" spans="1:57" ht="15.75" customHeight="1" x14ac:dyDescent="0.2">
      <c r="A616" s="36"/>
      <c r="B616" s="36"/>
      <c r="C616" s="35"/>
      <c r="D616" s="36"/>
      <c r="E616" s="36"/>
      <c r="F616" s="36"/>
      <c r="G616" s="36"/>
      <c r="H616" s="35"/>
      <c r="I616" s="35"/>
      <c r="J616" s="35"/>
      <c r="K616" s="36"/>
      <c r="L616" s="36"/>
      <c r="M616" s="36"/>
      <c r="N616" s="36"/>
      <c r="O616" s="36"/>
      <c r="P616" s="36"/>
      <c r="Q616" s="36"/>
      <c r="R616" s="36"/>
      <c r="S616" s="36"/>
      <c r="T616" s="36"/>
      <c r="U616" s="36"/>
      <c r="V616" s="36"/>
      <c r="W616" s="36"/>
      <c r="X616" s="36"/>
      <c r="Y616" s="36"/>
      <c r="Z616" s="3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row>
    <row r="617" spans="1:57" ht="15.75" customHeight="1" x14ac:dyDescent="0.2">
      <c r="A617" s="36"/>
      <c r="B617" s="36"/>
      <c r="C617" s="35"/>
      <c r="D617" s="36"/>
      <c r="E617" s="36"/>
      <c r="F617" s="36"/>
      <c r="G617" s="36"/>
      <c r="H617" s="35"/>
      <c r="I617" s="35"/>
      <c r="J617" s="35"/>
      <c r="K617" s="36"/>
      <c r="L617" s="36"/>
      <c r="M617" s="36"/>
      <c r="N617" s="36"/>
      <c r="O617" s="36"/>
      <c r="P617" s="36"/>
      <c r="Q617" s="36"/>
      <c r="R617" s="36"/>
      <c r="S617" s="36"/>
      <c r="T617" s="36"/>
      <c r="U617" s="36"/>
      <c r="V617" s="36"/>
      <c r="W617" s="36"/>
      <c r="X617" s="36"/>
      <c r="Y617" s="36"/>
      <c r="Z617" s="3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row>
    <row r="618" spans="1:57" ht="15.75" customHeight="1" x14ac:dyDescent="0.2">
      <c r="A618" s="36"/>
      <c r="B618" s="36"/>
      <c r="C618" s="35"/>
      <c r="D618" s="36"/>
      <c r="E618" s="36"/>
      <c r="F618" s="36"/>
      <c r="G618" s="36"/>
      <c r="H618" s="35"/>
      <c r="I618" s="35"/>
      <c r="J618" s="35"/>
      <c r="K618" s="36"/>
      <c r="L618" s="36"/>
      <c r="M618" s="36"/>
      <c r="N618" s="36"/>
      <c r="O618" s="36"/>
      <c r="P618" s="36"/>
      <c r="Q618" s="36"/>
      <c r="R618" s="36"/>
      <c r="S618" s="36"/>
      <c r="T618" s="36"/>
      <c r="U618" s="36"/>
      <c r="V618" s="36"/>
      <c r="W618" s="36"/>
      <c r="X618" s="36"/>
      <c r="Y618" s="36"/>
      <c r="Z618" s="3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row>
    <row r="619" spans="1:57" ht="15.75" customHeight="1" x14ac:dyDescent="0.2">
      <c r="A619" s="36"/>
      <c r="B619" s="36"/>
      <c r="C619" s="35"/>
      <c r="D619" s="36"/>
      <c r="E619" s="36"/>
      <c r="F619" s="36"/>
      <c r="G619" s="36"/>
      <c r="H619" s="35"/>
      <c r="I619" s="35"/>
      <c r="J619" s="35"/>
      <c r="K619" s="36"/>
      <c r="L619" s="36"/>
      <c r="M619" s="36"/>
      <c r="N619" s="36"/>
      <c r="O619" s="36"/>
      <c r="P619" s="36"/>
      <c r="Q619" s="36"/>
      <c r="R619" s="36"/>
      <c r="S619" s="36"/>
      <c r="T619" s="36"/>
      <c r="U619" s="36"/>
      <c r="V619" s="36"/>
      <c r="W619" s="36"/>
      <c r="X619" s="36"/>
      <c r="Y619" s="36"/>
      <c r="Z619" s="3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row>
    <row r="620" spans="1:57" ht="15.75" customHeight="1" x14ac:dyDescent="0.2">
      <c r="A620" s="36"/>
      <c r="B620" s="36"/>
      <c r="C620" s="35"/>
      <c r="D620" s="36"/>
      <c r="E620" s="36"/>
      <c r="F620" s="36"/>
      <c r="G620" s="36"/>
      <c r="H620" s="35"/>
      <c r="I620" s="35"/>
      <c r="J620" s="35"/>
      <c r="K620" s="36"/>
      <c r="L620" s="36"/>
      <c r="M620" s="36"/>
      <c r="N620" s="36"/>
      <c r="O620" s="36"/>
      <c r="P620" s="36"/>
      <c r="Q620" s="36"/>
      <c r="R620" s="36"/>
      <c r="S620" s="36"/>
      <c r="T620" s="36"/>
      <c r="U620" s="36"/>
      <c r="V620" s="36"/>
      <c r="W620" s="36"/>
      <c r="X620" s="36"/>
      <c r="Y620" s="36"/>
      <c r="Z620" s="3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row>
    <row r="621" spans="1:57" ht="15.75" customHeight="1" x14ac:dyDescent="0.2">
      <c r="A621" s="36"/>
      <c r="B621" s="36"/>
      <c r="C621" s="35"/>
      <c r="D621" s="36"/>
      <c r="E621" s="36"/>
      <c r="F621" s="36"/>
      <c r="G621" s="36"/>
      <c r="H621" s="35"/>
      <c r="I621" s="35"/>
      <c r="J621" s="35"/>
      <c r="K621" s="36"/>
      <c r="L621" s="36"/>
      <c r="M621" s="36"/>
      <c r="N621" s="36"/>
      <c r="O621" s="36"/>
      <c r="P621" s="36"/>
      <c r="Q621" s="36"/>
      <c r="R621" s="36"/>
      <c r="S621" s="36"/>
      <c r="T621" s="36"/>
      <c r="U621" s="36"/>
      <c r="V621" s="36"/>
      <c r="W621" s="36"/>
      <c r="X621" s="36"/>
      <c r="Y621" s="36"/>
      <c r="Z621" s="3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row>
    <row r="622" spans="1:57" ht="15.75" customHeight="1" x14ac:dyDescent="0.2">
      <c r="A622" s="36"/>
      <c r="B622" s="36"/>
      <c r="C622" s="35"/>
      <c r="D622" s="36"/>
      <c r="E622" s="36"/>
      <c r="F622" s="36"/>
      <c r="G622" s="36"/>
      <c r="H622" s="35"/>
      <c r="I622" s="35"/>
      <c r="J622" s="35"/>
      <c r="K622" s="36"/>
      <c r="L622" s="36"/>
      <c r="M622" s="36"/>
      <c r="N622" s="36"/>
      <c r="O622" s="36"/>
      <c r="P622" s="36"/>
      <c r="Q622" s="36"/>
      <c r="R622" s="36"/>
      <c r="S622" s="36"/>
      <c r="T622" s="36"/>
      <c r="U622" s="36"/>
      <c r="V622" s="36"/>
      <c r="W622" s="36"/>
      <c r="X622" s="36"/>
      <c r="Y622" s="36"/>
      <c r="Z622" s="3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row>
    <row r="623" spans="1:57" ht="15.75" customHeight="1" x14ac:dyDescent="0.2">
      <c r="A623" s="36"/>
      <c r="B623" s="36"/>
      <c r="C623" s="35"/>
      <c r="D623" s="36"/>
      <c r="E623" s="36"/>
      <c r="F623" s="36"/>
      <c r="G623" s="36"/>
      <c r="H623" s="35"/>
      <c r="I623" s="35"/>
      <c r="J623" s="35"/>
      <c r="K623" s="36"/>
      <c r="L623" s="36"/>
      <c r="M623" s="36"/>
      <c r="N623" s="36"/>
      <c r="O623" s="36"/>
      <c r="P623" s="36"/>
      <c r="Q623" s="36"/>
      <c r="R623" s="36"/>
      <c r="S623" s="36"/>
      <c r="T623" s="36"/>
      <c r="U623" s="36"/>
      <c r="V623" s="36"/>
      <c r="W623" s="36"/>
      <c r="X623" s="36"/>
      <c r="Y623" s="36"/>
      <c r="Z623" s="3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row>
    <row r="624" spans="1:57" ht="15.75" customHeight="1" x14ac:dyDescent="0.2">
      <c r="A624" s="36"/>
      <c r="B624" s="36"/>
      <c r="C624" s="35"/>
      <c r="D624" s="36"/>
      <c r="E624" s="36"/>
      <c r="F624" s="36"/>
      <c r="G624" s="36"/>
      <c r="H624" s="35"/>
      <c r="I624" s="35"/>
      <c r="J624" s="35"/>
      <c r="K624" s="36"/>
      <c r="L624" s="36"/>
      <c r="M624" s="36"/>
      <c r="N624" s="36"/>
      <c r="O624" s="36"/>
      <c r="P624" s="36"/>
      <c r="Q624" s="36"/>
      <c r="R624" s="36"/>
      <c r="S624" s="36"/>
      <c r="T624" s="36"/>
      <c r="U624" s="36"/>
      <c r="V624" s="36"/>
      <c r="W624" s="36"/>
      <c r="X624" s="36"/>
      <c r="Y624" s="36"/>
      <c r="Z624" s="3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row>
    <row r="625" spans="1:57" ht="15.75" customHeight="1" x14ac:dyDescent="0.2">
      <c r="A625" s="36"/>
      <c r="B625" s="36"/>
      <c r="C625" s="35"/>
      <c r="D625" s="36"/>
      <c r="E625" s="36"/>
      <c r="F625" s="36"/>
      <c r="G625" s="36"/>
      <c r="H625" s="35"/>
      <c r="I625" s="35"/>
      <c r="J625" s="35"/>
      <c r="K625" s="36"/>
      <c r="L625" s="36"/>
      <c r="M625" s="36"/>
      <c r="N625" s="36"/>
      <c r="O625" s="36"/>
      <c r="P625" s="36"/>
      <c r="Q625" s="36"/>
      <c r="R625" s="36"/>
      <c r="S625" s="36"/>
      <c r="T625" s="36"/>
      <c r="U625" s="36"/>
      <c r="V625" s="36"/>
      <c r="W625" s="36"/>
      <c r="X625" s="36"/>
      <c r="Y625" s="36"/>
      <c r="Z625" s="3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row>
    <row r="626" spans="1:57" ht="15.75" customHeight="1" x14ac:dyDescent="0.2">
      <c r="A626" s="36"/>
      <c r="B626" s="36"/>
      <c r="C626" s="35"/>
      <c r="D626" s="36"/>
      <c r="E626" s="36"/>
      <c r="F626" s="36"/>
      <c r="G626" s="36"/>
      <c r="H626" s="35"/>
      <c r="I626" s="35"/>
      <c r="J626" s="35"/>
      <c r="K626" s="36"/>
      <c r="L626" s="36"/>
      <c r="M626" s="36"/>
      <c r="N626" s="36"/>
      <c r="O626" s="36"/>
      <c r="P626" s="36"/>
      <c r="Q626" s="36"/>
      <c r="R626" s="36"/>
      <c r="S626" s="36"/>
      <c r="T626" s="36"/>
      <c r="U626" s="36"/>
      <c r="V626" s="36"/>
      <c r="W626" s="36"/>
      <c r="X626" s="36"/>
      <c r="Y626" s="36"/>
      <c r="Z626" s="3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row>
    <row r="627" spans="1:57" ht="15.75" customHeight="1" x14ac:dyDescent="0.2">
      <c r="A627" s="36"/>
      <c r="B627" s="36"/>
      <c r="C627" s="35"/>
      <c r="D627" s="36"/>
      <c r="E627" s="36"/>
      <c r="F627" s="36"/>
      <c r="G627" s="36"/>
      <c r="H627" s="35"/>
      <c r="I627" s="35"/>
      <c r="J627" s="35"/>
      <c r="K627" s="36"/>
      <c r="L627" s="36"/>
      <c r="M627" s="36"/>
      <c r="N627" s="36"/>
      <c r="O627" s="36"/>
      <c r="P627" s="36"/>
      <c r="Q627" s="36"/>
      <c r="R627" s="36"/>
      <c r="S627" s="36"/>
      <c r="T627" s="36"/>
      <c r="U627" s="36"/>
      <c r="V627" s="36"/>
      <c r="W627" s="36"/>
      <c r="X627" s="36"/>
      <c r="Y627" s="36"/>
      <c r="Z627" s="3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row>
    <row r="628" spans="1:57" ht="15.75" customHeight="1" x14ac:dyDescent="0.2">
      <c r="A628" s="36"/>
      <c r="B628" s="36"/>
      <c r="C628" s="35"/>
      <c r="D628" s="36"/>
      <c r="E628" s="36"/>
      <c r="F628" s="36"/>
      <c r="G628" s="36"/>
      <c r="H628" s="35"/>
      <c r="I628" s="35"/>
      <c r="J628" s="35"/>
      <c r="K628" s="36"/>
      <c r="L628" s="36"/>
      <c r="M628" s="36"/>
      <c r="N628" s="36"/>
      <c r="O628" s="36"/>
      <c r="P628" s="36"/>
      <c r="Q628" s="36"/>
      <c r="R628" s="36"/>
      <c r="S628" s="36"/>
      <c r="T628" s="36"/>
      <c r="U628" s="36"/>
      <c r="V628" s="36"/>
      <c r="W628" s="36"/>
      <c r="X628" s="36"/>
      <c r="Y628" s="36"/>
      <c r="Z628" s="3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row>
    <row r="629" spans="1:57" ht="15.75" customHeight="1" x14ac:dyDescent="0.2">
      <c r="A629" s="36"/>
      <c r="B629" s="36"/>
      <c r="C629" s="35"/>
      <c r="D629" s="36"/>
      <c r="E629" s="36"/>
      <c r="F629" s="36"/>
      <c r="G629" s="36"/>
      <c r="H629" s="35"/>
      <c r="I629" s="35"/>
      <c r="J629" s="35"/>
      <c r="K629" s="36"/>
      <c r="L629" s="36"/>
      <c r="M629" s="36"/>
      <c r="N629" s="36"/>
      <c r="O629" s="36"/>
      <c r="P629" s="36"/>
      <c r="Q629" s="36"/>
      <c r="R629" s="36"/>
      <c r="S629" s="36"/>
      <c r="T629" s="36"/>
      <c r="U629" s="36"/>
      <c r="V629" s="36"/>
      <c r="W629" s="36"/>
      <c r="X629" s="36"/>
      <c r="Y629" s="36"/>
      <c r="Z629" s="3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row>
    <row r="630" spans="1:57" ht="15.75" customHeight="1" x14ac:dyDescent="0.2">
      <c r="A630" s="36"/>
      <c r="B630" s="36"/>
      <c r="C630" s="35"/>
      <c r="D630" s="36"/>
      <c r="E630" s="36"/>
      <c r="F630" s="36"/>
      <c r="G630" s="36"/>
      <c r="H630" s="35"/>
      <c r="I630" s="35"/>
      <c r="J630" s="35"/>
      <c r="K630" s="36"/>
      <c r="L630" s="36"/>
      <c r="M630" s="36"/>
      <c r="N630" s="36"/>
      <c r="O630" s="36"/>
      <c r="P630" s="36"/>
      <c r="Q630" s="36"/>
      <c r="R630" s="36"/>
      <c r="S630" s="36"/>
      <c r="T630" s="36"/>
      <c r="U630" s="36"/>
      <c r="V630" s="36"/>
      <c r="W630" s="36"/>
      <c r="X630" s="36"/>
      <c r="Y630" s="36"/>
      <c r="Z630" s="3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row>
    <row r="631" spans="1:57" ht="15.75" customHeight="1" x14ac:dyDescent="0.2">
      <c r="A631" s="36"/>
      <c r="B631" s="36"/>
      <c r="C631" s="35"/>
      <c r="D631" s="36"/>
      <c r="E631" s="36"/>
      <c r="F631" s="36"/>
      <c r="G631" s="36"/>
      <c r="H631" s="35"/>
      <c r="I631" s="35"/>
      <c r="J631" s="35"/>
      <c r="K631" s="36"/>
      <c r="L631" s="36"/>
      <c r="M631" s="36"/>
      <c r="N631" s="36"/>
      <c r="O631" s="36"/>
      <c r="P631" s="36"/>
      <c r="Q631" s="36"/>
      <c r="R631" s="36"/>
      <c r="S631" s="36"/>
      <c r="T631" s="36"/>
      <c r="U631" s="36"/>
      <c r="V631" s="36"/>
      <c r="W631" s="36"/>
      <c r="X631" s="36"/>
      <c r="Y631" s="36"/>
      <c r="Z631" s="3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row>
    <row r="632" spans="1:57" ht="15.75" customHeight="1" x14ac:dyDescent="0.2">
      <c r="A632" s="36"/>
      <c r="B632" s="36"/>
      <c r="C632" s="35"/>
      <c r="D632" s="36"/>
      <c r="E632" s="36"/>
      <c r="F632" s="36"/>
      <c r="G632" s="36"/>
      <c r="H632" s="35"/>
      <c r="I632" s="35"/>
      <c r="J632" s="35"/>
      <c r="K632" s="36"/>
      <c r="L632" s="36"/>
      <c r="M632" s="36"/>
      <c r="N632" s="36"/>
      <c r="O632" s="36"/>
      <c r="P632" s="36"/>
      <c r="Q632" s="36"/>
      <c r="R632" s="36"/>
      <c r="S632" s="36"/>
      <c r="T632" s="36"/>
      <c r="U632" s="36"/>
      <c r="V632" s="36"/>
      <c r="W632" s="36"/>
      <c r="X632" s="36"/>
      <c r="Y632" s="36"/>
      <c r="Z632" s="3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row>
    <row r="633" spans="1:57" ht="15.75" customHeight="1" x14ac:dyDescent="0.2">
      <c r="A633" s="36"/>
      <c r="B633" s="36"/>
      <c r="C633" s="35"/>
      <c r="D633" s="36"/>
      <c r="E633" s="36"/>
      <c r="F633" s="36"/>
      <c r="G633" s="36"/>
      <c r="H633" s="35"/>
      <c r="I633" s="35"/>
      <c r="J633" s="35"/>
      <c r="K633" s="36"/>
      <c r="L633" s="36"/>
      <c r="M633" s="36"/>
      <c r="N633" s="36"/>
      <c r="O633" s="36"/>
      <c r="P633" s="36"/>
      <c r="Q633" s="36"/>
      <c r="R633" s="36"/>
      <c r="S633" s="36"/>
      <c r="T633" s="36"/>
      <c r="U633" s="36"/>
      <c r="V633" s="36"/>
      <c r="W633" s="36"/>
      <c r="X633" s="36"/>
      <c r="Y633" s="36"/>
      <c r="Z633" s="3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row>
    <row r="634" spans="1:57" ht="15.75" customHeight="1" x14ac:dyDescent="0.2">
      <c r="A634" s="36"/>
      <c r="B634" s="36"/>
      <c r="C634" s="35"/>
      <c r="D634" s="36"/>
      <c r="E634" s="36"/>
      <c r="F634" s="36"/>
      <c r="G634" s="36"/>
      <c r="H634" s="35"/>
      <c r="I634" s="35"/>
      <c r="J634" s="35"/>
      <c r="K634" s="36"/>
      <c r="L634" s="36"/>
      <c r="M634" s="36"/>
      <c r="N634" s="36"/>
      <c r="O634" s="36"/>
      <c r="P634" s="36"/>
      <c r="Q634" s="36"/>
      <c r="R634" s="36"/>
      <c r="S634" s="36"/>
      <c r="T634" s="36"/>
      <c r="U634" s="36"/>
      <c r="V634" s="36"/>
      <c r="W634" s="36"/>
      <c r="X634" s="36"/>
      <c r="Y634" s="36"/>
      <c r="Z634" s="3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row>
    <row r="635" spans="1:57" ht="15.75" customHeight="1" x14ac:dyDescent="0.2">
      <c r="A635" s="36"/>
      <c r="B635" s="36"/>
      <c r="C635" s="35"/>
      <c r="D635" s="36"/>
      <c r="E635" s="36"/>
      <c r="F635" s="36"/>
      <c r="G635" s="36"/>
      <c r="H635" s="35"/>
      <c r="I635" s="35"/>
      <c r="J635" s="35"/>
      <c r="K635" s="36"/>
      <c r="L635" s="36"/>
      <c r="M635" s="36"/>
      <c r="N635" s="36"/>
      <c r="O635" s="36"/>
      <c r="P635" s="36"/>
      <c r="Q635" s="36"/>
      <c r="R635" s="36"/>
      <c r="S635" s="36"/>
      <c r="T635" s="36"/>
      <c r="U635" s="36"/>
      <c r="V635" s="36"/>
      <c r="W635" s="36"/>
      <c r="X635" s="36"/>
      <c r="Y635" s="36"/>
      <c r="Z635" s="3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row>
    <row r="636" spans="1:57" ht="15.75" customHeight="1" x14ac:dyDescent="0.2">
      <c r="A636" s="36"/>
      <c r="B636" s="36"/>
      <c r="C636" s="35"/>
      <c r="D636" s="36"/>
      <c r="E636" s="36"/>
      <c r="F636" s="36"/>
      <c r="G636" s="36"/>
      <c r="H636" s="35"/>
      <c r="I636" s="35"/>
      <c r="J636" s="35"/>
      <c r="K636" s="36"/>
      <c r="L636" s="36"/>
      <c r="M636" s="36"/>
      <c r="N636" s="36"/>
      <c r="O636" s="36"/>
      <c r="P636" s="36"/>
      <c r="Q636" s="36"/>
      <c r="R636" s="36"/>
      <c r="S636" s="36"/>
      <c r="T636" s="36"/>
      <c r="U636" s="36"/>
      <c r="V636" s="36"/>
      <c r="W636" s="36"/>
      <c r="X636" s="36"/>
      <c r="Y636" s="36"/>
      <c r="Z636" s="3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row>
    <row r="637" spans="1:57" ht="15.75" customHeight="1" x14ac:dyDescent="0.2">
      <c r="A637" s="36"/>
      <c r="B637" s="36"/>
      <c r="C637" s="35"/>
      <c r="D637" s="36"/>
      <c r="E637" s="36"/>
      <c r="F637" s="36"/>
      <c r="G637" s="36"/>
      <c r="H637" s="35"/>
      <c r="I637" s="35"/>
      <c r="J637" s="35"/>
      <c r="K637" s="36"/>
      <c r="L637" s="36"/>
      <c r="M637" s="36"/>
      <c r="N637" s="36"/>
      <c r="O637" s="36"/>
      <c r="P637" s="36"/>
      <c r="Q637" s="36"/>
      <c r="R637" s="36"/>
      <c r="S637" s="36"/>
      <c r="T637" s="36"/>
      <c r="U637" s="36"/>
      <c r="V637" s="36"/>
      <c r="W637" s="36"/>
      <c r="X637" s="36"/>
      <c r="Y637" s="36"/>
      <c r="Z637" s="3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row>
    <row r="638" spans="1:57" ht="15.75" customHeight="1" x14ac:dyDescent="0.2">
      <c r="A638" s="36"/>
      <c r="B638" s="36"/>
      <c r="C638" s="35"/>
      <c r="D638" s="36"/>
      <c r="E638" s="36"/>
      <c r="F638" s="36"/>
      <c r="G638" s="36"/>
      <c r="H638" s="35"/>
      <c r="I638" s="35"/>
      <c r="J638" s="35"/>
      <c r="K638" s="36"/>
      <c r="L638" s="36"/>
      <c r="M638" s="36"/>
      <c r="N638" s="36"/>
      <c r="O638" s="36"/>
      <c r="P638" s="36"/>
      <c r="Q638" s="36"/>
      <c r="R638" s="36"/>
      <c r="S638" s="36"/>
      <c r="T638" s="36"/>
      <c r="U638" s="36"/>
      <c r="V638" s="36"/>
      <c r="W638" s="36"/>
      <c r="X638" s="36"/>
      <c r="Y638" s="36"/>
      <c r="Z638" s="3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row>
    <row r="639" spans="1:57" ht="15.75" customHeight="1" x14ac:dyDescent="0.2">
      <c r="A639" s="36"/>
      <c r="B639" s="36"/>
      <c r="C639" s="35"/>
      <c r="D639" s="36"/>
      <c r="E639" s="36"/>
      <c r="F639" s="36"/>
      <c r="G639" s="36"/>
      <c r="H639" s="35"/>
      <c r="I639" s="35"/>
      <c r="J639" s="35"/>
      <c r="K639" s="36"/>
      <c r="L639" s="36"/>
      <c r="M639" s="36"/>
      <c r="N639" s="36"/>
      <c r="O639" s="36"/>
      <c r="P639" s="36"/>
      <c r="Q639" s="36"/>
      <c r="R639" s="36"/>
      <c r="S639" s="36"/>
      <c r="T639" s="36"/>
      <c r="U639" s="36"/>
      <c r="V639" s="36"/>
      <c r="W639" s="36"/>
      <c r="X639" s="36"/>
      <c r="Y639" s="36"/>
      <c r="Z639" s="3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row>
    <row r="640" spans="1:57" ht="15.75" customHeight="1" x14ac:dyDescent="0.2">
      <c r="A640" s="36"/>
      <c r="B640" s="36"/>
      <c r="C640" s="35"/>
      <c r="D640" s="36"/>
      <c r="E640" s="36"/>
      <c r="F640" s="36"/>
      <c r="G640" s="36"/>
      <c r="H640" s="35"/>
      <c r="I640" s="35"/>
      <c r="J640" s="35"/>
      <c r="K640" s="36"/>
      <c r="L640" s="36"/>
      <c r="M640" s="36"/>
      <c r="N640" s="36"/>
      <c r="O640" s="36"/>
      <c r="P640" s="36"/>
      <c r="Q640" s="36"/>
      <c r="R640" s="36"/>
      <c r="S640" s="36"/>
      <c r="T640" s="36"/>
      <c r="U640" s="36"/>
      <c r="V640" s="36"/>
      <c r="W640" s="36"/>
      <c r="X640" s="36"/>
      <c r="Y640" s="36"/>
      <c r="Z640" s="3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row>
    <row r="641" spans="1:57" ht="15.75" customHeight="1" x14ac:dyDescent="0.2">
      <c r="A641" s="36"/>
      <c r="B641" s="36"/>
      <c r="C641" s="35"/>
      <c r="D641" s="36"/>
      <c r="E641" s="36"/>
      <c r="F641" s="36"/>
      <c r="G641" s="36"/>
      <c r="H641" s="35"/>
      <c r="I641" s="35"/>
      <c r="J641" s="35"/>
      <c r="K641" s="36"/>
      <c r="L641" s="36"/>
      <c r="M641" s="36"/>
      <c r="N641" s="36"/>
      <c r="O641" s="36"/>
      <c r="P641" s="36"/>
      <c r="Q641" s="36"/>
      <c r="R641" s="36"/>
      <c r="S641" s="36"/>
      <c r="T641" s="36"/>
      <c r="U641" s="36"/>
      <c r="V641" s="36"/>
      <c r="W641" s="36"/>
      <c r="X641" s="36"/>
      <c r="Y641" s="36"/>
      <c r="Z641" s="3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row>
    <row r="642" spans="1:57" ht="15.75" customHeight="1" x14ac:dyDescent="0.2">
      <c r="A642" s="36"/>
      <c r="B642" s="36"/>
      <c r="C642" s="35"/>
      <c r="D642" s="36"/>
      <c r="E642" s="36"/>
      <c r="F642" s="36"/>
      <c r="G642" s="36"/>
      <c r="H642" s="35"/>
      <c r="I642" s="35"/>
      <c r="J642" s="35"/>
      <c r="K642" s="36"/>
      <c r="L642" s="36"/>
      <c r="M642" s="36"/>
      <c r="N642" s="36"/>
      <c r="O642" s="36"/>
      <c r="P642" s="36"/>
      <c r="Q642" s="36"/>
      <c r="R642" s="36"/>
      <c r="S642" s="36"/>
      <c r="T642" s="36"/>
      <c r="U642" s="36"/>
      <c r="V642" s="36"/>
      <c r="W642" s="36"/>
      <c r="X642" s="36"/>
      <c r="Y642" s="36"/>
      <c r="Z642" s="3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row>
    <row r="643" spans="1:57" ht="15.75" customHeight="1" x14ac:dyDescent="0.2">
      <c r="A643" s="36"/>
      <c r="B643" s="36"/>
      <c r="C643" s="35"/>
      <c r="D643" s="36"/>
      <c r="E643" s="36"/>
      <c r="F643" s="36"/>
      <c r="G643" s="36"/>
      <c r="H643" s="35"/>
      <c r="I643" s="35"/>
      <c r="J643" s="35"/>
      <c r="K643" s="36"/>
      <c r="L643" s="36"/>
      <c r="M643" s="36"/>
      <c r="N643" s="36"/>
      <c r="O643" s="36"/>
      <c r="P643" s="36"/>
      <c r="Q643" s="36"/>
      <c r="R643" s="36"/>
      <c r="S643" s="36"/>
      <c r="T643" s="36"/>
      <c r="U643" s="36"/>
      <c r="V643" s="36"/>
      <c r="W643" s="36"/>
      <c r="X643" s="36"/>
      <c r="Y643" s="36"/>
      <c r="Z643" s="3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row>
    <row r="644" spans="1:57" ht="15.75" customHeight="1" x14ac:dyDescent="0.2">
      <c r="A644" s="36"/>
      <c r="B644" s="36"/>
      <c r="C644" s="35"/>
      <c r="D644" s="36"/>
      <c r="E644" s="36"/>
      <c r="F644" s="36"/>
      <c r="G644" s="36"/>
      <c r="H644" s="35"/>
      <c r="I644" s="35"/>
      <c r="J644" s="35"/>
      <c r="K644" s="36"/>
      <c r="L644" s="36"/>
      <c r="M644" s="36"/>
      <c r="N644" s="36"/>
      <c r="O644" s="36"/>
      <c r="P644" s="36"/>
      <c r="Q644" s="36"/>
      <c r="R644" s="36"/>
      <c r="S644" s="36"/>
      <c r="T644" s="36"/>
      <c r="U644" s="36"/>
      <c r="V644" s="36"/>
      <c r="W644" s="36"/>
      <c r="X644" s="36"/>
      <c r="Y644" s="36"/>
      <c r="Z644" s="3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row>
    <row r="645" spans="1:57" ht="15.75" customHeight="1" x14ac:dyDescent="0.2">
      <c r="A645" s="36"/>
      <c r="B645" s="36"/>
      <c r="C645" s="35"/>
      <c r="D645" s="36"/>
      <c r="E645" s="36"/>
      <c r="F645" s="36"/>
      <c r="G645" s="36"/>
      <c r="H645" s="35"/>
      <c r="I645" s="35"/>
      <c r="J645" s="35"/>
      <c r="K645" s="36"/>
      <c r="L645" s="36"/>
      <c r="M645" s="36"/>
      <c r="N645" s="36"/>
      <c r="O645" s="36"/>
      <c r="P645" s="36"/>
      <c r="Q645" s="36"/>
      <c r="R645" s="36"/>
      <c r="S645" s="36"/>
      <c r="T645" s="36"/>
      <c r="U645" s="36"/>
      <c r="V645" s="36"/>
      <c r="W645" s="36"/>
      <c r="X645" s="36"/>
      <c r="Y645" s="36"/>
      <c r="Z645" s="3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row>
    <row r="646" spans="1:57" ht="15.75" customHeight="1" x14ac:dyDescent="0.2">
      <c r="A646" s="36"/>
      <c r="B646" s="36"/>
      <c r="C646" s="35"/>
      <c r="D646" s="36"/>
      <c r="E646" s="36"/>
      <c r="F646" s="36"/>
      <c r="G646" s="36"/>
      <c r="H646" s="35"/>
      <c r="I646" s="35"/>
      <c r="J646" s="35"/>
      <c r="K646" s="36"/>
      <c r="L646" s="36"/>
      <c r="M646" s="36"/>
      <c r="N646" s="36"/>
      <c r="O646" s="36"/>
      <c r="P646" s="36"/>
      <c r="Q646" s="36"/>
      <c r="R646" s="36"/>
      <c r="S646" s="36"/>
      <c r="T646" s="36"/>
      <c r="U646" s="36"/>
      <c r="V646" s="36"/>
      <c r="W646" s="36"/>
      <c r="X646" s="36"/>
      <c r="Y646" s="36"/>
      <c r="Z646" s="3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row>
    <row r="647" spans="1:57" ht="15.75" customHeight="1" x14ac:dyDescent="0.2">
      <c r="A647" s="36"/>
      <c r="B647" s="36"/>
      <c r="C647" s="35"/>
      <c r="D647" s="36"/>
      <c r="E647" s="36"/>
      <c r="F647" s="36"/>
      <c r="G647" s="36"/>
      <c r="H647" s="35"/>
      <c r="I647" s="35"/>
      <c r="J647" s="35"/>
      <c r="K647" s="36"/>
      <c r="L647" s="36"/>
      <c r="M647" s="36"/>
      <c r="N647" s="36"/>
      <c r="O647" s="36"/>
      <c r="P647" s="36"/>
      <c r="Q647" s="36"/>
      <c r="R647" s="36"/>
      <c r="S647" s="36"/>
      <c r="T647" s="36"/>
      <c r="U647" s="36"/>
      <c r="V647" s="36"/>
      <c r="W647" s="36"/>
      <c r="X647" s="36"/>
      <c r="Y647" s="36"/>
      <c r="Z647" s="3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row>
    <row r="648" spans="1:57" ht="15.75" customHeight="1" x14ac:dyDescent="0.2">
      <c r="A648" s="36"/>
      <c r="B648" s="36"/>
      <c r="C648" s="35"/>
      <c r="D648" s="36"/>
      <c r="E648" s="36"/>
      <c r="F648" s="36"/>
      <c r="G648" s="36"/>
      <c r="H648" s="35"/>
      <c r="I648" s="35"/>
      <c r="J648" s="35"/>
      <c r="K648" s="36"/>
      <c r="L648" s="36"/>
      <c r="M648" s="36"/>
      <c r="N648" s="36"/>
      <c r="O648" s="36"/>
      <c r="P648" s="36"/>
      <c r="Q648" s="36"/>
      <c r="R648" s="36"/>
      <c r="S648" s="36"/>
      <c r="T648" s="36"/>
      <c r="U648" s="36"/>
      <c r="V648" s="36"/>
      <c r="W648" s="36"/>
      <c r="X648" s="36"/>
      <c r="Y648" s="36"/>
      <c r="Z648" s="3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row>
    <row r="649" spans="1:57" ht="15.75" customHeight="1" x14ac:dyDescent="0.2">
      <c r="A649" s="36"/>
      <c r="B649" s="36"/>
      <c r="C649" s="35"/>
      <c r="D649" s="36"/>
      <c r="E649" s="36"/>
      <c r="F649" s="36"/>
      <c r="G649" s="36"/>
      <c r="H649" s="35"/>
      <c r="I649" s="35"/>
      <c r="J649" s="35"/>
      <c r="K649" s="36"/>
      <c r="L649" s="36"/>
      <c r="M649" s="36"/>
      <c r="N649" s="36"/>
      <c r="O649" s="36"/>
      <c r="P649" s="36"/>
      <c r="Q649" s="36"/>
      <c r="R649" s="36"/>
      <c r="S649" s="36"/>
      <c r="T649" s="36"/>
      <c r="U649" s="36"/>
      <c r="V649" s="36"/>
      <c r="W649" s="36"/>
      <c r="X649" s="36"/>
      <c r="Y649" s="36"/>
      <c r="Z649" s="3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row>
    <row r="650" spans="1:57" ht="15.75" customHeight="1" x14ac:dyDescent="0.2">
      <c r="A650" s="36"/>
      <c r="B650" s="36"/>
      <c r="C650" s="35"/>
      <c r="D650" s="36"/>
      <c r="E650" s="36"/>
      <c r="F650" s="36"/>
      <c r="G650" s="36"/>
      <c r="H650" s="35"/>
      <c r="I650" s="35"/>
      <c r="J650" s="35"/>
      <c r="K650" s="36"/>
      <c r="L650" s="36"/>
      <c r="M650" s="36"/>
      <c r="N650" s="36"/>
      <c r="O650" s="36"/>
      <c r="P650" s="36"/>
      <c r="Q650" s="36"/>
      <c r="R650" s="36"/>
      <c r="S650" s="36"/>
      <c r="T650" s="36"/>
      <c r="U650" s="36"/>
      <c r="V650" s="36"/>
      <c r="W650" s="36"/>
      <c r="X650" s="36"/>
      <c r="Y650" s="36"/>
      <c r="Z650" s="3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row>
    <row r="651" spans="1:57" ht="15.75" customHeight="1" x14ac:dyDescent="0.2">
      <c r="A651" s="36"/>
      <c r="B651" s="36"/>
      <c r="C651" s="35"/>
      <c r="D651" s="36"/>
      <c r="E651" s="36"/>
      <c r="F651" s="36"/>
      <c r="G651" s="36"/>
      <c r="H651" s="35"/>
      <c r="I651" s="35"/>
      <c r="J651" s="35"/>
      <c r="K651" s="36"/>
      <c r="L651" s="36"/>
      <c r="M651" s="36"/>
      <c r="N651" s="36"/>
      <c r="O651" s="36"/>
      <c r="P651" s="36"/>
      <c r="Q651" s="36"/>
      <c r="R651" s="36"/>
      <c r="S651" s="36"/>
      <c r="T651" s="36"/>
      <c r="U651" s="36"/>
      <c r="V651" s="36"/>
      <c r="W651" s="36"/>
      <c r="X651" s="36"/>
      <c r="Y651" s="36"/>
      <c r="Z651" s="3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row>
    <row r="652" spans="1:57" ht="15.75" customHeight="1" x14ac:dyDescent="0.2">
      <c r="A652" s="36"/>
      <c r="B652" s="36"/>
      <c r="C652" s="35"/>
      <c r="D652" s="36"/>
      <c r="E652" s="36"/>
      <c r="F652" s="36"/>
      <c r="G652" s="36"/>
      <c r="H652" s="35"/>
      <c r="I652" s="35"/>
      <c r="J652" s="35"/>
      <c r="K652" s="36"/>
      <c r="L652" s="36"/>
      <c r="M652" s="36"/>
      <c r="N652" s="36"/>
      <c r="O652" s="36"/>
      <c r="P652" s="36"/>
      <c r="Q652" s="36"/>
      <c r="R652" s="36"/>
      <c r="S652" s="36"/>
      <c r="T652" s="36"/>
      <c r="U652" s="36"/>
      <c r="V652" s="36"/>
      <c r="W652" s="36"/>
      <c r="X652" s="36"/>
      <c r="Y652" s="36"/>
      <c r="Z652" s="3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row>
    <row r="653" spans="1:57" ht="15.75" customHeight="1" x14ac:dyDescent="0.2">
      <c r="A653" s="36"/>
      <c r="B653" s="36"/>
      <c r="C653" s="35"/>
      <c r="D653" s="36"/>
      <c r="E653" s="36"/>
      <c r="F653" s="36"/>
      <c r="G653" s="36"/>
      <c r="H653" s="35"/>
      <c r="I653" s="35"/>
      <c r="J653" s="35"/>
      <c r="K653" s="36"/>
      <c r="L653" s="36"/>
      <c r="M653" s="36"/>
      <c r="N653" s="36"/>
      <c r="O653" s="36"/>
      <c r="P653" s="36"/>
      <c r="Q653" s="36"/>
      <c r="R653" s="36"/>
      <c r="S653" s="36"/>
      <c r="T653" s="36"/>
      <c r="U653" s="36"/>
      <c r="V653" s="36"/>
      <c r="W653" s="36"/>
      <c r="X653" s="36"/>
      <c r="Y653" s="36"/>
      <c r="Z653" s="3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row>
    <row r="654" spans="1:57" ht="15.75" customHeight="1" x14ac:dyDescent="0.2">
      <c r="A654" s="36"/>
      <c r="B654" s="36"/>
      <c r="C654" s="35"/>
      <c r="D654" s="36"/>
      <c r="E654" s="36"/>
      <c r="F654" s="36"/>
      <c r="G654" s="36"/>
      <c r="H654" s="35"/>
      <c r="I654" s="35"/>
      <c r="J654" s="35"/>
      <c r="K654" s="36"/>
      <c r="L654" s="36"/>
      <c r="M654" s="36"/>
      <c r="N654" s="36"/>
      <c r="O654" s="36"/>
      <c r="P654" s="36"/>
      <c r="Q654" s="36"/>
      <c r="R654" s="36"/>
      <c r="S654" s="36"/>
      <c r="T654" s="36"/>
      <c r="U654" s="36"/>
      <c r="V654" s="36"/>
      <c r="W654" s="36"/>
      <c r="X654" s="36"/>
      <c r="Y654" s="36"/>
      <c r="Z654" s="3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row>
    <row r="655" spans="1:57" ht="15.75" customHeight="1" x14ac:dyDescent="0.2">
      <c r="A655" s="36"/>
      <c r="B655" s="36"/>
      <c r="C655" s="35"/>
      <c r="D655" s="36"/>
      <c r="E655" s="36"/>
      <c r="F655" s="36"/>
      <c r="G655" s="36"/>
      <c r="H655" s="35"/>
      <c r="I655" s="35"/>
      <c r="J655" s="35"/>
      <c r="K655" s="36"/>
      <c r="L655" s="36"/>
      <c r="M655" s="36"/>
      <c r="N655" s="36"/>
      <c r="O655" s="36"/>
      <c r="P655" s="36"/>
      <c r="Q655" s="36"/>
      <c r="R655" s="36"/>
      <c r="S655" s="36"/>
      <c r="T655" s="36"/>
      <c r="U655" s="36"/>
      <c r="V655" s="36"/>
      <c r="W655" s="36"/>
      <c r="X655" s="36"/>
      <c r="Y655" s="36"/>
      <c r="Z655" s="3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row>
    <row r="656" spans="1:57" ht="15.75" customHeight="1" x14ac:dyDescent="0.2">
      <c r="A656" s="36"/>
      <c r="B656" s="36"/>
      <c r="C656" s="35"/>
      <c r="D656" s="36"/>
      <c r="E656" s="36"/>
      <c r="F656" s="36"/>
      <c r="G656" s="36"/>
      <c r="H656" s="35"/>
      <c r="I656" s="35"/>
      <c r="J656" s="35"/>
      <c r="K656" s="36"/>
      <c r="L656" s="36"/>
      <c r="M656" s="36"/>
      <c r="N656" s="36"/>
      <c r="O656" s="36"/>
      <c r="P656" s="36"/>
      <c r="Q656" s="36"/>
      <c r="R656" s="36"/>
      <c r="S656" s="36"/>
      <c r="T656" s="36"/>
      <c r="U656" s="36"/>
      <c r="V656" s="36"/>
      <c r="W656" s="36"/>
      <c r="X656" s="36"/>
      <c r="Y656" s="36"/>
      <c r="Z656" s="3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row>
    <row r="657" spans="1:57" ht="15.75" customHeight="1" x14ac:dyDescent="0.2">
      <c r="A657" s="36"/>
      <c r="B657" s="36"/>
      <c r="C657" s="35"/>
      <c r="D657" s="36"/>
      <c r="E657" s="36"/>
      <c r="F657" s="36"/>
      <c r="G657" s="36"/>
      <c r="H657" s="35"/>
      <c r="I657" s="35"/>
      <c r="J657" s="35"/>
      <c r="K657" s="36"/>
      <c r="L657" s="36"/>
      <c r="M657" s="36"/>
      <c r="N657" s="36"/>
      <c r="O657" s="36"/>
      <c r="P657" s="36"/>
      <c r="Q657" s="36"/>
      <c r="R657" s="36"/>
      <c r="S657" s="36"/>
      <c r="T657" s="36"/>
      <c r="U657" s="36"/>
      <c r="V657" s="36"/>
      <c r="W657" s="36"/>
      <c r="X657" s="36"/>
      <c r="Y657" s="36"/>
      <c r="Z657" s="3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row>
    <row r="658" spans="1:57" ht="15.75" customHeight="1" x14ac:dyDescent="0.2">
      <c r="A658" s="36"/>
      <c r="B658" s="36"/>
      <c r="C658" s="35"/>
      <c r="D658" s="36"/>
      <c r="E658" s="36"/>
      <c r="F658" s="36"/>
      <c r="G658" s="36"/>
      <c r="H658" s="35"/>
      <c r="I658" s="35"/>
      <c r="J658" s="35"/>
      <c r="K658" s="36"/>
      <c r="L658" s="36"/>
      <c r="M658" s="36"/>
      <c r="N658" s="36"/>
      <c r="O658" s="36"/>
      <c r="P658" s="36"/>
      <c r="Q658" s="36"/>
      <c r="R658" s="36"/>
      <c r="S658" s="36"/>
      <c r="T658" s="36"/>
      <c r="U658" s="36"/>
      <c r="V658" s="36"/>
      <c r="W658" s="36"/>
      <c r="X658" s="36"/>
      <c r="Y658" s="36"/>
      <c r="Z658" s="3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row>
    <row r="659" spans="1:57" ht="15.75" customHeight="1" x14ac:dyDescent="0.2">
      <c r="A659" s="36"/>
      <c r="B659" s="36"/>
      <c r="C659" s="35"/>
      <c r="D659" s="36"/>
      <c r="E659" s="36"/>
      <c r="F659" s="36"/>
      <c r="G659" s="36"/>
      <c r="H659" s="35"/>
      <c r="I659" s="35"/>
      <c r="J659" s="35"/>
      <c r="K659" s="36"/>
      <c r="L659" s="36"/>
      <c r="M659" s="36"/>
      <c r="N659" s="36"/>
      <c r="O659" s="36"/>
      <c r="P659" s="36"/>
      <c r="Q659" s="36"/>
      <c r="R659" s="36"/>
      <c r="S659" s="36"/>
      <c r="T659" s="36"/>
      <c r="U659" s="36"/>
      <c r="V659" s="36"/>
      <c r="W659" s="36"/>
      <c r="X659" s="36"/>
      <c r="Y659" s="36"/>
      <c r="Z659" s="3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row>
    <row r="660" spans="1:57" ht="15.75" customHeight="1" x14ac:dyDescent="0.2">
      <c r="A660" s="36"/>
      <c r="B660" s="36"/>
      <c r="C660" s="35"/>
      <c r="D660" s="36"/>
      <c r="E660" s="36"/>
      <c r="F660" s="36"/>
      <c r="G660" s="36"/>
      <c r="H660" s="35"/>
      <c r="I660" s="35"/>
      <c r="J660" s="35"/>
      <c r="K660" s="36"/>
      <c r="L660" s="36"/>
      <c r="M660" s="36"/>
      <c r="N660" s="36"/>
      <c r="O660" s="36"/>
      <c r="P660" s="36"/>
      <c r="Q660" s="36"/>
      <c r="R660" s="36"/>
      <c r="S660" s="36"/>
      <c r="T660" s="36"/>
      <c r="U660" s="36"/>
      <c r="V660" s="36"/>
      <c r="W660" s="36"/>
      <c r="X660" s="36"/>
      <c r="Y660" s="36"/>
      <c r="Z660" s="3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row>
    <row r="661" spans="1:57" ht="15.75" customHeight="1" x14ac:dyDescent="0.2">
      <c r="A661" s="36"/>
      <c r="B661" s="36"/>
      <c r="C661" s="35"/>
      <c r="D661" s="36"/>
      <c r="E661" s="36"/>
      <c r="F661" s="36"/>
      <c r="G661" s="36"/>
      <c r="H661" s="35"/>
      <c r="I661" s="35"/>
      <c r="J661" s="35"/>
      <c r="K661" s="36"/>
      <c r="L661" s="36"/>
      <c r="M661" s="36"/>
      <c r="N661" s="36"/>
      <c r="O661" s="36"/>
      <c r="P661" s="36"/>
      <c r="Q661" s="36"/>
      <c r="R661" s="36"/>
      <c r="S661" s="36"/>
      <c r="T661" s="36"/>
      <c r="U661" s="36"/>
      <c r="V661" s="36"/>
      <c r="W661" s="36"/>
      <c r="X661" s="36"/>
      <c r="Y661" s="36"/>
      <c r="Z661" s="3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row>
    <row r="662" spans="1:57" ht="15.75" customHeight="1" x14ac:dyDescent="0.2">
      <c r="A662" s="36"/>
      <c r="B662" s="36"/>
      <c r="C662" s="35"/>
      <c r="D662" s="36"/>
      <c r="E662" s="36"/>
      <c r="F662" s="36"/>
      <c r="G662" s="36"/>
      <c r="H662" s="35"/>
      <c r="I662" s="35"/>
      <c r="J662" s="35"/>
      <c r="K662" s="36"/>
      <c r="L662" s="36"/>
      <c r="M662" s="36"/>
      <c r="N662" s="36"/>
      <c r="O662" s="36"/>
      <c r="P662" s="36"/>
      <c r="Q662" s="36"/>
      <c r="R662" s="36"/>
      <c r="S662" s="36"/>
      <c r="T662" s="36"/>
      <c r="U662" s="36"/>
      <c r="V662" s="36"/>
      <c r="W662" s="36"/>
      <c r="X662" s="36"/>
      <c r="Y662" s="36"/>
      <c r="Z662" s="3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row>
    <row r="663" spans="1:57" ht="15.75" customHeight="1" x14ac:dyDescent="0.2">
      <c r="A663" s="36"/>
      <c r="B663" s="36"/>
      <c r="C663" s="35"/>
      <c r="D663" s="36"/>
      <c r="E663" s="36"/>
      <c r="F663" s="36"/>
      <c r="G663" s="36"/>
      <c r="H663" s="35"/>
      <c r="I663" s="35"/>
      <c r="J663" s="35"/>
      <c r="K663" s="36"/>
      <c r="L663" s="36"/>
      <c r="M663" s="36"/>
      <c r="N663" s="36"/>
      <c r="O663" s="36"/>
      <c r="P663" s="36"/>
      <c r="Q663" s="36"/>
      <c r="R663" s="36"/>
      <c r="S663" s="36"/>
      <c r="T663" s="36"/>
      <c r="U663" s="36"/>
      <c r="V663" s="36"/>
      <c r="W663" s="36"/>
      <c r="X663" s="36"/>
      <c r="Y663" s="36"/>
      <c r="Z663" s="3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row>
    <row r="664" spans="1:57" ht="15.75" customHeight="1" x14ac:dyDescent="0.2">
      <c r="A664" s="36"/>
      <c r="B664" s="36"/>
      <c r="C664" s="35"/>
      <c r="D664" s="36"/>
      <c r="E664" s="36"/>
      <c r="F664" s="36"/>
      <c r="G664" s="36"/>
      <c r="H664" s="35"/>
      <c r="I664" s="35"/>
      <c r="J664" s="35"/>
      <c r="K664" s="36"/>
      <c r="L664" s="36"/>
      <c r="M664" s="36"/>
      <c r="N664" s="36"/>
      <c r="O664" s="36"/>
      <c r="P664" s="36"/>
      <c r="Q664" s="36"/>
      <c r="R664" s="36"/>
      <c r="S664" s="36"/>
      <c r="T664" s="36"/>
      <c r="U664" s="36"/>
      <c r="V664" s="36"/>
      <c r="W664" s="36"/>
      <c r="X664" s="36"/>
      <c r="Y664" s="36"/>
      <c r="Z664" s="3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row>
    <row r="665" spans="1:57" ht="15.75" customHeight="1" x14ac:dyDescent="0.2">
      <c r="A665" s="36"/>
      <c r="B665" s="36"/>
      <c r="C665" s="35"/>
      <c r="D665" s="36"/>
      <c r="E665" s="36"/>
      <c r="F665" s="36"/>
      <c r="G665" s="36"/>
      <c r="H665" s="35"/>
      <c r="I665" s="35"/>
      <c r="J665" s="35"/>
      <c r="K665" s="36"/>
      <c r="L665" s="36"/>
      <c r="M665" s="36"/>
      <c r="N665" s="36"/>
      <c r="O665" s="36"/>
      <c r="P665" s="36"/>
      <c r="Q665" s="36"/>
      <c r="R665" s="36"/>
      <c r="S665" s="36"/>
      <c r="T665" s="36"/>
      <c r="U665" s="36"/>
      <c r="V665" s="36"/>
      <c r="W665" s="36"/>
      <c r="X665" s="36"/>
      <c r="Y665" s="36"/>
      <c r="Z665" s="3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row>
    <row r="666" spans="1:57" ht="15.75" customHeight="1" x14ac:dyDescent="0.2">
      <c r="A666" s="36"/>
      <c r="B666" s="36"/>
      <c r="C666" s="35"/>
      <c r="D666" s="36"/>
      <c r="E666" s="36"/>
      <c r="F666" s="36"/>
      <c r="G666" s="36"/>
      <c r="H666" s="35"/>
      <c r="I666" s="35"/>
      <c r="J666" s="35"/>
      <c r="K666" s="36"/>
      <c r="L666" s="36"/>
      <c r="M666" s="36"/>
      <c r="N666" s="36"/>
      <c r="O666" s="36"/>
      <c r="P666" s="36"/>
      <c r="Q666" s="36"/>
      <c r="R666" s="36"/>
      <c r="S666" s="36"/>
      <c r="T666" s="36"/>
      <c r="U666" s="36"/>
      <c r="V666" s="36"/>
      <c r="W666" s="36"/>
      <c r="X666" s="36"/>
      <c r="Y666" s="36"/>
      <c r="Z666" s="3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row>
    <row r="667" spans="1:57" ht="15.75" customHeight="1" x14ac:dyDescent="0.2">
      <c r="A667" s="36"/>
      <c r="B667" s="36"/>
      <c r="C667" s="35"/>
      <c r="D667" s="36"/>
      <c r="E667" s="36"/>
      <c r="F667" s="36"/>
      <c r="G667" s="36"/>
      <c r="H667" s="35"/>
      <c r="I667" s="35"/>
      <c r="J667" s="35"/>
      <c r="K667" s="36"/>
      <c r="L667" s="36"/>
      <c r="M667" s="36"/>
      <c r="N667" s="36"/>
      <c r="O667" s="36"/>
      <c r="P667" s="36"/>
      <c r="Q667" s="36"/>
      <c r="R667" s="36"/>
      <c r="S667" s="36"/>
      <c r="T667" s="36"/>
      <c r="U667" s="36"/>
      <c r="V667" s="36"/>
      <c r="W667" s="36"/>
      <c r="X667" s="36"/>
      <c r="Y667" s="36"/>
      <c r="Z667" s="3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row>
    <row r="668" spans="1:57" ht="15.75" customHeight="1" x14ac:dyDescent="0.2">
      <c r="A668" s="36"/>
      <c r="B668" s="36"/>
      <c r="C668" s="35"/>
      <c r="D668" s="36"/>
      <c r="E668" s="36"/>
      <c r="F668" s="36"/>
      <c r="G668" s="36"/>
      <c r="H668" s="35"/>
      <c r="I668" s="35"/>
      <c r="J668" s="35"/>
      <c r="K668" s="36"/>
      <c r="L668" s="36"/>
      <c r="M668" s="36"/>
      <c r="N668" s="36"/>
      <c r="O668" s="36"/>
      <c r="P668" s="36"/>
      <c r="Q668" s="36"/>
      <c r="R668" s="36"/>
      <c r="S668" s="36"/>
      <c r="T668" s="36"/>
      <c r="U668" s="36"/>
      <c r="V668" s="36"/>
      <c r="W668" s="36"/>
      <c r="X668" s="36"/>
      <c r="Y668" s="36"/>
      <c r="Z668" s="3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row>
    <row r="669" spans="1:57" ht="15.75" customHeight="1" x14ac:dyDescent="0.2">
      <c r="A669" s="36"/>
      <c r="B669" s="36"/>
      <c r="C669" s="35"/>
      <c r="D669" s="36"/>
      <c r="E669" s="36"/>
      <c r="F669" s="36"/>
      <c r="G669" s="36"/>
      <c r="H669" s="35"/>
      <c r="I669" s="35"/>
      <c r="J669" s="35"/>
      <c r="K669" s="36"/>
      <c r="L669" s="36"/>
      <c r="M669" s="36"/>
      <c r="N669" s="36"/>
      <c r="O669" s="36"/>
      <c r="P669" s="36"/>
      <c r="Q669" s="36"/>
      <c r="R669" s="36"/>
      <c r="S669" s="36"/>
      <c r="T669" s="36"/>
      <c r="U669" s="36"/>
      <c r="V669" s="36"/>
      <c r="W669" s="36"/>
      <c r="X669" s="36"/>
      <c r="Y669" s="36"/>
      <c r="Z669" s="3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row>
    <row r="670" spans="1:57" ht="15.75" customHeight="1" x14ac:dyDescent="0.2">
      <c r="A670" s="36"/>
      <c r="B670" s="36"/>
      <c r="C670" s="35"/>
      <c r="D670" s="36"/>
      <c r="E670" s="36"/>
      <c r="F670" s="36"/>
      <c r="G670" s="36"/>
      <c r="H670" s="35"/>
      <c r="I670" s="35"/>
      <c r="J670" s="35"/>
      <c r="K670" s="36"/>
      <c r="L670" s="36"/>
      <c r="M670" s="36"/>
      <c r="N670" s="36"/>
      <c r="O670" s="36"/>
      <c r="P670" s="36"/>
      <c r="Q670" s="36"/>
      <c r="R670" s="36"/>
      <c r="S670" s="36"/>
      <c r="T670" s="36"/>
      <c r="U670" s="36"/>
      <c r="V670" s="36"/>
      <c r="W670" s="36"/>
      <c r="X670" s="36"/>
      <c r="Y670" s="36"/>
      <c r="Z670" s="3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row>
    <row r="671" spans="1:57" ht="15.75" customHeight="1" x14ac:dyDescent="0.2">
      <c r="A671" s="36"/>
      <c r="B671" s="36"/>
      <c r="C671" s="35"/>
      <c r="D671" s="36"/>
      <c r="E671" s="36"/>
      <c r="F671" s="36"/>
      <c r="G671" s="36"/>
      <c r="H671" s="35"/>
      <c r="I671" s="35"/>
      <c r="J671" s="35"/>
      <c r="K671" s="36"/>
      <c r="L671" s="36"/>
      <c r="M671" s="36"/>
      <c r="N671" s="36"/>
      <c r="O671" s="36"/>
      <c r="P671" s="36"/>
      <c r="Q671" s="36"/>
      <c r="R671" s="36"/>
      <c r="S671" s="36"/>
      <c r="T671" s="36"/>
      <c r="U671" s="36"/>
      <c r="V671" s="36"/>
      <c r="W671" s="36"/>
      <c r="X671" s="36"/>
      <c r="Y671" s="36"/>
      <c r="Z671" s="3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row>
    <row r="672" spans="1:57" ht="15.75" customHeight="1" x14ac:dyDescent="0.2">
      <c r="A672" s="36"/>
      <c r="B672" s="36"/>
      <c r="C672" s="35"/>
      <c r="D672" s="36"/>
      <c r="E672" s="36"/>
      <c r="F672" s="36"/>
      <c r="G672" s="36"/>
      <c r="H672" s="35"/>
      <c r="I672" s="35"/>
      <c r="J672" s="35"/>
      <c r="K672" s="36"/>
      <c r="L672" s="36"/>
      <c r="M672" s="36"/>
      <c r="N672" s="36"/>
      <c r="O672" s="36"/>
      <c r="P672" s="36"/>
      <c r="Q672" s="36"/>
      <c r="R672" s="36"/>
      <c r="S672" s="36"/>
      <c r="T672" s="36"/>
      <c r="U672" s="36"/>
      <c r="V672" s="36"/>
      <c r="W672" s="36"/>
      <c r="X672" s="36"/>
      <c r="Y672" s="36"/>
      <c r="Z672" s="3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row>
    <row r="673" spans="1:57" ht="15.75" customHeight="1" x14ac:dyDescent="0.2">
      <c r="A673" s="36"/>
      <c r="B673" s="36"/>
      <c r="C673" s="35"/>
      <c r="D673" s="36"/>
      <c r="E673" s="36"/>
      <c r="F673" s="36"/>
      <c r="G673" s="36"/>
      <c r="H673" s="35"/>
      <c r="I673" s="35"/>
      <c r="J673" s="35"/>
      <c r="K673" s="36"/>
      <c r="L673" s="36"/>
      <c r="M673" s="36"/>
      <c r="N673" s="36"/>
      <c r="O673" s="36"/>
      <c r="P673" s="36"/>
      <c r="Q673" s="36"/>
      <c r="R673" s="36"/>
      <c r="S673" s="36"/>
      <c r="T673" s="36"/>
      <c r="U673" s="36"/>
      <c r="V673" s="36"/>
      <c r="W673" s="36"/>
      <c r="X673" s="36"/>
      <c r="Y673" s="36"/>
      <c r="Z673" s="3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row>
    <row r="674" spans="1:57" ht="15.75" customHeight="1" x14ac:dyDescent="0.2">
      <c r="A674" s="36"/>
      <c r="B674" s="36"/>
      <c r="C674" s="35"/>
      <c r="D674" s="36"/>
      <c r="E674" s="36"/>
      <c r="F674" s="36"/>
      <c r="G674" s="36"/>
      <c r="H674" s="35"/>
      <c r="I674" s="35"/>
      <c r="J674" s="35"/>
      <c r="K674" s="36"/>
      <c r="L674" s="36"/>
      <c r="M674" s="36"/>
      <c r="N674" s="36"/>
      <c r="O674" s="36"/>
      <c r="P674" s="36"/>
      <c r="Q674" s="36"/>
      <c r="R674" s="36"/>
      <c r="S674" s="36"/>
      <c r="T674" s="36"/>
      <c r="U674" s="36"/>
      <c r="V674" s="36"/>
      <c r="W674" s="36"/>
      <c r="X674" s="36"/>
      <c r="Y674" s="36"/>
      <c r="Z674" s="3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row>
    <row r="675" spans="1:57" ht="15.75" customHeight="1" x14ac:dyDescent="0.2">
      <c r="A675" s="36"/>
      <c r="B675" s="36"/>
      <c r="C675" s="35"/>
      <c r="D675" s="36"/>
      <c r="E675" s="36"/>
      <c r="F675" s="36"/>
      <c r="G675" s="36"/>
      <c r="H675" s="35"/>
      <c r="I675" s="35"/>
      <c r="J675" s="35"/>
      <c r="K675" s="36"/>
      <c r="L675" s="36"/>
      <c r="M675" s="36"/>
      <c r="N675" s="36"/>
      <c r="O675" s="36"/>
      <c r="P675" s="36"/>
      <c r="Q675" s="36"/>
      <c r="R675" s="36"/>
      <c r="S675" s="36"/>
      <c r="T675" s="36"/>
      <c r="U675" s="36"/>
      <c r="V675" s="36"/>
      <c r="W675" s="36"/>
      <c r="X675" s="36"/>
      <c r="Y675" s="36"/>
      <c r="Z675" s="3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row>
    <row r="676" spans="1:57" ht="15.75" customHeight="1" x14ac:dyDescent="0.2">
      <c r="A676" s="36"/>
      <c r="B676" s="36"/>
      <c r="C676" s="35"/>
      <c r="D676" s="36"/>
      <c r="E676" s="36"/>
      <c r="F676" s="36"/>
      <c r="G676" s="36"/>
      <c r="H676" s="35"/>
      <c r="I676" s="35"/>
      <c r="J676" s="35"/>
      <c r="K676" s="36"/>
      <c r="L676" s="36"/>
      <c r="M676" s="36"/>
      <c r="N676" s="36"/>
      <c r="O676" s="36"/>
      <c r="P676" s="36"/>
      <c r="Q676" s="36"/>
      <c r="R676" s="36"/>
      <c r="S676" s="36"/>
      <c r="T676" s="36"/>
      <c r="U676" s="36"/>
      <c r="V676" s="36"/>
      <c r="W676" s="36"/>
      <c r="X676" s="36"/>
      <c r="Y676" s="36"/>
      <c r="Z676" s="3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row>
    <row r="677" spans="1:57" ht="15.75" customHeight="1" x14ac:dyDescent="0.2">
      <c r="A677" s="36"/>
      <c r="B677" s="36"/>
      <c r="C677" s="35"/>
      <c r="D677" s="36"/>
      <c r="E677" s="36"/>
      <c r="F677" s="36"/>
      <c r="G677" s="36"/>
      <c r="H677" s="35"/>
      <c r="I677" s="35"/>
      <c r="J677" s="35"/>
      <c r="K677" s="36"/>
      <c r="L677" s="36"/>
      <c r="M677" s="36"/>
      <c r="N677" s="36"/>
      <c r="O677" s="36"/>
      <c r="P677" s="36"/>
      <c r="Q677" s="36"/>
      <c r="R677" s="36"/>
      <c r="S677" s="36"/>
      <c r="T677" s="36"/>
      <c r="U677" s="36"/>
      <c r="V677" s="36"/>
      <c r="W677" s="36"/>
      <c r="X677" s="36"/>
      <c r="Y677" s="36"/>
      <c r="Z677" s="3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row>
    <row r="678" spans="1:57" ht="15.75" customHeight="1" x14ac:dyDescent="0.2">
      <c r="A678" s="36"/>
      <c r="B678" s="36"/>
      <c r="C678" s="35"/>
      <c r="D678" s="36"/>
      <c r="E678" s="36"/>
      <c r="F678" s="36"/>
      <c r="G678" s="36"/>
      <c r="H678" s="35"/>
      <c r="I678" s="35"/>
      <c r="J678" s="35"/>
      <c r="K678" s="36"/>
      <c r="L678" s="36"/>
      <c r="M678" s="36"/>
      <c r="N678" s="36"/>
      <c r="O678" s="36"/>
      <c r="P678" s="36"/>
      <c r="Q678" s="36"/>
      <c r="R678" s="36"/>
      <c r="S678" s="36"/>
      <c r="T678" s="36"/>
      <c r="U678" s="36"/>
      <c r="V678" s="36"/>
      <c r="W678" s="36"/>
      <c r="X678" s="36"/>
      <c r="Y678" s="36"/>
      <c r="Z678" s="3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row>
    <row r="679" spans="1:57" ht="15.75" customHeight="1" x14ac:dyDescent="0.2">
      <c r="A679" s="36"/>
      <c r="B679" s="36"/>
      <c r="C679" s="35"/>
      <c r="D679" s="36"/>
      <c r="E679" s="36"/>
      <c r="F679" s="36"/>
      <c r="G679" s="36"/>
      <c r="H679" s="35"/>
      <c r="I679" s="35"/>
      <c r="J679" s="35"/>
      <c r="K679" s="36"/>
      <c r="L679" s="36"/>
      <c r="M679" s="36"/>
      <c r="N679" s="36"/>
      <c r="O679" s="36"/>
      <c r="P679" s="36"/>
      <c r="Q679" s="36"/>
      <c r="R679" s="36"/>
      <c r="S679" s="36"/>
      <c r="T679" s="36"/>
      <c r="U679" s="36"/>
      <c r="V679" s="36"/>
      <c r="W679" s="36"/>
      <c r="X679" s="36"/>
      <c r="Y679" s="36"/>
      <c r="Z679" s="3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row>
    <row r="680" spans="1:57" ht="15.75" customHeight="1" x14ac:dyDescent="0.2">
      <c r="A680" s="36"/>
      <c r="B680" s="36"/>
      <c r="C680" s="35"/>
      <c r="D680" s="36"/>
      <c r="E680" s="36"/>
      <c r="F680" s="36"/>
      <c r="G680" s="36"/>
      <c r="H680" s="35"/>
      <c r="I680" s="35"/>
      <c r="J680" s="35"/>
      <c r="K680" s="36"/>
      <c r="L680" s="36"/>
      <c r="M680" s="36"/>
      <c r="N680" s="36"/>
      <c r="O680" s="36"/>
      <c r="P680" s="36"/>
      <c r="Q680" s="36"/>
      <c r="R680" s="36"/>
      <c r="S680" s="36"/>
      <c r="T680" s="36"/>
      <c r="U680" s="36"/>
      <c r="V680" s="36"/>
      <c r="W680" s="36"/>
      <c r="X680" s="36"/>
      <c r="Y680" s="36"/>
      <c r="Z680" s="3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row>
    <row r="681" spans="1:57" ht="15.75" customHeight="1" x14ac:dyDescent="0.2">
      <c r="A681" s="36"/>
      <c r="B681" s="36"/>
      <c r="C681" s="35"/>
      <c r="D681" s="36"/>
      <c r="E681" s="36"/>
      <c r="F681" s="36"/>
      <c r="G681" s="36"/>
      <c r="H681" s="35"/>
      <c r="I681" s="35"/>
      <c r="J681" s="35"/>
      <c r="K681" s="36"/>
      <c r="L681" s="36"/>
      <c r="M681" s="36"/>
      <c r="N681" s="36"/>
      <c r="O681" s="36"/>
      <c r="P681" s="36"/>
      <c r="Q681" s="36"/>
      <c r="R681" s="36"/>
      <c r="S681" s="36"/>
      <c r="T681" s="36"/>
      <c r="U681" s="36"/>
      <c r="V681" s="36"/>
      <c r="W681" s="36"/>
      <c r="X681" s="36"/>
      <c r="Y681" s="36"/>
      <c r="Z681" s="3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row>
    <row r="682" spans="1:57" ht="15.75" customHeight="1" x14ac:dyDescent="0.2">
      <c r="A682" s="36"/>
      <c r="B682" s="36"/>
      <c r="C682" s="35"/>
      <c r="D682" s="36"/>
      <c r="E682" s="36"/>
      <c r="F682" s="36"/>
      <c r="G682" s="36"/>
      <c r="H682" s="35"/>
      <c r="I682" s="35"/>
      <c r="J682" s="35"/>
      <c r="K682" s="36"/>
      <c r="L682" s="36"/>
      <c r="M682" s="36"/>
      <c r="N682" s="36"/>
      <c r="O682" s="36"/>
      <c r="P682" s="36"/>
      <c r="Q682" s="36"/>
      <c r="R682" s="36"/>
      <c r="S682" s="36"/>
      <c r="T682" s="36"/>
      <c r="U682" s="36"/>
      <c r="V682" s="36"/>
      <c r="W682" s="36"/>
      <c r="X682" s="36"/>
      <c r="Y682" s="36"/>
      <c r="Z682" s="3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row>
    <row r="683" spans="1:57" ht="15.75" customHeight="1" x14ac:dyDescent="0.2">
      <c r="A683" s="36"/>
      <c r="B683" s="36"/>
      <c r="C683" s="35"/>
      <c r="D683" s="36"/>
      <c r="E683" s="36"/>
      <c r="F683" s="36"/>
      <c r="G683" s="36"/>
      <c r="H683" s="35"/>
      <c r="I683" s="35"/>
      <c r="J683" s="35"/>
      <c r="K683" s="36"/>
      <c r="L683" s="36"/>
      <c r="M683" s="36"/>
      <c r="N683" s="36"/>
      <c r="O683" s="36"/>
      <c r="P683" s="36"/>
      <c r="Q683" s="36"/>
      <c r="R683" s="36"/>
      <c r="S683" s="36"/>
      <c r="T683" s="36"/>
      <c r="U683" s="36"/>
      <c r="V683" s="36"/>
      <c r="W683" s="36"/>
      <c r="X683" s="36"/>
      <c r="Y683" s="36"/>
      <c r="Z683" s="3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row>
    <row r="684" spans="1:57" ht="15.75" customHeight="1" x14ac:dyDescent="0.2">
      <c r="A684" s="36"/>
      <c r="B684" s="36"/>
      <c r="C684" s="35"/>
      <c r="D684" s="36"/>
      <c r="E684" s="36"/>
      <c r="F684" s="36"/>
      <c r="G684" s="36"/>
      <c r="H684" s="35"/>
      <c r="I684" s="35"/>
      <c r="J684" s="35"/>
      <c r="K684" s="36"/>
      <c r="L684" s="36"/>
      <c r="M684" s="36"/>
      <c r="N684" s="36"/>
      <c r="O684" s="36"/>
      <c r="P684" s="36"/>
      <c r="Q684" s="36"/>
      <c r="R684" s="36"/>
      <c r="S684" s="36"/>
      <c r="T684" s="36"/>
      <c r="U684" s="36"/>
      <c r="V684" s="36"/>
      <c r="W684" s="36"/>
      <c r="X684" s="36"/>
      <c r="Y684" s="36"/>
      <c r="Z684" s="3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row>
    <row r="685" spans="1:57" ht="15.75" customHeight="1" x14ac:dyDescent="0.2">
      <c r="A685" s="36"/>
      <c r="B685" s="36"/>
      <c r="C685" s="35"/>
      <c r="D685" s="36"/>
      <c r="E685" s="36"/>
      <c r="F685" s="36"/>
      <c r="G685" s="36"/>
      <c r="H685" s="35"/>
      <c r="I685" s="35"/>
      <c r="J685" s="35"/>
      <c r="K685" s="36"/>
      <c r="L685" s="36"/>
      <c r="M685" s="36"/>
      <c r="N685" s="36"/>
      <c r="O685" s="36"/>
      <c r="P685" s="36"/>
      <c r="Q685" s="36"/>
      <c r="R685" s="36"/>
      <c r="S685" s="36"/>
      <c r="T685" s="36"/>
      <c r="U685" s="36"/>
      <c r="V685" s="36"/>
      <c r="W685" s="36"/>
      <c r="X685" s="36"/>
      <c r="Y685" s="36"/>
      <c r="Z685" s="3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row>
    <row r="686" spans="1:57" ht="15.75" customHeight="1" x14ac:dyDescent="0.2">
      <c r="A686" s="36"/>
      <c r="B686" s="36"/>
      <c r="C686" s="35"/>
      <c r="D686" s="36"/>
      <c r="E686" s="36"/>
      <c r="F686" s="36"/>
      <c r="G686" s="36"/>
      <c r="H686" s="35"/>
      <c r="I686" s="35"/>
      <c r="J686" s="35"/>
      <c r="K686" s="36"/>
      <c r="L686" s="36"/>
      <c r="M686" s="36"/>
      <c r="N686" s="36"/>
      <c r="O686" s="36"/>
      <c r="P686" s="36"/>
      <c r="Q686" s="36"/>
      <c r="R686" s="36"/>
      <c r="S686" s="36"/>
      <c r="T686" s="36"/>
      <c r="U686" s="36"/>
      <c r="V686" s="36"/>
      <c r="W686" s="36"/>
      <c r="X686" s="36"/>
      <c r="Y686" s="36"/>
      <c r="Z686" s="3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row>
    <row r="687" spans="1:57" ht="15.75" customHeight="1" x14ac:dyDescent="0.2">
      <c r="A687" s="36"/>
      <c r="B687" s="36"/>
      <c r="C687" s="35"/>
      <c r="D687" s="36"/>
      <c r="E687" s="36"/>
      <c r="F687" s="36"/>
      <c r="G687" s="36"/>
      <c r="H687" s="35"/>
      <c r="I687" s="35"/>
      <c r="J687" s="35"/>
      <c r="K687" s="36"/>
      <c r="L687" s="36"/>
      <c r="M687" s="36"/>
      <c r="N687" s="36"/>
      <c r="O687" s="36"/>
      <c r="P687" s="36"/>
      <c r="Q687" s="36"/>
      <c r="R687" s="36"/>
      <c r="S687" s="36"/>
      <c r="T687" s="36"/>
      <c r="U687" s="36"/>
      <c r="V687" s="36"/>
      <c r="W687" s="36"/>
      <c r="X687" s="36"/>
      <c r="Y687" s="36"/>
      <c r="Z687" s="3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row>
    <row r="688" spans="1:57" ht="15.75" customHeight="1" x14ac:dyDescent="0.2">
      <c r="A688" s="36"/>
      <c r="B688" s="36"/>
      <c r="C688" s="35"/>
      <c r="D688" s="36"/>
      <c r="E688" s="36"/>
      <c r="F688" s="36"/>
      <c r="G688" s="36"/>
      <c r="H688" s="35"/>
      <c r="I688" s="35"/>
      <c r="J688" s="35"/>
      <c r="K688" s="36"/>
      <c r="L688" s="36"/>
      <c r="M688" s="36"/>
      <c r="N688" s="36"/>
      <c r="O688" s="36"/>
      <c r="P688" s="36"/>
      <c r="Q688" s="36"/>
      <c r="R688" s="36"/>
      <c r="S688" s="36"/>
      <c r="T688" s="36"/>
      <c r="U688" s="36"/>
      <c r="V688" s="36"/>
      <c r="W688" s="36"/>
      <c r="X688" s="36"/>
      <c r="Y688" s="36"/>
      <c r="Z688" s="3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row>
    <row r="689" spans="1:57" ht="15.75" customHeight="1" x14ac:dyDescent="0.2">
      <c r="A689" s="36"/>
      <c r="B689" s="36"/>
      <c r="C689" s="35"/>
      <c r="D689" s="36"/>
      <c r="E689" s="36"/>
      <c r="F689" s="36"/>
      <c r="G689" s="36"/>
      <c r="H689" s="35"/>
      <c r="I689" s="35"/>
      <c r="J689" s="35"/>
      <c r="K689" s="36"/>
      <c r="L689" s="36"/>
      <c r="M689" s="36"/>
      <c r="N689" s="36"/>
      <c r="O689" s="36"/>
      <c r="P689" s="36"/>
      <c r="Q689" s="36"/>
      <c r="R689" s="36"/>
      <c r="S689" s="36"/>
      <c r="T689" s="36"/>
      <c r="U689" s="36"/>
      <c r="V689" s="36"/>
      <c r="W689" s="36"/>
      <c r="X689" s="36"/>
      <c r="Y689" s="36"/>
      <c r="Z689" s="3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row>
    <row r="690" spans="1:57" ht="15.75" customHeight="1" x14ac:dyDescent="0.2">
      <c r="A690" s="36"/>
      <c r="B690" s="36"/>
      <c r="C690" s="35"/>
      <c r="D690" s="36"/>
      <c r="E690" s="36"/>
      <c r="F690" s="36"/>
      <c r="G690" s="36"/>
      <c r="H690" s="35"/>
      <c r="I690" s="35"/>
      <c r="J690" s="35"/>
      <c r="K690" s="36"/>
      <c r="L690" s="36"/>
      <c r="M690" s="36"/>
      <c r="N690" s="36"/>
      <c r="O690" s="36"/>
      <c r="P690" s="36"/>
      <c r="Q690" s="36"/>
      <c r="R690" s="36"/>
      <c r="S690" s="36"/>
      <c r="T690" s="36"/>
      <c r="U690" s="36"/>
      <c r="V690" s="36"/>
      <c r="W690" s="36"/>
      <c r="X690" s="36"/>
      <c r="Y690" s="36"/>
      <c r="Z690" s="3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row>
    <row r="691" spans="1:57" ht="15.75" customHeight="1" x14ac:dyDescent="0.2">
      <c r="A691" s="36"/>
      <c r="B691" s="36"/>
      <c r="C691" s="35"/>
      <c r="D691" s="36"/>
      <c r="E691" s="36"/>
      <c r="F691" s="36"/>
      <c r="G691" s="36"/>
      <c r="H691" s="35"/>
      <c r="I691" s="35"/>
      <c r="J691" s="35"/>
      <c r="K691" s="36"/>
      <c r="L691" s="36"/>
      <c r="M691" s="36"/>
      <c r="N691" s="36"/>
      <c r="O691" s="36"/>
      <c r="P691" s="36"/>
      <c r="Q691" s="36"/>
      <c r="R691" s="36"/>
      <c r="S691" s="36"/>
      <c r="T691" s="36"/>
      <c r="U691" s="36"/>
      <c r="V691" s="36"/>
      <c r="W691" s="36"/>
      <c r="X691" s="36"/>
      <c r="Y691" s="36"/>
      <c r="Z691" s="3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row>
    <row r="692" spans="1:57" ht="15.75" customHeight="1" x14ac:dyDescent="0.2">
      <c r="A692" s="36"/>
      <c r="B692" s="36"/>
      <c r="C692" s="35"/>
      <c r="D692" s="36"/>
      <c r="E692" s="36"/>
      <c r="F692" s="36"/>
      <c r="G692" s="36"/>
      <c r="H692" s="35"/>
      <c r="I692" s="35"/>
      <c r="J692" s="35"/>
      <c r="K692" s="36"/>
      <c r="L692" s="36"/>
      <c r="M692" s="36"/>
      <c r="N692" s="36"/>
      <c r="O692" s="36"/>
      <c r="P692" s="36"/>
      <c r="Q692" s="36"/>
      <c r="R692" s="36"/>
      <c r="S692" s="36"/>
      <c r="T692" s="36"/>
      <c r="U692" s="36"/>
      <c r="V692" s="36"/>
      <c r="W692" s="36"/>
      <c r="X692" s="36"/>
      <c r="Y692" s="36"/>
      <c r="Z692" s="3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row>
    <row r="693" spans="1:57" ht="15.75" customHeight="1" x14ac:dyDescent="0.2">
      <c r="A693" s="36"/>
      <c r="B693" s="36"/>
      <c r="C693" s="35"/>
      <c r="D693" s="36"/>
      <c r="E693" s="36"/>
      <c r="F693" s="36"/>
      <c r="G693" s="36"/>
      <c r="H693" s="35"/>
      <c r="I693" s="35"/>
      <c r="J693" s="35"/>
      <c r="K693" s="36"/>
      <c r="L693" s="36"/>
      <c r="M693" s="36"/>
      <c r="N693" s="36"/>
      <c r="O693" s="36"/>
      <c r="P693" s="36"/>
      <c r="Q693" s="36"/>
      <c r="R693" s="36"/>
      <c r="S693" s="36"/>
      <c r="T693" s="36"/>
      <c r="U693" s="36"/>
      <c r="V693" s="36"/>
      <c r="W693" s="36"/>
      <c r="X693" s="36"/>
      <c r="Y693" s="36"/>
      <c r="Z693" s="3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row>
    <row r="694" spans="1:57" ht="15.75" customHeight="1" x14ac:dyDescent="0.2">
      <c r="A694" s="36"/>
      <c r="B694" s="36"/>
      <c r="C694" s="35"/>
      <c r="D694" s="36"/>
      <c r="E694" s="36"/>
      <c r="F694" s="36"/>
      <c r="G694" s="36"/>
      <c r="H694" s="35"/>
      <c r="I694" s="35"/>
      <c r="J694" s="35"/>
      <c r="K694" s="36"/>
      <c r="L694" s="36"/>
      <c r="M694" s="36"/>
      <c r="N694" s="36"/>
      <c r="O694" s="36"/>
      <c r="P694" s="36"/>
      <c r="Q694" s="36"/>
      <c r="R694" s="36"/>
      <c r="S694" s="36"/>
      <c r="T694" s="36"/>
      <c r="U694" s="36"/>
      <c r="V694" s="36"/>
      <c r="W694" s="36"/>
      <c r="X694" s="36"/>
      <c r="Y694" s="36"/>
      <c r="Z694" s="3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row>
    <row r="695" spans="1:57" ht="15.75" customHeight="1" x14ac:dyDescent="0.2">
      <c r="A695" s="36"/>
      <c r="B695" s="36"/>
      <c r="C695" s="35"/>
      <c r="D695" s="36"/>
      <c r="E695" s="36"/>
      <c r="F695" s="36"/>
      <c r="G695" s="36"/>
      <c r="H695" s="35"/>
      <c r="I695" s="35"/>
      <c r="J695" s="35"/>
      <c r="K695" s="36"/>
      <c r="L695" s="36"/>
      <c r="M695" s="36"/>
      <c r="N695" s="36"/>
      <c r="O695" s="36"/>
      <c r="P695" s="36"/>
      <c r="Q695" s="36"/>
      <c r="R695" s="36"/>
      <c r="S695" s="36"/>
      <c r="T695" s="36"/>
      <c r="U695" s="36"/>
      <c r="V695" s="36"/>
      <c r="W695" s="36"/>
      <c r="X695" s="36"/>
      <c r="Y695" s="36"/>
      <c r="Z695" s="3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row>
    <row r="696" spans="1:57" ht="15.75" customHeight="1" x14ac:dyDescent="0.2">
      <c r="A696" s="36"/>
      <c r="B696" s="36"/>
      <c r="C696" s="35"/>
      <c r="D696" s="36"/>
      <c r="E696" s="36"/>
      <c r="F696" s="36"/>
      <c r="G696" s="36"/>
      <c r="H696" s="35"/>
      <c r="I696" s="35"/>
      <c r="J696" s="35"/>
      <c r="K696" s="36"/>
      <c r="L696" s="36"/>
      <c r="M696" s="36"/>
      <c r="N696" s="36"/>
      <c r="O696" s="36"/>
      <c r="P696" s="36"/>
      <c r="Q696" s="36"/>
      <c r="R696" s="36"/>
      <c r="S696" s="36"/>
      <c r="T696" s="36"/>
      <c r="U696" s="36"/>
      <c r="V696" s="36"/>
      <c r="W696" s="36"/>
      <c r="X696" s="36"/>
      <c r="Y696" s="36"/>
      <c r="Z696" s="3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row>
    <row r="697" spans="1:57" ht="15.75" customHeight="1" x14ac:dyDescent="0.2">
      <c r="A697" s="36"/>
      <c r="B697" s="36"/>
      <c r="C697" s="35"/>
      <c r="D697" s="36"/>
      <c r="E697" s="36"/>
      <c r="F697" s="36"/>
      <c r="G697" s="36"/>
      <c r="H697" s="35"/>
      <c r="I697" s="35"/>
      <c r="J697" s="35"/>
      <c r="K697" s="36"/>
      <c r="L697" s="36"/>
      <c r="M697" s="36"/>
      <c r="N697" s="36"/>
      <c r="O697" s="36"/>
      <c r="P697" s="36"/>
      <c r="Q697" s="36"/>
      <c r="R697" s="36"/>
      <c r="S697" s="36"/>
      <c r="T697" s="36"/>
      <c r="U697" s="36"/>
      <c r="V697" s="36"/>
      <c r="W697" s="36"/>
      <c r="X697" s="36"/>
      <c r="Y697" s="36"/>
      <c r="Z697" s="3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row>
    <row r="698" spans="1:57" ht="15.75" customHeight="1" x14ac:dyDescent="0.2">
      <c r="A698" s="36"/>
      <c r="B698" s="36"/>
      <c r="C698" s="35"/>
      <c r="D698" s="36"/>
      <c r="E698" s="36"/>
      <c r="F698" s="36"/>
      <c r="G698" s="36"/>
      <c r="H698" s="35"/>
      <c r="I698" s="35"/>
      <c r="J698" s="35"/>
      <c r="K698" s="36"/>
      <c r="L698" s="36"/>
      <c r="M698" s="36"/>
      <c r="N698" s="36"/>
      <c r="O698" s="36"/>
      <c r="P698" s="36"/>
      <c r="Q698" s="36"/>
      <c r="R698" s="36"/>
      <c r="S698" s="36"/>
      <c r="T698" s="36"/>
      <c r="U698" s="36"/>
      <c r="V698" s="36"/>
      <c r="W698" s="36"/>
      <c r="X698" s="36"/>
      <c r="Y698" s="36"/>
      <c r="Z698" s="3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row>
    <row r="699" spans="1:57" ht="15.75" customHeight="1" x14ac:dyDescent="0.2">
      <c r="A699" s="36"/>
      <c r="B699" s="36"/>
      <c r="C699" s="35"/>
      <c r="D699" s="36"/>
      <c r="E699" s="36"/>
      <c r="F699" s="36"/>
      <c r="G699" s="36"/>
      <c r="H699" s="35"/>
      <c r="I699" s="35"/>
      <c r="J699" s="35"/>
      <c r="K699" s="36"/>
      <c r="L699" s="36"/>
      <c r="M699" s="36"/>
      <c r="N699" s="36"/>
      <c r="O699" s="36"/>
      <c r="P699" s="36"/>
      <c r="Q699" s="36"/>
      <c r="R699" s="36"/>
      <c r="S699" s="36"/>
      <c r="T699" s="36"/>
      <c r="U699" s="36"/>
      <c r="V699" s="36"/>
      <c r="W699" s="36"/>
      <c r="X699" s="36"/>
      <c r="Y699" s="36"/>
      <c r="Z699" s="3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row>
    <row r="700" spans="1:57" ht="15.75" customHeight="1" x14ac:dyDescent="0.2">
      <c r="A700" s="36"/>
      <c r="B700" s="36"/>
      <c r="C700" s="35"/>
      <c r="D700" s="36"/>
      <c r="E700" s="36"/>
      <c r="F700" s="36"/>
      <c r="G700" s="36"/>
      <c r="H700" s="35"/>
      <c r="I700" s="35"/>
      <c r="J700" s="35"/>
      <c r="K700" s="36"/>
      <c r="L700" s="36"/>
      <c r="M700" s="36"/>
      <c r="N700" s="36"/>
      <c r="O700" s="36"/>
      <c r="P700" s="36"/>
      <c r="Q700" s="36"/>
      <c r="R700" s="36"/>
      <c r="S700" s="36"/>
      <c r="T700" s="36"/>
      <c r="U700" s="36"/>
      <c r="V700" s="36"/>
      <c r="W700" s="36"/>
      <c r="X700" s="36"/>
      <c r="Y700" s="36"/>
      <c r="Z700" s="3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row>
    <row r="701" spans="1:57" ht="15.75" customHeight="1" x14ac:dyDescent="0.2">
      <c r="A701" s="36"/>
      <c r="B701" s="36"/>
      <c r="C701" s="35"/>
      <c r="D701" s="36"/>
      <c r="E701" s="36"/>
      <c r="F701" s="36"/>
      <c r="G701" s="36"/>
      <c r="H701" s="35"/>
      <c r="I701" s="35"/>
      <c r="J701" s="35"/>
      <c r="K701" s="36"/>
      <c r="L701" s="36"/>
      <c r="M701" s="36"/>
      <c r="N701" s="36"/>
      <c r="O701" s="36"/>
      <c r="P701" s="36"/>
      <c r="Q701" s="36"/>
      <c r="R701" s="36"/>
      <c r="S701" s="36"/>
      <c r="T701" s="36"/>
      <c r="U701" s="36"/>
      <c r="V701" s="36"/>
      <c r="W701" s="36"/>
      <c r="X701" s="36"/>
      <c r="Y701" s="36"/>
      <c r="Z701" s="3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row>
    <row r="702" spans="1:57" ht="15.75" customHeight="1" x14ac:dyDescent="0.2">
      <c r="A702" s="36"/>
      <c r="B702" s="36"/>
      <c r="C702" s="35"/>
      <c r="D702" s="36"/>
      <c r="E702" s="36"/>
      <c r="F702" s="36"/>
      <c r="G702" s="36"/>
      <c r="H702" s="35"/>
      <c r="I702" s="35"/>
      <c r="J702" s="35"/>
      <c r="K702" s="36"/>
      <c r="L702" s="36"/>
      <c r="M702" s="36"/>
      <c r="N702" s="36"/>
      <c r="O702" s="36"/>
      <c r="P702" s="36"/>
      <c r="Q702" s="36"/>
      <c r="R702" s="36"/>
      <c r="S702" s="36"/>
      <c r="T702" s="36"/>
      <c r="U702" s="36"/>
      <c r="V702" s="36"/>
      <c r="W702" s="36"/>
      <c r="X702" s="36"/>
      <c r="Y702" s="36"/>
      <c r="Z702" s="3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row>
    <row r="703" spans="1:57" ht="15.75" customHeight="1" x14ac:dyDescent="0.2">
      <c r="A703" s="36"/>
      <c r="B703" s="36"/>
      <c r="C703" s="35"/>
      <c r="D703" s="36"/>
      <c r="E703" s="36"/>
      <c r="F703" s="36"/>
      <c r="G703" s="36"/>
      <c r="H703" s="35"/>
      <c r="I703" s="35"/>
      <c r="J703" s="35"/>
      <c r="K703" s="36"/>
      <c r="L703" s="36"/>
      <c r="M703" s="36"/>
      <c r="N703" s="36"/>
      <c r="O703" s="36"/>
      <c r="P703" s="36"/>
      <c r="Q703" s="36"/>
      <c r="R703" s="36"/>
      <c r="S703" s="36"/>
      <c r="T703" s="36"/>
      <c r="U703" s="36"/>
      <c r="V703" s="36"/>
      <c r="W703" s="36"/>
      <c r="X703" s="36"/>
      <c r="Y703" s="36"/>
      <c r="Z703" s="3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row>
    <row r="704" spans="1:57" ht="15.75" customHeight="1" x14ac:dyDescent="0.2">
      <c r="A704" s="36"/>
      <c r="B704" s="36"/>
      <c r="C704" s="35"/>
      <c r="D704" s="36"/>
      <c r="E704" s="36"/>
      <c r="F704" s="36"/>
      <c r="G704" s="36"/>
      <c r="H704" s="35"/>
      <c r="I704" s="35"/>
      <c r="J704" s="35"/>
      <c r="K704" s="36"/>
      <c r="L704" s="36"/>
      <c r="M704" s="36"/>
      <c r="N704" s="36"/>
      <c r="O704" s="36"/>
      <c r="P704" s="36"/>
      <c r="Q704" s="36"/>
      <c r="R704" s="36"/>
      <c r="S704" s="36"/>
      <c r="T704" s="36"/>
      <c r="U704" s="36"/>
      <c r="V704" s="36"/>
      <c r="W704" s="36"/>
      <c r="X704" s="36"/>
      <c r="Y704" s="36"/>
      <c r="Z704" s="3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row>
    <row r="705" spans="1:57" ht="15.75" customHeight="1" x14ac:dyDescent="0.2">
      <c r="A705" s="36"/>
      <c r="B705" s="36"/>
      <c r="C705" s="35"/>
      <c r="D705" s="36"/>
      <c r="E705" s="36"/>
      <c r="F705" s="36"/>
      <c r="G705" s="36"/>
      <c r="H705" s="35"/>
      <c r="I705" s="35"/>
      <c r="J705" s="35"/>
      <c r="K705" s="36"/>
      <c r="L705" s="36"/>
      <c r="M705" s="36"/>
      <c r="N705" s="36"/>
      <c r="O705" s="36"/>
      <c r="P705" s="36"/>
      <c r="Q705" s="36"/>
      <c r="R705" s="36"/>
      <c r="S705" s="36"/>
      <c r="T705" s="36"/>
      <c r="U705" s="36"/>
      <c r="V705" s="36"/>
      <c r="W705" s="36"/>
      <c r="X705" s="36"/>
      <c r="Y705" s="36"/>
      <c r="Z705" s="3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row>
    <row r="706" spans="1:57" ht="15.75" customHeight="1" x14ac:dyDescent="0.2">
      <c r="A706" s="36"/>
      <c r="B706" s="36"/>
      <c r="C706" s="35"/>
      <c r="D706" s="36"/>
      <c r="E706" s="36"/>
      <c r="F706" s="36"/>
      <c r="G706" s="36"/>
      <c r="H706" s="35"/>
      <c r="I706" s="35"/>
      <c r="J706" s="35"/>
      <c r="K706" s="36"/>
      <c r="L706" s="36"/>
      <c r="M706" s="36"/>
      <c r="N706" s="36"/>
      <c r="O706" s="36"/>
      <c r="P706" s="36"/>
      <c r="Q706" s="36"/>
      <c r="R706" s="36"/>
      <c r="S706" s="36"/>
      <c r="T706" s="36"/>
      <c r="U706" s="36"/>
      <c r="V706" s="36"/>
      <c r="W706" s="36"/>
      <c r="X706" s="36"/>
      <c r="Y706" s="36"/>
      <c r="Z706" s="3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row>
    <row r="707" spans="1:57" ht="15.75" customHeight="1" x14ac:dyDescent="0.2">
      <c r="A707" s="36"/>
      <c r="B707" s="36"/>
      <c r="C707" s="35"/>
      <c r="D707" s="36"/>
      <c r="E707" s="36"/>
      <c r="F707" s="36"/>
      <c r="G707" s="36"/>
      <c r="H707" s="35"/>
      <c r="I707" s="35"/>
      <c r="J707" s="35"/>
      <c r="K707" s="36"/>
      <c r="L707" s="36"/>
      <c r="M707" s="36"/>
      <c r="N707" s="36"/>
      <c r="O707" s="36"/>
      <c r="P707" s="36"/>
      <c r="Q707" s="36"/>
      <c r="R707" s="36"/>
      <c r="S707" s="36"/>
      <c r="T707" s="36"/>
      <c r="U707" s="36"/>
      <c r="V707" s="36"/>
      <c r="W707" s="36"/>
      <c r="X707" s="36"/>
      <c r="Y707" s="36"/>
      <c r="Z707" s="3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row>
    <row r="708" spans="1:57" ht="15.75" customHeight="1" x14ac:dyDescent="0.2">
      <c r="A708" s="36"/>
      <c r="B708" s="36"/>
      <c r="C708" s="35"/>
      <c r="D708" s="36"/>
      <c r="E708" s="36"/>
      <c r="F708" s="36"/>
      <c r="G708" s="36"/>
      <c r="H708" s="35"/>
      <c r="I708" s="35"/>
      <c r="J708" s="35"/>
      <c r="K708" s="36"/>
      <c r="L708" s="36"/>
      <c r="M708" s="36"/>
      <c r="N708" s="36"/>
      <c r="O708" s="36"/>
      <c r="P708" s="36"/>
      <c r="Q708" s="36"/>
      <c r="R708" s="36"/>
      <c r="S708" s="36"/>
      <c r="T708" s="36"/>
      <c r="U708" s="36"/>
      <c r="V708" s="36"/>
      <c r="W708" s="36"/>
      <c r="X708" s="36"/>
      <c r="Y708" s="36"/>
      <c r="Z708" s="3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row>
    <row r="709" spans="1:57" ht="15.75" customHeight="1" x14ac:dyDescent="0.2">
      <c r="A709" s="36"/>
      <c r="B709" s="36"/>
      <c r="C709" s="35"/>
      <c r="D709" s="36"/>
      <c r="E709" s="36"/>
      <c r="F709" s="36"/>
      <c r="G709" s="36"/>
      <c r="H709" s="35"/>
      <c r="I709" s="35"/>
      <c r="J709" s="35"/>
      <c r="K709" s="36"/>
      <c r="L709" s="36"/>
      <c r="M709" s="36"/>
      <c r="N709" s="36"/>
      <c r="O709" s="36"/>
      <c r="P709" s="36"/>
      <c r="Q709" s="36"/>
      <c r="R709" s="36"/>
      <c r="S709" s="36"/>
      <c r="T709" s="36"/>
      <c r="U709" s="36"/>
      <c r="V709" s="36"/>
      <c r="W709" s="36"/>
      <c r="X709" s="36"/>
      <c r="Y709" s="36"/>
      <c r="Z709" s="3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row>
    <row r="710" spans="1:57" ht="15.75" customHeight="1" x14ac:dyDescent="0.2">
      <c r="A710" s="36"/>
      <c r="B710" s="36"/>
      <c r="C710" s="35"/>
      <c r="D710" s="36"/>
      <c r="E710" s="36"/>
      <c r="F710" s="36"/>
      <c r="G710" s="36"/>
      <c r="H710" s="35"/>
      <c r="I710" s="35"/>
      <c r="J710" s="35"/>
      <c r="K710" s="36"/>
      <c r="L710" s="36"/>
      <c r="M710" s="36"/>
      <c r="N710" s="36"/>
      <c r="O710" s="36"/>
      <c r="P710" s="36"/>
      <c r="Q710" s="36"/>
      <c r="R710" s="36"/>
      <c r="S710" s="36"/>
      <c r="T710" s="36"/>
      <c r="U710" s="36"/>
      <c r="V710" s="36"/>
      <c r="W710" s="36"/>
      <c r="X710" s="36"/>
      <c r="Y710" s="36"/>
      <c r="Z710" s="3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row>
    <row r="711" spans="1:57" ht="15.75" customHeight="1" x14ac:dyDescent="0.2">
      <c r="A711" s="36"/>
      <c r="B711" s="36"/>
      <c r="C711" s="35"/>
      <c r="D711" s="36"/>
      <c r="E711" s="36"/>
      <c r="F711" s="36"/>
      <c r="G711" s="36"/>
      <c r="H711" s="35"/>
      <c r="I711" s="35"/>
      <c r="J711" s="35"/>
      <c r="K711" s="36"/>
      <c r="L711" s="36"/>
      <c r="M711" s="36"/>
      <c r="N711" s="36"/>
      <c r="O711" s="36"/>
      <c r="P711" s="36"/>
      <c r="Q711" s="36"/>
      <c r="R711" s="36"/>
      <c r="S711" s="36"/>
      <c r="T711" s="36"/>
      <c r="U711" s="36"/>
      <c r="V711" s="36"/>
      <c r="W711" s="36"/>
      <c r="X711" s="36"/>
      <c r="Y711" s="36"/>
      <c r="Z711" s="3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row>
    <row r="712" spans="1:57" ht="15.75" customHeight="1" x14ac:dyDescent="0.2">
      <c r="A712" s="36"/>
      <c r="B712" s="36"/>
      <c r="C712" s="35"/>
      <c r="D712" s="36"/>
      <c r="E712" s="36"/>
      <c r="F712" s="36"/>
      <c r="G712" s="36"/>
      <c r="H712" s="35"/>
      <c r="I712" s="35"/>
      <c r="J712" s="35"/>
      <c r="K712" s="36"/>
      <c r="L712" s="36"/>
      <c r="M712" s="36"/>
      <c r="N712" s="36"/>
      <c r="O712" s="36"/>
      <c r="P712" s="36"/>
      <c r="Q712" s="36"/>
      <c r="R712" s="36"/>
      <c r="S712" s="36"/>
      <c r="T712" s="36"/>
      <c r="U712" s="36"/>
      <c r="V712" s="36"/>
      <c r="W712" s="36"/>
      <c r="X712" s="36"/>
      <c r="Y712" s="36"/>
      <c r="Z712" s="3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row>
    <row r="713" spans="1:57" ht="15.75" customHeight="1" x14ac:dyDescent="0.2">
      <c r="A713" s="36"/>
      <c r="B713" s="36"/>
      <c r="C713" s="35"/>
      <c r="D713" s="36"/>
      <c r="E713" s="36"/>
      <c r="F713" s="36"/>
      <c r="G713" s="36"/>
      <c r="H713" s="35"/>
      <c r="I713" s="35"/>
      <c r="J713" s="35"/>
      <c r="K713" s="36"/>
      <c r="L713" s="36"/>
      <c r="M713" s="36"/>
      <c r="N713" s="36"/>
      <c r="O713" s="36"/>
      <c r="P713" s="36"/>
      <c r="Q713" s="36"/>
      <c r="R713" s="36"/>
      <c r="S713" s="36"/>
      <c r="T713" s="36"/>
      <c r="U713" s="36"/>
      <c r="V713" s="36"/>
      <c r="W713" s="36"/>
      <c r="X713" s="36"/>
      <c r="Y713" s="36"/>
      <c r="Z713" s="3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row>
    <row r="714" spans="1:57" ht="15.75" customHeight="1" x14ac:dyDescent="0.2">
      <c r="A714" s="36"/>
      <c r="B714" s="36"/>
      <c r="C714" s="35"/>
      <c r="D714" s="36"/>
      <c r="E714" s="36"/>
      <c r="F714" s="36"/>
      <c r="G714" s="36"/>
      <c r="H714" s="35"/>
      <c r="I714" s="35"/>
      <c r="J714" s="35"/>
      <c r="K714" s="36"/>
      <c r="L714" s="36"/>
      <c r="M714" s="36"/>
      <c r="N714" s="36"/>
      <c r="O714" s="36"/>
      <c r="P714" s="36"/>
      <c r="Q714" s="36"/>
      <c r="R714" s="36"/>
      <c r="S714" s="36"/>
      <c r="T714" s="36"/>
      <c r="U714" s="36"/>
      <c r="V714" s="36"/>
      <c r="W714" s="36"/>
      <c r="X714" s="36"/>
      <c r="Y714" s="36"/>
      <c r="Z714" s="3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row>
    <row r="715" spans="1:57" ht="15.75" customHeight="1" x14ac:dyDescent="0.2">
      <c r="A715" s="36"/>
      <c r="B715" s="36"/>
      <c r="C715" s="35"/>
      <c r="D715" s="36"/>
      <c r="E715" s="36"/>
      <c r="F715" s="36"/>
      <c r="G715" s="36"/>
      <c r="H715" s="35"/>
      <c r="I715" s="35"/>
      <c r="J715" s="35"/>
      <c r="K715" s="36"/>
      <c r="L715" s="36"/>
      <c r="M715" s="36"/>
      <c r="N715" s="36"/>
      <c r="O715" s="36"/>
      <c r="P715" s="36"/>
      <c r="Q715" s="36"/>
      <c r="R715" s="36"/>
      <c r="S715" s="36"/>
      <c r="T715" s="36"/>
      <c r="U715" s="36"/>
      <c r="V715" s="36"/>
      <c r="W715" s="36"/>
      <c r="X715" s="36"/>
      <c r="Y715" s="36"/>
      <c r="Z715" s="3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row>
    <row r="716" spans="1:57" ht="15.75" customHeight="1" x14ac:dyDescent="0.2">
      <c r="A716" s="36"/>
      <c r="B716" s="36"/>
      <c r="C716" s="35"/>
      <c r="D716" s="36"/>
      <c r="E716" s="36"/>
      <c r="F716" s="36"/>
      <c r="G716" s="36"/>
      <c r="H716" s="35"/>
      <c r="I716" s="35"/>
      <c r="J716" s="35"/>
      <c r="K716" s="36"/>
      <c r="L716" s="36"/>
      <c r="M716" s="36"/>
      <c r="N716" s="36"/>
      <c r="O716" s="36"/>
      <c r="P716" s="36"/>
      <c r="Q716" s="36"/>
      <c r="R716" s="36"/>
      <c r="S716" s="36"/>
      <c r="T716" s="36"/>
      <c r="U716" s="36"/>
      <c r="V716" s="36"/>
      <c r="W716" s="36"/>
      <c r="X716" s="36"/>
      <c r="Y716" s="36"/>
      <c r="Z716" s="3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row>
    <row r="717" spans="1:57" ht="15.75" customHeight="1" x14ac:dyDescent="0.2">
      <c r="A717" s="36"/>
      <c r="B717" s="36"/>
      <c r="C717" s="35"/>
      <c r="D717" s="36"/>
      <c r="E717" s="36"/>
      <c r="F717" s="36"/>
      <c r="G717" s="36"/>
      <c r="H717" s="35"/>
      <c r="I717" s="35"/>
      <c r="J717" s="35"/>
      <c r="K717" s="36"/>
      <c r="L717" s="36"/>
      <c r="M717" s="36"/>
      <c r="N717" s="36"/>
      <c r="O717" s="36"/>
      <c r="P717" s="36"/>
      <c r="Q717" s="36"/>
      <c r="R717" s="36"/>
      <c r="S717" s="36"/>
      <c r="T717" s="36"/>
      <c r="U717" s="36"/>
      <c r="V717" s="36"/>
      <c r="W717" s="36"/>
      <c r="X717" s="36"/>
      <c r="Y717" s="36"/>
      <c r="Z717" s="3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row>
    <row r="718" spans="1:57" ht="15.75" customHeight="1" x14ac:dyDescent="0.2">
      <c r="A718" s="36"/>
      <c r="B718" s="36"/>
      <c r="C718" s="35"/>
      <c r="D718" s="36"/>
      <c r="E718" s="36"/>
      <c r="F718" s="36"/>
      <c r="G718" s="36"/>
      <c r="H718" s="35"/>
      <c r="I718" s="35"/>
      <c r="J718" s="35"/>
      <c r="K718" s="36"/>
      <c r="L718" s="36"/>
      <c r="M718" s="36"/>
      <c r="N718" s="36"/>
      <c r="O718" s="36"/>
      <c r="P718" s="36"/>
      <c r="Q718" s="36"/>
      <c r="R718" s="36"/>
      <c r="S718" s="36"/>
      <c r="T718" s="36"/>
      <c r="U718" s="36"/>
      <c r="V718" s="36"/>
      <c r="W718" s="36"/>
      <c r="X718" s="36"/>
      <c r="Y718" s="36"/>
      <c r="Z718" s="3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row>
    <row r="719" spans="1:57" ht="15.75" customHeight="1" x14ac:dyDescent="0.2">
      <c r="A719" s="36"/>
      <c r="B719" s="36"/>
      <c r="C719" s="35"/>
      <c r="D719" s="36"/>
      <c r="E719" s="36"/>
      <c r="F719" s="36"/>
      <c r="G719" s="36"/>
      <c r="H719" s="35"/>
      <c r="I719" s="35"/>
      <c r="J719" s="35"/>
      <c r="K719" s="36"/>
      <c r="L719" s="36"/>
      <c r="M719" s="36"/>
      <c r="N719" s="36"/>
      <c r="O719" s="36"/>
      <c r="P719" s="36"/>
      <c r="Q719" s="36"/>
      <c r="R719" s="36"/>
      <c r="S719" s="36"/>
      <c r="T719" s="36"/>
      <c r="U719" s="36"/>
      <c r="V719" s="36"/>
      <c r="W719" s="36"/>
      <c r="X719" s="36"/>
      <c r="Y719" s="36"/>
      <c r="Z719" s="3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row>
    <row r="720" spans="1:57" ht="15.75" customHeight="1" x14ac:dyDescent="0.2">
      <c r="A720" s="36"/>
      <c r="B720" s="36"/>
      <c r="C720" s="35"/>
      <c r="D720" s="36"/>
      <c r="E720" s="36"/>
      <c r="F720" s="36"/>
      <c r="G720" s="36"/>
      <c r="H720" s="35"/>
      <c r="I720" s="35"/>
      <c r="J720" s="35"/>
      <c r="K720" s="36"/>
      <c r="L720" s="36"/>
      <c r="M720" s="36"/>
      <c r="N720" s="36"/>
      <c r="O720" s="36"/>
      <c r="P720" s="36"/>
      <c r="Q720" s="36"/>
      <c r="R720" s="36"/>
      <c r="S720" s="36"/>
      <c r="T720" s="36"/>
      <c r="U720" s="36"/>
      <c r="V720" s="36"/>
      <c r="W720" s="36"/>
      <c r="X720" s="36"/>
      <c r="Y720" s="36"/>
      <c r="Z720" s="3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row>
    <row r="721" spans="1:57" ht="15.75" customHeight="1" x14ac:dyDescent="0.2">
      <c r="A721" s="36"/>
      <c r="B721" s="36"/>
      <c r="C721" s="35"/>
      <c r="D721" s="36"/>
      <c r="E721" s="36"/>
      <c r="F721" s="36"/>
      <c r="G721" s="36"/>
      <c r="H721" s="35"/>
      <c r="I721" s="35"/>
      <c r="J721" s="35"/>
      <c r="K721" s="36"/>
      <c r="L721" s="36"/>
      <c r="M721" s="36"/>
      <c r="N721" s="36"/>
      <c r="O721" s="36"/>
      <c r="P721" s="36"/>
      <c r="Q721" s="36"/>
      <c r="R721" s="36"/>
      <c r="S721" s="36"/>
      <c r="T721" s="36"/>
      <c r="U721" s="36"/>
      <c r="V721" s="36"/>
      <c r="W721" s="36"/>
      <c r="X721" s="36"/>
      <c r="Y721" s="36"/>
      <c r="Z721" s="3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row>
    <row r="722" spans="1:57" ht="15.75" customHeight="1" x14ac:dyDescent="0.2">
      <c r="A722" s="36"/>
      <c r="B722" s="36"/>
      <c r="C722" s="35"/>
      <c r="D722" s="36"/>
      <c r="E722" s="36"/>
      <c r="F722" s="36"/>
      <c r="G722" s="36"/>
      <c r="H722" s="35"/>
      <c r="I722" s="35"/>
      <c r="J722" s="35"/>
      <c r="K722" s="36"/>
      <c r="L722" s="36"/>
      <c r="M722" s="36"/>
      <c r="N722" s="36"/>
      <c r="O722" s="36"/>
      <c r="P722" s="36"/>
      <c r="Q722" s="36"/>
      <c r="R722" s="36"/>
      <c r="S722" s="36"/>
      <c r="T722" s="36"/>
      <c r="U722" s="36"/>
      <c r="V722" s="36"/>
      <c r="W722" s="36"/>
      <c r="X722" s="36"/>
      <c r="Y722" s="36"/>
      <c r="Z722" s="3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row>
    <row r="723" spans="1:57" ht="15.75" customHeight="1" x14ac:dyDescent="0.2">
      <c r="A723" s="36"/>
      <c r="B723" s="36"/>
      <c r="C723" s="35"/>
      <c r="D723" s="36"/>
      <c r="E723" s="36"/>
      <c r="F723" s="36"/>
      <c r="G723" s="36"/>
      <c r="H723" s="35"/>
      <c r="I723" s="35"/>
      <c r="J723" s="35"/>
      <c r="K723" s="36"/>
      <c r="L723" s="36"/>
      <c r="M723" s="36"/>
      <c r="N723" s="36"/>
      <c r="O723" s="36"/>
      <c r="P723" s="36"/>
      <c r="Q723" s="36"/>
      <c r="R723" s="36"/>
      <c r="S723" s="36"/>
      <c r="T723" s="36"/>
      <c r="U723" s="36"/>
      <c r="V723" s="36"/>
      <c r="W723" s="36"/>
      <c r="X723" s="36"/>
      <c r="Y723" s="36"/>
      <c r="Z723" s="3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row>
    <row r="724" spans="1:57" ht="15.75" customHeight="1" x14ac:dyDescent="0.2">
      <c r="A724" s="36"/>
      <c r="B724" s="36"/>
      <c r="C724" s="35"/>
      <c r="D724" s="36"/>
      <c r="E724" s="36"/>
      <c r="F724" s="36"/>
      <c r="G724" s="36"/>
      <c r="H724" s="35"/>
      <c r="I724" s="35"/>
      <c r="J724" s="35"/>
      <c r="K724" s="36"/>
      <c r="L724" s="36"/>
      <c r="M724" s="36"/>
      <c r="N724" s="36"/>
      <c r="O724" s="36"/>
      <c r="P724" s="36"/>
      <c r="Q724" s="36"/>
      <c r="R724" s="36"/>
      <c r="S724" s="36"/>
      <c r="T724" s="36"/>
      <c r="U724" s="36"/>
      <c r="V724" s="36"/>
      <c r="W724" s="36"/>
      <c r="X724" s="36"/>
      <c r="Y724" s="36"/>
      <c r="Z724" s="3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row>
    <row r="725" spans="1:57" ht="15.75" customHeight="1" x14ac:dyDescent="0.2">
      <c r="A725" s="36"/>
      <c r="B725" s="36"/>
      <c r="C725" s="35"/>
      <c r="D725" s="36"/>
      <c r="E725" s="36"/>
      <c r="F725" s="36"/>
      <c r="G725" s="36"/>
      <c r="H725" s="35"/>
      <c r="I725" s="35"/>
      <c r="J725" s="35"/>
      <c r="K725" s="36"/>
      <c r="L725" s="36"/>
      <c r="M725" s="36"/>
      <c r="N725" s="36"/>
      <c r="O725" s="36"/>
      <c r="P725" s="36"/>
      <c r="Q725" s="36"/>
      <c r="R725" s="36"/>
      <c r="S725" s="36"/>
      <c r="T725" s="36"/>
      <c r="U725" s="36"/>
      <c r="V725" s="36"/>
      <c r="W725" s="36"/>
      <c r="X725" s="36"/>
      <c r="Y725" s="36"/>
      <c r="Z725" s="3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row>
    <row r="726" spans="1:57" ht="15.75" customHeight="1" x14ac:dyDescent="0.2">
      <c r="A726" s="36"/>
      <c r="B726" s="36"/>
      <c r="C726" s="35"/>
      <c r="D726" s="36"/>
      <c r="E726" s="36"/>
      <c r="F726" s="36"/>
      <c r="G726" s="36"/>
      <c r="H726" s="35"/>
      <c r="I726" s="35"/>
      <c r="J726" s="35"/>
      <c r="K726" s="36"/>
      <c r="L726" s="36"/>
      <c r="M726" s="36"/>
      <c r="N726" s="36"/>
      <c r="O726" s="36"/>
      <c r="P726" s="36"/>
      <c r="Q726" s="36"/>
      <c r="R726" s="36"/>
      <c r="S726" s="36"/>
      <c r="T726" s="36"/>
      <c r="U726" s="36"/>
      <c r="V726" s="36"/>
      <c r="W726" s="36"/>
      <c r="X726" s="36"/>
      <c r="Y726" s="36"/>
      <c r="Z726" s="3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row>
    <row r="727" spans="1:57" ht="15.75" customHeight="1" x14ac:dyDescent="0.2">
      <c r="A727" s="36"/>
      <c r="B727" s="36"/>
      <c r="C727" s="35"/>
      <c r="D727" s="36"/>
      <c r="E727" s="36"/>
      <c r="F727" s="36"/>
      <c r="G727" s="36"/>
      <c r="H727" s="35"/>
      <c r="I727" s="35"/>
      <c r="J727" s="35"/>
      <c r="K727" s="36"/>
      <c r="L727" s="36"/>
      <c r="M727" s="36"/>
      <c r="N727" s="36"/>
      <c r="O727" s="36"/>
      <c r="P727" s="36"/>
      <c r="Q727" s="36"/>
      <c r="R727" s="36"/>
      <c r="S727" s="36"/>
      <c r="T727" s="36"/>
      <c r="U727" s="36"/>
      <c r="V727" s="36"/>
      <c r="W727" s="36"/>
      <c r="X727" s="36"/>
      <c r="Y727" s="36"/>
      <c r="Z727" s="3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row>
    <row r="728" spans="1:57" ht="15.75" customHeight="1" x14ac:dyDescent="0.2">
      <c r="A728" s="36"/>
      <c r="B728" s="36"/>
      <c r="C728" s="35"/>
      <c r="D728" s="36"/>
      <c r="E728" s="36"/>
      <c r="F728" s="36"/>
      <c r="G728" s="36"/>
      <c r="H728" s="35"/>
      <c r="I728" s="35"/>
      <c r="J728" s="35"/>
      <c r="K728" s="36"/>
      <c r="L728" s="36"/>
      <c r="M728" s="36"/>
      <c r="N728" s="36"/>
      <c r="O728" s="36"/>
      <c r="P728" s="36"/>
      <c r="Q728" s="36"/>
      <c r="R728" s="36"/>
      <c r="S728" s="36"/>
      <c r="T728" s="36"/>
      <c r="U728" s="36"/>
      <c r="V728" s="36"/>
      <c r="W728" s="36"/>
      <c r="X728" s="36"/>
      <c r="Y728" s="36"/>
      <c r="Z728" s="3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row>
    <row r="729" spans="1:57" ht="15.75" customHeight="1" x14ac:dyDescent="0.2">
      <c r="A729" s="36"/>
      <c r="B729" s="36"/>
      <c r="C729" s="35"/>
      <c r="D729" s="36"/>
      <c r="E729" s="36"/>
      <c r="F729" s="36"/>
      <c r="G729" s="36"/>
      <c r="H729" s="35"/>
      <c r="I729" s="35"/>
      <c r="J729" s="35"/>
      <c r="K729" s="36"/>
      <c r="L729" s="36"/>
      <c r="M729" s="36"/>
      <c r="N729" s="36"/>
      <c r="O729" s="36"/>
      <c r="P729" s="36"/>
      <c r="Q729" s="36"/>
      <c r="R729" s="36"/>
      <c r="S729" s="36"/>
      <c r="T729" s="36"/>
      <c r="U729" s="36"/>
      <c r="V729" s="36"/>
      <c r="W729" s="36"/>
      <c r="X729" s="36"/>
      <c r="Y729" s="36"/>
      <c r="Z729" s="3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row>
    <row r="730" spans="1:57" ht="15.75" customHeight="1" x14ac:dyDescent="0.2">
      <c r="A730" s="36"/>
      <c r="B730" s="36"/>
      <c r="C730" s="35"/>
      <c r="D730" s="36"/>
      <c r="E730" s="36"/>
      <c r="F730" s="36"/>
      <c r="G730" s="36"/>
      <c r="H730" s="35"/>
      <c r="I730" s="35"/>
      <c r="J730" s="35"/>
      <c r="K730" s="36"/>
      <c r="L730" s="36"/>
      <c r="M730" s="36"/>
      <c r="N730" s="36"/>
      <c r="O730" s="36"/>
      <c r="P730" s="36"/>
      <c r="Q730" s="36"/>
      <c r="R730" s="36"/>
      <c r="S730" s="36"/>
      <c r="T730" s="36"/>
      <c r="U730" s="36"/>
      <c r="V730" s="36"/>
      <c r="W730" s="36"/>
      <c r="X730" s="36"/>
      <c r="Y730" s="36"/>
      <c r="Z730" s="3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row>
    <row r="731" spans="1:57" ht="15.75" customHeight="1" x14ac:dyDescent="0.2">
      <c r="A731" s="36"/>
      <c r="B731" s="36"/>
      <c r="C731" s="35"/>
      <c r="D731" s="36"/>
      <c r="E731" s="36"/>
      <c r="F731" s="36"/>
      <c r="G731" s="36"/>
      <c r="H731" s="35"/>
      <c r="I731" s="35"/>
      <c r="J731" s="35"/>
      <c r="K731" s="36"/>
      <c r="L731" s="36"/>
      <c r="M731" s="36"/>
      <c r="N731" s="36"/>
      <c r="O731" s="36"/>
      <c r="P731" s="36"/>
      <c r="Q731" s="36"/>
      <c r="R731" s="36"/>
      <c r="S731" s="36"/>
      <c r="T731" s="36"/>
      <c r="U731" s="36"/>
      <c r="V731" s="36"/>
      <c r="W731" s="36"/>
      <c r="X731" s="36"/>
      <c r="Y731" s="36"/>
      <c r="Z731" s="3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row>
    <row r="732" spans="1:57" ht="15.75" customHeight="1" x14ac:dyDescent="0.2">
      <c r="A732" s="36"/>
      <c r="B732" s="36"/>
      <c r="C732" s="35"/>
      <c r="D732" s="36"/>
      <c r="E732" s="36"/>
      <c r="F732" s="36"/>
      <c r="G732" s="36"/>
      <c r="H732" s="35"/>
      <c r="I732" s="35"/>
      <c r="J732" s="35"/>
      <c r="K732" s="36"/>
      <c r="L732" s="36"/>
      <c r="M732" s="36"/>
      <c r="N732" s="36"/>
      <c r="O732" s="36"/>
      <c r="P732" s="36"/>
      <c r="Q732" s="36"/>
      <c r="R732" s="36"/>
      <c r="S732" s="36"/>
      <c r="T732" s="36"/>
      <c r="U732" s="36"/>
      <c r="V732" s="36"/>
      <c r="W732" s="36"/>
      <c r="X732" s="36"/>
      <c r="Y732" s="36"/>
      <c r="Z732" s="3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row>
    <row r="733" spans="1:57" ht="15.75" customHeight="1" x14ac:dyDescent="0.2">
      <c r="A733" s="36"/>
      <c r="B733" s="36"/>
      <c r="C733" s="35"/>
      <c r="D733" s="36"/>
      <c r="E733" s="36"/>
      <c r="F733" s="36"/>
      <c r="G733" s="36"/>
      <c r="H733" s="35"/>
      <c r="I733" s="35"/>
      <c r="J733" s="35"/>
      <c r="K733" s="36"/>
      <c r="L733" s="36"/>
      <c r="M733" s="36"/>
      <c r="N733" s="36"/>
      <c r="O733" s="36"/>
      <c r="P733" s="36"/>
      <c r="Q733" s="36"/>
      <c r="R733" s="36"/>
      <c r="S733" s="36"/>
      <c r="T733" s="36"/>
      <c r="U733" s="36"/>
      <c r="V733" s="36"/>
      <c r="W733" s="36"/>
      <c r="X733" s="36"/>
      <c r="Y733" s="36"/>
      <c r="Z733" s="3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row>
    <row r="734" spans="1:57" ht="15.75" customHeight="1" x14ac:dyDescent="0.2">
      <c r="A734" s="36"/>
      <c r="B734" s="36"/>
      <c r="C734" s="35"/>
      <c r="D734" s="36"/>
      <c r="E734" s="36"/>
      <c r="F734" s="36"/>
      <c r="G734" s="36"/>
      <c r="H734" s="35"/>
      <c r="I734" s="35"/>
      <c r="J734" s="35"/>
      <c r="K734" s="36"/>
      <c r="L734" s="36"/>
      <c r="M734" s="36"/>
      <c r="N734" s="36"/>
      <c r="O734" s="36"/>
      <c r="P734" s="36"/>
      <c r="Q734" s="36"/>
      <c r="R734" s="36"/>
      <c r="S734" s="36"/>
      <c r="T734" s="36"/>
      <c r="U734" s="36"/>
      <c r="V734" s="36"/>
      <c r="W734" s="36"/>
      <c r="X734" s="36"/>
      <c r="Y734" s="36"/>
      <c r="Z734" s="3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row>
    <row r="735" spans="1:57" ht="15.75" customHeight="1" x14ac:dyDescent="0.2">
      <c r="A735" s="36"/>
      <c r="B735" s="36"/>
      <c r="C735" s="35"/>
      <c r="D735" s="36"/>
      <c r="E735" s="36"/>
      <c r="F735" s="36"/>
      <c r="G735" s="36"/>
      <c r="H735" s="35"/>
      <c r="I735" s="35"/>
      <c r="J735" s="35"/>
      <c r="K735" s="36"/>
      <c r="L735" s="36"/>
      <c r="M735" s="36"/>
      <c r="N735" s="36"/>
      <c r="O735" s="36"/>
      <c r="P735" s="36"/>
      <c r="Q735" s="36"/>
      <c r="R735" s="36"/>
      <c r="S735" s="36"/>
      <c r="T735" s="36"/>
      <c r="U735" s="36"/>
      <c r="V735" s="36"/>
      <c r="W735" s="36"/>
      <c r="X735" s="36"/>
      <c r="Y735" s="36"/>
      <c r="Z735" s="3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row>
    <row r="736" spans="1:57" ht="15.75" customHeight="1" x14ac:dyDescent="0.2">
      <c r="A736" s="36"/>
      <c r="B736" s="36"/>
      <c r="C736" s="35"/>
      <c r="D736" s="36"/>
      <c r="E736" s="36"/>
      <c r="F736" s="36"/>
      <c r="G736" s="36"/>
      <c r="H736" s="35"/>
      <c r="I736" s="35"/>
      <c r="J736" s="35"/>
      <c r="K736" s="36"/>
      <c r="L736" s="36"/>
      <c r="M736" s="36"/>
      <c r="N736" s="36"/>
      <c r="O736" s="36"/>
      <c r="P736" s="36"/>
      <c r="Q736" s="36"/>
      <c r="R736" s="36"/>
      <c r="S736" s="36"/>
      <c r="T736" s="36"/>
      <c r="U736" s="36"/>
      <c r="V736" s="36"/>
      <c r="W736" s="36"/>
      <c r="X736" s="36"/>
      <c r="Y736" s="36"/>
      <c r="Z736" s="3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row>
    <row r="737" spans="1:57" ht="15.75" customHeight="1" x14ac:dyDescent="0.2">
      <c r="A737" s="36"/>
      <c r="B737" s="36"/>
      <c r="C737" s="35"/>
      <c r="D737" s="36"/>
      <c r="E737" s="36"/>
      <c r="F737" s="36"/>
      <c r="G737" s="36"/>
      <c r="H737" s="35"/>
      <c r="I737" s="35"/>
      <c r="J737" s="35"/>
      <c r="K737" s="36"/>
      <c r="L737" s="36"/>
      <c r="M737" s="36"/>
      <c r="N737" s="36"/>
      <c r="O737" s="36"/>
      <c r="P737" s="36"/>
      <c r="Q737" s="36"/>
      <c r="R737" s="36"/>
      <c r="S737" s="36"/>
      <c r="T737" s="36"/>
      <c r="U737" s="36"/>
      <c r="V737" s="36"/>
      <c r="W737" s="36"/>
      <c r="X737" s="36"/>
      <c r="Y737" s="36"/>
      <c r="Z737" s="3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row>
    <row r="738" spans="1:57" ht="15.75" customHeight="1" x14ac:dyDescent="0.2">
      <c r="A738" s="36"/>
      <c r="B738" s="36"/>
      <c r="C738" s="35"/>
      <c r="D738" s="36"/>
      <c r="E738" s="36"/>
      <c r="F738" s="36"/>
      <c r="G738" s="36"/>
      <c r="H738" s="35"/>
      <c r="I738" s="35"/>
      <c r="J738" s="35"/>
      <c r="K738" s="36"/>
      <c r="L738" s="36"/>
      <c r="M738" s="36"/>
      <c r="N738" s="36"/>
      <c r="O738" s="36"/>
      <c r="P738" s="36"/>
      <c r="Q738" s="36"/>
      <c r="R738" s="36"/>
      <c r="S738" s="36"/>
      <c r="T738" s="36"/>
      <c r="U738" s="36"/>
      <c r="V738" s="36"/>
      <c r="W738" s="36"/>
      <c r="X738" s="36"/>
      <c r="Y738" s="36"/>
      <c r="Z738" s="3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row>
    <row r="739" spans="1:57" ht="15.75" customHeight="1" x14ac:dyDescent="0.2">
      <c r="A739" s="36"/>
      <c r="B739" s="36"/>
      <c r="C739" s="35"/>
      <c r="D739" s="36"/>
      <c r="E739" s="36"/>
      <c r="F739" s="36"/>
      <c r="G739" s="36"/>
      <c r="H739" s="35"/>
      <c r="I739" s="35"/>
      <c r="J739" s="35"/>
      <c r="K739" s="36"/>
      <c r="L739" s="36"/>
      <c r="M739" s="36"/>
      <c r="N739" s="36"/>
      <c r="O739" s="36"/>
      <c r="P739" s="36"/>
      <c r="Q739" s="36"/>
      <c r="R739" s="36"/>
      <c r="S739" s="36"/>
      <c r="T739" s="36"/>
      <c r="U739" s="36"/>
      <c r="V739" s="36"/>
      <c r="W739" s="36"/>
      <c r="X739" s="36"/>
      <c r="Y739" s="36"/>
      <c r="Z739" s="3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row>
    <row r="740" spans="1:57" ht="15.75" customHeight="1" x14ac:dyDescent="0.2">
      <c r="A740" s="36"/>
      <c r="B740" s="36"/>
      <c r="C740" s="35"/>
      <c r="D740" s="36"/>
      <c r="E740" s="36"/>
      <c r="F740" s="36"/>
      <c r="G740" s="36"/>
      <c r="H740" s="35"/>
      <c r="I740" s="35"/>
      <c r="J740" s="35"/>
      <c r="K740" s="36"/>
      <c r="L740" s="36"/>
      <c r="M740" s="36"/>
      <c r="N740" s="36"/>
      <c r="O740" s="36"/>
      <c r="P740" s="36"/>
      <c r="Q740" s="36"/>
      <c r="R740" s="36"/>
      <c r="S740" s="36"/>
      <c r="T740" s="36"/>
      <c r="U740" s="36"/>
      <c r="V740" s="36"/>
      <c r="W740" s="36"/>
      <c r="X740" s="36"/>
      <c r="Y740" s="36"/>
      <c r="Z740" s="3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row>
    <row r="741" spans="1:57" ht="15.75" customHeight="1" x14ac:dyDescent="0.2">
      <c r="A741" s="36"/>
      <c r="B741" s="36"/>
      <c r="C741" s="35"/>
      <c r="D741" s="36"/>
      <c r="E741" s="36"/>
      <c r="F741" s="36"/>
      <c r="G741" s="36"/>
      <c r="H741" s="35"/>
      <c r="I741" s="35"/>
      <c r="J741" s="35"/>
      <c r="K741" s="36"/>
      <c r="L741" s="36"/>
      <c r="M741" s="36"/>
      <c r="N741" s="36"/>
      <c r="O741" s="36"/>
      <c r="P741" s="36"/>
      <c r="Q741" s="36"/>
      <c r="R741" s="36"/>
      <c r="S741" s="36"/>
      <c r="T741" s="36"/>
      <c r="U741" s="36"/>
      <c r="V741" s="36"/>
      <c r="W741" s="36"/>
      <c r="X741" s="36"/>
      <c r="Y741" s="36"/>
      <c r="Z741" s="3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row>
    <row r="742" spans="1:57" ht="15.75" customHeight="1" x14ac:dyDescent="0.2">
      <c r="A742" s="36"/>
      <c r="B742" s="36"/>
      <c r="C742" s="35"/>
      <c r="D742" s="36"/>
      <c r="E742" s="36"/>
      <c r="F742" s="36"/>
      <c r="G742" s="36"/>
      <c r="H742" s="35"/>
      <c r="I742" s="35"/>
      <c r="J742" s="35"/>
      <c r="K742" s="36"/>
      <c r="L742" s="36"/>
      <c r="M742" s="36"/>
      <c r="N742" s="36"/>
      <c r="O742" s="36"/>
      <c r="P742" s="36"/>
      <c r="Q742" s="36"/>
      <c r="R742" s="36"/>
      <c r="S742" s="36"/>
      <c r="T742" s="36"/>
      <c r="U742" s="36"/>
      <c r="V742" s="36"/>
      <c r="W742" s="36"/>
      <c r="X742" s="36"/>
      <c r="Y742" s="36"/>
      <c r="Z742" s="3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row>
    <row r="743" spans="1:57" ht="15.75" customHeight="1" x14ac:dyDescent="0.2">
      <c r="A743" s="36"/>
      <c r="B743" s="36"/>
      <c r="C743" s="35"/>
      <c r="D743" s="36"/>
      <c r="E743" s="36"/>
      <c r="F743" s="36"/>
      <c r="G743" s="36"/>
      <c r="H743" s="35"/>
      <c r="I743" s="35"/>
      <c r="J743" s="35"/>
      <c r="K743" s="36"/>
      <c r="L743" s="36"/>
      <c r="M743" s="36"/>
      <c r="N743" s="36"/>
      <c r="O743" s="36"/>
      <c r="P743" s="36"/>
      <c r="Q743" s="36"/>
      <c r="R743" s="36"/>
      <c r="S743" s="36"/>
      <c r="T743" s="36"/>
      <c r="U743" s="36"/>
      <c r="V743" s="36"/>
      <c r="W743" s="36"/>
      <c r="X743" s="36"/>
      <c r="Y743" s="36"/>
      <c r="Z743" s="3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row>
    <row r="744" spans="1:57" ht="15.75" customHeight="1" x14ac:dyDescent="0.2">
      <c r="A744" s="36"/>
      <c r="B744" s="36"/>
      <c r="C744" s="35"/>
      <c r="D744" s="36"/>
      <c r="E744" s="36"/>
      <c r="F744" s="36"/>
      <c r="G744" s="36"/>
      <c r="H744" s="35"/>
      <c r="I744" s="35"/>
      <c r="J744" s="35"/>
      <c r="K744" s="36"/>
      <c r="L744" s="36"/>
      <c r="M744" s="36"/>
      <c r="N744" s="36"/>
      <c r="O744" s="36"/>
      <c r="P744" s="36"/>
      <c r="Q744" s="36"/>
      <c r="R744" s="36"/>
      <c r="S744" s="36"/>
      <c r="T744" s="36"/>
      <c r="U744" s="36"/>
      <c r="V744" s="36"/>
      <c r="W744" s="36"/>
      <c r="X744" s="36"/>
      <c r="Y744" s="36"/>
      <c r="Z744" s="3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row>
    <row r="745" spans="1:57" ht="15.75" customHeight="1" x14ac:dyDescent="0.2">
      <c r="A745" s="36"/>
      <c r="B745" s="36"/>
      <c r="C745" s="35"/>
      <c r="D745" s="36"/>
      <c r="E745" s="36"/>
      <c r="F745" s="36"/>
      <c r="G745" s="36"/>
      <c r="H745" s="35"/>
      <c r="I745" s="35"/>
      <c r="J745" s="35"/>
      <c r="K745" s="36"/>
      <c r="L745" s="36"/>
      <c r="M745" s="36"/>
      <c r="N745" s="36"/>
      <c r="O745" s="36"/>
      <c r="P745" s="36"/>
      <c r="Q745" s="36"/>
      <c r="R745" s="36"/>
      <c r="S745" s="36"/>
      <c r="T745" s="36"/>
      <c r="U745" s="36"/>
      <c r="V745" s="36"/>
      <c r="W745" s="36"/>
      <c r="X745" s="36"/>
      <c r="Y745" s="36"/>
      <c r="Z745" s="3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row>
    <row r="746" spans="1:57" ht="15.75" customHeight="1" x14ac:dyDescent="0.2">
      <c r="A746" s="36"/>
      <c r="B746" s="36"/>
      <c r="C746" s="35"/>
      <c r="D746" s="36"/>
      <c r="E746" s="36"/>
      <c r="F746" s="36"/>
      <c r="G746" s="36"/>
      <c r="H746" s="35"/>
      <c r="I746" s="35"/>
      <c r="J746" s="35"/>
      <c r="K746" s="36"/>
      <c r="L746" s="36"/>
      <c r="M746" s="36"/>
      <c r="N746" s="36"/>
      <c r="O746" s="36"/>
      <c r="P746" s="36"/>
      <c r="Q746" s="36"/>
      <c r="R746" s="36"/>
      <c r="S746" s="36"/>
      <c r="T746" s="36"/>
      <c r="U746" s="36"/>
      <c r="V746" s="36"/>
      <c r="W746" s="36"/>
      <c r="X746" s="36"/>
      <c r="Y746" s="36"/>
      <c r="Z746" s="3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row>
    <row r="747" spans="1:57" ht="15.75" customHeight="1" x14ac:dyDescent="0.2">
      <c r="A747" s="36"/>
      <c r="B747" s="36"/>
      <c r="C747" s="35"/>
      <c r="D747" s="36"/>
      <c r="E747" s="36"/>
      <c r="F747" s="36"/>
      <c r="G747" s="36"/>
      <c r="H747" s="35"/>
      <c r="I747" s="35"/>
      <c r="J747" s="35"/>
      <c r="K747" s="36"/>
      <c r="L747" s="36"/>
      <c r="M747" s="36"/>
      <c r="N747" s="36"/>
      <c r="O747" s="36"/>
      <c r="P747" s="36"/>
      <c r="Q747" s="36"/>
      <c r="R747" s="36"/>
      <c r="S747" s="36"/>
      <c r="T747" s="36"/>
      <c r="U747" s="36"/>
      <c r="V747" s="36"/>
      <c r="W747" s="36"/>
      <c r="X747" s="36"/>
      <c r="Y747" s="36"/>
      <c r="Z747" s="3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row>
    <row r="748" spans="1:57" ht="15.75" customHeight="1" x14ac:dyDescent="0.2">
      <c r="A748" s="36"/>
      <c r="B748" s="36"/>
      <c r="C748" s="35"/>
      <c r="D748" s="36"/>
      <c r="E748" s="36"/>
      <c r="F748" s="36"/>
      <c r="G748" s="36"/>
      <c r="H748" s="35"/>
      <c r="I748" s="35"/>
      <c r="J748" s="35"/>
      <c r="K748" s="36"/>
      <c r="L748" s="36"/>
      <c r="M748" s="36"/>
      <c r="N748" s="36"/>
      <c r="O748" s="36"/>
      <c r="P748" s="36"/>
      <c r="Q748" s="36"/>
      <c r="R748" s="36"/>
      <c r="S748" s="36"/>
      <c r="T748" s="36"/>
      <c r="U748" s="36"/>
      <c r="V748" s="36"/>
      <c r="W748" s="36"/>
      <c r="X748" s="36"/>
      <c r="Y748" s="36"/>
      <c r="Z748" s="3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row>
    <row r="749" spans="1:57" ht="15.75" customHeight="1" x14ac:dyDescent="0.2">
      <c r="A749" s="36"/>
      <c r="B749" s="36"/>
      <c r="C749" s="35"/>
      <c r="D749" s="36"/>
      <c r="E749" s="36"/>
      <c r="F749" s="36"/>
      <c r="G749" s="36"/>
      <c r="H749" s="35"/>
      <c r="I749" s="35"/>
      <c r="J749" s="35"/>
      <c r="K749" s="36"/>
      <c r="L749" s="36"/>
      <c r="M749" s="36"/>
      <c r="N749" s="36"/>
      <c r="O749" s="36"/>
      <c r="P749" s="36"/>
      <c r="Q749" s="36"/>
      <c r="R749" s="36"/>
      <c r="S749" s="36"/>
      <c r="T749" s="36"/>
      <c r="U749" s="36"/>
      <c r="V749" s="36"/>
      <c r="W749" s="36"/>
      <c r="X749" s="36"/>
      <c r="Y749" s="36"/>
      <c r="Z749" s="3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row>
    <row r="750" spans="1:57" ht="15.75" customHeight="1" x14ac:dyDescent="0.2">
      <c r="A750" s="36"/>
      <c r="B750" s="36"/>
      <c r="C750" s="35"/>
      <c r="D750" s="36"/>
      <c r="E750" s="36"/>
      <c r="F750" s="36"/>
      <c r="G750" s="36"/>
      <c r="H750" s="35"/>
      <c r="I750" s="35"/>
      <c r="J750" s="35"/>
      <c r="K750" s="36"/>
      <c r="L750" s="36"/>
      <c r="M750" s="36"/>
      <c r="N750" s="36"/>
      <c r="O750" s="36"/>
      <c r="P750" s="36"/>
      <c r="Q750" s="36"/>
      <c r="R750" s="36"/>
      <c r="S750" s="36"/>
      <c r="T750" s="36"/>
      <c r="U750" s="36"/>
      <c r="V750" s="36"/>
      <c r="W750" s="36"/>
      <c r="X750" s="36"/>
      <c r="Y750" s="36"/>
      <c r="Z750" s="3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row>
    <row r="751" spans="1:57" ht="15.75" customHeight="1" x14ac:dyDescent="0.2">
      <c r="A751" s="36"/>
      <c r="B751" s="36"/>
      <c r="C751" s="35"/>
      <c r="D751" s="36"/>
      <c r="E751" s="36"/>
      <c r="F751" s="36"/>
      <c r="G751" s="36"/>
      <c r="H751" s="35"/>
      <c r="I751" s="35"/>
      <c r="J751" s="35"/>
      <c r="K751" s="36"/>
      <c r="L751" s="36"/>
      <c r="M751" s="36"/>
      <c r="N751" s="36"/>
      <c r="O751" s="36"/>
      <c r="P751" s="36"/>
      <c r="Q751" s="36"/>
      <c r="R751" s="36"/>
      <c r="S751" s="36"/>
      <c r="T751" s="36"/>
      <c r="U751" s="36"/>
      <c r="V751" s="36"/>
      <c r="W751" s="36"/>
      <c r="X751" s="36"/>
      <c r="Y751" s="36"/>
      <c r="Z751" s="3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row>
    <row r="752" spans="1:57" ht="15.75" customHeight="1" x14ac:dyDescent="0.2">
      <c r="A752" s="36"/>
      <c r="B752" s="36"/>
      <c r="C752" s="35"/>
      <c r="D752" s="36"/>
      <c r="E752" s="36"/>
      <c r="F752" s="36"/>
      <c r="G752" s="36"/>
      <c r="H752" s="35"/>
      <c r="I752" s="35"/>
      <c r="J752" s="35"/>
      <c r="K752" s="36"/>
      <c r="L752" s="36"/>
      <c r="M752" s="36"/>
      <c r="N752" s="36"/>
      <c r="O752" s="36"/>
      <c r="P752" s="36"/>
      <c r="Q752" s="36"/>
      <c r="R752" s="36"/>
      <c r="S752" s="36"/>
      <c r="T752" s="36"/>
      <c r="U752" s="36"/>
      <c r="V752" s="36"/>
      <c r="W752" s="36"/>
      <c r="X752" s="36"/>
      <c r="Y752" s="36"/>
      <c r="Z752" s="3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row>
    <row r="753" spans="1:57" ht="15.75" customHeight="1" x14ac:dyDescent="0.2">
      <c r="A753" s="36"/>
      <c r="B753" s="36"/>
      <c r="C753" s="35"/>
      <c r="D753" s="36"/>
      <c r="E753" s="36"/>
      <c r="F753" s="36"/>
      <c r="G753" s="36"/>
      <c r="H753" s="35"/>
      <c r="I753" s="35"/>
      <c r="J753" s="35"/>
      <c r="K753" s="36"/>
      <c r="L753" s="36"/>
      <c r="M753" s="36"/>
      <c r="N753" s="36"/>
      <c r="O753" s="36"/>
      <c r="P753" s="36"/>
      <c r="Q753" s="36"/>
      <c r="R753" s="36"/>
      <c r="S753" s="36"/>
      <c r="T753" s="36"/>
      <c r="U753" s="36"/>
      <c r="V753" s="36"/>
      <c r="W753" s="36"/>
      <c r="X753" s="36"/>
      <c r="Y753" s="36"/>
      <c r="Z753" s="3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row>
    <row r="754" spans="1:57" ht="15.75" customHeight="1" x14ac:dyDescent="0.2">
      <c r="A754" s="36"/>
      <c r="B754" s="36"/>
      <c r="C754" s="35"/>
      <c r="D754" s="36"/>
      <c r="E754" s="36"/>
      <c r="F754" s="36"/>
      <c r="G754" s="36"/>
      <c r="H754" s="35"/>
      <c r="I754" s="35"/>
      <c r="J754" s="35"/>
      <c r="K754" s="36"/>
      <c r="L754" s="36"/>
      <c r="M754" s="36"/>
      <c r="N754" s="36"/>
      <c r="O754" s="36"/>
      <c r="P754" s="36"/>
      <c r="Q754" s="36"/>
      <c r="R754" s="36"/>
      <c r="S754" s="36"/>
      <c r="T754" s="36"/>
      <c r="U754" s="36"/>
      <c r="V754" s="36"/>
      <c r="W754" s="36"/>
      <c r="X754" s="36"/>
      <c r="Y754" s="36"/>
      <c r="Z754" s="3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row>
    <row r="755" spans="1:57" ht="15.75" customHeight="1" x14ac:dyDescent="0.2">
      <c r="A755" s="36"/>
      <c r="B755" s="36"/>
      <c r="C755" s="35"/>
      <c r="D755" s="36"/>
      <c r="E755" s="36"/>
      <c r="F755" s="36"/>
      <c r="G755" s="36"/>
      <c r="H755" s="35"/>
      <c r="I755" s="35"/>
      <c r="J755" s="35"/>
      <c r="K755" s="36"/>
      <c r="L755" s="36"/>
      <c r="M755" s="36"/>
      <c r="N755" s="36"/>
      <c r="O755" s="36"/>
      <c r="P755" s="36"/>
      <c r="Q755" s="36"/>
      <c r="R755" s="36"/>
      <c r="S755" s="36"/>
      <c r="T755" s="36"/>
      <c r="U755" s="36"/>
      <c r="V755" s="36"/>
      <c r="W755" s="36"/>
      <c r="X755" s="36"/>
      <c r="Y755" s="36"/>
      <c r="Z755" s="3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row>
    <row r="756" spans="1:57" ht="15.75" customHeight="1" x14ac:dyDescent="0.2">
      <c r="A756" s="36"/>
      <c r="B756" s="36"/>
      <c r="C756" s="35"/>
      <c r="D756" s="36"/>
      <c r="E756" s="36"/>
      <c r="F756" s="36"/>
      <c r="G756" s="36"/>
      <c r="H756" s="35"/>
      <c r="I756" s="35"/>
      <c r="J756" s="35"/>
      <c r="K756" s="36"/>
      <c r="L756" s="36"/>
      <c r="M756" s="36"/>
      <c r="N756" s="36"/>
      <c r="O756" s="36"/>
      <c r="P756" s="36"/>
      <c r="Q756" s="36"/>
      <c r="R756" s="36"/>
      <c r="S756" s="36"/>
      <c r="T756" s="36"/>
      <c r="U756" s="36"/>
      <c r="V756" s="36"/>
      <c r="W756" s="36"/>
      <c r="X756" s="36"/>
      <c r="Y756" s="36"/>
      <c r="Z756" s="3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row>
    <row r="757" spans="1:57" ht="15.75" customHeight="1" x14ac:dyDescent="0.2">
      <c r="A757" s="36"/>
      <c r="B757" s="36"/>
      <c r="C757" s="35"/>
      <c r="D757" s="36"/>
      <c r="E757" s="36"/>
      <c r="F757" s="36"/>
      <c r="G757" s="36"/>
      <c r="H757" s="35"/>
      <c r="I757" s="35"/>
      <c r="J757" s="35"/>
      <c r="K757" s="36"/>
      <c r="L757" s="36"/>
      <c r="M757" s="36"/>
      <c r="N757" s="36"/>
      <c r="O757" s="36"/>
      <c r="P757" s="36"/>
      <c r="Q757" s="36"/>
      <c r="R757" s="36"/>
      <c r="S757" s="36"/>
      <c r="T757" s="36"/>
      <c r="U757" s="36"/>
      <c r="V757" s="36"/>
      <c r="W757" s="36"/>
      <c r="X757" s="36"/>
      <c r="Y757" s="36"/>
      <c r="Z757" s="3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row>
    <row r="758" spans="1:57" ht="15.75" customHeight="1" x14ac:dyDescent="0.2">
      <c r="A758" s="36"/>
      <c r="B758" s="36"/>
      <c r="C758" s="35"/>
      <c r="D758" s="36"/>
      <c r="E758" s="36"/>
      <c r="F758" s="36"/>
      <c r="G758" s="36"/>
      <c r="H758" s="35"/>
      <c r="I758" s="35"/>
      <c r="J758" s="35"/>
      <c r="K758" s="36"/>
      <c r="L758" s="36"/>
      <c r="M758" s="36"/>
      <c r="N758" s="36"/>
      <c r="O758" s="36"/>
      <c r="P758" s="36"/>
      <c r="Q758" s="36"/>
      <c r="R758" s="36"/>
      <c r="S758" s="36"/>
      <c r="T758" s="36"/>
      <c r="U758" s="36"/>
      <c r="V758" s="36"/>
      <c r="W758" s="36"/>
      <c r="X758" s="36"/>
      <c r="Y758" s="36"/>
      <c r="Z758" s="3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row>
    <row r="759" spans="1:57" ht="15.75" customHeight="1" x14ac:dyDescent="0.2">
      <c r="A759" s="36"/>
      <c r="B759" s="36"/>
      <c r="C759" s="35"/>
      <c r="D759" s="36"/>
      <c r="E759" s="36"/>
      <c r="F759" s="36"/>
      <c r="G759" s="36"/>
      <c r="H759" s="35"/>
      <c r="I759" s="35"/>
      <c r="J759" s="35"/>
      <c r="K759" s="36"/>
      <c r="L759" s="36"/>
      <c r="M759" s="36"/>
      <c r="N759" s="36"/>
      <c r="O759" s="36"/>
      <c r="P759" s="36"/>
      <c r="Q759" s="36"/>
      <c r="R759" s="36"/>
      <c r="S759" s="36"/>
      <c r="T759" s="36"/>
      <c r="U759" s="36"/>
      <c r="V759" s="36"/>
      <c r="W759" s="36"/>
      <c r="X759" s="36"/>
      <c r="Y759" s="36"/>
      <c r="Z759" s="3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row>
    <row r="760" spans="1:57" ht="15.75" customHeight="1" x14ac:dyDescent="0.2">
      <c r="A760" s="36"/>
      <c r="B760" s="36"/>
      <c r="C760" s="35"/>
      <c r="D760" s="36"/>
      <c r="E760" s="36"/>
      <c r="F760" s="36"/>
      <c r="G760" s="36"/>
      <c r="H760" s="35"/>
      <c r="I760" s="35"/>
      <c r="J760" s="35"/>
      <c r="K760" s="36"/>
      <c r="L760" s="36"/>
      <c r="M760" s="36"/>
      <c r="N760" s="36"/>
      <c r="O760" s="36"/>
      <c r="P760" s="36"/>
      <c r="Q760" s="36"/>
      <c r="R760" s="36"/>
      <c r="S760" s="36"/>
      <c r="T760" s="36"/>
      <c r="U760" s="36"/>
      <c r="V760" s="36"/>
      <c r="W760" s="36"/>
      <c r="X760" s="36"/>
      <c r="Y760" s="36"/>
      <c r="Z760" s="3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row>
    <row r="761" spans="1:57" ht="15.75" customHeight="1" x14ac:dyDescent="0.2">
      <c r="A761" s="36"/>
      <c r="B761" s="36"/>
      <c r="C761" s="35"/>
      <c r="D761" s="36"/>
      <c r="E761" s="36"/>
      <c r="F761" s="36"/>
      <c r="G761" s="36"/>
      <c r="H761" s="35"/>
      <c r="I761" s="35"/>
      <c r="J761" s="35"/>
      <c r="K761" s="36"/>
      <c r="L761" s="36"/>
      <c r="M761" s="36"/>
      <c r="N761" s="36"/>
      <c r="O761" s="36"/>
      <c r="P761" s="36"/>
      <c r="Q761" s="36"/>
      <c r="R761" s="36"/>
      <c r="S761" s="36"/>
      <c r="T761" s="36"/>
      <c r="U761" s="36"/>
      <c r="V761" s="36"/>
      <c r="W761" s="36"/>
      <c r="X761" s="36"/>
      <c r="Y761" s="36"/>
      <c r="Z761" s="3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row>
    <row r="762" spans="1:57" ht="15.75" customHeight="1" x14ac:dyDescent="0.2">
      <c r="A762" s="36"/>
      <c r="B762" s="36"/>
      <c r="C762" s="35"/>
      <c r="D762" s="36"/>
      <c r="E762" s="36"/>
      <c r="F762" s="36"/>
      <c r="G762" s="36"/>
      <c r="H762" s="35"/>
      <c r="I762" s="35"/>
      <c r="J762" s="35"/>
      <c r="K762" s="36"/>
      <c r="L762" s="36"/>
      <c r="M762" s="36"/>
      <c r="N762" s="36"/>
      <c r="O762" s="36"/>
      <c r="P762" s="36"/>
      <c r="Q762" s="36"/>
      <c r="R762" s="36"/>
      <c r="S762" s="36"/>
      <c r="T762" s="36"/>
      <c r="U762" s="36"/>
      <c r="V762" s="36"/>
      <c r="W762" s="36"/>
      <c r="X762" s="36"/>
      <c r="Y762" s="36"/>
      <c r="Z762" s="3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row>
    <row r="763" spans="1:57" ht="15.75" customHeight="1" x14ac:dyDescent="0.2">
      <c r="A763" s="36"/>
      <c r="B763" s="36"/>
      <c r="C763" s="35"/>
      <c r="D763" s="36"/>
      <c r="E763" s="36"/>
      <c r="F763" s="36"/>
      <c r="G763" s="36"/>
      <c r="H763" s="35"/>
      <c r="I763" s="35"/>
      <c r="J763" s="35"/>
      <c r="K763" s="36"/>
      <c r="L763" s="36"/>
      <c r="M763" s="36"/>
      <c r="N763" s="36"/>
      <c r="O763" s="36"/>
      <c r="P763" s="36"/>
      <c r="Q763" s="36"/>
      <c r="R763" s="36"/>
      <c r="S763" s="36"/>
      <c r="T763" s="36"/>
      <c r="U763" s="36"/>
      <c r="V763" s="36"/>
      <c r="W763" s="36"/>
      <c r="X763" s="36"/>
      <c r="Y763" s="36"/>
      <c r="Z763" s="3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row>
    <row r="764" spans="1:57" ht="15.75" customHeight="1" x14ac:dyDescent="0.2">
      <c r="A764" s="36"/>
      <c r="B764" s="36"/>
      <c r="C764" s="35"/>
      <c r="D764" s="36"/>
      <c r="E764" s="36"/>
      <c r="F764" s="36"/>
      <c r="G764" s="36"/>
      <c r="H764" s="35"/>
      <c r="I764" s="35"/>
      <c r="J764" s="35"/>
      <c r="K764" s="36"/>
      <c r="L764" s="36"/>
      <c r="M764" s="36"/>
      <c r="N764" s="36"/>
      <c r="O764" s="36"/>
      <c r="P764" s="36"/>
      <c r="Q764" s="36"/>
      <c r="R764" s="36"/>
      <c r="S764" s="36"/>
      <c r="T764" s="36"/>
      <c r="U764" s="36"/>
      <c r="V764" s="36"/>
      <c r="W764" s="36"/>
      <c r="X764" s="36"/>
      <c r="Y764" s="36"/>
      <c r="Z764" s="3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row>
    <row r="765" spans="1:57" ht="15.75" customHeight="1" x14ac:dyDescent="0.2">
      <c r="A765" s="36"/>
      <c r="B765" s="36"/>
      <c r="C765" s="35"/>
      <c r="D765" s="36"/>
      <c r="E765" s="36"/>
      <c r="F765" s="36"/>
      <c r="G765" s="36"/>
      <c r="H765" s="35"/>
      <c r="I765" s="35"/>
      <c r="J765" s="35"/>
      <c r="K765" s="36"/>
      <c r="L765" s="36"/>
      <c r="M765" s="36"/>
      <c r="N765" s="36"/>
      <c r="O765" s="36"/>
      <c r="P765" s="36"/>
      <c r="Q765" s="36"/>
      <c r="R765" s="36"/>
      <c r="S765" s="36"/>
      <c r="T765" s="36"/>
      <c r="U765" s="36"/>
      <c r="V765" s="36"/>
      <c r="W765" s="36"/>
      <c r="X765" s="36"/>
      <c r="Y765" s="36"/>
      <c r="Z765" s="3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row>
    <row r="766" spans="1:57" ht="15.75" customHeight="1" x14ac:dyDescent="0.2">
      <c r="A766" s="36"/>
      <c r="B766" s="36"/>
      <c r="C766" s="35"/>
      <c r="D766" s="36"/>
      <c r="E766" s="36"/>
      <c r="F766" s="36"/>
      <c r="G766" s="36"/>
      <c r="H766" s="35"/>
      <c r="I766" s="35"/>
      <c r="J766" s="35"/>
      <c r="K766" s="36"/>
      <c r="L766" s="36"/>
      <c r="M766" s="36"/>
      <c r="N766" s="36"/>
      <c r="O766" s="36"/>
      <c r="P766" s="36"/>
      <c r="Q766" s="36"/>
      <c r="R766" s="36"/>
      <c r="S766" s="36"/>
      <c r="T766" s="36"/>
      <c r="U766" s="36"/>
      <c r="V766" s="36"/>
      <c r="W766" s="36"/>
      <c r="X766" s="36"/>
      <c r="Y766" s="36"/>
      <c r="Z766" s="3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row>
    <row r="767" spans="1:57" ht="15.75" customHeight="1" x14ac:dyDescent="0.2">
      <c r="A767" s="36"/>
      <c r="B767" s="36"/>
      <c r="C767" s="35"/>
      <c r="D767" s="36"/>
      <c r="E767" s="36"/>
      <c r="F767" s="36"/>
      <c r="G767" s="36"/>
      <c r="H767" s="35"/>
      <c r="I767" s="35"/>
      <c r="J767" s="35"/>
      <c r="K767" s="36"/>
      <c r="L767" s="36"/>
      <c r="M767" s="36"/>
      <c r="N767" s="36"/>
      <c r="O767" s="36"/>
      <c r="P767" s="36"/>
      <c r="Q767" s="36"/>
      <c r="R767" s="36"/>
      <c r="S767" s="36"/>
      <c r="T767" s="36"/>
      <c r="U767" s="36"/>
      <c r="V767" s="36"/>
      <c r="W767" s="36"/>
      <c r="X767" s="36"/>
      <c r="Y767" s="36"/>
      <c r="Z767" s="3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row>
    <row r="768" spans="1:57" ht="15.75" customHeight="1" x14ac:dyDescent="0.2">
      <c r="A768" s="36"/>
      <c r="B768" s="36"/>
      <c r="C768" s="35"/>
      <c r="D768" s="36"/>
      <c r="E768" s="36"/>
      <c r="F768" s="36"/>
      <c r="G768" s="36"/>
      <c r="H768" s="35"/>
      <c r="I768" s="35"/>
      <c r="J768" s="35"/>
      <c r="K768" s="36"/>
      <c r="L768" s="36"/>
      <c r="M768" s="36"/>
      <c r="N768" s="36"/>
      <c r="O768" s="36"/>
      <c r="P768" s="36"/>
      <c r="Q768" s="36"/>
      <c r="R768" s="36"/>
      <c r="S768" s="36"/>
      <c r="T768" s="36"/>
      <c r="U768" s="36"/>
      <c r="V768" s="36"/>
      <c r="W768" s="36"/>
      <c r="X768" s="36"/>
      <c r="Y768" s="36"/>
      <c r="Z768" s="3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row>
    <row r="769" spans="1:57" ht="15.75" customHeight="1" x14ac:dyDescent="0.2">
      <c r="A769" s="36"/>
      <c r="B769" s="36"/>
      <c r="C769" s="35"/>
      <c r="D769" s="36"/>
      <c r="E769" s="36"/>
      <c r="F769" s="36"/>
      <c r="G769" s="36"/>
      <c r="H769" s="35"/>
      <c r="I769" s="35"/>
      <c r="J769" s="35"/>
      <c r="K769" s="36"/>
      <c r="L769" s="36"/>
      <c r="M769" s="36"/>
      <c r="N769" s="36"/>
      <c r="O769" s="36"/>
      <c r="P769" s="36"/>
      <c r="Q769" s="36"/>
      <c r="R769" s="36"/>
      <c r="S769" s="36"/>
      <c r="T769" s="36"/>
      <c r="U769" s="36"/>
      <c r="V769" s="36"/>
      <c r="W769" s="36"/>
      <c r="X769" s="36"/>
      <c r="Y769" s="36"/>
      <c r="Z769" s="3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row>
    <row r="770" spans="1:57" ht="15.75" customHeight="1" x14ac:dyDescent="0.2">
      <c r="A770" s="36"/>
      <c r="B770" s="36"/>
      <c r="C770" s="35"/>
      <c r="D770" s="36"/>
      <c r="E770" s="36"/>
      <c r="F770" s="36"/>
      <c r="G770" s="36"/>
      <c r="H770" s="35"/>
      <c r="I770" s="35"/>
      <c r="J770" s="35"/>
      <c r="K770" s="36"/>
      <c r="L770" s="36"/>
      <c r="M770" s="36"/>
      <c r="N770" s="36"/>
      <c r="O770" s="36"/>
      <c r="P770" s="36"/>
      <c r="Q770" s="36"/>
      <c r="R770" s="36"/>
      <c r="S770" s="36"/>
      <c r="T770" s="36"/>
      <c r="U770" s="36"/>
      <c r="V770" s="36"/>
      <c r="W770" s="36"/>
      <c r="X770" s="36"/>
      <c r="Y770" s="36"/>
      <c r="Z770" s="3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row>
    <row r="771" spans="1:57" ht="15.75" customHeight="1" x14ac:dyDescent="0.2">
      <c r="A771" s="36"/>
      <c r="B771" s="36"/>
      <c r="C771" s="35"/>
      <c r="D771" s="36"/>
      <c r="E771" s="36"/>
      <c r="F771" s="36"/>
      <c r="G771" s="36"/>
      <c r="H771" s="35"/>
      <c r="I771" s="35"/>
      <c r="J771" s="35"/>
      <c r="K771" s="36"/>
      <c r="L771" s="36"/>
      <c r="M771" s="36"/>
      <c r="N771" s="36"/>
      <c r="O771" s="36"/>
      <c r="P771" s="36"/>
      <c r="Q771" s="36"/>
      <c r="R771" s="36"/>
      <c r="S771" s="36"/>
      <c r="T771" s="36"/>
      <c r="U771" s="36"/>
      <c r="V771" s="36"/>
      <c r="W771" s="36"/>
      <c r="X771" s="36"/>
      <c r="Y771" s="36"/>
      <c r="Z771" s="3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row>
    <row r="772" spans="1:57" ht="15.75" customHeight="1" x14ac:dyDescent="0.2">
      <c r="A772" s="36"/>
      <c r="B772" s="36"/>
      <c r="C772" s="35"/>
      <c r="D772" s="36"/>
      <c r="E772" s="36"/>
      <c r="F772" s="36"/>
      <c r="G772" s="36"/>
      <c r="H772" s="35"/>
      <c r="I772" s="35"/>
      <c r="J772" s="35"/>
      <c r="K772" s="36"/>
      <c r="L772" s="36"/>
      <c r="M772" s="36"/>
      <c r="N772" s="36"/>
      <c r="O772" s="36"/>
      <c r="P772" s="36"/>
      <c r="Q772" s="36"/>
      <c r="R772" s="36"/>
      <c r="S772" s="36"/>
      <c r="T772" s="36"/>
      <c r="U772" s="36"/>
      <c r="V772" s="36"/>
      <c r="W772" s="36"/>
      <c r="X772" s="36"/>
      <c r="Y772" s="36"/>
      <c r="Z772" s="3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row>
    <row r="773" spans="1:57" ht="15.75" customHeight="1" x14ac:dyDescent="0.2">
      <c r="A773" s="36"/>
      <c r="B773" s="36"/>
      <c r="C773" s="35"/>
      <c r="D773" s="36"/>
      <c r="E773" s="36"/>
      <c r="F773" s="36"/>
      <c r="G773" s="36"/>
      <c r="H773" s="35"/>
      <c r="I773" s="35"/>
      <c r="J773" s="35"/>
      <c r="K773" s="36"/>
      <c r="L773" s="36"/>
      <c r="M773" s="36"/>
      <c r="N773" s="36"/>
      <c r="O773" s="36"/>
      <c r="P773" s="36"/>
      <c r="Q773" s="36"/>
      <c r="R773" s="36"/>
      <c r="S773" s="36"/>
      <c r="T773" s="36"/>
      <c r="U773" s="36"/>
      <c r="V773" s="36"/>
      <c r="W773" s="36"/>
      <c r="X773" s="36"/>
      <c r="Y773" s="36"/>
      <c r="Z773" s="3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row>
    <row r="774" spans="1:57" ht="15.75" customHeight="1" x14ac:dyDescent="0.2">
      <c r="A774" s="36"/>
      <c r="B774" s="36"/>
      <c r="C774" s="35"/>
      <c r="D774" s="36"/>
      <c r="E774" s="36"/>
      <c r="F774" s="36"/>
      <c r="G774" s="36"/>
      <c r="H774" s="35"/>
      <c r="I774" s="35"/>
      <c r="J774" s="35"/>
      <c r="K774" s="36"/>
      <c r="L774" s="36"/>
      <c r="M774" s="36"/>
      <c r="N774" s="36"/>
      <c r="O774" s="36"/>
      <c r="P774" s="36"/>
      <c r="Q774" s="36"/>
      <c r="R774" s="36"/>
      <c r="S774" s="36"/>
      <c r="T774" s="36"/>
      <c r="U774" s="36"/>
      <c r="V774" s="36"/>
      <c r="W774" s="36"/>
      <c r="X774" s="36"/>
      <c r="Y774" s="36"/>
      <c r="Z774" s="3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row>
    <row r="775" spans="1:57" ht="15.75" customHeight="1" x14ac:dyDescent="0.2">
      <c r="A775" s="36"/>
      <c r="B775" s="36"/>
      <c r="C775" s="35"/>
      <c r="D775" s="36"/>
      <c r="E775" s="36"/>
      <c r="F775" s="36"/>
      <c r="G775" s="36"/>
      <c r="H775" s="35"/>
      <c r="I775" s="35"/>
      <c r="J775" s="35"/>
      <c r="K775" s="36"/>
      <c r="L775" s="36"/>
      <c r="M775" s="36"/>
      <c r="N775" s="36"/>
      <c r="O775" s="36"/>
      <c r="P775" s="36"/>
      <c r="Q775" s="36"/>
      <c r="R775" s="36"/>
      <c r="S775" s="36"/>
      <c r="T775" s="36"/>
      <c r="U775" s="36"/>
      <c r="V775" s="36"/>
      <c r="W775" s="36"/>
      <c r="X775" s="36"/>
      <c r="Y775" s="36"/>
      <c r="Z775" s="3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row>
    <row r="776" spans="1:57" ht="15.75" customHeight="1" x14ac:dyDescent="0.2">
      <c r="A776" s="36"/>
      <c r="B776" s="36"/>
      <c r="C776" s="35"/>
      <c r="D776" s="36"/>
      <c r="E776" s="36"/>
      <c r="F776" s="36"/>
      <c r="G776" s="36"/>
      <c r="H776" s="35"/>
      <c r="I776" s="35"/>
      <c r="J776" s="35"/>
      <c r="K776" s="36"/>
      <c r="L776" s="36"/>
      <c r="M776" s="36"/>
      <c r="N776" s="36"/>
      <c r="O776" s="36"/>
      <c r="P776" s="36"/>
      <c r="Q776" s="36"/>
      <c r="R776" s="36"/>
      <c r="S776" s="36"/>
      <c r="T776" s="36"/>
      <c r="U776" s="36"/>
      <c r="V776" s="36"/>
      <c r="W776" s="36"/>
      <c r="X776" s="36"/>
      <c r="Y776" s="36"/>
      <c r="Z776" s="3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row>
    <row r="777" spans="1:57" ht="15.75" customHeight="1" x14ac:dyDescent="0.2">
      <c r="A777" s="36"/>
      <c r="B777" s="36"/>
      <c r="C777" s="35"/>
      <c r="D777" s="36"/>
      <c r="E777" s="36"/>
      <c r="F777" s="36"/>
      <c r="G777" s="36"/>
      <c r="H777" s="35"/>
      <c r="I777" s="35"/>
      <c r="J777" s="35"/>
      <c r="K777" s="36"/>
      <c r="L777" s="36"/>
      <c r="M777" s="36"/>
      <c r="N777" s="36"/>
      <c r="O777" s="36"/>
      <c r="P777" s="36"/>
      <c r="Q777" s="36"/>
      <c r="R777" s="36"/>
      <c r="S777" s="36"/>
      <c r="T777" s="36"/>
      <c r="U777" s="36"/>
      <c r="V777" s="36"/>
      <c r="W777" s="36"/>
      <c r="X777" s="36"/>
      <c r="Y777" s="36"/>
      <c r="Z777" s="3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row>
    <row r="778" spans="1:57" ht="15.75" customHeight="1" x14ac:dyDescent="0.2">
      <c r="A778" s="36"/>
      <c r="B778" s="36"/>
      <c r="C778" s="35"/>
      <c r="D778" s="36"/>
      <c r="E778" s="36"/>
      <c r="F778" s="36"/>
      <c r="G778" s="36"/>
      <c r="H778" s="35"/>
      <c r="I778" s="35"/>
      <c r="J778" s="35"/>
      <c r="K778" s="36"/>
      <c r="L778" s="36"/>
      <c r="M778" s="36"/>
      <c r="N778" s="36"/>
      <c r="O778" s="36"/>
      <c r="P778" s="36"/>
      <c r="Q778" s="36"/>
      <c r="R778" s="36"/>
      <c r="S778" s="36"/>
      <c r="T778" s="36"/>
      <c r="U778" s="36"/>
      <c r="V778" s="36"/>
      <c r="W778" s="36"/>
      <c r="X778" s="36"/>
      <c r="Y778" s="36"/>
      <c r="Z778" s="3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row>
    <row r="779" spans="1:57" ht="15.75" customHeight="1" x14ac:dyDescent="0.2">
      <c r="A779" s="36"/>
      <c r="B779" s="36"/>
      <c r="C779" s="35"/>
      <c r="D779" s="36"/>
      <c r="E779" s="36"/>
      <c r="F779" s="36"/>
      <c r="G779" s="36"/>
      <c r="H779" s="35"/>
      <c r="I779" s="35"/>
      <c r="J779" s="35"/>
      <c r="K779" s="36"/>
      <c r="L779" s="36"/>
      <c r="M779" s="36"/>
      <c r="N779" s="36"/>
      <c r="O779" s="36"/>
      <c r="P779" s="36"/>
      <c r="Q779" s="36"/>
      <c r="R779" s="36"/>
      <c r="S779" s="36"/>
      <c r="T779" s="36"/>
      <c r="U779" s="36"/>
      <c r="V779" s="36"/>
      <c r="W779" s="36"/>
      <c r="X779" s="36"/>
      <c r="Y779" s="36"/>
      <c r="Z779" s="3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row>
    <row r="780" spans="1:57" ht="15.75" customHeight="1" x14ac:dyDescent="0.2">
      <c r="A780" s="36"/>
      <c r="B780" s="36"/>
      <c r="C780" s="35"/>
      <c r="D780" s="36"/>
      <c r="E780" s="36"/>
      <c r="F780" s="36"/>
      <c r="G780" s="36"/>
      <c r="H780" s="35"/>
      <c r="I780" s="35"/>
      <c r="J780" s="35"/>
      <c r="K780" s="36"/>
      <c r="L780" s="36"/>
      <c r="M780" s="36"/>
      <c r="N780" s="36"/>
      <c r="O780" s="36"/>
      <c r="P780" s="36"/>
      <c r="Q780" s="36"/>
      <c r="R780" s="36"/>
      <c r="S780" s="36"/>
      <c r="T780" s="36"/>
      <c r="U780" s="36"/>
      <c r="V780" s="36"/>
      <c r="W780" s="36"/>
      <c r="X780" s="36"/>
      <c r="Y780" s="36"/>
      <c r="Z780" s="3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row>
    <row r="781" spans="1:57" ht="15.75" customHeight="1" x14ac:dyDescent="0.2">
      <c r="A781" s="36"/>
      <c r="B781" s="36"/>
      <c r="C781" s="35"/>
      <c r="D781" s="36"/>
      <c r="E781" s="36"/>
      <c r="F781" s="36"/>
      <c r="G781" s="36"/>
      <c r="H781" s="35"/>
      <c r="I781" s="35"/>
      <c r="J781" s="35"/>
      <c r="K781" s="36"/>
      <c r="L781" s="36"/>
      <c r="M781" s="36"/>
      <c r="N781" s="36"/>
      <c r="O781" s="36"/>
      <c r="P781" s="36"/>
      <c r="Q781" s="36"/>
      <c r="R781" s="36"/>
      <c r="S781" s="36"/>
      <c r="T781" s="36"/>
      <c r="U781" s="36"/>
      <c r="V781" s="36"/>
      <c r="W781" s="36"/>
      <c r="X781" s="36"/>
      <c r="Y781" s="36"/>
      <c r="Z781" s="3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row>
    <row r="782" spans="1:57" ht="15.75" customHeight="1" x14ac:dyDescent="0.2">
      <c r="A782" s="36"/>
      <c r="B782" s="36"/>
      <c r="C782" s="35"/>
      <c r="D782" s="36"/>
      <c r="E782" s="36"/>
      <c r="F782" s="36"/>
      <c r="G782" s="36"/>
      <c r="H782" s="35"/>
      <c r="I782" s="35"/>
      <c r="J782" s="35"/>
      <c r="K782" s="36"/>
      <c r="L782" s="36"/>
      <c r="M782" s="36"/>
      <c r="N782" s="36"/>
      <c r="O782" s="36"/>
      <c r="P782" s="36"/>
      <c r="Q782" s="36"/>
      <c r="R782" s="36"/>
      <c r="S782" s="36"/>
      <c r="T782" s="36"/>
      <c r="U782" s="36"/>
      <c r="V782" s="36"/>
      <c r="W782" s="36"/>
      <c r="X782" s="36"/>
      <c r="Y782" s="36"/>
      <c r="Z782" s="3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row>
    <row r="783" spans="1:57" ht="15.75" customHeight="1" x14ac:dyDescent="0.2">
      <c r="A783" s="36"/>
      <c r="B783" s="36"/>
      <c r="C783" s="35"/>
      <c r="D783" s="36"/>
      <c r="E783" s="36"/>
      <c r="F783" s="36"/>
      <c r="G783" s="36"/>
      <c r="H783" s="35"/>
      <c r="I783" s="35"/>
      <c r="J783" s="35"/>
      <c r="K783" s="36"/>
      <c r="L783" s="36"/>
      <c r="M783" s="36"/>
      <c r="N783" s="36"/>
      <c r="O783" s="36"/>
      <c r="P783" s="36"/>
      <c r="Q783" s="36"/>
      <c r="R783" s="36"/>
      <c r="S783" s="36"/>
      <c r="T783" s="36"/>
      <c r="U783" s="36"/>
      <c r="V783" s="36"/>
      <c r="W783" s="36"/>
      <c r="X783" s="36"/>
      <c r="Y783" s="36"/>
      <c r="Z783" s="3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row>
    <row r="784" spans="1:57" ht="15.75" customHeight="1" x14ac:dyDescent="0.2">
      <c r="A784" s="36"/>
      <c r="B784" s="36"/>
      <c r="C784" s="35"/>
      <c r="D784" s="36"/>
      <c r="E784" s="36"/>
      <c r="F784" s="36"/>
      <c r="G784" s="36"/>
      <c r="H784" s="35"/>
      <c r="I784" s="35"/>
      <c r="J784" s="35"/>
      <c r="K784" s="36"/>
      <c r="L784" s="36"/>
      <c r="M784" s="36"/>
      <c r="N784" s="36"/>
      <c r="O784" s="36"/>
      <c r="P784" s="36"/>
      <c r="Q784" s="36"/>
      <c r="R784" s="36"/>
      <c r="S784" s="36"/>
      <c r="T784" s="36"/>
      <c r="U784" s="36"/>
      <c r="V784" s="36"/>
      <c r="W784" s="36"/>
      <c r="X784" s="36"/>
      <c r="Y784" s="36"/>
      <c r="Z784" s="3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row>
    <row r="785" spans="1:57" ht="15.75" customHeight="1" x14ac:dyDescent="0.2">
      <c r="A785" s="36"/>
      <c r="B785" s="36"/>
      <c r="C785" s="35"/>
      <c r="D785" s="36"/>
      <c r="E785" s="36"/>
      <c r="F785" s="36"/>
      <c r="G785" s="36"/>
      <c r="H785" s="35"/>
      <c r="I785" s="35"/>
      <c r="J785" s="35"/>
      <c r="K785" s="36"/>
      <c r="L785" s="36"/>
      <c r="M785" s="36"/>
      <c r="N785" s="36"/>
      <c r="O785" s="36"/>
      <c r="P785" s="36"/>
      <c r="Q785" s="36"/>
      <c r="R785" s="36"/>
      <c r="S785" s="36"/>
      <c r="T785" s="36"/>
      <c r="U785" s="36"/>
      <c r="V785" s="36"/>
      <c r="W785" s="36"/>
      <c r="X785" s="36"/>
      <c r="Y785" s="36"/>
      <c r="Z785" s="3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row>
    <row r="786" spans="1:57" ht="15.75" customHeight="1" x14ac:dyDescent="0.2">
      <c r="A786" s="36"/>
      <c r="B786" s="36"/>
      <c r="C786" s="35"/>
      <c r="D786" s="36"/>
      <c r="E786" s="36"/>
      <c r="F786" s="36"/>
      <c r="G786" s="36"/>
      <c r="H786" s="35"/>
      <c r="I786" s="35"/>
      <c r="J786" s="35"/>
      <c r="K786" s="36"/>
      <c r="L786" s="36"/>
      <c r="M786" s="36"/>
      <c r="N786" s="36"/>
      <c r="O786" s="36"/>
      <c r="P786" s="36"/>
      <c r="Q786" s="36"/>
      <c r="R786" s="36"/>
      <c r="S786" s="36"/>
      <c r="T786" s="36"/>
      <c r="U786" s="36"/>
      <c r="V786" s="36"/>
      <c r="W786" s="36"/>
      <c r="X786" s="36"/>
      <c r="Y786" s="36"/>
      <c r="Z786" s="3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row>
    <row r="787" spans="1:57" ht="15.75" customHeight="1" x14ac:dyDescent="0.2">
      <c r="A787" s="36"/>
      <c r="B787" s="36"/>
      <c r="C787" s="35"/>
      <c r="D787" s="36"/>
      <c r="E787" s="36"/>
      <c r="F787" s="36"/>
      <c r="G787" s="36"/>
      <c r="H787" s="35"/>
      <c r="I787" s="35"/>
      <c r="J787" s="35"/>
      <c r="K787" s="36"/>
      <c r="L787" s="36"/>
      <c r="M787" s="36"/>
      <c r="N787" s="36"/>
      <c r="O787" s="36"/>
      <c r="P787" s="36"/>
      <c r="Q787" s="36"/>
      <c r="R787" s="36"/>
      <c r="S787" s="36"/>
      <c r="T787" s="36"/>
      <c r="U787" s="36"/>
      <c r="V787" s="36"/>
      <c r="W787" s="36"/>
      <c r="X787" s="36"/>
      <c r="Y787" s="36"/>
      <c r="Z787" s="3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row>
    <row r="788" spans="1:57" ht="15.75" customHeight="1" x14ac:dyDescent="0.2">
      <c r="A788" s="36"/>
      <c r="B788" s="36"/>
      <c r="C788" s="35"/>
      <c r="D788" s="36"/>
      <c r="E788" s="36"/>
      <c r="F788" s="36"/>
      <c r="G788" s="36"/>
      <c r="H788" s="35"/>
      <c r="I788" s="35"/>
      <c r="J788" s="35"/>
      <c r="K788" s="36"/>
      <c r="L788" s="36"/>
      <c r="M788" s="36"/>
      <c r="N788" s="36"/>
      <c r="O788" s="36"/>
      <c r="P788" s="36"/>
      <c r="Q788" s="36"/>
      <c r="R788" s="36"/>
      <c r="S788" s="36"/>
      <c r="T788" s="36"/>
      <c r="U788" s="36"/>
      <c r="V788" s="36"/>
      <c r="W788" s="36"/>
      <c r="X788" s="36"/>
      <c r="Y788" s="36"/>
      <c r="Z788" s="3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row>
    <row r="789" spans="1:57" ht="15.75" customHeight="1" x14ac:dyDescent="0.2">
      <c r="A789" s="36"/>
      <c r="B789" s="36"/>
      <c r="C789" s="35"/>
      <c r="D789" s="36"/>
      <c r="E789" s="36"/>
      <c r="F789" s="36"/>
      <c r="G789" s="36"/>
      <c r="H789" s="35"/>
      <c r="I789" s="35"/>
      <c r="J789" s="35"/>
      <c r="K789" s="36"/>
      <c r="L789" s="36"/>
      <c r="M789" s="36"/>
      <c r="N789" s="36"/>
      <c r="O789" s="36"/>
      <c r="P789" s="36"/>
      <c r="Q789" s="36"/>
      <c r="R789" s="36"/>
      <c r="S789" s="36"/>
      <c r="T789" s="36"/>
      <c r="U789" s="36"/>
      <c r="V789" s="36"/>
      <c r="W789" s="36"/>
      <c r="X789" s="36"/>
      <c r="Y789" s="36"/>
      <c r="Z789" s="3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row>
    <row r="790" spans="1:57" ht="15.75" customHeight="1" x14ac:dyDescent="0.2">
      <c r="A790" s="36"/>
      <c r="B790" s="36"/>
      <c r="C790" s="35"/>
      <c r="D790" s="36"/>
      <c r="E790" s="36"/>
      <c r="F790" s="36"/>
      <c r="G790" s="36"/>
      <c r="H790" s="35"/>
      <c r="I790" s="35"/>
      <c r="J790" s="35"/>
      <c r="K790" s="36"/>
      <c r="L790" s="36"/>
      <c r="M790" s="36"/>
      <c r="N790" s="36"/>
      <c r="O790" s="36"/>
      <c r="P790" s="36"/>
      <c r="Q790" s="36"/>
      <c r="R790" s="36"/>
      <c r="S790" s="36"/>
      <c r="T790" s="36"/>
      <c r="U790" s="36"/>
      <c r="V790" s="36"/>
      <c r="W790" s="36"/>
      <c r="X790" s="36"/>
      <c r="Y790" s="36"/>
      <c r="Z790" s="3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row>
    <row r="791" spans="1:57" ht="15.75" customHeight="1" x14ac:dyDescent="0.2">
      <c r="A791" s="36"/>
      <c r="B791" s="36"/>
      <c r="C791" s="35"/>
      <c r="D791" s="36"/>
      <c r="E791" s="36"/>
      <c r="F791" s="36"/>
      <c r="G791" s="36"/>
      <c r="H791" s="35"/>
      <c r="I791" s="35"/>
      <c r="J791" s="35"/>
      <c r="K791" s="36"/>
      <c r="L791" s="36"/>
      <c r="M791" s="36"/>
      <c r="N791" s="36"/>
      <c r="O791" s="36"/>
      <c r="P791" s="36"/>
      <c r="Q791" s="36"/>
      <c r="R791" s="36"/>
      <c r="S791" s="36"/>
      <c r="T791" s="36"/>
      <c r="U791" s="36"/>
      <c r="V791" s="36"/>
      <c r="W791" s="36"/>
      <c r="X791" s="36"/>
      <c r="Y791" s="36"/>
      <c r="Z791" s="3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row>
    <row r="792" spans="1:57" ht="15.75" customHeight="1" x14ac:dyDescent="0.2">
      <c r="A792" s="36"/>
      <c r="B792" s="36"/>
      <c r="C792" s="35"/>
      <c r="D792" s="36"/>
      <c r="E792" s="36"/>
      <c r="F792" s="36"/>
      <c r="G792" s="36"/>
      <c r="H792" s="35"/>
      <c r="I792" s="35"/>
      <c r="J792" s="35"/>
      <c r="K792" s="36"/>
      <c r="L792" s="36"/>
      <c r="M792" s="36"/>
      <c r="N792" s="36"/>
      <c r="O792" s="36"/>
      <c r="P792" s="36"/>
      <c r="Q792" s="36"/>
      <c r="R792" s="36"/>
      <c r="S792" s="36"/>
      <c r="T792" s="36"/>
      <c r="U792" s="36"/>
      <c r="V792" s="36"/>
      <c r="W792" s="36"/>
      <c r="X792" s="36"/>
      <c r="Y792" s="36"/>
      <c r="Z792" s="3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row>
    <row r="793" spans="1:57" ht="15.75" customHeight="1" x14ac:dyDescent="0.2">
      <c r="A793" s="36"/>
      <c r="B793" s="36"/>
      <c r="C793" s="35"/>
      <c r="D793" s="36"/>
      <c r="E793" s="36"/>
      <c r="F793" s="36"/>
      <c r="G793" s="36"/>
      <c r="H793" s="35"/>
      <c r="I793" s="35"/>
      <c r="J793" s="35"/>
      <c r="K793" s="36"/>
      <c r="L793" s="36"/>
      <c r="M793" s="36"/>
      <c r="N793" s="36"/>
      <c r="O793" s="36"/>
      <c r="P793" s="36"/>
      <c r="Q793" s="36"/>
      <c r="R793" s="36"/>
      <c r="S793" s="36"/>
      <c r="T793" s="36"/>
      <c r="U793" s="36"/>
      <c r="V793" s="36"/>
      <c r="W793" s="36"/>
      <c r="X793" s="36"/>
      <c r="Y793" s="36"/>
      <c r="Z793" s="3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row>
    <row r="794" spans="1:57" ht="15.75" customHeight="1" x14ac:dyDescent="0.2">
      <c r="A794" s="36"/>
      <c r="B794" s="36"/>
      <c r="C794" s="35"/>
      <c r="D794" s="36"/>
      <c r="E794" s="36"/>
      <c r="F794" s="36"/>
      <c r="G794" s="36"/>
      <c r="H794" s="35"/>
      <c r="I794" s="35"/>
      <c r="J794" s="35"/>
      <c r="K794" s="36"/>
      <c r="L794" s="36"/>
      <c r="M794" s="36"/>
      <c r="N794" s="36"/>
      <c r="O794" s="36"/>
      <c r="P794" s="36"/>
      <c r="Q794" s="36"/>
      <c r="R794" s="36"/>
      <c r="S794" s="36"/>
      <c r="T794" s="36"/>
      <c r="U794" s="36"/>
      <c r="V794" s="36"/>
      <c r="W794" s="36"/>
      <c r="X794" s="36"/>
      <c r="Y794" s="36"/>
      <c r="Z794" s="3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row>
    <row r="795" spans="1:57" ht="15.75" customHeight="1" x14ac:dyDescent="0.2">
      <c r="A795" s="36"/>
      <c r="B795" s="36"/>
      <c r="C795" s="35"/>
      <c r="D795" s="36"/>
      <c r="E795" s="36"/>
      <c r="F795" s="36"/>
      <c r="G795" s="36"/>
      <c r="H795" s="35"/>
      <c r="I795" s="35"/>
      <c r="J795" s="35"/>
      <c r="K795" s="36"/>
      <c r="L795" s="36"/>
      <c r="M795" s="36"/>
      <c r="N795" s="36"/>
      <c r="O795" s="36"/>
      <c r="P795" s="36"/>
      <c r="Q795" s="36"/>
      <c r="R795" s="36"/>
      <c r="S795" s="36"/>
      <c r="T795" s="36"/>
      <c r="U795" s="36"/>
      <c r="V795" s="36"/>
      <c r="W795" s="36"/>
      <c r="X795" s="36"/>
      <c r="Y795" s="36"/>
      <c r="Z795" s="3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row>
    <row r="796" spans="1:57" ht="15.75" customHeight="1" x14ac:dyDescent="0.2">
      <c r="A796" s="36"/>
      <c r="B796" s="36"/>
      <c r="C796" s="35"/>
      <c r="D796" s="36"/>
      <c r="E796" s="36"/>
      <c r="F796" s="36"/>
      <c r="G796" s="36"/>
      <c r="H796" s="35"/>
      <c r="I796" s="35"/>
      <c r="J796" s="35"/>
      <c r="K796" s="36"/>
      <c r="L796" s="36"/>
      <c r="M796" s="36"/>
      <c r="N796" s="36"/>
      <c r="O796" s="36"/>
      <c r="P796" s="36"/>
      <c r="Q796" s="36"/>
      <c r="R796" s="36"/>
      <c r="S796" s="36"/>
      <c r="T796" s="36"/>
      <c r="U796" s="36"/>
      <c r="V796" s="36"/>
      <c r="W796" s="36"/>
      <c r="X796" s="36"/>
      <c r="Y796" s="36"/>
      <c r="Z796" s="3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row>
    <row r="797" spans="1:57" ht="15.75" customHeight="1" x14ac:dyDescent="0.2">
      <c r="A797" s="36"/>
      <c r="B797" s="36"/>
      <c r="C797" s="35"/>
      <c r="D797" s="36"/>
      <c r="E797" s="36"/>
      <c r="F797" s="36"/>
      <c r="G797" s="36"/>
      <c r="H797" s="35"/>
      <c r="I797" s="35"/>
      <c r="J797" s="35"/>
      <c r="K797" s="36"/>
      <c r="L797" s="36"/>
      <c r="M797" s="36"/>
      <c r="N797" s="36"/>
      <c r="O797" s="36"/>
      <c r="P797" s="36"/>
      <c r="Q797" s="36"/>
      <c r="R797" s="36"/>
      <c r="S797" s="36"/>
      <c r="T797" s="36"/>
      <c r="U797" s="36"/>
      <c r="V797" s="36"/>
      <c r="W797" s="36"/>
      <c r="X797" s="36"/>
      <c r="Y797" s="36"/>
      <c r="Z797" s="3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row>
    <row r="798" spans="1:57" ht="15.75" customHeight="1" x14ac:dyDescent="0.2">
      <c r="A798" s="36"/>
      <c r="B798" s="36"/>
      <c r="C798" s="35"/>
      <c r="D798" s="36"/>
      <c r="E798" s="36"/>
      <c r="F798" s="36"/>
      <c r="G798" s="36"/>
      <c r="H798" s="35"/>
      <c r="I798" s="35"/>
      <c r="J798" s="35"/>
      <c r="K798" s="36"/>
      <c r="L798" s="36"/>
      <c r="M798" s="36"/>
      <c r="N798" s="36"/>
      <c r="O798" s="36"/>
      <c r="P798" s="36"/>
      <c r="Q798" s="36"/>
      <c r="R798" s="36"/>
      <c r="S798" s="36"/>
      <c r="T798" s="36"/>
      <c r="U798" s="36"/>
      <c r="V798" s="36"/>
      <c r="W798" s="36"/>
      <c r="X798" s="36"/>
      <c r="Y798" s="36"/>
      <c r="Z798" s="3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row>
    <row r="799" spans="1:57" ht="15.75" customHeight="1" x14ac:dyDescent="0.2">
      <c r="A799" s="36"/>
      <c r="B799" s="36"/>
      <c r="C799" s="35"/>
      <c r="D799" s="36"/>
      <c r="E799" s="36"/>
      <c r="F799" s="36"/>
      <c r="G799" s="36"/>
      <c r="H799" s="35"/>
      <c r="I799" s="35"/>
      <c r="J799" s="35"/>
      <c r="K799" s="36"/>
      <c r="L799" s="36"/>
      <c r="M799" s="36"/>
      <c r="N799" s="36"/>
      <c r="O799" s="36"/>
      <c r="P799" s="36"/>
      <c r="Q799" s="36"/>
      <c r="R799" s="36"/>
      <c r="S799" s="36"/>
      <c r="T799" s="36"/>
      <c r="U799" s="36"/>
      <c r="V799" s="36"/>
      <c r="W799" s="36"/>
      <c r="X799" s="36"/>
      <c r="Y799" s="36"/>
      <c r="Z799" s="3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row>
    <row r="800" spans="1:57" ht="15.75" customHeight="1" x14ac:dyDescent="0.2">
      <c r="A800" s="36"/>
      <c r="B800" s="36"/>
      <c r="C800" s="35"/>
      <c r="D800" s="36"/>
      <c r="E800" s="36"/>
      <c r="F800" s="36"/>
      <c r="G800" s="36"/>
      <c r="H800" s="35"/>
      <c r="I800" s="35"/>
      <c r="J800" s="35"/>
      <c r="K800" s="36"/>
      <c r="L800" s="36"/>
      <c r="M800" s="36"/>
      <c r="N800" s="36"/>
      <c r="O800" s="36"/>
      <c r="P800" s="36"/>
      <c r="Q800" s="36"/>
      <c r="R800" s="36"/>
      <c r="S800" s="36"/>
      <c r="T800" s="36"/>
      <c r="U800" s="36"/>
      <c r="V800" s="36"/>
      <c r="W800" s="36"/>
      <c r="X800" s="36"/>
      <c r="Y800" s="36"/>
      <c r="Z800" s="3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row>
    <row r="801" spans="1:57" ht="15.75" customHeight="1" x14ac:dyDescent="0.2">
      <c r="A801" s="36"/>
      <c r="B801" s="36"/>
      <c r="C801" s="35"/>
      <c r="D801" s="36"/>
      <c r="E801" s="36"/>
      <c r="F801" s="36"/>
      <c r="G801" s="36"/>
      <c r="H801" s="35"/>
      <c r="I801" s="35"/>
      <c r="J801" s="35"/>
      <c r="K801" s="36"/>
      <c r="L801" s="36"/>
      <c r="M801" s="36"/>
      <c r="N801" s="36"/>
      <c r="O801" s="36"/>
      <c r="P801" s="36"/>
      <c r="Q801" s="36"/>
      <c r="R801" s="36"/>
      <c r="S801" s="36"/>
      <c r="T801" s="36"/>
      <c r="U801" s="36"/>
      <c r="V801" s="36"/>
      <c r="W801" s="36"/>
      <c r="X801" s="36"/>
      <c r="Y801" s="36"/>
      <c r="Z801" s="3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row>
    <row r="802" spans="1:57" ht="15.75" customHeight="1" x14ac:dyDescent="0.2">
      <c r="A802" s="36"/>
      <c r="B802" s="36"/>
      <c r="C802" s="35"/>
      <c r="D802" s="36"/>
      <c r="E802" s="36"/>
      <c r="F802" s="36"/>
      <c r="G802" s="36"/>
      <c r="H802" s="35"/>
      <c r="I802" s="35"/>
      <c r="J802" s="35"/>
      <c r="K802" s="36"/>
      <c r="L802" s="36"/>
      <c r="M802" s="36"/>
      <c r="N802" s="36"/>
      <c r="O802" s="36"/>
      <c r="P802" s="36"/>
      <c r="Q802" s="36"/>
      <c r="R802" s="36"/>
      <c r="S802" s="36"/>
      <c r="T802" s="36"/>
      <c r="U802" s="36"/>
      <c r="V802" s="36"/>
      <c r="W802" s="36"/>
      <c r="X802" s="36"/>
      <c r="Y802" s="36"/>
      <c r="Z802" s="3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row>
    <row r="803" spans="1:57" ht="15.75" customHeight="1" x14ac:dyDescent="0.2">
      <c r="A803" s="36"/>
      <c r="B803" s="36"/>
      <c r="C803" s="35"/>
      <c r="D803" s="36"/>
      <c r="E803" s="36"/>
      <c r="F803" s="36"/>
      <c r="G803" s="36"/>
      <c r="H803" s="35"/>
      <c r="I803" s="35"/>
      <c r="J803" s="35"/>
      <c r="K803" s="36"/>
      <c r="L803" s="36"/>
      <c r="M803" s="36"/>
      <c r="N803" s="36"/>
      <c r="O803" s="36"/>
      <c r="P803" s="36"/>
      <c r="Q803" s="36"/>
      <c r="R803" s="36"/>
      <c r="S803" s="36"/>
      <c r="T803" s="36"/>
      <c r="U803" s="36"/>
      <c r="V803" s="36"/>
      <c r="W803" s="36"/>
      <c r="X803" s="36"/>
      <c r="Y803" s="36"/>
      <c r="Z803" s="3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row>
    <row r="804" spans="1:57" ht="15.75" customHeight="1" x14ac:dyDescent="0.2">
      <c r="A804" s="36"/>
      <c r="B804" s="36"/>
      <c r="C804" s="35"/>
      <c r="D804" s="36"/>
      <c r="E804" s="36"/>
      <c r="F804" s="36"/>
      <c r="G804" s="36"/>
      <c r="H804" s="35"/>
      <c r="I804" s="35"/>
      <c r="J804" s="35"/>
      <c r="K804" s="36"/>
      <c r="L804" s="36"/>
      <c r="M804" s="36"/>
      <c r="N804" s="36"/>
      <c r="O804" s="36"/>
      <c r="P804" s="36"/>
      <c r="Q804" s="36"/>
      <c r="R804" s="36"/>
      <c r="S804" s="36"/>
      <c r="T804" s="36"/>
      <c r="U804" s="36"/>
      <c r="V804" s="36"/>
      <c r="W804" s="36"/>
      <c r="X804" s="36"/>
      <c r="Y804" s="36"/>
      <c r="Z804" s="3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row>
    <row r="805" spans="1:57" ht="15.75" customHeight="1" x14ac:dyDescent="0.2">
      <c r="A805" s="36"/>
      <c r="B805" s="36"/>
      <c r="C805" s="35"/>
      <c r="D805" s="36"/>
      <c r="E805" s="36"/>
      <c r="F805" s="36"/>
      <c r="G805" s="36"/>
      <c r="H805" s="35"/>
      <c r="I805" s="35"/>
      <c r="J805" s="35"/>
      <c r="K805" s="36"/>
      <c r="L805" s="36"/>
      <c r="M805" s="36"/>
      <c r="N805" s="36"/>
      <c r="O805" s="36"/>
      <c r="P805" s="36"/>
      <c r="Q805" s="36"/>
      <c r="R805" s="36"/>
      <c r="S805" s="36"/>
      <c r="T805" s="36"/>
      <c r="U805" s="36"/>
      <c r="V805" s="36"/>
      <c r="W805" s="36"/>
      <c r="X805" s="36"/>
      <c r="Y805" s="36"/>
      <c r="Z805" s="3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row>
    <row r="806" spans="1:57" ht="15.75" customHeight="1" x14ac:dyDescent="0.2">
      <c r="A806" s="36"/>
      <c r="B806" s="36"/>
      <c r="C806" s="35"/>
      <c r="D806" s="36"/>
      <c r="E806" s="36"/>
      <c r="F806" s="36"/>
      <c r="G806" s="36"/>
      <c r="H806" s="35"/>
      <c r="I806" s="35"/>
      <c r="J806" s="35"/>
      <c r="K806" s="36"/>
      <c r="L806" s="36"/>
      <c r="M806" s="36"/>
      <c r="N806" s="36"/>
      <c r="O806" s="36"/>
      <c r="P806" s="36"/>
      <c r="Q806" s="36"/>
      <c r="R806" s="36"/>
      <c r="S806" s="36"/>
      <c r="T806" s="36"/>
      <c r="U806" s="36"/>
      <c r="V806" s="36"/>
      <c r="W806" s="36"/>
      <c r="X806" s="36"/>
      <c r="Y806" s="36"/>
      <c r="Z806" s="3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row>
    <row r="807" spans="1:57" ht="15.75" customHeight="1" x14ac:dyDescent="0.2">
      <c r="A807" s="36"/>
      <c r="B807" s="36"/>
      <c r="C807" s="35"/>
      <c r="D807" s="36"/>
      <c r="E807" s="36"/>
      <c r="F807" s="36"/>
      <c r="G807" s="36"/>
      <c r="H807" s="35"/>
      <c r="I807" s="35"/>
      <c r="J807" s="35"/>
      <c r="K807" s="36"/>
      <c r="L807" s="36"/>
      <c r="M807" s="36"/>
      <c r="N807" s="36"/>
      <c r="O807" s="36"/>
      <c r="P807" s="36"/>
      <c r="Q807" s="36"/>
      <c r="R807" s="36"/>
      <c r="S807" s="36"/>
      <c r="T807" s="36"/>
      <c r="U807" s="36"/>
      <c r="V807" s="36"/>
      <c r="W807" s="36"/>
      <c r="X807" s="36"/>
      <c r="Y807" s="36"/>
      <c r="Z807" s="3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row>
    <row r="808" spans="1:57" ht="15.75" customHeight="1" x14ac:dyDescent="0.2">
      <c r="A808" s="36"/>
      <c r="B808" s="36"/>
      <c r="C808" s="35"/>
      <c r="D808" s="36"/>
      <c r="E808" s="36"/>
      <c r="F808" s="36"/>
      <c r="G808" s="36"/>
      <c r="H808" s="35"/>
      <c r="I808" s="35"/>
      <c r="J808" s="35"/>
      <c r="K808" s="36"/>
      <c r="L808" s="36"/>
      <c r="M808" s="36"/>
      <c r="N808" s="36"/>
      <c r="O808" s="36"/>
      <c r="P808" s="36"/>
      <c r="Q808" s="36"/>
      <c r="R808" s="36"/>
      <c r="S808" s="36"/>
      <c r="T808" s="36"/>
      <c r="U808" s="36"/>
      <c r="V808" s="36"/>
      <c r="W808" s="36"/>
      <c r="X808" s="36"/>
      <c r="Y808" s="36"/>
      <c r="Z808" s="3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row>
    <row r="809" spans="1:57" ht="15.75" customHeight="1" x14ac:dyDescent="0.2">
      <c r="A809" s="36"/>
      <c r="B809" s="36"/>
      <c r="C809" s="35"/>
      <c r="D809" s="36"/>
      <c r="E809" s="36"/>
      <c r="F809" s="36"/>
      <c r="G809" s="36"/>
      <c r="H809" s="35"/>
      <c r="I809" s="35"/>
      <c r="J809" s="35"/>
      <c r="K809" s="36"/>
      <c r="L809" s="36"/>
      <c r="M809" s="36"/>
      <c r="N809" s="36"/>
      <c r="O809" s="36"/>
      <c r="P809" s="36"/>
      <c r="Q809" s="36"/>
      <c r="R809" s="36"/>
      <c r="S809" s="36"/>
      <c r="T809" s="36"/>
      <c r="U809" s="36"/>
      <c r="V809" s="36"/>
      <c r="W809" s="36"/>
      <c r="X809" s="36"/>
      <c r="Y809" s="36"/>
      <c r="Z809" s="3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row>
    <row r="810" spans="1:57" ht="15.75" customHeight="1" x14ac:dyDescent="0.2">
      <c r="A810" s="36"/>
      <c r="B810" s="36"/>
      <c r="C810" s="35"/>
      <c r="D810" s="36"/>
      <c r="E810" s="36"/>
      <c r="F810" s="36"/>
      <c r="G810" s="36"/>
      <c r="H810" s="35"/>
      <c r="I810" s="35"/>
      <c r="J810" s="35"/>
      <c r="K810" s="36"/>
      <c r="L810" s="36"/>
      <c r="M810" s="36"/>
      <c r="N810" s="36"/>
      <c r="O810" s="36"/>
      <c r="P810" s="36"/>
      <c r="Q810" s="36"/>
      <c r="R810" s="36"/>
      <c r="S810" s="36"/>
      <c r="T810" s="36"/>
      <c r="U810" s="36"/>
      <c r="V810" s="36"/>
      <c r="W810" s="36"/>
      <c r="X810" s="36"/>
      <c r="Y810" s="36"/>
      <c r="Z810" s="3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row>
    <row r="811" spans="1:57" ht="15.75" customHeight="1" x14ac:dyDescent="0.2">
      <c r="A811" s="36"/>
      <c r="B811" s="36"/>
      <c r="C811" s="35"/>
      <c r="D811" s="36"/>
      <c r="E811" s="36"/>
      <c r="F811" s="36"/>
      <c r="G811" s="36"/>
      <c r="H811" s="35"/>
      <c r="I811" s="35"/>
      <c r="J811" s="35"/>
      <c r="K811" s="36"/>
      <c r="L811" s="36"/>
      <c r="M811" s="36"/>
      <c r="N811" s="36"/>
      <c r="O811" s="36"/>
      <c r="P811" s="36"/>
      <c r="Q811" s="36"/>
      <c r="R811" s="36"/>
      <c r="S811" s="36"/>
      <c r="T811" s="36"/>
      <c r="U811" s="36"/>
      <c r="V811" s="36"/>
      <c r="W811" s="36"/>
      <c r="X811" s="36"/>
      <c r="Y811" s="36"/>
      <c r="Z811" s="3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row>
    <row r="812" spans="1:57" ht="15.75" customHeight="1" x14ac:dyDescent="0.2">
      <c r="A812" s="36"/>
      <c r="B812" s="36"/>
      <c r="C812" s="35"/>
      <c r="D812" s="36"/>
      <c r="E812" s="36"/>
      <c r="F812" s="36"/>
      <c r="G812" s="36"/>
      <c r="H812" s="35"/>
      <c r="I812" s="35"/>
      <c r="J812" s="35"/>
      <c r="K812" s="36"/>
      <c r="L812" s="36"/>
      <c r="M812" s="36"/>
      <c r="N812" s="36"/>
      <c r="O812" s="36"/>
      <c r="P812" s="36"/>
      <c r="Q812" s="36"/>
      <c r="R812" s="36"/>
      <c r="S812" s="36"/>
      <c r="T812" s="36"/>
      <c r="U812" s="36"/>
      <c r="V812" s="36"/>
      <c r="W812" s="36"/>
      <c r="X812" s="36"/>
      <c r="Y812" s="36"/>
      <c r="Z812" s="3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row>
    <row r="813" spans="1:57" ht="15.75" customHeight="1" x14ac:dyDescent="0.2">
      <c r="A813" s="36"/>
      <c r="B813" s="36"/>
      <c r="C813" s="35"/>
      <c r="D813" s="36"/>
      <c r="E813" s="36"/>
      <c r="F813" s="36"/>
      <c r="G813" s="36"/>
      <c r="H813" s="35"/>
      <c r="I813" s="35"/>
      <c r="J813" s="35"/>
      <c r="K813" s="36"/>
      <c r="L813" s="36"/>
      <c r="M813" s="36"/>
      <c r="N813" s="36"/>
      <c r="O813" s="36"/>
      <c r="P813" s="36"/>
      <c r="Q813" s="36"/>
      <c r="R813" s="36"/>
      <c r="S813" s="36"/>
      <c r="T813" s="36"/>
      <c r="U813" s="36"/>
      <c r="V813" s="36"/>
      <c r="W813" s="36"/>
      <c r="X813" s="36"/>
      <c r="Y813" s="36"/>
      <c r="Z813" s="3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row>
    <row r="814" spans="1:57" ht="15.75" customHeight="1" x14ac:dyDescent="0.2">
      <c r="A814" s="36"/>
      <c r="B814" s="36"/>
      <c r="C814" s="35"/>
      <c r="D814" s="36"/>
      <c r="E814" s="36"/>
      <c r="F814" s="36"/>
      <c r="G814" s="36"/>
      <c r="H814" s="35"/>
      <c r="I814" s="35"/>
      <c r="J814" s="35"/>
      <c r="K814" s="36"/>
      <c r="L814" s="36"/>
      <c r="M814" s="36"/>
      <c r="N814" s="36"/>
      <c r="O814" s="36"/>
      <c r="P814" s="36"/>
      <c r="Q814" s="36"/>
      <c r="R814" s="36"/>
      <c r="S814" s="36"/>
      <c r="T814" s="36"/>
      <c r="U814" s="36"/>
      <c r="V814" s="36"/>
      <c r="W814" s="36"/>
      <c r="X814" s="36"/>
      <c r="Y814" s="36"/>
      <c r="Z814" s="3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row>
    <row r="815" spans="1:57" ht="15.75" customHeight="1" x14ac:dyDescent="0.2">
      <c r="A815" s="36"/>
      <c r="B815" s="36"/>
      <c r="C815" s="35"/>
      <c r="D815" s="36"/>
      <c r="E815" s="36"/>
      <c r="F815" s="36"/>
      <c r="G815" s="36"/>
      <c r="H815" s="35"/>
      <c r="I815" s="35"/>
      <c r="J815" s="35"/>
      <c r="K815" s="36"/>
      <c r="L815" s="36"/>
      <c r="M815" s="36"/>
      <c r="N815" s="36"/>
      <c r="O815" s="36"/>
      <c r="P815" s="36"/>
      <c r="Q815" s="36"/>
      <c r="R815" s="36"/>
      <c r="S815" s="36"/>
      <c r="T815" s="36"/>
      <c r="U815" s="36"/>
      <c r="V815" s="36"/>
      <c r="W815" s="36"/>
      <c r="X815" s="36"/>
      <c r="Y815" s="36"/>
      <c r="Z815" s="3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row>
    <row r="816" spans="1:57" ht="15.75" customHeight="1" x14ac:dyDescent="0.2">
      <c r="A816" s="36"/>
      <c r="B816" s="36"/>
      <c r="C816" s="35"/>
      <c r="D816" s="36"/>
      <c r="E816" s="36"/>
      <c r="F816" s="36"/>
      <c r="G816" s="36"/>
      <c r="H816" s="35"/>
      <c r="I816" s="35"/>
      <c r="J816" s="35"/>
      <c r="K816" s="36"/>
      <c r="L816" s="36"/>
      <c r="M816" s="36"/>
      <c r="N816" s="36"/>
      <c r="O816" s="36"/>
      <c r="P816" s="36"/>
      <c r="Q816" s="36"/>
      <c r="R816" s="36"/>
      <c r="S816" s="36"/>
      <c r="T816" s="36"/>
      <c r="U816" s="36"/>
      <c r="V816" s="36"/>
      <c r="W816" s="36"/>
      <c r="X816" s="36"/>
      <c r="Y816" s="36"/>
      <c r="Z816" s="3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row>
    <row r="817" spans="1:57" ht="15.75" customHeight="1" x14ac:dyDescent="0.2">
      <c r="A817" s="36"/>
      <c r="B817" s="36"/>
      <c r="C817" s="35"/>
      <c r="D817" s="36"/>
      <c r="E817" s="36"/>
      <c r="F817" s="36"/>
      <c r="G817" s="36"/>
      <c r="H817" s="35"/>
      <c r="I817" s="35"/>
      <c r="J817" s="35"/>
      <c r="K817" s="36"/>
      <c r="L817" s="36"/>
      <c r="M817" s="36"/>
      <c r="N817" s="36"/>
      <c r="O817" s="36"/>
      <c r="P817" s="36"/>
      <c r="Q817" s="36"/>
      <c r="R817" s="36"/>
      <c r="S817" s="36"/>
      <c r="T817" s="36"/>
      <c r="U817" s="36"/>
      <c r="V817" s="36"/>
      <c r="W817" s="36"/>
      <c r="X817" s="36"/>
      <c r="Y817" s="36"/>
      <c r="Z817" s="3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row>
    <row r="818" spans="1:57" ht="15.75" customHeight="1" x14ac:dyDescent="0.2">
      <c r="A818" s="36"/>
      <c r="B818" s="36"/>
      <c r="C818" s="35"/>
      <c r="D818" s="36"/>
      <c r="E818" s="36"/>
      <c r="F818" s="36"/>
      <c r="G818" s="36"/>
      <c r="H818" s="35"/>
      <c r="I818" s="35"/>
      <c r="J818" s="35"/>
      <c r="K818" s="36"/>
      <c r="L818" s="36"/>
      <c r="M818" s="36"/>
      <c r="N818" s="36"/>
      <c r="O818" s="36"/>
      <c r="P818" s="36"/>
      <c r="Q818" s="36"/>
      <c r="R818" s="36"/>
      <c r="S818" s="36"/>
      <c r="T818" s="36"/>
      <c r="U818" s="36"/>
      <c r="V818" s="36"/>
      <c r="W818" s="36"/>
      <c r="X818" s="36"/>
      <c r="Y818" s="36"/>
      <c r="Z818" s="3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row>
    <row r="819" spans="1:57" ht="15.75" customHeight="1" x14ac:dyDescent="0.2">
      <c r="A819" s="36"/>
      <c r="B819" s="36"/>
      <c r="C819" s="35"/>
      <c r="D819" s="36"/>
      <c r="E819" s="36"/>
      <c r="F819" s="36"/>
      <c r="G819" s="36"/>
      <c r="H819" s="35"/>
      <c r="I819" s="35"/>
      <c r="J819" s="35"/>
      <c r="K819" s="36"/>
      <c r="L819" s="36"/>
      <c r="M819" s="36"/>
      <c r="N819" s="36"/>
      <c r="O819" s="36"/>
      <c r="P819" s="36"/>
      <c r="Q819" s="36"/>
      <c r="R819" s="36"/>
      <c r="S819" s="36"/>
      <c r="T819" s="36"/>
      <c r="U819" s="36"/>
      <c r="V819" s="36"/>
      <c r="W819" s="36"/>
      <c r="X819" s="36"/>
      <c r="Y819" s="36"/>
      <c r="Z819" s="3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row>
    <row r="820" spans="1:57" ht="15.75" customHeight="1" x14ac:dyDescent="0.2">
      <c r="A820" s="36"/>
      <c r="B820" s="36"/>
      <c r="C820" s="35"/>
      <c r="D820" s="36"/>
      <c r="E820" s="36"/>
      <c r="F820" s="36"/>
      <c r="G820" s="36"/>
      <c r="H820" s="35"/>
      <c r="I820" s="35"/>
      <c r="J820" s="35"/>
      <c r="K820" s="36"/>
      <c r="L820" s="36"/>
      <c r="M820" s="36"/>
      <c r="N820" s="36"/>
      <c r="O820" s="36"/>
      <c r="P820" s="36"/>
      <c r="Q820" s="36"/>
      <c r="R820" s="36"/>
      <c r="S820" s="36"/>
      <c r="T820" s="36"/>
      <c r="U820" s="36"/>
      <c r="V820" s="36"/>
      <c r="W820" s="36"/>
      <c r="X820" s="36"/>
      <c r="Y820" s="36"/>
      <c r="Z820" s="3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row>
    <row r="821" spans="1:57" ht="15.75" customHeight="1" x14ac:dyDescent="0.2">
      <c r="A821" s="36"/>
      <c r="B821" s="36"/>
      <c r="C821" s="35"/>
      <c r="D821" s="36"/>
      <c r="E821" s="36"/>
      <c r="F821" s="36"/>
      <c r="G821" s="36"/>
      <c r="H821" s="35"/>
      <c r="I821" s="35"/>
      <c r="J821" s="35"/>
      <c r="K821" s="36"/>
      <c r="L821" s="36"/>
      <c r="M821" s="36"/>
      <c r="N821" s="36"/>
      <c r="O821" s="36"/>
      <c r="P821" s="36"/>
      <c r="Q821" s="36"/>
      <c r="R821" s="36"/>
      <c r="S821" s="36"/>
      <c r="T821" s="36"/>
      <c r="U821" s="36"/>
      <c r="V821" s="36"/>
      <c r="W821" s="36"/>
      <c r="X821" s="36"/>
      <c r="Y821" s="36"/>
      <c r="Z821" s="3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row>
    <row r="822" spans="1:57" ht="15.75" customHeight="1" x14ac:dyDescent="0.2">
      <c r="A822" s="36"/>
      <c r="B822" s="36"/>
      <c r="C822" s="35"/>
      <c r="D822" s="36"/>
      <c r="E822" s="36"/>
      <c r="F822" s="36"/>
      <c r="G822" s="36"/>
      <c r="H822" s="35"/>
      <c r="I822" s="35"/>
      <c r="J822" s="35"/>
      <c r="K822" s="36"/>
      <c r="L822" s="36"/>
      <c r="M822" s="36"/>
      <c r="N822" s="36"/>
      <c r="O822" s="36"/>
      <c r="P822" s="36"/>
      <c r="Q822" s="36"/>
      <c r="R822" s="36"/>
      <c r="S822" s="36"/>
      <c r="T822" s="36"/>
      <c r="U822" s="36"/>
      <c r="V822" s="36"/>
      <c r="W822" s="36"/>
      <c r="X822" s="36"/>
      <c r="Y822" s="36"/>
      <c r="Z822" s="3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row>
    <row r="823" spans="1:57" ht="15.75" customHeight="1" x14ac:dyDescent="0.2">
      <c r="A823" s="36"/>
      <c r="B823" s="36"/>
      <c r="C823" s="35"/>
      <c r="D823" s="36"/>
      <c r="E823" s="36"/>
      <c r="F823" s="36"/>
      <c r="G823" s="36"/>
      <c r="H823" s="35"/>
      <c r="I823" s="35"/>
      <c r="J823" s="35"/>
      <c r="K823" s="36"/>
      <c r="L823" s="36"/>
      <c r="M823" s="36"/>
      <c r="N823" s="36"/>
      <c r="O823" s="36"/>
      <c r="P823" s="36"/>
      <c r="Q823" s="36"/>
      <c r="R823" s="36"/>
      <c r="S823" s="36"/>
      <c r="T823" s="36"/>
      <c r="U823" s="36"/>
      <c r="V823" s="36"/>
      <c r="W823" s="36"/>
      <c r="X823" s="36"/>
      <c r="Y823" s="36"/>
      <c r="Z823" s="3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row>
    <row r="824" spans="1:57" ht="15.75" customHeight="1" x14ac:dyDescent="0.2">
      <c r="A824" s="36"/>
      <c r="B824" s="36"/>
      <c r="C824" s="35"/>
      <c r="D824" s="36"/>
      <c r="E824" s="36"/>
      <c r="F824" s="36"/>
      <c r="G824" s="36"/>
      <c r="H824" s="35"/>
      <c r="I824" s="35"/>
      <c r="J824" s="35"/>
      <c r="K824" s="36"/>
      <c r="L824" s="36"/>
      <c r="M824" s="36"/>
      <c r="N824" s="36"/>
      <c r="O824" s="36"/>
      <c r="P824" s="36"/>
      <c r="Q824" s="36"/>
      <c r="R824" s="36"/>
      <c r="S824" s="36"/>
      <c r="T824" s="36"/>
      <c r="U824" s="36"/>
      <c r="V824" s="36"/>
      <c r="W824" s="36"/>
      <c r="X824" s="36"/>
      <c r="Y824" s="36"/>
      <c r="Z824" s="3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row>
    <row r="825" spans="1:57" ht="15.75" customHeight="1" x14ac:dyDescent="0.2">
      <c r="A825" s="36"/>
      <c r="B825" s="36"/>
      <c r="C825" s="35"/>
      <c r="D825" s="36"/>
      <c r="E825" s="36"/>
      <c r="F825" s="36"/>
      <c r="G825" s="36"/>
      <c r="H825" s="35"/>
      <c r="I825" s="35"/>
      <c r="J825" s="35"/>
      <c r="K825" s="36"/>
      <c r="L825" s="36"/>
      <c r="M825" s="36"/>
      <c r="N825" s="36"/>
      <c r="O825" s="36"/>
      <c r="P825" s="36"/>
      <c r="Q825" s="36"/>
      <c r="R825" s="36"/>
      <c r="S825" s="36"/>
      <c r="T825" s="36"/>
      <c r="U825" s="36"/>
      <c r="V825" s="36"/>
      <c r="W825" s="36"/>
      <c r="X825" s="36"/>
      <c r="Y825" s="36"/>
      <c r="Z825" s="3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row>
    <row r="826" spans="1:57" ht="15.75" customHeight="1" x14ac:dyDescent="0.2">
      <c r="A826" s="36"/>
      <c r="B826" s="36"/>
      <c r="C826" s="35"/>
      <c r="D826" s="36"/>
      <c r="E826" s="36"/>
      <c r="F826" s="36"/>
      <c r="G826" s="36"/>
      <c r="H826" s="35"/>
      <c r="I826" s="35"/>
      <c r="J826" s="35"/>
      <c r="K826" s="36"/>
      <c r="L826" s="36"/>
      <c r="M826" s="36"/>
      <c r="N826" s="36"/>
      <c r="O826" s="36"/>
      <c r="P826" s="36"/>
      <c r="Q826" s="36"/>
      <c r="R826" s="36"/>
      <c r="S826" s="36"/>
      <c r="T826" s="36"/>
      <c r="U826" s="36"/>
      <c r="V826" s="36"/>
      <c r="W826" s="36"/>
      <c r="X826" s="36"/>
      <c r="Y826" s="36"/>
      <c r="Z826" s="3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row>
    <row r="827" spans="1:57" ht="15.75" customHeight="1" x14ac:dyDescent="0.2">
      <c r="A827" s="36"/>
      <c r="B827" s="36"/>
      <c r="C827" s="35"/>
      <c r="D827" s="36"/>
      <c r="E827" s="36"/>
      <c r="F827" s="36"/>
      <c r="G827" s="36"/>
      <c r="H827" s="35"/>
      <c r="I827" s="35"/>
      <c r="J827" s="35"/>
      <c r="K827" s="36"/>
      <c r="L827" s="36"/>
      <c r="M827" s="36"/>
      <c r="N827" s="36"/>
      <c r="O827" s="36"/>
      <c r="P827" s="36"/>
      <c r="Q827" s="36"/>
      <c r="R827" s="36"/>
      <c r="S827" s="36"/>
      <c r="T827" s="36"/>
      <c r="U827" s="36"/>
      <c r="V827" s="36"/>
      <c r="W827" s="36"/>
      <c r="X827" s="36"/>
      <c r="Y827" s="36"/>
      <c r="Z827" s="3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row>
    <row r="828" spans="1:57" ht="15.75" customHeight="1" x14ac:dyDescent="0.2">
      <c r="A828" s="36"/>
      <c r="B828" s="36"/>
      <c r="C828" s="35"/>
      <c r="D828" s="36"/>
      <c r="E828" s="36"/>
      <c r="F828" s="36"/>
      <c r="G828" s="36"/>
      <c r="H828" s="35"/>
      <c r="I828" s="35"/>
      <c r="J828" s="35"/>
      <c r="K828" s="36"/>
      <c r="L828" s="36"/>
      <c r="M828" s="36"/>
      <c r="N828" s="36"/>
      <c r="O828" s="36"/>
      <c r="P828" s="36"/>
      <c r="Q828" s="36"/>
      <c r="R828" s="36"/>
      <c r="S828" s="36"/>
      <c r="T828" s="36"/>
      <c r="U828" s="36"/>
      <c r="V828" s="36"/>
      <c r="W828" s="36"/>
      <c r="X828" s="36"/>
      <c r="Y828" s="36"/>
      <c r="Z828" s="3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row>
    <row r="829" spans="1:57" ht="15.75" customHeight="1" x14ac:dyDescent="0.2">
      <c r="A829" s="36"/>
      <c r="B829" s="36"/>
      <c r="C829" s="35"/>
      <c r="D829" s="36"/>
      <c r="E829" s="36"/>
      <c r="F829" s="36"/>
      <c r="G829" s="36"/>
      <c r="H829" s="35"/>
      <c r="I829" s="35"/>
      <c r="J829" s="35"/>
      <c r="K829" s="36"/>
      <c r="L829" s="36"/>
      <c r="M829" s="36"/>
      <c r="N829" s="36"/>
      <c r="O829" s="36"/>
      <c r="P829" s="36"/>
      <c r="Q829" s="36"/>
      <c r="R829" s="36"/>
      <c r="S829" s="36"/>
      <c r="T829" s="36"/>
      <c r="U829" s="36"/>
      <c r="V829" s="36"/>
      <c r="W829" s="36"/>
      <c r="X829" s="36"/>
      <c r="Y829" s="36"/>
      <c r="Z829" s="3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row>
    <row r="830" spans="1:57" ht="15.75" customHeight="1" x14ac:dyDescent="0.2">
      <c r="A830" s="36"/>
      <c r="B830" s="36"/>
      <c r="C830" s="35"/>
      <c r="D830" s="36"/>
      <c r="E830" s="36"/>
      <c r="F830" s="36"/>
      <c r="G830" s="36"/>
      <c r="H830" s="35"/>
      <c r="I830" s="35"/>
      <c r="J830" s="35"/>
      <c r="K830" s="36"/>
      <c r="L830" s="36"/>
      <c r="M830" s="36"/>
      <c r="N830" s="36"/>
      <c r="O830" s="36"/>
      <c r="P830" s="36"/>
      <c r="Q830" s="36"/>
      <c r="R830" s="36"/>
      <c r="S830" s="36"/>
      <c r="T830" s="36"/>
      <c r="U830" s="36"/>
      <c r="V830" s="36"/>
      <c r="W830" s="36"/>
      <c r="X830" s="36"/>
      <c r="Y830" s="36"/>
      <c r="Z830" s="3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row>
    <row r="831" spans="1:57" ht="15.75" customHeight="1" x14ac:dyDescent="0.2">
      <c r="A831" s="36"/>
      <c r="B831" s="36"/>
      <c r="C831" s="35"/>
      <c r="D831" s="36"/>
      <c r="E831" s="36"/>
      <c r="F831" s="36"/>
      <c r="G831" s="36"/>
      <c r="H831" s="35"/>
      <c r="I831" s="35"/>
      <c r="J831" s="35"/>
      <c r="K831" s="36"/>
      <c r="L831" s="36"/>
      <c r="M831" s="36"/>
      <c r="N831" s="36"/>
      <c r="O831" s="36"/>
      <c r="P831" s="36"/>
      <c r="Q831" s="36"/>
      <c r="R831" s="36"/>
      <c r="S831" s="36"/>
      <c r="T831" s="36"/>
      <c r="U831" s="36"/>
      <c r="V831" s="36"/>
      <c r="W831" s="36"/>
      <c r="X831" s="36"/>
      <c r="Y831" s="36"/>
      <c r="Z831" s="3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row>
    <row r="832" spans="1:57" ht="15.75" customHeight="1" x14ac:dyDescent="0.2">
      <c r="A832" s="36"/>
      <c r="B832" s="36"/>
      <c r="C832" s="35"/>
      <c r="D832" s="36"/>
      <c r="E832" s="36"/>
      <c r="F832" s="36"/>
      <c r="G832" s="36"/>
      <c r="H832" s="35"/>
      <c r="I832" s="35"/>
      <c r="J832" s="35"/>
      <c r="K832" s="36"/>
      <c r="L832" s="36"/>
      <c r="M832" s="36"/>
      <c r="N832" s="36"/>
      <c r="O832" s="36"/>
      <c r="P832" s="36"/>
      <c r="Q832" s="36"/>
      <c r="R832" s="36"/>
      <c r="S832" s="36"/>
      <c r="T832" s="36"/>
      <c r="U832" s="36"/>
      <c r="V832" s="36"/>
      <c r="W832" s="36"/>
      <c r="X832" s="36"/>
      <c r="Y832" s="36"/>
      <c r="Z832" s="3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row>
    <row r="833" spans="1:57" ht="15.75" customHeight="1" x14ac:dyDescent="0.2">
      <c r="A833" s="36"/>
      <c r="B833" s="36"/>
      <c r="C833" s="35"/>
      <c r="D833" s="36"/>
      <c r="E833" s="36"/>
      <c r="F833" s="36"/>
      <c r="G833" s="36"/>
      <c r="H833" s="35"/>
      <c r="I833" s="35"/>
      <c r="J833" s="35"/>
      <c r="K833" s="36"/>
      <c r="L833" s="36"/>
      <c r="M833" s="36"/>
      <c r="N833" s="36"/>
      <c r="O833" s="36"/>
      <c r="P833" s="36"/>
      <c r="Q833" s="36"/>
      <c r="R833" s="36"/>
      <c r="S833" s="36"/>
      <c r="T833" s="36"/>
      <c r="U833" s="36"/>
      <c r="V833" s="36"/>
      <c r="W833" s="36"/>
      <c r="X833" s="36"/>
      <c r="Y833" s="36"/>
      <c r="Z833" s="3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row>
    <row r="834" spans="1:57" ht="15.75" customHeight="1" x14ac:dyDescent="0.2">
      <c r="A834" s="36"/>
      <c r="B834" s="36"/>
      <c r="C834" s="35"/>
      <c r="D834" s="36"/>
      <c r="E834" s="36"/>
      <c r="F834" s="36"/>
      <c r="G834" s="36"/>
      <c r="H834" s="35"/>
      <c r="I834" s="35"/>
      <c r="J834" s="35"/>
      <c r="K834" s="36"/>
      <c r="L834" s="36"/>
      <c r="M834" s="36"/>
      <c r="N834" s="36"/>
      <c r="O834" s="36"/>
      <c r="P834" s="36"/>
      <c r="Q834" s="36"/>
      <c r="R834" s="36"/>
      <c r="S834" s="36"/>
      <c r="T834" s="36"/>
      <c r="U834" s="36"/>
      <c r="V834" s="36"/>
      <c r="W834" s="36"/>
      <c r="X834" s="36"/>
      <c r="Y834" s="36"/>
      <c r="Z834" s="3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row>
    <row r="835" spans="1:57" ht="15.75" customHeight="1" x14ac:dyDescent="0.2">
      <c r="A835" s="36"/>
      <c r="B835" s="36"/>
      <c r="C835" s="35"/>
      <c r="D835" s="36"/>
      <c r="E835" s="36"/>
      <c r="F835" s="36"/>
      <c r="G835" s="36"/>
      <c r="H835" s="35"/>
      <c r="I835" s="35"/>
      <c r="J835" s="35"/>
      <c r="K835" s="36"/>
      <c r="L835" s="36"/>
      <c r="M835" s="36"/>
      <c r="N835" s="36"/>
      <c r="O835" s="36"/>
      <c r="P835" s="36"/>
      <c r="Q835" s="36"/>
      <c r="R835" s="36"/>
      <c r="S835" s="36"/>
      <c r="T835" s="36"/>
      <c r="U835" s="36"/>
      <c r="V835" s="36"/>
      <c r="W835" s="36"/>
      <c r="X835" s="36"/>
      <c r="Y835" s="36"/>
      <c r="Z835" s="3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row>
    <row r="836" spans="1:57" ht="15.75" customHeight="1" x14ac:dyDescent="0.2">
      <c r="A836" s="36"/>
      <c r="B836" s="36"/>
      <c r="C836" s="35"/>
      <c r="D836" s="36"/>
      <c r="E836" s="36"/>
      <c r="F836" s="36"/>
      <c r="G836" s="36"/>
      <c r="H836" s="35"/>
      <c r="I836" s="35"/>
      <c r="J836" s="35"/>
      <c r="K836" s="36"/>
      <c r="L836" s="36"/>
      <c r="M836" s="36"/>
      <c r="N836" s="36"/>
      <c r="O836" s="36"/>
      <c r="P836" s="36"/>
      <c r="Q836" s="36"/>
      <c r="R836" s="36"/>
      <c r="S836" s="36"/>
      <c r="T836" s="36"/>
      <c r="U836" s="36"/>
      <c r="V836" s="36"/>
      <c r="W836" s="36"/>
      <c r="X836" s="36"/>
      <c r="Y836" s="36"/>
      <c r="Z836" s="3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row>
    <row r="837" spans="1:57" ht="15.75" customHeight="1" x14ac:dyDescent="0.2">
      <c r="A837" s="36"/>
      <c r="B837" s="36"/>
      <c r="C837" s="35"/>
      <c r="D837" s="36"/>
      <c r="E837" s="36"/>
      <c r="F837" s="36"/>
      <c r="G837" s="36"/>
      <c r="H837" s="35"/>
      <c r="I837" s="35"/>
      <c r="J837" s="35"/>
      <c r="K837" s="36"/>
      <c r="L837" s="36"/>
      <c r="M837" s="36"/>
      <c r="N837" s="36"/>
      <c r="O837" s="36"/>
      <c r="P837" s="36"/>
      <c r="Q837" s="36"/>
      <c r="R837" s="36"/>
      <c r="S837" s="36"/>
      <c r="T837" s="36"/>
      <c r="U837" s="36"/>
      <c r="V837" s="36"/>
      <c r="W837" s="36"/>
      <c r="X837" s="36"/>
      <c r="Y837" s="36"/>
      <c r="Z837" s="3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row>
    <row r="838" spans="1:57" ht="15.75" customHeight="1" x14ac:dyDescent="0.2">
      <c r="A838" s="36"/>
      <c r="B838" s="36"/>
      <c r="C838" s="35"/>
      <c r="D838" s="36"/>
      <c r="E838" s="36"/>
      <c r="F838" s="36"/>
      <c r="G838" s="36"/>
      <c r="H838" s="35"/>
      <c r="I838" s="35"/>
      <c r="J838" s="35"/>
      <c r="K838" s="36"/>
      <c r="L838" s="36"/>
      <c r="M838" s="36"/>
      <c r="N838" s="36"/>
      <c r="O838" s="36"/>
      <c r="P838" s="36"/>
      <c r="Q838" s="36"/>
      <c r="R838" s="36"/>
      <c r="S838" s="36"/>
      <c r="T838" s="36"/>
      <c r="U838" s="36"/>
      <c r="V838" s="36"/>
      <c r="W838" s="36"/>
      <c r="X838" s="36"/>
      <c r="Y838" s="36"/>
      <c r="Z838" s="3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row>
    <row r="839" spans="1:57" ht="15.75" customHeight="1" x14ac:dyDescent="0.2">
      <c r="A839" s="36"/>
      <c r="B839" s="36"/>
      <c r="C839" s="35"/>
      <c r="D839" s="36"/>
      <c r="E839" s="36"/>
      <c r="F839" s="36"/>
      <c r="G839" s="36"/>
      <c r="H839" s="35"/>
      <c r="I839" s="35"/>
      <c r="J839" s="35"/>
      <c r="K839" s="36"/>
      <c r="L839" s="36"/>
      <c r="M839" s="36"/>
      <c r="N839" s="36"/>
      <c r="O839" s="36"/>
      <c r="P839" s="36"/>
      <c r="Q839" s="36"/>
      <c r="R839" s="36"/>
      <c r="S839" s="36"/>
      <c r="T839" s="36"/>
      <c r="U839" s="36"/>
      <c r="V839" s="36"/>
      <c r="W839" s="36"/>
      <c r="X839" s="36"/>
      <c r="Y839" s="36"/>
      <c r="Z839" s="3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row>
    <row r="840" spans="1:57" ht="15.75" customHeight="1" x14ac:dyDescent="0.2">
      <c r="A840" s="36"/>
      <c r="B840" s="36"/>
      <c r="C840" s="35"/>
      <c r="D840" s="36"/>
      <c r="E840" s="36"/>
      <c r="F840" s="36"/>
      <c r="G840" s="36"/>
      <c r="H840" s="35"/>
      <c r="I840" s="35"/>
      <c r="J840" s="35"/>
      <c r="K840" s="36"/>
      <c r="L840" s="36"/>
      <c r="M840" s="36"/>
      <c r="N840" s="36"/>
      <c r="O840" s="36"/>
      <c r="P840" s="36"/>
      <c r="Q840" s="36"/>
      <c r="R840" s="36"/>
      <c r="S840" s="36"/>
      <c r="T840" s="36"/>
      <c r="U840" s="36"/>
      <c r="V840" s="36"/>
      <c r="W840" s="36"/>
      <c r="X840" s="36"/>
      <c r="Y840" s="36"/>
      <c r="Z840" s="3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row>
    <row r="841" spans="1:57" ht="15.75" customHeight="1" x14ac:dyDescent="0.2">
      <c r="A841" s="36"/>
      <c r="B841" s="36"/>
      <c r="C841" s="35"/>
      <c r="D841" s="36"/>
      <c r="E841" s="36"/>
      <c r="F841" s="36"/>
      <c r="G841" s="36"/>
      <c r="H841" s="35"/>
      <c r="I841" s="35"/>
      <c r="J841" s="35"/>
      <c r="K841" s="36"/>
      <c r="L841" s="36"/>
      <c r="M841" s="36"/>
      <c r="N841" s="36"/>
      <c r="O841" s="36"/>
      <c r="P841" s="36"/>
      <c r="Q841" s="36"/>
      <c r="R841" s="36"/>
      <c r="S841" s="36"/>
      <c r="T841" s="36"/>
      <c r="U841" s="36"/>
      <c r="V841" s="36"/>
      <c r="W841" s="36"/>
      <c r="X841" s="36"/>
      <c r="Y841" s="36"/>
      <c r="Z841" s="3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row>
    <row r="842" spans="1:57" ht="15.75" customHeight="1" x14ac:dyDescent="0.2">
      <c r="A842" s="36"/>
      <c r="B842" s="36"/>
      <c r="C842" s="35"/>
      <c r="D842" s="36"/>
      <c r="E842" s="36"/>
      <c r="F842" s="36"/>
      <c r="G842" s="36"/>
      <c r="H842" s="35"/>
      <c r="I842" s="35"/>
      <c r="J842" s="35"/>
      <c r="K842" s="36"/>
      <c r="L842" s="36"/>
      <c r="M842" s="36"/>
      <c r="N842" s="36"/>
      <c r="O842" s="36"/>
      <c r="P842" s="36"/>
      <c r="Q842" s="36"/>
      <c r="R842" s="36"/>
      <c r="S842" s="36"/>
      <c r="T842" s="36"/>
      <c r="U842" s="36"/>
      <c r="V842" s="36"/>
      <c r="W842" s="36"/>
      <c r="X842" s="36"/>
      <c r="Y842" s="36"/>
      <c r="Z842" s="3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row>
    <row r="843" spans="1:57" ht="15.75" customHeight="1" x14ac:dyDescent="0.2">
      <c r="A843" s="36"/>
      <c r="B843" s="36"/>
      <c r="C843" s="35"/>
      <c r="D843" s="36"/>
      <c r="E843" s="36"/>
      <c r="F843" s="36"/>
      <c r="G843" s="36"/>
      <c r="H843" s="35"/>
      <c r="I843" s="35"/>
      <c r="J843" s="35"/>
      <c r="K843" s="36"/>
      <c r="L843" s="36"/>
      <c r="M843" s="36"/>
      <c r="N843" s="36"/>
      <c r="O843" s="36"/>
      <c r="P843" s="36"/>
      <c r="Q843" s="36"/>
      <c r="R843" s="36"/>
      <c r="S843" s="36"/>
      <c r="T843" s="36"/>
      <c r="U843" s="36"/>
      <c r="V843" s="36"/>
      <c r="W843" s="36"/>
      <c r="X843" s="36"/>
      <c r="Y843" s="36"/>
      <c r="Z843" s="3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row>
    <row r="844" spans="1:57" ht="15.75" customHeight="1" x14ac:dyDescent="0.2">
      <c r="A844" s="36"/>
      <c r="B844" s="36"/>
      <c r="C844" s="35"/>
      <c r="D844" s="36"/>
      <c r="E844" s="36"/>
      <c r="F844" s="36"/>
      <c r="G844" s="36"/>
      <c r="H844" s="35"/>
      <c r="I844" s="35"/>
      <c r="J844" s="35"/>
      <c r="K844" s="36"/>
      <c r="L844" s="36"/>
      <c r="M844" s="36"/>
      <c r="N844" s="36"/>
      <c r="O844" s="36"/>
      <c r="P844" s="36"/>
      <c r="Q844" s="36"/>
      <c r="R844" s="36"/>
      <c r="S844" s="36"/>
      <c r="T844" s="36"/>
      <c r="U844" s="36"/>
      <c r="V844" s="36"/>
      <c r="W844" s="36"/>
      <c r="X844" s="36"/>
      <c r="Y844" s="36"/>
      <c r="Z844" s="3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row>
    <row r="845" spans="1:57" ht="15.75" customHeight="1" x14ac:dyDescent="0.2">
      <c r="A845" s="36"/>
      <c r="B845" s="36"/>
      <c r="C845" s="35"/>
      <c r="D845" s="36"/>
      <c r="E845" s="36"/>
      <c r="F845" s="36"/>
      <c r="G845" s="36"/>
      <c r="H845" s="35"/>
      <c r="I845" s="35"/>
      <c r="J845" s="35"/>
      <c r="K845" s="36"/>
      <c r="L845" s="36"/>
      <c r="M845" s="36"/>
      <c r="N845" s="36"/>
      <c r="O845" s="36"/>
      <c r="P845" s="36"/>
      <c r="Q845" s="36"/>
      <c r="R845" s="36"/>
      <c r="S845" s="36"/>
      <c r="T845" s="36"/>
      <c r="U845" s="36"/>
      <c r="V845" s="36"/>
      <c r="W845" s="36"/>
      <c r="X845" s="36"/>
      <c r="Y845" s="36"/>
      <c r="Z845" s="3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row>
    <row r="846" spans="1:57" ht="15.75" customHeight="1" x14ac:dyDescent="0.2">
      <c r="A846" s="36"/>
      <c r="B846" s="36"/>
      <c r="C846" s="35"/>
      <c r="D846" s="36"/>
      <c r="E846" s="36"/>
      <c r="F846" s="36"/>
      <c r="G846" s="36"/>
      <c r="H846" s="35"/>
      <c r="I846" s="35"/>
      <c r="J846" s="35"/>
      <c r="K846" s="36"/>
      <c r="L846" s="36"/>
      <c r="M846" s="36"/>
      <c r="N846" s="36"/>
      <c r="O846" s="36"/>
      <c r="P846" s="36"/>
      <c r="Q846" s="36"/>
      <c r="R846" s="36"/>
      <c r="S846" s="36"/>
      <c r="T846" s="36"/>
      <c r="U846" s="36"/>
      <c r="V846" s="36"/>
      <c r="W846" s="36"/>
      <c r="X846" s="36"/>
      <c r="Y846" s="36"/>
      <c r="Z846" s="3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row>
    <row r="847" spans="1:57" ht="15.75" customHeight="1" x14ac:dyDescent="0.2">
      <c r="A847" s="36"/>
      <c r="B847" s="36"/>
      <c r="C847" s="35"/>
      <c r="D847" s="36"/>
      <c r="E847" s="36"/>
      <c r="F847" s="36"/>
      <c r="G847" s="36"/>
      <c r="H847" s="35"/>
      <c r="I847" s="35"/>
      <c r="J847" s="35"/>
      <c r="K847" s="36"/>
      <c r="L847" s="36"/>
      <c r="M847" s="36"/>
      <c r="N847" s="36"/>
      <c r="O847" s="36"/>
      <c r="P847" s="36"/>
      <c r="Q847" s="36"/>
      <c r="R847" s="36"/>
      <c r="S847" s="36"/>
      <c r="T847" s="36"/>
      <c r="U847" s="36"/>
      <c r="V847" s="36"/>
      <c r="W847" s="36"/>
      <c r="X847" s="36"/>
      <c r="Y847" s="36"/>
      <c r="Z847" s="3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row>
    <row r="848" spans="1:57" ht="15.75" customHeight="1" x14ac:dyDescent="0.2">
      <c r="A848" s="36"/>
      <c r="B848" s="36"/>
      <c r="C848" s="35"/>
      <c r="D848" s="36"/>
      <c r="E848" s="36"/>
      <c r="F848" s="36"/>
      <c r="G848" s="36"/>
      <c r="H848" s="35"/>
      <c r="I848" s="35"/>
      <c r="J848" s="35"/>
      <c r="K848" s="36"/>
      <c r="L848" s="36"/>
      <c r="M848" s="36"/>
      <c r="N848" s="36"/>
      <c r="O848" s="36"/>
      <c r="P848" s="36"/>
      <c r="Q848" s="36"/>
      <c r="R848" s="36"/>
      <c r="S848" s="36"/>
      <c r="T848" s="36"/>
      <c r="U848" s="36"/>
      <c r="V848" s="36"/>
      <c r="W848" s="36"/>
      <c r="X848" s="36"/>
      <c r="Y848" s="36"/>
      <c r="Z848" s="3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row>
    <row r="849" spans="1:57" ht="15.75" customHeight="1" x14ac:dyDescent="0.2">
      <c r="A849" s="36"/>
      <c r="B849" s="36"/>
      <c r="C849" s="35"/>
      <c r="D849" s="36"/>
      <c r="E849" s="36"/>
      <c r="F849" s="36"/>
      <c r="G849" s="36"/>
      <c r="H849" s="35"/>
      <c r="I849" s="35"/>
      <c r="J849" s="35"/>
      <c r="K849" s="36"/>
      <c r="L849" s="36"/>
      <c r="M849" s="36"/>
      <c r="N849" s="36"/>
      <c r="O849" s="36"/>
      <c r="P849" s="36"/>
      <c r="Q849" s="36"/>
      <c r="R849" s="36"/>
      <c r="S849" s="36"/>
      <c r="T849" s="36"/>
      <c r="U849" s="36"/>
      <c r="V849" s="36"/>
      <c r="W849" s="36"/>
      <c r="X849" s="36"/>
      <c r="Y849" s="36"/>
      <c r="Z849" s="3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row>
    <row r="850" spans="1:57" ht="15.75" customHeight="1" x14ac:dyDescent="0.2">
      <c r="A850" s="36"/>
      <c r="B850" s="36"/>
      <c r="C850" s="35"/>
      <c r="D850" s="36"/>
      <c r="E850" s="36"/>
      <c r="F850" s="36"/>
      <c r="G850" s="36"/>
      <c r="H850" s="35"/>
      <c r="I850" s="35"/>
      <c r="J850" s="35"/>
      <c r="K850" s="36"/>
      <c r="L850" s="36"/>
      <c r="M850" s="36"/>
      <c r="N850" s="36"/>
      <c r="O850" s="36"/>
      <c r="P850" s="36"/>
      <c r="Q850" s="36"/>
      <c r="R850" s="36"/>
      <c r="S850" s="36"/>
      <c r="T850" s="36"/>
      <c r="U850" s="36"/>
      <c r="V850" s="36"/>
      <c r="W850" s="36"/>
      <c r="X850" s="36"/>
      <c r="Y850" s="36"/>
      <c r="Z850" s="3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row>
    <row r="851" spans="1:57" ht="15.75" customHeight="1" x14ac:dyDescent="0.2">
      <c r="A851" s="36"/>
      <c r="B851" s="36"/>
      <c r="C851" s="35"/>
      <c r="D851" s="36"/>
      <c r="E851" s="36"/>
      <c r="F851" s="36"/>
      <c r="G851" s="36"/>
      <c r="H851" s="35"/>
      <c r="I851" s="35"/>
      <c r="J851" s="35"/>
      <c r="K851" s="36"/>
      <c r="L851" s="36"/>
      <c r="M851" s="36"/>
      <c r="N851" s="36"/>
      <c r="O851" s="36"/>
      <c r="P851" s="36"/>
      <c r="Q851" s="36"/>
      <c r="R851" s="36"/>
      <c r="S851" s="36"/>
      <c r="T851" s="36"/>
      <c r="U851" s="36"/>
      <c r="V851" s="36"/>
      <c r="W851" s="36"/>
      <c r="X851" s="36"/>
      <c r="Y851" s="36"/>
      <c r="Z851" s="3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row>
    <row r="852" spans="1:57" ht="15.75" customHeight="1" x14ac:dyDescent="0.2">
      <c r="A852" s="36"/>
      <c r="B852" s="36"/>
      <c r="C852" s="35"/>
      <c r="D852" s="36"/>
      <c r="E852" s="36"/>
      <c r="F852" s="36"/>
      <c r="G852" s="36"/>
      <c r="H852" s="35"/>
      <c r="I852" s="35"/>
      <c r="J852" s="35"/>
      <c r="K852" s="36"/>
      <c r="L852" s="36"/>
      <c r="M852" s="36"/>
      <c r="N852" s="36"/>
      <c r="O852" s="36"/>
      <c r="P852" s="36"/>
      <c r="Q852" s="36"/>
      <c r="R852" s="36"/>
      <c r="S852" s="36"/>
      <c r="T852" s="36"/>
      <c r="U852" s="36"/>
      <c r="V852" s="36"/>
      <c r="W852" s="36"/>
      <c r="X852" s="36"/>
      <c r="Y852" s="36"/>
      <c r="Z852" s="3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row>
    <row r="853" spans="1:57" ht="15.75" customHeight="1" x14ac:dyDescent="0.2">
      <c r="A853" s="36"/>
      <c r="B853" s="36"/>
      <c r="C853" s="35"/>
      <c r="D853" s="36"/>
      <c r="E853" s="36"/>
      <c r="F853" s="36"/>
      <c r="G853" s="36"/>
      <c r="H853" s="35"/>
      <c r="I853" s="35"/>
      <c r="J853" s="35"/>
      <c r="K853" s="36"/>
      <c r="L853" s="36"/>
      <c r="M853" s="36"/>
      <c r="N853" s="36"/>
      <c r="O853" s="36"/>
      <c r="P853" s="36"/>
      <c r="Q853" s="36"/>
      <c r="R853" s="36"/>
      <c r="S853" s="36"/>
      <c r="T853" s="36"/>
      <c r="U853" s="36"/>
      <c r="V853" s="36"/>
      <c r="W853" s="36"/>
      <c r="X853" s="36"/>
      <c r="Y853" s="36"/>
      <c r="Z853" s="3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row>
    <row r="854" spans="1:57" ht="15.75" customHeight="1" x14ac:dyDescent="0.2">
      <c r="A854" s="36"/>
      <c r="B854" s="36"/>
      <c r="C854" s="35"/>
      <c r="D854" s="36"/>
      <c r="E854" s="36"/>
      <c r="F854" s="36"/>
      <c r="G854" s="36"/>
      <c r="H854" s="35"/>
      <c r="I854" s="35"/>
      <c r="J854" s="35"/>
      <c r="K854" s="36"/>
      <c r="L854" s="36"/>
      <c r="M854" s="36"/>
      <c r="N854" s="36"/>
      <c r="O854" s="36"/>
      <c r="P854" s="36"/>
      <c r="Q854" s="36"/>
      <c r="R854" s="36"/>
      <c r="S854" s="36"/>
      <c r="T854" s="36"/>
      <c r="U854" s="36"/>
      <c r="V854" s="36"/>
      <c r="W854" s="36"/>
      <c r="X854" s="36"/>
      <c r="Y854" s="36"/>
      <c r="Z854" s="3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row>
    <row r="855" spans="1:57" ht="15.75" customHeight="1" x14ac:dyDescent="0.2">
      <c r="A855" s="36"/>
      <c r="B855" s="36"/>
      <c r="C855" s="35"/>
      <c r="D855" s="36"/>
      <c r="E855" s="36"/>
      <c r="F855" s="36"/>
      <c r="G855" s="36"/>
      <c r="H855" s="35"/>
      <c r="I855" s="35"/>
      <c r="J855" s="35"/>
      <c r="K855" s="36"/>
      <c r="L855" s="36"/>
      <c r="M855" s="36"/>
      <c r="N855" s="36"/>
      <c r="O855" s="36"/>
      <c r="P855" s="36"/>
      <c r="Q855" s="36"/>
      <c r="R855" s="36"/>
      <c r="S855" s="36"/>
      <c r="T855" s="36"/>
      <c r="U855" s="36"/>
      <c r="V855" s="36"/>
      <c r="W855" s="36"/>
      <c r="X855" s="36"/>
      <c r="Y855" s="36"/>
      <c r="Z855" s="3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row>
    <row r="856" spans="1:57" ht="15.75" customHeight="1" x14ac:dyDescent="0.2">
      <c r="A856" s="36"/>
      <c r="B856" s="36"/>
      <c r="C856" s="35"/>
      <c r="D856" s="36"/>
      <c r="E856" s="36"/>
      <c r="F856" s="36"/>
      <c r="G856" s="36"/>
      <c r="H856" s="35"/>
      <c r="I856" s="35"/>
      <c r="J856" s="35"/>
      <c r="K856" s="36"/>
      <c r="L856" s="36"/>
      <c r="M856" s="36"/>
      <c r="N856" s="36"/>
      <c r="O856" s="36"/>
      <c r="P856" s="36"/>
      <c r="Q856" s="36"/>
      <c r="R856" s="36"/>
      <c r="S856" s="36"/>
      <c r="T856" s="36"/>
      <c r="U856" s="36"/>
      <c r="V856" s="36"/>
      <c r="W856" s="36"/>
      <c r="X856" s="36"/>
      <c r="Y856" s="36"/>
      <c r="Z856" s="3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row>
    <row r="857" spans="1:57" ht="15.75" customHeight="1" x14ac:dyDescent="0.2">
      <c r="A857" s="36"/>
      <c r="B857" s="36"/>
      <c r="C857" s="35"/>
      <c r="D857" s="36"/>
      <c r="E857" s="36"/>
      <c r="F857" s="36"/>
      <c r="G857" s="36"/>
      <c r="H857" s="35"/>
      <c r="I857" s="35"/>
      <c r="J857" s="35"/>
      <c r="K857" s="36"/>
      <c r="L857" s="36"/>
      <c r="M857" s="36"/>
      <c r="N857" s="36"/>
      <c r="O857" s="36"/>
      <c r="P857" s="36"/>
      <c r="Q857" s="36"/>
      <c r="R857" s="36"/>
      <c r="S857" s="36"/>
      <c r="T857" s="36"/>
      <c r="U857" s="36"/>
      <c r="V857" s="36"/>
      <c r="W857" s="36"/>
      <c r="X857" s="36"/>
      <c r="Y857" s="36"/>
      <c r="Z857" s="3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row>
    <row r="858" spans="1:57" ht="15.75" customHeight="1" x14ac:dyDescent="0.2">
      <c r="A858" s="36"/>
      <c r="B858" s="36"/>
      <c r="C858" s="35"/>
      <c r="D858" s="36"/>
      <c r="E858" s="36"/>
      <c r="F858" s="36"/>
      <c r="G858" s="36"/>
      <c r="H858" s="35"/>
      <c r="I858" s="35"/>
      <c r="J858" s="35"/>
      <c r="K858" s="36"/>
      <c r="L858" s="36"/>
      <c r="M858" s="36"/>
      <c r="N858" s="36"/>
      <c r="O858" s="36"/>
      <c r="P858" s="36"/>
      <c r="Q858" s="36"/>
      <c r="R858" s="36"/>
      <c r="S858" s="36"/>
      <c r="T858" s="36"/>
      <c r="U858" s="36"/>
      <c r="V858" s="36"/>
      <c r="W858" s="36"/>
      <c r="X858" s="36"/>
      <c r="Y858" s="36"/>
      <c r="Z858" s="3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row>
    <row r="859" spans="1:57" ht="15.75" customHeight="1" x14ac:dyDescent="0.2">
      <c r="A859" s="36"/>
      <c r="B859" s="36"/>
      <c r="C859" s="35"/>
      <c r="D859" s="36"/>
      <c r="E859" s="36"/>
      <c r="F859" s="36"/>
      <c r="G859" s="36"/>
      <c r="H859" s="35"/>
      <c r="I859" s="35"/>
      <c r="J859" s="35"/>
      <c r="K859" s="36"/>
      <c r="L859" s="36"/>
      <c r="M859" s="36"/>
      <c r="N859" s="36"/>
      <c r="O859" s="36"/>
      <c r="P859" s="36"/>
      <c r="Q859" s="36"/>
      <c r="R859" s="36"/>
      <c r="S859" s="36"/>
      <c r="T859" s="36"/>
      <c r="U859" s="36"/>
      <c r="V859" s="36"/>
      <c r="W859" s="36"/>
      <c r="X859" s="36"/>
      <c r="Y859" s="36"/>
      <c r="Z859" s="3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row>
    <row r="860" spans="1:57" ht="15.75" customHeight="1" x14ac:dyDescent="0.2">
      <c r="A860" s="36"/>
      <c r="B860" s="36"/>
      <c r="C860" s="35"/>
      <c r="D860" s="36"/>
      <c r="E860" s="36"/>
      <c r="F860" s="36"/>
      <c r="G860" s="36"/>
      <c r="H860" s="35"/>
      <c r="I860" s="35"/>
      <c r="J860" s="35"/>
      <c r="K860" s="36"/>
      <c r="L860" s="36"/>
      <c r="M860" s="36"/>
      <c r="N860" s="36"/>
      <c r="O860" s="36"/>
      <c r="P860" s="36"/>
      <c r="Q860" s="36"/>
      <c r="R860" s="36"/>
      <c r="S860" s="36"/>
      <c r="T860" s="36"/>
      <c r="U860" s="36"/>
      <c r="V860" s="36"/>
      <c r="W860" s="36"/>
      <c r="X860" s="36"/>
      <c r="Y860" s="36"/>
      <c r="Z860" s="3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row>
    <row r="861" spans="1:57" ht="15.75" customHeight="1" x14ac:dyDescent="0.2">
      <c r="A861" s="36"/>
      <c r="B861" s="36"/>
      <c r="C861" s="35"/>
      <c r="D861" s="36"/>
      <c r="E861" s="36"/>
      <c r="F861" s="36"/>
      <c r="G861" s="36"/>
      <c r="H861" s="35"/>
      <c r="I861" s="35"/>
      <c r="J861" s="35"/>
      <c r="K861" s="36"/>
      <c r="L861" s="36"/>
      <c r="M861" s="36"/>
      <c r="N861" s="36"/>
      <c r="O861" s="36"/>
      <c r="P861" s="36"/>
      <c r="Q861" s="36"/>
      <c r="R861" s="36"/>
      <c r="S861" s="36"/>
      <c r="T861" s="36"/>
      <c r="U861" s="36"/>
      <c r="V861" s="36"/>
      <c r="W861" s="36"/>
      <c r="X861" s="36"/>
      <c r="Y861" s="36"/>
      <c r="Z861" s="3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row>
    <row r="862" spans="1:57" ht="15.75" customHeight="1" x14ac:dyDescent="0.2">
      <c r="A862" s="36"/>
      <c r="B862" s="36"/>
      <c r="C862" s="35"/>
      <c r="D862" s="36"/>
      <c r="E862" s="36"/>
      <c r="F862" s="36"/>
      <c r="G862" s="36"/>
      <c r="H862" s="35"/>
      <c r="I862" s="35"/>
      <c r="J862" s="35"/>
      <c r="K862" s="36"/>
      <c r="L862" s="36"/>
      <c r="M862" s="36"/>
      <c r="N862" s="36"/>
      <c r="O862" s="36"/>
      <c r="P862" s="36"/>
      <c r="Q862" s="36"/>
      <c r="R862" s="36"/>
      <c r="S862" s="36"/>
      <c r="T862" s="36"/>
      <c r="U862" s="36"/>
      <c r="V862" s="36"/>
      <c r="W862" s="36"/>
      <c r="X862" s="36"/>
      <c r="Y862" s="36"/>
      <c r="Z862" s="3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row>
    <row r="863" spans="1:57" ht="15.75" customHeight="1" x14ac:dyDescent="0.2">
      <c r="A863" s="36"/>
      <c r="B863" s="36"/>
      <c r="C863" s="35"/>
      <c r="D863" s="36"/>
      <c r="E863" s="36"/>
      <c r="F863" s="36"/>
      <c r="G863" s="36"/>
      <c r="H863" s="35"/>
      <c r="I863" s="35"/>
      <c r="J863" s="35"/>
      <c r="K863" s="36"/>
      <c r="L863" s="36"/>
      <c r="M863" s="36"/>
      <c r="N863" s="36"/>
      <c r="O863" s="36"/>
      <c r="P863" s="36"/>
      <c r="Q863" s="36"/>
      <c r="R863" s="36"/>
      <c r="S863" s="36"/>
      <c r="T863" s="36"/>
      <c r="U863" s="36"/>
      <c r="V863" s="36"/>
      <c r="W863" s="36"/>
      <c r="X863" s="36"/>
      <c r="Y863" s="36"/>
      <c r="Z863" s="3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row>
    <row r="864" spans="1:57" ht="15.75" customHeight="1" x14ac:dyDescent="0.2">
      <c r="A864" s="36"/>
      <c r="B864" s="36"/>
      <c r="C864" s="35"/>
      <c r="D864" s="36"/>
      <c r="E864" s="36"/>
      <c r="F864" s="36"/>
      <c r="G864" s="36"/>
      <c r="H864" s="35"/>
      <c r="I864" s="35"/>
      <c r="J864" s="35"/>
      <c r="K864" s="36"/>
      <c r="L864" s="36"/>
      <c r="M864" s="36"/>
      <c r="N864" s="36"/>
      <c r="O864" s="36"/>
      <c r="P864" s="36"/>
      <c r="Q864" s="36"/>
      <c r="R864" s="36"/>
      <c r="S864" s="36"/>
      <c r="T864" s="36"/>
      <c r="U864" s="36"/>
      <c r="V864" s="36"/>
      <c r="W864" s="36"/>
      <c r="X864" s="36"/>
      <c r="Y864" s="36"/>
      <c r="Z864" s="3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row>
    <row r="865" spans="1:57" ht="15.75" customHeight="1" x14ac:dyDescent="0.2">
      <c r="A865" s="36"/>
      <c r="B865" s="36"/>
      <c r="C865" s="35"/>
      <c r="D865" s="36"/>
      <c r="E865" s="36"/>
      <c r="F865" s="36"/>
      <c r="G865" s="36"/>
      <c r="H865" s="35"/>
      <c r="I865" s="35"/>
      <c r="J865" s="35"/>
      <c r="K865" s="36"/>
      <c r="L865" s="36"/>
      <c r="M865" s="36"/>
      <c r="N865" s="36"/>
      <c r="O865" s="36"/>
      <c r="P865" s="36"/>
      <c r="Q865" s="36"/>
      <c r="R865" s="36"/>
      <c r="S865" s="36"/>
      <c r="T865" s="36"/>
      <c r="U865" s="36"/>
      <c r="V865" s="36"/>
      <c r="W865" s="36"/>
      <c r="X865" s="36"/>
      <c r="Y865" s="36"/>
      <c r="Z865" s="3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row>
    <row r="866" spans="1:57" ht="15.75" customHeight="1" x14ac:dyDescent="0.2">
      <c r="A866" s="36"/>
      <c r="B866" s="36"/>
      <c r="C866" s="35"/>
      <c r="D866" s="36"/>
      <c r="E866" s="36"/>
      <c r="F866" s="36"/>
      <c r="G866" s="36"/>
      <c r="H866" s="35"/>
      <c r="I866" s="35"/>
      <c r="J866" s="35"/>
      <c r="K866" s="36"/>
      <c r="L866" s="36"/>
      <c r="M866" s="36"/>
      <c r="N866" s="36"/>
      <c r="O866" s="36"/>
      <c r="P866" s="36"/>
      <c r="Q866" s="36"/>
      <c r="R866" s="36"/>
      <c r="S866" s="36"/>
      <c r="T866" s="36"/>
      <c r="U866" s="36"/>
      <c r="V866" s="36"/>
      <c r="W866" s="36"/>
      <c r="X866" s="36"/>
      <c r="Y866" s="36"/>
      <c r="Z866" s="3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row>
    <row r="867" spans="1:57" ht="15.75" customHeight="1" x14ac:dyDescent="0.2">
      <c r="A867" s="36"/>
      <c r="B867" s="36"/>
      <c r="C867" s="35"/>
      <c r="D867" s="36"/>
      <c r="E867" s="36"/>
      <c r="F867" s="36"/>
      <c r="G867" s="36"/>
      <c r="H867" s="35"/>
      <c r="I867" s="35"/>
      <c r="J867" s="35"/>
      <c r="K867" s="36"/>
      <c r="L867" s="36"/>
      <c r="M867" s="36"/>
      <c r="N867" s="36"/>
      <c r="O867" s="36"/>
      <c r="P867" s="36"/>
      <c r="Q867" s="36"/>
      <c r="R867" s="36"/>
      <c r="S867" s="36"/>
      <c r="T867" s="36"/>
      <c r="U867" s="36"/>
      <c r="V867" s="36"/>
      <c r="W867" s="36"/>
      <c r="X867" s="36"/>
      <c r="Y867" s="36"/>
      <c r="Z867" s="3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row>
    <row r="868" spans="1:57" ht="15.75" customHeight="1" x14ac:dyDescent="0.2">
      <c r="A868" s="36"/>
      <c r="B868" s="36"/>
      <c r="C868" s="35"/>
      <c r="D868" s="36"/>
      <c r="E868" s="36"/>
      <c r="F868" s="36"/>
      <c r="G868" s="36"/>
      <c r="H868" s="35"/>
      <c r="I868" s="35"/>
      <c r="J868" s="35"/>
      <c r="K868" s="36"/>
      <c r="L868" s="36"/>
      <c r="M868" s="36"/>
      <c r="N868" s="36"/>
      <c r="O868" s="36"/>
      <c r="P868" s="36"/>
      <c r="Q868" s="36"/>
      <c r="R868" s="36"/>
      <c r="S868" s="36"/>
      <c r="T868" s="36"/>
      <c r="U868" s="36"/>
      <c r="V868" s="36"/>
      <c r="W868" s="36"/>
      <c r="X868" s="36"/>
      <c r="Y868" s="36"/>
      <c r="Z868" s="3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row>
    <row r="869" spans="1:57" ht="15.75" customHeight="1" x14ac:dyDescent="0.2">
      <c r="A869" s="36"/>
      <c r="B869" s="36"/>
      <c r="C869" s="35"/>
      <c r="D869" s="36"/>
      <c r="E869" s="36"/>
      <c r="F869" s="36"/>
      <c r="G869" s="36"/>
      <c r="H869" s="35"/>
      <c r="I869" s="35"/>
      <c r="J869" s="35"/>
      <c r="K869" s="36"/>
      <c r="L869" s="36"/>
      <c r="M869" s="36"/>
      <c r="N869" s="36"/>
      <c r="O869" s="36"/>
      <c r="P869" s="36"/>
      <c r="Q869" s="36"/>
      <c r="R869" s="36"/>
      <c r="S869" s="36"/>
      <c r="T869" s="36"/>
      <c r="U869" s="36"/>
      <c r="V869" s="36"/>
      <c r="W869" s="36"/>
      <c r="X869" s="36"/>
      <c r="Y869" s="36"/>
      <c r="Z869" s="3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row>
    <row r="870" spans="1:57" ht="15.75" customHeight="1" x14ac:dyDescent="0.2">
      <c r="A870" s="36"/>
      <c r="B870" s="36"/>
      <c r="C870" s="35"/>
      <c r="D870" s="36"/>
      <c r="E870" s="36"/>
      <c r="F870" s="36"/>
      <c r="G870" s="36"/>
      <c r="H870" s="35"/>
      <c r="I870" s="35"/>
      <c r="J870" s="35"/>
      <c r="K870" s="36"/>
      <c r="L870" s="36"/>
      <c r="M870" s="36"/>
      <c r="N870" s="36"/>
      <c r="O870" s="36"/>
      <c r="P870" s="36"/>
      <c r="Q870" s="36"/>
      <c r="R870" s="36"/>
      <c r="S870" s="36"/>
      <c r="T870" s="36"/>
      <c r="U870" s="36"/>
      <c r="V870" s="36"/>
      <c r="W870" s="36"/>
      <c r="X870" s="36"/>
      <c r="Y870" s="36"/>
      <c r="Z870" s="3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row>
    <row r="871" spans="1:57" ht="15.75" customHeight="1" x14ac:dyDescent="0.2">
      <c r="A871" s="36"/>
      <c r="B871" s="36"/>
      <c r="C871" s="35"/>
      <c r="D871" s="36"/>
      <c r="E871" s="36"/>
      <c r="F871" s="36"/>
      <c r="G871" s="36"/>
      <c r="H871" s="35"/>
      <c r="I871" s="35"/>
      <c r="J871" s="35"/>
      <c r="K871" s="36"/>
      <c r="L871" s="36"/>
      <c r="M871" s="36"/>
      <c r="N871" s="36"/>
      <c r="O871" s="36"/>
      <c r="P871" s="36"/>
      <c r="Q871" s="36"/>
      <c r="R871" s="36"/>
      <c r="S871" s="36"/>
      <c r="T871" s="36"/>
      <c r="U871" s="36"/>
      <c r="V871" s="36"/>
      <c r="W871" s="36"/>
      <c r="X871" s="36"/>
      <c r="Y871" s="36"/>
      <c r="Z871" s="3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row>
    <row r="872" spans="1:57" ht="15.75" customHeight="1" x14ac:dyDescent="0.2">
      <c r="A872" s="36"/>
      <c r="B872" s="36"/>
      <c r="C872" s="35"/>
      <c r="D872" s="36"/>
      <c r="E872" s="36"/>
      <c r="F872" s="36"/>
      <c r="G872" s="36"/>
      <c r="H872" s="35"/>
      <c r="I872" s="35"/>
      <c r="J872" s="35"/>
      <c r="K872" s="36"/>
      <c r="L872" s="36"/>
      <c r="M872" s="36"/>
      <c r="N872" s="36"/>
      <c r="O872" s="36"/>
      <c r="P872" s="36"/>
      <c r="Q872" s="36"/>
      <c r="R872" s="36"/>
      <c r="S872" s="36"/>
      <c r="T872" s="36"/>
      <c r="U872" s="36"/>
      <c r="V872" s="36"/>
      <c r="W872" s="36"/>
      <c r="X872" s="36"/>
      <c r="Y872" s="36"/>
      <c r="Z872" s="3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row>
    <row r="873" spans="1:57" ht="15.75" customHeight="1" x14ac:dyDescent="0.2">
      <c r="A873" s="36"/>
      <c r="B873" s="36"/>
      <c r="C873" s="35"/>
      <c r="D873" s="36"/>
      <c r="E873" s="36"/>
      <c r="F873" s="36"/>
      <c r="G873" s="36"/>
      <c r="H873" s="35"/>
      <c r="I873" s="35"/>
      <c r="J873" s="35"/>
      <c r="K873" s="36"/>
      <c r="L873" s="36"/>
      <c r="M873" s="36"/>
      <c r="N873" s="36"/>
      <c r="O873" s="36"/>
      <c r="P873" s="36"/>
      <c r="Q873" s="36"/>
      <c r="R873" s="36"/>
      <c r="S873" s="36"/>
      <c r="T873" s="36"/>
      <c r="U873" s="36"/>
      <c r="V873" s="36"/>
      <c r="W873" s="36"/>
      <c r="X873" s="36"/>
      <c r="Y873" s="36"/>
      <c r="Z873" s="3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row>
    <row r="874" spans="1:57" ht="15.75" customHeight="1" x14ac:dyDescent="0.2">
      <c r="A874" s="36"/>
      <c r="B874" s="36"/>
      <c r="C874" s="35"/>
      <c r="D874" s="36"/>
      <c r="E874" s="36"/>
      <c r="F874" s="36"/>
      <c r="G874" s="36"/>
      <c r="H874" s="35"/>
      <c r="I874" s="35"/>
      <c r="J874" s="35"/>
      <c r="K874" s="36"/>
      <c r="L874" s="36"/>
      <c r="M874" s="36"/>
      <c r="N874" s="36"/>
      <c r="O874" s="36"/>
      <c r="P874" s="36"/>
      <c r="Q874" s="36"/>
      <c r="R874" s="36"/>
      <c r="S874" s="36"/>
      <c r="T874" s="36"/>
      <c r="U874" s="36"/>
      <c r="V874" s="36"/>
      <c r="W874" s="36"/>
      <c r="X874" s="36"/>
      <c r="Y874" s="36"/>
      <c r="Z874" s="3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row>
    <row r="875" spans="1:57" ht="15.75" customHeight="1" x14ac:dyDescent="0.2">
      <c r="A875" s="36"/>
      <c r="B875" s="36"/>
      <c r="C875" s="35"/>
      <c r="D875" s="36"/>
      <c r="E875" s="36"/>
      <c r="F875" s="36"/>
      <c r="G875" s="36"/>
      <c r="H875" s="35"/>
      <c r="I875" s="35"/>
      <c r="J875" s="35"/>
      <c r="K875" s="36"/>
      <c r="L875" s="36"/>
      <c r="M875" s="36"/>
      <c r="N875" s="36"/>
      <c r="O875" s="36"/>
      <c r="P875" s="36"/>
      <c r="Q875" s="36"/>
      <c r="R875" s="36"/>
      <c r="S875" s="36"/>
      <c r="T875" s="36"/>
      <c r="U875" s="36"/>
      <c r="V875" s="36"/>
      <c r="W875" s="36"/>
      <c r="X875" s="36"/>
      <c r="Y875" s="36"/>
      <c r="Z875" s="3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row>
    <row r="876" spans="1:57" ht="15.75" customHeight="1" x14ac:dyDescent="0.2">
      <c r="A876" s="36"/>
      <c r="B876" s="36"/>
      <c r="C876" s="35"/>
      <c r="D876" s="36"/>
      <c r="E876" s="36"/>
      <c r="F876" s="36"/>
      <c r="G876" s="36"/>
      <c r="H876" s="35"/>
      <c r="I876" s="35"/>
      <c r="J876" s="35"/>
      <c r="K876" s="36"/>
      <c r="L876" s="36"/>
      <c r="M876" s="36"/>
      <c r="N876" s="36"/>
      <c r="O876" s="36"/>
      <c r="P876" s="36"/>
      <c r="Q876" s="36"/>
      <c r="R876" s="36"/>
      <c r="S876" s="36"/>
      <c r="T876" s="36"/>
      <c r="U876" s="36"/>
      <c r="V876" s="36"/>
      <c r="W876" s="36"/>
      <c r="X876" s="36"/>
      <c r="Y876" s="36"/>
      <c r="Z876" s="3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row>
    <row r="877" spans="1:57" ht="15.75" customHeight="1" x14ac:dyDescent="0.2">
      <c r="A877" s="36"/>
      <c r="B877" s="36"/>
      <c r="C877" s="35"/>
      <c r="D877" s="36"/>
      <c r="E877" s="36"/>
      <c r="F877" s="36"/>
      <c r="G877" s="36"/>
      <c r="H877" s="35"/>
      <c r="I877" s="35"/>
      <c r="J877" s="35"/>
      <c r="K877" s="36"/>
      <c r="L877" s="36"/>
      <c r="M877" s="36"/>
      <c r="N877" s="36"/>
      <c r="O877" s="36"/>
      <c r="P877" s="36"/>
      <c r="Q877" s="36"/>
      <c r="R877" s="36"/>
      <c r="S877" s="36"/>
      <c r="T877" s="36"/>
      <c r="U877" s="36"/>
      <c r="V877" s="36"/>
      <c r="W877" s="36"/>
      <c r="X877" s="36"/>
      <c r="Y877" s="36"/>
      <c r="Z877" s="3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row>
    <row r="878" spans="1:57" ht="15.75" customHeight="1" x14ac:dyDescent="0.2">
      <c r="A878" s="36"/>
      <c r="B878" s="36"/>
      <c r="C878" s="35"/>
      <c r="D878" s="36"/>
      <c r="E878" s="36"/>
      <c r="F878" s="36"/>
      <c r="G878" s="36"/>
      <c r="H878" s="35"/>
      <c r="I878" s="35"/>
      <c r="J878" s="35"/>
      <c r="K878" s="36"/>
      <c r="L878" s="36"/>
      <c r="M878" s="36"/>
      <c r="N878" s="36"/>
      <c r="O878" s="36"/>
      <c r="P878" s="36"/>
      <c r="Q878" s="36"/>
      <c r="R878" s="36"/>
      <c r="S878" s="36"/>
      <c r="T878" s="36"/>
      <c r="U878" s="36"/>
      <c r="V878" s="36"/>
      <c r="W878" s="36"/>
      <c r="X878" s="36"/>
      <c r="Y878" s="36"/>
      <c r="Z878" s="3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row>
    <row r="879" spans="1:57" ht="15.75" customHeight="1" x14ac:dyDescent="0.2">
      <c r="A879" s="36"/>
      <c r="B879" s="36"/>
      <c r="C879" s="35"/>
      <c r="D879" s="36"/>
      <c r="E879" s="36"/>
      <c r="F879" s="36"/>
      <c r="G879" s="36"/>
      <c r="H879" s="35"/>
      <c r="I879" s="35"/>
      <c r="J879" s="35"/>
      <c r="K879" s="36"/>
      <c r="L879" s="36"/>
      <c r="M879" s="36"/>
      <c r="N879" s="36"/>
      <c r="O879" s="36"/>
      <c r="P879" s="36"/>
      <c r="Q879" s="36"/>
      <c r="R879" s="36"/>
      <c r="S879" s="36"/>
      <c r="T879" s="36"/>
      <c r="U879" s="36"/>
      <c r="V879" s="36"/>
      <c r="W879" s="36"/>
      <c r="X879" s="36"/>
      <c r="Y879" s="36"/>
      <c r="Z879" s="3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row>
    <row r="880" spans="1:57" ht="15.75" customHeight="1" x14ac:dyDescent="0.2">
      <c r="A880" s="36"/>
      <c r="B880" s="36"/>
      <c r="C880" s="35"/>
      <c r="D880" s="36"/>
      <c r="E880" s="36"/>
      <c r="F880" s="36"/>
      <c r="G880" s="36"/>
      <c r="H880" s="35"/>
      <c r="I880" s="35"/>
      <c r="J880" s="35"/>
      <c r="K880" s="36"/>
      <c r="L880" s="36"/>
      <c r="M880" s="36"/>
      <c r="N880" s="36"/>
      <c r="O880" s="36"/>
      <c r="P880" s="36"/>
      <c r="Q880" s="36"/>
      <c r="R880" s="36"/>
      <c r="S880" s="36"/>
      <c r="T880" s="36"/>
      <c r="U880" s="36"/>
      <c r="V880" s="36"/>
      <c r="W880" s="36"/>
      <c r="X880" s="36"/>
      <c r="Y880" s="36"/>
      <c r="Z880" s="3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row>
    <row r="881" spans="1:57" ht="15.75" customHeight="1" x14ac:dyDescent="0.2">
      <c r="A881" s="36"/>
      <c r="B881" s="36"/>
      <c r="C881" s="35"/>
      <c r="D881" s="36"/>
      <c r="E881" s="36"/>
      <c r="F881" s="36"/>
      <c r="G881" s="36"/>
      <c r="H881" s="35"/>
      <c r="I881" s="35"/>
      <c r="J881" s="35"/>
      <c r="K881" s="36"/>
      <c r="L881" s="36"/>
      <c r="M881" s="36"/>
      <c r="N881" s="36"/>
      <c r="O881" s="36"/>
      <c r="P881" s="36"/>
      <c r="Q881" s="36"/>
      <c r="R881" s="36"/>
      <c r="S881" s="36"/>
      <c r="T881" s="36"/>
      <c r="U881" s="36"/>
      <c r="V881" s="36"/>
      <c r="W881" s="36"/>
      <c r="X881" s="36"/>
      <c r="Y881" s="36"/>
      <c r="Z881" s="3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row>
    <row r="882" spans="1:57" ht="15.75" customHeight="1" x14ac:dyDescent="0.2">
      <c r="A882" s="36"/>
      <c r="B882" s="36"/>
      <c r="C882" s="35"/>
      <c r="D882" s="36"/>
      <c r="E882" s="36"/>
      <c r="F882" s="36"/>
      <c r="G882" s="36"/>
      <c r="H882" s="35"/>
      <c r="I882" s="35"/>
      <c r="J882" s="35"/>
      <c r="K882" s="36"/>
      <c r="L882" s="36"/>
      <c r="M882" s="36"/>
      <c r="N882" s="36"/>
      <c r="O882" s="36"/>
      <c r="P882" s="36"/>
      <c r="Q882" s="36"/>
      <c r="R882" s="36"/>
      <c r="S882" s="36"/>
      <c r="T882" s="36"/>
      <c r="U882" s="36"/>
      <c r="V882" s="36"/>
      <c r="W882" s="36"/>
      <c r="X882" s="36"/>
      <c r="Y882" s="36"/>
      <c r="Z882" s="3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row>
    <row r="883" spans="1:57" ht="15.75" customHeight="1" x14ac:dyDescent="0.2">
      <c r="A883" s="36"/>
      <c r="B883" s="36"/>
      <c r="C883" s="35"/>
      <c r="D883" s="36"/>
      <c r="E883" s="36"/>
      <c r="F883" s="36"/>
      <c r="G883" s="36"/>
      <c r="H883" s="35"/>
      <c r="I883" s="35"/>
      <c r="J883" s="35"/>
      <c r="K883" s="36"/>
      <c r="L883" s="36"/>
      <c r="M883" s="36"/>
      <c r="N883" s="36"/>
      <c r="O883" s="36"/>
      <c r="P883" s="36"/>
      <c r="Q883" s="36"/>
      <c r="R883" s="36"/>
      <c r="S883" s="36"/>
      <c r="T883" s="36"/>
      <c r="U883" s="36"/>
      <c r="V883" s="36"/>
      <c r="W883" s="36"/>
      <c r="X883" s="36"/>
      <c r="Y883" s="36"/>
      <c r="Z883" s="3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row>
    <row r="884" spans="1:57" ht="15.75" customHeight="1" x14ac:dyDescent="0.2">
      <c r="A884" s="36"/>
      <c r="B884" s="36"/>
      <c r="C884" s="35"/>
      <c r="D884" s="36"/>
      <c r="E884" s="36"/>
      <c r="F884" s="36"/>
      <c r="G884" s="36"/>
      <c r="H884" s="35"/>
      <c r="I884" s="35"/>
      <c r="J884" s="35"/>
      <c r="K884" s="36"/>
      <c r="L884" s="36"/>
      <c r="M884" s="36"/>
      <c r="N884" s="36"/>
      <c r="O884" s="36"/>
      <c r="P884" s="36"/>
      <c r="Q884" s="36"/>
      <c r="R884" s="36"/>
      <c r="S884" s="36"/>
      <c r="T884" s="36"/>
      <c r="U884" s="36"/>
      <c r="V884" s="36"/>
      <c r="W884" s="36"/>
      <c r="X884" s="36"/>
      <c r="Y884" s="36"/>
      <c r="Z884" s="3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row>
    <row r="885" spans="1:57" ht="15.75" customHeight="1" x14ac:dyDescent="0.2">
      <c r="A885" s="36"/>
      <c r="B885" s="36"/>
      <c r="C885" s="35"/>
      <c r="D885" s="36"/>
      <c r="E885" s="36"/>
      <c r="F885" s="36"/>
      <c r="G885" s="36"/>
      <c r="H885" s="35"/>
      <c r="I885" s="35"/>
      <c r="J885" s="35"/>
      <c r="K885" s="36"/>
      <c r="L885" s="36"/>
      <c r="M885" s="36"/>
      <c r="N885" s="36"/>
      <c r="O885" s="36"/>
      <c r="P885" s="36"/>
      <c r="Q885" s="36"/>
      <c r="R885" s="36"/>
      <c r="S885" s="36"/>
      <c r="T885" s="36"/>
      <c r="U885" s="36"/>
      <c r="V885" s="36"/>
      <c r="W885" s="36"/>
      <c r="X885" s="36"/>
      <c r="Y885" s="36"/>
      <c r="Z885" s="3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row>
    <row r="886" spans="1:57" ht="15.75" customHeight="1" x14ac:dyDescent="0.2">
      <c r="A886" s="36"/>
      <c r="B886" s="36"/>
      <c r="C886" s="35"/>
      <c r="D886" s="36"/>
      <c r="E886" s="36"/>
      <c r="F886" s="36"/>
      <c r="G886" s="36"/>
      <c r="H886" s="35"/>
      <c r="I886" s="35"/>
      <c r="J886" s="35"/>
      <c r="K886" s="36"/>
      <c r="L886" s="36"/>
      <c r="M886" s="36"/>
      <c r="N886" s="36"/>
      <c r="O886" s="36"/>
      <c r="P886" s="36"/>
      <c r="Q886" s="36"/>
      <c r="R886" s="36"/>
      <c r="S886" s="36"/>
      <c r="T886" s="36"/>
      <c r="U886" s="36"/>
      <c r="V886" s="36"/>
      <c r="W886" s="36"/>
      <c r="X886" s="36"/>
      <c r="Y886" s="36"/>
      <c r="Z886" s="3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row>
    <row r="887" spans="1:57" ht="15.75" customHeight="1" x14ac:dyDescent="0.2">
      <c r="A887" s="36"/>
      <c r="B887" s="36"/>
      <c r="C887" s="35"/>
      <c r="D887" s="36"/>
      <c r="E887" s="36"/>
      <c r="F887" s="36"/>
      <c r="G887" s="36"/>
      <c r="H887" s="35"/>
      <c r="I887" s="35"/>
      <c r="J887" s="35"/>
      <c r="K887" s="36"/>
      <c r="L887" s="36"/>
      <c r="M887" s="36"/>
      <c r="N887" s="36"/>
      <c r="O887" s="36"/>
      <c r="P887" s="36"/>
      <c r="Q887" s="36"/>
      <c r="R887" s="36"/>
      <c r="S887" s="36"/>
      <c r="T887" s="36"/>
      <c r="U887" s="36"/>
      <c r="V887" s="36"/>
      <c r="W887" s="36"/>
      <c r="X887" s="36"/>
      <c r="Y887" s="36"/>
      <c r="Z887" s="3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row>
    <row r="888" spans="1:57" ht="15.75" customHeight="1" x14ac:dyDescent="0.2">
      <c r="A888" s="36"/>
      <c r="B888" s="36"/>
      <c r="C888" s="35"/>
      <c r="D888" s="36"/>
      <c r="E888" s="36"/>
      <c r="F888" s="36"/>
      <c r="G888" s="36"/>
      <c r="H888" s="35"/>
      <c r="I888" s="35"/>
      <c r="J888" s="35"/>
      <c r="K888" s="36"/>
      <c r="L888" s="36"/>
      <c r="M888" s="36"/>
      <c r="N888" s="36"/>
      <c r="O888" s="36"/>
      <c r="P888" s="36"/>
      <c r="Q888" s="36"/>
      <c r="R888" s="36"/>
      <c r="S888" s="36"/>
      <c r="T888" s="36"/>
      <c r="U888" s="36"/>
      <c r="V888" s="36"/>
      <c r="W888" s="36"/>
      <c r="X888" s="36"/>
      <c r="Y888" s="36"/>
      <c r="Z888" s="3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row>
    <row r="889" spans="1:57" ht="15.75" customHeight="1" x14ac:dyDescent="0.2">
      <c r="A889" s="36"/>
      <c r="B889" s="36"/>
      <c r="C889" s="35"/>
      <c r="D889" s="36"/>
      <c r="E889" s="36"/>
      <c r="F889" s="36"/>
      <c r="G889" s="36"/>
      <c r="H889" s="35"/>
      <c r="I889" s="35"/>
      <c r="J889" s="35"/>
      <c r="K889" s="36"/>
      <c r="L889" s="36"/>
      <c r="M889" s="36"/>
      <c r="N889" s="36"/>
      <c r="O889" s="36"/>
      <c r="P889" s="36"/>
      <c r="Q889" s="36"/>
      <c r="R889" s="36"/>
      <c r="S889" s="36"/>
      <c r="T889" s="36"/>
      <c r="U889" s="36"/>
      <c r="V889" s="36"/>
      <c r="W889" s="36"/>
      <c r="X889" s="36"/>
      <c r="Y889" s="36"/>
      <c r="Z889" s="3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row>
    <row r="890" spans="1:57" ht="15.75" customHeight="1" x14ac:dyDescent="0.2">
      <c r="A890" s="36"/>
      <c r="B890" s="36"/>
      <c r="C890" s="35"/>
      <c r="D890" s="36"/>
      <c r="E890" s="36"/>
      <c r="F890" s="36"/>
      <c r="G890" s="36"/>
      <c r="H890" s="35"/>
      <c r="I890" s="35"/>
      <c r="J890" s="35"/>
      <c r="K890" s="36"/>
      <c r="L890" s="36"/>
      <c r="M890" s="36"/>
      <c r="N890" s="36"/>
      <c r="O890" s="36"/>
      <c r="P890" s="36"/>
      <c r="Q890" s="36"/>
      <c r="R890" s="36"/>
      <c r="S890" s="36"/>
      <c r="T890" s="36"/>
      <c r="U890" s="36"/>
      <c r="V890" s="36"/>
      <c r="W890" s="36"/>
      <c r="X890" s="36"/>
      <c r="Y890" s="36"/>
      <c r="Z890" s="3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row>
    <row r="891" spans="1:57" ht="15.75" customHeight="1" x14ac:dyDescent="0.2">
      <c r="A891" s="36"/>
      <c r="B891" s="36"/>
      <c r="C891" s="35"/>
      <c r="D891" s="36"/>
      <c r="E891" s="36"/>
      <c r="F891" s="36"/>
      <c r="G891" s="36"/>
      <c r="H891" s="35"/>
      <c r="I891" s="35"/>
      <c r="J891" s="35"/>
      <c r="K891" s="36"/>
      <c r="L891" s="36"/>
      <c r="M891" s="36"/>
      <c r="N891" s="36"/>
      <c r="O891" s="36"/>
      <c r="P891" s="36"/>
      <c r="Q891" s="36"/>
      <c r="R891" s="36"/>
      <c r="S891" s="36"/>
      <c r="T891" s="36"/>
      <c r="U891" s="36"/>
      <c r="V891" s="36"/>
      <c r="W891" s="36"/>
      <c r="X891" s="36"/>
      <c r="Y891" s="36"/>
      <c r="Z891" s="3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row>
    <row r="892" spans="1:57" ht="15.75" customHeight="1" x14ac:dyDescent="0.2">
      <c r="A892" s="36"/>
      <c r="B892" s="36"/>
      <c r="C892" s="35"/>
      <c r="D892" s="36"/>
      <c r="E892" s="36"/>
      <c r="F892" s="36"/>
      <c r="G892" s="36"/>
      <c r="H892" s="35"/>
      <c r="I892" s="35"/>
      <c r="J892" s="35"/>
      <c r="K892" s="36"/>
      <c r="L892" s="36"/>
      <c r="M892" s="36"/>
      <c r="N892" s="36"/>
      <c r="O892" s="36"/>
      <c r="P892" s="36"/>
      <c r="Q892" s="36"/>
      <c r="R892" s="36"/>
      <c r="S892" s="36"/>
      <c r="T892" s="36"/>
      <c r="U892" s="36"/>
      <c r="V892" s="36"/>
      <c r="W892" s="36"/>
      <c r="X892" s="36"/>
      <c r="Y892" s="36"/>
      <c r="Z892" s="3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row>
    <row r="893" spans="1:57" ht="15.75" customHeight="1" x14ac:dyDescent="0.2">
      <c r="A893" s="36"/>
      <c r="B893" s="36"/>
      <c r="C893" s="35"/>
      <c r="D893" s="36"/>
      <c r="E893" s="36"/>
      <c r="F893" s="36"/>
      <c r="G893" s="36"/>
      <c r="H893" s="35"/>
      <c r="I893" s="35"/>
      <c r="J893" s="35"/>
      <c r="K893" s="36"/>
      <c r="L893" s="36"/>
      <c r="M893" s="36"/>
      <c r="N893" s="36"/>
      <c r="O893" s="36"/>
      <c r="P893" s="36"/>
      <c r="Q893" s="36"/>
      <c r="R893" s="36"/>
      <c r="S893" s="36"/>
      <c r="T893" s="36"/>
      <c r="U893" s="36"/>
      <c r="V893" s="36"/>
      <c r="W893" s="36"/>
      <c r="X893" s="36"/>
      <c r="Y893" s="36"/>
      <c r="Z893" s="3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row>
    <row r="894" spans="1:57" ht="15.75" customHeight="1" x14ac:dyDescent="0.2">
      <c r="A894" s="36"/>
      <c r="B894" s="36"/>
      <c r="C894" s="35"/>
      <c r="D894" s="36"/>
      <c r="E894" s="36"/>
      <c r="F894" s="36"/>
      <c r="G894" s="36"/>
      <c r="H894" s="35"/>
      <c r="I894" s="35"/>
      <c r="J894" s="35"/>
      <c r="K894" s="36"/>
      <c r="L894" s="36"/>
      <c r="M894" s="36"/>
      <c r="N894" s="36"/>
      <c r="O894" s="36"/>
      <c r="P894" s="36"/>
      <c r="Q894" s="36"/>
      <c r="R894" s="36"/>
      <c r="S894" s="36"/>
      <c r="T894" s="36"/>
      <c r="U894" s="36"/>
      <c r="V894" s="36"/>
      <c r="W894" s="36"/>
      <c r="X894" s="36"/>
      <c r="Y894" s="36"/>
      <c r="Z894" s="3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row>
    <row r="895" spans="1:57" ht="15.75" customHeight="1" x14ac:dyDescent="0.2">
      <c r="A895" s="36"/>
      <c r="B895" s="36"/>
      <c r="C895" s="35"/>
      <c r="D895" s="36"/>
      <c r="E895" s="36"/>
      <c r="F895" s="36"/>
      <c r="G895" s="36"/>
      <c r="H895" s="35"/>
      <c r="I895" s="35"/>
      <c r="J895" s="35"/>
      <c r="K895" s="36"/>
      <c r="L895" s="36"/>
      <c r="M895" s="36"/>
      <c r="N895" s="36"/>
      <c r="O895" s="36"/>
      <c r="P895" s="36"/>
      <c r="Q895" s="36"/>
      <c r="R895" s="36"/>
      <c r="S895" s="36"/>
      <c r="T895" s="36"/>
      <c r="U895" s="36"/>
      <c r="V895" s="36"/>
      <c r="W895" s="36"/>
      <c r="X895" s="36"/>
      <c r="Y895" s="36"/>
      <c r="Z895" s="3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row>
    <row r="896" spans="1:57" ht="15.75" customHeight="1" x14ac:dyDescent="0.2">
      <c r="A896" s="36"/>
      <c r="B896" s="36"/>
      <c r="C896" s="35"/>
      <c r="D896" s="36"/>
      <c r="E896" s="36"/>
      <c r="F896" s="36"/>
      <c r="G896" s="36"/>
      <c r="H896" s="35"/>
      <c r="I896" s="35"/>
      <c r="J896" s="35"/>
      <c r="K896" s="36"/>
      <c r="L896" s="36"/>
      <c r="M896" s="36"/>
      <c r="N896" s="36"/>
      <c r="O896" s="36"/>
      <c r="P896" s="36"/>
      <c r="Q896" s="36"/>
      <c r="R896" s="36"/>
      <c r="S896" s="36"/>
      <c r="T896" s="36"/>
      <c r="U896" s="36"/>
      <c r="V896" s="36"/>
      <c r="W896" s="36"/>
      <c r="X896" s="36"/>
      <c r="Y896" s="36"/>
      <c r="Z896" s="3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row>
    <row r="897" spans="1:57" ht="15.75" customHeight="1" x14ac:dyDescent="0.2">
      <c r="A897" s="36"/>
      <c r="B897" s="36"/>
      <c r="C897" s="35"/>
      <c r="D897" s="36"/>
      <c r="E897" s="36"/>
      <c r="F897" s="36"/>
      <c r="G897" s="36"/>
      <c r="H897" s="35"/>
      <c r="I897" s="35"/>
      <c r="J897" s="35"/>
      <c r="K897" s="36"/>
      <c r="L897" s="36"/>
      <c r="M897" s="36"/>
      <c r="N897" s="36"/>
      <c r="O897" s="36"/>
      <c r="P897" s="36"/>
      <c r="Q897" s="36"/>
      <c r="R897" s="36"/>
      <c r="S897" s="36"/>
      <c r="T897" s="36"/>
      <c r="U897" s="36"/>
      <c r="V897" s="36"/>
      <c r="W897" s="36"/>
      <c r="X897" s="36"/>
      <c r="Y897" s="36"/>
      <c r="Z897" s="3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row>
    <row r="898" spans="1:57" ht="15.75" customHeight="1" x14ac:dyDescent="0.2">
      <c r="A898" s="36"/>
      <c r="B898" s="36"/>
      <c r="C898" s="35"/>
      <c r="D898" s="36"/>
      <c r="E898" s="36"/>
      <c r="F898" s="36"/>
      <c r="G898" s="36"/>
      <c r="H898" s="35"/>
      <c r="I898" s="35"/>
      <c r="J898" s="35"/>
      <c r="K898" s="36"/>
      <c r="L898" s="36"/>
      <c r="M898" s="36"/>
      <c r="N898" s="36"/>
      <c r="O898" s="36"/>
      <c r="P898" s="36"/>
      <c r="Q898" s="36"/>
      <c r="R898" s="36"/>
      <c r="S898" s="36"/>
      <c r="T898" s="36"/>
      <c r="U898" s="36"/>
      <c r="V898" s="36"/>
      <c r="W898" s="36"/>
      <c r="X898" s="36"/>
      <c r="Y898" s="36"/>
      <c r="Z898" s="3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row>
    <row r="899" spans="1:57" ht="15.75" customHeight="1" x14ac:dyDescent="0.2">
      <c r="A899" s="36"/>
      <c r="B899" s="36"/>
      <c r="C899" s="35"/>
      <c r="D899" s="36"/>
      <c r="E899" s="36"/>
      <c r="F899" s="36"/>
      <c r="G899" s="36"/>
      <c r="H899" s="35"/>
      <c r="I899" s="35"/>
      <c r="J899" s="35"/>
      <c r="K899" s="36"/>
      <c r="L899" s="36"/>
      <c r="M899" s="36"/>
      <c r="N899" s="36"/>
      <c r="O899" s="36"/>
      <c r="P899" s="36"/>
      <c r="Q899" s="36"/>
      <c r="R899" s="36"/>
      <c r="S899" s="36"/>
      <c r="T899" s="36"/>
      <c r="U899" s="36"/>
      <c r="V899" s="36"/>
      <c r="W899" s="36"/>
      <c r="X899" s="36"/>
      <c r="Y899" s="36"/>
      <c r="Z899" s="3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row>
    <row r="900" spans="1:57" ht="15.75" customHeight="1" x14ac:dyDescent="0.2">
      <c r="A900" s="36"/>
      <c r="B900" s="36"/>
      <c r="C900" s="35"/>
      <c r="D900" s="36"/>
      <c r="E900" s="36"/>
      <c r="F900" s="36"/>
      <c r="G900" s="36"/>
      <c r="H900" s="35"/>
      <c r="I900" s="35"/>
      <c r="J900" s="35"/>
      <c r="K900" s="36"/>
      <c r="L900" s="36"/>
      <c r="M900" s="36"/>
      <c r="N900" s="36"/>
      <c r="O900" s="36"/>
      <c r="P900" s="36"/>
      <c r="Q900" s="36"/>
      <c r="R900" s="36"/>
      <c r="S900" s="36"/>
      <c r="T900" s="36"/>
      <c r="U900" s="36"/>
      <c r="V900" s="36"/>
      <c r="W900" s="36"/>
      <c r="X900" s="36"/>
      <c r="Y900" s="36"/>
      <c r="Z900" s="3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row>
    <row r="901" spans="1:57" ht="15.75" customHeight="1" x14ac:dyDescent="0.2">
      <c r="A901" s="36"/>
      <c r="B901" s="36"/>
      <c r="C901" s="35"/>
      <c r="D901" s="36"/>
      <c r="E901" s="36"/>
      <c r="F901" s="36"/>
      <c r="G901" s="36"/>
      <c r="H901" s="35"/>
      <c r="I901" s="35"/>
      <c r="J901" s="35"/>
      <c r="K901" s="36"/>
      <c r="L901" s="36"/>
      <c r="M901" s="36"/>
      <c r="N901" s="36"/>
      <c r="O901" s="36"/>
      <c r="P901" s="36"/>
      <c r="Q901" s="36"/>
      <c r="R901" s="36"/>
      <c r="S901" s="36"/>
      <c r="T901" s="36"/>
      <c r="U901" s="36"/>
      <c r="V901" s="36"/>
      <c r="W901" s="36"/>
      <c r="X901" s="36"/>
      <c r="Y901" s="36"/>
      <c r="Z901" s="3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row>
    <row r="902" spans="1:57" ht="15.75" customHeight="1" x14ac:dyDescent="0.2">
      <c r="A902" s="36"/>
      <c r="B902" s="36"/>
      <c r="C902" s="35"/>
      <c r="D902" s="36"/>
      <c r="E902" s="36"/>
      <c r="F902" s="36"/>
      <c r="G902" s="36"/>
      <c r="H902" s="35"/>
      <c r="I902" s="35"/>
      <c r="J902" s="35"/>
      <c r="K902" s="36"/>
      <c r="L902" s="36"/>
      <c r="M902" s="36"/>
      <c r="N902" s="36"/>
      <c r="O902" s="36"/>
      <c r="P902" s="36"/>
      <c r="Q902" s="36"/>
      <c r="R902" s="36"/>
      <c r="S902" s="36"/>
      <c r="T902" s="36"/>
      <c r="U902" s="36"/>
      <c r="V902" s="36"/>
      <c r="W902" s="36"/>
      <c r="X902" s="36"/>
      <c r="Y902" s="36"/>
      <c r="Z902" s="3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row>
    <row r="903" spans="1:57" ht="15.75" customHeight="1" x14ac:dyDescent="0.2">
      <c r="A903" s="36"/>
      <c r="B903" s="36"/>
      <c r="C903" s="35"/>
      <c r="D903" s="36"/>
      <c r="E903" s="36"/>
      <c r="F903" s="36"/>
      <c r="G903" s="36"/>
      <c r="H903" s="35"/>
      <c r="I903" s="35"/>
      <c r="J903" s="35"/>
      <c r="K903" s="36"/>
      <c r="L903" s="36"/>
      <c r="M903" s="36"/>
      <c r="N903" s="36"/>
      <c r="O903" s="36"/>
      <c r="P903" s="36"/>
      <c r="Q903" s="36"/>
      <c r="R903" s="36"/>
      <c r="S903" s="36"/>
      <c r="T903" s="36"/>
      <c r="U903" s="36"/>
      <c r="V903" s="36"/>
      <c r="W903" s="36"/>
      <c r="X903" s="36"/>
      <c r="Y903" s="36"/>
      <c r="Z903" s="3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row>
    <row r="904" spans="1:57" ht="15.75" customHeight="1" x14ac:dyDescent="0.2">
      <c r="A904" s="36"/>
      <c r="B904" s="36"/>
      <c r="C904" s="35"/>
      <c r="D904" s="36"/>
      <c r="E904" s="36"/>
      <c r="F904" s="36"/>
      <c r="G904" s="36"/>
      <c r="H904" s="35"/>
      <c r="I904" s="35"/>
      <c r="J904" s="35"/>
      <c r="K904" s="36"/>
      <c r="L904" s="36"/>
      <c r="M904" s="36"/>
      <c r="N904" s="36"/>
      <c r="O904" s="36"/>
      <c r="P904" s="36"/>
      <c r="Q904" s="36"/>
      <c r="R904" s="36"/>
      <c r="S904" s="36"/>
      <c r="T904" s="36"/>
      <c r="U904" s="36"/>
      <c r="V904" s="36"/>
      <c r="W904" s="36"/>
      <c r="X904" s="36"/>
      <c r="Y904" s="36"/>
      <c r="Z904" s="3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row>
    <row r="905" spans="1:57" ht="15.75" customHeight="1" x14ac:dyDescent="0.2">
      <c r="A905" s="36"/>
      <c r="B905" s="36"/>
      <c r="C905" s="35"/>
      <c r="D905" s="36"/>
      <c r="E905" s="36"/>
      <c r="F905" s="36"/>
      <c r="G905" s="36"/>
      <c r="H905" s="35"/>
      <c r="I905" s="35"/>
      <c r="J905" s="35"/>
      <c r="K905" s="36"/>
      <c r="L905" s="36"/>
      <c r="M905" s="36"/>
      <c r="N905" s="36"/>
      <c r="O905" s="36"/>
      <c r="P905" s="36"/>
      <c r="Q905" s="36"/>
      <c r="R905" s="36"/>
      <c r="S905" s="36"/>
      <c r="T905" s="36"/>
      <c r="U905" s="36"/>
      <c r="V905" s="36"/>
      <c r="W905" s="36"/>
      <c r="X905" s="36"/>
      <c r="Y905" s="36"/>
      <c r="Z905" s="3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row>
    <row r="906" spans="1:57" ht="15.75" customHeight="1" x14ac:dyDescent="0.2">
      <c r="A906" s="36"/>
      <c r="B906" s="36"/>
      <c r="C906" s="35"/>
      <c r="D906" s="36"/>
      <c r="E906" s="36"/>
      <c r="F906" s="36"/>
      <c r="G906" s="36"/>
      <c r="H906" s="35"/>
      <c r="I906" s="35"/>
      <c r="J906" s="35"/>
      <c r="K906" s="36"/>
      <c r="L906" s="36"/>
      <c r="M906" s="36"/>
      <c r="N906" s="36"/>
      <c r="O906" s="36"/>
      <c r="P906" s="36"/>
      <c r="Q906" s="36"/>
      <c r="R906" s="36"/>
      <c r="S906" s="36"/>
      <c r="T906" s="36"/>
      <c r="U906" s="36"/>
      <c r="V906" s="36"/>
      <c r="W906" s="36"/>
      <c r="X906" s="36"/>
      <c r="Y906" s="36"/>
      <c r="Z906" s="3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row>
    <row r="907" spans="1:57" ht="15.75" customHeight="1" x14ac:dyDescent="0.2">
      <c r="A907" s="36"/>
      <c r="B907" s="36"/>
      <c r="C907" s="35"/>
      <c r="D907" s="36"/>
      <c r="E907" s="36"/>
      <c r="F907" s="36"/>
      <c r="G907" s="36"/>
      <c r="H907" s="35"/>
      <c r="I907" s="35"/>
      <c r="J907" s="35"/>
      <c r="K907" s="36"/>
      <c r="L907" s="36"/>
      <c r="M907" s="36"/>
      <c r="N907" s="36"/>
      <c r="O907" s="36"/>
      <c r="P907" s="36"/>
      <c r="Q907" s="36"/>
      <c r="R907" s="36"/>
      <c r="S907" s="36"/>
      <c r="T907" s="36"/>
      <c r="U907" s="36"/>
      <c r="V907" s="36"/>
      <c r="W907" s="36"/>
      <c r="X907" s="36"/>
      <c r="Y907" s="36"/>
      <c r="Z907" s="3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row>
    <row r="908" spans="1:57" ht="15.75" customHeight="1" x14ac:dyDescent="0.2">
      <c r="A908" s="36"/>
      <c r="B908" s="36"/>
      <c r="C908" s="35"/>
      <c r="D908" s="36"/>
      <c r="E908" s="36"/>
      <c r="F908" s="36"/>
      <c r="G908" s="36"/>
      <c r="H908" s="35"/>
      <c r="I908" s="35"/>
      <c r="J908" s="35"/>
      <c r="K908" s="36"/>
      <c r="L908" s="36"/>
      <c r="M908" s="36"/>
      <c r="N908" s="36"/>
      <c r="O908" s="36"/>
      <c r="P908" s="36"/>
      <c r="Q908" s="36"/>
      <c r="R908" s="36"/>
      <c r="S908" s="36"/>
      <c r="T908" s="36"/>
      <c r="U908" s="36"/>
      <c r="V908" s="36"/>
      <c r="W908" s="36"/>
      <c r="X908" s="36"/>
      <c r="Y908" s="36"/>
      <c r="Z908" s="3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row>
    <row r="909" spans="1:57" ht="15.75" customHeight="1" x14ac:dyDescent="0.2">
      <c r="A909" s="36"/>
      <c r="B909" s="36"/>
      <c r="C909" s="35"/>
      <c r="D909" s="36"/>
      <c r="E909" s="36"/>
      <c r="F909" s="36"/>
      <c r="G909" s="36"/>
      <c r="H909" s="35"/>
      <c r="I909" s="35"/>
      <c r="J909" s="35"/>
      <c r="K909" s="36"/>
      <c r="L909" s="36"/>
      <c r="M909" s="36"/>
      <c r="N909" s="36"/>
      <c r="O909" s="36"/>
      <c r="P909" s="36"/>
      <c r="Q909" s="36"/>
      <c r="R909" s="36"/>
      <c r="S909" s="36"/>
      <c r="T909" s="36"/>
      <c r="U909" s="36"/>
      <c r="V909" s="36"/>
      <c r="W909" s="36"/>
      <c r="X909" s="36"/>
      <c r="Y909" s="36"/>
      <c r="Z909" s="3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row>
    <row r="910" spans="1:57" ht="15.75" customHeight="1" x14ac:dyDescent="0.2">
      <c r="A910" s="36"/>
      <c r="B910" s="36"/>
      <c r="C910" s="35"/>
      <c r="D910" s="36"/>
      <c r="E910" s="36"/>
      <c r="F910" s="36"/>
      <c r="G910" s="36"/>
      <c r="H910" s="35"/>
      <c r="I910" s="35"/>
      <c r="J910" s="35"/>
      <c r="K910" s="36"/>
      <c r="L910" s="36"/>
      <c r="M910" s="36"/>
      <c r="N910" s="36"/>
      <c r="O910" s="36"/>
      <c r="P910" s="36"/>
      <c r="Q910" s="36"/>
      <c r="R910" s="36"/>
      <c r="S910" s="36"/>
      <c r="T910" s="36"/>
      <c r="U910" s="36"/>
      <c r="V910" s="36"/>
      <c r="W910" s="36"/>
      <c r="X910" s="36"/>
      <c r="Y910" s="36"/>
      <c r="Z910" s="3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row>
    <row r="911" spans="1:57" ht="15.75" customHeight="1" x14ac:dyDescent="0.2">
      <c r="A911" s="36"/>
      <c r="B911" s="36"/>
      <c r="C911" s="35"/>
      <c r="D911" s="36"/>
      <c r="E911" s="36"/>
      <c r="F911" s="36"/>
      <c r="G911" s="36"/>
      <c r="H911" s="35"/>
      <c r="I911" s="35"/>
      <c r="J911" s="35"/>
      <c r="K911" s="36"/>
      <c r="L911" s="36"/>
      <c r="M911" s="36"/>
      <c r="N911" s="36"/>
      <c r="O911" s="36"/>
      <c r="P911" s="36"/>
      <c r="Q911" s="36"/>
      <c r="R911" s="36"/>
      <c r="S911" s="36"/>
      <c r="T911" s="36"/>
      <c r="U911" s="36"/>
      <c r="V911" s="36"/>
      <c r="W911" s="36"/>
      <c r="X911" s="36"/>
      <c r="Y911" s="36"/>
      <c r="Z911" s="3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row>
    <row r="912" spans="1:57" ht="15.75" customHeight="1" x14ac:dyDescent="0.2">
      <c r="A912" s="36"/>
      <c r="B912" s="36"/>
      <c r="C912" s="35"/>
      <c r="D912" s="36"/>
      <c r="E912" s="36"/>
      <c r="F912" s="36"/>
      <c r="G912" s="36"/>
      <c r="H912" s="35"/>
      <c r="I912" s="35"/>
      <c r="J912" s="35"/>
      <c r="K912" s="36"/>
      <c r="L912" s="36"/>
      <c r="M912" s="36"/>
      <c r="N912" s="36"/>
      <c r="O912" s="36"/>
      <c r="P912" s="36"/>
      <c r="Q912" s="36"/>
      <c r="R912" s="36"/>
      <c r="S912" s="36"/>
      <c r="T912" s="36"/>
      <c r="U912" s="36"/>
      <c r="V912" s="36"/>
      <c r="W912" s="36"/>
      <c r="X912" s="36"/>
      <c r="Y912" s="36"/>
      <c r="Z912" s="3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row>
    <row r="913" spans="1:57" ht="15.75" customHeight="1" x14ac:dyDescent="0.2">
      <c r="A913" s="36"/>
      <c r="B913" s="36"/>
      <c r="C913" s="35"/>
      <c r="D913" s="36"/>
      <c r="E913" s="36"/>
      <c r="F913" s="36"/>
      <c r="G913" s="36"/>
      <c r="H913" s="35"/>
      <c r="I913" s="35"/>
      <c r="J913" s="35"/>
      <c r="K913" s="36"/>
      <c r="L913" s="36"/>
      <c r="M913" s="36"/>
      <c r="N913" s="36"/>
      <c r="O913" s="36"/>
      <c r="P913" s="36"/>
      <c r="Q913" s="36"/>
      <c r="R913" s="36"/>
      <c r="S913" s="36"/>
      <c r="T913" s="36"/>
      <c r="U913" s="36"/>
      <c r="V913" s="36"/>
      <c r="W913" s="36"/>
      <c r="X913" s="36"/>
      <c r="Y913" s="36"/>
      <c r="Z913" s="3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row>
    <row r="914" spans="1:57" ht="15.75" customHeight="1" x14ac:dyDescent="0.2">
      <c r="A914" s="36"/>
      <c r="B914" s="36"/>
      <c r="C914" s="35"/>
      <c r="D914" s="36"/>
      <c r="E914" s="36"/>
      <c r="F914" s="36"/>
      <c r="G914" s="36"/>
      <c r="H914" s="35"/>
      <c r="I914" s="35"/>
      <c r="J914" s="35"/>
      <c r="K914" s="36"/>
      <c r="L914" s="36"/>
      <c r="M914" s="36"/>
      <c r="N914" s="36"/>
      <c r="O914" s="36"/>
      <c r="P914" s="36"/>
      <c r="Q914" s="36"/>
      <c r="R914" s="36"/>
      <c r="S914" s="36"/>
      <c r="T914" s="36"/>
      <c r="U914" s="36"/>
      <c r="V914" s="36"/>
      <c r="W914" s="36"/>
      <c r="X914" s="36"/>
      <c r="Y914" s="36"/>
      <c r="Z914" s="3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row>
    <row r="915" spans="1:57" ht="15.75" customHeight="1" x14ac:dyDescent="0.2">
      <c r="A915" s="36"/>
      <c r="B915" s="36"/>
      <c r="C915" s="35"/>
      <c r="D915" s="36"/>
      <c r="E915" s="36"/>
      <c r="F915" s="36"/>
      <c r="G915" s="36"/>
      <c r="H915" s="35"/>
      <c r="I915" s="35"/>
      <c r="J915" s="35"/>
      <c r="K915" s="36"/>
      <c r="L915" s="36"/>
      <c r="M915" s="36"/>
      <c r="N915" s="36"/>
      <c r="O915" s="36"/>
      <c r="P915" s="36"/>
      <c r="Q915" s="36"/>
      <c r="R915" s="36"/>
      <c r="S915" s="36"/>
      <c r="T915" s="36"/>
      <c r="U915" s="36"/>
      <c r="V915" s="36"/>
      <c r="W915" s="36"/>
      <c r="X915" s="36"/>
      <c r="Y915" s="36"/>
      <c r="Z915" s="3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row>
    <row r="916" spans="1:57" ht="15.75" customHeight="1" x14ac:dyDescent="0.2">
      <c r="A916" s="36"/>
      <c r="B916" s="36"/>
      <c r="C916" s="35"/>
      <c r="D916" s="36"/>
      <c r="E916" s="36"/>
      <c r="F916" s="36"/>
      <c r="G916" s="36"/>
      <c r="H916" s="35"/>
      <c r="I916" s="35"/>
      <c r="J916" s="35"/>
      <c r="K916" s="36"/>
      <c r="L916" s="36"/>
      <c r="M916" s="36"/>
      <c r="N916" s="36"/>
      <c r="O916" s="36"/>
      <c r="P916" s="36"/>
      <c r="Q916" s="36"/>
      <c r="R916" s="36"/>
      <c r="S916" s="36"/>
      <c r="T916" s="36"/>
      <c r="U916" s="36"/>
      <c r="V916" s="36"/>
      <c r="W916" s="36"/>
      <c r="X916" s="36"/>
      <c r="Y916" s="36"/>
      <c r="Z916" s="3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row>
    <row r="917" spans="1:57" ht="15.75" customHeight="1" x14ac:dyDescent="0.2">
      <c r="A917" s="36"/>
      <c r="B917" s="36"/>
      <c r="C917" s="35"/>
      <c r="D917" s="36"/>
      <c r="E917" s="36"/>
      <c r="F917" s="36"/>
      <c r="G917" s="36"/>
      <c r="H917" s="35"/>
      <c r="I917" s="35"/>
      <c r="J917" s="35"/>
      <c r="K917" s="36"/>
      <c r="L917" s="36"/>
      <c r="M917" s="36"/>
      <c r="N917" s="36"/>
      <c r="O917" s="36"/>
      <c r="P917" s="36"/>
      <c r="Q917" s="36"/>
      <c r="R917" s="36"/>
      <c r="S917" s="36"/>
      <c r="T917" s="36"/>
      <c r="U917" s="36"/>
      <c r="V917" s="36"/>
      <c r="W917" s="36"/>
      <c r="X917" s="36"/>
      <c r="Y917" s="36"/>
      <c r="Z917" s="3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row>
    <row r="918" spans="1:57" ht="15.75" customHeight="1" x14ac:dyDescent="0.2">
      <c r="A918" s="36"/>
      <c r="B918" s="36"/>
      <c r="C918" s="35"/>
      <c r="D918" s="36"/>
      <c r="E918" s="36"/>
      <c r="F918" s="36"/>
      <c r="G918" s="36"/>
      <c r="H918" s="35"/>
      <c r="I918" s="35"/>
      <c r="J918" s="35"/>
      <c r="K918" s="36"/>
      <c r="L918" s="36"/>
      <c r="M918" s="36"/>
      <c r="N918" s="36"/>
      <c r="O918" s="36"/>
      <c r="P918" s="36"/>
      <c r="Q918" s="36"/>
      <c r="R918" s="36"/>
      <c r="S918" s="36"/>
      <c r="T918" s="36"/>
      <c r="U918" s="36"/>
      <c r="V918" s="36"/>
      <c r="W918" s="36"/>
      <c r="X918" s="36"/>
      <c r="Y918" s="36"/>
      <c r="Z918" s="3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row>
    <row r="919" spans="1:57" ht="15.75" customHeight="1" x14ac:dyDescent="0.2">
      <c r="A919" s="36"/>
      <c r="B919" s="36"/>
      <c r="C919" s="35"/>
      <c r="D919" s="36"/>
      <c r="E919" s="36"/>
      <c r="F919" s="36"/>
      <c r="G919" s="36"/>
      <c r="H919" s="35"/>
      <c r="I919" s="35"/>
      <c r="J919" s="35"/>
      <c r="K919" s="36"/>
      <c r="L919" s="36"/>
      <c r="M919" s="36"/>
      <c r="N919" s="36"/>
      <c r="O919" s="36"/>
      <c r="P919" s="36"/>
      <c r="Q919" s="36"/>
      <c r="R919" s="36"/>
      <c r="S919" s="36"/>
      <c r="T919" s="36"/>
      <c r="U919" s="36"/>
      <c r="V919" s="36"/>
      <c r="W919" s="36"/>
      <c r="X919" s="36"/>
      <c r="Y919" s="36"/>
      <c r="Z919" s="3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row>
    <row r="920" spans="1:57" ht="15.75" customHeight="1" x14ac:dyDescent="0.2">
      <c r="A920" s="36"/>
      <c r="B920" s="36"/>
      <c r="C920" s="35"/>
      <c r="D920" s="36"/>
      <c r="E920" s="36"/>
      <c r="F920" s="36"/>
      <c r="G920" s="36"/>
      <c r="H920" s="35"/>
      <c r="I920" s="35"/>
      <c r="J920" s="35"/>
      <c r="K920" s="36"/>
      <c r="L920" s="36"/>
      <c r="M920" s="36"/>
      <c r="N920" s="36"/>
      <c r="O920" s="36"/>
      <c r="P920" s="36"/>
      <c r="Q920" s="36"/>
      <c r="R920" s="36"/>
      <c r="S920" s="36"/>
      <c r="T920" s="36"/>
      <c r="U920" s="36"/>
      <c r="V920" s="36"/>
      <c r="W920" s="36"/>
      <c r="X920" s="36"/>
      <c r="Y920" s="36"/>
      <c r="Z920" s="3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row>
    <row r="921" spans="1:57" ht="15.75" customHeight="1" x14ac:dyDescent="0.2">
      <c r="A921" s="36"/>
      <c r="B921" s="36"/>
      <c r="C921" s="35"/>
      <c r="D921" s="36"/>
      <c r="E921" s="36"/>
      <c r="F921" s="36"/>
      <c r="G921" s="36"/>
      <c r="H921" s="35"/>
      <c r="I921" s="35"/>
      <c r="J921" s="35"/>
      <c r="K921" s="36"/>
      <c r="L921" s="36"/>
      <c r="M921" s="36"/>
      <c r="N921" s="36"/>
      <c r="O921" s="36"/>
      <c r="P921" s="36"/>
      <c r="Q921" s="36"/>
      <c r="R921" s="36"/>
      <c r="S921" s="36"/>
      <c r="T921" s="36"/>
      <c r="U921" s="36"/>
      <c r="V921" s="36"/>
      <c r="W921" s="36"/>
      <c r="X921" s="36"/>
      <c r="Y921" s="36"/>
      <c r="Z921" s="3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row>
    <row r="922" spans="1:57" ht="15.75" customHeight="1" x14ac:dyDescent="0.2">
      <c r="A922" s="36"/>
      <c r="B922" s="36"/>
      <c r="C922" s="35"/>
      <c r="D922" s="36"/>
      <c r="E922" s="36"/>
      <c r="F922" s="36"/>
      <c r="G922" s="36"/>
      <c r="H922" s="35"/>
      <c r="I922" s="35"/>
      <c r="J922" s="35"/>
      <c r="K922" s="36"/>
      <c r="L922" s="36"/>
      <c r="M922" s="36"/>
      <c r="N922" s="36"/>
      <c r="O922" s="36"/>
      <c r="P922" s="36"/>
      <c r="Q922" s="36"/>
      <c r="R922" s="36"/>
      <c r="S922" s="36"/>
      <c r="T922" s="36"/>
      <c r="U922" s="36"/>
      <c r="V922" s="36"/>
      <c r="W922" s="36"/>
      <c r="X922" s="36"/>
      <c r="Y922" s="36"/>
      <c r="Z922" s="3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row>
    <row r="923" spans="1:57" ht="15.75" customHeight="1" x14ac:dyDescent="0.2">
      <c r="A923" s="36"/>
      <c r="B923" s="36"/>
      <c r="C923" s="35"/>
      <c r="D923" s="36"/>
      <c r="E923" s="36"/>
      <c r="F923" s="36"/>
      <c r="G923" s="36"/>
      <c r="H923" s="35"/>
      <c r="I923" s="35"/>
      <c r="J923" s="35"/>
      <c r="K923" s="36"/>
      <c r="L923" s="36"/>
      <c r="M923" s="36"/>
      <c r="N923" s="36"/>
      <c r="O923" s="36"/>
      <c r="P923" s="36"/>
      <c r="Q923" s="36"/>
      <c r="R923" s="36"/>
      <c r="S923" s="36"/>
      <c r="T923" s="36"/>
      <c r="U923" s="36"/>
      <c r="V923" s="36"/>
      <c r="W923" s="36"/>
      <c r="X923" s="36"/>
      <c r="Y923" s="36"/>
      <c r="Z923" s="3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row>
    <row r="924" spans="1:57" ht="15.75" customHeight="1" x14ac:dyDescent="0.2">
      <c r="A924" s="36"/>
      <c r="B924" s="36"/>
      <c r="C924" s="35"/>
      <c r="D924" s="36"/>
      <c r="E924" s="36"/>
      <c r="F924" s="36"/>
      <c r="G924" s="36"/>
      <c r="H924" s="35"/>
      <c r="I924" s="35"/>
      <c r="J924" s="35"/>
      <c r="K924" s="36"/>
      <c r="L924" s="36"/>
      <c r="M924" s="36"/>
      <c r="N924" s="36"/>
      <c r="O924" s="36"/>
      <c r="P924" s="36"/>
      <c r="Q924" s="36"/>
      <c r="R924" s="36"/>
      <c r="S924" s="36"/>
      <c r="T924" s="36"/>
      <c r="U924" s="36"/>
      <c r="V924" s="36"/>
      <c r="W924" s="36"/>
      <c r="X924" s="36"/>
      <c r="Y924" s="36"/>
      <c r="Z924" s="3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row>
    <row r="925" spans="1:57" ht="15.75" customHeight="1" x14ac:dyDescent="0.2">
      <c r="A925" s="36"/>
      <c r="B925" s="36"/>
      <c r="C925" s="35"/>
      <c r="D925" s="36"/>
      <c r="E925" s="36"/>
      <c r="F925" s="36"/>
      <c r="G925" s="36"/>
      <c r="H925" s="35"/>
      <c r="I925" s="35"/>
      <c r="J925" s="35"/>
      <c r="K925" s="36"/>
      <c r="L925" s="36"/>
      <c r="M925" s="36"/>
      <c r="N925" s="36"/>
      <c r="O925" s="36"/>
      <c r="P925" s="36"/>
      <c r="Q925" s="36"/>
      <c r="R925" s="36"/>
      <c r="S925" s="36"/>
      <c r="T925" s="36"/>
      <c r="U925" s="36"/>
      <c r="V925" s="36"/>
      <c r="W925" s="36"/>
      <c r="X925" s="36"/>
      <c r="Y925" s="36"/>
      <c r="Z925" s="3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row>
    <row r="926" spans="1:57" ht="15.75" customHeight="1" x14ac:dyDescent="0.2">
      <c r="A926" s="36"/>
      <c r="B926" s="36"/>
      <c r="C926" s="35"/>
      <c r="D926" s="36"/>
      <c r="E926" s="36"/>
      <c r="F926" s="36"/>
      <c r="G926" s="36"/>
      <c r="H926" s="35"/>
      <c r="I926" s="35"/>
      <c r="J926" s="35"/>
      <c r="K926" s="36"/>
      <c r="L926" s="36"/>
      <c r="M926" s="36"/>
      <c r="N926" s="36"/>
      <c r="O926" s="36"/>
      <c r="P926" s="36"/>
      <c r="Q926" s="36"/>
      <c r="R926" s="36"/>
      <c r="S926" s="36"/>
      <c r="T926" s="36"/>
      <c r="U926" s="36"/>
      <c r="V926" s="36"/>
      <c r="W926" s="36"/>
      <c r="X926" s="36"/>
      <c r="Y926" s="36"/>
      <c r="Z926" s="3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row>
    <row r="927" spans="1:57" ht="15.75" customHeight="1" x14ac:dyDescent="0.2">
      <c r="A927" s="36"/>
      <c r="B927" s="36"/>
      <c r="C927" s="35"/>
      <c r="D927" s="36"/>
      <c r="E927" s="36"/>
      <c r="F927" s="36"/>
      <c r="G927" s="36"/>
      <c r="H927" s="35"/>
      <c r="I927" s="35"/>
      <c r="J927" s="35"/>
      <c r="K927" s="36"/>
      <c r="L927" s="36"/>
      <c r="M927" s="36"/>
      <c r="N927" s="36"/>
      <c r="O927" s="36"/>
      <c r="P927" s="36"/>
      <c r="Q927" s="36"/>
      <c r="R927" s="36"/>
      <c r="S927" s="36"/>
      <c r="T927" s="36"/>
      <c r="U927" s="36"/>
      <c r="V927" s="36"/>
      <c r="W927" s="36"/>
      <c r="X927" s="36"/>
      <c r="Y927" s="36"/>
      <c r="Z927" s="3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row>
    <row r="928" spans="1:57" ht="15.75" customHeight="1" x14ac:dyDescent="0.2">
      <c r="A928" s="36"/>
      <c r="B928" s="36"/>
      <c r="C928" s="35"/>
      <c r="D928" s="36"/>
      <c r="E928" s="36"/>
      <c r="F928" s="36"/>
      <c r="G928" s="36"/>
      <c r="H928" s="35"/>
      <c r="I928" s="35"/>
      <c r="J928" s="35"/>
      <c r="K928" s="36"/>
      <c r="L928" s="36"/>
      <c r="M928" s="36"/>
      <c r="N928" s="36"/>
      <c r="O928" s="36"/>
      <c r="P928" s="36"/>
      <c r="Q928" s="36"/>
      <c r="R928" s="36"/>
      <c r="S928" s="36"/>
      <c r="T928" s="36"/>
      <c r="U928" s="36"/>
      <c r="V928" s="36"/>
      <c r="W928" s="36"/>
      <c r="X928" s="36"/>
      <c r="Y928" s="36"/>
      <c r="Z928" s="3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row>
    <row r="929" spans="1:57" ht="15.75" customHeight="1" x14ac:dyDescent="0.2">
      <c r="A929" s="36"/>
      <c r="B929" s="36"/>
      <c r="C929" s="35"/>
      <c r="D929" s="36"/>
      <c r="E929" s="36"/>
      <c r="F929" s="36"/>
      <c r="G929" s="36"/>
      <c r="H929" s="35"/>
      <c r="I929" s="35"/>
      <c r="J929" s="35"/>
      <c r="K929" s="36"/>
      <c r="L929" s="36"/>
      <c r="M929" s="36"/>
      <c r="N929" s="36"/>
      <c r="O929" s="36"/>
      <c r="P929" s="36"/>
      <c r="Q929" s="36"/>
      <c r="R929" s="36"/>
      <c r="S929" s="36"/>
      <c r="T929" s="36"/>
      <c r="U929" s="36"/>
      <c r="V929" s="36"/>
      <c r="W929" s="36"/>
      <c r="X929" s="36"/>
      <c r="Y929" s="36"/>
      <c r="Z929" s="3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row>
    <row r="930" spans="1:57" ht="15.75" customHeight="1" x14ac:dyDescent="0.2">
      <c r="A930" s="36"/>
      <c r="B930" s="36"/>
      <c r="C930" s="35"/>
      <c r="D930" s="36"/>
      <c r="E930" s="36"/>
      <c r="F930" s="36"/>
      <c r="G930" s="36"/>
      <c r="H930" s="35"/>
      <c r="I930" s="35"/>
      <c r="J930" s="35"/>
      <c r="K930" s="36"/>
      <c r="L930" s="36"/>
      <c r="M930" s="36"/>
      <c r="N930" s="36"/>
      <c r="O930" s="36"/>
      <c r="P930" s="36"/>
      <c r="Q930" s="36"/>
      <c r="R930" s="36"/>
      <c r="S930" s="36"/>
      <c r="T930" s="36"/>
      <c r="U930" s="36"/>
      <c r="V930" s="36"/>
      <c r="W930" s="36"/>
      <c r="X930" s="36"/>
      <c r="Y930" s="36"/>
      <c r="Z930" s="3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row>
    <row r="931" spans="1:57" ht="15.75" customHeight="1" x14ac:dyDescent="0.2">
      <c r="A931" s="36"/>
      <c r="B931" s="36"/>
      <c r="C931" s="35"/>
      <c r="D931" s="36"/>
      <c r="E931" s="36"/>
      <c r="F931" s="36"/>
      <c r="G931" s="36"/>
      <c r="H931" s="35"/>
      <c r="I931" s="35"/>
      <c r="J931" s="35"/>
      <c r="K931" s="36"/>
      <c r="L931" s="36"/>
      <c r="M931" s="36"/>
      <c r="N931" s="36"/>
      <c r="O931" s="36"/>
      <c r="P931" s="36"/>
      <c r="Q931" s="36"/>
      <c r="R931" s="36"/>
      <c r="S931" s="36"/>
      <c r="T931" s="36"/>
      <c r="U931" s="36"/>
      <c r="V931" s="36"/>
      <c r="W931" s="36"/>
      <c r="X931" s="36"/>
      <c r="Y931" s="36"/>
      <c r="Z931" s="3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row>
    <row r="932" spans="1:57" ht="15.75" customHeight="1" x14ac:dyDescent="0.2">
      <c r="A932" s="36"/>
      <c r="B932" s="36"/>
      <c r="C932" s="35"/>
      <c r="D932" s="36"/>
      <c r="E932" s="36"/>
      <c r="F932" s="36"/>
      <c r="G932" s="36"/>
      <c r="H932" s="35"/>
      <c r="I932" s="35"/>
      <c r="J932" s="35"/>
      <c r="K932" s="36"/>
      <c r="L932" s="36"/>
      <c r="M932" s="36"/>
      <c r="N932" s="36"/>
      <c r="O932" s="36"/>
      <c r="P932" s="36"/>
      <c r="Q932" s="36"/>
      <c r="R932" s="36"/>
      <c r="S932" s="36"/>
      <c r="T932" s="36"/>
      <c r="U932" s="36"/>
      <c r="V932" s="36"/>
      <c r="W932" s="36"/>
      <c r="X932" s="36"/>
      <c r="Y932" s="36"/>
      <c r="Z932" s="3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row>
    <row r="933" spans="1:57" ht="15.75" customHeight="1" x14ac:dyDescent="0.2">
      <c r="A933" s="36"/>
      <c r="B933" s="36"/>
      <c r="C933" s="35"/>
      <c r="D933" s="36"/>
      <c r="E933" s="36"/>
      <c r="F933" s="36"/>
      <c r="G933" s="36"/>
      <c r="H933" s="35"/>
      <c r="I933" s="35"/>
      <c r="J933" s="35"/>
      <c r="K933" s="36"/>
      <c r="L933" s="36"/>
      <c r="M933" s="36"/>
      <c r="N933" s="36"/>
      <c r="O933" s="36"/>
      <c r="P933" s="36"/>
      <c r="Q933" s="36"/>
      <c r="R933" s="36"/>
      <c r="S933" s="36"/>
      <c r="T933" s="36"/>
      <c r="U933" s="36"/>
      <c r="V933" s="36"/>
      <c r="W933" s="36"/>
      <c r="X933" s="36"/>
      <c r="Y933" s="36"/>
      <c r="Z933" s="3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row>
    <row r="934" spans="1:57" ht="15.75" customHeight="1" x14ac:dyDescent="0.2">
      <c r="A934" s="36"/>
      <c r="B934" s="36"/>
      <c r="C934" s="35"/>
      <c r="D934" s="36"/>
      <c r="E934" s="36"/>
      <c r="F934" s="36"/>
      <c r="G934" s="36"/>
      <c r="H934" s="35"/>
      <c r="I934" s="35"/>
      <c r="J934" s="35"/>
      <c r="K934" s="36"/>
      <c r="L934" s="36"/>
      <c r="M934" s="36"/>
      <c r="N934" s="36"/>
      <c r="O934" s="36"/>
      <c r="P934" s="36"/>
      <c r="Q934" s="36"/>
      <c r="R934" s="36"/>
      <c r="S934" s="36"/>
      <c r="T934" s="36"/>
      <c r="U934" s="36"/>
      <c r="V934" s="36"/>
      <c r="W934" s="36"/>
      <c r="X934" s="36"/>
      <c r="Y934" s="36"/>
      <c r="Z934" s="3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row>
    <row r="935" spans="1:57" ht="15.75" customHeight="1" x14ac:dyDescent="0.2">
      <c r="A935" s="36"/>
      <c r="B935" s="36"/>
      <c r="C935" s="35"/>
      <c r="D935" s="36"/>
      <c r="E935" s="36"/>
      <c r="F935" s="36"/>
      <c r="G935" s="36"/>
      <c r="H935" s="35"/>
      <c r="I935" s="35"/>
      <c r="J935" s="35"/>
      <c r="K935" s="36"/>
      <c r="L935" s="36"/>
      <c r="M935" s="36"/>
      <c r="N935" s="36"/>
      <c r="O935" s="36"/>
      <c r="P935" s="36"/>
      <c r="Q935" s="36"/>
      <c r="R935" s="36"/>
      <c r="S935" s="36"/>
      <c r="T935" s="36"/>
      <c r="U935" s="36"/>
      <c r="V935" s="36"/>
      <c r="W935" s="36"/>
      <c r="X935" s="36"/>
      <c r="Y935" s="36"/>
      <c r="Z935" s="3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row>
    <row r="936" spans="1:57" ht="15.75" customHeight="1" x14ac:dyDescent="0.2">
      <c r="A936" s="36"/>
      <c r="B936" s="36"/>
      <c r="C936" s="35"/>
      <c r="D936" s="36"/>
      <c r="E936" s="36"/>
      <c r="F936" s="36"/>
      <c r="G936" s="36"/>
      <c r="H936" s="35"/>
      <c r="I936" s="35"/>
      <c r="J936" s="35"/>
      <c r="K936" s="36"/>
      <c r="L936" s="36"/>
      <c r="M936" s="36"/>
      <c r="N936" s="36"/>
      <c r="O936" s="36"/>
      <c r="P936" s="36"/>
      <c r="Q936" s="36"/>
      <c r="R936" s="36"/>
      <c r="S936" s="36"/>
      <c r="T936" s="36"/>
      <c r="U936" s="36"/>
      <c r="V936" s="36"/>
      <c r="W936" s="36"/>
      <c r="X936" s="36"/>
      <c r="Y936" s="36"/>
      <c r="Z936" s="3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row>
    <row r="937" spans="1:57" ht="15.75" customHeight="1" x14ac:dyDescent="0.2">
      <c r="A937" s="36"/>
      <c r="B937" s="36"/>
      <c r="C937" s="35"/>
      <c r="D937" s="36"/>
      <c r="E937" s="36"/>
      <c r="F937" s="36"/>
      <c r="G937" s="36"/>
      <c r="H937" s="35"/>
      <c r="I937" s="35"/>
      <c r="J937" s="35"/>
      <c r="K937" s="36"/>
      <c r="L937" s="36"/>
      <c r="M937" s="36"/>
      <c r="N937" s="36"/>
      <c r="O937" s="36"/>
      <c r="P937" s="36"/>
      <c r="Q937" s="36"/>
      <c r="R937" s="36"/>
      <c r="S937" s="36"/>
      <c r="T937" s="36"/>
      <c r="U937" s="36"/>
      <c r="V937" s="36"/>
      <c r="W937" s="36"/>
      <c r="X937" s="36"/>
      <c r="Y937" s="36"/>
      <c r="Z937" s="3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row>
    <row r="938" spans="1:57" ht="15.75" customHeight="1" x14ac:dyDescent="0.2">
      <c r="A938" s="36"/>
      <c r="B938" s="36"/>
      <c r="C938" s="35"/>
      <c r="D938" s="36"/>
      <c r="E938" s="36"/>
      <c r="F938" s="36"/>
      <c r="G938" s="36"/>
      <c r="H938" s="35"/>
      <c r="I938" s="35"/>
      <c r="J938" s="35"/>
      <c r="K938" s="36"/>
      <c r="L938" s="36"/>
      <c r="M938" s="36"/>
      <c r="N938" s="36"/>
      <c r="O938" s="36"/>
      <c r="P938" s="36"/>
      <c r="Q938" s="36"/>
      <c r="R938" s="36"/>
      <c r="S938" s="36"/>
      <c r="T938" s="36"/>
      <c r="U938" s="36"/>
      <c r="V938" s="36"/>
      <c r="W938" s="36"/>
      <c r="X938" s="36"/>
      <c r="Y938" s="36"/>
      <c r="Z938" s="3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row>
    <row r="939" spans="1:57" ht="15.75" customHeight="1" x14ac:dyDescent="0.2">
      <c r="A939" s="36"/>
      <c r="B939" s="36"/>
      <c r="C939" s="35"/>
      <c r="D939" s="36"/>
      <c r="E939" s="36"/>
      <c r="F939" s="36"/>
      <c r="G939" s="36"/>
      <c r="H939" s="35"/>
      <c r="I939" s="35"/>
      <c r="J939" s="35"/>
      <c r="K939" s="36"/>
      <c r="L939" s="36"/>
      <c r="M939" s="36"/>
      <c r="N939" s="36"/>
      <c r="O939" s="36"/>
      <c r="P939" s="36"/>
      <c r="Q939" s="36"/>
      <c r="R939" s="36"/>
      <c r="S939" s="36"/>
      <c r="T939" s="36"/>
      <c r="U939" s="36"/>
      <c r="V939" s="36"/>
      <c r="W939" s="36"/>
      <c r="X939" s="36"/>
      <c r="Y939" s="36"/>
      <c r="Z939" s="3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row>
    <row r="940" spans="1:57" ht="15.75" customHeight="1" x14ac:dyDescent="0.2">
      <c r="A940" s="36"/>
      <c r="B940" s="36"/>
      <c r="C940" s="35"/>
      <c r="D940" s="36"/>
      <c r="E940" s="36"/>
      <c r="F940" s="36"/>
      <c r="G940" s="36"/>
      <c r="H940" s="35"/>
      <c r="I940" s="35"/>
      <c r="J940" s="35"/>
      <c r="K940" s="36"/>
      <c r="L940" s="36"/>
      <c r="M940" s="36"/>
      <c r="N940" s="36"/>
      <c r="O940" s="36"/>
      <c r="P940" s="36"/>
      <c r="Q940" s="36"/>
      <c r="R940" s="36"/>
      <c r="S940" s="36"/>
      <c r="T940" s="36"/>
      <c r="U940" s="36"/>
      <c r="V940" s="36"/>
      <c r="W940" s="36"/>
      <c r="X940" s="36"/>
      <c r="Y940" s="36"/>
      <c r="Z940" s="3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row>
    <row r="941" spans="1:57" ht="15.75" customHeight="1" x14ac:dyDescent="0.2">
      <c r="A941" s="36"/>
      <c r="B941" s="36"/>
      <c r="C941" s="35"/>
      <c r="D941" s="36"/>
      <c r="E941" s="36"/>
      <c r="F941" s="36"/>
      <c r="G941" s="36"/>
      <c r="H941" s="35"/>
      <c r="I941" s="35"/>
      <c r="J941" s="35"/>
      <c r="K941" s="36"/>
      <c r="L941" s="36"/>
      <c r="M941" s="36"/>
      <c r="N941" s="36"/>
      <c r="O941" s="36"/>
      <c r="P941" s="36"/>
      <c r="Q941" s="36"/>
      <c r="R941" s="36"/>
      <c r="S941" s="36"/>
      <c r="T941" s="36"/>
      <c r="U941" s="36"/>
      <c r="V941" s="36"/>
      <c r="W941" s="36"/>
      <c r="X941" s="36"/>
      <c r="Y941" s="36"/>
      <c r="Z941" s="3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row>
    <row r="942" spans="1:57" ht="15.75" customHeight="1" x14ac:dyDescent="0.2">
      <c r="A942" s="36"/>
      <c r="B942" s="36"/>
      <c r="C942" s="35"/>
      <c r="D942" s="36"/>
      <c r="E942" s="36"/>
      <c r="F942" s="36"/>
      <c r="G942" s="36"/>
      <c r="H942" s="35"/>
      <c r="I942" s="35"/>
      <c r="J942" s="35"/>
      <c r="K942" s="36"/>
      <c r="L942" s="36"/>
      <c r="M942" s="36"/>
      <c r="N942" s="36"/>
      <c r="O942" s="36"/>
      <c r="P942" s="36"/>
      <c r="Q942" s="36"/>
      <c r="R942" s="36"/>
      <c r="S942" s="36"/>
      <c r="T942" s="36"/>
      <c r="U942" s="36"/>
      <c r="V942" s="36"/>
      <c r="W942" s="36"/>
      <c r="X942" s="36"/>
      <c r="Y942" s="36"/>
      <c r="Z942" s="3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row>
    <row r="943" spans="1:57" ht="15.75" customHeight="1" x14ac:dyDescent="0.2">
      <c r="A943" s="36"/>
      <c r="B943" s="36"/>
      <c r="C943" s="35"/>
      <c r="D943" s="36"/>
      <c r="E943" s="36"/>
      <c r="F943" s="36"/>
      <c r="G943" s="36"/>
      <c r="H943" s="35"/>
      <c r="I943" s="35"/>
      <c r="J943" s="35"/>
      <c r="K943" s="36"/>
      <c r="L943" s="36"/>
      <c r="M943" s="36"/>
      <c r="N943" s="36"/>
      <c r="O943" s="36"/>
      <c r="P943" s="36"/>
      <c r="Q943" s="36"/>
      <c r="R943" s="36"/>
      <c r="S943" s="36"/>
      <c r="T943" s="36"/>
      <c r="U943" s="36"/>
      <c r="V943" s="36"/>
      <c r="W943" s="36"/>
      <c r="X943" s="36"/>
      <c r="Y943" s="36"/>
      <c r="Z943" s="3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row>
    <row r="944" spans="1:57" ht="15.75" customHeight="1" x14ac:dyDescent="0.2">
      <c r="A944" s="36"/>
      <c r="B944" s="36"/>
      <c r="C944" s="35"/>
      <c r="D944" s="36"/>
      <c r="E944" s="36"/>
      <c r="F944" s="36"/>
      <c r="G944" s="36"/>
      <c r="H944" s="35"/>
      <c r="I944" s="35"/>
      <c r="J944" s="35"/>
      <c r="K944" s="36"/>
      <c r="L944" s="36"/>
      <c r="M944" s="36"/>
      <c r="N944" s="36"/>
      <c r="O944" s="36"/>
      <c r="P944" s="36"/>
      <c r="Q944" s="36"/>
      <c r="R944" s="36"/>
      <c r="S944" s="36"/>
      <c r="T944" s="36"/>
      <c r="U944" s="36"/>
      <c r="V944" s="36"/>
      <c r="W944" s="36"/>
      <c r="X944" s="36"/>
      <c r="Y944" s="36"/>
      <c r="Z944" s="3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row>
    <row r="945" spans="1:57" ht="15.75" customHeight="1" x14ac:dyDescent="0.2">
      <c r="A945" s="36"/>
      <c r="B945" s="36"/>
      <c r="C945" s="35"/>
      <c r="D945" s="36"/>
      <c r="E945" s="36"/>
      <c r="F945" s="36"/>
      <c r="G945" s="36"/>
      <c r="H945" s="35"/>
      <c r="I945" s="35"/>
      <c r="J945" s="35"/>
      <c r="K945" s="36"/>
      <c r="L945" s="36"/>
      <c r="M945" s="36"/>
      <c r="N945" s="36"/>
      <c r="O945" s="36"/>
      <c r="P945" s="36"/>
      <c r="Q945" s="36"/>
      <c r="R945" s="36"/>
      <c r="S945" s="36"/>
      <c r="T945" s="36"/>
      <c r="U945" s="36"/>
      <c r="V945" s="36"/>
      <c r="W945" s="36"/>
      <c r="X945" s="36"/>
      <c r="Y945" s="36"/>
      <c r="Z945" s="3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row>
    <row r="946" spans="1:57" ht="15.75" customHeight="1" x14ac:dyDescent="0.2">
      <c r="A946" s="36"/>
      <c r="B946" s="36"/>
      <c r="C946" s="35"/>
      <c r="D946" s="36"/>
      <c r="E946" s="36"/>
      <c r="F946" s="36"/>
      <c r="G946" s="36"/>
      <c r="H946" s="35"/>
      <c r="I946" s="35"/>
      <c r="J946" s="35"/>
      <c r="K946" s="36"/>
      <c r="L946" s="36"/>
      <c r="M946" s="36"/>
      <c r="N946" s="36"/>
      <c r="O946" s="36"/>
      <c r="P946" s="36"/>
      <c r="Q946" s="36"/>
      <c r="R946" s="36"/>
      <c r="S946" s="36"/>
      <c r="T946" s="36"/>
      <c r="U946" s="36"/>
      <c r="V946" s="36"/>
      <c r="W946" s="36"/>
      <c r="X946" s="36"/>
      <c r="Y946" s="36"/>
      <c r="Z946" s="3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row>
    <row r="947" spans="1:57" ht="15.75" customHeight="1" x14ac:dyDescent="0.2">
      <c r="A947" s="36"/>
      <c r="B947" s="36"/>
      <c r="C947" s="35"/>
      <c r="D947" s="36"/>
      <c r="E947" s="36"/>
      <c r="F947" s="36"/>
      <c r="G947" s="36"/>
      <c r="H947" s="35"/>
      <c r="I947" s="35"/>
      <c r="J947" s="35"/>
      <c r="K947" s="36"/>
      <c r="L947" s="36"/>
      <c r="M947" s="36"/>
      <c r="N947" s="36"/>
      <c r="O947" s="36"/>
      <c r="P947" s="36"/>
      <c r="Q947" s="36"/>
      <c r="R947" s="36"/>
      <c r="S947" s="36"/>
      <c r="T947" s="36"/>
      <c r="U947" s="36"/>
      <c r="V947" s="36"/>
      <c r="W947" s="36"/>
      <c r="X947" s="36"/>
      <c r="Y947" s="36"/>
      <c r="Z947" s="3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row>
    <row r="948" spans="1:57" ht="15.75" customHeight="1" x14ac:dyDescent="0.2">
      <c r="A948" s="36"/>
      <c r="B948" s="36"/>
      <c r="C948" s="35"/>
      <c r="D948" s="36"/>
      <c r="E948" s="36"/>
      <c r="F948" s="36"/>
      <c r="G948" s="36"/>
      <c r="H948" s="35"/>
      <c r="I948" s="35"/>
      <c r="J948" s="35"/>
      <c r="K948" s="36"/>
      <c r="L948" s="36"/>
      <c r="M948" s="36"/>
      <c r="N948" s="36"/>
      <c r="O948" s="36"/>
      <c r="P948" s="36"/>
      <c r="Q948" s="36"/>
      <c r="R948" s="36"/>
      <c r="S948" s="36"/>
      <c r="T948" s="36"/>
      <c r="U948" s="36"/>
      <c r="V948" s="36"/>
      <c r="W948" s="36"/>
      <c r="X948" s="36"/>
      <c r="Y948" s="36"/>
      <c r="Z948" s="3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row>
    <row r="949" spans="1:57" ht="15.75" customHeight="1" x14ac:dyDescent="0.2">
      <c r="A949" s="36"/>
      <c r="B949" s="36"/>
      <c r="C949" s="35"/>
      <c r="D949" s="36"/>
      <c r="E949" s="36"/>
      <c r="F949" s="36"/>
      <c r="G949" s="36"/>
      <c r="H949" s="35"/>
      <c r="I949" s="35"/>
      <c r="J949" s="35"/>
      <c r="K949" s="36"/>
      <c r="L949" s="36"/>
      <c r="M949" s="36"/>
      <c r="N949" s="36"/>
      <c r="O949" s="36"/>
      <c r="P949" s="36"/>
      <c r="Q949" s="36"/>
      <c r="R949" s="36"/>
      <c r="S949" s="36"/>
      <c r="T949" s="36"/>
      <c r="U949" s="36"/>
      <c r="V949" s="36"/>
      <c r="W949" s="36"/>
      <c r="X949" s="36"/>
      <c r="Y949" s="36"/>
      <c r="Z949" s="3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row>
    <row r="950" spans="1:57" ht="15.75" customHeight="1" x14ac:dyDescent="0.2">
      <c r="A950" s="36"/>
      <c r="B950" s="36"/>
      <c r="C950" s="35"/>
      <c r="D950" s="36"/>
      <c r="E950" s="36"/>
      <c r="F950" s="36"/>
      <c r="G950" s="36"/>
      <c r="H950" s="35"/>
      <c r="I950" s="35"/>
      <c r="J950" s="35"/>
      <c r="K950" s="36"/>
      <c r="L950" s="36"/>
      <c r="M950" s="36"/>
      <c r="N950" s="36"/>
      <c r="O950" s="36"/>
      <c r="P950" s="36"/>
      <c r="Q950" s="36"/>
      <c r="R950" s="36"/>
      <c r="S950" s="36"/>
      <c r="T950" s="36"/>
      <c r="U950" s="36"/>
      <c r="V950" s="36"/>
      <c r="W950" s="36"/>
      <c r="X950" s="36"/>
      <c r="Y950" s="36"/>
      <c r="Z950" s="3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row>
    <row r="951" spans="1:57" ht="15.75" customHeight="1" x14ac:dyDescent="0.2">
      <c r="A951" s="36"/>
      <c r="B951" s="36"/>
      <c r="C951" s="35"/>
      <c r="D951" s="36"/>
      <c r="E951" s="36"/>
      <c r="F951" s="36"/>
      <c r="G951" s="36"/>
      <c r="H951" s="35"/>
      <c r="I951" s="35"/>
      <c r="J951" s="35"/>
      <c r="K951" s="36"/>
      <c r="L951" s="36"/>
      <c r="M951" s="36"/>
      <c r="N951" s="36"/>
      <c r="O951" s="36"/>
      <c r="P951" s="36"/>
      <c r="Q951" s="36"/>
      <c r="R951" s="36"/>
      <c r="S951" s="36"/>
      <c r="T951" s="36"/>
      <c r="U951" s="36"/>
      <c r="V951" s="36"/>
      <c r="W951" s="36"/>
      <c r="X951" s="36"/>
      <c r="Y951" s="36"/>
      <c r="Z951" s="3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row>
    <row r="952" spans="1:57" ht="15.75" customHeight="1" x14ac:dyDescent="0.2">
      <c r="A952" s="36"/>
      <c r="B952" s="36"/>
      <c r="C952" s="35"/>
      <c r="D952" s="36"/>
      <c r="E952" s="36"/>
      <c r="F952" s="36"/>
      <c r="G952" s="36"/>
      <c r="H952" s="35"/>
      <c r="I952" s="35"/>
      <c r="J952" s="35"/>
      <c r="K952" s="36"/>
      <c r="L952" s="36"/>
      <c r="M952" s="36"/>
      <c r="N952" s="36"/>
      <c r="O952" s="36"/>
      <c r="P952" s="36"/>
      <c r="Q952" s="36"/>
      <c r="R952" s="36"/>
      <c r="S952" s="36"/>
      <c r="T952" s="36"/>
      <c r="U952" s="36"/>
      <c r="V952" s="36"/>
      <c r="W952" s="36"/>
      <c r="X952" s="36"/>
      <c r="Y952" s="36"/>
      <c r="Z952" s="3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row>
    <row r="953" spans="1:57" ht="15.75" customHeight="1" x14ac:dyDescent="0.2">
      <c r="A953" s="36"/>
      <c r="B953" s="36"/>
      <c r="C953" s="35"/>
      <c r="D953" s="36"/>
      <c r="E953" s="36"/>
      <c r="F953" s="36"/>
      <c r="G953" s="36"/>
      <c r="H953" s="35"/>
      <c r="I953" s="35"/>
      <c r="J953" s="35"/>
      <c r="K953" s="36"/>
      <c r="L953" s="36"/>
      <c r="M953" s="36"/>
      <c r="N953" s="36"/>
      <c r="O953" s="36"/>
      <c r="P953" s="36"/>
      <c r="Q953" s="36"/>
      <c r="R953" s="36"/>
      <c r="S953" s="36"/>
      <c r="T953" s="36"/>
      <c r="U953" s="36"/>
      <c r="V953" s="36"/>
      <c r="W953" s="36"/>
      <c r="X953" s="36"/>
      <c r="Y953" s="36"/>
      <c r="Z953" s="3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row>
    <row r="954" spans="1:57" ht="15.75" customHeight="1" x14ac:dyDescent="0.2">
      <c r="A954" s="36"/>
      <c r="B954" s="36"/>
      <c r="C954" s="35"/>
      <c r="D954" s="36"/>
      <c r="E954" s="36"/>
      <c r="F954" s="36"/>
      <c r="G954" s="36"/>
      <c r="H954" s="35"/>
      <c r="I954" s="35"/>
      <c r="J954" s="35"/>
      <c r="K954" s="36"/>
      <c r="L954" s="36"/>
      <c r="M954" s="36"/>
      <c r="N954" s="36"/>
      <c r="O954" s="36"/>
      <c r="P954" s="36"/>
      <c r="Q954" s="36"/>
      <c r="R954" s="36"/>
      <c r="S954" s="36"/>
      <c r="T954" s="36"/>
      <c r="U954" s="36"/>
      <c r="V954" s="36"/>
      <c r="W954" s="36"/>
      <c r="X954" s="36"/>
      <c r="Y954" s="36"/>
      <c r="Z954" s="3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row>
    <row r="955" spans="1:57" ht="15.75" customHeight="1" x14ac:dyDescent="0.2">
      <c r="A955" s="36"/>
      <c r="B955" s="36"/>
      <c r="C955" s="35"/>
      <c r="D955" s="36"/>
      <c r="E955" s="36"/>
      <c r="F955" s="36"/>
      <c r="G955" s="36"/>
      <c r="H955" s="35"/>
      <c r="I955" s="35"/>
      <c r="J955" s="35"/>
      <c r="K955" s="36"/>
      <c r="L955" s="36"/>
      <c r="M955" s="36"/>
      <c r="N955" s="36"/>
      <c r="O955" s="36"/>
      <c r="P955" s="36"/>
      <c r="Q955" s="36"/>
      <c r="R955" s="36"/>
      <c r="S955" s="36"/>
      <c r="T955" s="36"/>
      <c r="U955" s="36"/>
      <c r="V955" s="36"/>
      <c r="W955" s="36"/>
      <c r="X955" s="36"/>
      <c r="Y955" s="36"/>
      <c r="Z955" s="3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row>
    <row r="956" spans="1:57" ht="15.75" customHeight="1" x14ac:dyDescent="0.2">
      <c r="A956" s="36"/>
      <c r="B956" s="36"/>
      <c r="C956" s="35"/>
      <c r="D956" s="36"/>
      <c r="E956" s="36"/>
      <c r="F956" s="36"/>
      <c r="G956" s="36"/>
      <c r="H956" s="35"/>
      <c r="I956" s="35"/>
      <c r="J956" s="35"/>
      <c r="K956" s="36"/>
      <c r="L956" s="36"/>
      <c r="M956" s="36"/>
      <c r="N956" s="36"/>
      <c r="O956" s="36"/>
      <c r="P956" s="36"/>
      <c r="Q956" s="36"/>
      <c r="R956" s="36"/>
      <c r="S956" s="36"/>
      <c r="T956" s="36"/>
      <c r="U956" s="36"/>
      <c r="V956" s="36"/>
      <c r="W956" s="36"/>
      <c r="X956" s="36"/>
      <c r="Y956" s="36"/>
      <c r="Z956" s="3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row>
    <row r="957" spans="1:57" ht="15.75" customHeight="1" x14ac:dyDescent="0.2">
      <c r="A957" s="36"/>
      <c r="B957" s="36"/>
      <c r="C957" s="35"/>
      <c r="D957" s="36"/>
      <c r="E957" s="36"/>
      <c r="F957" s="36"/>
      <c r="G957" s="36"/>
      <c r="H957" s="35"/>
      <c r="I957" s="35"/>
      <c r="J957" s="35"/>
      <c r="K957" s="36"/>
      <c r="L957" s="36"/>
      <c r="M957" s="36"/>
      <c r="N957" s="36"/>
      <c r="O957" s="36"/>
      <c r="P957" s="36"/>
      <c r="Q957" s="36"/>
      <c r="R957" s="36"/>
      <c r="S957" s="36"/>
      <c r="T957" s="36"/>
      <c r="U957" s="36"/>
      <c r="V957" s="36"/>
      <c r="W957" s="36"/>
      <c r="X957" s="36"/>
      <c r="Y957" s="36"/>
      <c r="Z957" s="3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row>
    <row r="958" spans="1:57" ht="15.75" customHeight="1" x14ac:dyDescent="0.2">
      <c r="A958" s="36"/>
      <c r="B958" s="36"/>
      <c r="C958" s="35"/>
      <c r="D958" s="36"/>
      <c r="E958" s="36"/>
      <c r="F958" s="36"/>
      <c r="G958" s="36"/>
      <c r="H958" s="35"/>
      <c r="I958" s="35"/>
      <c r="J958" s="35"/>
      <c r="K958" s="36"/>
      <c r="L958" s="36"/>
      <c r="M958" s="36"/>
      <c r="N958" s="36"/>
      <c r="O958" s="36"/>
      <c r="P958" s="36"/>
      <c r="Q958" s="36"/>
      <c r="R958" s="36"/>
      <c r="S958" s="36"/>
      <c r="T958" s="36"/>
      <c r="U958" s="36"/>
      <c r="V958" s="36"/>
      <c r="W958" s="36"/>
      <c r="X958" s="36"/>
      <c r="Y958" s="36"/>
      <c r="Z958" s="3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row>
    <row r="959" spans="1:57" ht="15.75" customHeight="1" x14ac:dyDescent="0.2">
      <c r="A959" s="36"/>
      <c r="B959" s="36"/>
      <c r="C959" s="35"/>
      <c r="D959" s="36"/>
      <c r="E959" s="36"/>
      <c r="F959" s="36"/>
      <c r="G959" s="36"/>
      <c r="H959" s="35"/>
      <c r="I959" s="35"/>
      <c r="J959" s="35"/>
      <c r="K959" s="36"/>
      <c r="L959" s="36"/>
      <c r="M959" s="36"/>
      <c r="N959" s="36"/>
      <c r="O959" s="36"/>
      <c r="P959" s="36"/>
      <c r="Q959" s="36"/>
      <c r="R959" s="36"/>
      <c r="S959" s="36"/>
      <c r="T959" s="36"/>
      <c r="U959" s="36"/>
      <c r="V959" s="36"/>
      <c r="W959" s="36"/>
      <c r="X959" s="36"/>
      <c r="Y959" s="36"/>
      <c r="Z959" s="3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row>
    <row r="960" spans="1:57" ht="15.75" customHeight="1" x14ac:dyDescent="0.2">
      <c r="A960" s="36"/>
      <c r="B960" s="36"/>
      <c r="C960" s="35"/>
      <c r="D960" s="36"/>
      <c r="E960" s="36"/>
      <c r="F960" s="36"/>
      <c r="G960" s="36"/>
      <c r="H960" s="35"/>
      <c r="I960" s="35"/>
      <c r="J960" s="35"/>
      <c r="K960" s="36"/>
      <c r="L960" s="36"/>
      <c r="M960" s="36"/>
      <c r="N960" s="36"/>
      <c r="O960" s="36"/>
      <c r="P960" s="36"/>
      <c r="Q960" s="36"/>
      <c r="R960" s="36"/>
      <c r="S960" s="36"/>
      <c r="T960" s="36"/>
      <c r="U960" s="36"/>
      <c r="V960" s="36"/>
      <c r="W960" s="36"/>
      <c r="X960" s="36"/>
      <c r="Y960" s="36"/>
      <c r="Z960" s="3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row>
    <row r="961" spans="1:57" ht="15.75" customHeight="1" x14ac:dyDescent="0.2">
      <c r="A961" s="36"/>
      <c r="B961" s="36"/>
      <c r="C961" s="35"/>
      <c r="D961" s="36"/>
      <c r="E961" s="36"/>
      <c r="F961" s="36"/>
      <c r="G961" s="36"/>
      <c r="H961" s="35"/>
      <c r="I961" s="35"/>
      <c r="J961" s="35"/>
      <c r="K961" s="36"/>
      <c r="L961" s="36"/>
      <c r="M961" s="36"/>
      <c r="N961" s="36"/>
      <c r="O961" s="36"/>
      <c r="P961" s="36"/>
      <c r="Q961" s="36"/>
      <c r="R961" s="36"/>
      <c r="S961" s="36"/>
      <c r="T961" s="36"/>
      <c r="U961" s="36"/>
      <c r="V961" s="36"/>
      <c r="W961" s="36"/>
      <c r="X961" s="36"/>
      <c r="Y961" s="36"/>
      <c r="Z961" s="3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row>
    <row r="962" spans="1:57" ht="15.75" customHeight="1" x14ac:dyDescent="0.2">
      <c r="A962" s="36"/>
      <c r="B962" s="36"/>
      <c r="C962" s="35"/>
      <c r="D962" s="36"/>
      <c r="E962" s="36"/>
      <c r="F962" s="36"/>
      <c r="G962" s="36"/>
      <c r="H962" s="35"/>
      <c r="I962" s="35"/>
      <c r="J962" s="35"/>
      <c r="K962" s="36"/>
      <c r="L962" s="36"/>
      <c r="M962" s="36"/>
      <c r="N962" s="36"/>
      <c r="O962" s="36"/>
      <c r="P962" s="36"/>
      <c r="Q962" s="36"/>
      <c r="R962" s="36"/>
      <c r="S962" s="36"/>
      <c r="T962" s="36"/>
      <c r="U962" s="36"/>
      <c r="V962" s="36"/>
      <c r="W962" s="36"/>
      <c r="X962" s="36"/>
      <c r="Y962" s="36"/>
      <c r="Z962" s="3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row>
    <row r="963" spans="1:57" ht="15.75" customHeight="1" x14ac:dyDescent="0.2">
      <c r="A963" s="36"/>
      <c r="B963" s="36"/>
      <c r="C963" s="35"/>
      <c r="D963" s="36"/>
      <c r="E963" s="36"/>
      <c r="F963" s="36"/>
      <c r="G963" s="36"/>
      <c r="H963" s="35"/>
      <c r="I963" s="35"/>
      <c r="J963" s="35"/>
      <c r="K963" s="36"/>
      <c r="L963" s="36"/>
      <c r="M963" s="36"/>
      <c r="N963" s="36"/>
      <c r="O963" s="36"/>
      <c r="P963" s="36"/>
      <c r="Q963" s="36"/>
      <c r="R963" s="36"/>
      <c r="S963" s="36"/>
      <c r="T963" s="36"/>
      <c r="U963" s="36"/>
      <c r="V963" s="36"/>
      <c r="W963" s="36"/>
      <c r="X963" s="36"/>
      <c r="Y963" s="36"/>
      <c r="Z963" s="3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row>
    <row r="964" spans="1:57" ht="15.75" customHeight="1" x14ac:dyDescent="0.2">
      <c r="A964" s="36"/>
      <c r="B964" s="36"/>
      <c r="C964" s="35"/>
      <c r="D964" s="36"/>
      <c r="E964" s="36"/>
      <c r="F964" s="36"/>
      <c r="G964" s="36"/>
      <c r="H964" s="35"/>
      <c r="I964" s="35"/>
      <c r="J964" s="35"/>
      <c r="K964" s="36"/>
      <c r="L964" s="36"/>
      <c r="M964" s="36"/>
      <c r="N964" s="36"/>
      <c r="O964" s="36"/>
      <c r="P964" s="36"/>
      <c r="Q964" s="36"/>
      <c r="R964" s="36"/>
      <c r="S964" s="36"/>
      <c r="T964" s="36"/>
      <c r="U964" s="36"/>
      <c r="V964" s="36"/>
      <c r="W964" s="36"/>
      <c r="X964" s="36"/>
      <c r="Y964" s="36"/>
      <c r="Z964" s="3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row>
    <row r="965" spans="1:57" ht="15.75" customHeight="1" x14ac:dyDescent="0.2">
      <c r="A965" s="36"/>
      <c r="B965" s="36"/>
      <c r="C965" s="35"/>
      <c r="D965" s="36"/>
      <c r="E965" s="36"/>
      <c r="F965" s="36"/>
      <c r="G965" s="36"/>
      <c r="H965" s="35"/>
      <c r="I965" s="35"/>
      <c r="J965" s="35"/>
      <c r="K965" s="36"/>
      <c r="L965" s="36"/>
      <c r="M965" s="36"/>
      <c r="N965" s="36"/>
      <c r="O965" s="36"/>
      <c r="P965" s="36"/>
      <c r="Q965" s="36"/>
      <c r="R965" s="36"/>
      <c r="S965" s="36"/>
      <c r="T965" s="36"/>
      <c r="U965" s="36"/>
      <c r="V965" s="36"/>
      <c r="W965" s="36"/>
      <c r="X965" s="36"/>
      <c r="Y965" s="36"/>
      <c r="Z965" s="3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row>
    <row r="966" spans="1:57" ht="15.75" customHeight="1" x14ac:dyDescent="0.2">
      <c r="A966" s="36"/>
      <c r="B966" s="36"/>
      <c r="C966" s="35"/>
      <c r="D966" s="36"/>
      <c r="E966" s="36"/>
      <c r="F966" s="36"/>
      <c r="G966" s="36"/>
      <c r="H966" s="35"/>
      <c r="I966" s="35"/>
      <c r="J966" s="35"/>
      <c r="K966" s="36"/>
      <c r="L966" s="36"/>
      <c r="M966" s="36"/>
      <c r="N966" s="36"/>
      <c r="O966" s="36"/>
      <c r="P966" s="36"/>
      <c r="Q966" s="36"/>
      <c r="R966" s="36"/>
      <c r="S966" s="36"/>
      <c r="T966" s="36"/>
      <c r="U966" s="36"/>
      <c r="V966" s="36"/>
      <c r="W966" s="36"/>
      <c r="X966" s="36"/>
      <c r="Y966" s="36"/>
      <c r="Z966" s="3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row>
    <row r="967" spans="1:57" ht="15.75" customHeight="1" x14ac:dyDescent="0.2">
      <c r="A967" s="36"/>
      <c r="B967" s="36"/>
      <c r="C967" s="35"/>
      <c r="D967" s="36"/>
      <c r="E967" s="36"/>
      <c r="F967" s="36"/>
      <c r="G967" s="36"/>
      <c r="H967" s="35"/>
      <c r="I967" s="35"/>
      <c r="J967" s="35"/>
      <c r="K967" s="36"/>
      <c r="L967" s="36"/>
      <c r="M967" s="36"/>
      <c r="N967" s="36"/>
      <c r="O967" s="36"/>
      <c r="P967" s="36"/>
      <c r="Q967" s="36"/>
      <c r="R967" s="36"/>
      <c r="S967" s="36"/>
      <c r="T967" s="36"/>
      <c r="U967" s="36"/>
      <c r="V967" s="36"/>
      <c r="W967" s="36"/>
      <c r="X967" s="36"/>
      <c r="Y967" s="36"/>
      <c r="Z967" s="3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row>
    <row r="968" spans="1:57" ht="15.75" customHeight="1" x14ac:dyDescent="0.2">
      <c r="A968" s="36"/>
      <c r="B968" s="36"/>
      <c r="C968" s="35"/>
      <c r="D968" s="36"/>
      <c r="E968" s="36"/>
      <c r="F968" s="36"/>
      <c r="G968" s="36"/>
      <c r="H968" s="35"/>
      <c r="I968" s="35"/>
      <c r="J968" s="35"/>
      <c r="K968" s="36"/>
      <c r="L968" s="36"/>
      <c r="M968" s="36"/>
      <c r="N968" s="36"/>
      <c r="O968" s="36"/>
      <c r="P968" s="36"/>
      <c r="Q968" s="36"/>
      <c r="R968" s="36"/>
      <c r="S968" s="36"/>
      <c r="T968" s="36"/>
      <c r="U968" s="36"/>
      <c r="V968" s="36"/>
      <c r="W968" s="36"/>
      <c r="X968" s="36"/>
      <c r="Y968" s="36"/>
      <c r="Z968" s="3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row>
    <row r="969" spans="1:57" ht="15.75" customHeight="1" x14ac:dyDescent="0.2">
      <c r="A969" s="36"/>
      <c r="B969" s="36"/>
      <c r="C969" s="35"/>
      <c r="D969" s="36"/>
      <c r="E969" s="36"/>
      <c r="F969" s="36"/>
      <c r="G969" s="36"/>
      <c r="H969" s="35"/>
      <c r="I969" s="35"/>
      <c r="J969" s="35"/>
      <c r="K969" s="36"/>
      <c r="L969" s="36"/>
      <c r="M969" s="36"/>
      <c r="N969" s="36"/>
      <c r="O969" s="36"/>
      <c r="P969" s="36"/>
      <c r="Q969" s="36"/>
      <c r="R969" s="36"/>
      <c r="S969" s="36"/>
      <c r="T969" s="36"/>
      <c r="U969" s="36"/>
      <c r="V969" s="36"/>
      <c r="W969" s="36"/>
      <c r="X969" s="36"/>
      <c r="Y969" s="36"/>
      <c r="Z969" s="3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row>
    <row r="970" spans="1:57" ht="15.75" customHeight="1" x14ac:dyDescent="0.2">
      <c r="A970" s="36"/>
      <c r="B970" s="36"/>
      <c r="C970" s="35"/>
      <c r="D970" s="36"/>
      <c r="E970" s="36"/>
      <c r="F970" s="36"/>
      <c r="G970" s="36"/>
      <c r="H970" s="35"/>
      <c r="I970" s="35"/>
      <c r="J970" s="35"/>
      <c r="K970" s="36"/>
      <c r="L970" s="36"/>
      <c r="M970" s="36"/>
      <c r="N970" s="36"/>
      <c r="O970" s="36"/>
      <c r="P970" s="36"/>
      <c r="Q970" s="36"/>
      <c r="R970" s="36"/>
      <c r="S970" s="36"/>
      <c r="T970" s="36"/>
      <c r="U970" s="36"/>
      <c r="V970" s="36"/>
      <c r="W970" s="36"/>
      <c r="X970" s="36"/>
      <c r="Y970" s="36"/>
      <c r="Z970" s="3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row>
    <row r="971" spans="1:57" ht="15.75" customHeight="1" x14ac:dyDescent="0.2">
      <c r="A971" s="36"/>
      <c r="B971" s="36"/>
      <c r="C971" s="35"/>
      <c r="D971" s="36"/>
      <c r="E971" s="36"/>
      <c r="F971" s="36"/>
      <c r="G971" s="36"/>
      <c r="H971" s="35"/>
      <c r="I971" s="35"/>
      <c r="J971" s="35"/>
      <c r="K971" s="36"/>
      <c r="L971" s="36"/>
      <c r="M971" s="36"/>
      <c r="N971" s="36"/>
      <c r="O971" s="36"/>
      <c r="P971" s="36"/>
      <c r="Q971" s="36"/>
      <c r="R971" s="36"/>
      <c r="S971" s="36"/>
      <c r="T971" s="36"/>
      <c r="U971" s="36"/>
      <c r="V971" s="36"/>
      <c r="W971" s="36"/>
      <c r="X971" s="36"/>
      <c r="Y971" s="36"/>
      <c r="Z971" s="3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row>
    <row r="972" spans="1:57" ht="15.75" customHeight="1" x14ac:dyDescent="0.2">
      <c r="A972" s="36"/>
      <c r="B972" s="36"/>
      <c r="C972" s="35"/>
      <c r="D972" s="36"/>
      <c r="E972" s="36"/>
      <c r="F972" s="36"/>
      <c r="G972" s="36"/>
      <c r="H972" s="35"/>
      <c r="I972" s="35"/>
      <c r="J972" s="35"/>
      <c r="K972" s="36"/>
      <c r="L972" s="36"/>
      <c r="M972" s="36"/>
      <c r="N972" s="36"/>
      <c r="O972" s="36"/>
      <c r="P972" s="36"/>
      <c r="Q972" s="36"/>
      <c r="R972" s="36"/>
      <c r="S972" s="36"/>
      <c r="T972" s="36"/>
      <c r="U972" s="36"/>
      <c r="V972" s="36"/>
      <c r="W972" s="36"/>
      <c r="X972" s="36"/>
      <c r="Y972" s="36"/>
      <c r="Z972" s="3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row>
    <row r="973" spans="1:57" ht="15.75" customHeight="1" x14ac:dyDescent="0.2">
      <c r="A973" s="36"/>
      <c r="B973" s="36"/>
      <c r="C973" s="35"/>
      <c r="D973" s="36"/>
      <c r="E973" s="36"/>
      <c r="F973" s="36"/>
      <c r="G973" s="36"/>
      <c r="H973" s="35"/>
      <c r="I973" s="35"/>
      <c r="J973" s="35"/>
      <c r="K973" s="36"/>
      <c r="L973" s="36"/>
      <c r="M973" s="36"/>
      <c r="N973" s="36"/>
      <c r="O973" s="36"/>
      <c r="P973" s="36"/>
      <c r="Q973" s="36"/>
      <c r="R973" s="36"/>
      <c r="S973" s="36"/>
      <c r="T973" s="36"/>
      <c r="U973" s="36"/>
      <c r="V973" s="36"/>
      <c r="W973" s="36"/>
      <c r="X973" s="36"/>
      <c r="Y973" s="36"/>
      <c r="Z973" s="3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row>
    <row r="974" spans="1:57" ht="15.75" customHeight="1" x14ac:dyDescent="0.2">
      <c r="A974" s="36"/>
      <c r="B974" s="36"/>
      <c r="C974" s="35"/>
      <c r="D974" s="36"/>
      <c r="E974" s="36"/>
      <c r="F974" s="36"/>
      <c r="G974" s="36"/>
      <c r="H974" s="35"/>
      <c r="I974" s="35"/>
      <c r="J974" s="35"/>
      <c r="K974" s="36"/>
      <c r="L974" s="36"/>
      <c r="M974" s="36"/>
      <c r="N974" s="36"/>
      <c r="O974" s="36"/>
      <c r="P974" s="36"/>
      <c r="Q974" s="36"/>
      <c r="R974" s="36"/>
      <c r="S974" s="36"/>
      <c r="T974" s="36"/>
      <c r="U974" s="36"/>
      <c r="V974" s="36"/>
      <c r="W974" s="36"/>
      <c r="X974" s="36"/>
      <c r="Y974" s="36"/>
      <c r="Z974" s="3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row>
    <row r="975" spans="1:57" ht="15.75" customHeight="1" x14ac:dyDescent="0.2">
      <c r="A975" s="36"/>
      <c r="B975" s="36"/>
      <c r="C975" s="35"/>
      <c r="D975" s="36"/>
      <c r="E975" s="36"/>
      <c r="F975" s="36"/>
      <c r="G975" s="36"/>
      <c r="H975" s="35"/>
      <c r="I975" s="35"/>
      <c r="J975" s="35"/>
      <c r="K975" s="36"/>
      <c r="L975" s="36"/>
      <c r="M975" s="36"/>
      <c r="N975" s="36"/>
      <c r="O975" s="36"/>
      <c r="P975" s="36"/>
      <c r="Q975" s="36"/>
      <c r="R975" s="36"/>
      <c r="S975" s="36"/>
      <c r="T975" s="36"/>
      <c r="U975" s="36"/>
      <c r="V975" s="36"/>
      <c r="W975" s="36"/>
      <c r="X975" s="36"/>
      <c r="Y975" s="36"/>
      <c r="Z975" s="3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row>
    <row r="976" spans="1:57" ht="15.75" customHeight="1" x14ac:dyDescent="0.2">
      <c r="A976" s="36"/>
      <c r="B976" s="36"/>
      <c r="C976" s="35"/>
      <c r="D976" s="36"/>
      <c r="E976" s="36"/>
      <c r="F976" s="36"/>
      <c r="G976" s="36"/>
      <c r="H976" s="35"/>
      <c r="I976" s="35"/>
      <c r="J976" s="35"/>
      <c r="K976" s="36"/>
      <c r="L976" s="36"/>
      <c r="M976" s="36"/>
      <c r="N976" s="36"/>
      <c r="O976" s="36"/>
      <c r="P976" s="36"/>
      <c r="Q976" s="36"/>
      <c r="R976" s="36"/>
      <c r="S976" s="36"/>
      <c r="T976" s="36"/>
      <c r="U976" s="36"/>
      <c r="V976" s="36"/>
      <c r="W976" s="36"/>
      <c r="X976" s="36"/>
      <c r="Y976" s="36"/>
      <c r="Z976" s="3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row>
    <row r="977" spans="1:57" ht="15.75" customHeight="1" x14ac:dyDescent="0.2">
      <c r="A977" s="36"/>
      <c r="B977" s="36"/>
      <c r="C977" s="35"/>
      <c r="D977" s="36"/>
      <c r="E977" s="36"/>
      <c r="F977" s="36"/>
      <c r="G977" s="36"/>
      <c r="H977" s="35"/>
      <c r="I977" s="35"/>
      <c r="J977" s="35"/>
      <c r="K977" s="36"/>
      <c r="L977" s="36"/>
      <c r="M977" s="36"/>
      <c r="N977" s="36"/>
      <c r="O977" s="36"/>
      <c r="P977" s="36"/>
      <c r="Q977" s="36"/>
      <c r="R977" s="36"/>
      <c r="S977" s="36"/>
      <c r="T977" s="36"/>
      <c r="U977" s="36"/>
      <c r="V977" s="36"/>
      <c r="W977" s="36"/>
      <c r="X977" s="36"/>
      <c r="Y977" s="36"/>
      <c r="Z977" s="3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row>
    <row r="978" spans="1:57" ht="15.75" customHeight="1" x14ac:dyDescent="0.2">
      <c r="A978" s="36"/>
      <c r="B978" s="36"/>
      <c r="C978" s="35"/>
      <c r="D978" s="36"/>
      <c r="E978" s="36"/>
      <c r="F978" s="36"/>
      <c r="G978" s="36"/>
      <c r="H978" s="35"/>
      <c r="I978" s="35"/>
      <c r="J978" s="35"/>
      <c r="K978" s="36"/>
      <c r="L978" s="36"/>
      <c r="M978" s="36"/>
      <c r="N978" s="36"/>
      <c r="O978" s="36"/>
      <c r="P978" s="36"/>
      <c r="Q978" s="36"/>
      <c r="R978" s="36"/>
      <c r="S978" s="36"/>
      <c r="T978" s="36"/>
      <c r="U978" s="36"/>
      <c r="V978" s="36"/>
      <c r="W978" s="36"/>
      <c r="X978" s="36"/>
      <c r="Y978" s="36"/>
      <c r="Z978" s="3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row>
    <row r="979" spans="1:57" ht="15.75" customHeight="1" x14ac:dyDescent="0.2">
      <c r="A979" s="36"/>
      <c r="B979" s="36"/>
      <c r="C979" s="35"/>
      <c r="D979" s="36"/>
      <c r="E979" s="36"/>
      <c r="F979" s="36"/>
      <c r="G979" s="36"/>
      <c r="H979" s="35"/>
      <c r="I979" s="35"/>
      <c r="J979" s="35"/>
      <c r="K979" s="36"/>
      <c r="L979" s="36"/>
      <c r="M979" s="36"/>
      <c r="N979" s="36"/>
      <c r="O979" s="36"/>
      <c r="P979" s="36"/>
      <c r="Q979" s="36"/>
      <c r="R979" s="36"/>
      <c r="S979" s="36"/>
      <c r="T979" s="36"/>
      <c r="U979" s="36"/>
      <c r="V979" s="36"/>
      <c r="W979" s="36"/>
      <c r="X979" s="36"/>
      <c r="Y979" s="36"/>
      <c r="Z979" s="3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row>
    <row r="980" spans="1:57" ht="15.75" customHeight="1" x14ac:dyDescent="0.2">
      <c r="A980" s="36"/>
      <c r="B980" s="36"/>
      <c r="C980" s="35"/>
      <c r="D980" s="36"/>
      <c r="E980" s="36"/>
      <c r="F980" s="36"/>
      <c r="G980" s="36"/>
      <c r="H980" s="35"/>
      <c r="I980" s="35"/>
      <c r="J980" s="35"/>
      <c r="K980" s="36"/>
      <c r="L980" s="36"/>
      <c r="M980" s="36"/>
      <c r="N980" s="36"/>
      <c r="O980" s="36"/>
      <c r="P980" s="36"/>
      <c r="Q980" s="36"/>
      <c r="R980" s="36"/>
      <c r="S980" s="36"/>
      <c r="T980" s="36"/>
      <c r="U980" s="36"/>
      <c r="V980" s="36"/>
      <c r="W980" s="36"/>
      <c r="X980" s="36"/>
      <c r="Y980" s="36"/>
      <c r="Z980" s="3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row>
    <row r="981" spans="1:57" ht="15.75" customHeight="1" x14ac:dyDescent="0.2">
      <c r="A981" s="36"/>
      <c r="B981" s="36"/>
      <c r="C981" s="35"/>
      <c r="D981" s="36"/>
      <c r="E981" s="36"/>
      <c r="F981" s="36"/>
      <c r="G981" s="36"/>
      <c r="H981" s="35"/>
      <c r="I981" s="35"/>
      <c r="J981" s="35"/>
      <c r="K981" s="36"/>
      <c r="L981" s="36"/>
      <c r="M981" s="36"/>
      <c r="N981" s="36"/>
      <c r="O981" s="36"/>
      <c r="P981" s="36"/>
      <c r="Q981" s="36"/>
      <c r="R981" s="36"/>
      <c r="S981" s="36"/>
      <c r="T981" s="36"/>
      <c r="U981" s="36"/>
      <c r="V981" s="36"/>
      <c r="W981" s="36"/>
      <c r="X981" s="36"/>
      <c r="Y981" s="36"/>
      <c r="Z981" s="3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row>
    <row r="982" spans="1:57" ht="15.75" customHeight="1" x14ac:dyDescent="0.2">
      <c r="A982" s="36"/>
      <c r="B982" s="36"/>
      <c r="C982" s="35"/>
      <c r="D982" s="36"/>
      <c r="E982" s="36"/>
      <c r="F982" s="36"/>
      <c r="G982" s="36"/>
      <c r="H982" s="35"/>
      <c r="I982" s="35"/>
      <c r="J982" s="35"/>
      <c r="K982" s="36"/>
      <c r="L982" s="36"/>
      <c r="M982" s="36"/>
      <c r="N982" s="36"/>
      <c r="O982" s="36"/>
      <c r="P982" s="36"/>
      <c r="Q982" s="36"/>
      <c r="R982" s="36"/>
      <c r="S982" s="36"/>
      <c r="T982" s="36"/>
      <c r="U982" s="36"/>
      <c r="V982" s="36"/>
      <c r="W982" s="36"/>
      <c r="X982" s="36"/>
      <c r="Y982" s="36"/>
      <c r="Z982" s="3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row>
    <row r="983" spans="1:57" ht="15.75" customHeight="1" x14ac:dyDescent="0.2">
      <c r="A983" s="36"/>
      <c r="B983" s="36"/>
      <c r="C983" s="35"/>
      <c r="D983" s="36"/>
      <c r="E983" s="36"/>
      <c r="F983" s="36"/>
      <c r="G983" s="36"/>
      <c r="H983" s="35"/>
      <c r="I983" s="35"/>
      <c r="J983" s="35"/>
      <c r="K983" s="36"/>
      <c r="L983" s="36"/>
      <c r="M983" s="36"/>
      <c r="N983" s="36"/>
      <c r="O983" s="36"/>
      <c r="P983" s="36"/>
      <c r="Q983" s="36"/>
      <c r="R983" s="36"/>
      <c r="S983" s="36"/>
      <c r="T983" s="36"/>
      <c r="U983" s="36"/>
      <c r="V983" s="36"/>
      <c r="W983" s="36"/>
      <c r="X983" s="36"/>
      <c r="Y983" s="36"/>
      <c r="Z983" s="3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row>
    <row r="984" spans="1:57" ht="15.75" customHeight="1" x14ac:dyDescent="0.2">
      <c r="A984" s="36"/>
      <c r="B984" s="36"/>
      <c r="C984" s="35"/>
      <c r="D984" s="36"/>
      <c r="E984" s="36"/>
      <c r="F984" s="36"/>
      <c r="G984" s="36"/>
      <c r="H984" s="35"/>
      <c r="I984" s="35"/>
      <c r="J984" s="35"/>
      <c r="K984" s="36"/>
      <c r="L984" s="36"/>
      <c r="M984" s="36"/>
      <c r="N984" s="36"/>
      <c r="O984" s="36"/>
      <c r="P984" s="36"/>
      <c r="Q984" s="36"/>
      <c r="R984" s="36"/>
      <c r="S984" s="36"/>
      <c r="T984" s="36"/>
      <c r="U984" s="36"/>
      <c r="V984" s="36"/>
      <c r="W984" s="36"/>
      <c r="X984" s="36"/>
      <c r="Y984" s="36"/>
      <c r="Z984" s="3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row>
    <row r="985" spans="1:57" ht="15.75" customHeight="1" x14ac:dyDescent="0.2">
      <c r="A985" s="36"/>
      <c r="B985" s="36"/>
      <c r="C985" s="35"/>
      <c r="D985" s="36"/>
      <c r="E985" s="36"/>
      <c r="F985" s="36"/>
      <c r="G985" s="36"/>
      <c r="H985" s="35"/>
      <c r="I985" s="35"/>
      <c r="J985" s="35"/>
      <c r="K985" s="36"/>
      <c r="L985" s="36"/>
      <c r="M985" s="36"/>
      <c r="N985" s="36"/>
      <c r="O985" s="36"/>
      <c r="P985" s="36"/>
      <c r="Q985" s="36"/>
      <c r="R985" s="36"/>
      <c r="S985" s="36"/>
      <c r="T985" s="36"/>
      <c r="U985" s="36"/>
      <c r="V985" s="36"/>
      <c r="W985" s="36"/>
      <c r="X985" s="36"/>
      <c r="Y985" s="36"/>
      <c r="Z985" s="3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row>
    <row r="986" spans="1:57" ht="15.75" customHeight="1" x14ac:dyDescent="0.2">
      <c r="A986" s="36"/>
      <c r="B986" s="36"/>
      <c r="C986" s="35"/>
      <c r="D986" s="36"/>
      <c r="E986" s="36"/>
      <c r="F986" s="36"/>
      <c r="G986" s="36"/>
      <c r="H986" s="35"/>
      <c r="I986" s="35"/>
      <c r="J986" s="35"/>
      <c r="K986" s="36"/>
      <c r="L986" s="36"/>
      <c r="M986" s="36"/>
      <c r="N986" s="36"/>
      <c r="O986" s="36"/>
      <c r="P986" s="36"/>
      <c r="Q986" s="36"/>
      <c r="R986" s="36"/>
      <c r="S986" s="36"/>
      <c r="T986" s="36"/>
      <c r="U986" s="36"/>
      <c r="V986" s="36"/>
      <c r="W986" s="36"/>
      <c r="X986" s="36"/>
      <c r="Y986" s="36"/>
      <c r="Z986" s="3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row>
    <row r="987" spans="1:57" ht="15.75" customHeight="1" x14ac:dyDescent="0.2">
      <c r="A987" s="36"/>
      <c r="B987" s="36"/>
      <c r="C987" s="35"/>
      <c r="D987" s="36"/>
      <c r="E987" s="36"/>
      <c r="F987" s="36"/>
      <c r="G987" s="36"/>
      <c r="H987" s="35"/>
      <c r="I987" s="35"/>
      <c r="J987" s="35"/>
      <c r="K987" s="36"/>
      <c r="L987" s="36"/>
      <c r="M987" s="36"/>
      <c r="N987" s="36"/>
      <c r="O987" s="36"/>
      <c r="P987" s="36"/>
      <c r="Q987" s="36"/>
      <c r="R987" s="36"/>
      <c r="S987" s="36"/>
      <c r="T987" s="36"/>
      <c r="U987" s="36"/>
      <c r="V987" s="36"/>
      <c r="W987" s="36"/>
      <c r="X987" s="36"/>
      <c r="Y987" s="36"/>
      <c r="Z987" s="3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row>
    <row r="988" spans="1:57" ht="15.75" customHeight="1" x14ac:dyDescent="0.2">
      <c r="A988" s="36"/>
      <c r="B988" s="36"/>
      <c r="C988" s="35"/>
      <c r="D988" s="36"/>
      <c r="E988" s="36"/>
      <c r="F988" s="36"/>
      <c r="G988" s="36"/>
      <c r="H988" s="35"/>
      <c r="I988" s="35"/>
      <c r="J988" s="35"/>
      <c r="K988" s="36"/>
      <c r="L988" s="36"/>
      <c r="M988" s="36"/>
      <c r="N988" s="36"/>
      <c r="O988" s="36"/>
      <c r="P988" s="36"/>
      <c r="Q988" s="36"/>
      <c r="R988" s="36"/>
      <c r="S988" s="36"/>
      <c r="T988" s="36"/>
      <c r="U988" s="36"/>
      <c r="V988" s="36"/>
      <c r="W988" s="36"/>
      <c r="X988" s="36"/>
      <c r="Y988" s="36"/>
      <c r="Z988" s="3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row>
    <row r="989" spans="1:57" ht="14.25" customHeight="1" x14ac:dyDescent="0.2">
      <c r="A989" s="36"/>
      <c r="B989" s="36"/>
      <c r="C989" s="35"/>
      <c r="D989" s="36"/>
      <c r="E989" s="36"/>
      <c r="F989" s="36"/>
      <c r="G989" s="36"/>
      <c r="H989" s="35"/>
      <c r="I989" s="35"/>
      <c r="J989" s="35"/>
      <c r="K989" s="36"/>
      <c r="L989" s="36"/>
      <c r="M989" s="36"/>
      <c r="N989" s="36"/>
      <c r="O989" s="36"/>
      <c r="P989" s="36"/>
      <c r="Q989" s="36"/>
      <c r="R989" s="36"/>
      <c r="S989" s="36"/>
      <c r="T989" s="36"/>
      <c r="U989" s="36"/>
      <c r="V989" s="36"/>
      <c r="W989" s="36"/>
      <c r="X989" s="36"/>
      <c r="Y989" s="36"/>
      <c r="Z989" s="3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row>
    <row r="990" spans="1:57" ht="14.25" customHeight="1" x14ac:dyDescent="0.2">
      <c r="A990" s="36"/>
      <c r="B990" s="36"/>
      <c r="C990" s="35"/>
      <c r="D990" s="36"/>
      <c r="E990" s="36"/>
      <c r="F990" s="36"/>
      <c r="G990" s="36"/>
      <c r="H990" s="35"/>
      <c r="I990" s="35"/>
      <c r="J990" s="35"/>
      <c r="K990" s="36"/>
      <c r="L990" s="36"/>
      <c r="M990" s="36"/>
      <c r="N990" s="36"/>
      <c r="O990" s="36"/>
      <c r="P990" s="36"/>
      <c r="Q990" s="36"/>
      <c r="R990" s="36"/>
      <c r="S990" s="36"/>
      <c r="T990" s="36"/>
      <c r="U990" s="36"/>
      <c r="V990" s="36"/>
      <c r="W990" s="36"/>
      <c r="X990" s="36"/>
      <c r="Y990" s="36"/>
      <c r="Z990" s="3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row>
    <row r="991" spans="1:57" ht="14.25" customHeight="1" x14ac:dyDescent="0.2">
      <c r="A991" s="36"/>
      <c r="B991" s="36"/>
      <c r="C991" s="35"/>
      <c r="D991" s="36"/>
      <c r="E991" s="36"/>
      <c r="F991" s="36"/>
      <c r="G991" s="36"/>
      <c r="H991" s="35"/>
      <c r="I991" s="35"/>
      <c r="J991" s="35"/>
      <c r="K991" s="36"/>
      <c r="L991" s="36"/>
      <c r="M991" s="36"/>
      <c r="N991" s="36"/>
      <c r="O991" s="36"/>
      <c r="P991" s="36"/>
      <c r="Q991" s="36"/>
      <c r="R991" s="36"/>
      <c r="S991" s="36"/>
      <c r="T991" s="36"/>
      <c r="U991" s="36"/>
      <c r="V991" s="36"/>
      <c r="W991" s="36"/>
      <c r="X991" s="36"/>
      <c r="Y991" s="36"/>
      <c r="Z991" s="3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row>
    <row r="992" spans="1:57" ht="14.25" customHeight="1" x14ac:dyDescent="0.2">
      <c r="A992" s="36"/>
      <c r="B992" s="36"/>
      <c r="C992" s="35"/>
      <c r="D992" s="36"/>
      <c r="E992" s="36"/>
      <c r="F992" s="36"/>
      <c r="G992" s="36"/>
      <c r="H992" s="35"/>
      <c r="I992" s="35"/>
      <c r="J992" s="35"/>
      <c r="K992" s="36"/>
      <c r="L992" s="36"/>
      <c r="M992" s="36"/>
      <c r="N992" s="36"/>
      <c r="O992" s="36"/>
      <c r="P992" s="36"/>
      <c r="Q992" s="36"/>
      <c r="R992" s="36"/>
      <c r="S992" s="36"/>
      <c r="T992" s="36"/>
      <c r="U992" s="36"/>
      <c r="V992" s="36"/>
      <c r="W992" s="36"/>
      <c r="X992" s="36"/>
      <c r="Y992" s="36"/>
      <c r="Z992" s="3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row>
    <row r="993" spans="1:57" ht="14.25" customHeight="1" x14ac:dyDescent="0.2">
      <c r="A993" s="36"/>
      <c r="B993" s="36"/>
      <c r="C993" s="35"/>
      <c r="D993" s="36"/>
      <c r="E993" s="36"/>
      <c r="F993" s="36"/>
      <c r="G993" s="36"/>
      <c r="H993" s="35"/>
      <c r="I993" s="35"/>
      <c r="J993" s="35"/>
      <c r="K993" s="36"/>
      <c r="L993" s="36"/>
      <c r="M993" s="36"/>
      <c r="N993" s="36"/>
      <c r="O993" s="36"/>
      <c r="P993" s="36"/>
      <c r="Q993" s="36"/>
      <c r="R993" s="36"/>
      <c r="S993" s="36"/>
      <c r="T993" s="36"/>
      <c r="U993" s="36"/>
      <c r="V993" s="36"/>
      <c r="W993" s="36"/>
      <c r="X993" s="36"/>
      <c r="Y993" s="36"/>
      <c r="Z993" s="3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row>
    <row r="994" spans="1:57" ht="14.25" customHeight="1" x14ac:dyDescent="0.2">
      <c r="A994" s="36"/>
      <c r="B994" s="36"/>
      <c r="C994" s="35"/>
      <c r="D994" s="36"/>
      <c r="E994" s="36"/>
      <c r="F994" s="36"/>
      <c r="G994" s="36"/>
      <c r="H994" s="35"/>
      <c r="I994" s="35"/>
      <c r="J994" s="35"/>
      <c r="K994" s="36"/>
      <c r="L994" s="36"/>
      <c r="M994" s="36"/>
      <c r="N994" s="36"/>
      <c r="O994" s="36"/>
      <c r="P994" s="36"/>
      <c r="Q994" s="36"/>
      <c r="R994" s="36"/>
      <c r="S994" s="36"/>
      <c r="T994" s="36"/>
      <c r="U994" s="36"/>
      <c r="V994" s="36"/>
      <c r="W994" s="36"/>
      <c r="X994" s="36"/>
      <c r="Y994" s="36"/>
      <c r="Z994" s="3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row>
    <row r="995" spans="1:57" ht="14.25" customHeight="1" x14ac:dyDescent="0.2">
      <c r="A995" s="36"/>
      <c r="B995" s="36"/>
      <c r="C995" s="35"/>
      <c r="D995" s="36"/>
      <c r="E995" s="36"/>
      <c r="F995" s="36"/>
      <c r="G995" s="36"/>
      <c r="H995" s="35"/>
      <c r="I995" s="35"/>
      <c r="J995" s="35"/>
      <c r="K995" s="36"/>
      <c r="L995" s="36"/>
      <c r="M995" s="36"/>
      <c r="N995" s="36"/>
      <c r="O995" s="36"/>
      <c r="P995" s="36"/>
      <c r="Q995" s="36"/>
      <c r="R995" s="36"/>
      <c r="S995" s="36"/>
      <c r="T995" s="36"/>
      <c r="U995" s="36"/>
      <c r="V995" s="36"/>
      <c r="W995" s="36"/>
      <c r="X995" s="36"/>
      <c r="Y995" s="36"/>
      <c r="Z995" s="3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row>
    <row r="996" spans="1:57" ht="14.25" customHeight="1" x14ac:dyDescent="0.2">
      <c r="A996" s="36"/>
      <c r="B996" s="36"/>
      <c r="C996" s="35"/>
      <c r="D996" s="36"/>
      <c r="E996" s="36"/>
      <c r="F996" s="36"/>
      <c r="G996" s="36"/>
      <c r="H996" s="35"/>
      <c r="I996" s="35"/>
      <c r="J996" s="35"/>
      <c r="K996" s="36"/>
      <c r="L996" s="36"/>
      <c r="M996" s="36"/>
      <c r="N996" s="36"/>
      <c r="O996" s="36"/>
      <c r="P996" s="36"/>
      <c r="Q996" s="36"/>
      <c r="R996" s="36"/>
      <c r="S996" s="36"/>
      <c r="T996" s="36"/>
      <c r="U996" s="36"/>
      <c r="V996" s="36"/>
      <c r="W996" s="36"/>
      <c r="X996" s="36"/>
      <c r="Y996" s="36"/>
      <c r="Z996" s="3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row>
    <row r="997" spans="1:57" ht="14.25" customHeight="1" x14ac:dyDescent="0.2">
      <c r="A997" s="36"/>
      <c r="B997" s="36"/>
      <c r="C997" s="35"/>
      <c r="D997" s="36"/>
      <c r="E997" s="36"/>
      <c r="F997" s="36"/>
      <c r="G997" s="36"/>
      <c r="H997" s="35"/>
      <c r="I997" s="35"/>
      <c r="J997" s="35"/>
      <c r="K997" s="36"/>
      <c r="L997" s="36"/>
      <c r="M997" s="36"/>
      <c r="N997" s="36"/>
      <c r="O997" s="36"/>
      <c r="P997" s="36"/>
      <c r="Q997" s="36"/>
      <c r="R997" s="36"/>
      <c r="S997" s="36"/>
      <c r="T997" s="36"/>
      <c r="U997" s="36"/>
      <c r="V997" s="36"/>
      <c r="W997" s="36"/>
      <c r="X997" s="36"/>
      <c r="Y997" s="36"/>
      <c r="Z997" s="3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row>
    <row r="998" spans="1:57" ht="14.25" customHeight="1" x14ac:dyDescent="0.2">
      <c r="A998" s="36"/>
      <c r="B998" s="36"/>
      <c r="C998" s="35"/>
      <c r="D998" s="36"/>
      <c r="E998" s="36"/>
      <c r="F998" s="36"/>
      <c r="G998" s="36"/>
      <c r="H998" s="35"/>
      <c r="I998" s="35"/>
      <c r="J998" s="35"/>
      <c r="K998" s="36"/>
      <c r="L998" s="36"/>
      <c r="M998" s="36"/>
      <c r="N998" s="36"/>
      <c r="O998" s="36"/>
      <c r="P998" s="36"/>
      <c r="Q998" s="36"/>
      <c r="R998" s="36"/>
      <c r="S998" s="36"/>
      <c r="T998" s="36"/>
      <c r="U998" s="36"/>
      <c r="V998" s="36"/>
      <c r="W998" s="36"/>
      <c r="X998" s="36"/>
      <c r="Y998" s="36"/>
      <c r="Z998" s="3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row>
    <row r="999" spans="1:57" ht="14.25" customHeight="1" x14ac:dyDescent="0.2">
      <c r="A999" s="36"/>
      <c r="B999" s="36"/>
      <c r="C999" s="35"/>
      <c r="D999" s="36"/>
      <c r="E999" s="36"/>
      <c r="F999" s="36"/>
      <c r="G999" s="36"/>
      <c r="H999" s="35"/>
      <c r="I999" s="35"/>
      <c r="J999" s="35"/>
      <c r="K999" s="36"/>
      <c r="L999" s="36"/>
      <c r="M999" s="36"/>
      <c r="N999" s="36"/>
      <c r="O999" s="36"/>
      <c r="P999" s="36"/>
      <c r="Q999" s="36"/>
      <c r="R999" s="36"/>
      <c r="S999" s="36"/>
      <c r="T999" s="36"/>
      <c r="U999" s="36"/>
      <c r="V999" s="36"/>
      <c r="W999" s="36"/>
      <c r="X999" s="36"/>
      <c r="Y999" s="36"/>
      <c r="Z999" s="3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row>
    <row r="1000" spans="1:57" ht="14.25" customHeight="1" x14ac:dyDescent="0.2">
      <c r="A1000" s="36"/>
      <c r="B1000" s="36"/>
      <c r="C1000" s="35"/>
      <c r="D1000" s="36"/>
      <c r="E1000" s="36"/>
      <c r="F1000" s="36"/>
      <c r="G1000" s="36"/>
      <c r="H1000" s="35"/>
      <c r="I1000" s="35"/>
      <c r="J1000" s="35"/>
      <c r="K1000" s="36"/>
      <c r="L1000" s="36"/>
      <c r="M1000" s="36"/>
      <c r="N1000" s="36"/>
      <c r="O1000" s="36"/>
      <c r="P1000" s="36"/>
      <c r="Q1000" s="36"/>
      <c r="R1000" s="36"/>
      <c r="S1000" s="36"/>
      <c r="T1000" s="36"/>
      <c r="U1000" s="36"/>
      <c r="V1000" s="36"/>
      <c r="W1000" s="36"/>
      <c r="X1000" s="36"/>
      <c r="Y1000" s="36"/>
      <c r="Z1000" s="3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row>
  </sheetData>
  <dataValidations count="1">
    <dataValidation type="list" allowBlank="1" showErrorMessage="1" sqref="P2:T197 V2:V197 X2:Y197" xr:uid="{00000000-0002-0000-0400-000000000000}">
      <formula1>"Sí,No,En duda"</formula1>
    </dataValidation>
  </dataValidations>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980"/>
  <sheetViews>
    <sheetView tabSelected="1" topLeftCell="A20" workbookViewId="0">
      <selection activeCell="F31" sqref="F31"/>
    </sheetView>
  </sheetViews>
  <sheetFormatPr baseColWidth="10" defaultColWidth="14.5" defaultRowHeight="15" x14ac:dyDescent="0.2"/>
  <cols>
    <col min="7" max="7" width="17.83203125" customWidth="1"/>
    <col min="11" max="11" width="16.33203125" customWidth="1"/>
  </cols>
  <sheetData>
    <row r="1" spans="1:17" ht="88.5" customHeight="1" x14ac:dyDescent="0.2">
      <c r="A1" s="17" t="s">
        <v>0</v>
      </c>
      <c r="B1" s="17" t="s">
        <v>1</v>
      </c>
      <c r="C1" s="17" t="s">
        <v>2</v>
      </c>
      <c r="D1" s="17" t="s">
        <v>3</v>
      </c>
      <c r="E1" s="17" t="s">
        <v>4</v>
      </c>
      <c r="F1" s="17" t="s">
        <v>5</v>
      </c>
      <c r="G1" s="17" t="s">
        <v>6</v>
      </c>
      <c r="H1" s="17" t="s">
        <v>7</v>
      </c>
      <c r="I1" s="17" t="s">
        <v>8</v>
      </c>
      <c r="J1" s="17" t="s">
        <v>10</v>
      </c>
      <c r="K1" s="17" t="s">
        <v>11</v>
      </c>
      <c r="L1" s="17" t="s">
        <v>12</v>
      </c>
      <c r="M1" s="17" t="s">
        <v>13</v>
      </c>
      <c r="N1" s="17" t="s">
        <v>190</v>
      </c>
      <c r="O1" s="17" t="s">
        <v>191</v>
      </c>
      <c r="P1" s="17" t="s">
        <v>150</v>
      </c>
      <c r="Q1" s="17" t="s">
        <v>192</v>
      </c>
    </row>
    <row r="2" spans="1:17" ht="41.25" customHeight="1" x14ac:dyDescent="0.2">
      <c r="A2" s="34" t="s">
        <v>626</v>
      </c>
      <c r="B2" s="34" t="s">
        <v>627</v>
      </c>
      <c r="C2" s="34">
        <v>2026</v>
      </c>
      <c r="D2" s="34" t="s">
        <v>394</v>
      </c>
      <c r="E2" s="34" t="s">
        <v>629</v>
      </c>
      <c r="F2" s="34" t="s">
        <v>630</v>
      </c>
      <c r="G2" s="34" t="s">
        <v>274</v>
      </c>
      <c r="H2" s="34" t="s">
        <v>15</v>
      </c>
      <c r="I2" s="34" t="s">
        <v>253</v>
      </c>
      <c r="J2" s="34" t="s">
        <v>628</v>
      </c>
      <c r="K2" s="36" t="s">
        <v>631</v>
      </c>
      <c r="L2" s="36"/>
      <c r="M2" s="35" t="s">
        <v>220</v>
      </c>
      <c r="N2" s="35"/>
      <c r="O2" s="35"/>
      <c r="P2" s="35"/>
      <c r="Q2" s="35"/>
    </row>
    <row r="3" spans="1:17" ht="41.25" customHeight="1" x14ac:dyDescent="0.2">
      <c r="A3" s="34" t="s">
        <v>1759</v>
      </c>
      <c r="B3" s="34" t="s">
        <v>1760</v>
      </c>
      <c r="C3" s="34">
        <v>2020</v>
      </c>
      <c r="D3" s="34" t="s">
        <v>371</v>
      </c>
      <c r="E3" s="34" t="s">
        <v>1762</v>
      </c>
      <c r="F3" s="34" t="s">
        <v>1763</v>
      </c>
      <c r="G3" s="34" t="s">
        <v>376</v>
      </c>
      <c r="H3" s="34" t="s">
        <v>15</v>
      </c>
      <c r="I3" s="34" t="s">
        <v>253</v>
      </c>
      <c r="J3" s="34" t="s">
        <v>1761</v>
      </c>
      <c r="K3" s="36" t="s">
        <v>1764</v>
      </c>
      <c r="L3" s="36"/>
      <c r="M3" s="35" t="s">
        <v>220</v>
      </c>
      <c r="N3" s="35"/>
      <c r="O3" s="35"/>
      <c r="P3" s="35"/>
      <c r="Q3" s="35"/>
    </row>
    <row r="4" spans="1:17" ht="41.25" customHeight="1" x14ac:dyDescent="0.2">
      <c r="A4" s="34" t="s">
        <v>1389</v>
      </c>
      <c r="B4" s="34" t="s">
        <v>1390</v>
      </c>
      <c r="C4" s="34">
        <v>2025</v>
      </c>
      <c r="D4" s="34" t="s">
        <v>1391</v>
      </c>
      <c r="E4" s="34" t="s">
        <v>1393</v>
      </c>
      <c r="F4" s="34" t="s">
        <v>1394</v>
      </c>
      <c r="G4" s="34" t="s">
        <v>1395</v>
      </c>
      <c r="H4" s="34" t="s">
        <v>15</v>
      </c>
      <c r="I4" s="34" t="s">
        <v>253</v>
      </c>
      <c r="J4" s="34" t="s">
        <v>1392</v>
      </c>
      <c r="K4" s="36" t="s">
        <v>1821</v>
      </c>
      <c r="L4" s="36"/>
      <c r="M4" s="35" t="s">
        <v>220</v>
      </c>
      <c r="N4" s="35"/>
      <c r="O4" s="35"/>
      <c r="P4" s="35"/>
      <c r="Q4" s="35"/>
    </row>
    <row r="5" spans="1:17" ht="41.25" customHeight="1" x14ac:dyDescent="0.2">
      <c r="A5" s="34" t="s">
        <v>1030</v>
      </c>
      <c r="B5" s="34" t="s">
        <v>1031</v>
      </c>
      <c r="C5" s="34">
        <v>2023</v>
      </c>
      <c r="D5" s="34" t="s">
        <v>345</v>
      </c>
      <c r="E5" s="34" t="s">
        <v>1033</v>
      </c>
      <c r="F5" s="34" t="s">
        <v>1034</v>
      </c>
      <c r="G5" s="34" t="s">
        <v>350</v>
      </c>
      <c r="H5" s="34" t="s">
        <v>15</v>
      </c>
      <c r="I5" s="34" t="s">
        <v>253</v>
      </c>
      <c r="J5" s="34" t="s">
        <v>1032</v>
      </c>
      <c r="K5" s="36" t="s">
        <v>1035</v>
      </c>
      <c r="L5" s="36"/>
      <c r="M5" s="35" t="s">
        <v>220</v>
      </c>
      <c r="N5" s="35"/>
      <c r="O5" s="35"/>
      <c r="P5" s="35"/>
      <c r="Q5" s="35"/>
    </row>
    <row r="6" spans="1:17" ht="41.25" customHeight="1" x14ac:dyDescent="0.2">
      <c r="A6" s="34" t="s">
        <v>245</v>
      </c>
      <c r="B6" s="34" t="s">
        <v>246</v>
      </c>
      <c r="C6" s="34">
        <v>2025</v>
      </c>
      <c r="D6" s="34" t="s">
        <v>247</v>
      </c>
      <c r="E6" s="34" t="s">
        <v>249</v>
      </c>
      <c r="F6" s="34" t="s">
        <v>250</v>
      </c>
      <c r="G6" s="34" t="s">
        <v>252</v>
      </c>
      <c r="H6" s="34" t="s">
        <v>15</v>
      </c>
      <c r="I6" s="34" t="s">
        <v>253</v>
      </c>
      <c r="J6" s="34" t="s">
        <v>248</v>
      </c>
      <c r="K6" s="36" t="s">
        <v>251</v>
      </c>
      <c r="L6" s="36"/>
      <c r="M6" s="35" t="s">
        <v>220</v>
      </c>
      <c r="N6" s="35"/>
      <c r="O6" s="35"/>
      <c r="P6" s="35"/>
      <c r="Q6" s="35"/>
    </row>
    <row r="7" spans="1:17" ht="41.25" customHeight="1" x14ac:dyDescent="0.2">
      <c r="A7" s="34" t="s">
        <v>254</v>
      </c>
      <c r="B7" s="34" t="s">
        <v>255</v>
      </c>
      <c r="C7" s="34">
        <v>2024</v>
      </c>
      <c r="D7" s="34" t="s">
        <v>256</v>
      </c>
      <c r="E7" s="34" t="s">
        <v>258</v>
      </c>
      <c r="F7" s="34">
        <v>0</v>
      </c>
      <c r="G7" s="34" t="s">
        <v>260</v>
      </c>
      <c r="H7" s="34" t="s">
        <v>15</v>
      </c>
      <c r="I7" s="34" t="s">
        <v>253</v>
      </c>
      <c r="J7" s="34" t="s">
        <v>257</v>
      </c>
      <c r="K7" s="36" t="s">
        <v>259</v>
      </c>
      <c r="L7" s="36"/>
      <c r="M7" s="35" t="s">
        <v>220</v>
      </c>
      <c r="N7" s="35"/>
      <c r="O7" s="35"/>
      <c r="P7" s="35"/>
      <c r="Q7" s="35"/>
    </row>
    <row r="8" spans="1:17" ht="41.25" customHeight="1" x14ac:dyDescent="0.2">
      <c r="A8" s="34" t="s">
        <v>267</v>
      </c>
      <c r="B8" s="34" t="s">
        <v>268</v>
      </c>
      <c r="C8" s="34">
        <v>2025</v>
      </c>
      <c r="D8" s="34" t="s">
        <v>269</v>
      </c>
      <c r="E8" s="34" t="s">
        <v>271</v>
      </c>
      <c r="F8" s="34" t="s">
        <v>272</v>
      </c>
      <c r="G8" s="34" t="s">
        <v>274</v>
      </c>
      <c r="H8" s="34" t="s">
        <v>15</v>
      </c>
      <c r="I8" s="34" t="s">
        <v>253</v>
      </c>
      <c r="J8" s="34" t="s">
        <v>270</v>
      </c>
      <c r="K8" s="36" t="s">
        <v>273</v>
      </c>
      <c r="L8" s="36"/>
      <c r="M8" s="35" t="s">
        <v>220</v>
      </c>
      <c r="N8" s="35"/>
      <c r="O8" s="35"/>
      <c r="P8" s="35"/>
      <c r="Q8" s="35"/>
    </row>
    <row r="9" spans="1:17" ht="63" customHeight="1" x14ac:dyDescent="0.2">
      <c r="A9" s="34" t="s">
        <v>275</v>
      </c>
      <c r="B9" s="34" t="s">
        <v>276</v>
      </c>
      <c r="C9" s="34">
        <v>2026</v>
      </c>
      <c r="D9" s="34" t="s">
        <v>277</v>
      </c>
      <c r="E9" s="34" t="s">
        <v>279</v>
      </c>
      <c r="F9" s="34" t="s">
        <v>280</v>
      </c>
      <c r="G9" s="34" t="s">
        <v>282</v>
      </c>
      <c r="H9" s="34" t="s">
        <v>15</v>
      </c>
      <c r="I9" s="34" t="s">
        <v>253</v>
      </c>
      <c r="J9" s="34" t="s">
        <v>278</v>
      </c>
      <c r="K9" s="36" t="s">
        <v>281</v>
      </c>
      <c r="L9" s="36"/>
      <c r="M9" s="35" t="s">
        <v>220</v>
      </c>
      <c r="N9" s="35"/>
      <c r="O9" s="35"/>
      <c r="P9" s="35"/>
      <c r="Q9" s="35"/>
    </row>
    <row r="10" spans="1:17" ht="66" customHeight="1" x14ac:dyDescent="0.2">
      <c r="A10" s="34" t="s">
        <v>652</v>
      </c>
      <c r="B10" s="34" t="s">
        <v>653</v>
      </c>
      <c r="C10" s="34">
        <v>2023</v>
      </c>
      <c r="D10" s="34" t="s">
        <v>654</v>
      </c>
      <c r="E10" s="34" t="s">
        <v>656</v>
      </c>
      <c r="F10" s="34" t="s">
        <v>657</v>
      </c>
      <c r="G10" s="34" t="s">
        <v>228</v>
      </c>
      <c r="H10" s="34" t="s">
        <v>15</v>
      </c>
      <c r="I10" s="34" t="s">
        <v>253</v>
      </c>
      <c r="J10" s="34" t="s">
        <v>655</v>
      </c>
      <c r="K10" s="36" t="s">
        <v>658</v>
      </c>
      <c r="L10" s="36"/>
      <c r="M10" s="35" t="s">
        <v>220</v>
      </c>
      <c r="N10" s="35"/>
      <c r="O10" s="35"/>
      <c r="P10" s="35"/>
      <c r="Q10" s="35"/>
    </row>
    <row r="11" spans="1:17" ht="41.25" customHeight="1" x14ac:dyDescent="0.2">
      <c r="A11" s="34" t="s">
        <v>1421</v>
      </c>
      <c r="B11" s="34" t="s">
        <v>1422</v>
      </c>
      <c r="C11" s="34">
        <v>2023</v>
      </c>
      <c r="D11" s="34" t="s">
        <v>277</v>
      </c>
      <c r="E11" s="34" t="s">
        <v>1424</v>
      </c>
      <c r="F11" s="34" t="s">
        <v>1425</v>
      </c>
      <c r="G11" s="34" t="s">
        <v>586</v>
      </c>
      <c r="H11" s="34" t="s">
        <v>15</v>
      </c>
      <c r="I11" s="34" t="s">
        <v>253</v>
      </c>
      <c r="J11" s="34" t="s">
        <v>1423</v>
      </c>
      <c r="K11" s="36" t="s">
        <v>1822</v>
      </c>
      <c r="L11" s="36"/>
      <c r="M11" s="35" t="s">
        <v>220</v>
      </c>
      <c r="N11" s="36"/>
      <c r="O11" s="36"/>
      <c r="P11" s="36"/>
      <c r="Q11" s="35"/>
    </row>
    <row r="12" spans="1:17" ht="41.25" customHeight="1" x14ac:dyDescent="0.2">
      <c r="A12" s="34" t="s">
        <v>665</v>
      </c>
      <c r="B12" s="34" t="s">
        <v>666</v>
      </c>
      <c r="C12" s="34">
        <v>2022</v>
      </c>
      <c r="D12" s="34" t="s">
        <v>385</v>
      </c>
      <c r="E12" s="34" t="s">
        <v>668</v>
      </c>
      <c r="F12" s="34" t="s">
        <v>669</v>
      </c>
      <c r="G12" s="34" t="s">
        <v>586</v>
      </c>
      <c r="H12" s="34" t="s">
        <v>15</v>
      </c>
      <c r="I12" s="34" t="s">
        <v>253</v>
      </c>
      <c r="J12" s="34" t="s">
        <v>667</v>
      </c>
      <c r="K12" s="36" t="s">
        <v>670</v>
      </c>
      <c r="L12" s="36"/>
      <c r="M12" s="35" t="s">
        <v>220</v>
      </c>
      <c r="N12" s="35"/>
      <c r="O12" s="35"/>
      <c r="P12" s="35"/>
      <c r="Q12" s="35"/>
    </row>
    <row r="13" spans="1:17" ht="41.25" customHeight="1" x14ac:dyDescent="0.2">
      <c r="A13" s="34" t="s">
        <v>671</v>
      </c>
      <c r="B13" s="34" t="s">
        <v>672</v>
      </c>
      <c r="C13" s="34">
        <v>2024</v>
      </c>
      <c r="D13" s="34" t="s">
        <v>673</v>
      </c>
      <c r="E13" s="34" t="s">
        <v>675</v>
      </c>
      <c r="F13" s="34" t="s">
        <v>676</v>
      </c>
      <c r="G13" s="34" t="s">
        <v>282</v>
      </c>
      <c r="H13" s="34" t="s">
        <v>15</v>
      </c>
      <c r="I13" s="34" t="s">
        <v>253</v>
      </c>
      <c r="J13" s="34" t="s">
        <v>674</v>
      </c>
      <c r="K13" s="36" t="s">
        <v>677</v>
      </c>
      <c r="L13" s="36"/>
      <c r="M13" s="35" t="s">
        <v>220</v>
      </c>
      <c r="N13" s="35"/>
      <c r="O13" s="35"/>
      <c r="P13" s="35"/>
      <c r="Q13" s="35"/>
    </row>
    <row r="14" spans="1:17" ht="41.25" customHeight="1" x14ac:dyDescent="0.2">
      <c r="A14" s="34" t="s">
        <v>288</v>
      </c>
      <c r="B14" s="34" t="s">
        <v>289</v>
      </c>
      <c r="C14" s="34">
        <v>2022</v>
      </c>
      <c r="D14" s="34" t="s">
        <v>290</v>
      </c>
      <c r="E14" s="34" t="s">
        <v>292</v>
      </c>
      <c r="F14" s="34" t="s">
        <v>293</v>
      </c>
      <c r="G14" s="34" t="s">
        <v>228</v>
      </c>
      <c r="H14" s="34" t="s">
        <v>15</v>
      </c>
      <c r="I14" s="34" t="s">
        <v>253</v>
      </c>
      <c r="J14" s="34" t="s">
        <v>291</v>
      </c>
      <c r="K14" s="36" t="s">
        <v>294</v>
      </c>
      <c r="L14" s="36"/>
      <c r="M14" s="35" t="s">
        <v>220</v>
      </c>
      <c r="N14" s="36"/>
      <c r="O14" s="36"/>
      <c r="P14" s="36"/>
      <c r="Q14" s="35"/>
    </row>
    <row r="15" spans="1:17" ht="41.25" customHeight="1" x14ac:dyDescent="0.2">
      <c r="A15" s="34" t="s">
        <v>684</v>
      </c>
      <c r="B15" s="34" t="s">
        <v>685</v>
      </c>
      <c r="C15" s="34">
        <v>2025</v>
      </c>
      <c r="D15" s="34" t="s">
        <v>686</v>
      </c>
      <c r="E15" s="34" t="s">
        <v>688</v>
      </c>
      <c r="F15" s="34" t="s">
        <v>689</v>
      </c>
      <c r="G15" s="34" t="s">
        <v>691</v>
      </c>
      <c r="H15" s="34" t="s">
        <v>15</v>
      </c>
      <c r="I15" s="34" t="s">
        <v>253</v>
      </c>
      <c r="J15" s="34" t="s">
        <v>687</v>
      </c>
      <c r="K15" s="36" t="s">
        <v>690</v>
      </c>
      <c r="L15" s="36"/>
      <c r="M15" s="35" t="s">
        <v>220</v>
      </c>
      <c r="N15" s="35"/>
      <c r="O15" s="35"/>
      <c r="P15" s="35"/>
      <c r="Q15" s="35"/>
    </row>
    <row r="16" spans="1:17" ht="41.25" customHeight="1" x14ac:dyDescent="0.2">
      <c r="A16" s="34" t="s">
        <v>315</v>
      </c>
      <c r="B16" s="34" t="s">
        <v>316</v>
      </c>
      <c r="C16" s="34">
        <v>2024</v>
      </c>
      <c r="D16" s="34" t="s">
        <v>317</v>
      </c>
      <c r="E16" s="34" t="s">
        <v>319</v>
      </c>
      <c r="F16" s="34" t="s">
        <v>320</v>
      </c>
      <c r="G16" s="34" t="s">
        <v>322</v>
      </c>
      <c r="H16" s="34" t="s">
        <v>15</v>
      </c>
      <c r="I16" s="34" t="s">
        <v>253</v>
      </c>
      <c r="J16" s="34" t="s">
        <v>318</v>
      </c>
      <c r="K16" s="36" t="s">
        <v>321</v>
      </c>
      <c r="L16" s="36"/>
      <c r="M16" s="35" t="s">
        <v>220</v>
      </c>
      <c r="N16" s="35"/>
      <c r="O16" s="35"/>
      <c r="P16" s="35"/>
      <c r="Q16" s="35"/>
    </row>
    <row r="17" spans="1:17" ht="41.25" customHeight="1" x14ac:dyDescent="0.2">
      <c r="A17" s="34" t="s">
        <v>1060</v>
      </c>
      <c r="B17" s="34" t="s">
        <v>1061</v>
      </c>
      <c r="C17" s="34">
        <v>2025</v>
      </c>
      <c r="D17" s="34" t="s">
        <v>1062</v>
      </c>
      <c r="E17" s="34" t="s">
        <v>1064</v>
      </c>
      <c r="F17" s="34" t="s">
        <v>1065</v>
      </c>
      <c r="G17" s="34" t="s">
        <v>691</v>
      </c>
      <c r="H17" s="34" t="s">
        <v>15</v>
      </c>
      <c r="I17" s="34" t="s">
        <v>253</v>
      </c>
      <c r="J17" s="34" t="s">
        <v>1063</v>
      </c>
      <c r="K17" s="36" t="s">
        <v>1066</v>
      </c>
      <c r="L17" s="36"/>
      <c r="M17" s="35"/>
      <c r="N17" s="35" t="s">
        <v>220</v>
      </c>
      <c r="O17" s="35"/>
      <c r="P17" s="35"/>
      <c r="Q17" s="35"/>
    </row>
    <row r="18" spans="1:17" ht="41.25" customHeight="1" x14ac:dyDescent="0.2">
      <c r="A18" s="34" t="s">
        <v>705</v>
      </c>
      <c r="B18" s="34" t="s">
        <v>706</v>
      </c>
      <c r="C18" s="34">
        <v>2026</v>
      </c>
      <c r="D18" s="34" t="s">
        <v>707</v>
      </c>
      <c r="E18" s="34" t="s">
        <v>709</v>
      </c>
      <c r="F18" s="34" t="s">
        <v>710</v>
      </c>
      <c r="G18" s="34" t="s">
        <v>252</v>
      </c>
      <c r="H18" s="34" t="s">
        <v>15</v>
      </c>
      <c r="I18" s="34" t="s">
        <v>253</v>
      </c>
      <c r="J18" s="34" t="s">
        <v>708</v>
      </c>
      <c r="K18" s="36" t="s">
        <v>711</v>
      </c>
      <c r="L18" s="36"/>
      <c r="M18" s="35"/>
      <c r="N18" s="35" t="s">
        <v>220</v>
      </c>
      <c r="O18" s="35"/>
      <c r="P18" s="35"/>
      <c r="Q18" s="35"/>
    </row>
    <row r="19" spans="1:17" ht="41.25" customHeight="1" x14ac:dyDescent="0.2">
      <c r="A19" s="34" t="s">
        <v>1079</v>
      </c>
      <c r="B19" s="34" t="s">
        <v>1080</v>
      </c>
      <c r="C19" s="34">
        <v>2023</v>
      </c>
      <c r="D19" s="34" t="s">
        <v>1081</v>
      </c>
      <c r="E19" s="34" t="s">
        <v>1083</v>
      </c>
      <c r="F19" s="34" t="s">
        <v>1084</v>
      </c>
      <c r="G19" s="34" t="s">
        <v>1086</v>
      </c>
      <c r="H19" s="34" t="s">
        <v>15</v>
      </c>
      <c r="I19" s="34" t="s">
        <v>253</v>
      </c>
      <c r="J19" s="34" t="s">
        <v>1082</v>
      </c>
      <c r="K19" s="36" t="s">
        <v>1085</v>
      </c>
      <c r="L19" s="36"/>
      <c r="M19" s="35"/>
      <c r="N19" s="35" t="s">
        <v>220</v>
      </c>
      <c r="O19" s="35"/>
      <c r="P19" s="35"/>
      <c r="Q19" s="35"/>
    </row>
    <row r="20" spans="1:17" ht="41.25" customHeight="1" x14ac:dyDescent="0.2">
      <c r="A20" s="34" t="s">
        <v>1765</v>
      </c>
      <c r="B20" s="34" t="s">
        <v>1766</v>
      </c>
      <c r="C20" s="34">
        <v>2020</v>
      </c>
      <c r="D20" s="34" t="s">
        <v>1767</v>
      </c>
      <c r="E20" s="34" t="s">
        <v>1769</v>
      </c>
      <c r="F20" s="34">
        <v>0</v>
      </c>
      <c r="G20" s="34" t="s">
        <v>457</v>
      </c>
      <c r="H20" s="34" t="s">
        <v>15</v>
      </c>
      <c r="I20" s="34" t="s">
        <v>253</v>
      </c>
      <c r="J20" s="34" t="s">
        <v>1768</v>
      </c>
      <c r="K20" s="36" t="s">
        <v>1770</v>
      </c>
      <c r="L20" s="36"/>
      <c r="M20" s="35"/>
      <c r="N20" s="35" t="s">
        <v>220</v>
      </c>
      <c r="O20" s="35"/>
      <c r="P20" s="35"/>
      <c r="Q20" s="35"/>
    </row>
    <row r="21" spans="1:17" ht="41.25" customHeight="1" x14ac:dyDescent="0.2">
      <c r="A21" s="34" t="s">
        <v>718</v>
      </c>
      <c r="B21" s="34" t="s">
        <v>719</v>
      </c>
      <c r="C21" s="34">
        <v>2025</v>
      </c>
      <c r="D21" s="34" t="s">
        <v>460</v>
      </c>
      <c r="E21" s="34" t="s">
        <v>721</v>
      </c>
      <c r="F21" s="34" t="s">
        <v>722</v>
      </c>
      <c r="G21" s="34" t="s">
        <v>465</v>
      </c>
      <c r="H21" s="34" t="s">
        <v>15</v>
      </c>
      <c r="I21" s="34" t="s">
        <v>253</v>
      </c>
      <c r="J21" s="34" t="s">
        <v>720</v>
      </c>
      <c r="K21" s="36" t="s">
        <v>723</v>
      </c>
      <c r="L21" s="34"/>
      <c r="M21" s="34"/>
      <c r="N21" s="35" t="s">
        <v>220</v>
      </c>
      <c r="O21" s="34"/>
      <c r="P21" s="34"/>
      <c r="Q21" s="34"/>
    </row>
    <row r="22" spans="1:17" ht="41.25" customHeight="1" x14ac:dyDescent="0.2">
      <c r="A22" s="34" t="s">
        <v>343</v>
      </c>
      <c r="B22" s="34" t="s">
        <v>344</v>
      </c>
      <c r="C22" s="34">
        <v>2025</v>
      </c>
      <c r="D22" s="34" t="s">
        <v>345</v>
      </c>
      <c r="E22" s="34" t="s">
        <v>347</v>
      </c>
      <c r="F22" s="34" t="s">
        <v>348</v>
      </c>
      <c r="G22" s="34" t="s">
        <v>350</v>
      </c>
      <c r="H22" s="34" t="s">
        <v>15</v>
      </c>
      <c r="I22" s="34" t="s">
        <v>253</v>
      </c>
      <c r="J22" s="34" t="s">
        <v>346</v>
      </c>
      <c r="K22" s="36" t="s">
        <v>349</v>
      </c>
      <c r="L22" s="34"/>
      <c r="M22" s="34"/>
      <c r="N22" s="35" t="s">
        <v>220</v>
      </c>
      <c r="O22" s="34"/>
      <c r="P22" s="34"/>
      <c r="Q22" s="34"/>
    </row>
    <row r="23" spans="1:17" ht="41.25" customHeight="1" x14ac:dyDescent="0.2">
      <c r="A23" s="34" t="s">
        <v>724</v>
      </c>
      <c r="B23" s="34" t="s">
        <v>725</v>
      </c>
      <c r="C23" s="34">
        <v>2022</v>
      </c>
      <c r="D23" s="34" t="s">
        <v>394</v>
      </c>
      <c r="E23" s="34" t="s">
        <v>727</v>
      </c>
      <c r="F23" s="34" t="s">
        <v>728</v>
      </c>
      <c r="G23" s="34" t="s">
        <v>274</v>
      </c>
      <c r="H23" s="34" t="s">
        <v>15</v>
      </c>
      <c r="I23" s="34" t="s">
        <v>253</v>
      </c>
      <c r="J23" s="34" t="s">
        <v>726</v>
      </c>
      <c r="K23" s="36" t="s">
        <v>729</v>
      </c>
      <c r="L23" s="34"/>
      <c r="M23" s="34"/>
      <c r="N23" s="35" t="s">
        <v>220</v>
      </c>
      <c r="O23" s="34"/>
      <c r="P23" s="34"/>
      <c r="Q23" s="34"/>
    </row>
    <row r="24" spans="1:17" ht="41.25" customHeight="1" x14ac:dyDescent="0.2">
      <c r="A24" s="34" t="s">
        <v>1463</v>
      </c>
      <c r="B24" s="34" t="s">
        <v>1464</v>
      </c>
      <c r="C24" s="34">
        <v>2022</v>
      </c>
      <c r="D24" s="34" t="s">
        <v>297</v>
      </c>
      <c r="E24" s="34" t="s">
        <v>1466</v>
      </c>
      <c r="F24" s="34" t="s">
        <v>1467</v>
      </c>
      <c r="G24" s="34" t="s">
        <v>586</v>
      </c>
      <c r="H24" s="34" t="s">
        <v>15</v>
      </c>
      <c r="I24" s="34" t="s">
        <v>253</v>
      </c>
      <c r="J24" s="34" t="s">
        <v>1465</v>
      </c>
      <c r="K24" s="36" t="s">
        <v>1468</v>
      </c>
      <c r="L24" s="34"/>
      <c r="M24" s="34"/>
      <c r="N24" s="34"/>
      <c r="O24" s="34" t="s">
        <v>220</v>
      </c>
      <c r="P24" s="34"/>
      <c r="Q24" s="34"/>
    </row>
    <row r="25" spans="1:17" ht="41.25" customHeight="1" x14ac:dyDescent="0.2">
      <c r="A25" s="34" t="s">
        <v>736</v>
      </c>
      <c r="B25" s="34" t="s">
        <v>737</v>
      </c>
      <c r="C25" s="34">
        <v>2023</v>
      </c>
      <c r="D25" s="34" t="s">
        <v>738</v>
      </c>
      <c r="E25" s="34" t="s">
        <v>740</v>
      </c>
      <c r="F25" s="34" t="s">
        <v>741</v>
      </c>
      <c r="G25" s="34" t="s">
        <v>743</v>
      </c>
      <c r="H25" s="34" t="s">
        <v>15</v>
      </c>
      <c r="I25" s="34" t="s">
        <v>253</v>
      </c>
      <c r="J25" s="34" t="s">
        <v>739</v>
      </c>
      <c r="K25" s="36" t="s">
        <v>742</v>
      </c>
      <c r="L25" s="34"/>
      <c r="M25" s="34"/>
      <c r="N25" s="34"/>
      <c r="O25" s="34" t="s">
        <v>220</v>
      </c>
      <c r="P25" s="34"/>
      <c r="Q25" s="34"/>
    </row>
    <row r="26" spans="1:17" ht="41.25" customHeight="1" x14ac:dyDescent="0.2">
      <c r="A26" s="34" t="s">
        <v>750</v>
      </c>
      <c r="B26" s="34" t="s">
        <v>751</v>
      </c>
      <c r="C26" s="34">
        <v>2024</v>
      </c>
      <c r="D26" s="34" t="s">
        <v>394</v>
      </c>
      <c r="E26" s="34" t="s">
        <v>753</v>
      </c>
      <c r="F26" s="34" t="s">
        <v>754</v>
      </c>
      <c r="G26" s="34" t="s">
        <v>274</v>
      </c>
      <c r="H26" s="34" t="s">
        <v>15</v>
      </c>
      <c r="I26" s="34" t="s">
        <v>253</v>
      </c>
      <c r="J26" s="34" t="s">
        <v>752</v>
      </c>
      <c r="K26" s="36" t="s">
        <v>755</v>
      </c>
      <c r="L26" s="34"/>
      <c r="M26" s="34"/>
      <c r="N26" s="34"/>
      <c r="O26" s="34" t="s">
        <v>220</v>
      </c>
      <c r="P26" s="34"/>
      <c r="Q26" s="34"/>
    </row>
    <row r="27" spans="1:17" ht="41.25" customHeight="1" x14ac:dyDescent="0.2">
      <c r="A27" s="34" t="s">
        <v>363</v>
      </c>
      <c r="B27" s="34" t="s">
        <v>364</v>
      </c>
      <c r="C27" s="34">
        <v>2025</v>
      </c>
      <c r="D27" s="34" t="s">
        <v>277</v>
      </c>
      <c r="E27" s="34" t="s">
        <v>366</v>
      </c>
      <c r="F27" s="34" t="s">
        <v>367</v>
      </c>
      <c r="G27" s="34" t="s">
        <v>282</v>
      </c>
      <c r="H27" s="34" t="s">
        <v>15</v>
      </c>
      <c r="I27" s="34" t="s">
        <v>253</v>
      </c>
      <c r="J27" s="34" t="s">
        <v>365</v>
      </c>
      <c r="K27" s="36" t="s">
        <v>368</v>
      </c>
      <c r="L27" s="34"/>
      <c r="M27" s="34"/>
      <c r="N27" s="34"/>
      <c r="O27" s="34" t="s">
        <v>220</v>
      </c>
      <c r="P27" s="34"/>
      <c r="Q27" s="34"/>
    </row>
    <row r="28" spans="1:17" ht="41.25" customHeight="1" x14ac:dyDescent="0.2">
      <c r="A28" s="34" t="s">
        <v>1122</v>
      </c>
      <c r="B28" s="34" t="s">
        <v>1123</v>
      </c>
      <c r="C28" s="34">
        <v>2026</v>
      </c>
      <c r="D28" s="34" t="s">
        <v>1124</v>
      </c>
      <c r="E28" s="34" t="s">
        <v>1126</v>
      </c>
      <c r="F28" s="34" t="s">
        <v>1127</v>
      </c>
      <c r="G28" s="34" t="s">
        <v>260</v>
      </c>
      <c r="H28" s="34" t="s">
        <v>15</v>
      </c>
      <c r="I28" s="34" t="s">
        <v>253</v>
      </c>
      <c r="J28" s="34" t="s">
        <v>1125</v>
      </c>
      <c r="K28" s="36" t="s">
        <v>1128</v>
      </c>
      <c r="L28" s="34"/>
      <c r="M28" s="34"/>
      <c r="N28" s="34"/>
      <c r="O28" s="34" t="s">
        <v>220</v>
      </c>
      <c r="P28" s="34"/>
      <c r="Q28" s="34"/>
    </row>
    <row r="29" spans="1:17" ht="41.25" customHeight="1" x14ac:dyDescent="0.2">
      <c r="A29" s="34" t="s">
        <v>369</v>
      </c>
      <c r="B29" s="34" t="s">
        <v>370</v>
      </c>
      <c r="C29" s="34">
        <v>2022</v>
      </c>
      <c r="D29" s="34" t="s">
        <v>371</v>
      </c>
      <c r="E29" s="34" t="s">
        <v>373</v>
      </c>
      <c r="F29" s="34" t="s">
        <v>374</v>
      </c>
      <c r="G29" s="34" t="s">
        <v>376</v>
      </c>
      <c r="H29" s="34" t="s">
        <v>15</v>
      </c>
      <c r="I29" s="34" t="s">
        <v>253</v>
      </c>
      <c r="J29" s="34" t="s">
        <v>372</v>
      </c>
      <c r="K29" s="36" t="s">
        <v>375</v>
      </c>
      <c r="L29" s="34"/>
      <c r="M29" s="34"/>
      <c r="N29" s="34"/>
      <c r="O29" s="34"/>
      <c r="P29" s="34" t="s">
        <v>220</v>
      </c>
      <c r="Q29" s="34"/>
    </row>
    <row r="30" spans="1:17" ht="41.25" customHeight="1" x14ac:dyDescent="0.2">
      <c r="A30" s="34" t="s">
        <v>1771</v>
      </c>
      <c r="B30" s="34" t="s">
        <v>1772</v>
      </c>
      <c r="C30" s="34">
        <v>2021</v>
      </c>
      <c r="D30" s="34" t="s">
        <v>1773</v>
      </c>
      <c r="E30" s="34" t="s">
        <v>1775</v>
      </c>
      <c r="F30" s="34" t="s">
        <v>1776</v>
      </c>
      <c r="G30" s="34" t="s">
        <v>1778</v>
      </c>
      <c r="H30" s="34" t="s">
        <v>15</v>
      </c>
      <c r="I30" s="34" t="s">
        <v>253</v>
      </c>
      <c r="J30" s="34" t="s">
        <v>1774</v>
      </c>
      <c r="K30" s="36" t="s">
        <v>1777</v>
      </c>
      <c r="L30" s="34"/>
      <c r="M30" s="34"/>
      <c r="N30" s="34"/>
      <c r="O30" s="34"/>
      <c r="P30" s="34" t="s">
        <v>220</v>
      </c>
      <c r="Q30" s="34"/>
    </row>
    <row r="31" spans="1:17" ht="41.25" customHeight="1" x14ac:dyDescent="0.2">
      <c r="A31" s="34" t="s">
        <v>1140</v>
      </c>
      <c r="B31" s="34" t="s">
        <v>1141</v>
      </c>
      <c r="C31" s="34">
        <v>2022</v>
      </c>
      <c r="D31" s="34" t="s">
        <v>1142</v>
      </c>
      <c r="E31" s="34" t="s">
        <v>1144</v>
      </c>
      <c r="F31" s="34" t="s">
        <v>1145</v>
      </c>
      <c r="G31" s="34" t="s">
        <v>238</v>
      </c>
      <c r="H31" s="34" t="s">
        <v>15</v>
      </c>
      <c r="I31" s="34" t="s">
        <v>253</v>
      </c>
      <c r="J31" s="34" t="s">
        <v>1143</v>
      </c>
      <c r="K31" s="36" t="s">
        <v>1146</v>
      </c>
      <c r="L31" s="36"/>
      <c r="M31" s="36"/>
      <c r="N31" s="36"/>
      <c r="O31" s="36"/>
      <c r="P31" s="34" t="s">
        <v>220</v>
      </c>
      <c r="Q31" s="35"/>
    </row>
    <row r="32" spans="1:17" ht="41.25" customHeight="1" x14ac:dyDescent="0.2">
      <c r="A32" s="34"/>
      <c r="B32" s="34"/>
      <c r="C32" s="4"/>
      <c r="D32" s="34"/>
      <c r="E32" s="34"/>
      <c r="F32" s="34"/>
      <c r="G32" s="34"/>
      <c r="H32" s="35"/>
      <c r="I32" s="35"/>
      <c r="J32" s="36"/>
      <c r="K32" s="36"/>
      <c r="L32" s="36"/>
      <c r="M32" s="35"/>
      <c r="N32" s="35"/>
      <c r="O32" s="35"/>
      <c r="P32" s="35"/>
      <c r="Q32" s="35"/>
    </row>
    <row r="33" spans="1:17" ht="41.25" customHeight="1" x14ac:dyDescent="0.2">
      <c r="A33" s="34"/>
      <c r="B33" s="34"/>
      <c r="C33" s="4"/>
      <c r="D33" s="34"/>
      <c r="E33" s="34"/>
      <c r="F33" s="34"/>
      <c r="G33" s="34"/>
      <c r="H33" s="35"/>
      <c r="I33" s="35"/>
      <c r="J33" s="36"/>
      <c r="K33" s="36"/>
      <c r="L33" s="36"/>
      <c r="M33" s="35"/>
      <c r="N33" s="35"/>
      <c r="O33" s="35"/>
      <c r="P33" s="35"/>
      <c r="Q33" s="35"/>
    </row>
    <row r="34" spans="1:17" ht="41.25" customHeight="1" x14ac:dyDescent="0.2">
      <c r="A34" s="34"/>
      <c r="B34" s="34"/>
      <c r="C34" s="4"/>
      <c r="D34" s="34"/>
      <c r="E34" s="34"/>
      <c r="F34" s="34"/>
      <c r="G34" s="34"/>
      <c r="H34" s="35"/>
      <c r="I34" s="35"/>
      <c r="J34" s="36"/>
      <c r="K34" s="36"/>
      <c r="L34" s="36"/>
      <c r="M34" s="35"/>
      <c r="N34" s="35"/>
      <c r="O34" s="35"/>
      <c r="P34" s="35"/>
      <c r="Q34" s="35"/>
    </row>
    <row r="35" spans="1:17" ht="41.25" customHeight="1" x14ac:dyDescent="0.2">
      <c r="A35" s="34"/>
      <c r="B35" s="34"/>
      <c r="C35" s="4"/>
      <c r="D35" s="34"/>
      <c r="E35" s="34"/>
      <c r="F35" s="34"/>
      <c r="G35" s="34"/>
      <c r="H35" s="35"/>
      <c r="I35" s="35"/>
      <c r="J35" s="36"/>
      <c r="K35" s="36"/>
      <c r="L35" s="36"/>
      <c r="M35" s="35"/>
      <c r="N35" s="35"/>
      <c r="O35" s="35"/>
      <c r="P35" s="35"/>
      <c r="Q35" s="35"/>
    </row>
    <row r="36" spans="1:17" ht="41.25" customHeight="1" x14ac:dyDescent="0.2">
      <c r="A36" s="34"/>
      <c r="B36" s="34"/>
      <c r="C36" s="4"/>
      <c r="D36" s="34"/>
      <c r="E36" s="34"/>
      <c r="F36" s="34"/>
      <c r="G36" s="34"/>
      <c r="H36" s="35"/>
      <c r="I36" s="35"/>
      <c r="J36" s="36"/>
      <c r="K36" s="36"/>
      <c r="L36" s="36"/>
      <c r="M36" s="35"/>
      <c r="N36" s="35"/>
      <c r="O36" s="35"/>
      <c r="P36" s="35"/>
      <c r="Q36" s="35"/>
    </row>
    <row r="37" spans="1:17" ht="41.25" customHeight="1" x14ac:dyDescent="0.2">
      <c r="A37" s="34"/>
      <c r="B37" s="34"/>
      <c r="C37" s="4"/>
      <c r="D37" s="34"/>
      <c r="E37" s="34"/>
      <c r="F37" s="34"/>
      <c r="G37" s="34"/>
      <c r="H37" s="35"/>
      <c r="I37" s="35"/>
      <c r="J37" s="36"/>
      <c r="K37" s="36"/>
      <c r="L37" s="36"/>
      <c r="M37" s="35"/>
      <c r="N37" s="35"/>
      <c r="O37" s="35"/>
      <c r="P37" s="35"/>
      <c r="Q37" s="35"/>
    </row>
    <row r="38" spans="1:17" ht="41.25" customHeight="1" x14ac:dyDescent="0.2">
      <c r="A38" s="34"/>
      <c r="B38" s="34"/>
      <c r="C38" s="4"/>
      <c r="D38" s="34"/>
      <c r="E38" s="34"/>
      <c r="F38" s="34"/>
      <c r="G38" s="34"/>
      <c r="H38" s="35"/>
      <c r="I38" s="35"/>
      <c r="J38" s="36"/>
      <c r="K38" s="36"/>
      <c r="L38" s="36"/>
      <c r="M38" s="35"/>
      <c r="N38" s="35"/>
      <c r="O38" s="35"/>
      <c r="P38" s="35"/>
      <c r="Q38" s="35"/>
    </row>
    <row r="39" spans="1:17" ht="41.25" customHeight="1" x14ac:dyDescent="0.2">
      <c r="A39" s="34"/>
      <c r="B39" s="34"/>
      <c r="C39" s="4"/>
      <c r="D39" s="34"/>
      <c r="E39" s="34"/>
      <c r="F39" s="34"/>
      <c r="G39" s="34"/>
      <c r="H39" s="35"/>
      <c r="I39" s="35"/>
      <c r="J39" s="36"/>
      <c r="K39" s="36"/>
      <c r="L39" s="36"/>
      <c r="M39" s="36"/>
      <c r="N39" s="36"/>
      <c r="O39" s="36"/>
      <c r="P39" s="36"/>
      <c r="Q39" s="35"/>
    </row>
    <row r="40" spans="1:17" ht="41.25" customHeight="1" x14ac:dyDescent="0.2">
      <c r="A40" s="34"/>
      <c r="B40" s="34"/>
      <c r="C40" s="4"/>
      <c r="D40" s="34"/>
      <c r="E40" s="34"/>
      <c r="F40" s="34"/>
      <c r="G40" s="34"/>
      <c r="H40" s="35"/>
      <c r="I40" s="35"/>
      <c r="J40" s="36"/>
      <c r="K40" s="36"/>
      <c r="L40" s="36"/>
      <c r="M40" s="35"/>
      <c r="N40" s="35"/>
      <c r="O40" s="35"/>
      <c r="P40" s="35"/>
      <c r="Q40" s="35"/>
    </row>
    <row r="41" spans="1:17" ht="41.25" customHeight="1" x14ac:dyDescent="0.2">
      <c r="A41" s="34"/>
      <c r="B41" s="34"/>
      <c r="C41" s="4"/>
      <c r="D41" s="34"/>
      <c r="E41" s="34"/>
      <c r="F41" s="34"/>
      <c r="G41" s="34"/>
      <c r="H41" s="35"/>
      <c r="I41" s="35"/>
      <c r="J41" s="36"/>
      <c r="K41" s="36"/>
      <c r="L41" s="36"/>
      <c r="M41" s="35"/>
      <c r="N41" s="35"/>
      <c r="O41" s="35"/>
      <c r="P41" s="35"/>
      <c r="Q41" s="35"/>
    </row>
    <row r="42" spans="1:17" ht="41.25" customHeight="1" x14ac:dyDescent="0.2">
      <c r="A42" s="34"/>
      <c r="B42" s="34"/>
      <c r="C42" s="4"/>
      <c r="D42" s="34"/>
      <c r="E42" s="34"/>
      <c r="F42" s="34"/>
      <c r="G42" s="34"/>
      <c r="H42" s="35"/>
      <c r="I42" s="35"/>
      <c r="J42" s="36"/>
      <c r="K42" s="36"/>
      <c r="L42" s="36"/>
      <c r="M42" s="35"/>
      <c r="N42" s="35"/>
      <c r="O42" s="35"/>
      <c r="P42" s="35"/>
      <c r="Q42" s="35"/>
    </row>
    <row r="43" spans="1:17" ht="41.25" customHeight="1" x14ac:dyDescent="0.2">
      <c r="A43" s="34"/>
      <c r="B43" s="34"/>
      <c r="C43" s="4"/>
      <c r="D43" s="34"/>
      <c r="E43" s="34"/>
      <c r="F43" s="34"/>
      <c r="G43" s="34"/>
      <c r="H43" s="35"/>
      <c r="I43" s="35"/>
      <c r="J43" s="36"/>
      <c r="K43" s="36"/>
      <c r="L43" s="36"/>
      <c r="M43" s="35"/>
      <c r="N43" s="35"/>
      <c r="O43" s="35"/>
      <c r="P43" s="35"/>
      <c r="Q43" s="35"/>
    </row>
    <row r="44" spans="1:17" ht="41.25" customHeight="1" x14ac:dyDescent="0.2">
      <c r="A44" s="34"/>
      <c r="B44" s="34"/>
      <c r="C44" s="4"/>
      <c r="D44" s="34"/>
      <c r="E44" s="34"/>
      <c r="F44" s="34"/>
      <c r="G44" s="34"/>
      <c r="H44" s="35"/>
      <c r="I44" s="35"/>
      <c r="J44" s="36"/>
      <c r="K44" s="36"/>
      <c r="L44" s="36"/>
      <c r="M44" s="35"/>
      <c r="N44" s="35"/>
      <c r="O44" s="35"/>
      <c r="P44" s="35"/>
      <c r="Q44" s="35"/>
    </row>
    <row r="45" spans="1:17" ht="41.25" customHeight="1" x14ac:dyDescent="0.2">
      <c r="A45" s="34"/>
      <c r="B45" s="34"/>
      <c r="C45" s="4"/>
      <c r="D45" s="34"/>
      <c r="E45" s="34"/>
      <c r="F45" s="34"/>
      <c r="G45" s="34"/>
      <c r="H45" s="35"/>
      <c r="I45" s="35"/>
      <c r="J45" s="36"/>
      <c r="K45" s="36"/>
      <c r="L45" s="36"/>
      <c r="M45" s="35"/>
      <c r="N45" s="35"/>
      <c r="O45" s="35"/>
      <c r="P45" s="35"/>
      <c r="Q45" s="35"/>
    </row>
    <row r="46" spans="1:17" ht="41.25" customHeight="1" x14ac:dyDescent="0.2">
      <c r="A46" s="34"/>
      <c r="B46" s="34"/>
      <c r="C46" s="4"/>
      <c r="D46" s="34"/>
      <c r="E46" s="34"/>
      <c r="F46" s="34"/>
      <c r="G46" s="34"/>
      <c r="H46" s="35"/>
      <c r="I46" s="35"/>
      <c r="J46" s="36"/>
      <c r="K46" s="36"/>
      <c r="L46" s="36"/>
      <c r="M46" s="35"/>
      <c r="N46" s="35"/>
      <c r="O46" s="35"/>
      <c r="P46" s="35"/>
      <c r="Q46" s="35"/>
    </row>
    <row r="47" spans="1:17" ht="41.25" customHeight="1" x14ac:dyDescent="0.2">
      <c r="A47" s="34"/>
      <c r="B47" s="34"/>
      <c r="C47" s="4"/>
      <c r="D47" s="34"/>
      <c r="E47" s="34"/>
      <c r="F47" s="34"/>
      <c r="G47" s="34"/>
      <c r="H47" s="35"/>
      <c r="I47" s="35"/>
      <c r="J47" s="36"/>
      <c r="K47" s="36"/>
      <c r="L47" s="36"/>
      <c r="M47" s="35"/>
      <c r="N47" s="35"/>
      <c r="O47" s="35"/>
      <c r="P47" s="35"/>
      <c r="Q47" s="35"/>
    </row>
    <row r="48" spans="1:17" ht="41.25" customHeight="1" x14ac:dyDescent="0.2">
      <c r="A48" s="34"/>
      <c r="B48" s="34"/>
      <c r="C48" s="4"/>
      <c r="D48" s="34"/>
      <c r="E48" s="34"/>
      <c r="F48" s="34"/>
      <c r="G48" s="34"/>
      <c r="H48" s="35"/>
      <c r="I48" s="35"/>
      <c r="J48" s="36"/>
      <c r="K48" s="36"/>
      <c r="L48" s="36"/>
      <c r="M48" s="35"/>
      <c r="N48" s="35"/>
      <c r="O48" s="35"/>
      <c r="P48" s="35"/>
      <c r="Q48" s="35"/>
    </row>
    <row r="49" spans="1:17" ht="41.25" customHeight="1" x14ac:dyDescent="0.2">
      <c r="A49" s="34"/>
      <c r="B49" s="34"/>
      <c r="C49" s="4"/>
      <c r="D49" s="34"/>
      <c r="E49" s="34"/>
      <c r="F49" s="34"/>
      <c r="G49" s="34"/>
      <c r="H49" s="35"/>
      <c r="I49" s="35"/>
      <c r="J49" s="36"/>
      <c r="K49" s="36"/>
      <c r="L49" s="36"/>
      <c r="M49" s="35"/>
      <c r="N49" s="35"/>
      <c r="O49" s="35"/>
      <c r="P49" s="35"/>
      <c r="Q49" s="35"/>
    </row>
    <row r="50" spans="1:17" ht="41.25" customHeight="1" x14ac:dyDescent="0.2">
      <c r="A50" s="34"/>
      <c r="B50" s="34"/>
      <c r="C50" s="4"/>
      <c r="D50" s="34"/>
      <c r="E50" s="34"/>
      <c r="F50" s="34"/>
      <c r="G50" s="34"/>
      <c r="H50" s="35"/>
      <c r="I50" s="35"/>
      <c r="J50" s="36"/>
      <c r="K50" s="36"/>
      <c r="L50" s="36"/>
      <c r="M50" s="35"/>
      <c r="N50" s="35"/>
      <c r="O50" s="35"/>
      <c r="P50" s="35"/>
      <c r="Q50" s="35"/>
    </row>
    <row r="51" spans="1:17" ht="41.25" customHeight="1" x14ac:dyDescent="0.2">
      <c r="A51" s="34"/>
      <c r="B51" s="34"/>
      <c r="C51" s="4"/>
      <c r="D51" s="34"/>
      <c r="E51" s="34"/>
      <c r="F51" s="34"/>
      <c r="G51" s="34"/>
      <c r="H51" s="35"/>
      <c r="I51" s="35"/>
      <c r="J51" s="36"/>
      <c r="K51" s="36"/>
      <c r="L51" s="36"/>
      <c r="M51" s="35"/>
      <c r="N51" s="35"/>
      <c r="O51" s="35"/>
      <c r="P51" s="35"/>
      <c r="Q51" s="35"/>
    </row>
    <row r="52" spans="1:17" ht="41.25" customHeight="1" x14ac:dyDescent="0.2">
      <c r="A52" s="34"/>
      <c r="B52" s="34"/>
      <c r="C52" s="4"/>
      <c r="D52" s="34"/>
      <c r="E52" s="34"/>
      <c r="F52" s="34"/>
      <c r="G52" s="34"/>
      <c r="H52" s="35"/>
      <c r="I52" s="35"/>
      <c r="J52" s="36"/>
      <c r="K52" s="36"/>
      <c r="L52" s="36"/>
      <c r="M52" s="35"/>
      <c r="N52" s="35"/>
      <c r="O52" s="35"/>
      <c r="P52" s="35"/>
      <c r="Q52" s="35"/>
    </row>
    <row r="53" spans="1:17" ht="41.25" customHeight="1" x14ac:dyDescent="0.2">
      <c r="A53" s="34"/>
      <c r="B53" s="34"/>
      <c r="C53" s="4"/>
      <c r="D53" s="34"/>
      <c r="E53" s="34"/>
      <c r="F53" s="34"/>
      <c r="G53" s="34"/>
      <c r="H53" s="35"/>
      <c r="I53" s="35"/>
      <c r="J53" s="36"/>
      <c r="K53" s="36"/>
      <c r="L53" s="36"/>
      <c r="M53" s="35"/>
      <c r="N53" s="35"/>
      <c r="O53" s="35"/>
      <c r="P53" s="35"/>
      <c r="Q53" s="35"/>
    </row>
    <row r="54" spans="1:17" ht="41.25" customHeight="1" x14ac:dyDescent="0.2">
      <c r="A54" s="34"/>
      <c r="B54" s="34"/>
      <c r="C54" s="4"/>
      <c r="D54" s="34"/>
      <c r="E54" s="34"/>
      <c r="F54" s="34"/>
      <c r="G54" s="34"/>
      <c r="H54" s="35"/>
      <c r="I54" s="35"/>
      <c r="J54" s="36"/>
      <c r="K54" s="36"/>
      <c r="L54" s="36"/>
      <c r="M54" s="35"/>
      <c r="N54" s="35"/>
      <c r="O54" s="35"/>
      <c r="P54" s="35"/>
      <c r="Q54" s="35"/>
    </row>
    <row r="55" spans="1:17" ht="41.25" customHeight="1" x14ac:dyDescent="0.2">
      <c r="A55" s="34"/>
      <c r="B55" s="34"/>
      <c r="C55" s="4"/>
      <c r="D55" s="34"/>
      <c r="E55" s="34"/>
      <c r="F55" s="34"/>
      <c r="G55" s="34"/>
      <c r="H55" s="35"/>
      <c r="I55" s="35"/>
      <c r="J55" s="36"/>
      <c r="K55" s="36"/>
      <c r="L55" s="36"/>
      <c r="M55" s="35"/>
      <c r="N55" s="35"/>
      <c r="O55" s="35"/>
      <c r="P55" s="35"/>
      <c r="Q55" s="35"/>
    </row>
    <row r="56" spans="1:17" ht="41.25" customHeight="1" x14ac:dyDescent="0.2">
      <c r="A56" s="34"/>
      <c r="B56" s="34"/>
      <c r="C56" s="4"/>
      <c r="D56" s="34"/>
      <c r="E56" s="34"/>
      <c r="F56" s="34"/>
      <c r="G56" s="34"/>
      <c r="H56" s="35"/>
      <c r="I56" s="35"/>
      <c r="J56" s="36"/>
      <c r="K56" s="36"/>
      <c r="L56" s="36"/>
      <c r="M56" s="35"/>
      <c r="N56" s="35"/>
      <c r="O56" s="35"/>
      <c r="P56" s="35"/>
      <c r="Q56" s="35"/>
    </row>
    <row r="57" spans="1:17" ht="41.25" customHeight="1" x14ac:dyDescent="0.2">
      <c r="A57" s="34"/>
      <c r="B57" s="34"/>
      <c r="C57" s="4"/>
      <c r="D57" s="34"/>
      <c r="E57" s="34"/>
      <c r="F57" s="34"/>
      <c r="G57" s="34"/>
      <c r="H57" s="35"/>
      <c r="I57" s="35"/>
      <c r="J57" s="36"/>
      <c r="K57" s="36"/>
      <c r="L57" s="36"/>
      <c r="M57" s="35"/>
      <c r="N57" s="35"/>
      <c r="O57" s="35"/>
      <c r="P57" s="35"/>
      <c r="Q57" s="35"/>
    </row>
    <row r="58" spans="1:17" ht="14.25" customHeight="1" x14ac:dyDescent="0.2">
      <c r="A58" s="36"/>
      <c r="B58" s="36"/>
      <c r="C58" s="35"/>
      <c r="D58" s="36"/>
      <c r="E58" s="36"/>
      <c r="F58" s="36"/>
      <c r="G58" s="36"/>
      <c r="H58" s="35"/>
      <c r="I58" s="35"/>
      <c r="J58" s="36"/>
      <c r="K58" s="36"/>
      <c r="L58" s="36"/>
      <c r="M58" s="35"/>
      <c r="N58" s="35"/>
      <c r="O58" s="35"/>
      <c r="P58" s="35"/>
      <c r="Q58" s="36"/>
    </row>
    <row r="59" spans="1:17" ht="14.25" customHeight="1" x14ac:dyDescent="0.2">
      <c r="A59" s="36"/>
      <c r="B59" s="36"/>
      <c r="C59" s="35"/>
      <c r="D59" s="36"/>
      <c r="E59" s="36"/>
      <c r="F59" s="36"/>
      <c r="G59" s="36"/>
      <c r="H59" s="35"/>
      <c r="I59" s="35"/>
      <c r="J59" s="36"/>
      <c r="K59" s="36"/>
      <c r="L59" s="36"/>
      <c r="M59" s="35"/>
      <c r="N59" s="35"/>
      <c r="O59" s="35"/>
      <c r="P59" s="35"/>
      <c r="Q59" s="36"/>
    </row>
    <row r="60" spans="1:17" ht="14.25" customHeight="1" x14ac:dyDescent="0.2">
      <c r="A60" s="36"/>
      <c r="B60" s="36"/>
      <c r="C60" s="35"/>
      <c r="D60" s="36"/>
      <c r="E60" s="36"/>
      <c r="F60" s="36"/>
      <c r="G60" s="36"/>
      <c r="H60" s="35"/>
      <c r="I60" s="35"/>
      <c r="J60" s="36"/>
      <c r="K60" s="36"/>
      <c r="L60" s="36"/>
      <c r="M60" s="35"/>
      <c r="N60" s="35"/>
      <c r="O60" s="35"/>
      <c r="P60" s="35"/>
      <c r="Q60" s="36"/>
    </row>
    <row r="61" spans="1:17" ht="14.25" customHeight="1" x14ac:dyDescent="0.2">
      <c r="A61" s="36"/>
      <c r="B61" s="36"/>
      <c r="C61" s="35"/>
      <c r="D61" s="36"/>
      <c r="E61" s="36"/>
      <c r="F61" s="36"/>
      <c r="G61" s="36"/>
      <c r="H61" s="35"/>
      <c r="I61" s="35"/>
      <c r="J61" s="36"/>
      <c r="K61" s="36"/>
      <c r="L61" s="36"/>
      <c r="M61" s="35"/>
      <c r="N61" s="35"/>
      <c r="O61" s="35"/>
      <c r="P61" s="35"/>
      <c r="Q61" s="36"/>
    </row>
    <row r="62" spans="1:17" ht="14.25" customHeight="1" x14ac:dyDescent="0.2">
      <c r="A62" s="36"/>
      <c r="B62" s="36"/>
      <c r="C62" s="35"/>
      <c r="D62" s="36"/>
      <c r="E62" s="36"/>
      <c r="F62" s="36"/>
      <c r="G62" s="36"/>
      <c r="H62" s="35"/>
      <c r="I62" s="35"/>
      <c r="J62" s="36"/>
      <c r="K62" s="36"/>
      <c r="L62" s="36"/>
      <c r="M62" s="36"/>
      <c r="N62" s="36"/>
      <c r="O62" s="36"/>
      <c r="P62" s="36"/>
      <c r="Q62" s="35"/>
    </row>
    <row r="63" spans="1:17" ht="14.25" customHeight="1" x14ac:dyDescent="0.2">
      <c r="A63" s="36"/>
      <c r="B63" s="36"/>
      <c r="C63" s="35"/>
      <c r="D63" s="36"/>
      <c r="E63" s="36"/>
      <c r="F63" s="36"/>
      <c r="G63" s="36"/>
      <c r="H63" s="35"/>
      <c r="I63" s="35"/>
      <c r="J63" s="36"/>
      <c r="K63" s="36"/>
      <c r="L63" s="36"/>
      <c r="M63" s="36"/>
      <c r="N63" s="36"/>
      <c r="O63" s="36"/>
      <c r="P63" s="36"/>
      <c r="Q63" s="35"/>
    </row>
    <row r="64" spans="1:17" ht="14.25" customHeight="1" x14ac:dyDescent="0.2">
      <c r="A64" s="36"/>
      <c r="B64" s="36"/>
      <c r="C64" s="35"/>
      <c r="D64" s="36"/>
      <c r="E64" s="36"/>
      <c r="F64" s="36"/>
      <c r="G64" s="36"/>
      <c r="H64" s="35"/>
      <c r="I64" s="35"/>
      <c r="J64" s="36"/>
      <c r="K64" s="36"/>
      <c r="L64" s="36"/>
      <c r="M64" s="35"/>
      <c r="N64" s="35"/>
      <c r="O64" s="35"/>
      <c r="P64" s="35"/>
      <c r="Q64" s="36"/>
    </row>
    <row r="65" spans="1:17" ht="14.25" customHeight="1" x14ac:dyDescent="0.2">
      <c r="A65" s="36"/>
      <c r="B65" s="36"/>
      <c r="C65" s="35"/>
      <c r="D65" s="36"/>
      <c r="E65" s="36"/>
      <c r="F65" s="36"/>
      <c r="G65" s="36"/>
      <c r="H65" s="35"/>
      <c r="I65" s="35"/>
      <c r="J65" s="36"/>
      <c r="K65" s="36"/>
      <c r="L65" s="36"/>
      <c r="M65" s="36"/>
      <c r="N65" s="36"/>
      <c r="O65" s="36"/>
      <c r="P65" s="36"/>
      <c r="Q65" s="35"/>
    </row>
    <row r="66" spans="1:17" ht="14.25" customHeight="1" x14ac:dyDescent="0.2">
      <c r="A66" s="36"/>
      <c r="B66" s="36"/>
      <c r="C66" s="35"/>
      <c r="D66" s="36"/>
      <c r="E66" s="36"/>
      <c r="F66" s="36"/>
      <c r="G66" s="36"/>
      <c r="H66" s="35"/>
      <c r="I66" s="35"/>
      <c r="J66" s="36"/>
      <c r="K66" s="36"/>
      <c r="L66" s="36"/>
      <c r="M66" s="36"/>
      <c r="N66" s="36"/>
      <c r="O66" s="36"/>
      <c r="P66" s="36"/>
      <c r="Q66" s="35"/>
    </row>
    <row r="67" spans="1:17" ht="14.25" customHeight="1" x14ac:dyDescent="0.2">
      <c r="A67" s="36"/>
      <c r="B67" s="36"/>
      <c r="C67" s="35"/>
      <c r="D67" s="36"/>
      <c r="E67" s="36"/>
      <c r="F67" s="36"/>
      <c r="G67" s="36"/>
      <c r="H67" s="35"/>
      <c r="I67" s="35"/>
      <c r="J67" s="36"/>
      <c r="K67" s="36"/>
      <c r="L67" s="36"/>
      <c r="M67" s="35"/>
      <c r="N67" s="35"/>
      <c r="O67" s="35"/>
      <c r="P67" s="35"/>
      <c r="Q67" s="36"/>
    </row>
    <row r="68" spans="1:17" ht="14.25" customHeight="1" x14ac:dyDescent="0.2">
      <c r="A68" s="36"/>
      <c r="B68" s="36"/>
      <c r="C68" s="35"/>
      <c r="D68" s="36"/>
      <c r="E68" s="36"/>
      <c r="F68" s="36"/>
      <c r="G68" s="36"/>
      <c r="H68" s="35"/>
      <c r="I68" s="35"/>
      <c r="J68" s="36"/>
      <c r="K68" s="36"/>
      <c r="L68" s="36"/>
      <c r="M68" s="35"/>
      <c r="N68" s="35"/>
      <c r="O68" s="35"/>
      <c r="P68" s="35"/>
      <c r="Q68" s="36"/>
    </row>
    <row r="69" spans="1:17" ht="14.25" customHeight="1" x14ac:dyDescent="0.2">
      <c r="A69" s="36"/>
      <c r="B69" s="36"/>
      <c r="C69" s="35"/>
      <c r="D69" s="36"/>
      <c r="E69" s="36"/>
      <c r="F69" s="36"/>
      <c r="G69" s="36"/>
      <c r="H69" s="35"/>
      <c r="I69" s="35"/>
      <c r="J69" s="36"/>
      <c r="K69" s="36"/>
      <c r="L69" s="36"/>
      <c r="M69" s="35"/>
      <c r="N69" s="35"/>
      <c r="O69" s="35"/>
      <c r="P69" s="35"/>
      <c r="Q69" s="36"/>
    </row>
    <row r="70" spans="1:17" ht="14.25" customHeight="1" x14ac:dyDescent="0.2">
      <c r="A70" s="36"/>
      <c r="B70" s="36"/>
      <c r="C70" s="35"/>
      <c r="D70" s="36"/>
      <c r="E70" s="36"/>
      <c r="F70" s="36"/>
      <c r="G70" s="36"/>
      <c r="H70" s="35"/>
      <c r="I70" s="35"/>
      <c r="J70" s="36"/>
      <c r="K70" s="36"/>
      <c r="L70" s="36"/>
      <c r="M70" s="35"/>
      <c r="N70" s="35"/>
      <c r="O70" s="35"/>
      <c r="P70" s="35"/>
      <c r="Q70" s="36"/>
    </row>
    <row r="71" spans="1:17" ht="14.25" customHeight="1" x14ac:dyDescent="0.2">
      <c r="A71" s="36"/>
      <c r="B71" s="36"/>
      <c r="C71" s="35"/>
      <c r="D71" s="36"/>
      <c r="E71" s="36"/>
      <c r="F71" s="36"/>
      <c r="G71" s="36"/>
      <c r="H71" s="35"/>
      <c r="I71" s="35"/>
      <c r="J71" s="36"/>
      <c r="K71" s="36"/>
      <c r="L71" s="36"/>
      <c r="M71" s="35"/>
      <c r="N71" s="35"/>
      <c r="O71" s="35"/>
      <c r="P71" s="35"/>
      <c r="Q71" s="36"/>
    </row>
    <row r="72" spans="1:17" ht="14.25" customHeight="1" x14ac:dyDescent="0.2">
      <c r="A72" s="36"/>
      <c r="B72" s="36"/>
      <c r="C72" s="35"/>
      <c r="D72" s="36"/>
      <c r="E72" s="36"/>
      <c r="F72" s="36"/>
      <c r="G72" s="36"/>
      <c r="H72" s="35"/>
      <c r="I72" s="35"/>
      <c r="J72" s="36"/>
      <c r="K72" s="36"/>
      <c r="L72" s="36"/>
      <c r="M72" s="35"/>
      <c r="N72" s="35"/>
      <c r="O72" s="35"/>
      <c r="P72" s="35"/>
      <c r="Q72" s="36"/>
    </row>
    <row r="73" spans="1:17" ht="14.25" customHeight="1" x14ac:dyDescent="0.2">
      <c r="A73" s="36"/>
      <c r="B73" s="36"/>
      <c r="C73" s="35"/>
      <c r="D73" s="36"/>
      <c r="E73" s="36"/>
      <c r="F73" s="36"/>
      <c r="G73" s="36"/>
      <c r="H73" s="35"/>
      <c r="I73" s="35"/>
      <c r="J73" s="36"/>
      <c r="K73" s="36"/>
      <c r="L73" s="36"/>
      <c r="M73" s="35"/>
      <c r="N73" s="35"/>
      <c r="O73" s="35"/>
      <c r="P73" s="35"/>
      <c r="Q73" s="36"/>
    </row>
    <row r="74" spans="1:17" ht="14.25" customHeight="1" x14ac:dyDescent="0.2">
      <c r="A74" s="36"/>
      <c r="B74" s="36"/>
      <c r="C74" s="35"/>
      <c r="D74" s="36"/>
      <c r="E74" s="36"/>
      <c r="F74" s="36"/>
      <c r="G74" s="36"/>
      <c r="H74" s="35"/>
      <c r="I74" s="35"/>
      <c r="J74" s="36"/>
      <c r="K74" s="36"/>
      <c r="L74" s="36"/>
      <c r="M74" s="35"/>
      <c r="N74" s="35"/>
      <c r="O74" s="35"/>
      <c r="P74" s="35"/>
      <c r="Q74" s="36"/>
    </row>
    <row r="75" spans="1:17" ht="14.25" customHeight="1" x14ac:dyDescent="0.2">
      <c r="A75" s="36"/>
      <c r="B75" s="36"/>
      <c r="C75" s="35"/>
      <c r="D75" s="36"/>
      <c r="E75" s="36"/>
      <c r="F75" s="36"/>
      <c r="G75" s="36"/>
      <c r="H75" s="35"/>
      <c r="I75" s="35"/>
      <c r="J75" s="36"/>
      <c r="K75" s="36"/>
      <c r="L75" s="36"/>
      <c r="M75" s="36"/>
      <c r="N75" s="36"/>
      <c r="O75" s="36"/>
      <c r="P75" s="36"/>
      <c r="Q75" s="35"/>
    </row>
    <row r="76" spans="1:17" ht="14.25" customHeight="1" x14ac:dyDescent="0.2">
      <c r="A76" s="36"/>
      <c r="B76" s="36"/>
      <c r="C76" s="35"/>
      <c r="D76" s="36"/>
      <c r="E76" s="36"/>
      <c r="F76" s="36"/>
      <c r="G76" s="36"/>
      <c r="H76" s="35"/>
      <c r="I76" s="35"/>
      <c r="J76" s="36"/>
      <c r="K76" s="36"/>
      <c r="L76" s="36"/>
      <c r="M76" s="36"/>
      <c r="N76" s="36"/>
      <c r="O76" s="36"/>
      <c r="P76" s="36"/>
      <c r="Q76" s="35"/>
    </row>
    <row r="77" spans="1:17" ht="14.25" customHeight="1" x14ac:dyDescent="0.2">
      <c r="A77" s="36"/>
      <c r="B77" s="36"/>
      <c r="C77" s="35"/>
      <c r="D77" s="36"/>
      <c r="E77" s="36"/>
      <c r="F77" s="36"/>
      <c r="G77" s="36"/>
      <c r="H77" s="35"/>
      <c r="I77" s="35"/>
      <c r="J77" s="36"/>
      <c r="K77" s="36"/>
      <c r="L77" s="36"/>
      <c r="M77" s="35"/>
      <c r="N77" s="35"/>
      <c r="O77" s="35"/>
      <c r="P77" s="35"/>
      <c r="Q77" s="36"/>
    </row>
    <row r="78" spans="1:17" ht="14.25" customHeight="1" x14ac:dyDescent="0.2">
      <c r="A78" s="36"/>
      <c r="B78" s="36"/>
      <c r="C78" s="35"/>
      <c r="D78" s="36"/>
      <c r="E78" s="36"/>
      <c r="F78" s="36"/>
      <c r="G78" s="36"/>
      <c r="H78" s="35"/>
      <c r="I78" s="35"/>
      <c r="J78" s="36"/>
      <c r="K78" s="36"/>
      <c r="L78" s="36"/>
      <c r="M78" s="35"/>
      <c r="N78" s="35"/>
      <c r="O78" s="35"/>
      <c r="P78" s="35"/>
      <c r="Q78" s="36"/>
    </row>
    <row r="79" spans="1:17" ht="14.25" customHeight="1" x14ac:dyDescent="0.2">
      <c r="A79" s="36"/>
      <c r="B79" s="36"/>
      <c r="C79" s="35"/>
      <c r="D79" s="36"/>
      <c r="E79" s="36"/>
      <c r="F79" s="36"/>
      <c r="G79" s="36"/>
      <c r="H79" s="35"/>
      <c r="I79" s="35"/>
      <c r="J79" s="36"/>
      <c r="K79" s="36"/>
      <c r="L79" s="36"/>
      <c r="M79" s="35"/>
      <c r="N79" s="35"/>
      <c r="O79" s="35"/>
      <c r="P79" s="35"/>
      <c r="Q79" s="36"/>
    </row>
    <row r="80" spans="1:17" ht="14.25" customHeight="1" x14ac:dyDescent="0.2">
      <c r="A80" s="36"/>
      <c r="B80" s="36"/>
      <c r="C80" s="35"/>
      <c r="D80" s="36"/>
      <c r="E80" s="36"/>
      <c r="F80" s="36"/>
      <c r="G80" s="36"/>
      <c r="H80" s="35"/>
      <c r="I80" s="35"/>
      <c r="J80" s="36"/>
      <c r="K80" s="36"/>
      <c r="L80" s="36"/>
      <c r="M80" s="35"/>
      <c r="N80" s="35"/>
      <c r="O80" s="35"/>
      <c r="P80" s="35"/>
      <c r="Q80" s="36"/>
    </row>
    <row r="81" spans="1:17" ht="14.25" customHeight="1" x14ac:dyDescent="0.2">
      <c r="A81" s="36"/>
      <c r="B81" s="36"/>
      <c r="C81" s="35"/>
      <c r="D81" s="36"/>
      <c r="E81" s="36"/>
      <c r="F81" s="36"/>
      <c r="G81" s="36"/>
      <c r="H81" s="35"/>
      <c r="I81" s="35"/>
      <c r="J81" s="36"/>
      <c r="K81" s="36"/>
      <c r="L81" s="36"/>
      <c r="M81" s="35"/>
      <c r="N81" s="35"/>
      <c r="O81" s="35"/>
      <c r="P81" s="35"/>
      <c r="Q81" s="36"/>
    </row>
    <row r="82" spans="1:17" ht="14.25" customHeight="1" x14ac:dyDescent="0.2">
      <c r="A82" s="36"/>
      <c r="B82" s="36"/>
      <c r="C82" s="35"/>
      <c r="D82" s="36"/>
      <c r="E82" s="36"/>
      <c r="F82" s="36"/>
      <c r="G82" s="36"/>
      <c r="H82" s="35"/>
      <c r="I82" s="35"/>
      <c r="J82" s="36"/>
      <c r="K82" s="36"/>
      <c r="L82" s="36"/>
      <c r="M82" s="35"/>
      <c r="N82" s="35"/>
      <c r="O82" s="35"/>
      <c r="P82" s="35"/>
      <c r="Q82" s="36"/>
    </row>
    <row r="83" spans="1:17" ht="14.25" customHeight="1" x14ac:dyDescent="0.2">
      <c r="A83" s="36"/>
      <c r="B83" s="36"/>
      <c r="C83" s="35"/>
      <c r="D83" s="36"/>
      <c r="E83" s="36"/>
      <c r="F83" s="36"/>
      <c r="G83" s="36"/>
      <c r="H83" s="35"/>
      <c r="I83" s="35"/>
      <c r="J83" s="36"/>
      <c r="K83" s="36"/>
      <c r="L83" s="36"/>
      <c r="M83" s="36"/>
      <c r="N83" s="36"/>
      <c r="O83" s="36"/>
      <c r="P83" s="36"/>
      <c r="Q83" s="35"/>
    </row>
    <row r="84" spans="1:17" ht="14.25" customHeight="1" x14ac:dyDescent="0.2">
      <c r="A84" s="36"/>
      <c r="B84" s="36"/>
      <c r="C84" s="35"/>
      <c r="D84" s="36"/>
      <c r="E84" s="36"/>
      <c r="F84" s="36"/>
      <c r="G84" s="36"/>
      <c r="H84" s="35"/>
      <c r="I84" s="35"/>
      <c r="J84" s="36"/>
      <c r="K84" s="36"/>
      <c r="L84" s="36"/>
      <c r="M84" s="36"/>
      <c r="N84" s="36"/>
      <c r="O84" s="36"/>
      <c r="P84" s="36"/>
      <c r="Q84" s="35"/>
    </row>
    <row r="85" spans="1:17" ht="14.25" customHeight="1" x14ac:dyDescent="0.2">
      <c r="A85" s="36"/>
      <c r="B85" s="36"/>
      <c r="C85" s="35"/>
      <c r="D85" s="36"/>
      <c r="E85" s="36"/>
      <c r="F85" s="36"/>
      <c r="G85" s="36"/>
      <c r="H85" s="35"/>
      <c r="I85" s="35"/>
      <c r="J85" s="36"/>
      <c r="K85" s="36"/>
      <c r="L85" s="36"/>
      <c r="M85" s="36"/>
      <c r="N85" s="36"/>
      <c r="O85" s="36"/>
      <c r="P85" s="36"/>
      <c r="Q85" s="35"/>
    </row>
    <row r="86" spans="1:17" ht="14.25" customHeight="1" x14ac:dyDescent="0.2">
      <c r="A86" s="36"/>
      <c r="B86" s="36"/>
      <c r="C86" s="35"/>
      <c r="D86" s="36"/>
      <c r="E86" s="36"/>
      <c r="F86" s="36"/>
      <c r="G86" s="36"/>
      <c r="H86" s="35"/>
      <c r="I86" s="35"/>
      <c r="J86" s="36"/>
      <c r="K86" s="36"/>
      <c r="L86" s="36"/>
      <c r="M86" s="35"/>
      <c r="N86" s="35"/>
      <c r="O86" s="35"/>
      <c r="P86" s="35"/>
      <c r="Q86" s="36"/>
    </row>
    <row r="87" spans="1:17" ht="14.25" customHeight="1" x14ac:dyDescent="0.2">
      <c r="A87" s="36"/>
      <c r="B87" s="36"/>
      <c r="C87" s="35"/>
      <c r="D87" s="36"/>
      <c r="E87" s="36"/>
      <c r="F87" s="36"/>
      <c r="G87" s="36"/>
      <c r="H87" s="35"/>
      <c r="I87" s="35"/>
      <c r="J87" s="36"/>
      <c r="K87" s="36"/>
      <c r="L87" s="36"/>
      <c r="M87" s="35"/>
      <c r="N87" s="35"/>
      <c r="O87" s="35"/>
      <c r="P87" s="35"/>
      <c r="Q87" s="36"/>
    </row>
    <row r="88" spans="1:17" ht="14.25" customHeight="1" x14ac:dyDescent="0.2">
      <c r="A88" s="36"/>
      <c r="B88" s="36"/>
      <c r="C88" s="35"/>
      <c r="D88" s="36"/>
      <c r="E88" s="36"/>
      <c r="F88" s="36"/>
      <c r="G88" s="36"/>
      <c r="H88" s="35"/>
      <c r="I88" s="35"/>
      <c r="J88" s="36"/>
      <c r="K88" s="36"/>
      <c r="L88" s="36"/>
      <c r="M88" s="35"/>
      <c r="N88" s="35"/>
      <c r="O88" s="35"/>
      <c r="P88" s="35"/>
      <c r="Q88" s="36"/>
    </row>
    <row r="89" spans="1:17" ht="14.25" customHeight="1" x14ac:dyDescent="0.2">
      <c r="A89" s="36"/>
      <c r="B89" s="36"/>
      <c r="C89" s="35"/>
      <c r="D89" s="36"/>
      <c r="E89" s="36"/>
      <c r="F89" s="36"/>
      <c r="G89" s="36"/>
      <c r="H89" s="35"/>
      <c r="I89" s="35"/>
      <c r="J89" s="36"/>
      <c r="K89" s="36"/>
      <c r="L89" s="36"/>
      <c r="M89" s="35"/>
      <c r="N89" s="35"/>
      <c r="O89" s="35"/>
      <c r="P89" s="35"/>
      <c r="Q89" s="36"/>
    </row>
    <row r="90" spans="1:17" ht="14.25" customHeight="1" x14ac:dyDescent="0.2">
      <c r="A90" s="36"/>
      <c r="B90" s="36"/>
      <c r="C90" s="35"/>
      <c r="D90" s="36"/>
      <c r="E90" s="36"/>
      <c r="F90" s="36"/>
      <c r="G90" s="36"/>
      <c r="H90" s="35"/>
      <c r="I90" s="35"/>
      <c r="J90" s="36"/>
      <c r="K90" s="36"/>
      <c r="L90" s="36"/>
      <c r="M90" s="36"/>
      <c r="N90" s="36"/>
      <c r="O90" s="36"/>
      <c r="P90" s="36"/>
      <c r="Q90" s="35"/>
    </row>
    <row r="91" spans="1:17" ht="14.25" customHeight="1" x14ac:dyDescent="0.2">
      <c r="A91" s="36"/>
      <c r="B91" s="36"/>
      <c r="C91" s="35"/>
      <c r="D91" s="36"/>
      <c r="E91" s="36"/>
      <c r="F91" s="36"/>
      <c r="G91" s="36"/>
      <c r="H91" s="35"/>
      <c r="I91" s="35"/>
      <c r="J91" s="36"/>
      <c r="K91" s="36"/>
      <c r="L91" s="36"/>
      <c r="M91" s="36"/>
      <c r="N91" s="36"/>
      <c r="O91" s="36"/>
      <c r="P91" s="36"/>
      <c r="Q91" s="35"/>
    </row>
    <row r="92" spans="1:17" ht="14.25" customHeight="1" x14ac:dyDescent="0.2">
      <c r="A92" s="36"/>
      <c r="B92" s="36"/>
      <c r="C92" s="35"/>
      <c r="D92" s="36"/>
      <c r="E92" s="36"/>
      <c r="F92" s="36"/>
      <c r="G92" s="36"/>
      <c r="H92" s="35"/>
      <c r="I92" s="35"/>
      <c r="J92" s="36"/>
      <c r="K92" s="36"/>
      <c r="L92" s="36"/>
      <c r="M92" s="36"/>
      <c r="N92" s="36"/>
      <c r="O92" s="36"/>
      <c r="P92" s="36"/>
      <c r="Q92" s="35"/>
    </row>
    <row r="93" spans="1:17" ht="14.25" customHeight="1" x14ac:dyDescent="0.2">
      <c r="A93" s="36"/>
      <c r="B93" s="36"/>
      <c r="C93" s="35"/>
      <c r="D93" s="36"/>
      <c r="E93" s="36"/>
      <c r="F93" s="36"/>
      <c r="G93" s="36"/>
      <c r="H93" s="35"/>
      <c r="I93" s="35"/>
      <c r="J93" s="36"/>
      <c r="K93" s="36"/>
      <c r="L93" s="36"/>
      <c r="M93" s="36"/>
      <c r="N93" s="36"/>
      <c r="O93" s="36"/>
      <c r="P93" s="36"/>
      <c r="Q93" s="35"/>
    </row>
    <row r="94" spans="1:17" ht="14.25" customHeight="1" x14ac:dyDescent="0.2">
      <c r="A94" s="36"/>
      <c r="B94" s="36"/>
      <c r="C94" s="35"/>
      <c r="D94" s="36"/>
      <c r="E94" s="36"/>
      <c r="F94" s="36"/>
      <c r="G94" s="36"/>
      <c r="H94" s="35"/>
      <c r="I94" s="35"/>
      <c r="J94" s="36"/>
      <c r="K94" s="36"/>
      <c r="L94" s="36"/>
      <c r="M94" s="35"/>
      <c r="N94" s="35"/>
      <c r="O94" s="35"/>
      <c r="P94" s="35"/>
      <c r="Q94" s="36"/>
    </row>
    <row r="95" spans="1:17" ht="14.25" customHeight="1" x14ac:dyDescent="0.2">
      <c r="A95" s="36"/>
      <c r="B95" s="36"/>
      <c r="C95" s="35"/>
      <c r="D95" s="36"/>
      <c r="E95" s="36"/>
      <c r="F95" s="36"/>
      <c r="G95" s="36"/>
      <c r="H95" s="35"/>
      <c r="I95" s="35"/>
      <c r="J95" s="36"/>
      <c r="K95" s="36"/>
      <c r="L95" s="36"/>
      <c r="M95" s="36"/>
      <c r="N95" s="36"/>
      <c r="O95" s="36"/>
      <c r="P95" s="36"/>
      <c r="Q95" s="35"/>
    </row>
    <row r="96" spans="1:17" ht="14.25" customHeight="1" x14ac:dyDescent="0.2">
      <c r="A96" s="36"/>
      <c r="B96" s="36"/>
      <c r="C96" s="35"/>
      <c r="D96" s="36"/>
      <c r="E96" s="36"/>
      <c r="F96" s="36"/>
      <c r="G96" s="36"/>
      <c r="H96" s="35"/>
      <c r="I96" s="35"/>
      <c r="J96" s="36"/>
      <c r="K96" s="36"/>
      <c r="L96" s="36"/>
      <c r="M96" s="35"/>
      <c r="N96" s="35"/>
      <c r="O96" s="35"/>
      <c r="P96" s="35"/>
      <c r="Q96" s="36"/>
    </row>
    <row r="97" spans="1:17" ht="14.25" customHeight="1" x14ac:dyDescent="0.2">
      <c r="A97" s="36"/>
      <c r="B97" s="36"/>
      <c r="C97" s="35"/>
      <c r="D97" s="36"/>
      <c r="E97" s="36"/>
      <c r="F97" s="36"/>
      <c r="G97" s="36"/>
      <c r="H97" s="35"/>
      <c r="I97" s="35"/>
      <c r="J97" s="36"/>
      <c r="K97" s="36"/>
      <c r="L97" s="36"/>
      <c r="M97" s="35"/>
      <c r="N97" s="35"/>
      <c r="O97" s="35"/>
      <c r="P97" s="35"/>
      <c r="Q97" s="36"/>
    </row>
    <row r="98" spans="1:17" ht="14.25" customHeight="1" x14ac:dyDescent="0.2">
      <c r="A98" s="36"/>
      <c r="B98" s="36"/>
      <c r="C98" s="35"/>
      <c r="D98" s="36"/>
      <c r="E98" s="36"/>
      <c r="F98" s="36"/>
      <c r="G98" s="36"/>
      <c r="H98" s="35"/>
      <c r="I98" s="35"/>
      <c r="J98" s="36"/>
      <c r="K98" s="36"/>
      <c r="L98" s="36"/>
      <c r="M98" s="35"/>
      <c r="N98" s="35"/>
      <c r="O98" s="35"/>
      <c r="P98" s="35"/>
      <c r="Q98" s="36"/>
    </row>
    <row r="99" spans="1:17" ht="14.25" customHeight="1" x14ac:dyDescent="0.2">
      <c r="A99" s="36"/>
      <c r="B99" s="36"/>
      <c r="C99" s="35"/>
      <c r="D99" s="36"/>
      <c r="E99" s="36"/>
      <c r="F99" s="36"/>
      <c r="G99" s="36"/>
      <c r="H99" s="35"/>
      <c r="I99" s="35"/>
      <c r="J99" s="36"/>
      <c r="K99" s="36"/>
      <c r="L99" s="36"/>
      <c r="M99" s="35"/>
      <c r="N99" s="35"/>
      <c r="O99" s="35"/>
      <c r="P99" s="35"/>
      <c r="Q99" s="36"/>
    </row>
    <row r="100" spans="1:17" ht="14.25" customHeight="1" x14ac:dyDescent="0.2">
      <c r="A100" s="36"/>
      <c r="B100" s="36"/>
      <c r="C100" s="35"/>
      <c r="D100" s="36"/>
      <c r="E100" s="36"/>
      <c r="F100" s="36"/>
      <c r="G100" s="36"/>
      <c r="H100" s="35"/>
      <c r="I100" s="35"/>
      <c r="J100" s="36"/>
      <c r="K100" s="36"/>
      <c r="L100" s="36"/>
      <c r="M100" s="35"/>
      <c r="N100" s="35"/>
      <c r="O100" s="35"/>
      <c r="P100" s="35"/>
      <c r="Q100" s="36"/>
    </row>
    <row r="101" spans="1:17" ht="14.25" customHeight="1" x14ac:dyDescent="0.2">
      <c r="A101" s="36"/>
      <c r="B101" s="36"/>
      <c r="C101" s="35"/>
      <c r="D101" s="36"/>
      <c r="E101" s="36"/>
      <c r="F101" s="36"/>
      <c r="G101" s="36"/>
      <c r="H101" s="35"/>
      <c r="I101" s="35"/>
      <c r="J101" s="36"/>
      <c r="K101" s="36"/>
      <c r="L101" s="36"/>
      <c r="M101" s="35"/>
      <c r="N101" s="35"/>
      <c r="O101" s="35"/>
      <c r="P101" s="35"/>
      <c r="Q101" s="36"/>
    </row>
    <row r="102" spans="1:17" ht="14.25" customHeight="1" x14ac:dyDescent="0.2">
      <c r="A102" s="36"/>
      <c r="B102" s="36"/>
      <c r="C102" s="35"/>
      <c r="D102" s="36"/>
      <c r="E102" s="36"/>
      <c r="F102" s="36"/>
      <c r="G102" s="36"/>
      <c r="H102" s="35"/>
      <c r="I102" s="35"/>
      <c r="J102" s="36"/>
      <c r="K102" s="36"/>
      <c r="L102" s="36"/>
      <c r="M102" s="36"/>
      <c r="N102" s="36"/>
      <c r="O102" s="36"/>
      <c r="P102" s="36"/>
      <c r="Q102" s="35"/>
    </row>
    <row r="103" spans="1:17" ht="14.25" customHeight="1" x14ac:dyDescent="0.2">
      <c r="A103" s="36"/>
      <c r="B103" s="36"/>
      <c r="C103" s="35"/>
      <c r="D103" s="36"/>
      <c r="E103" s="36"/>
      <c r="F103" s="36"/>
      <c r="G103" s="36"/>
      <c r="H103" s="35"/>
      <c r="I103" s="35"/>
      <c r="J103" s="36"/>
      <c r="K103" s="36"/>
      <c r="L103" s="36"/>
      <c r="M103" s="35"/>
      <c r="N103" s="35"/>
      <c r="O103" s="35"/>
      <c r="P103" s="35"/>
      <c r="Q103" s="36"/>
    </row>
    <row r="104" spans="1:17" ht="14.25" customHeight="1" x14ac:dyDescent="0.2">
      <c r="A104" s="36"/>
      <c r="B104" s="36"/>
      <c r="C104" s="35"/>
      <c r="D104" s="36"/>
      <c r="E104" s="36"/>
      <c r="F104" s="36"/>
      <c r="G104" s="36"/>
      <c r="H104" s="35"/>
      <c r="I104" s="35"/>
      <c r="J104" s="36"/>
      <c r="K104" s="36"/>
      <c r="L104" s="36"/>
      <c r="M104" s="35"/>
      <c r="N104" s="35"/>
      <c r="O104" s="35"/>
      <c r="P104" s="35"/>
      <c r="Q104" s="36"/>
    </row>
    <row r="105" spans="1:17" ht="14.25" customHeight="1" x14ac:dyDescent="0.2">
      <c r="A105" s="36"/>
      <c r="B105" s="36"/>
      <c r="C105" s="35"/>
      <c r="D105" s="36"/>
      <c r="E105" s="36"/>
      <c r="F105" s="36"/>
      <c r="G105" s="36"/>
      <c r="H105" s="35"/>
      <c r="I105" s="35"/>
      <c r="J105" s="36"/>
      <c r="K105" s="36"/>
      <c r="L105" s="36"/>
      <c r="M105" s="35"/>
      <c r="N105" s="35"/>
      <c r="O105" s="35"/>
      <c r="P105" s="35"/>
      <c r="Q105" s="36"/>
    </row>
    <row r="106" spans="1:17" ht="14.25" customHeight="1" x14ac:dyDescent="0.2">
      <c r="A106" s="36"/>
      <c r="B106" s="36"/>
      <c r="C106" s="35"/>
      <c r="D106" s="36"/>
      <c r="E106" s="36"/>
      <c r="F106" s="36"/>
      <c r="G106" s="36"/>
      <c r="H106" s="35"/>
      <c r="I106" s="35"/>
      <c r="J106" s="36"/>
      <c r="K106" s="36"/>
      <c r="L106" s="36"/>
      <c r="M106" s="35"/>
      <c r="N106" s="35"/>
      <c r="O106" s="35"/>
      <c r="P106" s="35"/>
      <c r="Q106" s="36"/>
    </row>
    <row r="107" spans="1:17" ht="14.25" customHeight="1" x14ac:dyDescent="0.2">
      <c r="A107" s="36"/>
      <c r="B107" s="36"/>
      <c r="C107" s="35"/>
      <c r="D107" s="36"/>
      <c r="E107" s="36"/>
      <c r="F107" s="36"/>
      <c r="G107" s="36"/>
      <c r="H107" s="35"/>
      <c r="I107" s="35"/>
      <c r="J107" s="36"/>
      <c r="K107" s="36"/>
      <c r="L107" s="36"/>
      <c r="M107" s="36"/>
      <c r="N107" s="36"/>
      <c r="O107" s="36"/>
      <c r="P107" s="36"/>
      <c r="Q107" s="35"/>
    </row>
    <row r="108" spans="1:17" ht="14.25" customHeight="1" x14ac:dyDescent="0.2">
      <c r="A108" s="36"/>
      <c r="B108" s="36"/>
      <c r="C108" s="35"/>
      <c r="D108" s="36"/>
      <c r="E108" s="36"/>
      <c r="F108" s="36"/>
      <c r="G108" s="36"/>
      <c r="H108" s="35"/>
      <c r="I108" s="35"/>
      <c r="J108" s="36"/>
      <c r="K108" s="36"/>
      <c r="L108" s="36"/>
      <c r="M108" s="35"/>
      <c r="N108" s="35"/>
      <c r="O108" s="35"/>
      <c r="P108" s="35"/>
      <c r="Q108" s="36"/>
    </row>
    <row r="109" spans="1:17" ht="14.25" customHeight="1" x14ac:dyDescent="0.2">
      <c r="A109" s="36"/>
      <c r="B109" s="36"/>
      <c r="C109" s="35"/>
      <c r="D109" s="36"/>
      <c r="E109" s="36"/>
      <c r="F109" s="36"/>
      <c r="G109" s="36"/>
      <c r="H109" s="35"/>
      <c r="I109" s="35"/>
      <c r="J109" s="36"/>
      <c r="K109" s="36"/>
      <c r="L109" s="36"/>
      <c r="M109" s="36"/>
      <c r="N109" s="36"/>
      <c r="O109" s="36"/>
      <c r="P109" s="36"/>
      <c r="Q109" s="35"/>
    </row>
    <row r="110" spans="1:17" ht="14.25" customHeight="1" x14ac:dyDescent="0.2">
      <c r="A110" s="36"/>
      <c r="B110" s="36"/>
      <c r="C110" s="35"/>
      <c r="D110" s="36"/>
      <c r="E110" s="36"/>
      <c r="F110" s="36"/>
      <c r="G110" s="36"/>
      <c r="H110" s="35"/>
      <c r="I110" s="35"/>
      <c r="J110" s="36"/>
      <c r="K110" s="36"/>
      <c r="L110" s="36"/>
      <c r="M110" s="36"/>
      <c r="N110" s="36"/>
      <c r="O110" s="36"/>
      <c r="P110" s="36"/>
      <c r="Q110" s="35"/>
    </row>
    <row r="111" spans="1:17" ht="14.25" customHeight="1" x14ac:dyDescent="0.2">
      <c r="A111" s="36"/>
      <c r="B111" s="36"/>
      <c r="C111" s="35"/>
      <c r="D111" s="36"/>
      <c r="E111" s="36"/>
      <c r="F111" s="36"/>
      <c r="G111" s="36"/>
      <c r="H111" s="35"/>
      <c r="I111" s="35"/>
      <c r="J111" s="36"/>
      <c r="K111" s="36"/>
      <c r="L111" s="36"/>
      <c r="M111" s="35"/>
      <c r="N111" s="35"/>
      <c r="O111" s="35"/>
      <c r="P111" s="35"/>
      <c r="Q111" s="36"/>
    </row>
    <row r="112" spans="1:17" ht="14.25" customHeight="1" x14ac:dyDescent="0.2">
      <c r="A112" s="36"/>
      <c r="B112" s="36"/>
      <c r="C112" s="35"/>
      <c r="D112" s="36"/>
      <c r="E112" s="36"/>
      <c r="F112" s="36"/>
      <c r="G112" s="36"/>
      <c r="H112" s="35"/>
      <c r="I112" s="35"/>
      <c r="J112" s="36"/>
      <c r="K112" s="36"/>
      <c r="L112" s="36"/>
      <c r="M112" s="35"/>
      <c r="N112" s="35"/>
      <c r="O112" s="35"/>
      <c r="P112" s="35"/>
      <c r="Q112" s="36"/>
    </row>
    <row r="113" spans="1:17" ht="14.25" customHeight="1" x14ac:dyDescent="0.2">
      <c r="A113" s="36"/>
      <c r="B113" s="36"/>
      <c r="C113" s="35"/>
      <c r="D113" s="36"/>
      <c r="E113" s="36"/>
      <c r="F113" s="36"/>
      <c r="G113" s="36"/>
      <c r="H113" s="35"/>
      <c r="I113" s="35"/>
      <c r="J113" s="36"/>
      <c r="K113" s="36"/>
      <c r="L113" s="36"/>
      <c r="M113" s="36"/>
      <c r="N113" s="36"/>
      <c r="O113" s="36"/>
      <c r="P113" s="36"/>
      <c r="Q113" s="35"/>
    </row>
    <row r="114" spans="1:17" ht="14.25" customHeight="1" x14ac:dyDescent="0.2">
      <c r="A114" s="36"/>
      <c r="B114" s="36"/>
      <c r="C114" s="35"/>
      <c r="D114" s="36"/>
      <c r="E114" s="36"/>
      <c r="F114" s="36"/>
      <c r="G114" s="36"/>
      <c r="H114" s="35"/>
      <c r="I114" s="35"/>
      <c r="J114" s="36"/>
      <c r="K114" s="36"/>
      <c r="L114" s="36"/>
      <c r="M114" s="35"/>
      <c r="N114" s="35"/>
      <c r="O114" s="35"/>
      <c r="P114" s="35"/>
      <c r="Q114" s="36"/>
    </row>
    <row r="115" spans="1:17" ht="14.25" customHeight="1" x14ac:dyDescent="0.2">
      <c r="A115" s="36"/>
      <c r="B115" s="36"/>
      <c r="C115" s="35"/>
      <c r="D115" s="36"/>
      <c r="E115" s="36"/>
      <c r="F115" s="36"/>
      <c r="G115" s="36"/>
      <c r="H115" s="35"/>
      <c r="I115" s="35"/>
      <c r="J115" s="36"/>
      <c r="K115" s="36"/>
      <c r="L115" s="36"/>
      <c r="M115" s="35"/>
      <c r="N115" s="35"/>
      <c r="O115" s="35"/>
      <c r="P115" s="35"/>
      <c r="Q115" s="36"/>
    </row>
    <row r="116" spans="1:17" ht="14.25" customHeight="1" x14ac:dyDescent="0.2">
      <c r="A116" s="36"/>
      <c r="B116" s="36"/>
      <c r="C116" s="35"/>
      <c r="D116" s="36"/>
      <c r="E116" s="36"/>
      <c r="F116" s="36"/>
      <c r="G116" s="36"/>
      <c r="H116" s="35"/>
      <c r="I116" s="35"/>
      <c r="J116" s="36"/>
      <c r="K116" s="36"/>
      <c r="L116" s="36"/>
      <c r="M116" s="35"/>
      <c r="N116" s="35"/>
      <c r="O116" s="35"/>
      <c r="P116" s="35"/>
      <c r="Q116" s="36"/>
    </row>
    <row r="117" spans="1:17" ht="14.25" customHeight="1" x14ac:dyDescent="0.2">
      <c r="A117" s="36"/>
      <c r="B117" s="36"/>
      <c r="C117" s="35"/>
      <c r="D117" s="36"/>
      <c r="E117" s="36"/>
      <c r="F117" s="36"/>
      <c r="G117" s="36"/>
      <c r="H117" s="35"/>
      <c r="I117" s="35"/>
      <c r="J117" s="36"/>
      <c r="K117" s="36"/>
      <c r="L117" s="36"/>
      <c r="M117" s="35"/>
      <c r="N117" s="35"/>
      <c r="O117" s="35"/>
      <c r="P117" s="35"/>
      <c r="Q117" s="36"/>
    </row>
    <row r="118" spans="1:17" ht="14.25" customHeight="1" x14ac:dyDescent="0.2">
      <c r="A118" s="36"/>
      <c r="B118" s="36"/>
      <c r="C118" s="35"/>
      <c r="D118" s="36"/>
      <c r="E118" s="36"/>
      <c r="F118" s="36"/>
      <c r="G118" s="36"/>
      <c r="H118" s="35"/>
      <c r="I118" s="35"/>
      <c r="J118" s="36"/>
      <c r="K118" s="36"/>
      <c r="L118" s="36"/>
      <c r="M118" s="35"/>
      <c r="N118" s="35"/>
      <c r="O118" s="35"/>
      <c r="P118" s="35"/>
      <c r="Q118" s="36"/>
    </row>
    <row r="119" spans="1:17" ht="14.25" customHeight="1" x14ac:dyDescent="0.2">
      <c r="A119" s="36"/>
      <c r="B119" s="36"/>
      <c r="C119" s="35"/>
      <c r="D119" s="36"/>
      <c r="E119" s="36"/>
      <c r="F119" s="36"/>
      <c r="G119" s="36"/>
      <c r="H119" s="35"/>
      <c r="I119" s="35"/>
      <c r="J119" s="36"/>
      <c r="K119" s="36"/>
      <c r="L119" s="36"/>
      <c r="M119" s="36"/>
      <c r="N119" s="36"/>
      <c r="O119" s="36"/>
      <c r="P119" s="36"/>
      <c r="Q119" s="35"/>
    </row>
    <row r="120" spans="1:17" ht="14.25" customHeight="1" x14ac:dyDescent="0.2">
      <c r="A120" s="36"/>
      <c r="B120" s="36"/>
      <c r="C120" s="35"/>
      <c r="D120" s="36"/>
      <c r="E120" s="36"/>
      <c r="F120" s="36"/>
      <c r="G120" s="36"/>
      <c r="H120" s="35"/>
      <c r="I120" s="35"/>
      <c r="J120" s="36"/>
      <c r="K120" s="36"/>
      <c r="L120" s="36"/>
      <c r="M120" s="35"/>
      <c r="N120" s="35"/>
      <c r="O120" s="35"/>
      <c r="P120" s="35"/>
      <c r="Q120" s="36"/>
    </row>
    <row r="121" spans="1:17" ht="14.25" customHeight="1" x14ac:dyDescent="0.2">
      <c r="A121" s="36"/>
      <c r="B121" s="36"/>
      <c r="C121" s="35"/>
      <c r="D121" s="36"/>
      <c r="E121" s="36"/>
      <c r="F121" s="36"/>
      <c r="G121" s="36"/>
      <c r="H121" s="35"/>
      <c r="I121" s="35"/>
      <c r="J121" s="36"/>
      <c r="K121" s="36"/>
      <c r="L121" s="36"/>
      <c r="M121" s="35"/>
      <c r="N121" s="35"/>
      <c r="O121" s="35"/>
      <c r="P121" s="35"/>
      <c r="Q121" s="36"/>
    </row>
    <row r="122" spans="1:17" ht="14.25" customHeight="1" x14ac:dyDescent="0.2">
      <c r="A122" s="36"/>
      <c r="B122" s="36"/>
      <c r="C122" s="35"/>
      <c r="D122" s="36"/>
      <c r="E122" s="36"/>
      <c r="F122" s="36"/>
      <c r="G122" s="36"/>
      <c r="H122" s="35"/>
      <c r="I122" s="35"/>
      <c r="J122" s="36"/>
      <c r="K122" s="36"/>
      <c r="L122" s="36"/>
      <c r="M122" s="35"/>
      <c r="N122" s="35"/>
      <c r="O122" s="35"/>
      <c r="P122" s="35"/>
      <c r="Q122" s="36"/>
    </row>
    <row r="123" spans="1:17" ht="14.25" customHeight="1" x14ac:dyDescent="0.2">
      <c r="A123" s="36"/>
      <c r="B123" s="36"/>
      <c r="C123" s="35"/>
      <c r="D123" s="36"/>
      <c r="E123" s="36"/>
      <c r="F123" s="36"/>
      <c r="G123" s="36"/>
      <c r="H123" s="35"/>
      <c r="I123" s="35"/>
      <c r="J123" s="36"/>
      <c r="K123" s="36"/>
      <c r="L123" s="36"/>
      <c r="M123" s="35"/>
      <c r="N123" s="35"/>
      <c r="O123" s="35"/>
      <c r="P123" s="35"/>
      <c r="Q123" s="36"/>
    </row>
    <row r="124" spans="1:17" ht="14.25" customHeight="1" x14ac:dyDescent="0.2">
      <c r="A124" s="36"/>
      <c r="B124" s="36"/>
      <c r="C124" s="35"/>
      <c r="D124" s="36"/>
      <c r="E124" s="36"/>
      <c r="F124" s="36"/>
      <c r="G124" s="36"/>
      <c r="H124" s="35"/>
      <c r="I124" s="35"/>
      <c r="J124" s="36"/>
      <c r="K124" s="36"/>
      <c r="L124" s="36"/>
      <c r="M124" s="35"/>
      <c r="N124" s="35"/>
      <c r="O124" s="35"/>
      <c r="P124" s="35"/>
      <c r="Q124" s="36"/>
    </row>
    <row r="125" spans="1:17" ht="14.25" customHeight="1" x14ac:dyDescent="0.2">
      <c r="A125" s="36"/>
      <c r="B125" s="36"/>
      <c r="C125" s="35"/>
      <c r="D125" s="36"/>
      <c r="E125" s="36"/>
      <c r="F125" s="36"/>
      <c r="G125" s="36"/>
      <c r="H125" s="35"/>
      <c r="I125" s="35"/>
      <c r="J125" s="36"/>
      <c r="K125" s="36"/>
      <c r="L125" s="36"/>
      <c r="M125" s="35"/>
      <c r="N125" s="35"/>
      <c r="O125" s="35"/>
      <c r="P125" s="35"/>
      <c r="Q125" s="36"/>
    </row>
    <row r="126" spans="1:17" ht="14.25" customHeight="1" x14ac:dyDescent="0.2">
      <c r="A126" s="36"/>
      <c r="B126" s="36"/>
      <c r="C126" s="35"/>
      <c r="D126" s="36"/>
      <c r="E126" s="36"/>
      <c r="F126" s="36"/>
      <c r="G126" s="36"/>
      <c r="H126" s="35"/>
      <c r="I126" s="35"/>
      <c r="J126" s="36"/>
      <c r="K126" s="36"/>
      <c r="L126" s="36"/>
      <c r="M126" s="35"/>
      <c r="N126" s="35"/>
      <c r="O126" s="35"/>
      <c r="P126" s="35"/>
      <c r="Q126" s="36"/>
    </row>
    <row r="127" spans="1:17" ht="14.25" customHeight="1" x14ac:dyDescent="0.2">
      <c r="A127" s="36"/>
      <c r="B127" s="36"/>
      <c r="C127" s="35"/>
      <c r="D127" s="36"/>
      <c r="E127" s="36"/>
      <c r="F127" s="36"/>
      <c r="G127" s="36"/>
      <c r="H127" s="35"/>
      <c r="I127" s="35"/>
      <c r="J127" s="36"/>
      <c r="K127" s="36"/>
      <c r="L127" s="36"/>
      <c r="M127" s="35"/>
      <c r="N127" s="35"/>
      <c r="O127" s="35"/>
      <c r="P127" s="35"/>
      <c r="Q127" s="36"/>
    </row>
    <row r="128" spans="1:17" ht="14.25" customHeight="1" x14ac:dyDescent="0.2">
      <c r="A128" s="36"/>
      <c r="B128" s="36"/>
      <c r="C128" s="35"/>
      <c r="D128" s="36"/>
      <c r="E128" s="36"/>
      <c r="F128" s="36"/>
      <c r="G128" s="36"/>
      <c r="H128" s="35"/>
      <c r="I128" s="35"/>
      <c r="J128" s="36"/>
      <c r="K128" s="36"/>
      <c r="L128" s="36"/>
      <c r="M128" s="35"/>
      <c r="N128" s="35"/>
      <c r="O128" s="35"/>
      <c r="P128" s="35"/>
      <c r="Q128" s="36"/>
    </row>
    <row r="129" spans="1:17" ht="14.25" customHeight="1" x14ac:dyDescent="0.2">
      <c r="A129" s="36"/>
      <c r="B129" s="36"/>
      <c r="C129" s="35"/>
      <c r="D129" s="36"/>
      <c r="E129" s="36"/>
      <c r="F129" s="36"/>
      <c r="G129" s="36"/>
      <c r="H129" s="35"/>
      <c r="I129" s="35"/>
      <c r="J129" s="36"/>
      <c r="K129" s="36"/>
      <c r="L129" s="36"/>
      <c r="M129" s="36"/>
      <c r="N129" s="36"/>
      <c r="O129" s="36"/>
      <c r="P129" s="36"/>
      <c r="Q129" s="35"/>
    </row>
    <row r="130" spans="1:17" ht="14.25" customHeight="1" x14ac:dyDescent="0.2">
      <c r="A130" s="36"/>
      <c r="B130" s="36"/>
      <c r="C130" s="35"/>
      <c r="D130" s="36"/>
      <c r="E130" s="36"/>
      <c r="F130" s="36"/>
      <c r="G130" s="36"/>
      <c r="H130" s="35"/>
      <c r="I130" s="35"/>
      <c r="J130" s="36"/>
      <c r="K130" s="36"/>
      <c r="L130" s="36"/>
      <c r="M130" s="36"/>
      <c r="N130" s="36"/>
      <c r="O130" s="36"/>
      <c r="P130" s="36"/>
      <c r="Q130" s="35"/>
    </row>
    <row r="131" spans="1:17" ht="14.25" customHeight="1" x14ac:dyDescent="0.2">
      <c r="A131" s="36"/>
      <c r="B131" s="36"/>
      <c r="C131" s="35"/>
      <c r="D131" s="36"/>
      <c r="E131" s="36"/>
      <c r="F131" s="36"/>
      <c r="G131" s="36"/>
      <c r="H131" s="35"/>
      <c r="I131" s="35"/>
      <c r="J131" s="36"/>
      <c r="K131" s="36"/>
      <c r="L131" s="36"/>
      <c r="M131" s="35"/>
      <c r="N131" s="35"/>
      <c r="O131" s="35"/>
      <c r="P131" s="35"/>
      <c r="Q131" s="36"/>
    </row>
    <row r="132" spans="1:17" ht="14.25" customHeight="1" x14ac:dyDescent="0.2">
      <c r="A132" s="36"/>
      <c r="B132" s="36"/>
      <c r="C132" s="35"/>
      <c r="D132" s="36"/>
      <c r="E132" s="36"/>
      <c r="F132" s="36"/>
      <c r="G132" s="36"/>
      <c r="H132" s="35"/>
      <c r="I132" s="35"/>
      <c r="J132" s="36"/>
      <c r="K132" s="36"/>
      <c r="L132" s="36"/>
      <c r="M132" s="36"/>
      <c r="N132" s="36"/>
      <c r="O132" s="36"/>
      <c r="P132" s="36"/>
      <c r="Q132" s="35"/>
    </row>
    <row r="133" spans="1:17" ht="14.25" customHeight="1" x14ac:dyDescent="0.2">
      <c r="A133" s="36"/>
      <c r="B133" s="36"/>
      <c r="C133" s="35"/>
      <c r="D133" s="36"/>
      <c r="E133" s="36"/>
      <c r="F133" s="36"/>
      <c r="G133" s="36"/>
      <c r="H133" s="35"/>
      <c r="I133" s="35"/>
      <c r="J133" s="36"/>
      <c r="K133" s="36"/>
      <c r="L133" s="36"/>
      <c r="M133" s="35"/>
      <c r="N133" s="35"/>
      <c r="O133" s="35"/>
      <c r="P133" s="35"/>
      <c r="Q133" s="36"/>
    </row>
    <row r="134" spans="1:17" ht="14.25" customHeight="1" x14ac:dyDescent="0.2">
      <c r="A134" s="36"/>
      <c r="B134" s="36"/>
      <c r="C134" s="35"/>
      <c r="D134" s="36"/>
      <c r="E134" s="36"/>
      <c r="F134" s="36"/>
      <c r="G134" s="36"/>
      <c r="H134" s="35"/>
      <c r="I134" s="35"/>
      <c r="J134" s="36"/>
      <c r="K134" s="36"/>
      <c r="L134" s="36"/>
      <c r="M134" s="35"/>
      <c r="N134" s="35"/>
      <c r="O134" s="35"/>
      <c r="P134" s="35"/>
      <c r="Q134" s="36"/>
    </row>
    <row r="135" spans="1:17" ht="14.25" customHeight="1" x14ac:dyDescent="0.2">
      <c r="A135" s="36"/>
      <c r="B135" s="36"/>
      <c r="C135" s="35"/>
      <c r="D135" s="36"/>
      <c r="E135" s="36"/>
      <c r="F135" s="36"/>
      <c r="G135" s="36"/>
      <c r="H135" s="35"/>
      <c r="I135" s="35"/>
      <c r="J135" s="36"/>
      <c r="K135" s="36"/>
      <c r="L135" s="36"/>
      <c r="M135" s="36"/>
      <c r="N135" s="36"/>
      <c r="O135" s="36"/>
      <c r="P135" s="36"/>
      <c r="Q135" s="35"/>
    </row>
    <row r="136" spans="1:17" ht="14.25" customHeight="1" x14ac:dyDescent="0.2">
      <c r="A136" s="36"/>
      <c r="B136" s="36"/>
      <c r="C136" s="35"/>
      <c r="D136" s="36"/>
      <c r="E136" s="36"/>
      <c r="F136" s="36"/>
      <c r="G136" s="36"/>
      <c r="H136" s="35"/>
      <c r="I136" s="35"/>
      <c r="J136" s="36"/>
      <c r="K136" s="36"/>
      <c r="L136" s="36"/>
      <c r="M136" s="35"/>
      <c r="N136" s="35"/>
      <c r="O136" s="35"/>
      <c r="P136" s="35"/>
      <c r="Q136" s="36"/>
    </row>
    <row r="137" spans="1:17" ht="14.25" customHeight="1" x14ac:dyDescent="0.2">
      <c r="A137" s="36"/>
      <c r="B137" s="36"/>
      <c r="C137" s="35"/>
      <c r="D137" s="36"/>
      <c r="E137" s="36"/>
      <c r="F137" s="36"/>
      <c r="G137" s="36"/>
      <c r="H137" s="35"/>
      <c r="I137" s="35"/>
      <c r="J137" s="36"/>
      <c r="K137" s="36"/>
      <c r="L137" s="36"/>
      <c r="M137" s="35"/>
      <c r="N137" s="35"/>
      <c r="O137" s="35"/>
      <c r="P137" s="35"/>
      <c r="Q137" s="36"/>
    </row>
    <row r="138" spans="1:17" ht="14.25" customHeight="1" x14ac:dyDescent="0.2">
      <c r="A138" s="36"/>
      <c r="B138" s="36"/>
      <c r="C138" s="35"/>
      <c r="D138" s="36"/>
      <c r="E138" s="36"/>
      <c r="F138" s="36"/>
      <c r="G138" s="36"/>
      <c r="H138" s="35"/>
      <c r="I138" s="35"/>
      <c r="J138" s="36"/>
      <c r="K138" s="36"/>
      <c r="L138" s="36"/>
      <c r="M138" s="35"/>
      <c r="N138" s="35"/>
      <c r="O138" s="35"/>
      <c r="P138" s="35"/>
      <c r="Q138" s="36"/>
    </row>
    <row r="139" spans="1:17" ht="14.25" customHeight="1" x14ac:dyDescent="0.2">
      <c r="A139" s="36"/>
      <c r="B139" s="36"/>
      <c r="C139" s="35"/>
      <c r="D139" s="36"/>
      <c r="E139" s="36"/>
      <c r="F139" s="36"/>
      <c r="G139" s="36"/>
      <c r="H139" s="35"/>
      <c r="I139" s="35"/>
      <c r="J139" s="36"/>
      <c r="K139" s="36"/>
      <c r="L139" s="36"/>
      <c r="M139" s="36"/>
      <c r="N139" s="36"/>
      <c r="O139" s="36"/>
      <c r="P139" s="36"/>
      <c r="Q139" s="35"/>
    </row>
    <row r="140" spans="1:17" ht="14.25" customHeight="1" x14ac:dyDescent="0.2">
      <c r="A140" s="36"/>
      <c r="B140" s="36"/>
      <c r="C140" s="35"/>
      <c r="D140" s="36"/>
      <c r="E140" s="36"/>
      <c r="F140" s="36"/>
      <c r="G140" s="36"/>
      <c r="H140" s="35"/>
      <c r="I140" s="35"/>
      <c r="J140" s="36"/>
      <c r="K140" s="36"/>
      <c r="L140" s="36"/>
      <c r="M140" s="35"/>
      <c r="N140" s="35"/>
      <c r="O140" s="35"/>
      <c r="P140" s="35"/>
      <c r="Q140" s="36"/>
    </row>
    <row r="141" spans="1:17" ht="14.25" customHeight="1" x14ac:dyDescent="0.2">
      <c r="A141" s="36"/>
      <c r="B141" s="36"/>
      <c r="C141" s="35"/>
      <c r="D141" s="36"/>
      <c r="E141" s="36"/>
      <c r="F141" s="36"/>
      <c r="G141" s="36"/>
      <c r="H141" s="35"/>
      <c r="I141" s="35"/>
      <c r="J141" s="36"/>
      <c r="K141" s="36"/>
      <c r="L141" s="36"/>
      <c r="M141" s="35"/>
      <c r="N141" s="35"/>
      <c r="O141" s="35"/>
      <c r="P141" s="35"/>
      <c r="Q141" s="36"/>
    </row>
    <row r="142" spans="1:17" ht="14.25" customHeight="1" x14ac:dyDescent="0.2">
      <c r="A142" s="36"/>
      <c r="B142" s="36"/>
      <c r="C142" s="35"/>
      <c r="D142" s="36"/>
      <c r="E142" s="36"/>
      <c r="F142" s="36"/>
      <c r="G142" s="36"/>
      <c r="H142" s="35"/>
      <c r="I142" s="35"/>
      <c r="J142" s="36"/>
      <c r="K142" s="36"/>
      <c r="L142" s="36"/>
      <c r="M142" s="36"/>
      <c r="N142" s="36"/>
      <c r="O142" s="36"/>
      <c r="P142" s="36"/>
      <c r="Q142" s="35"/>
    </row>
    <row r="143" spans="1:17" ht="14.25" customHeight="1" x14ac:dyDescent="0.2">
      <c r="A143" s="36"/>
      <c r="B143" s="36"/>
      <c r="C143" s="35"/>
      <c r="D143" s="36"/>
      <c r="E143" s="36"/>
      <c r="F143" s="36"/>
      <c r="G143" s="36"/>
      <c r="H143" s="35"/>
      <c r="I143" s="35"/>
      <c r="J143" s="36"/>
      <c r="K143" s="36"/>
      <c r="L143" s="36"/>
      <c r="M143" s="35"/>
      <c r="N143" s="35"/>
      <c r="O143" s="35"/>
      <c r="P143" s="35"/>
      <c r="Q143" s="36"/>
    </row>
    <row r="144" spans="1:17" ht="14.25" customHeight="1" x14ac:dyDescent="0.2">
      <c r="A144" s="36"/>
      <c r="B144" s="36"/>
      <c r="C144" s="35"/>
      <c r="D144" s="36"/>
      <c r="E144" s="36"/>
      <c r="F144" s="36"/>
      <c r="G144" s="36"/>
      <c r="H144" s="35"/>
      <c r="I144" s="35"/>
      <c r="J144" s="36"/>
      <c r="K144" s="36"/>
      <c r="L144" s="36"/>
      <c r="M144" s="35"/>
      <c r="N144" s="35"/>
      <c r="O144" s="35"/>
      <c r="P144" s="35"/>
      <c r="Q144" s="36"/>
    </row>
    <row r="145" spans="1:17" ht="14.25" customHeight="1" x14ac:dyDescent="0.2">
      <c r="A145" s="36"/>
      <c r="B145" s="36"/>
      <c r="C145" s="35"/>
      <c r="D145" s="36"/>
      <c r="E145" s="36"/>
      <c r="F145" s="36"/>
      <c r="G145" s="36"/>
      <c r="H145" s="35"/>
      <c r="I145" s="35"/>
      <c r="J145" s="36"/>
      <c r="K145" s="36"/>
      <c r="L145" s="36"/>
      <c r="M145" s="36"/>
      <c r="N145" s="36"/>
      <c r="O145" s="36"/>
      <c r="P145" s="36"/>
      <c r="Q145" s="35"/>
    </row>
    <row r="146" spans="1:17" ht="14.25" customHeight="1" x14ac:dyDescent="0.2">
      <c r="A146" s="36"/>
      <c r="B146" s="36"/>
      <c r="C146" s="35"/>
      <c r="D146" s="36"/>
      <c r="E146" s="36"/>
      <c r="F146" s="36"/>
      <c r="G146" s="36"/>
      <c r="H146" s="35"/>
      <c r="I146" s="35"/>
      <c r="J146" s="36"/>
      <c r="K146" s="36"/>
      <c r="L146" s="36"/>
      <c r="M146" s="35"/>
      <c r="N146" s="35"/>
      <c r="O146" s="35"/>
      <c r="P146" s="35"/>
      <c r="Q146" s="36"/>
    </row>
    <row r="147" spans="1:17" ht="14.25" customHeight="1" x14ac:dyDescent="0.2">
      <c r="A147" s="36"/>
      <c r="B147" s="36"/>
      <c r="C147" s="35"/>
      <c r="D147" s="36"/>
      <c r="E147" s="36"/>
      <c r="F147" s="36"/>
      <c r="G147" s="36"/>
      <c r="H147" s="35"/>
      <c r="I147" s="35"/>
      <c r="J147" s="36"/>
      <c r="K147" s="36"/>
      <c r="L147" s="36"/>
      <c r="M147" s="35"/>
      <c r="N147" s="35"/>
      <c r="O147" s="35"/>
      <c r="P147" s="35"/>
      <c r="Q147" s="36"/>
    </row>
    <row r="148" spans="1:17" ht="14.25" customHeight="1" x14ac:dyDescent="0.2">
      <c r="A148" s="36"/>
      <c r="B148" s="36"/>
      <c r="C148" s="35"/>
      <c r="D148" s="36"/>
      <c r="E148" s="36"/>
      <c r="F148" s="36"/>
      <c r="G148" s="36"/>
      <c r="H148" s="35"/>
      <c r="I148" s="35"/>
      <c r="J148" s="36"/>
      <c r="K148" s="36"/>
      <c r="L148" s="36"/>
      <c r="M148" s="35"/>
      <c r="N148" s="35"/>
      <c r="O148" s="35"/>
      <c r="P148" s="35"/>
      <c r="Q148" s="36"/>
    </row>
    <row r="149" spans="1:17" ht="14.25" customHeight="1" x14ac:dyDescent="0.2">
      <c r="A149" s="36"/>
      <c r="B149" s="36"/>
      <c r="C149" s="35"/>
      <c r="D149" s="36"/>
      <c r="E149" s="36"/>
      <c r="F149" s="36"/>
      <c r="G149" s="36"/>
      <c r="H149" s="35"/>
      <c r="I149" s="35"/>
      <c r="J149" s="36"/>
      <c r="K149" s="36"/>
      <c r="L149" s="36"/>
      <c r="M149" s="35"/>
      <c r="N149" s="35"/>
      <c r="O149" s="35"/>
      <c r="P149" s="35"/>
      <c r="Q149" s="36"/>
    </row>
    <row r="150" spans="1:17" ht="14.25" customHeight="1" x14ac:dyDescent="0.2">
      <c r="A150" s="36"/>
      <c r="B150" s="36"/>
      <c r="C150" s="35"/>
      <c r="D150" s="36"/>
      <c r="E150" s="36"/>
      <c r="F150" s="36"/>
      <c r="G150" s="36"/>
      <c r="H150" s="35"/>
      <c r="I150" s="35"/>
      <c r="J150" s="36"/>
      <c r="K150" s="36"/>
      <c r="L150" s="36"/>
      <c r="M150" s="36"/>
      <c r="N150" s="36"/>
      <c r="O150" s="36"/>
      <c r="P150" s="36"/>
      <c r="Q150" s="35"/>
    </row>
    <row r="151" spans="1:17" ht="14.25" customHeight="1" x14ac:dyDescent="0.2">
      <c r="A151" s="36"/>
      <c r="B151" s="36"/>
      <c r="C151" s="35"/>
      <c r="D151" s="36"/>
      <c r="E151" s="36"/>
      <c r="F151" s="36"/>
      <c r="G151" s="36"/>
      <c r="H151" s="35"/>
      <c r="I151" s="35"/>
      <c r="J151" s="36"/>
      <c r="K151" s="36"/>
      <c r="L151" s="36"/>
      <c r="M151" s="35"/>
      <c r="N151" s="35"/>
      <c r="O151" s="35"/>
      <c r="P151" s="35"/>
      <c r="Q151" s="36"/>
    </row>
    <row r="152" spans="1:17" ht="14.25" customHeight="1" x14ac:dyDescent="0.2">
      <c r="A152" s="36"/>
      <c r="B152" s="36"/>
      <c r="C152" s="35"/>
      <c r="D152" s="36"/>
      <c r="E152" s="36"/>
      <c r="F152" s="36"/>
      <c r="G152" s="36"/>
      <c r="H152" s="35"/>
      <c r="I152" s="35"/>
      <c r="J152" s="36"/>
      <c r="K152" s="36"/>
      <c r="L152" s="36"/>
      <c r="M152" s="36"/>
      <c r="N152" s="36"/>
      <c r="O152" s="36"/>
      <c r="P152" s="36"/>
      <c r="Q152" s="35"/>
    </row>
    <row r="153" spans="1:17" ht="14.25" customHeight="1" x14ac:dyDescent="0.2">
      <c r="A153" s="36"/>
      <c r="B153" s="36"/>
      <c r="C153" s="35"/>
      <c r="D153" s="36"/>
      <c r="E153" s="36"/>
      <c r="F153" s="36"/>
      <c r="G153" s="36"/>
      <c r="H153" s="35"/>
      <c r="I153" s="35"/>
      <c r="J153" s="36"/>
      <c r="K153" s="36"/>
      <c r="L153" s="36"/>
      <c r="M153" s="35"/>
      <c r="N153" s="35"/>
      <c r="O153" s="35"/>
      <c r="P153" s="35"/>
      <c r="Q153" s="36"/>
    </row>
    <row r="154" spans="1:17" ht="14.25" customHeight="1" x14ac:dyDescent="0.2">
      <c r="A154" s="36"/>
      <c r="B154" s="36"/>
      <c r="C154" s="35"/>
      <c r="D154" s="36"/>
      <c r="E154" s="36"/>
      <c r="F154" s="36"/>
      <c r="G154" s="36"/>
      <c r="H154" s="35"/>
      <c r="I154" s="35"/>
      <c r="J154" s="36"/>
      <c r="K154" s="36"/>
      <c r="L154" s="36"/>
      <c r="M154" s="36"/>
      <c r="N154" s="36"/>
      <c r="O154" s="36"/>
      <c r="P154" s="36"/>
      <c r="Q154" s="35"/>
    </row>
    <row r="155" spans="1:17" ht="14.25" customHeight="1" x14ac:dyDescent="0.2">
      <c r="A155" s="36"/>
      <c r="B155" s="36"/>
      <c r="C155" s="35"/>
      <c r="D155" s="36"/>
      <c r="E155" s="36"/>
      <c r="F155" s="36"/>
      <c r="G155" s="36"/>
      <c r="H155" s="35"/>
      <c r="I155" s="35"/>
      <c r="J155" s="36"/>
      <c r="K155" s="36"/>
      <c r="L155" s="36"/>
      <c r="M155" s="36"/>
      <c r="N155" s="36"/>
      <c r="O155" s="36"/>
      <c r="P155" s="36"/>
      <c r="Q155" s="35"/>
    </row>
    <row r="156" spans="1:17" ht="14.25" customHeight="1" x14ac:dyDescent="0.2">
      <c r="A156" s="36"/>
      <c r="B156" s="36"/>
      <c r="C156" s="35"/>
      <c r="D156" s="36"/>
      <c r="E156" s="36"/>
      <c r="F156" s="36"/>
      <c r="G156" s="36"/>
      <c r="H156" s="35"/>
      <c r="I156" s="35"/>
      <c r="J156" s="36"/>
      <c r="K156" s="36"/>
      <c r="L156" s="36"/>
      <c r="M156" s="35"/>
      <c r="N156" s="35"/>
      <c r="O156" s="35"/>
      <c r="P156" s="35"/>
      <c r="Q156" s="36"/>
    </row>
    <row r="157" spans="1:17" ht="14.25" customHeight="1" x14ac:dyDescent="0.2">
      <c r="A157" s="36"/>
      <c r="B157" s="36"/>
      <c r="C157" s="35"/>
      <c r="D157" s="36"/>
      <c r="E157" s="36"/>
      <c r="F157" s="36"/>
      <c r="G157" s="36"/>
      <c r="H157" s="35"/>
      <c r="I157" s="35"/>
      <c r="J157" s="36"/>
      <c r="K157" s="36"/>
      <c r="L157" s="36"/>
      <c r="M157" s="35"/>
      <c r="N157" s="35"/>
      <c r="O157" s="35"/>
      <c r="P157" s="35"/>
      <c r="Q157" s="36"/>
    </row>
    <row r="158" spans="1:17" ht="14.25" customHeight="1" x14ac:dyDescent="0.2">
      <c r="A158" s="36"/>
      <c r="B158" s="36"/>
      <c r="C158" s="35"/>
      <c r="D158" s="36"/>
      <c r="E158" s="36"/>
      <c r="F158" s="36"/>
      <c r="G158" s="36"/>
      <c r="H158" s="35"/>
      <c r="I158" s="35"/>
      <c r="J158" s="36"/>
      <c r="K158" s="36"/>
      <c r="L158" s="36"/>
      <c r="M158" s="35"/>
      <c r="N158" s="35"/>
      <c r="O158" s="35"/>
      <c r="P158" s="35"/>
      <c r="Q158" s="36"/>
    </row>
    <row r="159" spans="1:17" ht="14.25" customHeight="1" x14ac:dyDescent="0.2">
      <c r="A159" s="36"/>
      <c r="B159" s="36"/>
      <c r="C159" s="35"/>
      <c r="D159" s="36"/>
      <c r="E159" s="36"/>
      <c r="F159" s="36"/>
      <c r="G159" s="36"/>
      <c r="H159" s="35"/>
      <c r="I159" s="35"/>
      <c r="J159" s="36"/>
      <c r="K159" s="36"/>
      <c r="L159" s="36"/>
      <c r="M159" s="35"/>
      <c r="N159" s="35"/>
      <c r="O159" s="35"/>
      <c r="P159" s="35"/>
      <c r="Q159" s="36"/>
    </row>
    <row r="160" spans="1:17" ht="14.25" customHeight="1" x14ac:dyDescent="0.2">
      <c r="A160" s="36"/>
      <c r="B160" s="36"/>
      <c r="C160" s="35"/>
      <c r="D160" s="36"/>
      <c r="E160" s="36"/>
      <c r="F160" s="36"/>
      <c r="G160" s="36"/>
      <c r="H160" s="35"/>
      <c r="I160" s="35"/>
      <c r="J160" s="36"/>
      <c r="K160" s="36"/>
      <c r="L160" s="36"/>
      <c r="M160" s="36"/>
      <c r="N160" s="36"/>
      <c r="O160" s="36"/>
      <c r="P160" s="36"/>
      <c r="Q160" s="35"/>
    </row>
    <row r="161" spans="1:17" ht="14.25" customHeight="1" x14ac:dyDescent="0.2">
      <c r="A161" s="36"/>
      <c r="B161" s="36"/>
      <c r="C161" s="35"/>
      <c r="D161" s="36"/>
      <c r="E161" s="36"/>
      <c r="F161" s="36"/>
      <c r="G161" s="36"/>
      <c r="H161" s="35"/>
      <c r="I161" s="35"/>
      <c r="J161" s="36"/>
      <c r="K161" s="36"/>
      <c r="L161" s="36"/>
      <c r="M161" s="35"/>
      <c r="N161" s="35"/>
      <c r="O161" s="35"/>
      <c r="P161" s="35"/>
      <c r="Q161" s="36"/>
    </row>
    <row r="162" spans="1:17" ht="14.25" customHeight="1" x14ac:dyDescent="0.2">
      <c r="A162" s="36"/>
      <c r="B162" s="36"/>
      <c r="C162" s="35"/>
      <c r="D162" s="36"/>
      <c r="E162" s="36"/>
      <c r="F162" s="36"/>
      <c r="G162" s="36"/>
      <c r="H162" s="35"/>
      <c r="I162" s="35"/>
      <c r="J162" s="36"/>
      <c r="K162" s="36"/>
      <c r="L162" s="36"/>
      <c r="M162" s="35"/>
      <c r="N162" s="35"/>
      <c r="O162" s="35"/>
      <c r="P162" s="35"/>
      <c r="Q162" s="36"/>
    </row>
    <row r="163" spans="1:17" ht="14.25" customHeight="1" x14ac:dyDescent="0.2">
      <c r="A163" s="36"/>
      <c r="B163" s="36"/>
      <c r="C163" s="35"/>
      <c r="D163" s="36"/>
      <c r="E163" s="36"/>
      <c r="F163" s="36"/>
      <c r="G163" s="36"/>
      <c r="H163" s="35"/>
      <c r="I163" s="35"/>
      <c r="J163" s="36"/>
      <c r="K163" s="36"/>
      <c r="L163" s="36"/>
      <c r="M163" s="35"/>
      <c r="N163" s="35"/>
      <c r="O163" s="35"/>
      <c r="P163" s="35"/>
      <c r="Q163" s="36"/>
    </row>
    <row r="164" spans="1:17" ht="14.25" customHeight="1" x14ac:dyDescent="0.2">
      <c r="A164" s="36"/>
      <c r="B164" s="36"/>
      <c r="C164" s="35"/>
      <c r="D164" s="36"/>
      <c r="E164" s="36"/>
      <c r="F164" s="36"/>
      <c r="G164" s="36"/>
      <c r="H164" s="35"/>
      <c r="I164" s="35"/>
      <c r="J164" s="36"/>
      <c r="K164" s="36"/>
      <c r="L164" s="36"/>
      <c r="M164" s="35"/>
      <c r="N164" s="35"/>
      <c r="O164" s="35"/>
      <c r="P164" s="35"/>
      <c r="Q164" s="36"/>
    </row>
    <row r="165" spans="1:17" ht="14.25" customHeight="1" x14ac:dyDescent="0.2">
      <c r="A165" s="36"/>
      <c r="B165" s="36"/>
      <c r="C165" s="35"/>
      <c r="D165" s="36"/>
      <c r="E165" s="36"/>
      <c r="F165" s="36"/>
      <c r="G165" s="36"/>
      <c r="H165" s="35"/>
      <c r="I165" s="35"/>
      <c r="J165" s="36"/>
      <c r="K165" s="36"/>
      <c r="L165" s="36"/>
      <c r="M165" s="35"/>
      <c r="N165" s="35"/>
      <c r="O165" s="35"/>
      <c r="P165" s="35"/>
      <c r="Q165" s="36"/>
    </row>
    <row r="166" spans="1:17" ht="14.25" customHeight="1" x14ac:dyDescent="0.2">
      <c r="A166" s="36"/>
      <c r="B166" s="36"/>
      <c r="C166" s="35"/>
      <c r="D166" s="36"/>
      <c r="E166" s="36"/>
      <c r="F166" s="36"/>
      <c r="G166" s="36"/>
      <c r="H166" s="35"/>
      <c r="I166" s="35"/>
      <c r="J166" s="36"/>
      <c r="K166" s="36"/>
      <c r="L166" s="36"/>
      <c r="M166" s="35"/>
      <c r="N166" s="35"/>
      <c r="O166" s="35"/>
      <c r="P166" s="35"/>
      <c r="Q166" s="36"/>
    </row>
    <row r="167" spans="1:17" ht="14.25" customHeight="1" x14ac:dyDescent="0.2">
      <c r="A167" s="36"/>
      <c r="B167" s="36"/>
      <c r="C167" s="35"/>
      <c r="D167" s="36"/>
      <c r="E167" s="36"/>
      <c r="F167" s="36"/>
      <c r="G167" s="36"/>
      <c r="H167" s="35"/>
      <c r="I167" s="35"/>
      <c r="J167" s="36"/>
      <c r="K167" s="36"/>
      <c r="L167" s="36"/>
      <c r="M167" s="35"/>
      <c r="N167" s="35"/>
      <c r="O167" s="35"/>
      <c r="P167" s="35"/>
      <c r="Q167" s="36"/>
    </row>
    <row r="168" spans="1:17" ht="14.25" customHeight="1" x14ac:dyDescent="0.2">
      <c r="A168" s="36"/>
      <c r="B168" s="36"/>
      <c r="C168" s="35"/>
      <c r="D168" s="36"/>
      <c r="E168" s="36"/>
      <c r="F168" s="36"/>
      <c r="G168" s="36"/>
      <c r="H168" s="35"/>
      <c r="I168" s="35"/>
      <c r="J168" s="36"/>
      <c r="K168" s="36"/>
      <c r="L168" s="36"/>
      <c r="M168" s="35"/>
      <c r="N168" s="35"/>
      <c r="O168" s="35"/>
      <c r="P168" s="35"/>
      <c r="Q168" s="36"/>
    </row>
    <row r="169" spans="1:17" ht="14.25" customHeight="1" x14ac:dyDescent="0.2">
      <c r="A169" s="36"/>
      <c r="B169" s="36"/>
      <c r="C169" s="35"/>
      <c r="D169" s="36"/>
      <c r="E169" s="36"/>
      <c r="F169" s="36"/>
      <c r="G169" s="36"/>
      <c r="H169" s="35"/>
      <c r="I169" s="35"/>
      <c r="J169" s="36"/>
      <c r="K169" s="36"/>
      <c r="L169" s="36"/>
      <c r="M169" s="36"/>
      <c r="N169" s="36"/>
      <c r="O169" s="36"/>
      <c r="P169" s="36"/>
      <c r="Q169" s="35"/>
    </row>
    <row r="170" spans="1:17" ht="14.25" customHeight="1" x14ac:dyDescent="0.2">
      <c r="A170" s="36"/>
      <c r="B170" s="36"/>
      <c r="C170" s="35"/>
      <c r="D170" s="36"/>
      <c r="E170" s="36"/>
      <c r="F170" s="36"/>
      <c r="G170" s="36"/>
      <c r="H170" s="35"/>
      <c r="I170" s="35"/>
      <c r="J170" s="36"/>
      <c r="K170" s="36"/>
      <c r="L170" s="36"/>
      <c r="M170" s="35"/>
      <c r="N170" s="35"/>
      <c r="O170" s="35"/>
      <c r="P170" s="35"/>
      <c r="Q170" s="36"/>
    </row>
    <row r="171" spans="1:17" ht="14.25" customHeight="1" x14ac:dyDescent="0.2">
      <c r="A171" s="36"/>
      <c r="B171" s="36"/>
      <c r="C171" s="35"/>
      <c r="D171" s="36"/>
      <c r="E171" s="36"/>
      <c r="F171" s="36"/>
      <c r="G171" s="36"/>
      <c r="H171" s="35"/>
      <c r="I171" s="35"/>
      <c r="J171" s="36"/>
      <c r="K171" s="36"/>
      <c r="L171" s="36"/>
      <c r="M171" s="35"/>
      <c r="N171" s="35"/>
      <c r="O171" s="35"/>
      <c r="P171" s="35"/>
      <c r="Q171" s="36"/>
    </row>
    <row r="172" spans="1:17" ht="14.25" customHeight="1" x14ac:dyDescent="0.2">
      <c r="A172" s="36"/>
      <c r="B172" s="36"/>
      <c r="C172" s="35"/>
      <c r="D172" s="36"/>
      <c r="E172" s="36"/>
      <c r="F172" s="36"/>
      <c r="G172" s="36"/>
      <c r="H172" s="35"/>
      <c r="I172" s="35"/>
      <c r="J172" s="36"/>
      <c r="K172" s="36"/>
      <c r="L172" s="36"/>
      <c r="M172" s="35"/>
      <c r="N172" s="35"/>
      <c r="O172" s="35"/>
      <c r="P172" s="35"/>
      <c r="Q172" s="36"/>
    </row>
    <row r="173" spans="1:17" ht="14.25" customHeight="1" x14ac:dyDescent="0.2">
      <c r="A173" s="36"/>
      <c r="B173" s="36"/>
      <c r="C173" s="35"/>
      <c r="D173" s="36"/>
      <c r="E173" s="36"/>
      <c r="F173" s="36"/>
      <c r="G173" s="36"/>
      <c r="H173" s="35"/>
      <c r="I173" s="35"/>
      <c r="J173" s="36"/>
      <c r="K173" s="36"/>
      <c r="L173" s="36"/>
      <c r="M173" s="35"/>
      <c r="N173" s="35"/>
      <c r="O173" s="35"/>
      <c r="P173" s="35"/>
      <c r="Q173" s="36"/>
    </row>
    <row r="174" spans="1:17" ht="14.25" customHeight="1" x14ac:dyDescent="0.2">
      <c r="A174" s="36"/>
      <c r="B174" s="36"/>
      <c r="C174" s="35"/>
      <c r="D174" s="36"/>
      <c r="E174" s="36"/>
      <c r="F174" s="36"/>
      <c r="G174" s="36"/>
      <c r="H174" s="35"/>
      <c r="I174" s="35"/>
      <c r="J174" s="36"/>
      <c r="K174" s="36"/>
      <c r="L174" s="36"/>
      <c r="M174" s="35"/>
      <c r="N174" s="35"/>
      <c r="O174" s="35"/>
      <c r="P174" s="35"/>
      <c r="Q174" s="36"/>
    </row>
    <row r="175" spans="1:17" ht="14.25" customHeight="1" x14ac:dyDescent="0.2">
      <c r="A175" s="36"/>
      <c r="B175" s="36"/>
      <c r="C175" s="35"/>
      <c r="D175" s="36"/>
      <c r="E175" s="36"/>
      <c r="F175" s="36"/>
      <c r="G175" s="36"/>
      <c r="H175" s="35"/>
      <c r="I175" s="35"/>
      <c r="J175" s="36"/>
      <c r="K175" s="36"/>
      <c r="L175" s="36"/>
      <c r="M175" s="35"/>
      <c r="N175" s="35"/>
      <c r="O175" s="35"/>
      <c r="P175" s="35"/>
      <c r="Q175" s="36"/>
    </row>
    <row r="176" spans="1:17" ht="14.25" customHeight="1" x14ac:dyDescent="0.2">
      <c r="A176" s="36"/>
      <c r="B176" s="36"/>
      <c r="C176" s="35"/>
      <c r="D176" s="36"/>
      <c r="E176" s="36"/>
      <c r="F176" s="36"/>
      <c r="G176" s="36"/>
      <c r="H176" s="35"/>
      <c r="I176" s="35"/>
      <c r="J176" s="36"/>
      <c r="K176" s="36"/>
      <c r="L176" s="36"/>
      <c r="M176" s="36"/>
      <c r="N176" s="36"/>
      <c r="O176" s="36"/>
      <c r="P176" s="36"/>
      <c r="Q176" s="35"/>
    </row>
    <row r="177" spans="1:17" ht="14.25" customHeight="1" x14ac:dyDescent="0.2">
      <c r="A177" s="36"/>
      <c r="B177" s="36"/>
      <c r="C177" s="35"/>
      <c r="D177" s="36"/>
      <c r="E177" s="36"/>
      <c r="F177" s="36"/>
      <c r="G177" s="36"/>
      <c r="H177" s="35"/>
      <c r="I177" s="35"/>
      <c r="J177" s="36"/>
      <c r="K177" s="36"/>
      <c r="L177" s="36"/>
      <c r="M177" s="35"/>
      <c r="N177" s="35"/>
      <c r="O177" s="35"/>
      <c r="P177" s="35"/>
      <c r="Q177" s="36"/>
    </row>
    <row r="178" spans="1:17" ht="14.25" customHeight="1" x14ac:dyDescent="0.2">
      <c r="A178" s="36"/>
      <c r="B178" s="36"/>
      <c r="C178" s="35"/>
      <c r="D178" s="36"/>
      <c r="E178" s="36"/>
      <c r="F178" s="36"/>
      <c r="G178" s="36"/>
      <c r="H178" s="35"/>
      <c r="I178" s="35"/>
      <c r="J178" s="36"/>
      <c r="K178" s="36"/>
      <c r="L178" s="36"/>
      <c r="M178" s="35"/>
      <c r="N178" s="35"/>
      <c r="O178" s="35"/>
      <c r="P178" s="35"/>
      <c r="Q178" s="36"/>
    </row>
    <row r="179" spans="1:17" ht="14.25" customHeight="1" x14ac:dyDescent="0.2">
      <c r="A179" s="36"/>
      <c r="B179" s="36"/>
      <c r="C179" s="35"/>
      <c r="D179" s="36"/>
      <c r="E179" s="36"/>
      <c r="F179" s="36"/>
      <c r="G179" s="36"/>
      <c r="H179" s="35"/>
      <c r="I179" s="35"/>
      <c r="J179" s="36"/>
      <c r="K179" s="36"/>
      <c r="L179" s="36"/>
      <c r="M179" s="36"/>
      <c r="N179" s="36"/>
      <c r="O179" s="36"/>
      <c r="P179" s="36"/>
      <c r="Q179" s="35"/>
    </row>
    <row r="180" spans="1:17" ht="14.25" customHeight="1" x14ac:dyDescent="0.2">
      <c r="A180" s="36"/>
      <c r="B180" s="36"/>
      <c r="C180" s="35"/>
      <c r="D180" s="36"/>
      <c r="E180" s="36"/>
      <c r="F180" s="36"/>
      <c r="G180" s="36"/>
      <c r="H180" s="35"/>
      <c r="I180" s="35"/>
      <c r="J180" s="36"/>
      <c r="K180" s="36"/>
      <c r="L180" s="36"/>
      <c r="M180" s="35"/>
      <c r="N180" s="35"/>
      <c r="O180" s="35"/>
      <c r="P180" s="35"/>
      <c r="Q180" s="36"/>
    </row>
    <row r="181" spans="1:17" ht="14.25" customHeight="1" x14ac:dyDescent="0.2">
      <c r="A181" s="36"/>
      <c r="B181" s="36"/>
      <c r="C181" s="35"/>
      <c r="D181" s="36"/>
      <c r="E181" s="36"/>
      <c r="F181" s="36"/>
      <c r="G181" s="36"/>
      <c r="H181" s="35"/>
      <c r="I181" s="35"/>
      <c r="J181" s="36"/>
      <c r="K181" s="36"/>
      <c r="L181" s="36"/>
      <c r="M181" s="35"/>
      <c r="N181" s="35"/>
      <c r="O181" s="35"/>
      <c r="P181" s="35"/>
      <c r="Q181" s="36"/>
    </row>
    <row r="182" spans="1:17" ht="14.25" customHeight="1" x14ac:dyDescent="0.2">
      <c r="A182" s="36"/>
      <c r="B182" s="36"/>
      <c r="C182" s="35"/>
      <c r="D182" s="36"/>
      <c r="E182" s="36"/>
      <c r="F182" s="36"/>
      <c r="G182" s="36"/>
      <c r="H182" s="35"/>
      <c r="I182" s="35"/>
      <c r="J182" s="36"/>
      <c r="K182" s="36"/>
      <c r="L182" s="36"/>
      <c r="M182" s="35"/>
      <c r="N182" s="35"/>
      <c r="O182" s="35"/>
      <c r="P182" s="35"/>
      <c r="Q182" s="36"/>
    </row>
    <row r="183" spans="1:17" ht="14.25" customHeight="1" x14ac:dyDescent="0.2">
      <c r="A183" s="36"/>
      <c r="B183" s="36"/>
      <c r="C183" s="35"/>
      <c r="D183" s="36"/>
      <c r="E183" s="36"/>
      <c r="F183" s="36"/>
      <c r="G183" s="36"/>
      <c r="H183" s="35"/>
      <c r="I183" s="35"/>
      <c r="J183" s="36"/>
      <c r="K183" s="36"/>
      <c r="L183" s="36"/>
      <c r="M183" s="35"/>
      <c r="N183" s="35"/>
      <c r="O183" s="35"/>
      <c r="P183" s="35"/>
      <c r="Q183" s="36"/>
    </row>
    <row r="184" spans="1:17" ht="14.25" customHeight="1" x14ac:dyDescent="0.2">
      <c r="A184" s="36"/>
      <c r="B184" s="36"/>
      <c r="C184" s="35"/>
      <c r="D184" s="36"/>
      <c r="E184" s="36"/>
      <c r="F184" s="36"/>
      <c r="G184" s="36"/>
      <c r="H184" s="35"/>
      <c r="I184" s="35"/>
      <c r="J184" s="36"/>
      <c r="K184" s="36"/>
      <c r="L184" s="36"/>
      <c r="M184" s="36"/>
      <c r="N184" s="36"/>
      <c r="O184" s="36"/>
      <c r="P184" s="36"/>
      <c r="Q184" s="35"/>
    </row>
    <row r="185" spans="1:17" ht="14.25" customHeight="1" x14ac:dyDescent="0.2">
      <c r="A185" s="36"/>
      <c r="B185" s="36"/>
      <c r="C185" s="35"/>
      <c r="D185" s="36"/>
      <c r="E185" s="36"/>
      <c r="F185" s="36"/>
      <c r="G185" s="36"/>
      <c r="H185" s="35"/>
      <c r="I185" s="35"/>
      <c r="J185" s="36"/>
      <c r="K185" s="36"/>
      <c r="L185" s="36"/>
      <c r="M185" s="36"/>
      <c r="N185" s="36"/>
      <c r="O185" s="36"/>
      <c r="P185" s="36"/>
      <c r="Q185" s="35"/>
    </row>
    <row r="186" spans="1:17" ht="14.25" customHeight="1" x14ac:dyDescent="0.2">
      <c r="A186" s="36"/>
      <c r="B186" s="36"/>
      <c r="C186" s="35"/>
      <c r="D186" s="36"/>
      <c r="E186" s="36"/>
      <c r="F186" s="36"/>
      <c r="G186" s="36"/>
      <c r="H186" s="35"/>
      <c r="I186" s="35"/>
      <c r="J186" s="36"/>
      <c r="K186" s="36"/>
      <c r="L186" s="36"/>
      <c r="M186" s="35"/>
      <c r="N186" s="35"/>
      <c r="O186" s="35"/>
      <c r="P186" s="35"/>
      <c r="Q186" s="36"/>
    </row>
    <row r="187" spans="1:17" ht="14.25" customHeight="1" x14ac:dyDescent="0.2">
      <c r="A187" s="36"/>
      <c r="B187" s="36"/>
      <c r="C187" s="35"/>
      <c r="D187" s="36"/>
      <c r="E187" s="36"/>
      <c r="F187" s="36"/>
      <c r="G187" s="36"/>
      <c r="H187" s="35"/>
      <c r="I187" s="35"/>
      <c r="J187" s="36"/>
      <c r="K187" s="36"/>
      <c r="L187" s="36"/>
      <c r="M187" s="35"/>
      <c r="N187" s="35"/>
      <c r="O187" s="35"/>
      <c r="P187" s="35"/>
      <c r="Q187" s="36"/>
    </row>
    <row r="188" spans="1:17" ht="14.25" customHeight="1" x14ac:dyDescent="0.2">
      <c r="A188" s="36"/>
      <c r="B188" s="36"/>
      <c r="C188" s="35"/>
      <c r="D188" s="36"/>
      <c r="E188" s="36"/>
      <c r="F188" s="36"/>
      <c r="G188" s="36"/>
      <c r="H188" s="35"/>
      <c r="I188" s="35"/>
      <c r="J188" s="36"/>
      <c r="K188" s="36"/>
      <c r="L188" s="36"/>
      <c r="M188" s="35"/>
      <c r="N188" s="35"/>
      <c r="O188" s="35"/>
      <c r="P188" s="35"/>
      <c r="Q188" s="36"/>
    </row>
    <row r="189" spans="1:17" ht="14.25" customHeight="1" x14ac:dyDescent="0.2">
      <c r="A189" s="36"/>
      <c r="B189" s="36"/>
      <c r="C189" s="35"/>
      <c r="D189" s="36"/>
      <c r="E189" s="36"/>
      <c r="F189" s="36"/>
      <c r="G189" s="36"/>
      <c r="H189" s="35"/>
      <c r="I189" s="35"/>
      <c r="J189" s="36"/>
      <c r="K189" s="36"/>
      <c r="L189" s="36"/>
      <c r="M189" s="35"/>
      <c r="N189" s="35"/>
      <c r="O189" s="35"/>
      <c r="P189" s="35"/>
      <c r="Q189" s="36"/>
    </row>
    <row r="190" spans="1:17" ht="14.25" customHeight="1" x14ac:dyDescent="0.2">
      <c r="A190" s="36"/>
      <c r="B190" s="36"/>
      <c r="C190" s="35"/>
      <c r="D190" s="36"/>
      <c r="E190" s="36"/>
      <c r="F190" s="36"/>
      <c r="G190" s="36"/>
      <c r="H190" s="35"/>
      <c r="I190" s="35"/>
      <c r="J190" s="36"/>
      <c r="K190" s="36"/>
      <c r="L190" s="36"/>
      <c r="M190" s="35"/>
      <c r="N190" s="35"/>
      <c r="O190" s="35"/>
      <c r="P190" s="35"/>
      <c r="Q190" s="36"/>
    </row>
    <row r="191" spans="1:17" ht="14.25" customHeight="1" x14ac:dyDescent="0.2">
      <c r="A191" s="36"/>
      <c r="B191" s="36"/>
      <c r="C191" s="35"/>
      <c r="D191" s="36"/>
      <c r="E191" s="36"/>
      <c r="F191" s="36"/>
      <c r="G191" s="36"/>
      <c r="H191" s="35"/>
      <c r="I191" s="35"/>
      <c r="J191" s="36"/>
      <c r="K191" s="36"/>
      <c r="L191" s="36"/>
      <c r="M191" s="35"/>
      <c r="N191" s="35"/>
      <c r="O191" s="35"/>
      <c r="P191" s="35"/>
      <c r="Q191" s="36"/>
    </row>
    <row r="192" spans="1:17" ht="14.25" customHeight="1" x14ac:dyDescent="0.2">
      <c r="A192" s="36"/>
      <c r="B192" s="36"/>
      <c r="C192" s="35"/>
      <c r="D192" s="36"/>
      <c r="E192" s="36"/>
      <c r="F192" s="36"/>
      <c r="G192" s="36"/>
      <c r="H192" s="35"/>
      <c r="I192" s="35"/>
      <c r="J192" s="36"/>
      <c r="K192" s="36"/>
      <c r="L192" s="36"/>
      <c r="M192" s="35"/>
      <c r="N192" s="35"/>
      <c r="O192" s="35"/>
      <c r="P192" s="35"/>
      <c r="Q192" s="36"/>
    </row>
    <row r="193" spans="1:17" ht="14.25" customHeight="1" x14ac:dyDescent="0.2">
      <c r="A193" s="36"/>
      <c r="B193" s="36"/>
      <c r="C193" s="35"/>
      <c r="D193" s="36"/>
      <c r="E193" s="36"/>
      <c r="F193" s="36"/>
      <c r="G193" s="36"/>
      <c r="H193" s="35"/>
      <c r="I193" s="35"/>
      <c r="J193" s="36"/>
      <c r="K193" s="36"/>
      <c r="L193" s="36"/>
      <c r="M193" s="35"/>
      <c r="N193" s="35"/>
      <c r="O193" s="35"/>
      <c r="P193" s="35"/>
      <c r="Q193" s="36"/>
    </row>
    <row r="194" spans="1:17" ht="14.25" customHeight="1" x14ac:dyDescent="0.2">
      <c r="A194" s="36"/>
      <c r="B194" s="36"/>
      <c r="C194" s="35"/>
      <c r="D194" s="36"/>
      <c r="E194" s="36"/>
      <c r="F194" s="36"/>
      <c r="G194" s="36"/>
      <c r="H194" s="35"/>
      <c r="I194" s="35"/>
      <c r="J194" s="36"/>
      <c r="K194" s="36"/>
      <c r="L194" s="36"/>
      <c r="M194" s="35"/>
      <c r="N194" s="35"/>
      <c r="O194" s="35"/>
      <c r="P194" s="35"/>
      <c r="Q194" s="36"/>
    </row>
    <row r="195" spans="1:17" ht="14.25" customHeight="1" x14ac:dyDescent="0.2">
      <c r="A195" s="36"/>
      <c r="B195" s="36"/>
      <c r="C195" s="35"/>
      <c r="D195" s="36"/>
      <c r="E195" s="36"/>
      <c r="F195" s="36"/>
      <c r="G195" s="36"/>
      <c r="H195" s="35"/>
      <c r="I195" s="35"/>
      <c r="J195" s="36"/>
      <c r="K195" s="36"/>
      <c r="L195" s="36"/>
      <c r="M195" s="35"/>
      <c r="N195" s="35"/>
      <c r="O195" s="35"/>
      <c r="P195" s="35"/>
      <c r="Q195" s="36"/>
    </row>
    <row r="196" spans="1:17" ht="14.25" customHeight="1" x14ac:dyDescent="0.2">
      <c r="A196" s="36"/>
      <c r="B196" s="36"/>
      <c r="C196" s="35"/>
      <c r="D196" s="36"/>
      <c r="E196" s="36"/>
      <c r="F196" s="36"/>
      <c r="G196" s="36"/>
      <c r="H196" s="35"/>
      <c r="I196" s="35"/>
      <c r="J196" s="36"/>
      <c r="K196" s="36"/>
      <c r="L196" s="36"/>
      <c r="M196" s="35"/>
      <c r="N196" s="35"/>
      <c r="O196" s="35"/>
      <c r="P196" s="35"/>
      <c r="Q196" s="36"/>
    </row>
    <row r="197" spans="1:17" ht="14.25" customHeight="1" x14ac:dyDescent="0.2">
      <c r="A197" s="36"/>
      <c r="B197" s="36"/>
      <c r="C197" s="35"/>
      <c r="D197" s="36"/>
      <c r="E197" s="36"/>
      <c r="F197" s="36"/>
      <c r="G197" s="36"/>
      <c r="H197" s="35"/>
      <c r="I197" s="35"/>
      <c r="J197" s="36"/>
      <c r="K197" s="36"/>
      <c r="L197" s="36"/>
      <c r="M197" s="35"/>
      <c r="N197" s="35"/>
      <c r="O197" s="35"/>
      <c r="P197" s="35"/>
      <c r="Q197" s="36"/>
    </row>
    <row r="198" spans="1:17" ht="14.25" customHeight="1" x14ac:dyDescent="0.2">
      <c r="A198" s="36"/>
      <c r="B198" s="36"/>
      <c r="C198" s="35"/>
      <c r="D198" s="36"/>
      <c r="E198" s="36"/>
      <c r="F198" s="36"/>
      <c r="G198" s="36"/>
      <c r="H198" s="35"/>
      <c r="I198" s="35"/>
      <c r="J198" s="36"/>
      <c r="K198" s="36"/>
      <c r="L198" s="36"/>
      <c r="M198" s="35"/>
      <c r="N198" s="35"/>
      <c r="O198" s="35"/>
      <c r="P198" s="35"/>
      <c r="Q198" s="36"/>
    </row>
    <row r="199" spans="1:17" ht="14.25" customHeight="1" x14ac:dyDescent="0.2">
      <c r="A199" s="36"/>
      <c r="B199" s="36"/>
      <c r="C199" s="35"/>
      <c r="D199" s="36"/>
      <c r="E199" s="36"/>
      <c r="F199" s="36"/>
      <c r="G199" s="36"/>
      <c r="H199" s="35"/>
      <c r="I199" s="35"/>
      <c r="J199" s="36"/>
      <c r="K199" s="36"/>
      <c r="L199" s="36"/>
      <c r="M199" s="35"/>
      <c r="N199" s="35"/>
      <c r="O199" s="35"/>
      <c r="P199" s="35"/>
      <c r="Q199" s="36"/>
    </row>
    <row r="200" spans="1:17" ht="14.25" customHeight="1" x14ac:dyDescent="0.2">
      <c r="A200" s="36"/>
      <c r="B200" s="36"/>
      <c r="C200" s="35"/>
      <c r="D200" s="36"/>
      <c r="E200" s="36"/>
      <c r="F200" s="36"/>
      <c r="G200" s="36"/>
      <c r="H200" s="35"/>
      <c r="I200" s="35"/>
      <c r="J200" s="36"/>
      <c r="K200" s="36"/>
      <c r="L200" s="36"/>
      <c r="M200" s="35"/>
      <c r="N200" s="35"/>
      <c r="O200" s="35"/>
      <c r="P200" s="35"/>
      <c r="Q200" s="36"/>
    </row>
    <row r="201" spans="1:17" ht="14.25" customHeight="1" x14ac:dyDescent="0.2">
      <c r="A201" s="36"/>
      <c r="B201" s="36"/>
      <c r="C201" s="35"/>
      <c r="D201" s="36"/>
      <c r="E201" s="36"/>
      <c r="F201" s="36"/>
      <c r="G201" s="36"/>
      <c r="H201" s="35"/>
      <c r="I201" s="35"/>
      <c r="J201" s="36"/>
      <c r="K201" s="36"/>
      <c r="L201" s="36"/>
      <c r="M201" s="35"/>
      <c r="N201" s="35"/>
      <c r="O201" s="35"/>
      <c r="P201" s="35"/>
      <c r="Q201" s="36"/>
    </row>
    <row r="202" spans="1:17" ht="14.25" customHeight="1" x14ac:dyDescent="0.2">
      <c r="A202" s="36"/>
      <c r="B202" s="36"/>
      <c r="C202" s="35"/>
      <c r="D202" s="36"/>
      <c r="E202" s="36"/>
      <c r="F202" s="36"/>
      <c r="G202" s="36"/>
      <c r="H202" s="35"/>
      <c r="I202" s="35"/>
      <c r="J202" s="36"/>
      <c r="K202" s="36"/>
      <c r="L202" s="36"/>
      <c r="M202" s="35"/>
      <c r="N202" s="35"/>
      <c r="O202" s="35"/>
      <c r="P202" s="35"/>
      <c r="Q202" s="36"/>
    </row>
    <row r="203" spans="1:17" ht="14.25" customHeight="1" x14ac:dyDescent="0.2">
      <c r="A203" s="36"/>
      <c r="B203" s="36"/>
      <c r="C203" s="35"/>
      <c r="D203" s="36"/>
      <c r="E203" s="36"/>
      <c r="F203" s="36"/>
      <c r="G203" s="36"/>
      <c r="H203" s="35"/>
      <c r="I203" s="35"/>
      <c r="J203" s="36"/>
      <c r="K203" s="36"/>
      <c r="L203" s="36"/>
      <c r="M203" s="35"/>
      <c r="N203" s="35"/>
      <c r="O203" s="35"/>
      <c r="P203" s="35"/>
      <c r="Q203" s="36"/>
    </row>
    <row r="204" spans="1:17" ht="14.25" customHeight="1" x14ac:dyDescent="0.2">
      <c r="A204" s="36"/>
      <c r="B204" s="36"/>
      <c r="C204" s="35"/>
      <c r="D204" s="36"/>
      <c r="E204" s="36"/>
      <c r="F204" s="36"/>
      <c r="G204" s="36"/>
      <c r="H204" s="35"/>
      <c r="I204" s="35"/>
      <c r="J204" s="36"/>
      <c r="K204" s="36"/>
      <c r="L204" s="36"/>
      <c r="M204" s="35"/>
      <c r="N204" s="35"/>
      <c r="O204" s="35"/>
      <c r="P204" s="35"/>
      <c r="Q204" s="36"/>
    </row>
    <row r="205" spans="1:17" ht="14.25" customHeight="1" x14ac:dyDescent="0.2">
      <c r="A205" s="36"/>
      <c r="B205" s="36"/>
      <c r="C205" s="35"/>
      <c r="D205" s="36"/>
      <c r="E205" s="36"/>
      <c r="F205" s="36"/>
      <c r="G205" s="36"/>
      <c r="H205" s="35"/>
      <c r="I205" s="35"/>
      <c r="J205" s="36"/>
      <c r="K205" s="36"/>
      <c r="L205" s="36"/>
      <c r="M205" s="36"/>
      <c r="N205" s="36"/>
      <c r="O205" s="36"/>
      <c r="P205" s="36"/>
      <c r="Q205" s="35"/>
    </row>
    <row r="206" spans="1:17" ht="14.25" customHeight="1" x14ac:dyDescent="0.2">
      <c r="A206" s="36"/>
      <c r="B206" s="36"/>
      <c r="C206" s="35"/>
      <c r="D206" s="36"/>
      <c r="E206" s="36"/>
      <c r="F206" s="36"/>
      <c r="G206" s="36"/>
      <c r="H206" s="35"/>
      <c r="I206" s="35"/>
      <c r="J206" s="36"/>
      <c r="K206" s="36"/>
      <c r="L206" s="36"/>
      <c r="M206" s="36"/>
      <c r="N206" s="36"/>
      <c r="O206" s="36"/>
      <c r="P206" s="36"/>
      <c r="Q206" s="35"/>
    </row>
    <row r="207" spans="1:17" ht="14.25" customHeight="1" x14ac:dyDescent="0.2">
      <c r="A207" s="36"/>
      <c r="B207" s="36"/>
      <c r="C207" s="35"/>
      <c r="D207" s="36"/>
      <c r="E207" s="36"/>
      <c r="F207" s="36"/>
      <c r="G207" s="36"/>
      <c r="H207" s="35"/>
      <c r="I207" s="35"/>
      <c r="J207" s="36"/>
      <c r="K207" s="36"/>
      <c r="L207" s="36"/>
      <c r="M207" s="36"/>
      <c r="N207" s="36"/>
      <c r="O207" s="36"/>
      <c r="P207" s="36"/>
      <c r="Q207" s="35"/>
    </row>
    <row r="208" spans="1:17" ht="14.25" customHeight="1" x14ac:dyDescent="0.2">
      <c r="A208" s="36"/>
      <c r="B208" s="36"/>
      <c r="C208" s="35"/>
      <c r="D208" s="36"/>
      <c r="E208" s="36"/>
      <c r="F208" s="36"/>
      <c r="G208" s="36"/>
      <c r="H208" s="35"/>
      <c r="I208" s="35"/>
      <c r="J208" s="36"/>
      <c r="K208" s="36"/>
      <c r="L208" s="36"/>
      <c r="M208" s="36"/>
      <c r="N208" s="36"/>
      <c r="O208" s="36"/>
      <c r="P208" s="36"/>
      <c r="Q208" s="35"/>
    </row>
    <row r="209" spans="1:17" ht="14.25" customHeight="1" x14ac:dyDescent="0.2">
      <c r="A209" s="36"/>
      <c r="B209" s="36"/>
      <c r="C209" s="35"/>
      <c r="D209" s="36"/>
      <c r="E209" s="36"/>
      <c r="F209" s="36"/>
      <c r="G209" s="36"/>
      <c r="H209" s="35"/>
      <c r="I209" s="35"/>
      <c r="J209" s="36"/>
      <c r="K209" s="36"/>
      <c r="L209" s="36"/>
      <c r="M209" s="36"/>
      <c r="N209" s="36"/>
      <c r="O209" s="36"/>
      <c r="P209" s="36"/>
      <c r="Q209" s="35"/>
    </row>
    <row r="210" spans="1:17" ht="14.25" customHeight="1" x14ac:dyDescent="0.2">
      <c r="A210" s="36"/>
      <c r="B210" s="36"/>
      <c r="C210" s="35"/>
      <c r="D210" s="36"/>
      <c r="E210" s="36"/>
      <c r="F210" s="36"/>
      <c r="G210" s="36"/>
      <c r="H210" s="35"/>
      <c r="I210" s="35"/>
      <c r="J210" s="36"/>
      <c r="K210" s="36"/>
      <c r="L210" s="36"/>
      <c r="M210" s="36"/>
      <c r="N210" s="36"/>
      <c r="O210" s="36"/>
      <c r="P210" s="36"/>
      <c r="Q210" s="35"/>
    </row>
    <row r="211" spans="1:17" ht="14.25" customHeight="1" x14ac:dyDescent="0.2">
      <c r="A211" s="36"/>
      <c r="B211" s="36"/>
      <c r="C211" s="35"/>
      <c r="D211" s="36"/>
      <c r="E211" s="36"/>
      <c r="F211" s="36"/>
      <c r="G211" s="36"/>
      <c r="H211" s="35"/>
      <c r="I211" s="35"/>
      <c r="J211" s="36"/>
      <c r="K211" s="36"/>
      <c r="L211" s="36"/>
      <c r="M211" s="36"/>
      <c r="N211" s="36"/>
      <c r="O211" s="36"/>
      <c r="P211" s="36"/>
      <c r="Q211" s="35"/>
    </row>
    <row r="212" spans="1:17" ht="14.25" customHeight="1" x14ac:dyDescent="0.2">
      <c r="A212" s="36"/>
      <c r="B212" s="36"/>
      <c r="C212" s="35"/>
      <c r="D212" s="36"/>
      <c r="E212" s="36"/>
      <c r="F212" s="36"/>
      <c r="G212" s="36"/>
      <c r="H212" s="35"/>
      <c r="I212" s="35"/>
      <c r="J212" s="36"/>
      <c r="K212" s="36"/>
      <c r="L212" s="36"/>
      <c r="M212" s="36"/>
      <c r="N212" s="36"/>
      <c r="O212" s="36"/>
      <c r="P212" s="36"/>
      <c r="Q212" s="35"/>
    </row>
    <row r="213" spans="1:17" ht="14.25" customHeight="1" x14ac:dyDescent="0.2">
      <c r="A213" s="36"/>
      <c r="B213" s="36"/>
      <c r="C213" s="35"/>
      <c r="D213" s="36"/>
      <c r="E213" s="36"/>
      <c r="F213" s="36"/>
      <c r="G213" s="36"/>
      <c r="H213" s="35"/>
      <c r="I213" s="35"/>
      <c r="J213" s="36"/>
      <c r="K213" s="36"/>
      <c r="L213" s="36"/>
      <c r="M213" s="36"/>
      <c r="N213" s="36"/>
      <c r="O213" s="36"/>
      <c r="P213" s="36"/>
      <c r="Q213" s="35"/>
    </row>
    <row r="214" spans="1:17" ht="14.25" customHeight="1" x14ac:dyDescent="0.2">
      <c r="A214" s="36"/>
      <c r="B214" s="36"/>
      <c r="C214" s="35"/>
      <c r="D214" s="36"/>
      <c r="E214" s="36"/>
      <c r="F214" s="36"/>
      <c r="G214" s="36"/>
      <c r="H214" s="35"/>
      <c r="I214" s="35"/>
      <c r="J214" s="36"/>
      <c r="K214" s="36"/>
      <c r="L214" s="36"/>
      <c r="M214" s="35"/>
      <c r="N214" s="35"/>
      <c r="O214" s="35"/>
      <c r="P214" s="35"/>
      <c r="Q214" s="36"/>
    </row>
    <row r="215" spans="1:17" ht="14.25" customHeight="1" x14ac:dyDescent="0.2">
      <c r="A215" s="36"/>
      <c r="B215" s="36"/>
      <c r="C215" s="35"/>
      <c r="D215" s="36"/>
      <c r="E215" s="36"/>
      <c r="F215" s="36"/>
      <c r="G215" s="36"/>
      <c r="H215" s="35"/>
      <c r="I215" s="35"/>
      <c r="J215" s="36"/>
      <c r="K215" s="36"/>
      <c r="L215" s="36"/>
      <c r="M215" s="36"/>
      <c r="N215" s="36"/>
      <c r="O215" s="36"/>
      <c r="P215" s="36"/>
      <c r="Q215" s="35"/>
    </row>
    <row r="216" spans="1:17" ht="14.25" customHeight="1" x14ac:dyDescent="0.2">
      <c r="A216" s="36"/>
      <c r="B216" s="36"/>
      <c r="C216" s="35"/>
      <c r="D216" s="36"/>
      <c r="E216" s="36"/>
      <c r="F216" s="36"/>
      <c r="G216" s="36"/>
      <c r="H216" s="35"/>
      <c r="I216" s="35"/>
      <c r="J216" s="36"/>
      <c r="K216" s="36"/>
      <c r="L216" s="36"/>
      <c r="M216" s="35"/>
      <c r="N216" s="35"/>
      <c r="O216" s="35"/>
      <c r="P216" s="35"/>
      <c r="Q216" s="36"/>
    </row>
    <row r="217" spans="1:17" ht="14.25" customHeight="1" x14ac:dyDescent="0.2">
      <c r="A217" s="36"/>
      <c r="B217" s="36"/>
      <c r="C217" s="35"/>
      <c r="D217" s="36"/>
      <c r="E217" s="36"/>
      <c r="F217" s="36"/>
      <c r="G217" s="36"/>
      <c r="H217" s="35"/>
      <c r="I217" s="35"/>
      <c r="J217" s="36"/>
      <c r="K217" s="36"/>
      <c r="L217" s="36"/>
      <c r="M217" s="35"/>
      <c r="N217" s="35"/>
      <c r="O217" s="35"/>
      <c r="P217" s="35"/>
      <c r="Q217" s="36"/>
    </row>
    <row r="218" spans="1:17" ht="14.25" customHeight="1" x14ac:dyDescent="0.2">
      <c r="A218" s="36"/>
      <c r="B218" s="36"/>
      <c r="C218" s="35"/>
      <c r="D218" s="36"/>
      <c r="E218" s="36"/>
      <c r="F218" s="36"/>
      <c r="G218" s="36"/>
      <c r="H218" s="35"/>
      <c r="I218" s="35"/>
      <c r="J218" s="36"/>
      <c r="K218" s="36"/>
      <c r="L218" s="36"/>
      <c r="M218" s="35"/>
      <c r="N218" s="35"/>
      <c r="O218" s="35"/>
      <c r="P218" s="35"/>
      <c r="Q218" s="36"/>
    </row>
    <row r="219" spans="1:17" ht="14.25" customHeight="1" x14ac:dyDescent="0.2">
      <c r="A219" s="36"/>
      <c r="B219" s="36"/>
      <c r="C219" s="35"/>
      <c r="D219" s="36"/>
      <c r="E219" s="36"/>
      <c r="F219" s="36"/>
      <c r="G219" s="36"/>
      <c r="H219" s="35"/>
      <c r="I219" s="35"/>
      <c r="J219" s="36"/>
      <c r="K219" s="36"/>
      <c r="L219" s="36"/>
      <c r="M219" s="36"/>
      <c r="N219" s="36"/>
      <c r="O219" s="36"/>
      <c r="P219" s="36"/>
      <c r="Q219" s="35"/>
    </row>
    <row r="220" spans="1:17" ht="14.25" customHeight="1" x14ac:dyDescent="0.2">
      <c r="A220" s="36"/>
      <c r="B220" s="36"/>
      <c r="C220" s="35"/>
      <c r="D220" s="36"/>
      <c r="E220" s="36"/>
      <c r="F220" s="36"/>
      <c r="G220" s="36"/>
      <c r="H220" s="35"/>
      <c r="I220" s="35"/>
      <c r="J220" s="36"/>
      <c r="K220" s="36"/>
      <c r="L220" s="36"/>
      <c r="M220" s="36"/>
      <c r="N220" s="36"/>
      <c r="O220" s="36"/>
      <c r="P220" s="36"/>
      <c r="Q220" s="35"/>
    </row>
    <row r="221" spans="1:17" ht="14.25" customHeight="1" x14ac:dyDescent="0.2">
      <c r="A221" s="36"/>
      <c r="B221" s="36"/>
      <c r="C221" s="35"/>
      <c r="D221" s="36"/>
      <c r="E221" s="36"/>
      <c r="F221" s="36"/>
      <c r="G221" s="36"/>
      <c r="H221" s="35"/>
      <c r="I221" s="35"/>
      <c r="J221" s="36"/>
      <c r="K221" s="36"/>
      <c r="L221" s="36"/>
      <c r="M221" s="35"/>
      <c r="N221" s="35"/>
      <c r="O221" s="35"/>
      <c r="P221" s="35"/>
      <c r="Q221" s="36"/>
    </row>
    <row r="222" spans="1:17" ht="14.25" customHeight="1" x14ac:dyDescent="0.2">
      <c r="A222" s="36"/>
      <c r="B222" s="36"/>
      <c r="C222" s="35"/>
      <c r="D222" s="36"/>
      <c r="E222" s="36"/>
      <c r="F222" s="36"/>
      <c r="G222" s="36"/>
      <c r="H222" s="35"/>
      <c r="I222" s="35"/>
      <c r="J222" s="36"/>
      <c r="K222" s="36"/>
      <c r="L222" s="36"/>
      <c r="M222" s="35"/>
      <c r="N222" s="35"/>
      <c r="O222" s="35"/>
      <c r="P222" s="35"/>
      <c r="Q222" s="36"/>
    </row>
    <row r="223" spans="1:17" ht="14.25" customHeight="1" x14ac:dyDescent="0.2">
      <c r="A223" s="36"/>
      <c r="B223" s="36"/>
      <c r="C223" s="35"/>
      <c r="D223" s="36"/>
      <c r="E223" s="36"/>
      <c r="F223" s="36"/>
      <c r="G223" s="36"/>
      <c r="H223" s="35"/>
      <c r="I223" s="35"/>
      <c r="J223" s="36"/>
      <c r="K223" s="36"/>
      <c r="L223" s="36"/>
      <c r="M223" s="35"/>
      <c r="N223" s="35"/>
      <c r="O223" s="35"/>
      <c r="P223" s="35"/>
      <c r="Q223" s="36"/>
    </row>
    <row r="224" spans="1:17" ht="14.25" customHeight="1" x14ac:dyDescent="0.2">
      <c r="A224" s="36"/>
      <c r="B224" s="36"/>
      <c r="C224" s="35"/>
      <c r="D224" s="36"/>
      <c r="E224" s="36"/>
      <c r="F224" s="36"/>
      <c r="G224" s="36"/>
      <c r="H224" s="35"/>
      <c r="I224" s="35"/>
      <c r="J224" s="36"/>
      <c r="K224" s="36"/>
      <c r="L224" s="36"/>
      <c r="M224" s="36"/>
      <c r="N224" s="36"/>
      <c r="O224" s="36"/>
      <c r="P224" s="36"/>
      <c r="Q224" s="35"/>
    </row>
    <row r="225" spans="1:17" ht="14.25" customHeight="1" x14ac:dyDescent="0.2">
      <c r="A225" s="36"/>
      <c r="B225" s="36"/>
      <c r="C225" s="35"/>
      <c r="D225" s="36"/>
      <c r="E225" s="36"/>
      <c r="F225" s="36"/>
      <c r="G225" s="36"/>
      <c r="H225" s="35"/>
      <c r="I225" s="35"/>
      <c r="J225" s="36"/>
      <c r="K225" s="36"/>
      <c r="L225" s="36"/>
      <c r="M225" s="36"/>
      <c r="N225" s="36"/>
      <c r="O225" s="36"/>
      <c r="P225" s="36"/>
      <c r="Q225" s="35"/>
    </row>
    <row r="226" spans="1:17" ht="14.25" customHeight="1" x14ac:dyDescent="0.2">
      <c r="A226" s="36"/>
      <c r="B226" s="36"/>
      <c r="C226" s="35"/>
      <c r="D226" s="36"/>
      <c r="E226" s="36"/>
      <c r="F226" s="36"/>
      <c r="G226" s="36"/>
      <c r="H226" s="35"/>
      <c r="I226" s="35"/>
      <c r="J226" s="36"/>
      <c r="K226" s="36"/>
      <c r="L226" s="36"/>
      <c r="M226" s="35"/>
      <c r="N226" s="35"/>
      <c r="O226" s="35"/>
      <c r="P226" s="35"/>
      <c r="Q226" s="36"/>
    </row>
    <row r="227" spans="1:17" ht="14.25" customHeight="1" x14ac:dyDescent="0.2">
      <c r="A227" s="36"/>
      <c r="B227" s="36"/>
      <c r="C227" s="35"/>
      <c r="D227" s="36"/>
      <c r="E227" s="36"/>
      <c r="F227" s="36"/>
      <c r="G227" s="36"/>
      <c r="H227" s="35"/>
      <c r="I227" s="35"/>
      <c r="J227" s="36"/>
      <c r="K227" s="36"/>
      <c r="L227" s="36"/>
      <c r="M227" s="35"/>
      <c r="N227" s="35"/>
      <c r="O227" s="35"/>
      <c r="P227" s="35"/>
      <c r="Q227" s="36"/>
    </row>
    <row r="228" spans="1:17" ht="14.25" customHeight="1" x14ac:dyDescent="0.2">
      <c r="A228" s="36"/>
      <c r="B228" s="36"/>
      <c r="C228" s="35"/>
      <c r="D228" s="36"/>
      <c r="E228" s="36"/>
      <c r="F228" s="36"/>
      <c r="G228" s="36"/>
      <c r="H228" s="35"/>
      <c r="I228" s="35"/>
      <c r="J228" s="36"/>
      <c r="K228" s="36"/>
      <c r="L228" s="36"/>
      <c r="M228" s="35"/>
      <c r="N228" s="35"/>
      <c r="O228" s="35"/>
      <c r="P228" s="35"/>
      <c r="Q228" s="36"/>
    </row>
    <row r="229" spans="1:17" ht="14.25" customHeight="1" x14ac:dyDescent="0.2">
      <c r="A229" s="36"/>
      <c r="B229" s="36"/>
      <c r="C229" s="35"/>
      <c r="D229" s="36"/>
      <c r="E229" s="36"/>
      <c r="F229" s="36"/>
      <c r="G229" s="36"/>
      <c r="H229" s="35"/>
      <c r="I229" s="35"/>
      <c r="J229" s="36"/>
      <c r="K229" s="36"/>
      <c r="L229" s="36"/>
      <c r="M229" s="36"/>
      <c r="N229" s="36"/>
      <c r="O229" s="36"/>
      <c r="P229" s="36"/>
      <c r="Q229" s="35"/>
    </row>
    <row r="230" spans="1:17" ht="14.25" customHeight="1" x14ac:dyDescent="0.2">
      <c r="A230" s="36"/>
      <c r="B230" s="36"/>
      <c r="C230" s="35"/>
      <c r="D230" s="36"/>
      <c r="E230" s="36"/>
      <c r="F230" s="36"/>
      <c r="G230" s="36"/>
      <c r="H230" s="35"/>
      <c r="I230" s="35"/>
      <c r="J230" s="36"/>
      <c r="K230" s="36"/>
      <c r="L230" s="36"/>
      <c r="M230" s="35"/>
      <c r="N230" s="35"/>
      <c r="O230" s="35"/>
      <c r="P230" s="35"/>
      <c r="Q230" s="36"/>
    </row>
    <row r="231" spans="1:17" ht="14.25" customHeight="1" x14ac:dyDescent="0.2">
      <c r="A231" s="36"/>
      <c r="B231" s="36"/>
      <c r="C231" s="35"/>
      <c r="D231" s="36"/>
      <c r="E231" s="36"/>
      <c r="F231" s="36"/>
      <c r="G231" s="36"/>
      <c r="H231" s="35"/>
      <c r="I231" s="35"/>
      <c r="J231" s="36"/>
      <c r="K231" s="36"/>
      <c r="L231" s="36"/>
      <c r="M231" s="36"/>
      <c r="N231" s="36"/>
      <c r="O231" s="36"/>
      <c r="P231" s="36"/>
      <c r="Q231" s="35"/>
    </row>
    <row r="232" spans="1:17" ht="14.25" customHeight="1" x14ac:dyDescent="0.2">
      <c r="A232" s="36"/>
      <c r="B232" s="36"/>
      <c r="C232" s="35"/>
      <c r="D232" s="36"/>
      <c r="E232" s="36"/>
      <c r="F232" s="36"/>
      <c r="G232" s="36"/>
      <c r="H232" s="35"/>
      <c r="I232" s="35"/>
      <c r="J232" s="36"/>
      <c r="K232" s="36"/>
      <c r="L232" s="36"/>
      <c r="M232" s="35"/>
      <c r="N232" s="35"/>
      <c r="O232" s="35"/>
      <c r="P232" s="35"/>
      <c r="Q232" s="36"/>
    </row>
    <row r="233" spans="1:17" ht="14.25" customHeight="1" x14ac:dyDescent="0.2">
      <c r="A233" s="36"/>
      <c r="B233" s="36"/>
      <c r="C233" s="35"/>
      <c r="D233" s="36"/>
      <c r="E233" s="36"/>
      <c r="F233" s="36"/>
      <c r="G233" s="36"/>
      <c r="H233" s="35"/>
      <c r="I233" s="35"/>
      <c r="J233" s="36"/>
      <c r="K233" s="36"/>
      <c r="L233" s="36"/>
      <c r="M233" s="35"/>
      <c r="N233" s="35"/>
      <c r="O233" s="35"/>
      <c r="P233" s="35"/>
      <c r="Q233" s="36"/>
    </row>
    <row r="234" spans="1:17" ht="14.25" customHeight="1" x14ac:dyDescent="0.2">
      <c r="A234" s="36"/>
      <c r="B234" s="36"/>
      <c r="C234" s="35"/>
      <c r="D234" s="36"/>
      <c r="E234" s="36"/>
      <c r="F234" s="36"/>
      <c r="G234" s="36"/>
      <c r="H234" s="35"/>
      <c r="I234" s="35"/>
      <c r="J234" s="36"/>
      <c r="K234" s="36"/>
      <c r="L234" s="36"/>
      <c r="M234" s="36"/>
      <c r="N234" s="36"/>
      <c r="O234" s="36"/>
      <c r="P234" s="36"/>
      <c r="Q234" s="35"/>
    </row>
    <row r="235" spans="1:17" ht="14.25" customHeight="1" x14ac:dyDescent="0.2">
      <c r="A235" s="36"/>
      <c r="B235" s="36"/>
      <c r="C235" s="35"/>
      <c r="D235" s="36"/>
      <c r="E235" s="36"/>
      <c r="F235" s="36"/>
      <c r="G235" s="36"/>
      <c r="H235" s="35"/>
      <c r="I235" s="35"/>
      <c r="J235" s="36"/>
      <c r="K235" s="36"/>
      <c r="L235" s="36"/>
      <c r="M235" s="35"/>
      <c r="N235" s="35"/>
      <c r="O235" s="35"/>
      <c r="P235" s="35"/>
      <c r="Q235" s="36"/>
    </row>
    <row r="236" spans="1:17" ht="14.25" customHeight="1" x14ac:dyDescent="0.2">
      <c r="A236" s="36"/>
      <c r="B236" s="36"/>
      <c r="C236" s="35"/>
      <c r="D236" s="36"/>
      <c r="E236" s="36"/>
      <c r="F236" s="36"/>
      <c r="G236" s="36"/>
      <c r="H236" s="35"/>
      <c r="I236" s="35"/>
      <c r="J236" s="36"/>
      <c r="K236" s="36"/>
      <c r="L236" s="36"/>
      <c r="M236" s="36"/>
      <c r="N236" s="36"/>
      <c r="O236" s="36"/>
      <c r="P236" s="36"/>
      <c r="Q236" s="35"/>
    </row>
    <row r="237" spans="1:17" ht="14.25" customHeight="1" x14ac:dyDescent="0.2">
      <c r="A237" s="36"/>
      <c r="B237" s="36"/>
      <c r="C237" s="35"/>
      <c r="D237" s="36"/>
      <c r="E237" s="36"/>
      <c r="F237" s="36"/>
      <c r="G237" s="36"/>
      <c r="H237" s="35"/>
      <c r="I237" s="35"/>
      <c r="J237" s="36"/>
      <c r="K237" s="36"/>
      <c r="L237" s="36"/>
      <c r="M237" s="35"/>
      <c r="N237" s="35"/>
      <c r="O237" s="35"/>
      <c r="P237" s="35"/>
      <c r="Q237" s="36"/>
    </row>
    <row r="238" spans="1:17" ht="14.25" customHeight="1" x14ac:dyDescent="0.2">
      <c r="A238" s="36"/>
      <c r="B238" s="36"/>
      <c r="C238" s="35"/>
      <c r="D238" s="36"/>
      <c r="E238" s="36"/>
      <c r="F238" s="36"/>
      <c r="G238" s="36"/>
      <c r="H238" s="35"/>
      <c r="I238" s="35"/>
      <c r="J238" s="36"/>
      <c r="K238" s="36"/>
      <c r="L238" s="36"/>
      <c r="M238" s="35"/>
      <c r="N238" s="35"/>
      <c r="O238" s="35"/>
      <c r="P238" s="35"/>
      <c r="Q238" s="36"/>
    </row>
    <row r="239" spans="1:17" ht="14.25" customHeight="1" x14ac:dyDescent="0.2">
      <c r="A239" s="36"/>
      <c r="B239" s="36"/>
      <c r="C239" s="35"/>
      <c r="D239" s="36"/>
      <c r="E239" s="36"/>
      <c r="F239" s="36"/>
      <c r="G239" s="36"/>
      <c r="H239" s="35"/>
      <c r="I239" s="35"/>
      <c r="J239" s="36"/>
      <c r="K239" s="36"/>
      <c r="L239" s="36"/>
      <c r="M239" s="36"/>
      <c r="N239" s="36"/>
      <c r="O239" s="36"/>
      <c r="P239" s="36"/>
      <c r="Q239" s="35"/>
    </row>
    <row r="240" spans="1:17" ht="14.25" customHeight="1" x14ac:dyDescent="0.2">
      <c r="A240" s="36"/>
      <c r="B240" s="36"/>
      <c r="C240" s="35"/>
      <c r="D240" s="36"/>
      <c r="E240" s="36"/>
      <c r="F240" s="36"/>
      <c r="G240" s="36"/>
      <c r="H240" s="35"/>
      <c r="I240" s="35"/>
      <c r="J240" s="36"/>
      <c r="K240" s="36"/>
      <c r="L240" s="36"/>
      <c r="M240" s="35"/>
      <c r="N240" s="35"/>
      <c r="O240" s="35"/>
      <c r="P240" s="35"/>
      <c r="Q240" s="36"/>
    </row>
    <row r="241" spans="1:17" ht="14.25" customHeight="1" x14ac:dyDescent="0.2">
      <c r="A241" s="36"/>
      <c r="B241" s="36"/>
      <c r="C241" s="35"/>
      <c r="D241" s="36"/>
      <c r="E241" s="36"/>
      <c r="F241" s="36"/>
      <c r="G241" s="36"/>
      <c r="H241" s="35"/>
      <c r="I241" s="35"/>
      <c r="J241" s="36"/>
      <c r="K241" s="36"/>
      <c r="L241" s="36"/>
      <c r="M241" s="35"/>
      <c r="N241" s="35"/>
      <c r="O241" s="35"/>
      <c r="P241" s="35"/>
      <c r="Q241" s="36"/>
    </row>
    <row r="242" spans="1:17" ht="14.25" customHeight="1" x14ac:dyDescent="0.2">
      <c r="A242" s="36"/>
      <c r="B242" s="36"/>
      <c r="C242" s="35"/>
      <c r="D242" s="36"/>
      <c r="E242" s="36"/>
      <c r="F242" s="36"/>
      <c r="G242" s="36"/>
      <c r="H242" s="35"/>
      <c r="I242" s="35"/>
      <c r="J242" s="36"/>
      <c r="K242" s="36"/>
      <c r="L242" s="36"/>
      <c r="M242" s="35"/>
      <c r="N242" s="35"/>
      <c r="O242" s="35"/>
      <c r="P242" s="35"/>
      <c r="Q242" s="36"/>
    </row>
    <row r="243" spans="1:17" ht="14.25" customHeight="1" x14ac:dyDescent="0.2">
      <c r="A243" s="36"/>
      <c r="B243" s="36"/>
      <c r="C243" s="35"/>
      <c r="D243" s="36"/>
      <c r="E243" s="36"/>
      <c r="F243" s="36"/>
      <c r="G243" s="36"/>
      <c r="H243" s="35"/>
      <c r="I243" s="35"/>
      <c r="J243" s="36"/>
      <c r="K243" s="36"/>
      <c r="L243" s="36"/>
      <c r="M243" s="35"/>
      <c r="N243" s="35"/>
      <c r="O243" s="35"/>
      <c r="P243" s="35"/>
      <c r="Q243" s="36"/>
    </row>
    <row r="244" spans="1:17" ht="14.25" customHeight="1" x14ac:dyDescent="0.2">
      <c r="A244" s="36"/>
      <c r="B244" s="36"/>
      <c r="C244" s="35"/>
      <c r="D244" s="36"/>
      <c r="E244" s="36"/>
      <c r="F244" s="36"/>
      <c r="G244" s="36"/>
      <c r="H244" s="35"/>
      <c r="I244" s="35"/>
      <c r="J244" s="36"/>
      <c r="K244" s="36"/>
      <c r="L244" s="36"/>
      <c r="M244" s="36"/>
      <c r="N244" s="36"/>
      <c r="O244" s="36"/>
      <c r="P244" s="36"/>
      <c r="Q244" s="35"/>
    </row>
    <row r="245" spans="1:17" ht="14.25" customHeight="1" x14ac:dyDescent="0.2">
      <c r="A245" s="36"/>
      <c r="B245" s="36"/>
      <c r="C245" s="35"/>
      <c r="D245" s="36"/>
      <c r="E245" s="36"/>
      <c r="F245" s="36"/>
      <c r="G245" s="36"/>
      <c r="H245" s="35"/>
      <c r="I245" s="35"/>
      <c r="J245" s="36"/>
      <c r="K245" s="36"/>
      <c r="L245" s="36"/>
      <c r="M245" s="36"/>
      <c r="N245" s="36"/>
      <c r="O245" s="36"/>
      <c r="P245" s="36"/>
      <c r="Q245" s="35"/>
    </row>
    <row r="246" spans="1:17" ht="14.25" customHeight="1" x14ac:dyDescent="0.2">
      <c r="A246" s="36"/>
      <c r="B246" s="36"/>
      <c r="C246" s="35"/>
      <c r="D246" s="36"/>
      <c r="E246" s="36"/>
      <c r="F246" s="36"/>
      <c r="G246" s="36"/>
      <c r="H246" s="35"/>
      <c r="I246" s="35"/>
      <c r="J246" s="36"/>
      <c r="K246" s="36"/>
      <c r="L246" s="36"/>
      <c r="M246" s="35"/>
      <c r="N246" s="35"/>
      <c r="O246" s="35"/>
      <c r="P246" s="35"/>
      <c r="Q246" s="36"/>
    </row>
    <row r="247" spans="1:17" ht="14.25" customHeight="1" x14ac:dyDescent="0.2">
      <c r="A247" s="36"/>
      <c r="B247" s="36"/>
      <c r="C247" s="35"/>
      <c r="D247" s="36"/>
      <c r="E247" s="36"/>
      <c r="F247" s="36"/>
      <c r="G247" s="36"/>
      <c r="H247" s="35"/>
      <c r="I247" s="35"/>
      <c r="J247" s="36"/>
      <c r="K247" s="36"/>
      <c r="L247" s="36"/>
      <c r="M247" s="35"/>
      <c r="N247" s="35"/>
      <c r="O247" s="35"/>
      <c r="P247" s="35"/>
      <c r="Q247" s="36"/>
    </row>
    <row r="248" spans="1:17" ht="14.25" customHeight="1" x14ac:dyDescent="0.2">
      <c r="A248" s="36"/>
      <c r="B248" s="36"/>
      <c r="C248" s="35"/>
      <c r="D248" s="36"/>
      <c r="E248" s="36"/>
      <c r="F248" s="36"/>
      <c r="G248" s="36"/>
      <c r="H248" s="35"/>
      <c r="I248" s="35"/>
      <c r="J248" s="36"/>
      <c r="K248" s="36"/>
      <c r="L248" s="36"/>
      <c r="M248" s="35"/>
      <c r="N248" s="35"/>
      <c r="O248" s="35"/>
      <c r="P248" s="35"/>
      <c r="Q248" s="36"/>
    </row>
    <row r="249" spans="1:17" ht="14.25" customHeight="1" x14ac:dyDescent="0.2">
      <c r="A249" s="36"/>
      <c r="B249" s="36"/>
      <c r="C249" s="35"/>
      <c r="D249" s="36"/>
      <c r="E249" s="36"/>
      <c r="F249" s="36"/>
      <c r="G249" s="36"/>
      <c r="H249" s="35"/>
      <c r="I249" s="35"/>
      <c r="J249" s="36"/>
      <c r="K249" s="36"/>
      <c r="L249" s="36"/>
      <c r="M249" s="35"/>
      <c r="N249" s="35"/>
      <c r="O249" s="35"/>
      <c r="P249" s="35"/>
      <c r="Q249" s="36"/>
    </row>
    <row r="250" spans="1:17" ht="14.25" customHeight="1" x14ac:dyDescent="0.2">
      <c r="A250" s="36"/>
      <c r="B250" s="36"/>
      <c r="C250" s="35"/>
      <c r="D250" s="36"/>
      <c r="E250" s="36"/>
      <c r="F250" s="36"/>
      <c r="G250" s="36"/>
      <c r="H250" s="35"/>
      <c r="I250" s="35"/>
      <c r="J250" s="36"/>
      <c r="K250" s="36"/>
      <c r="L250" s="36"/>
      <c r="M250" s="36"/>
      <c r="N250" s="36"/>
      <c r="O250" s="36"/>
      <c r="P250" s="36"/>
      <c r="Q250" s="35"/>
    </row>
    <row r="251" spans="1:17" ht="14.25" customHeight="1" x14ac:dyDescent="0.2">
      <c r="A251" s="36"/>
      <c r="B251" s="36"/>
      <c r="C251" s="35"/>
      <c r="D251" s="36"/>
      <c r="E251" s="36"/>
      <c r="F251" s="36"/>
      <c r="G251" s="36"/>
      <c r="H251" s="35"/>
      <c r="I251" s="35"/>
      <c r="J251" s="36"/>
      <c r="K251" s="36"/>
      <c r="L251" s="36"/>
      <c r="M251" s="35"/>
      <c r="N251" s="35"/>
      <c r="O251" s="35"/>
      <c r="P251" s="35"/>
      <c r="Q251" s="36"/>
    </row>
    <row r="252" spans="1:17" ht="14.25" customHeight="1" x14ac:dyDescent="0.2">
      <c r="A252" s="36"/>
      <c r="B252" s="36"/>
      <c r="C252" s="35"/>
      <c r="D252" s="36"/>
      <c r="E252" s="36"/>
      <c r="F252" s="36"/>
      <c r="G252" s="36"/>
      <c r="H252" s="35"/>
      <c r="I252" s="35"/>
      <c r="J252" s="36"/>
      <c r="K252" s="36"/>
      <c r="L252" s="36"/>
      <c r="M252" s="35"/>
      <c r="N252" s="35"/>
      <c r="O252" s="35"/>
      <c r="P252" s="35"/>
      <c r="Q252" s="36"/>
    </row>
    <row r="253" spans="1:17" ht="14.25" customHeight="1" x14ac:dyDescent="0.2">
      <c r="A253" s="36"/>
      <c r="B253" s="36"/>
      <c r="C253" s="35"/>
      <c r="D253" s="36"/>
      <c r="E253" s="36"/>
      <c r="F253" s="36"/>
      <c r="G253" s="36"/>
      <c r="H253" s="35"/>
      <c r="I253" s="35"/>
      <c r="J253" s="36"/>
      <c r="K253" s="36"/>
      <c r="L253" s="36"/>
      <c r="M253" s="35"/>
      <c r="N253" s="35"/>
      <c r="O253" s="35"/>
      <c r="P253" s="35"/>
      <c r="Q253" s="36"/>
    </row>
    <row r="254" spans="1:17" ht="14.25" customHeight="1" x14ac:dyDescent="0.2">
      <c r="A254" s="36"/>
      <c r="B254" s="36"/>
      <c r="C254" s="35"/>
      <c r="D254" s="36"/>
      <c r="E254" s="36"/>
      <c r="F254" s="36"/>
      <c r="G254" s="36"/>
      <c r="H254" s="35"/>
      <c r="I254" s="35"/>
      <c r="J254" s="36"/>
      <c r="K254" s="36"/>
      <c r="L254" s="36"/>
      <c r="M254" s="35"/>
      <c r="N254" s="35"/>
      <c r="O254" s="35"/>
      <c r="P254" s="35"/>
      <c r="Q254" s="36"/>
    </row>
    <row r="255" spans="1:17" ht="14.25" customHeight="1" x14ac:dyDescent="0.2">
      <c r="A255" s="36"/>
      <c r="B255" s="36"/>
      <c r="C255" s="35"/>
      <c r="D255" s="36"/>
      <c r="E255" s="36"/>
      <c r="F255" s="36"/>
      <c r="G255" s="36"/>
      <c r="H255" s="35"/>
      <c r="I255" s="35"/>
      <c r="J255" s="36"/>
      <c r="K255" s="36"/>
      <c r="L255" s="36"/>
      <c r="M255" s="36"/>
      <c r="N255" s="36"/>
      <c r="O255" s="36"/>
      <c r="P255" s="36"/>
      <c r="Q255" s="35"/>
    </row>
    <row r="256" spans="1:17" ht="14.25" customHeight="1" x14ac:dyDescent="0.2">
      <c r="A256" s="36"/>
      <c r="B256" s="36"/>
      <c r="C256" s="35"/>
      <c r="D256" s="36"/>
      <c r="E256" s="36"/>
      <c r="F256" s="36"/>
      <c r="G256" s="36"/>
      <c r="H256" s="35"/>
      <c r="I256" s="35"/>
      <c r="J256" s="36"/>
      <c r="K256" s="36"/>
      <c r="L256" s="36"/>
      <c r="M256" s="35"/>
      <c r="N256" s="35"/>
      <c r="O256" s="35"/>
      <c r="P256" s="35"/>
      <c r="Q256" s="36"/>
    </row>
    <row r="257" spans="1:17" ht="14.25" customHeight="1" x14ac:dyDescent="0.2">
      <c r="A257" s="36"/>
      <c r="B257" s="36"/>
      <c r="C257" s="35"/>
      <c r="D257" s="36"/>
      <c r="E257" s="36"/>
      <c r="F257" s="36"/>
      <c r="G257" s="36"/>
      <c r="H257" s="35"/>
      <c r="I257" s="35"/>
      <c r="J257" s="36"/>
      <c r="K257" s="36"/>
      <c r="L257" s="36"/>
      <c r="M257" s="36"/>
      <c r="N257" s="36"/>
      <c r="O257" s="36"/>
      <c r="P257" s="36"/>
      <c r="Q257" s="35"/>
    </row>
    <row r="258" spans="1:17" ht="15.75" customHeight="1" x14ac:dyDescent="0.2">
      <c r="A258" s="36"/>
      <c r="B258" s="36"/>
      <c r="C258" s="35"/>
      <c r="D258" s="36"/>
      <c r="E258" s="36"/>
      <c r="F258" s="36"/>
      <c r="G258" s="36"/>
      <c r="H258" s="35"/>
      <c r="I258" s="35"/>
      <c r="J258" s="36"/>
      <c r="K258" s="36"/>
      <c r="L258" s="36"/>
      <c r="M258" s="36"/>
      <c r="N258" s="36"/>
      <c r="O258" s="36"/>
      <c r="P258" s="36"/>
      <c r="Q258" s="36"/>
    </row>
    <row r="259" spans="1:17" ht="15.75" customHeight="1" x14ac:dyDescent="0.2">
      <c r="A259" s="36"/>
      <c r="B259" s="36"/>
      <c r="C259" s="35"/>
      <c r="D259" s="36"/>
      <c r="E259" s="36"/>
      <c r="F259" s="36"/>
      <c r="G259" s="36"/>
      <c r="H259" s="35"/>
      <c r="I259" s="35"/>
      <c r="J259" s="36"/>
      <c r="K259" s="36"/>
      <c r="L259" s="36"/>
      <c r="M259" s="36"/>
      <c r="N259" s="36"/>
      <c r="O259" s="36"/>
      <c r="P259" s="36"/>
      <c r="Q259" s="36"/>
    </row>
    <row r="260" spans="1:17" ht="15.75" customHeight="1" x14ac:dyDescent="0.2">
      <c r="A260" s="36"/>
      <c r="B260" s="36"/>
      <c r="C260" s="35"/>
      <c r="D260" s="36"/>
      <c r="E260" s="36"/>
      <c r="F260" s="36"/>
      <c r="G260" s="36"/>
      <c r="H260" s="35"/>
      <c r="I260" s="35"/>
      <c r="J260" s="36"/>
      <c r="K260" s="36"/>
      <c r="L260" s="36"/>
      <c r="M260" s="36"/>
      <c r="N260" s="36"/>
      <c r="O260" s="36"/>
      <c r="P260" s="36"/>
      <c r="Q260" s="36"/>
    </row>
    <row r="261" spans="1:17" ht="15.75" customHeight="1" x14ac:dyDescent="0.2">
      <c r="A261" s="36"/>
      <c r="B261" s="36"/>
      <c r="C261" s="35"/>
      <c r="D261" s="36"/>
      <c r="E261" s="36"/>
      <c r="F261" s="36"/>
      <c r="G261" s="36"/>
      <c r="H261" s="35"/>
      <c r="I261" s="35"/>
      <c r="J261" s="36"/>
      <c r="K261" s="36"/>
      <c r="L261" s="36"/>
      <c r="M261" s="36"/>
      <c r="N261" s="36"/>
      <c r="O261" s="36"/>
      <c r="P261" s="36"/>
      <c r="Q261" s="36"/>
    </row>
    <row r="262" spans="1:17" ht="15.75" customHeight="1" x14ac:dyDescent="0.2">
      <c r="A262" s="36"/>
      <c r="B262" s="36"/>
      <c r="C262" s="35"/>
      <c r="D262" s="36"/>
      <c r="E262" s="36"/>
      <c r="F262" s="36"/>
      <c r="G262" s="36"/>
      <c r="H262" s="35"/>
      <c r="I262" s="35"/>
      <c r="J262" s="36"/>
      <c r="K262" s="36"/>
      <c r="L262" s="36"/>
      <c r="M262" s="36"/>
      <c r="N262" s="36"/>
      <c r="O262" s="36"/>
      <c r="P262" s="36"/>
      <c r="Q262" s="36"/>
    </row>
    <row r="263" spans="1:17" ht="15.75" customHeight="1" x14ac:dyDescent="0.2">
      <c r="A263" s="36"/>
      <c r="B263" s="36"/>
      <c r="C263" s="35"/>
      <c r="D263" s="36"/>
      <c r="E263" s="36"/>
      <c r="F263" s="36"/>
      <c r="G263" s="36"/>
      <c r="H263" s="35"/>
      <c r="I263" s="35"/>
      <c r="J263" s="36"/>
      <c r="K263" s="36"/>
      <c r="L263" s="36"/>
      <c r="M263" s="36"/>
      <c r="N263" s="36"/>
      <c r="O263" s="36"/>
      <c r="P263" s="36"/>
      <c r="Q263" s="36"/>
    </row>
    <row r="264" spans="1:17" ht="15.75" customHeight="1" x14ac:dyDescent="0.2">
      <c r="A264" s="36"/>
      <c r="B264" s="36"/>
      <c r="C264" s="35"/>
      <c r="D264" s="36"/>
      <c r="E264" s="36"/>
      <c r="F264" s="36"/>
      <c r="G264" s="36"/>
      <c r="H264" s="35"/>
      <c r="I264" s="35"/>
      <c r="J264" s="36"/>
      <c r="K264" s="36"/>
      <c r="L264" s="36"/>
      <c r="M264" s="36"/>
      <c r="N264" s="36"/>
      <c r="O264" s="36"/>
      <c r="P264" s="36"/>
      <c r="Q264" s="36"/>
    </row>
    <row r="265" spans="1:17" ht="15.75" customHeight="1" x14ac:dyDescent="0.2">
      <c r="A265" s="36"/>
      <c r="B265" s="36"/>
      <c r="C265" s="35"/>
      <c r="D265" s="36"/>
      <c r="E265" s="36"/>
      <c r="F265" s="36"/>
      <c r="G265" s="36"/>
      <c r="H265" s="35"/>
      <c r="I265" s="35"/>
      <c r="J265" s="36"/>
      <c r="K265" s="36"/>
      <c r="L265" s="36"/>
      <c r="M265" s="36"/>
      <c r="N265" s="36"/>
      <c r="O265" s="36"/>
      <c r="P265" s="36"/>
      <c r="Q265" s="36"/>
    </row>
    <row r="266" spans="1:17" ht="15.75" customHeight="1" x14ac:dyDescent="0.2">
      <c r="A266" s="36"/>
      <c r="B266" s="36"/>
      <c r="C266" s="35"/>
      <c r="D266" s="36"/>
      <c r="E266" s="36"/>
      <c r="F266" s="36"/>
      <c r="G266" s="36"/>
      <c r="H266" s="35"/>
      <c r="I266" s="35"/>
      <c r="J266" s="36"/>
      <c r="K266" s="36"/>
      <c r="L266" s="36"/>
      <c r="M266" s="36"/>
      <c r="N266" s="36"/>
      <c r="O266" s="36"/>
      <c r="P266" s="36"/>
      <c r="Q266" s="36"/>
    </row>
    <row r="267" spans="1:17" ht="15.75" customHeight="1" x14ac:dyDescent="0.2">
      <c r="A267" s="36"/>
      <c r="B267" s="36"/>
      <c r="C267" s="35"/>
      <c r="D267" s="36"/>
      <c r="E267" s="36"/>
      <c r="F267" s="36"/>
      <c r="G267" s="36"/>
      <c r="H267" s="35"/>
      <c r="I267" s="35"/>
      <c r="J267" s="36"/>
      <c r="K267" s="36"/>
      <c r="L267" s="36"/>
      <c r="M267" s="36"/>
      <c r="N267" s="36"/>
      <c r="O267" s="36"/>
      <c r="P267" s="36"/>
      <c r="Q267" s="36"/>
    </row>
    <row r="268" spans="1:17" ht="15.75" customHeight="1" x14ac:dyDescent="0.2">
      <c r="A268" s="36"/>
      <c r="B268" s="36"/>
      <c r="C268" s="35"/>
      <c r="D268" s="36"/>
      <c r="E268" s="36"/>
      <c r="F268" s="36"/>
      <c r="G268" s="36"/>
      <c r="H268" s="35"/>
      <c r="I268" s="35"/>
      <c r="J268" s="36"/>
      <c r="K268" s="36"/>
      <c r="L268" s="36"/>
      <c r="M268" s="36"/>
      <c r="N268" s="36"/>
      <c r="O268" s="36"/>
      <c r="P268" s="36"/>
      <c r="Q268" s="36"/>
    </row>
    <row r="269" spans="1:17" ht="15.75" customHeight="1" x14ac:dyDescent="0.2">
      <c r="A269" s="36"/>
      <c r="B269" s="36"/>
      <c r="C269" s="35"/>
      <c r="D269" s="36"/>
      <c r="E269" s="36"/>
      <c r="F269" s="36"/>
      <c r="G269" s="36"/>
      <c r="H269" s="35"/>
      <c r="I269" s="35"/>
      <c r="J269" s="36"/>
      <c r="K269" s="36"/>
      <c r="L269" s="36"/>
      <c r="M269" s="36"/>
      <c r="N269" s="36"/>
      <c r="O269" s="36"/>
      <c r="P269" s="36"/>
      <c r="Q269" s="36"/>
    </row>
    <row r="270" spans="1:17" ht="15.75" customHeight="1" x14ac:dyDescent="0.2">
      <c r="A270" s="36"/>
      <c r="B270" s="36"/>
      <c r="C270" s="35"/>
      <c r="D270" s="36"/>
      <c r="E270" s="36"/>
      <c r="F270" s="36"/>
      <c r="G270" s="36"/>
      <c r="H270" s="35"/>
      <c r="I270" s="35"/>
      <c r="J270" s="36"/>
      <c r="K270" s="36"/>
      <c r="L270" s="36"/>
      <c r="M270" s="36"/>
      <c r="N270" s="36"/>
      <c r="O270" s="36"/>
      <c r="P270" s="36"/>
      <c r="Q270" s="36"/>
    </row>
    <row r="271" spans="1:17" ht="15.75" customHeight="1" x14ac:dyDescent="0.2">
      <c r="A271" s="36"/>
      <c r="B271" s="36"/>
      <c r="C271" s="35"/>
      <c r="D271" s="36"/>
      <c r="E271" s="36"/>
      <c r="F271" s="36"/>
      <c r="G271" s="36"/>
      <c r="H271" s="35"/>
      <c r="I271" s="35"/>
      <c r="J271" s="36"/>
      <c r="K271" s="36"/>
      <c r="L271" s="36"/>
      <c r="M271" s="36"/>
      <c r="N271" s="36"/>
      <c r="O271" s="36"/>
      <c r="P271" s="36"/>
      <c r="Q271" s="36"/>
    </row>
    <row r="272" spans="1:17" ht="15.75" customHeight="1" x14ac:dyDescent="0.2">
      <c r="A272" s="36"/>
      <c r="B272" s="36"/>
      <c r="C272" s="35"/>
      <c r="D272" s="36"/>
      <c r="E272" s="36"/>
      <c r="F272" s="36"/>
      <c r="G272" s="36"/>
      <c r="H272" s="35"/>
      <c r="I272" s="35"/>
      <c r="J272" s="36"/>
      <c r="K272" s="36"/>
      <c r="L272" s="36"/>
      <c r="M272" s="36"/>
      <c r="N272" s="36"/>
      <c r="O272" s="36"/>
      <c r="P272" s="36"/>
      <c r="Q272" s="36"/>
    </row>
    <row r="273" spans="1:17" ht="15.75" customHeight="1" x14ac:dyDescent="0.2">
      <c r="A273" s="36"/>
      <c r="B273" s="36"/>
      <c r="C273" s="35"/>
      <c r="D273" s="36"/>
      <c r="E273" s="36"/>
      <c r="F273" s="36"/>
      <c r="G273" s="36"/>
      <c r="H273" s="35"/>
      <c r="I273" s="35"/>
      <c r="J273" s="36"/>
      <c r="K273" s="36"/>
      <c r="L273" s="36"/>
      <c r="M273" s="36"/>
      <c r="N273" s="36"/>
      <c r="O273" s="36"/>
      <c r="P273" s="36"/>
      <c r="Q273" s="36"/>
    </row>
    <row r="274" spans="1:17" ht="15.75" customHeight="1" x14ac:dyDescent="0.2">
      <c r="A274" s="36"/>
      <c r="B274" s="36"/>
      <c r="C274" s="35"/>
      <c r="D274" s="36"/>
      <c r="E274" s="36"/>
      <c r="F274" s="36"/>
      <c r="G274" s="36"/>
      <c r="H274" s="35"/>
      <c r="I274" s="35"/>
      <c r="J274" s="36"/>
      <c r="K274" s="36"/>
      <c r="L274" s="36"/>
      <c r="M274" s="36"/>
      <c r="N274" s="36"/>
      <c r="O274" s="36"/>
      <c r="P274" s="36"/>
      <c r="Q274" s="36"/>
    </row>
    <row r="275" spans="1:17" ht="15.75" customHeight="1" x14ac:dyDescent="0.2">
      <c r="A275" s="36"/>
      <c r="B275" s="36"/>
      <c r="C275" s="35"/>
      <c r="D275" s="36"/>
      <c r="E275" s="36"/>
      <c r="F275" s="36"/>
      <c r="G275" s="36"/>
      <c r="H275" s="35"/>
      <c r="I275" s="35"/>
      <c r="J275" s="36"/>
      <c r="K275" s="36"/>
      <c r="L275" s="36"/>
      <c r="M275" s="36"/>
      <c r="N275" s="36"/>
      <c r="O275" s="36"/>
      <c r="P275" s="36"/>
      <c r="Q275" s="36"/>
    </row>
    <row r="276" spans="1:17" ht="15.75" customHeight="1" x14ac:dyDescent="0.2">
      <c r="A276" s="36"/>
      <c r="B276" s="36"/>
      <c r="C276" s="35"/>
      <c r="D276" s="36"/>
      <c r="E276" s="36"/>
      <c r="F276" s="36"/>
      <c r="G276" s="36"/>
      <c r="H276" s="35"/>
      <c r="I276" s="35"/>
      <c r="J276" s="36"/>
      <c r="K276" s="36"/>
      <c r="L276" s="36"/>
      <c r="M276" s="36"/>
      <c r="N276" s="36"/>
      <c r="O276" s="36"/>
      <c r="P276" s="36"/>
      <c r="Q276" s="36"/>
    </row>
    <row r="277" spans="1:17" ht="15.75" customHeight="1" x14ac:dyDescent="0.2">
      <c r="A277" s="36"/>
      <c r="B277" s="36"/>
      <c r="C277" s="35"/>
      <c r="D277" s="36"/>
      <c r="E277" s="36"/>
      <c r="F277" s="36"/>
      <c r="G277" s="36"/>
      <c r="H277" s="35"/>
      <c r="I277" s="35"/>
      <c r="J277" s="36"/>
      <c r="K277" s="36"/>
      <c r="L277" s="36"/>
      <c r="M277" s="36"/>
      <c r="N277" s="36"/>
      <c r="O277" s="36"/>
      <c r="P277" s="36"/>
      <c r="Q277" s="36"/>
    </row>
    <row r="278" spans="1:17" ht="15.75" customHeight="1" x14ac:dyDescent="0.2">
      <c r="A278" s="36"/>
      <c r="B278" s="36"/>
      <c r="C278" s="35"/>
      <c r="D278" s="36"/>
      <c r="E278" s="36"/>
      <c r="F278" s="36"/>
      <c r="G278" s="36"/>
      <c r="H278" s="35"/>
      <c r="I278" s="35"/>
      <c r="J278" s="36"/>
      <c r="K278" s="36"/>
      <c r="L278" s="36"/>
      <c r="M278" s="36"/>
      <c r="N278" s="36"/>
      <c r="O278" s="36"/>
      <c r="P278" s="36"/>
      <c r="Q278" s="36"/>
    </row>
    <row r="279" spans="1:17" ht="15.75" customHeight="1" x14ac:dyDescent="0.2">
      <c r="A279" s="36"/>
      <c r="B279" s="36"/>
      <c r="C279" s="35"/>
      <c r="D279" s="36"/>
      <c r="E279" s="36"/>
      <c r="F279" s="36"/>
      <c r="G279" s="36"/>
      <c r="H279" s="35"/>
      <c r="I279" s="35"/>
      <c r="J279" s="36"/>
      <c r="K279" s="36"/>
      <c r="L279" s="36"/>
      <c r="M279" s="36"/>
      <c r="N279" s="36"/>
      <c r="O279" s="36"/>
      <c r="P279" s="36"/>
      <c r="Q279" s="36"/>
    </row>
    <row r="280" spans="1:17" ht="15.75" customHeight="1" x14ac:dyDescent="0.2">
      <c r="A280" s="36"/>
      <c r="B280" s="36"/>
      <c r="C280" s="35"/>
      <c r="D280" s="36"/>
      <c r="E280" s="36"/>
      <c r="F280" s="36"/>
      <c r="G280" s="36"/>
      <c r="H280" s="35"/>
      <c r="I280" s="35"/>
      <c r="J280" s="36"/>
      <c r="K280" s="36"/>
      <c r="L280" s="36"/>
      <c r="M280" s="36"/>
      <c r="N280" s="36"/>
      <c r="O280" s="36"/>
      <c r="P280" s="36"/>
      <c r="Q280" s="36"/>
    </row>
    <row r="281" spans="1:17" ht="15.75" customHeight="1" x14ac:dyDescent="0.2">
      <c r="A281" s="36"/>
      <c r="B281" s="36"/>
      <c r="C281" s="35"/>
      <c r="D281" s="36"/>
      <c r="E281" s="36"/>
      <c r="F281" s="36"/>
      <c r="G281" s="36"/>
      <c r="H281" s="35"/>
      <c r="I281" s="35"/>
      <c r="J281" s="36"/>
      <c r="K281" s="36"/>
      <c r="L281" s="36"/>
      <c r="M281" s="36"/>
      <c r="N281" s="36"/>
      <c r="O281" s="36"/>
      <c r="P281" s="36"/>
      <c r="Q281" s="36"/>
    </row>
    <row r="282" spans="1:17" ht="15.75" customHeight="1" x14ac:dyDescent="0.2">
      <c r="A282" s="36"/>
      <c r="B282" s="36"/>
      <c r="C282" s="35"/>
      <c r="D282" s="36"/>
      <c r="E282" s="36"/>
      <c r="F282" s="36"/>
      <c r="G282" s="36"/>
      <c r="H282" s="35"/>
      <c r="I282" s="35"/>
      <c r="J282" s="36"/>
      <c r="K282" s="36"/>
      <c r="L282" s="36"/>
      <c r="M282" s="36"/>
      <c r="N282" s="36"/>
      <c r="O282" s="36"/>
      <c r="P282" s="36"/>
      <c r="Q282" s="36"/>
    </row>
    <row r="283" spans="1:17" ht="15.75" customHeight="1" x14ac:dyDescent="0.2">
      <c r="A283" s="36"/>
      <c r="B283" s="36"/>
      <c r="C283" s="35"/>
      <c r="D283" s="36"/>
      <c r="E283" s="36"/>
      <c r="F283" s="36"/>
      <c r="G283" s="36"/>
      <c r="H283" s="35"/>
      <c r="I283" s="35"/>
      <c r="J283" s="36"/>
      <c r="K283" s="36"/>
      <c r="L283" s="36"/>
      <c r="M283" s="36"/>
      <c r="N283" s="36"/>
      <c r="O283" s="36"/>
      <c r="P283" s="36"/>
      <c r="Q283" s="36"/>
    </row>
    <row r="284" spans="1:17" ht="15.75" customHeight="1" x14ac:dyDescent="0.2">
      <c r="A284" s="36"/>
      <c r="B284" s="36"/>
      <c r="C284" s="35"/>
      <c r="D284" s="36"/>
      <c r="E284" s="36"/>
      <c r="F284" s="36"/>
      <c r="G284" s="36"/>
      <c r="H284" s="35"/>
      <c r="I284" s="35"/>
      <c r="J284" s="36"/>
      <c r="K284" s="36"/>
      <c r="L284" s="36"/>
      <c r="M284" s="36"/>
      <c r="N284" s="36"/>
      <c r="O284" s="36"/>
      <c r="P284" s="36"/>
      <c r="Q284" s="36"/>
    </row>
    <row r="285" spans="1:17" ht="15.75" customHeight="1" x14ac:dyDescent="0.2">
      <c r="A285" s="36"/>
      <c r="B285" s="36"/>
      <c r="C285" s="35"/>
      <c r="D285" s="36"/>
      <c r="E285" s="36"/>
      <c r="F285" s="36"/>
      <c r="G285" s="36"/>
      <c r="H285" s="35"/>
      <c r="I285" s="35"/>
      <c r="J285" s="36"/>
      <c r="K285" s="36"/>
      <c r="L285" s="36"/>
      <c r="M285" s="36"/>
      <c r="N285" s="36"/>
      <c r="O285" s="36"/>
      <c r="P285" s="36"/>
      <c r="Q285" s="36"/>
    </row>
    <row r="286" spans="1:17" ht="15.75" customHeight="1" x14ac:dyDescent="0.2">
      <c r="A286" s="36"/>
      <c r="B286" s="36"/>
      <c r="C286" s="35"/>
      <c r="D286" s="36"/>
      <c r="E286" s="36"/>
      <c r="F286" s="36"/>
      <c r="G286" s="36"/>
      <c r="H286" s="35"/>
      <c r="I286" s="35"/>
      <c r="J286" s="36"/>
      <c r="K286" s="36"/>
      <c r="L286" s="36"/>
      <c r="M286" s="36"/>
      <c r="N286" s="36"/>
      <c r="O286" s="36"/>
      <c r="P286" s="36"/>
      <c r="Q286" s="36"/>
    </row>
    <row r="287" spans="1:17" ht="15.75" customHeight="1" x14ac:dyDescent="0.2">
      <c r="A287" s="36"/>
      <c r="B287" s="36"/>
      <c r="C287" s="35"/>
      <c r="D287" s="36"/>
      <c r="E287" s="36"/>
      <c r="F287" s="36"/>
      <c r="G287" s="36"/>
      <c r="H287" s="35"/>
      <c r="I287" s="35"/>
      <c r="J287" s="36"/>
      <c r="K287" s="36"/>
      <c r="L287" s="36"/>
      <c r="M287" s="36"/>
      <c r="N287" s="36"/>
      <c r="O287" s="36"/>
      <c r="P287" s="36"/>
      <c r="Q287" s="36"/>
    </row>
    <row r="288" spans="1:17" ht="15.75" customHeight="1" x14ac:dyDescent="0.2">
      <c r="A288" s="36"/>
      <c r="B288" s="36"/>
      <c r="C288" s="35"/>
      <c r="D288" s="36"/>
      <c r="E288" s="36"/>
      <c r="F288" s="36"/>
      <c r="G288" s="36"/>
      <c r="H288" s="35"/>
      <c r="I288" s="35"/>
      <c r="J288" s="36"/>
      <c r="K288" s="36"/>
      <c r="L288" s="36"/>
      <c r="M288" s="36"/>
      <c r="N288" s="36"/>
      <c r="O288" s="36"/>
      <c r="P288" s="36"/>
      <c r="Q288" s="36"/>
    </row>
    <row r="289" spans="1:17" ht="15.75" customHeight="1" x14ac:dyDescent="0.2">
      <c r="A289" s="36"/>
      <c r="B289" s="36"/>
      <c r="C289" s="35"/>
      <c r="D289" s="36"/>
      <c r="E289" s="36"/>
      <c r="F289" s="36"/>
      <c r="G289" s="36"/>
      <c r="H289" s="35"/>
      <c r="I289" s="35"/>
      <c r="J289" s="36"/>
      <c r="K289" s="36"/>
      <c r="L289" s="36"/>
      <c r="M289" s="36"/>
      <c r="N289" s="36"/>
      <c r="O289" s="36"/>
      <c r="P289" s="36"/>
      <c r="Q289" s="36"/>
    </row>
    <row r="290" spans="1:17" ht="15.75" customHeight="1" x14ac:dyDescent="0.2">
      <c r="A290" s="36"/>
      <c r="B290" s="36"/>
      <c r="C290" s="35"/>
      <c r="D290" s="36"/>
      <c r="E290" s="36"/>
      <c r="F290" s="36"/>
      <c r="G290" s="36"/>
      <c r="H290" s="35"/>
      <c r="I290" s="35"/>
      <c r="J290" s="36"/>
      <c r="K290" s="36"/>
      <c r="L290" s="36"/>
      <c r="M290" s="36"/>
      <c r="N290" s="36"/>
      <c r="O290" s="36"/>
      <c r="P290" s="36"/>
      <c r="Q290" s="36"/>
    </row>
    <row r="291" spans="1:17" ht="15.75" customHeight="1" x14ac:dyDescent="0.2">
      <c r="A291" s="36"/>
      <c r="B291" s="36"/>
      <c r="C291" s="35"/>
      <c r="D291" s="36"/>
      <c r="E291" s="36"/>
      <c r="F291" s="36"/>
      <c r="G291" s="36"/>
      <c r="H291" s="35"/>
      <c r="I291" s="35"/>
      <c r="J291" s="36"/>
      <c r="K291" s="36"/>
      <c r="L291" s="36"/>
      <c r="M291" s="36"/>
      <c r="N291" s="36"/>
      <c r="O291" s="36"/>
      <c r="P291" s="36"/>
      <c r="Q291" s="36"/>
    </row>
    <row r="292" spans="1:17" ht="15.75" customHeight="1" x14ac:dyDescent="0.2">
      <c r="A292" s="36"/>
      <c r="B292" s="36"/>
      <c r="C292" s="35"/>
      <c r="D292" s="36"/>
      <c r="E292" s="36"/>
      <c r="F292" s="36"/>
      <c r="G292" s="36"/>
      <c r="H292" s="35"/>
      <c r="I292" s="35"/>
      <c r="J292" s="36"/>
      <c r="K292" s="36"/>
      <c r="L292" s="36"/>
      <c r="M292" s="36"/>
      <c r="N292" s="36"/>
      <c r="O292" s="36"/>
      <c r="P292" s="36"/>
      <c r="Q292" s="36"/>
    </row>
    <row r="293" spans="1:17" ht="15.75" customHeight="1" x14ac:dyDescent="0.2">
      <c r="A293" s="36"/>
      <c r="B293" s="36"/>
      <c r="C293" s="35"/>
      <c r="D293" s="36"/>
      <c r="E293" s="36"/>
      <c r="F293" s="36"/>
      <c r="G293" s="36"/>
      <c r="H293" s="35"/>
      <c r="I293" s="35"/>
      <c r="J293" s="36"/>
      <c r="K293" s="36"/>
      <c r="L293" s="36"/>
      <c r="M293" s="36"/>
      <c r="N293" s="36"/>
      <c r="O293" s="36"/>
      <c r="P293" s="36"/>
      <c r="Q293" s="36"/>
    </row>
    <row r="294" spans="1:17" ht="15.75" customHeight="1" x14ac:dyDescent="0.2">
      <c r="A294" s="36"/>
      <c r="B294" s="36"/>
      <c r="C294" s="35"/>
      <c r="D294" s="36"/>
      <c r="E294" s="36"/>
      <c r="F294" s="36"/>
      <c r="G294" s="36"/>
      <c r="H294" s="35"/>
      <c r="I294" s="35"/>
      <c r="J294" s="36"/>
      <c r="K294" s="36"/>
      <c r="L294" s="36"/>
      <c r="M294" s="36"/>
      <c r="N294" s="36"/>
      <c r="O294" s="36"/>
      <c r="P294" s="36"/>
      <c r="Q294" s="36"/>
    </row>
    <row r="295" spans="1:17" ht="15.75" customHeight="1" x14ac:dyDescent="0.2">
      <c r="A295" s="36"/>
      <c r="B295" s="36"/>
      <c r="C295" s="35"/>
      <c r="D295" s="36"/>
      <c r="E295" s="36"/>
      <c r="F295" s="36"/>
      <c r="G295" s="36"/>
      <c r="H295" s="35"/>
      <c r="I295" s="35"/>
      <c r="J295" s="36"/>
      <c r="K295" s="36"/>
      <c r="L295" s="36"/>
      <c r="M295" s="36"/>
      <c r="N295" s="36"/>
      <c r="O295" s="36"/>
      <c r="P295" s="36"/>
      <c r="Q295" s="36"/>
    </row>
    <row r="296" spans="1:17" ht="15.75" customHeight="1" x14ac:dyDescent="0.2">
      <c r="A296" s="36"/>
      <c r="B296" s="36"/>
      <c r="C296" s="35"/>
      <c r="D296" s="36"/>
      <c r="E296" s="36"/>
      <c r="F296" s="36"/>
      <c r="G296" s="36"/>
      <c r="H296" s="35"/>
      <c r="I296" s="35"/>
      <c r="J296" s="36"/>
      <c r="K296" s="36"/>
      <c r="L296" s="36"/>
      <c r="M296" s="36"/>
      <c r="N296" s="36"/>
      <c r="O296" s="36"/>
      <c r="P296" s="36"/>
      <c r="Q296" s="36"/>
    </row>
    <row r="297" spans="1:17" ht="15.75" customHeight="1" x14ac:dyDescent="0.2">
      <c r="A297" s="36"/>
      <c r="B297" s="36"/>
      <c r="C297" s="35"/>
      <c r="D297" s="36"/>
      <c r="E297" s="36"/>
      <c r="F297" s="36"/>
      <c r="G297" s="36"/>
      <c r="H297" s="35"/>
      <c r="I297" s="35"/>
      <c r="J297" s="36"/>
      <c r="K297" s="36"/>
      <c r="L297" s="36"/>
      <c r="M297" s="36"/>
      <c r="N297" s="36"/>
      <c r="O297" s="36"/>
      <c r="P297" s="36"/>
      <c r="Q297" s="36"/>
    </row>
    <row r="298" spans="1:17" ht="15.75" customHeight="1" x14ac:dyDescent="0.2">
      <c r="A298" s="36"/>
      <c r="B298" s="36"/>
      <c r="C298" s="35"/>
      <c r="D298" s="36"/>
      <c r="E298" s="36"/>
      <c r="F298" s="36"/>
      <c r="G298" s="36"/>
      <c r="H298" s="35"/>
      <c r="I298" s="35"/>
      <c r="J298" s="36"/>
      <c r="K298" s="36"/>
      <c r="L298" s="36"/>
      <c r="M298" s="36"/>
      <c r="N298" s="36"/>
      <c r="O298" s="36"/>
      <c r="P298" s="36"/>
      <c r="Q298" s="36"/>
    </row>
    <row r="299" spans="1:17" ht="15.75" customHeight="1" x14ac:dyDescent="0.2">
      <c r="A299" s="36"/>
      <c r="B299" s="36"/>
      <c r="C299" s="35"/>
      <c r="D299" s="36"/>
      <c r="E299" s="36"/>
      <c r="F299" s="36"/>
      <c r="G299" s="36"/>
      <c r="H299" s="35"/>
      <c r="I299" s="35"/>
      <c r="J299" s="36"/>
      <c r="K299" s="36"/>
      <c r="L299" s="36"/>
      <c r="M299" s="36"/>
      <c r="N299" s="36"/>
      <c r="O299" s="36"/>
      <c r="P299" s="36"/>
      <c r="Q299" s="36"/>
    </row>
    <row r="300" spans="1:17" ht="15.75" customHeight="1" x14ac:dyDescent="0.2">
      <c r="A300" s="36"/>
      <c r="B300" s="36"/>
      <c r="C300" s="35"/>
      <c r="D300" s="36"/>
      <c r="E300" s="36"/>
      <c r="F300" s="36"/>
      <c r="G300" s="36"/>
      <c r="H300" s="35"/>
      <c r="I300" s="35"/>
      <c r="J300" s="36"/>
      <c r="K300" s="36"/>
      <c r="L300" s="36"/>
      <c r="M300" s="36"/>
      <c r="N300" s="36"/>
      <c r="O300" s="36"/>
      <c r="P300" s="36"/>
      <c r="Q300" s="36"/>
    </row>
    <row r="301" spans="1:17" ht="15.75" customHeight="1" x14ac:dyDescent="0.2">
      <c r="A301" s="36"/>
      <c r="B301" s="36"/>
      <c r="C301" s="35"/>
      <c r="D301" s="36"/>
      <c r="E301" s="36"/>
      <c r="F301" s="36"/>
      <c r="G301" s="36"/>
      <c r="H301" s="35"/>
      <c r="I301" s="35"/>
      <c r="J301" s="36"/>
      <c r="K301" s="36"/>
      <c r="L301" s="36"/>
      <c r="M301" s="36"/>
      <c r="N301" s="36"/>
      <c r="O301" s="36"/>
      <c r="P301" s="36"/>
      <c r="Q301" s="36"/>
    </row>
    <row r="302" spans="1:17" ht="15.75" customHeight="1" x14ac:dyDescent="0.2">
      <c r="A302" s="36"/>
      <c r="B302" s="36"/>
      <c r="C302" s="35"/>
      <c r="D302" s="36"/>
      <c r="E302" s="36"/>
      <c r="F302" s="36"/>
      <c r="G302" s="36"/>
      <c r="H302" s="35"/>
      <c r="I302" s="35"/>
      <c r="J302" s="36"/>
      <c r="K302" s="36"/>
      <c r="L302" s="36"/>
      <c r="M302" s="36"/>
      <c r="N302" s="36"/>
      <c r="O302" s="36"/>
      <c r="P302" s="36"/>
      <c r="Q302" s="36"/>
    </row>
    <row r="303" spans="1:17" ht="15.75" customHeight="1" x14ac:dyDescent="0.2">
      <c r="A303" s="36"/>
      <c r="B303" s="36"/>
      <c r="C303" s="35"/>
      <c r="D303" s="36"/>
      <c r="E303" s="36"/>
      <c r="F303" s="36"/>
      <c r="G303" s="36"/>
      <c r="H303" s="35"/>
      <c r="I303" s="35"/>
      <c r="J303" s="36"/>
      <c r="K303" s="36"/>
      <c r="L303" s="36"/>
      <c r="M303" s="36"/>
      <c r="N303" s="36"/>
      <c r="O303" s="36"/>
      <c r="P303" s="36"/>
      <c r="Q303" s="36"/>
    </row>
    <row r="304" spans="1:17" ht="15.75" customHeight="1" x14ac:dyDescent="0.2">
      <c r="A304" s="36"/>
      <c r="B304" s="36"/>
      <c r="C304" s="35"/>
      <c r="D304" s="36"/>
      <c r="E304" s="36"/>
      <c r="F304" s="36"/>
      <c r="G304" s="36"/>
      <c r="H304" s="35"/>
      <c r="I304" s="35"/>
      <c r="J304" s="36"/>
      <c r="K304" s="36"/>
      <c r="L304" s="36"/>
      <c r="M304" s="36"/>
      <c r="N304" s="36"/>
      <c r="O304" s="36"/>
      <c r="P304" s="36"/>
      <c r="Q304" s="36"/>
    </row>
    <row r="305" spans="1:17" ht="15.75" customHeight="1" x14ac:dyDescent="0.2">
      <c r="A305" s="36"/>
      <c r="B305" s="36"/>
      <c r="C305" s="35"/>
      <c r="D305" s="36"/>
      <c r="E305" s="36"/>
      <c r="F305" s="36"/>
      <c r="G305" s="36"/>
      <c r="H305" s="35"/>
      <c r="I305" s="35"/>
      <c r="J305" s="36"/>
      <c r="K305" s="36"/>
      <c r="L305" s="36"/>
      <c r="M305" s="36"/>
      <c r="N305" s="36"/>
      <c r="O305" s="36"/>
      <c r="P305" s="36"/>
      <c r="Q305" s="36"/>
    </row>
    <row r="306" spans="1:17" ht="15.75" customHeight="1" x14ac:dyDescent="0.2">
      <c r="A306" s="36"/>
      <c r="B306" s="36"/>
      <c r="C306" s="35"/>
      <c r="D306" s="36"/>
      <c r="E306" s="36"/>
      <c r="F306" s="36"/>
      <c r="G306" s="36"/>
      <c r="H306" s="35"/>
      <c r="I306" s="35"/>
      <c r="J306" s="36"/>
      <c r="K306" s="36"/>
      <c r="L306" s="36"/>
      <c r="M306" s="36"/>
      <c r="N306" s="36"/>
      <c r="O306" s="36"/>
      <c r="P306" s="36"/>
      <c r="Q306" s="36"/>
    </row>
    <row r="307" spans="1:17" ht="15.75" customHeight="1" x14ac:dyDescent="0.2">
      <c r="A307" s="36"/>
      <c r="B307" s="36"/>
      <c r="C307" s="35"/>
      <c r="D307" s="36"/>
      <c r="E307" s="36"/>
      <c r="F307" s="36"/>
      <c r="G307" s="36"/>
      <c r="H307" s="35"/>
      <c r="I307" s="35"/>
      <c r="J307" s="36"/>
      <c r="K307" s="36"/>
      <c r="L307" s="36"/>
      <c r="M307" s="36"/>
      <c r="N307" s="36"/>
      <c r="O307" s="36"/>
      <c r="P307" s="36"/>
      <c r="Q307" s="36"/>
    </row>
    <row r="308" spans="1:17" ht="15.75" customHeight="1" x14ac:dyDescent="0.2">
      <c r="A308" s="36"/>
      <c r="B308" s="36"/>
      <c r="C308" s="35"/>
      <c r="D308" s="36"/>
      <c r="E308" s="36"/>
      <c r="F308" s="36"/>
      <c r="G308" s="36"/>
      <c r="H308" s="35"/>
      <c r="I308" s="35"/>
      <c r="J308" s="36"/>
      <c r="K308" s="36"/>
      <c r="L308" s="36"/>
      <c r="M308" s="36"/>
      <c r="N308" s="36"/>
      <c r="O308" s="36"/>
      <c r="P308" s="36"/>
      <c r="Q308" s="36"/>
    </row>
    <row r="309" spans="1:17" ht="15.75" customHeight="1" x14ac:dyDescent="0.2">
      <c r="A309" s="36"/>
      <c r="B309" s="36"/>
      <c r="C309" s="35"/>
      <c r="D309" s="36"/>
      <c r="E309" s="36"/>
      <c r="F309" s="36"/>
      <c r="G309" s="36"/>
      <c r="H309" s="35"/>
      <c r="I309" s="35"/>
      <c r="J309" s="36"/>
      <c r="K309" s="36"/>
      <c r="L309" s="36"/>
      <c r="M309" s="36"/>
      <c r="N309" s="36"/>
      <c r="O309" s="36"/>
      <c r="P309" s="36"/>
      <c r="Q309" s="36"/>
    </row>
    <row r="310" spans="1:17" ht="15.75" customHeight="1" x14ac:dyDescent="0.2">
      <c r="A310" s="36"/>
      <c r="B310" s="36"/>
      <c r="C310" s="35"/>
      <c r="D310" s="36"/>
      <c r="E310" s="36"/>
      <c r="F310" s="36"/>
      <c r="G310" s="36"/>
      <c r="H310" s="35"/>
      <c r="I310" s="35"/>
      <c r="J310" s="36"/>
      <c r="K310" s="36"/>
      <c r="L310" s="36"/>
      <c r="M310" s="36"/>
      <c r="N310" s="36"/>
      <c r="O310" s="36"/>
      <c r="P310" s="36"/>
      <c r="Q310" s="36"/>
    </row>
    <row r="311" spans="1:17" ht="15.75" customHeight="1" x14ac:dyDescent="0.2">
      <c r="A311" s="36"/>
      <c r="B311" s="36"/>
      <c r="C311" s="35"/>
      <c r="D311" s="36"/>
      <c r="E311" s="36"/>
      <c r="F311" s="36"/>
      <c r="G311" s="36"/>
      <c r="H311" s="35"/>
      <c r="I311" s="35"/>
      <c r="J311" s="36"/>
      <c r="K311" s="36"/>
      <c r="L311" s="36"/>
      <c r="M311" s="36"/>
      <c r="N311" s="36"/>
      <c r="O311" s="36"/>
      <c r="P311" s="36"/>
      <c r="Q311" s="36"/>
    </row>
    <row r="312" spans="1:17" ht="15.75" customHeight="1" x14ac:dyDescent="0.2">
      <c r="A312" s="36"/>
      <c r="B312" s="36"/>
      <c r="C312" s="35"/>
      <c r="D312" s="36"/>
      <c r="E312" s="36"/>
      <c r="F312" s="36"/>
      <c r="G312" s="36"/>
      <c r="H312" s="35"/>
      <c r="I312" s="35"/>
      <c r="J312" s="36"/>
      <c r="K312" s="36"/>
      <c r="L312" s="36"/>
      <c r="M312" s="36"/>
      <c r="N312" s="36"/>
      <c r="O312" s="36"/>
      <c r="P312" s="36"/>
      <c r="Q312" s="36"/>
    </row>
    <row r="313" spans="1:17" ht="15.75" customHeight="1" x14ac:dyDescent="0.2">
      <c r="A313" s="36"/>
      <c r="B313" s="36"/>
      <c r="C313" s="35"/>
      <c r="D313" s="36"/>
      <c r="E313" s="36"/>
      <c r="F313" s="36"/>
      <c r="G313" s="36"/>
      <c r="H313" s="35"/>
      <c r="I313" s="35"/>
      <c r="J313" s="36"/>
      <c r="K313" s="36"/>
      <c r="L313" s="36"/>
      <c r="M313" s="36"/>
      <c r="N313" s="36"/>
      <c r="O313" s="36"/>
      <c r="P313" s="36"/>
      <c r="Q313" s="36"/>
    </row>
    <row r="314" spans="1:17" ht="15.75" customHeight="1" x14ac:dyDescent="0.2">
      <c r="A314" s="36"/>
      <c r="B314" s="36"/>
      <c r="C314" s="35"/>
      <c r="D314" s="36"/>
      <c r="E314" s="36"/>
      <c r="F314" s="36"/>
      <c r="G314" s="36"/>
      <c r="H314" s="35"/>
      <c r="I314" s="35"/>
      <c r="J314" s="36"/>
      <c r="K314" s="36"/>
      <c r="L314" s="36"/>
      <c r="M314" s="36"/>
      <c r="N314" s="36"/>
      <c r="O314" s="36"/>
      <c r="P314" s="36"/>
      <c r="Q314" s="36"/>
    </row>
    <row r="315" spans="1:17" ht="15.75" customHeight="1" x14ac:dyDescent="0.2">
      <c r="A315" s="36"/>
      <c r="B315" s="36"/>
      <c r="C315" s="35"/>
      <c r="D315" s="36"/>
      <c r="E315" s="36"/>
      <c r="F315" s="36"/>
      <c r="G315" s="36"/>
      <c r="H315" s="35"/>
      <c r="I315" s="35"/>
      <c r="J315" s="36"/>
      <c r="K315" s="36"/>
      <c r="L315" s="36"/>
      <c r="M315" s="36"/>
      <c r="N315" s="36"/>
      <c r="O315" s="36"/>
      <c r="P315" s="36"/>
      <c r="Q315" s="36"/>
    </row>
    <row r="316" spans="1:17" ht="15.75" customHeight="1" x14ac:dyDescent="0.2">
      <c r="A316" s="36"/>
      <c r="B316" s="36"/>
      <c r="C316" s="35"/>
      <c r="D316" s="36"/>
      <c r="E316" s="36"/>
      <c r="F316" s="36"/>
      <c r="G316" s="36"/>
      <c r="H316" s="35"/>
      <c r="I316" s="35"/>
      <c r="J316" s="36"/>
      <c r="K316" s="36"/>
      <c r="L316" s="36"/>
      <c r="M316" s="36"/>
      <c r="N316" s="36"/>
      <c r="O316" s="36"/>
      <c r="P316" s="36"/>
      <c r="Q316" s="36"/>
    </row>
    <row r="317" spans="1:17" ht="15.75" customHeight="1" x14ac:dyDescent="0.2">
      <c r="A317" s="36"/>
      <c r="B317" s="36"/>
      <c r="C317" s="35"/>
      <c r="D317" s="36"/>
      <c r="E317" s="36"/>
      <c r="F317" s="36"/>
      <c r="G317" s="36"/>
      <c r="H317" s="35"/>
      <c r="I317" s="35"/>
      <c r="J317" s="36"/>
      <c r="K317" s="36"/>
      <c r="L317" s="36"/>
      <c r="M317" s="36"/>
      <c r="N317" s="36"/>
      <c r="O317" s="36"/>
      <c r="P317" s="36"/>
      <c r="Q317" s="36"/>
    </row>
    <row r="318" spans="1:17" ht="15.75" customHeight="1" x14ac:dyDescent="0.2">
      <c r="A318" s="36"/>
      <c r="B318" s="36"/>
      <c r="C318" s="35"/>
      <c r="D318" s="36"/>
      <c r="E318" s="36"/>
      <c r="F318" s="36"/>
      <c r="G318" s="36"/>
      <c r="H318" s="35"/>
      <c r="I318" s="35"/>
      <c r="J318" s="36"/>
      <c r="K318" s="36"/>
      <c r="L318" s="36"/>
      <c r="M318" s="36"/>
      <c r="N318" s="36"/>
      <c r="O318" s="36"/>
      <c r="P318" s="36"/>
      <c r="Q318" s="36"/>
    </row>
    <row r="319" spans="1:17" ht="15.75" customHeight="1" x14ac:dyDescent="0.2">
      <c r="A319" s="36"/>
      <c r="B319" s="36"/>
      <c r="C319" s="35"/>
      <c r="D319" s="36"/>
      <c r="E319" s="36"/>
      <c r="F319" s="36"/>
      <c r="G319" s="36"/>
      <c r="H319" s="35"/>
      <c r="I319" s="35"/>
      <c r="J319" s="36"/>
      <c r="K319" s="36"/>
      <c r="L319" s="36"/>
      <c r="M319" s="36"/>
      <c r="N319" s="36"/>
      <c r="O319" s="36"/>
      <c r="P319" s="36"/>
      <c r="Q319" s="36"/>
    </row>
    <row r="320" spans="1:17" ht="15.75" customHeight="1" x14ac:dyDescent="0.2">
      <c r="A320" s="36"/>
      <c r="B320" s="36"/>
      <c r="C320" s="35"/>
      <c r="D320" s="36"/>
      <c r="E320" s="36"/>
      <c r="F320" s="36"/>
      <c r="G320" s="36"/>
      <c r="H320" s="35"/>
      <c r="I320" s="35"/>
      <c r="J320" s="36"/>
      <c r="K320" s="36"/>
      <c r="L320" s="36"/>
      <c r="M320" s="36"/>
      <c r="N320" s="36"/>
      <c r="O320" s="36"/>
      <c r="P320" s="36"/>
      <c r="Q320" s="36"/>
    </row>
    <row r="321" spans="1:17" ht="15.75" customHeight="1" x14ac:dyDescent="0.2">
      <c r="A321" s="36"/>
      <c r="B321" s="36"/>
      <c r="C321" s="35"/>
      <c r="D321" s="36"/>
      <c r="E321" s="36"/>
      <c r="F321" s="36"/>
      <c r="G321" s="36"/>
      <c r="H321" s="35"/>
      <c r="I321" s="35"/>
      <c r="J321" s="36"/>
      <c r="K321" s="36"/>
      <c r="L321" s="36"/>
      <c r="M321" s="36"/>
      <c r="N321" s="36"/>
      <c r="O321" s="36"/>
      <c r="P321" s="36"/>
      <c r="Q321" s="36"/>
    </row>
    <row r="322" spans="1:17" ht="15.75" customHeight="1" x14ac:dyDescent="0.2">
      <c r="A322" s="36"/>
      <c r="B322" s="36"/>
      <c r="C322" s="35"/>
      <c r="D322" s="36"/>
      <c r="E322" s="36"/>
      <c r="F322" s="36"/>
      <c r="G322" s="36"/>
      <c r="H322" s="35"/>
      <c r="I322" s="35"/>
      <c r="J322" s="36"/>
      <c r="K322" s="36"/>
      <c r="L322" s="36"/>
      <c r="M322" s="36"/>
      <c r="N322" s="36"/>
      <c r="O322" s="36"/>
      <c r="P322" s="36"/>
      <c r="Q322" s="36"/>
    </row>
    <row r="323" spans="1:17" ht="15.75" customHeight="1" x14ac:dyDescent="0.2">
      <c r="A323" s="36"/>
      <c r="B323" s="36"/>
      <c r="C323" s="35"/>
      <c r="D323" s="36"/>
      <c r="E323" s="36"/>
      <c r="F323" s="36"/>
      <c r="G323" s="36"/>
      <c r="H323" s="35"/>
      <c r="I323" s="35"/>
      <c r="J323" s="36"/>
      <c r="K323" s="36"/>
      <c r="L323" s="36"/>
      <c r="M323" s="36"/>
      <c r="N323" s="36"/>
      <c r="O323" s="36"/>
      <c r="P323" s="36"/>
      <c r="Q323" s="36"/>
    </row>
    <row r="324" spans="1:17" ht="15.75" customHeight="1" x14ac:dyDescent="0.2">
      <c r="A324" s="36"/>
      <c r="B324" s="36"/>
      <c r="C324" s="35"/>
      <c r="D324" s="36"/>
      <c r="E324" s="36"/>
      <c r="F324" s="36"/>
      <c r="G324" s="36"/>
      <c r="H324" s="35"/>
      <c r="I324" s="35"/>
      <c r="J324" s="36"/>
      <c r="K324" s="36"/>
      <c r="L324" s="36"/>
      <c r="M324" s="36"/>
      <c r="N324" s="36"/>
      <c r="O324" s="36"/>
      <c r="P324" s="36"/>
      <c r="Q324" s="36"/>
    </row>
    <row r="325" spans="1:17" ht="15.75" customHeight="1" x14ac:dyDescent="0.2">
      <c r="A325" s="36"/>
      <c r="B325" s="36"/>
      <c r="C325" s="35"/>
      <c r="D325" s="36"/>
      <c r="E325" s="36"/>
      <c r="F325" s="36"/>
      <c r="G325" s="36"/>
      <c r="H325" s="35"/>
      <c r="I325" s="35"/>
      <c r="J325" s="36"/>
      <c r="K325" s="36"/>
      <c r="L325" s="36"/>
      <c r="M325" s="36"/>
      <c r="N325" s="36"/>
      <c r="O325" s="36"/>
      <c r="P325" s="36"/>
      <c r="Q325" s="36"/>
    </row>
    <row r="326" spans="1:17" ht="15.75" customHeight="1" x14ac:dyDescent="0.2">
      <c r="A326" s="36"/>
      <c r="B326" s="36"/>
      <c r="C326" s="35"/>
      <c r="D326" s="36"/>
      <c r="E326" s="36"/>
      <c r="F326" s="36"/>
      <c r="G326" s="36"/>
      <c r="H326" s="35"/>
      <c r="I326" s="35"/>
      <c r="J326" s="36"/>
      <c r="K326" s="36"/>
      <c r="L326" s="36"/>
      <c r="M326" s="36"/>
      <c r="N326" s="36"/>
      <c r="O326" s="36"/>
      <c r="P326" s="36"/>
      <c r="Q326" s="36"/>
    </row>
    <row r="327" spans="1:17" ht="15.75" customHeight="1" x14ac:dyDescent="0.2">
      <c r="A327" s="36"/>
      <c r="B327" s="36"/>
      <c r="C327" s="35"/>
      <c r="D327" s="36"/>
      <c r="E327" s="36"/>
      <c r="F327" s="36"/>
      <c r="G327" s="36"/>
      <c r="H327" s="35"/>
      <c r="I327" s="35"/>
      <c r="J327" s="36"/>
      <c r="K327" s="36"/>
      <c r="L327" s="36"/>
      <c r="M327" s="36"/>
      <c r="N327" s="36"/>
      <c r="O327" s="36"/>
      <c r="P327" s="36"/>
      <c r="Q327" s="36"/>
    </row>
    <row r="328" spans="1:17" ht="15.75" customHeight="1" x14ac:dyDescent="0.2">
      <c r="A328" s="36"/>
      <c r="B328" s="36"/>
      <c r="C328" s="35"/>
      <c r="D328" s="36"/>
      <c r="E328" s="36"/>
      <c r="F328" s="36"/>
      <c r="G328" s="36"/>
      <c r="H328" s="35"/>
      <c r="I328" s="35"/>
      <c r="J328" s="36"/>
      <c r="K328" s="36"/>
      <c r="L328" s="36"/>
      <c r="M328" s="36"/>
      <c r="N328" s="36"/>
      <c r="O328" s="36"/>
      <c r="P328" s="36"/>
      <c r="Q328" s="36"/>
    </row>
    <row r="329" spans="1:17" ht="15.75" customHeight="1" x14ac:dyDescent="0.2">
      <c r="A329" s="36"/>
      <c r="B329" s="36"/>
      <c r="C329" s="35"/>
      <c r="D329" s="36"/>
      <c r="E329" s="36"/>
      <c r="F329" s="36"/>
      <c r="G329" s="36"/>
      <c r="H329" s="35"/>
      <c r="I329" s="35"/>
      <c r="J329" s="36"/>
      <c r="K329" s="36"/>
      <c r="L329" s="36"/>
      <c r="M329" s="36"/>
      <c r="N329" s="36"/>
      <c r="O329" s="36"/>
      <c r="P329" s="36"/>
      <c r="Q329" s="36"/>
    </row>
    <row r="330" spans="1:17" ht="15.75" customHeight="1" x14ac:dyDescent="0.2">
      <c r="A330" s="36"/>
      <c r="B330" s="36"/>
      <c r="C330" s="35"/>
      <c r="D330" s="36"/>
      <c r="E330" s="36"/>
      <c r="F330" s="36"/>
      <c r="G330" s="36"/>
      <c r="H330" s="35"/>
      <c r="I330" s="35"/>
      <c r="J330" s="36"/>
      <c r="K330" s="36"/>
      <c r="L330" s="36"/>
      <c r="M330" s="36"/>
      <c r="N330" s="36"/>
      <c r="O330" s="36"/>
      <c r="P330" s="36"/>
      <c r="Q330" s="36"/>
    </row>
    <row r="331" spans="1:17" ht="15.75" customHeight="1" x14ac:dyDescent="0.2">
      <c r="A331" s="36"/>
      <c r="B331" s="36"/>
      <c r="C331" s="35"/>
      <c r="D331" s="36"/>
      <c r="E331" s="36"/>
      <c r="F331" s="36"/>
      <c r="G331" s="36"/>
      <c r="H331" s="35"/>
      <c r="I331" s="35"/>
      <c r="J331" s="36"/>
      <c r="K331" s="36"/>
      <c r="L331" s="36"/>
      <c r="M331" s="36"/>
      <c r="N331" s="36"/>
      <c r="O331" s="36"/>
      <c r="P331" s="36"/>
      <c r="Q331" s="36"/>
    </row>
    <row r="332" spans="1:17" ht="15.75" customHeight="1" x14ac:dyDescent="0.2">
      <c r="A332" s="36"/>
      <c r="B332" s="36"/>
      <c r="C332" s="35"/>
      <c r="D332" s="36"/>
      <c r="E332" s="36"/>
      <c r="F332" s="36"/>
      <c r="G332" s="36"/>
      <c r="H332" s="35"/>
      <c r="I332" s="35"/>
      <c r="J332" s="36"/>
      <c r="K332" s="36"/>
      <c r="L332" s="36"/>
      <c r="M332" s="36"/>
      <c r="N332" s="36"/>
      <c r="O332" s="36"/>
      <c r="P332" s="36"/>
      <c r="Q332" s="36"/>
    </row>
    <row r="333" spans="1:17" ht="15.75" customHeight="1" x14ac:dyDescent="0.2">
      <c r="A333" s="36"/>
      <c r="B333" s="36"/>
      <c r="C333" s="35"/>
      <c r="D333" s="36"/>
      <c r="E333" s="36"/>
      <c r="F333" s="36"/>
      <c r="G333" s="36"/>
      <c r="H333" s="35"/>
      <c r="I333" s="35"/>
      <c r="J333" s="36"/>
      <c r="K333" s="36"/>
      <c r="L333" s="36"/>
      <c r="M333" s="36"/>
      <c r="N333" s="36"/>
      <c r="O333" s="36"/>
      <c r="P333" s="36"/>
      <c r="Q333" s="36"/>
    </row>
    <row r="334" spans="1:17" ht="15.75" customHeight="1" x14ac:dyDescent="0.2">
      <c r="A334" s="36"/>
      <c r="B334" s="36"/>
      <c r="C334" s="35"/>
      <c r="D334" s="36"/>
      <c r="E334" s="36"/>
      <c r="F334" s="36"/>
      <c r="G334" s="36"/>
      <c r="H334" s="35"/>
      <c r="I334" s="35"/>
      <c r="J334" s="36"/>
      <c r="K334" s="36"/>
      <c r="L334" s="36"/>
      <c r="M334" s="36"/>
      <c r="N334" s="36"/>
      <c r="O334" s="36"/>
      <c r="P334" s="36"/>
      <c r="Q334" s="36"/>
    </row>
    <row r="335" spans="1:17" ht="15.75" customHeight="1" x14ac:dyDescent="0.2">
      <c r="A335" s="36"/>
      <c r="B335" s="36"/>
      <c r="C335" s="35"/>
      <c r="D335" s="36"/>
      <c r="E335" s="36"/>
      <c r="F335" s="36"/>
      <c r="G335" s="36"/>
      <c r="H335" s="35"/>
      <c r="I335" s="35"/>
      <c r="J335" s="36"/>
      <c r="K335" s="36"/>
      <c r="L335" s="36"/>
      <c r="M335" s="36"/>
      <c r="N335" s="36"/>
      <c r="O335" s="36"/>
      <c r="P335" s="36"/>
      <c r="Q335" s="36"/>
    </row>
    <row r="336" spans="1:17" ht="15.75" customHeight="1" x14ac:dyDescent="0.2">
      <c r="A336" s="36"/>
      <c r="B336" s="36"/>
      <c r="C336" s="35"/>
      <c r="D336" s="36"/>
      <c r="E336" s="36"/>
      <c r="F336" s="36"/>
      <c r="G336" s="36"/>
      <c r="H336" s="35"/>
      <c r="I336" s="35"/>
      <c r="J336" s="36"/>
      <c r="K336" s="36"/>
      <c r="L336" s="36"/>
      <c r="M336" s="36"/>
      <c r="N336" s="36"/>
      <c r="O336" s="36"/>
      <c r="P336" s="36"/>
      <c r="Q336" s="36"/>
    </row>
    <row r="337" spans="1:17" ht="15.75" customHeight="1" x14ac:dyDescent="0.2">
      <c r="A337" s="36"/>
      <c r="B337" s="36"/>
      <c r="C337" s="35"/>
      <c r="D337" s="36"/>
      <c r="E337" s="36"/>
      <c r="F337" s="36"/>
      <c r="G337" s="36"/>
      <c r="H337" s="35"/>
      <c r="I337" s="35"/>
      <c r="J337" s="36"/>
      <c r="K337" s="36"/>
      <c r="L337" s="36"/>
      <c r="M337" s="36"/>
      <c r="N337" s="36"/>
      <c r="O337" s="36"/>
      <c r="P337" s="36"/>
      <c r="Q337" s="36"/>
    </row>
    <row r="338" spans="1:17" ht="15.75" customHeight="1" x14ac:dyDescent="0.2">
      <c r="A338" s="36"/>
      <c r="B338" s="36"/>
      <c r="C338" s="35"/>
      <c r="D338" s="36"/>
      <c r="E338" s="36"/>
      <c r="F338" s="36"/>
      <c r="G338" s="36"/>
      <c r="H338" s="35"/>
      <c r="I338" s="35"/>
      <c r="J338" s="36"/>
      <c r="K338" s="36"/>
      <c r="L338" s="36"/>
      <c r="M338" s="36"/>
      <c r="N338" s="36"/>
      <c r="O338" s="36"/>
      <c r="P338" s="36"/>
      <c r="Q338" s="36"/>
    </row>
    <row r="339" spans="1:17" ht="15.75" customHeight="1" x14ac:dyDescent="0.2">
      <c r="A339" s="36"/>
      <c r="B339" s="36"/>
      <c r="C339" s="35"/>
      <c r="D339" s="36"/>
      <c r="E339" s="36"/>
      <c r="F339" s="36"/>
      <c r="G339" s="36"/>
      <c r="H339" s="35"/>
      <c r="I339" s="35"/>
      <c r="J339" s="36"/>
      <c r="K339" s="36"/>
      <c r="L339" s="36"/>
      <c r="M339" s="36"/>
      <c r="N339" s="36"/>
      <c r="O339" s="36"/>
      <c r="P339" s="36"/>
      <c r="Q339" s="36"/>
    </row>
    <row r="340" spans="1:17" ht="15.75" customHeight="1" x14ac:dyDescent="0.2">
      <c r="A340" s="36"/>
      <c r="B340" s="36"/>
      <c r="C340" s="35"/>
      <c r="D340" s="36"/>
      <c r="E340" s="36"/>
      <c r="F340" s="36"/>
      <c r="G340" s="36"/>
      <c r="H340" s="35"/>
      <c r="I340" s="35"/>
      <c r="J340" s="36"/>
      <c r="K340" s="36"/>
      <c r="L340" s="36"/>
      <c r="M340" s="36"/>
      <c r="N340" s="36"/>
      <c r="O340" s="36"/>
      <c r="P340" s="36"/>
      <c r="Q340" s="36"/>
    </row>
    <row r="341" spans="1:17" ht="15.75" customHeight="1" x14ac:dyDescent="0.2">
      <c r="A341" s="36"/>
      <c r="B341" s="36"/>
      <c r="C341" s="35"/>
      <c r="D341" s="36"/>
      <c r="E341" s="36"/>
      <c r="F341" s="36"/>
      <c r="G341" s="36"/>
      <c r="H341" s="35"/>
      <c r="I341" s="35"/>
      <c r="J341" s="36"/>
      <c r="K341" s="36"/>
      <c r="L341" s="36"/>
      <c r="M341" s="36"/>
      <c r="N341" s="36"/>
      <c r="O341" s="36"/>
      <c r="P341" s="36"/>
      <c r="Q341" s="36"/>
    </row>
    <row r="342" spans="1:17" ht="15.75" customHeight="1" x14ac:dyDescent="0.2">
      <c r="A342" s="36"/>
      <c r="B342" s="36"/>
      <c r="C342" s="35"/>
      <c r="D342" s="36"/>
      <c r="E342" s="36"/>
      <c r="F342" s="36"/>
      <c r="G342" s="36"/>
      <c r="H342" s="35"/>
      <c r="I342" s="35"/>
      <c r="J342" s="36"/>
      <c r="K342" s="36"/>
      <c r="L342" s="36"/>
      <c r="M342" s="36"/>
      <c r="N342" s="36"/>
      <c r="O342" s="36"/>
      <c r="P342" s="36"/>
      <c r="Q342" s="36"/>
    </row>
    <row r="343" spans="1:17" ht="15.75" customHeight="1" x14ac:dyDescent="0.2">
      <c r="A343" s="36"/>
      <c r="B343" s="36"/>
      <c r="C343" s="35"/>
      <c r="D343" s="36"/>
      <c r="E343" s="36"/>
      <c r="F343" s="36"/>
      <c r="G343" s="36"/>
      <c r="H343" s="35"/>
      <c r="I343" s="35"/>
      <c r="J343" s="36"/>
      <c r="K343" s="36"/>
      <c r="L343" s="36"/>
      <c r="M343" s="36"/>
      <c r="N343" s="36"/>
      <c r="O343" s="36"/>
      <c r="P343" s="36"/>
      <c r="Q343" s="36"/>
    </row>
    <row r="344" spans="1:17" ht="15.75" customHeight="1" x14ac:dyDescent="0.2">
      <c r="A344" s="36"/>
      <c r="B344" s="36"/>
      <c r="C344" s="35"/>
      <c r="D344" s="36"/>
      <c r="E344" s="36"/>
      <c r="F344" s="36"/>
      <c r="G344" s="36"/>
      <c r="H344" s="35"/>
      <c r="I344" s="35"/>
      <c r="J344" s="36"/>
      <c r="K344" s="36"/>
      <c r="L344" s="36"/>
      <c r="M344" s="36"/>
      <c r="N344" s="36"/>
      <c r="O344" s="36"/>
      <c r="P344" s="36"/>
      <c r="Q344" s="36"/>
    </row>
    <row r="345" spans="1:17" ht="15.75" customHeight="1" x14ac:dyDescent="0.2">
      <c r="A345" s="36"/>
      <c r="B345" s="36"/>
      <c r="C345" s="35"/>
      <c r="D345" s="36"/>
      <c r="E345" s="36"/>
      <c r="F345" s="36"/>
      <c r="G345" s="36"/>
      <c r="H345" s="35"/>
      <c r="I345" s="35"/>
      <c r="J345" s="36"/>
      <c r="K345" s="36"/>
      <c r="L345" s="36"/>
      <c r="M345" s="36"/>
      <c r="N345" s="36"/>
      <c r="O345" s="36"/>
      <c r="P345" s="36"/>
      <c r="Q345" s="36"/>
    </row>
    <row r="346" spans="1:17" ht="15.75" customHeight="1" x14ac:dyDescent="0.2">
      <c r="A346" s="36"/>
      <c r="B346" s="36"/>
      <c r="C346" s="35"/>
      <c r="D346" s="36"/>
      <c r="E346" s="36"/>
      <c r="F346" s="36"/>
      <c r="G346" s="36"/>
      <c r="H346" s="35"/>
      <c r="I346" s="35"/>
      <c r="J346" s="36"/>
      <c r="K346" s="36"/>
      <c r="L346" s="36"/>
      <c r="M346" s="36"/>
      <c r="N346" s="36"/>
      <c r="O346" s="36"/>
      <c r="P346" s="36"/>
      <c r="Q346" s="36"/>
    </row>
    <row r="347" spans="1:17" ht="15.75" customHeight="1" x14ac:dyDescent="0.2">
      <c r="A347" s="36"/>
      <c r="B347" s="36"/>
      <c r="C347" s="35"/>
      <c r="D347" s="36"/>
      <c r="E347" s="36"/>
      <c r="F347" s="36"/>
      <c r="G347" s="36"/>
      <c r="H347" s="35"/>
      <c r="I347" s="35"/>
      <c r="J347" s="36"/>
      <c r="K347" s="36"/>
      <c r="L347" s="36"/>
      <c r="M347" s="36"/>
      <c r="N347" s="36"/>
      <c r="O347" s="36"/>
      <c r="P347" s="36"/>
      <c r="Q347" s="36"/>
    </row>
    <row r="348" spans="1:17" ht="15.75" customHeight="1" x14ac:dyDescent="0.2">
      <c r="A348" s="36"/>
      <c r="B348" s="36"/>
      <c r="C348" s="35"/>
      <c r="D348" s="36"/>
      <c r="E348" s="36"/>
      <c r="F348" s="36"/>
      <c r="G348" s="36"/>
      <c r="H348" s="35"/>
      <c r="I348" s="35"/>
      <c r="J348" s="36"/>
      <c r="K348" s="36"/>
      <c r="L348" s="36"/>
      <c r="M348" s="36"/>
      <c r="N348" s="36"/>
      <c r="O348" s="36"/>
      <c r="P348" s="36"/>
      <c r="Q348" s="36"/>
    </row>
    <row r="349" spans="1:17" ht="15.75" customHeight="1" x14ac:dyDescent="0.2">
      <c r="A349" s="36"/>
      <c r="B349" s="36"/>
      <c r="C349" s="35"/>
      <c r="D349" s="36"/>
      <c r="E349" s="36"/>
      <c r="F349" s="36"/>
      <c r="G349" s="36"/>
      <c r="H349" s="35"/>
      <c r="I349" s="35"/>
      <c r="J349" s="36"/>
      <c r="K349" s="36"/>
      <c r="L349" s="36"/>
      <c r="M349" s="36"/>
      <c r="N349" s="36"/>
      <c r="O349" s="36"/>
      <c r="P349" s="36"/>
      <c r="Q349" s="36"/>
    </row>
    <row r="350" spans="1:17" ht="15.75" customHeight="1" x14ac:dyDescent="0.2">
      <c r="A350" s="36"/>
      <c r="B350" s="36"/>
      <c r="C350" s="35"/>
      <c r="D350" s="36"/>
      <c r="E350" s="36"/>
      <c r="F350" s="36"/>
      <c r="G350" s="36"/>
      <c r="H350" s="35"/>
      <c r="I350" s="35"/>
      <c r="J350" s="36"/>
      <c r="K350" s="36"/>
      <c r="L350" s="36"/>
      <c r="M350" s="36"/>
      <c r="N350" s="36"/>
      <c r="O350" s="36"/>
      <c r="P350" s="36"/>
      <c r="Q350" s="36"/>
    </row>
    <row r="351" spans="1:17" ht="15.75" customHeight="1" x14ac:dyDescent="0.2">
      <c r="A351" s="36"/>
      <c r="B351" s="36"/>
      <c r="C351" s="35"/>
      <c r="D351" s="36"/>
      <c r="E351" s="36"/>
      <c r="F351" s="36"/>
      <c r="G351" s="36"/>
      <c r="H351" s="35"/>
      <c r="I351" s="35"/>
      <c r="J351" s="36"/>
      <c r="K351" s="36"/>
      <c r="L351" s="36"/>
      <c r="M351" s="36"/>
      <c r="N351" s="36"/>
      <c r="O351" s="36"/>
      <c r="P351" s="36"/>
      <c r="Q351" s="36"/>
    </row>
    <row r="352" spans="1:17" ht="15.75" customHeight="1" x14ac:dyDescent="0.2">
      <c r="A352" s="36"/>
      <c r="B352" s="36"/>
      <c r="C352" s="35"/>
      <c r="D352" s="36"/>
      <c r="E352" s="36"/>
      <c r="F352" s="36"/>
      <c r="G352" s="36"/>
      <c r="H352" s="35"/>
      <c r="I352" s="35"/>
      <c r="J352" s="36"/>
      <c r="K352" s="36"/>
      <c r="L352" s="36"/>
      <c r="M352" s="36"/>
      <c r="N352" s="36"/>
      <c r="O352" s="36"/>
      <c r="P352" s="36"/>
      <c r="Q352" s="36"/>
    </row>
    <row r="353" spans="1:17" ht="15.75" customHeight="1" x14ac:dyDescent="0.2">
      <c r="A353" s="36"/>
      <c r="B353" s="36"/>
      <c r="C353" s="35"/>
      <c r="D353" s="36"/>
      <c r="E353" s="36"/>
      <c r="F353" s="36"/>
      <c r="G353" s="36"/>
      <c r="H353" s="35"/>
      <c r="I353" s="35"/>
      <c r="J353" s="36"/>
      <c r="K353" s="36"/>
      <c r="L353" s="36"/>
      <c r="M353" s="36"/>
      <c r="N353" s="36"/>
      <c r="O353" s="36"/>
      <c r="P353" s="36"/>
      <c r="Q353" s="36"/>
    </row>
    <row r="354" spans="1:17" ht="15.75" customHeight="1" x14ac:dyDescent="0.2">
      <c r="A354" s="36"/>
      <c r="B354" s="36"/>
      <c r="C354" s="35"/>
      <c r="D354" s="36"/>
      <c r="E354" s="36"/>
      <c r="F354" s="36"/>
      <c r="G354" s="36"/>
      <c r="H354" s="35"/>
      <c r="I354" s="35"/>
      <c r="J354" s="36"/>
      <c r="K354" s="36"/>
      <c r="L354" s="36"/>
      <c r="M354" s="36"/>
      <c r="N354" s="36"/>
      <c r="O354" s="36"/>
      <c r="P354" s="36"/>
      <c r="Q354" s="36"/>
    </row>
    <row r="355" spans="1:17" ht="15.75" customHeight="1" x14ac:dyDescent="0.2">
      <c r="A355" s="36"/>
      <c r="B355" s="36"/>
      <c r="C355" s="35"/>
      <c r="D355" s="36"/>
      <c r="E355" s="36"/>
      <c r="F355" s="36"/>
      <c r="G355" s="36"/>
      <c r="H355" s="35"/>
      <c r="I355" s="35"/>
      <c r="J355" s="36"/>
      <c r="K355" s="36"/>
      <c r="L355" s="36"/>
      <c r="M355" s="36"/>
      <c r="N355" s="36"/>
      <c r="O355" s="36"/>
      <c r="P355" s="36"/>
      <c r="Q355" s="36"/>
    </row>
    <row r="356" spans="1:17" ht="15.75" customHeight="1" x14ac:dyDescent="0.2">
      <c r="A356" s="36"/>
      <c r="B356" s="36"/>
      <c r="C356" s="35"/>
      <c r="D356" s="36"/>
      <c r="E356" s="36"/>
      <c r="F356" s="36"/>
      <c r="G356" s="36"/>
      <c r="H356" s="35"/>
      <c r="I356" s="35"/>
      <c r="J356" s="36"/>
      <c r="K356" s="36"/>
      <c r="L356" s="36"/>
      <c r="M356" s="36"/>
      <c r="N356" s="36"/>
      <c r="O356" s="36"/>
      <c r="P356" s="36"/>
      <c r="Q356" s="36"/>
    </row>
    <row r="357" spans="1:17" ht="15.75" customHeight="1" x14ac:dyDescent="0.2">
      <c r="A357" s="36"/>
      <c r="B357" s="36"/>
      <c r="C357" s="35"/>
      <c r="D357" s="36"/>
      <c r="E357" s="36"/>
      <c r="F357" s="36"/>
      <c r="G357" s="36"/>
      <c r="H357" s="35"/>
      <c r="I357" s="35"/>
      <c r="J357" s="36"/>
      <c r="K357" s="36"/>
      <c r="L357" s="36"/>
      <c r="M357" s="36"/>
      <c r="N357" s="36"/>
      <c r="O357" s="36"/>
      <c r="P357" s="36"/>
      <c r="Q357" s="36"/>
    </row>
    <row r="358" spans="1:17" ht="15.75" customHeight="1" x14ac:dyDescent="0.2">
      <c r="A358" s="36"/>
      <c r="B358" s="36"/>
      <c r="C358" s="35"/>
      <c r="D358" s="36"/>
      <c r="E358" s="36"/>
      <c r="F358" s="36"/>
      <c r="G358" s="36"/>
      <c r="H358" s="35"/>
      <c r="I358" s="35"/>
      <c r="J358" s="36"/>
      <c r="K358" s="36"/>
      <c r="L358" s="36"/>
      <c r="M358" s="36"/>
      <c r="N358" s="36"/>
      <c r="O358" s="36"/>
      <c r="P358" s="36"/>
      <c r="Q358" s="36"/>
    </row>
    <row r="359" spans="1:17" ht="15.75" customHeight="1" x14ac:dyDescent="0.2">
      <c r="A359" s="36"/>
      <c r="B359" s="36"/>
      <c r="C359" s="35"/>
      <c r="D359" s="36"/>
      <c r="E359" s="36"/>
      <c r="F359" s="36"/>
      <c r="G359" s="36"/>
      <c r="H359" s="35"/>
      <c r="I359" s="35"/>
      <c r="J359" s="36"/>
      <c r="K359" s="36"/>
      <c r="L359" s="36"/>
      <c r="M359" s="36"/>
      <c r="N359" s="36"/>
      <c r="O359" s="36"/>
      <c r="P359" s="36"/>
      <c r="Q359" s="36"/>
    </row>
    <row r="360" spans="1:17" ht="15.75" customHeight="1" x14ac:dyDescent="0.2">
      <c r="A360" s="36"/>
      <c r="B360" s="36"/>
      <c r="C360" s="35"/>
      <c r="D360" s="36"/>
      <c r="E360" s="36"/>
      <c r="F360" s="36"/>
      <c r="G360" s="36"/>
      <c r="H360" s="35"/>
      <c r="I360" s="35"/>
      <c r="J360" s="36"/>
      <c r="K360" s="36"/>
      <c r="L360" s="36"/>
      <c r="M360" s="36"/>
      <c r="N360" s="36"/>
      <c r="O360" s="36"/>
      <c r="P360" s="36"/>
      <c r="Q360" s="36"/>
    </row>
    <row r="361" spans="1:17" ht="15.75" customHeight="1" x14ac:dyDescent="0.2">
      <c r="A361" s="36"/>
      <c r="B361" s="36"/>
      <c r="C361" s="35"/>
      <c r="D361" s="36"/>
      <c r="E361" s="36"/>
      <c r="F361" s="36"/>
      <c r="G361" s="36"/>
      <c r="H361" s="35"/>
      <c r="I361" s="35"/>
      <c r="J361" s="36"/>
      <c r="K361" s="36"/>
      <c r="L361" s="36"/>
      <c r="M361" s="36"/>
      <c r="N361" s="36"/>
      <c r="O361" s="36"/>
      <c r="P361" s="36"/>
      <c r="Q361" s="36"/>
    </row>
    <row r="362" spans="1:17" ht="15.75" customHeight="1" x14ac:dyDescent="0.2">
      <c r="A362" s="36"/>
      <c r="B362" s="36"/>
      <c r="C362" s="35"/>
      <c r="D362" s="36"/>
      <c r="E362" s="36"/>
      <c r="F362" s="36"/>
      <c r="G362" s="36"/>
      <c r="H362" s="35"/>
      <c r="I362" s="35"/>
      <c r="J362" s="36"/>
      <c r="K362" s="36"/>
      <c r="L362" s="36"/>
      <c r="M362" s="36"/>
      <c r="N362" s="36"/>
      <c r="O362" s="36"/>
      <c r="P362" s="36"/>
      <c r="Q362" s="36"/>
    </row>
    <row r="363" spans="1:17" ht="15.75" customHeight="1" x14ac:dyDescent="0.2">
      <c r="A363" s="36"/>
      <c r="B363" s="36"/>
      <c r="C363" s="35"/>
      <c r="D363" s="36"/>
      <c r="E363" s="36"/>
      <c r="F363" s="36"/>
      <c r="G363" s="36"/>
      <c r="H363" s="35"/>
      <c r="I363" s="35"/>
      <c r="J363" s="36"/>
      <c r="K363" s="36"/>
      <c r="L363" s="36"/>
      <c r="M363" s="36"/>
      <c r="N363" s="36"/>
      <c r="O363" s="36"/>
      <c r="P363" s="36"/>
      <c r="Q363" s="36"/>
    </row>
    <row r="364" spans="1:17" ht="15.75" customHeight="1" x14ac:dyDescent="0.2">
      <c r="A364" s="36"/>
      <c r="B364" s="36"/>
      <c r="C364" s="35"/>
      <c r="D364" s="36"/>
      <c r="E364" s="36"/>
      <c r="F364" s="36"/>
      <c r="G364" s="36"/>
      <c r="H364" s="35"/>
      <c r="I364" s="35"/>
      <c r="J364" s="36"/>
      <c r="K364" s="36"/>
      <c r="L364" s="36"/>
      <c r="M364" s="36"/>
      <c r="N364" s="36"/>
      <c r="O364" s="36"/>
      <c r="P364" s="36"/>
      <c r="Q364" s="36"/>
    </row>
    <row r="365" spans="1:17" ht="15.75" customHeight="1" x14ac:dyDescent="0.2">
      <c r="A365" s="36"/>
      <c r="B365" s="36"/>
      <c r="C365" s="35"/>
      <c r="D365" s="36"/>
      <c r="E365" s="36"/>
      <c r="F365" s="36"/>
      <c r="G365" s="36"/>
      <c r="H365" s="35"/>
      <c r="I365" s="35"/>
      <c r="J365" s="36"/>
      <c r="K365" s="36"/>
      <c r="L365" s="36"/>
      <c r="M365" s="36"/>
      <c r="N365" s="36"/>
      <c r="O365" s="36"/>
      <c r="P365" s="36"/>
      <c r="Q365" s="36"/>
    </row>
    <row r="366" spans="1:17" ht="15.75" customHeight="1" x14ac:dyDescent="0.2">
      <c r="A366" s="36"/>
      <c r="B366" s="36"/>
      <c r="C366" s="35"/>
      <c r="D366" s="36"/>
      <c r="E366" s="36"/>
      <c r="F366" s="36"/>
      <c r="G366" s="36"/>
      <c r="H366" s="35"/>
      <c r="I366" s="35"/>
      <c r="J366" s="36"/>
      <c r="K366" s="36"/>
      <c r="L366" s="36"/>
      <c r="M366" s="36"/>
      <c r="N366" s="36"/>
      <c r="O366" s="36"/>
      <c r="P366" s="36"/>
      <c r="Q366" s="36"/>
    </row>
    <row r="367" spans="1:17" ht="15.75" customHeight="1" x14ac:dyDescent="0.2">
      <c r="A367" s="36"/>
      <c r="B367" s="36"/>
      <c r="C367" s="35"/>
      <c r="D367" s="36"/>
      <c r="E367" s="36"/>
      <c r="F367" s="36"/>
      <c r="G367" s="36"/>
      <c r="H367" s="35"/>
      <c r="I367" s="35"/>
      <c r="J367" s="36"/>
      <c r="K367" s="36"/>
      <c r="L367" s="36"/>
      <c r="M367" s="36"/>
      <c r="N367" s="36"/>
      <c r="O367" s="36"/>
      <c r="P367" s="36"/>
      <c r="Q367" s="36"/>
    </row>
    <row r="368" spans="1:17" ht="15.75" customHeight="1" x14ac:dyDescent="0.2">
      <c r="A368" s="36"/>
      <c r="B368" s="36"/>
      <c r="C368" s="35"/>
      <c r="D368" s="36"/>
      <c r="E368" s="36"/>
      <c r="F368" s="36"/>
      <c r="G368" s="36"/>
      <c r="H368" s="35"/>
      <c r="I368" s="35"/>
      <c r="J368" s="36"/>
      <c r="K368" s="36"/>
      <c r="L368" s="36"/>
      <c r="M368" s="36"/>
      <c r="N368" s="36"/>
      <c r="O368" s="36"/>
      <c r="P368" s="36"/>
      <c r="Q368" s="36"/>
    </row>
    <row r="369" spans="1:17" ht="15.75" customHeight="1" x14ac:dyDescent="0.2">
      <c r="A369" s="36"/>
      <c r="B369" s="36"/>
      <c r="C369" s="35"/>
      <c r="D369" s="36"/>
      <c r="E369" s="36"/>
      <c r="F369" s="36"/>
      <c r="G369" s="36"/>
      <c r="H369" s="35"/>
      <c r="I369" s="35"/>
      <c r="J369" s="36"/>
      <c r="K369" s="36"/>
      <c r="L369" s="36"/>
      <c r="M369" s="36"/>
      <c r="N369" s="36"/>
      <c r="O369" s="36"/>
      <c r="P369" s="36"/>
      <c r="Q369" s="36"/>
    </row>
    <row r="370" spans="1:17" ht="15.75" customHeight="1" x14ac:dyDescent="0.2">
      <c r="A370" s="36"/>
      <c r="B370" s="36"/>
      <c r="C370" s="35"/>
      <c r="D370" s="36"/>
      <c r="E370" s="36"/>
      <c r="F370" s="36"/>
      <c r="G370" s="36"/>
      <c r="H370" s="35"/>
      <c r="I370" s="35"/>
      <c r="J370" s="36"/>
      <c r="K370" s="36"/>
      <c r="L370" s="36"/>
      <c r="M370" s="36"/>
      <c r="N370" s="36"/>
      <c r="O370" s="36"/>
      <c r="P370" s="36"/>
      <c r="Q370" s="36"/>
    </row>
    <row r="371" spans="1:17" ht="15.75" customHeight="1" x14ac:dyDescent="0.2">
      <c r="A371" s="36"/>
      <c r="B371" s="36"/>
      <c r="C371" s="35"/>
      <c r="D371" s="36"/>
      <c r="E371" s="36"/>
      <c r="F371" s="36"/>
      <c r="G371" s="36"/>
      <c r="H371" s="35"/>
      <c r="I371" s="35"/>
      <c r="J371" s="36"/>
      <c r="K371" s="36"/>
      <c r="L371" s="36"/>
      <c r="M371" s="36"/>
      <c r="N371" s="36"/>
      <c r="O371" s="36"/>
      <c r="P371" s="36"/>
      <c r="Q371" s="36"/>
    </row>
    <row r="372" spans="1:17" ht="15.75" customHeight="1" x14ac:dyDescent="0.2">
      <c r="A372" s="36"/>
      <c r="B372" s="36"/>
      <c r="C372" s="35"/>
      <c r="D372" s="36"/>
      <c r="E372" s="36"/>
      <c r="F372" s="36"/>
      <c r="G372" s="36"/>
      <c r="H372" s="35"/>
      <c r="I372" s="35"/>
      <c r="J372" s="36"/>
      <c r="K372" s="36"/>
      <c r="L372" s="36"/>
      <c r="M372" s="36"/>
      <c r="N372" s="36"/>
      <c r="O372" s="36"/>
      <c r="P372" s="36"/>
      <c r="Q372" s="36"/>
    </row>
    <row r="373" spans="1:17" ht="15.75" customHeight="1" x14ac:dyDescent="0.2">
      <c r="A373" s="36"/>
      <c r="B373" s="36"/>
      <c r="C373" s="35"/>
      <c r="D373" s="36"/>
      <c r="E373" s="36"/>
      <c r="F373" s="36"/>
      <c r="G373" s="36"/>
      <c r="H373" s="35"/>
      <c r="I373" s="35"/>
      <c r="J373" s="36"/>
      <c r="K373" s="36"/>
      <c r="L373" s="36"/>
      <c r="M373" s="36"/>
      <c r="N373" s="36"/>
      <c r="O373" s="36"/>
      <c r="P373" s="36"/>
      <c r="Q373" s="36"/>
    </row>
    <row r="374" spans="1:17" ht="15.75" customHeight="1" x14ac:dyDescent="0.2">
      <c r="A374" s="36"/>
      <c r="B374" s="36"/>
      <c r="C374" s="35"/>
      <c r="D374" s="36"/>
      <c r="E374" s="36"/>
      <c r="F374" s="36"/>
      <c r="G374" s="36"/>
      <c r="H374" s="35"/>
      <c r="I374" s="35"/>
      <c r="J374" s="36"/>
      <c r="K374" s="36"/>
      <c r="L374" s="36"/>
      <c r="M374" s="36"/>
      <c r="N374" s="36"/>
      <c r="O374" s="36"/>
      <c r="P374" s="36"/>
      <c r="Q374" s="36"/>
    </row>
    <row r="375" spans="1:17" ht="15.75" customHeight="1" x14ac:dyDescent="0.2">
      <c r="A375" s="36"/>
      <c r="B375" s="36"/>
      <c r="C375" s="35"/>
      <c r="D375" s="36"/>
      <c r="E375" s="36"/>
      <c r="F375" s="36"/>
      <c r="G375" s="36"/>
      <c r="H375" s="35"/>
      <c r="I375" s="35"/>
      <c r="J375" s="36"/>
      <c r="K375" s="36"/>
      <c r="L375" s="36"/>
      <c r="M375" s="36"/>
      <c r="N375" s="36"/>
      <c r="O375" s="36"/>
      <c r="P375" s="36"/>
      <c r="Q375" s="36"/>
    </row>
    <row r="376" spans="1:17" ht="15.75" customHeight="1" x14ac:dyDescent="0.2">
      <c r="A376" s="36"/>
      <c r="B376" s="36"/>
      <c r="C376" s="35"/>
      <c r="D376" s="36"/>
      <c r="E376" s="36"/>
      <c r="F376" s="36"/>
      <c r="G376" s="36"/>
      <c r="H376" s="35"/>
      <c r="I376" s="35"/>
      <c r="J376" s="36"/>
      <c r="K376" s="36"/>
      <c r="L376" s="36"/>
      <c r="M376" s="36"/>
      <c r="N376" s="36"/>
      <c r="O376" s="36"/>
      <c r="P376" s="36"/>
      <c r="Q376" s="36"/>
    </row>
    <row r="377" spans="1:17" ht="15.75" customHeight="1" x14ac:dyDescent="0.2">
      <c r="A377" s="36"/>
      <c r="B377" s="36"/>
      <c r="C377" s="35"/>
      <c r="D377" s="36"/>
      <c r="E377" s="36"/>
      <c r="F377" s="36"/>
      <c r="G377" s="36"/>
      <c r="H377" s="35"/>
      <c r="I377" s="35"/>
      <c r="J377" s="36"/>
      <c r="K377" s="36"/>
      <c r="L377" s="36"/>
      <c r="M377" s="36"/>
      <c r="N377" s="36"/>
      <c r="O377" s="36"/>
      <c r="P377" s="36"/>
      <c r="Q377" s="36"/>
    </row>
    <row r="378" spans="1:17" ht="15.75" customHeight="1" x14ac:dyDescent="0.2">
      <c r="A378" s="36"/>
      <c r="B378" s="36"/>
      <c r="C378" s="35"/>
      <c r="D378" s="36"/>
      <c r="E378" s="36"/>
      <c r="F378" s="36"/>
      <c r="G378" s="36"/>
      <c r="H378" s="35"/>
      <c r="I378" s="35"/>
      <c r="J378" s="36"/>
      <c r="K378" s="36"/>
      <c r="L378" s="36"/>
      <c r="M378" s="36"/>
      <c r="N378" s="36"/>
      <c r="O378" s="36"/>
      <c r="P378" s="36"/>
      <c r="Q378" s="36"/>
    </row>
    <row r="379" spans="1:17" ht="15.75" customHeight="1" x14ac:dyDescent="0.2">
      <c r="A379" s="36"/>
      <c r="B379" s="36"/>
      <c r="C379" s="35"/>
      <c r="D379" s="36"/>
      <c r="E379" s="36"/>
      <c r="F379" s="36"/>
      <c r="G379" s="36"/>
      <c r="H379" s="35"/>
      <c r="I379" s="35"/>
      <c r="J379" s="36"/>
      <c r="K379" s="36"/>
      <c r="L379" s="36"/>
      <c r="M379" s="36"/>
      <c r="N379" s="36"/>
      <c r="O379" s="36"/>
      <c r="P379" s="36"/>
      <c r="Q379" s="36"/>
    </row>
    <row r="380" spans="1:17" ht="15.75" customHeight="1" x14ac:dyDescent="0.2">
      <c r="A380" s="36"/>
      <c r="B380" s="36"/>
      <c r="C380" s="35"/>
      <c r="D380" s="36"/>
      <c r="E380" s="36"/>
      <c r="F380" s="36"/>
      <c r="G380" s="36"/>
      <c r="H380" s="35"/>
      <c r="I380" s="35"/>
      <c r="J380" s="36"/>
      <c r="K380" s="36"/>
      <c r="L380" s="36"/>
      <c r="M380" s="36"/>
      <c r="N380" s="36"/>
      <c r="O380" s="36"/>
      <c r="P380" s="36"/>
      <c r="Q380" s="36"/>
    </row>
    <row r="381" spans="1:17" ht="15.75" customHeight="1" x14ac:dyDescent="0.2">
      <c r="A381" s="36"/>
      <c r="B381" s="36"/>
      <c r="C381" s="35"/>
      <c r="D381" s="36"/>
      <c r="E381" s="36"/>
      <c r="F381" s="36"/>
      <c r="G381" s="36"/>
      <c r="H381" s="35"/>
      <c r="I381" s="35"/>
      <c r="J381" s="36"/>
      <c r="K381" s="36"/>
      <c r="L381" s="36"/>
      <c r="M381" s="36"/>
      <c r="N381" s="36"/>
      <c r="O381" s="36"/>
      <c r="P381" s="36"/>
      <c r="Q381" s="36"/>
    </row>
    <row r="382" spans="1:17" ht="15.75" customHeight="1" x14ac:dyDescent="0.2">
      <c r="A382" s="36"/>
      <c r="B382" s="36"/>
      <c r="C382" s="35"/>
      <c r="D382" s="36"/>
      <c r="E382" s="36"/>
      <c r="F382" s="36"/>
      <c r="G382" s="36"/>
      <c r="H382" s="35"/>
      <c r="I382" s="35"/>
      <c r="J382" s="36"/>
      <c r="K382" s="36"/>
      <c r="L382" s="36"/>
      <c r="M382" s="36"/>
      <c r="N382" s="36"/>
      <c r="O382" s="36"/>
      <c r="P382" s="36"/>
      <c r="Q382" s="36"/>
    </row>
    <row r="383" spans="1:17" ht="15.75" customHeight="1" x14ac:dyDescent="0.2">
      <c r="A383" s="36"/>
      <c r="B383" s="36"/>
      <c r="C383" s="35"/>
      <c r="D383" s="36"/>
      <c r="E383" s="36"/>
      <c r="F383" s="36"/>
      <c r="G383" s="36"/>
      <c r="H383" s="35"/>
      <c r="I383" s="35"/>
      <c r="J383" s="36"/>
      <c r="K383" s="36"/>
      <c r="L383" s="36"/>
      <c r="M383" s="36"/>
      <c r="N383" s="36"/>
      <c r="O383" s="36"/>
      <c r="P383" s="36"/>
      <c r="Q383" s="36"/>
    </row>
    <row r="384" spans="1:17" ht="15.75" customHeight="1" x14ac:dyDescent="0.2">
      <c r="A384" s="36"/>
      <c r="B384" s="36"/>
      <c r="C384" s="35"/>
      <c r="D384" s="36"/>
      <c r="E384" s="36"/>
      <c r="F384" s="36"/>
      <c r="G384" s="36"/>
      <c r="H384" s="35"/>
      <c r="I384" s="35"/>
      <c r="J384" s="36"/>
      <c r="K384" s="36"/>
      <c r="L384" s="36"/>
      <c r="M384" s="36"/>
      <c r="N384" s="36"/>
      <c r="O384" s="36"/>
      <c r="P384" s="36"/>
      <c r="Q384" s="36"/>
    </row>
    <row r="385" spans="1:17" ht="15.75" customHeight="1" x14ac:dyDescent="0.2">
      <c r="A385" s="36"/>
      <c r="B385" s="36"/>
      <c r="C385" s="35"/>
      <c r="D385" s="36"/>
      <c r="E385" s="36"/>
      <c r="F385" s="36"/>
      <c r="G385" s="36"/>
      <c r="H385" s="35"/>
      <c r="I385" s="35"/>
      <c r="J385" s="36"/>
      <c r="K385" s="36"/>
      <c r="L385" s="36"/>
      <c r="M385" s="36"/>
      <c r="N385" s="36"/>
      <c r="O385" s="36"/>
      <c r="P385" s="36"/>
      <c r="Q385" s="36"/>
    </row>
    <row r="386" spans="1:17" ht="15.75" customHeight="1" x14ac:dyDescent="0.2">
      <c r="A386" s="36"/>
      <c r="B386" s="36"/>
      <c r="C386" s="35"/>
      <c r="D386" s="36"/>
      <c r="E386" s="36"/>
      <c r="F386" s="36"/>
      <c r="G386" s="36"/>
      <c r="H386" s="35"/>
      <c r="I386" s="35"/>
      <c r="J386" s="36"/>
      <c r="K386" s="36"/>
      <c r="L386" s="36"/>
      <c r="M386" s="36"/>
      <c r="N386" s="36"/>
      <c r="O386" s="36"/>
      <c r="P386" s="36"/>
      <c r="Q386" s="36"/>
    </row>
    <row r="387" spans="1:17" ht="15.75" customHeight="1" x14ac:dyDescent="0.2">
      <c r="A387" s="36"/>
      <c r="B387" s="36"/>
      <c r="C387" s="35"/>
      <c r="D387" s="36"/>
      <c r="E387" s="36"/>
      <c r="F387" s="36"/>
      <c r="G387" s="36"/>
      <c r="H387" s="35"/>
      <c r="I387" s="35"/>
      <c r="J387" s="36"/>
      <c r="K387" s="36"/>
      <c r="L387" s="36"/>
      <c r="M387" s="36"/>
      <c r="N387" s="36"/>
      <c r="O387" s="36"/>
      <c r="P387" s="36"/>
      <c r="Q387" s="36"/>
    </row>
    <row r="388" spans="1:17" ht="15.75" customHeight="1" x14ac:dyDescent="0.2">
      <c r="A388" s="36"/>
      <c r="B388" s="36"/>
      <c r="C388" s="35"/>
      <c r="D388" s="36"/>
      <c r="E388" s="36"/>
      <c r="F388" s="36"/>
      <c r="G388" s="36"/>
      <c r="H388" s="35"/>
      <c r="I388" s="35"/>
      <c r="J388" s="36"/>
      <c r="K388" s="36"/>
      <c r="L388" s="36"/>
      <c r="M388" s="36"/>
      <c r="N388" s="36"/>
      <c r="O388" s="36"/>
      <c r="P388" s="36"/>
      <c r="Q388" s="36"/>
    </row>
    <row r="389" spans="1:17" ht="15.75" customHeight="1" x14ac:dyDescent="0.2">
      <c r="A389" s="36"/>
      <c r="B389" s="36"/>
      <c r="C389" s="35"/>
      <c r="D389" s="36"/>
      <c r="E389" s="36"/>
      <c r="F389" s="36"/>
      <c r="G389" s="36"/>
      <c r="H389" s="35"/>
      <c r="I389" s="35"/>
      <c r="J389" s="36"/>
      <c r="K389" s="36"/>
      <c r="L389" s="36"/>
      <c r="M389" s="36"/>
      <c r="N389" s="36"/>
      <c r="O389" s="36"/>
      <c r="P389" s="36"/>
      <c r="Q389" s="36"/>
    </row>
    <row r="390" spans="1:17" ht="15.75" customHeight="1" x14ac:dyDescent="0.2">
      <c r="A390" s="36"/>
      <c r="B390" s="36"/>
      <c r="C390" s="35"/>
      <c r="D390" s="36"/>
      <c r="E390" s="36"/>
      <c r="F390" s="36"/>
      <c r="G390" s="36"/>
      <c r="H390" s="35"/>
      <c r="I390" s="35"/>
      <c r="J390" s="36"/>
      <c r="K390" s="36"/>
      <c r="L390" s="36"/>
      <c r="M390" s="36"/>
      <c r="N390" s="36"/>
      <c r="O390" s="36"/>
      <c r="P390" s="36"/>
      <c r="Q390" s="36"/>
    </row>
    <row r="391" spans="1:17" ht="15.75" customHeight="1" x14ac:dyDescent="0.2">
      <c r="A391" s="36"/>
      <c r="B391" s="36"/>
      <c r="C391" s="35"/>
      <c r="D391" s="36"/>
      <c r="E391" s="36"/>
      <c r="F391" s="36"/>
      <c r="G391" s="36"/>
      <c r="H391" s="35"/>
      <c r="I391" s="35"/>
      <c r="J391" s="36"/>
      <c r="K391" s="36"/>
      <c r="L391" s="36"/>
      <c r="M391" s="36"/>
      <c r="N391" s="36"/>
      <c r="O391" s="36"/>
      <c r="P391" s="36"/>
      <c r="Q391" s="36"/>
    </row>
    <row r="392" spans="1:17" ht="15.75" customHeight="1" x14ac:dyDescent="0.2">
      <c r="A392" s="36"/>
      <c r="B392" s="36"/>
      <c r="C392" s="35"/>
      <c r="D392" s="36"/>
      <c r="E392" s="36"/>
      <c r="F392" s="36"/>
      <c r="G392" s="36"/>
      <c r="H392" s="35"/>
      <c r="I392" s="35"/>
      <c r="J392" s="36"/>
      <c r="K392" s="36"/>
      <c r="L392" s="36"/>
      <c r="M392" s="36"/>
      <c r="N392" s="36"/>
      <c r="O392" s="36"/>
      <c r="P392" s="36"/>
      <c r="Q392" s="36"/>
    </row>
    <row r="393" spans="1:17" ht="15.75" customHeight="1" x14ac:dyDescent="0.2">
      <c r="A393" s="36"/>
      <c r="B393" s="36"/>
      <c r="C393" s="35"/>
      <c r="D393" s="36"/>
      <c r="E393" s="36"/>
      <c r="F393" s="36"/>
      <c r="G393" s="36"/>
      <c r="H393" s="35"/>
      <c r="I393" s="35"/>
      <c r="J393" s="36"/>
      <c r="K393" s="36"/>
      <c r="L393" s="36"/>
      <c r="M393" s="36"/>
      <c r="N393" s="36"/>
      <c r="O393" s="36"/>
      <c r="P393" s="36"/>
      <c r="Q393" s="36"/>
    </row>
    <row r="394" spans="1:17" ht="15.75" customHeight="1" x14ac:dyDescent="0.2">
      <c r="A394" s="36"/>
      <c r="B394" s="36"/>
      <c r="C394" s="35"/>
      <c r="D394" s="36"/>
      <c r="E394" s="36"/>
      <c r="F394" s="36"/>
      <c r="G394" s="36"/>
      <c r="H394" s="35"/>
      <c r="I394" s="35"/>
      <c r="J394" s="36"/>
      <c r="K394" s="36"/>
      <c r="L394" s="36"/>
      <c r="M394" s="36"/>
      <c r="N394" s="36"/>
      <c r="O394" s="36"/>
      <c r="P394" s="36"/>
      <c r="Q394" s="36"/>
    </row>
    <row r="395" spans="1:17" ht="15.75" customHeight="1" x14ac:dyDescent="0.2">
      <c r="A395" s="36"/>
      <c r="B395" s="36"/>
      <c r="C395" s="35"/>
      <c r="D395" s="36"/>
      <c r="E395" s="36"/>
      <c r="F395" s="36"/>
      <c r="G395" s="36"/>
      <c r="H395" s="35"/>
      <c r="I395" s="35"/>
      <c r="J395" s="36"/>
      <c r="K395" s="36"/>
      <c r="L395" s="36"/>
      <c r="M395" s="36"/>
      <c r="N395" s="36"/>
      <c r="O395" s="36"/>
      <c r="P395" s="36"/>
      <c r="Q395" s="36"/>
    </row>
    <row r="396" spans="1:17" ht="15.75" customHeight="1" x14ac:dyDescent="0.2">
      <c r="A396" s="36"/>
      <c r="B396" s="36"/>
      <c r="C396" s="35"/>
      <c r="D396" s="36"/>
      <c r="E396" s="36"/>
      <c r="F396" s="36"/>
      <c r="G396" s="36"/>
      <c r="H396" s="35"/>
      <c r="I396" s="35"/>
      <c r="J396" s="36"/>
      <c r="K396" s="36"/>
      <c r="L396" s="36"/>
      <c r="M396" s="36"/>
      <c r="N396" s="36"/>
      <c r="O396" s="36"/>
      <c r="P396" s="36"/>
      <c r="Q396" s="36"/>
    </row>
    <row r="397" spans="1:17" ht="15.75" customHeight="1" x14ac:dyDescent="0.2">
      <c r="A397" s="36"/>
      <c r="B397" s="36"/>
      <c r="C397" s="35"/>
      <c r="D397" s="36"/>
      <c r="E397" s="36"/>
      <c r="F397" s="36"/>
      <c r="G397" s="36"/>
      <c r="H397" s="35"/>
      <c r="I397" s="35"/>
      <c r="J397" s="36"/>
      <c r="K397" s="36"/>
      <c r="L397" s="36"/>
      <c r="M397" s="36"/>
      <c r="N397" s="36"/>
      <c r="O397" s="36"/>
      <c r="P397" s="36"/>
      <c r="Q397" s="36"/>
    </row>
    <row r="398" spans="1:17" ht="15.75" customHeight="1" x14ac:dyDescent="0.2">
      <c r="A398" s="36"/>
      <c r="B398" s="36"/>
      <c r="C398" s="35"/>
      <c r="D398" s="36"/>
      <c r="E398" s="36"/>
      <c r="F398" s="36"/>
      <c r="G398" s="36"/>
      <c r="H398" s="35"/>
      <c r="I398" s="35"/>
      <c r="J398" s="36"/>
      <c r="K398" s="36"/>
      <c r="L398" s="36"/>
      <c r="M398" s="36"/>
      <c r="N398" s="36"/>
      <c r="O398" s="36"/>
      <c r="P398" s="36"/>
      <c r="Q398" s="36"/>
    </row>
    <row r="399" spans="1:17" ht="15.75" customHeight="1" x14ac:dyDescent="0.2">
      <c r="A399" s="36"/>
      <c r="B399" s="36"/>
      <c r="C399" s="35"/>
      <c r="D399" s="36"/>
      <c r="E399" s="36"/>
      <c r="F399" s="36"/>
      <c r="G399" s="36"/>
      <c r="H399" s="35"/>
      <c r="I399" s="35"/>
      <c r="J399" s="36"/>
      <c r="K399" s="36"/>
      <c r="L399" s="36"/>
      <c r="M399" s="36"/>
      <c r="N399" s="36"/>
      <c r="O399" s="36"/>
      <c r="P399" s="36"/>
      <c r="Q399" s="36"/>
    </row>
    <row r="400" spans="1:17" ht="15.75" customHeight="1" x14ac:dyDescent="0.2">
      <c r="A400" s="36"/>
      <c r="B400" s="36"/>
      <c r="C400" s="35"/>
      <c r="D400" s="36"/>
      <c r="E400" s="36"/>
      <c r="F400" s="36"/>
      <c r="G400" s="36"/>
      <c r="H400" s="35"/>
      <c r="I400" s="35"/>
      <c r="J400" s="36"/>
      <c r="K400" s="36"/>
      <c r="L400" s="36"/>
      <c r="M400" s="36"/>
      <c r="N400" s="36"/>
      <c r="O400" s="36"/>
      <c r="P400" s="36"/>
      <c r="Q400" s="36"/>
    </row>
    <row r="401" spans="1:17" ht="15.75" customHeight="1" x14ac:dyDescent="0.2">
      <c r="A401" s="36"/>
      <c r="B401" s="36"/>
      <c r="C401" s="35"/>
      <c r="D401" s="36"/>
      <c r="E401" s="36"/>
      <c r="F401" s="36"/>
      <c r="G401" s="36"/>
      <c r="H401" s="35"/>
      <c r="I401" s="35"/>
      <c r="J401" s="36"/>
      <c r="K401" s="36"/>
      <c r="L401" s="36"/>
      <c r="M401" s="36"/>
      <c r="N401" s="36"/>
      <c r="O401" s="36"/>
      <c r="P401" s="36"/>
      <c r="Q401" s="36"/>
    </row>
    <row r="402" spans="1:17" ht="15.75" customHeight="1" x14ac:dyDescent="0.2">
      <c r="A402" s="36"/>
      <c r="B402" s="36"/>
      <c r="C402" s="35"/>
      <c r="D402" s="36"/>
      <c r="E402" s="36"/>
      <c r="F402" s="36"/>
      <c r="G402" s="36"/>
      <c r="H402" s="35"/>
      <c r="I402" s="35"/>
      <c r="J402" s="36"/>
      <c r="K402" s="36"/>
      <c r="L402" s="36"/>
      <c r="M402" s="36"/>
      <c r="N402" s="36"/>
      <c r="O402" s="36"/>
      <c r="P402" s="36"/>
      <c r="Q402" s="36"/>
    </row>
    <row r="403" spans="1:17" ht="15.75" customHeight="1" x14ac:dyDescent="0.2">
      <c r="A403" s="36"/>
      <c r="B403" s="36"/>
      <c r="C403" s="35"/>
      <c r="D403" s="36"/>
      <c r="E403" s="36"/>
      <c r="F403" s="36"/>
      <c r="G403" s="36"/>
      <c r="H403" s="35"/>
      <c r="I403" s="35"/>
      <c r="J403" s="36"/>
      <c r="K403" s="36"/>
      <c r="L403" s="36"/>
      <c r="M403" s="36"/>
      <c r="N403" s="36"/>
      <c r="O403" s="36"/>
      <c r="P403" s="36"/>
      <c r="Q403" s="36"/>
    </row>
    <row r="404" spans="1:17" ht="15.75" customHeight="1" x14ac:dyDescent="0.2">
      <c r="A404" s="36"/>
      <c r="B404" s="36"/>
      <c r="C404" s="35"/>
      <c r="D404" s="36"/>
      <c r="E404" s="36"/>
      <c r="F404" s="36"/>
      <c r="G404" s="36"/>
      <c r="H404" s="35"/>
      <c r="I404" s="35"/>
      <c r="J404" s="36"/>
      <c r="K404" s="36"/>
      <c r="L404" s="36"/>
      <c r="M404" s="36"/>
      <c r="N404" s="36"/>
      <c r="O404" s="36"/>
      <c r="P404" s="36"/>
      <c r="Q404" s="36"/>
    </row>
    <row r="405" spans="1:17" ht="15.75" customHeight="1" x14ac:dyDescent="0.2">
      <c r="A405" s="36"/>
      <c r="B405" s="36"/>
      <c r="C405" s="35"/>
      <c r="D405" s="36"/>
      <c r="E405" s="36"/>
      <c r="F405" s="36"/>
      <c r="G405" s="36"/>
      <c r="H405" s="35"/>
      <c r="I405" s="35"/>
      <c r="J405" s="36"/>
      <c r="K405" s="36"/>
      <c r="L405" s="36"/>
      <c r="M405" s="36"/>
      <c r="N405" s="36"/>
      <c r="O405" s="36"/>
      <c r="P405" s="36"/>
      <c r="Q405" s="36"/>
    </row>
    <row r="406" spans="1:17" ht="15.75" customHeight="1" x14ac:dyDescent="0.2">
      <c r="A406" s="36"/>
      <c r="B406" s="36"/>
      <c r="C406" s="35"/>
      <c r="D406" s="36"/>
      <c r="E406" s="36"/>
      <c r="F406" s="36"/>
      <c r="G406" s="36"/>
      <c r="H406" s="35"/>
      <c r="I406" s="35"/>
      <c r="J406" s="36"/>
      <c r="K406" s="36"/>
      <c r="L406" s="36"/>
      <c r="M406" s="36"/>
      <c r="N406" s="36"/>
      <c r="O406" s="36"/>
      <c r="P406" s="36"/>
      <c r="Q406" s="36"/>
    </row>
    <row r="407" spans="1:17" ht="15.75" customHeight="1" x14ac:dyDescent="0.2">
      <c r="A407" s="36"/>
      <c r="B407" s="36"/>
      <c r="C407" s="35"/>
      <c r="D407" s="36"/>
      <c r="E407" s="36"/>
      <c r="F407" s="36"/>
      <c r="G407" s="36"/>
      <c r="H407" s="35"/>
      <c r="I407" s="35"/>
      <c r="J407" s="36"/>
      <c r="K407" s="36"/>
      <c r="L407" s="36"/>
      <c r="M407" s="36"/>
      <c r="N407" s="36"/>
      <c r="O407" s="36"/>
      <c r="P407" s="36"/>
      <c r="Q407" s="36"/>
    </row>
    <row r="408" spans="1:17" ht="15.75" customHeight="1" x14ac:dyDescent="0.2">
      <c r="A408" s="36"/>
      <c r="B408" s="36"/>
      <c r="C408" s="35"/>
      <c r="D408" s="36"/>
      <c r="E408" s="36"/>
      <c r="F408" s="36"/>
      <c r="G408" s="36"/>
      <c r="H408" s="35"/>
      <c r="I408" s="35"/>
      <c r="J408" s="36"/>
      <c r="K408" s="36"/>
      <c r="L408" s="36"/>
      <c r="M408" s="36"/>
      <c r="N408" s="36"/>
      <c r="O408" s="36"/>
      <c r="P408" s="36"/>
      <c r="Q408" s="36"/>
    </row>
    <row r="409" spans="1:17" ht="15.75" customHeight="1" x14ac:dyDescent="0.2">
      <c r="A409" s="36"/>
      <c r="B409" s="36"/>
      <c r="C409" s="35"/>
      <c r="D409" s="36"/>
      <c r="E409" s="36"/>
      <c r="F409" s="36"/>
      <c r="G409" s="36"/>
      <c r="H409" s="35"/>
      <c r="I409" s="35"/>
      <c r="J409" s="36"/>
      <c r="K409" s="36"/>
      <c r="L409" s="36"/>
      <c r="M409" s="36"/>
      <c r="N409" s="36"/>
      <c r="O409" s="36"/>
      <c r="P409" s="36"/>
      <c r="Q409" s="36"/>
    </row>
    <row r="410" spans="1:17" ht="15.75" customHeight="1" x14ac:dyDescent="0.2">
      <c r="A410" s="36"/>
      <c r="B410" s="36"/>
      <c r="C410" s="35"/>
      <c r="D410" s="36"/>
      <c r="E410" s="36"/>
      <c r="F410" s="36"/>
      <c r="G410" s="36"/>
      <c r="H410" s="35"/>
      <c r="I410" s="35"/>
      <c r="J410" s="36"/>
      <c r="K410" s="36"/>
      <c r="L410" s="36"/>
      <c r="M410" s="36"/>
      <c r="N410" s="36"/>
      <c r="O410" s="36"/>
      <c r="P410" s="36"/>
      <c r="Q410" s="36"/>
    </row>
    <row r="411" spans="1:17" ht="15.75" customHeight="1" x14ac:dyDescent="0.2">
      <c r="A411" s="36"/>
      <c r="B411" s="36"/>
      <c r="C411" s="35"/>
      <c r="D411" s="36"/>
      <c r="E411" s="36"/>
      <c r="F411" s="36"/>
      <c r="G411" s="36"/>
      <c r="H411" s="35"/>
      <c r="I411" s="35"/>
      <c r="J411" s="36"/>
      <c r="K411" s="36"/>
      <c r="L411" s="36"/>
      <c r="M411" s="36"/>
      <c r="N411" s="36"/>
      <c r="O411" s="36"/>
      <c r="P411" s="36"/>
      <c r="Q411" s="36"/>
    </row>
    <row r="412" spans="1:17" ht="15.75" customHeight="1" x14ac:dyDescent="0.2">
      <c r="A412" s="36"/>
      <c r="B412" s="36"/>
      <c r="C412" s="35"/>
      <c r="D412" s="36"/>
      <c r="E412" s="36"/>
      <c r="F412" s="36"/>
      <c r="G412" s="36"/>
      <c r="H412" s="35"/>
      <c r="I412" s="35"/>
      <c r="J412" s="36"/>
      <c r="K412" s="36"/>
      <c r="L412" s="36"/>
      <c r="M412" s="36"/>
      <c r="N412" s="36"/>
      <c r="O412" s="36"/>
      <c r="P412" s="36"/>
      <c r="Q412" s="36"/>
    </row>
    <row r="413" spans="1:17" ht="15.75" customHeight="1" x14ac:dyDescent="0.2">
      <c r="A413" s="36"/>
      <c r="B413" s="36"/>
      <c r="C413" s="35"/>
      <c r="D413" s="36"/>
      <c r="E413" s="36"/>
      <c r="F413" s="36"/>
      <c r="G413" s="36"/>
      <c r="H413" s="35"/>
      <c r="I413" s="35"/>
      <c r="J413" s="36"/>
      <c r="K413" s="36"/>
      <c r="L413" s="36"/>
      <c r="M413" s="36"/>
      <c r="N413" s="36"/>
      <c r="O413" s="36"/>
      <c r="P413" s="36"/>
      <c r="Q413" s="36"/>
    </row>
    <row r="414" spans="1:17" ht="15.75" customHeight="1" x14ac:dyDescent="0.2">
      <c r="A414" s="36"/>
      <c r="B414" s="36"/>
      <c r="C414" s="35"/>
      <c r="D414" s="36"/>
      <c r="E414" s="36"/>
      <c r="F414" s="36"/>
      <c r="G414" s="36"/>
      <c r="H414" s="35"/>
      <c r="I414" s="35"/>
      <c r="J414" s="36"/>
      <c r="K414" s="36"/>
      <c r="L414" s="36"/>
      <c r="M414" s="36"/>
      <c r="N414" s="36"/>
      <c r="O414" s="36"/>
      <c r="P414" s="36"/>
      <c r="Q414" s="36"/>
    </row>
    <row r="415" spans="1:17" ht="15.75" customHeight="1" x14ac:dyDescent="0.2">
      <c r="A415" s="36"/>
      <c r="B415" s="36"/>
      <c r="C415" s="35"/>
      <c r="D415" s="36"/>
      <c r="E415" s="36"/>
      <c r="F415" s="36"/>
      <c r="G415" s="36"/>
      <c r="H415" s="35"/>
      <c r="I415" s="35"/>
      <c r="J415" s="36"/>
      <c r="K415" s="36"/>
      <c r="L415" s="36"/>
      <c r="M415" s="36"/>
      <c r="N415" s="36"/>
      <c r="O415" s="36"/>
      <c r="P415" s="36"/>
      <c r="Q415" s="36"/>
    </row>
    <row r="416" spans="1:17" ht="15.75" customHeight="1" x14ac:dyDescent="0.2">
      <c r="A416" s="36"/>
      <c r="B416" s="36"/>
      <c r="C416" s="35"/>
      <c r="D416" s="36"/>
      <c r="E416" s="36"/>
      <c r="F416" s="36"/>
      <c r="G416" s="36"/>
      <c r="H416" s="35"/>
      <c r="I416" s="35"/>
      <c r="J416" s="36"/>
      <c r="K416" s="36"/>
      <c r="L416" s="36"/>
      <c r="M416" s="36"/>
      <c r="N416" s="36"/>
      <c r="O416" s="36"/>
      <c r="P416" s="36"/>
      <c r="Q416" s="36"/>
    </row>
    <row r="417" spans="1:17" ht="15.75" customHeight="1" x14ac:dyDescent="0.2">
      <c r="A417" s="36"/>
      <c r="B417" s="36"/>
      <c r="C417" s="35"/>
      <c r="D417" s="36"/>
      <c r="E417" s="36"/>
      <c r="F417" s="36"/>
      <c r="G417" s="36"/>
      <c r="H417" s="35"/>
      <c r="I417" s="35"/>
      <c r="J417" s="36"/>
      <c r="K417" s="36"/>
      <c r="L417" s="36"/>
      <c r="M417" s="36"/>
      <c r="N417" s="36"/>
      <c r="O417" s="36"/>
      <c r="P417" s="36"/>
      <c r="Q417" s="36"/>
    </row>
    <row r="418" spans="1:17" ht="15.75" customHeight="1" x14ac:dyDescent="0.2">
      <c r="A418" s="36"/>
      <c r="B418" s="36"/>
      <c r="C418" s="35"/>
      <c r="D418" s="36"/>
      <c r="E418" s="36"/>
      <c r="F418" s="36"/>
      <c r="G418" s="36"/>
      <c r="H418" s="35"/>
      <c r="I418" s="35"/>
      <c r="J418" s="36"/>
      <c r="K418" s="36"/>
      <c r="L418" s="36"/>
      <c r="M418" s="36"/>
      <c r="N418" s="36"/>
      <c r="O418" s="36"/>
      <c r="P418" s="36"/>
      <c r="Q418" s="36"/>
    </row>
    <row r="419" spans="1:17" ht="15.75" customHeight="1" x14ac:dyDescent="0.2">
      <c r="A419" s="36"/>
      <c r="B419" s="36"/>
      <c r="C419" s="35"/>
      <c r="D419" s="36"/>
      <c r="E419" s="36"/>
      <c r="F419" s="36"/>
      <c r="G419" s="36"/>
      <c r="H419" s="35"/>
      <c r="I419" s="35"/>
      <c r="J419" s="36"/>
      <c r="K419" s="36"/>
      <c r="L419" s="36"/>
      <c r="M419" s="36"/>
      <c r="N419" s="36"/>
      <c r="O419" s="36"/>
      <c r="P419" s="36"/>
      <c r="Q419" s="36"/>
    </row>
    <row r="420" spans="1:17" ht="15.75" customHeight="1" x14ac:dyDescent="0.2">
      <c r="A420" s="36"/>
      <c r="B420" s="36"/>
      <c r="C420" s="35"/>
      <c r="D420" s="36"/>
      <c r="E420" s="36"/>
      <c r="F420" s="36"/>
      <c r="G420" s="36"/>
      <c r="H420" s="35"/>
      <c r="I420" s="35"/>
      <c r="J420" s="36"/>
      <c r="K420" s="36"/>
      <c r="L420" s="36"/>
      <c r="M420" s="36"/>
      <c r="N420" s="36"/>
      <c r="O420" s="36"/>
      <c r="P420" s="36"/>
      <c r="Q420" s="36"/>
    </row>
    <row r="421" spans="1:17" ht="15.75" customHeight="1" x14ac:dyDescent="0.2">
      <c r="A421" s="36"/>
      <c r="B421" s="36"/>
      <c r="C421" s="35"/>
      <c r="D421" s="36"/>
      <c r="E421" s="36"/>
      <c r="F421" s="36"/>
      <c r="G421" s="36"/>
      <c r="H421" s="35"/>
      <c r="I421" s="35"/>
      <c r="J421" s="36"/>
      <c r="K421" s="36"/>
      <c r="L421" s="36"/>
      <c r="M421" s="36"/>
      <c r="N421" s="36"/>
      <c r="O421" s="36"/>
      <c r="P421" s="36"/>
      <c r="Q421" s="36"/>
    </row>
    <row r="422" spans="1:17" ht="15.75" customHeight="1" x14ac:dyDescent="0.2">
      <c r="A422" s="36"/>
      <c r="B422" s="36"/>
      <c r="C422" s="35"/>
      <c r="D422" s="36"/>
      <c r="E422" s="36"/>
      <c r="F422" s="36"/>
      <c r="G422" s="36"/>
      <c r="H422" s="35"/>
      <c r="I422" s="35"/>
      <c r="J422" s="36"/>
      <c r="K422" s="36"/>
      <c r="L422" s="36"/>
      <c r="M422" s="36"/>
      <c r="N422" s="36"/>
      <c r="O422" s="36"/>
      <c r="P422" s="36"/>
      <c r="Q422" s="36"/>
    </row>
    <row r="423" spans="1:17" ht="15.75" customHeight="1" x14ac:dyDescent="0.2">
      <c r="A423" s="36"/>
      <c r="B423" s="36"/>
      <c r="C423" s="35"/>
      <c r="D423" s="36"/>
      <c r="E423" s="36"/>
      <c r="F423" s="36"/>
      <c r="G423" s="36"/>
      <c r="H423" s="35"/>
      <c r="I423" s="35"/>
      <c r="J423" s="36"/>
      <c r="K423" s="36"/>
      <c r="L423" s="36"/>
      <c r="M423" s="36"/>
      <c r="N423" s="36"/>
      <c r="O423" s="36"/>
      <c r="P423" s="36"/>
      <c r="Q423" s="36"/>
    </row>
    <row r="424" spans="1:17" ht="15.75" customHeight="1" x14ac:dyDescent="0.2">
      <c r="A424" s="36"/>
      <c r="B424" s="36"/>
      <c r="C424" s="35"/>
      <c r="D424" s="36"/>
      <c r="E424" s="36"/>
      <c r="F424" s="36"/>
      <c r="G424" s="36"/>
      <c r="H424" s="35"/>
      <c r="I424" s="35"/>
      <c r="J424" s="36"/>
      <c r="K424" s="36"/>
      <c r="L424" s="36"/>
      <c r="M424" s="36"/>
      <c r="N424" s="36"/>
      <c r="O424" s="36"/>
      <c r="P424" s="36"/>
      <c r="Q424" s="36"/>
    </row>
    <row r="425" spans="1:17" ht="15.75" customHeight="1" x14ac:dyDescent="0.2">
      <c r="A425" s="36"/>
      <c r="B425" s="36"/>
      <c r="C425" s="35"/>
      <c r="D425" s="36"/>
      <c r="E425" s="36"/>
      <c r="F425" s="36"/>
      <c r="G425" s="36"/>
      <c r="H425" s="35"/>
      <c r="I425" s="35"/>
      <c r="J425" s="36"/>
      <c r="K425" s="36"/>
      <c r="L425" s="36"/>
      <c r="M425" s="36"/>
      <c r="N425" s="36"/>
      <c r="O425" s="36"/>
      <c r="P425" s="36"/>
      <c r="Q425" s="36"/>
    </row>
    <row r="426" spans="1:17" ht="15.75" customHeight="1" x14ac:dyDescent="0.2">
      <c r="A426" s="36"/>
      <c r="B426" s="36"/>
      <c r="C426" s="35"/>
      <c r="D426" s="36"/>
      <c r="E426" s="36"/>
      <c r="F426" s="36"/>
      <c r="G426" s="36"/>
      <c r="H426" s="35"/>
      <c r="I426" s="35"/>
      <c r="J426" s="36"/>
      <c r="K426" s="36"/>
      <c r="L426" s="36"/>
      <c r="M426" s="36"/>
      <c r="N426" s="36"/>
      <c r="O426" s="36"/>
      <c r="P426" s="36"/>
      <c r="Q426" s="36"/>
    </row>
    <row r="427" spans="1:17" ht="15.75" customHeight="1" x14ac:dyDescent="0.2">
      <c r="A427" s="36"/>
      <c r="B427" s="36"/>
      <c r="C427" s="35"/>
      <c r="D427" s="36"/>
      <c r="E427" s="36"/>
      <c r="F427" s="36"/>
      <c r="G427" s="36"/>
      <c r="H427" s="35"/>
      <c r="I427" s="35"/>
      <c r="J427" s="36"/>
      <c r="K427" s="36"/>
      <c r="L427" s="36"/>
      <c r="M427" s="36"/>
      <c r="N427" s="36"/>
      <c r="O427" s="36"/>
      <c r="P427" s="36"/>
      <c r="Q427" s="36"/>
    </row>
    <row r="428" spans="1:17" ht="15.75" customHeight="1" x14ac:dyDescent="0.2">
      <c r="A428" s="36"/>
      <c r="B428" s="36"/>
      <c r="C428" s="35"/>
      <c r="D428" s="36"/>
      <c r="E428" s="36"/>
      <c r="F428" s="36"/>
      <c r="G428" s="36"/>
      <c r="H428" s="35"/>
      <c r="I428" s="35"/>
      <c r="J428" s="36"/>
      <c r="K428" s="36"/>
      <c r="L428" s="36"/>
      <c r="M428" s="36"/>
      <c r="N428" s="36"/>
      <c r="O428" s="36"/>
      <c r="P428" s="36"/>
      <c r="Q428" s="36"/>
    </row>
    <row r="429" spans="1:17" ht="15.75" customHeight="1" x14ac:dyDescent="0.2">
      <c r="A429" s="36"/>
      <c r="B429" s="36"/>
      <c r="C429" s="35"/>
      <c r="D429" s="36"/>
      <c r="E429" s="36"/>
      <c r="F429" s="36"/>
      <c r="G429" s="36"/>
      <c r="H429" s="35"/>
      <c r="I429" s="35"/>
      <c r="J429" s="36"/>
      <c r="K429" s="36"/>
      <c r="L429" s="36"/>
      <c r="M429" s="36"/>
      <c r="N429" s="36"/>
      <c r="O429" s="36"/>
      <c r="P429" s="36"/>
      <c r="Q429" s="36"/>
    </row>
    <row r="430" spans="1:17" ht="15.75" customHeight="1" x14ac:dyDescent="0.2">
      <c r="A430" s="36"/>
      <c r="B430" s="36"/>
      <c r="C430" s="35"/>
      <c r="D430" s="36"/>
      <c r="E430" s="36"/>
      <c r="F430" s="36"/>
      <c r="G430" s="36"/>
      <c r="H430" s="35"/>
      <c r="I430" s="35"/>
      <c r="J430" s="36"/>
      <c r="K430" s="36"/>
      <c r="L430" s="36"/>
      <c r="M430" s="36"/>
      <c r="N430" s="36"/>
      <c r="O430" s="36"/>
      <c r="P430" s="36"/>
      <c r="Q430" s="36"/>
    </row>
    <row r="431" spans="1:17" ht="15.75" customHeight="1" x14ac:dyDescent="0.2">
      <c r="A431" s="36"/>
      <c r="B431" s="36"/>
      <c r="C431" s="35"/>
      <c r="D431" s="36"/>
      <c r="E431" s="36"/>
      <c r="F431" s="36"/>
      <c r="G431" s="36"/>
      <c r="H431" s="35"/>
      <c r="I431" s="35"/>
      <c r="J431" s="36"/>
      <c r="K431" s="36"/>
      <c r="L431" s="36"/>
      <c r="M431" s="36"/>
      <c r="N431" s="36"/>
      <c r="O431" s="36"/>
      <c r="P431" s="36"/>
      <c r="Q431" s="36"/>
    </row>
    <row r="432" spans="1:17" ht="15.75" customHeight="1" x14ac:dyDescent="0.2">
      <c r="A432" s="36"/>
      <c r="B432" s="36"/>
      <c r="C432" s="35"/>
      <c r="D432" s="36"/>
      <c r="E432" s="36"/>
      <c r="F432" s="36"/>
      <c r="G432" s="36"/>
      <c r="H432" s="35"/>
      <c r="I432" s="35"/>
      <c r="J432" s="36"/>
      <c r="K432" s="36"/>
      <c r="L432" s="36"/>
      <c r="M432" s="36"/>
      <c r="N432" s="36"/>
      <c r="O432" s="36"/>
      <c r="P432" s="36"/>
      <c r="Q432" s="36"/>
    </row>
    <row r="433" spans="1:17" ht="15.75" customHeight="1" x14ac:dyDescent="0.2">
      <c r="A433" s="36"/>
      <c r="B433" s="36"/>
      <c r="C433" s="35"/>
      <c r="D433" s="36"/>
      <c r="E433" s="36"/>
      <c r="F433" s="36"/>
      <c r="G433" s="36"/>
      <c r="H433" s="35"/>
      <c r="I433" s="35"/>
      <c r="J433" s="36"/>
      <c r="K433" s="36"/>
      <c r="L433" s="36"/>
      <c r="M433" s="36"/>
      <c r="N433" s="36"/>
      <c r="O433" s="36"/>
      <c r="P433" s="36"/>
      <c r="Q433" s="36"/>
    </row>
    <row r="434" spans="1:17" ht="15.75" customHeight="1" x14ac:dyDescent="0.2">
      <c r="A434" s="36"/>
      <c r="B434" s="36"/>
      <c r="C434" s="35"/>
      <c r="D434" s="36"/>
      <c r="E434" s="36"/>
      <c r="F434" s="36"/>
      <c r="G434" s="36"/>
      <c r="H434" s="35"/>
      <c r="I434" s="35"/>
      <c r="J434" s="36"/>
      <c r="K434" s="36"/>
      <c r="L434" s="36"/>
      <c r="M434" s="36"/>
      <c r="N434" s="36"/>
      <c r="O434" s="36"/>
      <c r="P434" s="36"/>
      <c r="Q434" s="36"/>
    </row>
    <row r="435" spans="1:17" ht="15.75" customHeight="1" x14ac:dyDescent="0.2">
      <c r="A435" s="36"/>
      <c r="B435" s="36"/>
      <c r="C435" s="35"/>
      <c r="D435" s="36"/>
      <c r="E435" s="36"/>
      <c r="F435" s="36"/>
      <c r="G435" s="36"/>
      <c r="H435" s="35"/>
      <c r="I435" s="35"/>
      <c r="J435" s="36"/>
      <c r="K435" s="36"/>
      <c r="L435" s="36"/>
      <c r="M435" s="36"/>
      <c r="N435" s="36"/>
      <c r="O435" s="36"/>
      <c r="P435" s="36"/>
      <c r="Q435" s="36"/>
    </row>
    <row r="436" spans="1:17" ht="15.75" customHeight="1" x14ac:dyDescent="0.2">
      <c r="A436" s="36"/>
      <c r="B436" s="36"/>
      <c r="C436" s="35"/>
      <c r="D436" s="36"/>
      <c r="E436" s="36"/>
      <c r="F436" s="36"/>
      <c r="G436" s="36"/>
      <c r="H436" s="35"/>
      <c r="I436" s="35"/>
      <c r="J436" s="36"/>
      <c r="K436" s="36"/>
      <c r="L436" s="36"/>
      <c r="M436" s="36"/>
      <c r="N436" s="36"/>
      <c r="O436" s="36"/>
      <c r="P436" s="36"/>
      <c r="Q436" s="36"/>
    </row>
    <row r="437" spans="1:17" ht="15.75" customHeight="1" x14ac:dyDescent="0.2">
      <c r="A437" s="36"/>
      <c r="B437" s="36"/>
      <c r="C437" s="35"/>
      <c r="D437" s="36"/>
      <c r="E437" s="36"/>
      <c r="F437" s="36"/>
      <c r="G437" s="36"/>
      <c r="H437" s="35"/>
      <c r="I437" s="35"/>
      <c r="J437" s="36"/>
      <c r="K437" s="36"/>
      <c r="L437" s="36"/>
      <c r="M437" s="36"/>
      <c r="N437" s="36"/>
      <c r="O437" s="36"/>
      <c r="P437" s="36"/>
      <c r="Q437" s="36"/>
    </row>
    <row r="438" spans="1:17" ht="15.75" customHeight="1" x14ac:dyDescent="0.2">
      <c r="A438" s="36"/>
      <c r="B438" s="36"/>
      <c r="C438" s="35"/>
      <c r="D438" s="36"/>
      <c r="E438" s="36"/>
      <c r="F438" s="36"/>
      <c r="G438" s="36"/>
      <c r="H438" s="35"/>
      <c r="I438" s="35"/>
      <c r="J438" s="36"/>
      <c r="K438" s="36"/>
      <c r="L438" s="36"/>
      <c r="M438" s="36"/>
      <c r="N438" s="36"/>
      <c r="O438" s="36"/>
      <c r="P438" s="36"/>
      <c r="Q438" s="36"/>
    </row>
    <row r="439" spans="1:17" ht="15.75" customHeight="1" x14ac:dyDescent="0.2">
      <c r="A439" s="36"/>
      <c r="B439" s="36"/>
      <c r="C439" s="35"/>
      <c r="D439" s="36"/>
      <c r="E439" s="36"/>
      <c r="F439" s="36"/>
      <c r="G439" s="36"/>
      <c r="H439" s="35"/>
      <c r="I439" s="35"/>
      <c r="J439" s="36"/>
      <c r="K439" s="36"/>
      <c r="L439" s="36"/>
      <c r="M439" s="36"/>
      <c r="N439" s="36"/>
      <c r="O439" s="36"/>
      <c r="P439" s="36"/>
      <c r="Q439" s="36"/>
    </row>
    <row r="440" spans="1:17" ht="15.75" customHeight="1" x14ac:dyDescent="0.2">
      <c r="A440" s="36"/>
      <c r="B440" s="36"/>
      <c r="C440" s="35"/>
      <c r="D440" s="36"/>
      <c r="E440" s="36"/>
      <c r="F440" s="36"/>
      <c r="G440" s="36"/>
      <c r="H440" s="35"/>
      <c r="I440" s="35"/>
      <c r="J440" s="36"/>
      <c r="K440" s="36"/>
      <c r="L440" s="36"/>
      <c r="M440" s="36"/>
      <c r="N440" s="36"/>
      <c r="O440" s="36"/>
      <c r="P440" s="36"/>
      <c r="Q440" s="36"/>
    </row>
    <row r="441" spans="1:17" ht="15.75" customHeight="1" x14ac:dyDescent="0.2">
      <c r="A441" s="36"/>
      <c r="B441" s="36"/>
      <c r="C441" s="35"/>
      <c r="D441" s="36"/>
      <c r="E441" s="36"/>
      <c r="F441" s="36"/>
      <c r="G441" s="36"/>
      <c r="H441" s="35"/>
      <c r="I441" s="35"/>
      <c r="J441" s="36"/>
      <c r="K441" s="36"/>
      <c r="L441" s="36"/>
      <c r="M441" s="36"/>
      <c r="N441" s="36"/>
      <c r="O441" s="36"/>
      <c r="P441" s="36"/>
      <c r="Q441" s="36"/>
    </row>
    <row r="442" spans="1:17" ht="15.75" customHeight="1" x14ac:dyDescent="0.2">
      <c r="A442" s="36"/>
      <c r="B442" s="36"/>
      <c r="C442" s="35"/>
      <c r="D442" s="36"/>
      <c r="E442" s="36"/>
      <c r="F442" s="36"/>
      <c r="G442" s="36"/>
      <c r="H442" s="35"/>
      <c r="I442" s="35"/>
      <c r="J442" s="36"/>
      <c r="K442" s="36"/>
      <c r="L442" s="36"/>
      <c r="M442" s="36"/>
      <c r="N442" s="36"/>
      <c r="O442" s="36"/>
      <c r="P442" s="36"/>
      <c r="Q442" s="36"/>
    </row>
    <row r="443" spans="1:17" ht="15.75" customHeight="1" x14ac:dyDescent="0.2">
      <c r="A443" s="36"/>
      <c r="B443" s="36"/>
      <c r="C443" s="35"/>
      <c r="D443" s="36"/>
      <c r="E443" s="36"/>
      <c r="F443" s="36"/>
      <c r="G443" s="36"/>
      <c r="H443" s="35"/>
      <c r="I443" s="35"/>
      <c r="J443" s="36"/>
      <c r="K443" s="36"/>
      <c r="L443" s="36"/>
      <c r="M443" s="36"/>
      <c r="N443" s="36"/>
      <c r="O443" s="36"/>
      <c r="P443" s="36"/>
      <c r="Q443" s="36"/>
    </row>
    <row r="444" spans="1:17" ht="15.75" customHeight="1" x14ac:dyDescent="0.2">
      <c r="A444" s="36"/>
      <c r="B444" s="36"/>
      <c r="C444" s="35"/>
      <c r="D444" s="36"/>
      <c r="E444" s="36"/>
      <c r="F444" s="36"/>
      <c r="G444" s="36"/>
      <c r="H444" s="35"/>
      <c r="I444" s="35"/>
      <c r="J444" s="36"/>
      <c r="K444" s="36"/>
      <c r="L444" s="36"/>
      <c r="M444" s="36"/>
      <c r="N444" s="36"/>
      <c r="O444" s="36"/>
      <c r="P444" s="36"/>
      <c r="Q444" s="36"/>
    </row>
    <row r="445" spans="1:17" ht="15.75" customHeight="1" x14ac:dyDescent="0.2">
      <c r="A445" s="36"/>
      <c r="B445" s="36"/>
      <c r="C445" s="35"/>
      <c r="D445" s="36"/>
      <c r="E445" s="36"/>
      <c r="F445" s="36"/>
      <c r="G445" s="36"/>
      <c r="H445" s="35"/>
      <c r="I445" s="35"/>
      <c r="J445" s="36"/>
      <c r="K445" s="36"/>
      <c r="L445" s="36"/>
      <c r="M445" s="36"/>
      <c r="N445" s="36"/>
      <c r="O445" s="36"/>
      <c r="P445" s="36"/>
      <c r="Q445" s="36"/>
    </row>
    <row r="446" spans="1:17" ht="15.75" customHeight="1" x14ac:dyDescent="0.2">
      <c r="A446" s="36"/>
      <c r="B446" s="36"/>
      <c r="C446" s="35"/>
      <c r="D446" s="36"/>
      <c r="E446" s="36"/>
      <c r="F446" s="36"/>
      <c r="G446" s="36"/>
      <c r="H446" s="35"/>
      <c r="I446" s="35"/>
      <c r="J446" s="36"/>
      <c r="K446" s="36"/>
      <c r="L446" s="36"/>
      <c r="M446" s="36"/>
      <c r="N446" s="36"/>
      <c r="O446" s="36"/>
      <c r="P446" s="36"/>
      <c r="Q446" s="36"/>
    </row>
    <row r="447" spans="1:17" ht="15.75" customHeight="1" x14ac:dyDescent="0.2">
      <c r="A447" s="36"/>
      <c r="B447" s="36"/>
      <c r="C447" s="35"/>
      <c r="D447" s="36"/>
      <c r="E447" s="36"/>
      <c r="F447" s="36"/>
      <c r="G447" s="36"/>
      <c r="H447" s="35"/>
      <c r="I447" s="35"/>
      <c r="J447" s="36"/>
      <c r="K447" s="36"/>
      <c r="L447" s="36"/>
      <c r="M447" s="36"/>
      <c r="N447" s="36"/>
      <c r="O447" s="36"/>
      <c r="P447" s="36"/>
      <c r="Q447" s="36"/>
    </row>
    <row r="448" spans="1:17" ht="15.75" customHeight="1" x14ac:dyDescent="0.2">
      <c r="A448" s="36"/>
      <c r="B448" s="36"/>
      <c r="C448" s="35"/>
      <c r="D448" s="36"/>
      <c r="E448" s="36"/>
      <c r="F448" s="36"/>
      <c r="G448" s="36"/>
      <c r="H448" s="35"/>
      <c r="I448" s="35"/>
      <c r="J448" s="36"/>
      <c r="K448" s="36"/>
      <c r="L448" s="36"/>
      <c r="M448" s="36"/>
      <c r="N448" s="36"/>
      <c r="O448" s="36"/>
      <c r="P448" s="36"/>
      <c r="Q448" s="36"/>
    </row>
    <row r="449" spans="1:17" ht="15.75" customHeight="1" x14ac:dyDescent="0.2">
      <c r="A449" s="36"/>
      <c r="B449" s="36"/>
      <c r="C449" s="35"/>
      <c r="D449" s="36"/>
      <c r="E449" s="36"/>
      <c r="F449" s="36"/>
      <c r="G449" s="36"/>
      <c r="H449" s="35"/>
      <c r="I449" s="35"/>
      <c r="J449" s="36"/>
      <c r="K449" s="36"/>
      <c r="L449" s="36"/>
      <c r="M449" s="36"/>
      <c r="N449" s="36"/>
      <c r="O449" s="36"/>
      <c r="P449" s="36"/>
      <c r="Q449" s="36"/>
    </row>
    <row r="450" spans="1:17" ht="15.75" customHeight="1" x14ac:dyDescent="0.2">
      <c r="A450" s="36"/>
      <c r="B450" s="36"/>
      <c r="C450" s="35"/>
      <c r="D450" s="36"/>
      <c r="E450" s="36"/>
      <c r="F450" s="36"/>
      <c r="G450" s="36"/>
      <c r="H450" s="35"/>
      <c r="I450" s="35"/>
      <c r="J450" s="36"/>
      <c r="K450" s="36"/>
      <c r="L450" s="36"/>
      <c r="M450" s="36"/>
      <c r="N450" s="36"/>
      <c r="O450" s="36"/>
      <c r="P450" s="36"/>
      <c r="Q450" s="36"/>
    </row>
    <row r="451" spans="1:17" ht="15.75" customHeight="1" x14ac:dyDescent="0.2">
      <c r="A451" s="36"/>
      <c r="B451" s="36"/>
      <c r="C451" s="35"/>
      <c r="D451" s="36"/>
      <c r="E451" s="36"/>
      <c r="F451" s="36"/>
      <c r="G451" s="36"/>
      <c r="H451" s="35"/>
      <c r="I451" s="35"/>
      <c r="J451" s="36"/>
      <c r="K451" s="36"/>
      <c r="L451" s="36"/>
      <c r="M451" s="36"/>
      <c r="N451" s="36"/>
      <c r="O451" s="36"/>
      <c r="P451" s="36"/>
      <c r="Q451" s="36"/>
    </row>
    <row r="452" spans="1:17" ht="15.75" customHeight="1" x14ac:dyDescent="0.2">
      <c r="A452" s="36"/>
      <c r="B452" s="36"/>
      <c r="C452" s="35"/>
      <c r="D452" s="36"/>
      <c r="E452" s="36"/>
      <c r="F452" s="36"/>
      <c r="G452" s="36"/>
      <c r="H452" s="35"/>
      <c r="I452" s="35"/>
      <c r="J452" s="36"/>
      <c r="K452" s="36"/>
      <c r="L452" s="36"/>
      <c r="M452" s="36"/>
      <c r="N452" s="36"/>
      <c r="O452" s="36"/>
      <c r="P452" s="36"/>
      <c r="Q452" s="36"/>
    </row>
    <row r="453" spans="1:17" ht="15.75" customHeight="1" x14ac:dyDescent="0.2">
      <c r="A453" s="36"/>
      <c r="B453" s="36"/>
      <c r="C453" s="35"/>
      <c r="D453" s="36"/>
      <c r="E453" s="36"/>
      <c r="F453" s="36"/>
      <c r="G453" s="36"/>
      <c r="H453" s="35"/>
      <c r="I453" s="35"/>
      <c r="J453" s="36"/>
      <c r="K453" s="36"/>
      <c r="L453" s="36"/>
      <c r="M453" s="36"/>
      <c r="N453" s="36"/>
      <c r="O453" s="36"/>
      <c r="P453" s="36"/>
      <c r="Q453" s="36"/>
    </row>
    <row r="454" spans="1:17" ht="15.75" customHeight="1" x14ac:dyDescent="0.2">
      <c r="A454" s="36"/>
      <c r="B454" s="36"/>
      <c r="C454" s="35"/>
      <c r="D454" s="36"/>
      <c r="E454" s="36"/>
      <c r="F454" s="36"/>
      <c r="G454" s="36"/>
      <c r="H454" s="35"/>
      <c r="I454" s="35"/>
      <c r="J454" s="36"/>
      <c r="K454" s="36"/>
      <c r="L454" s="36"/>
      <c r="M454" s="36"/>
      <c r="N454" s="36"/>
      <c r="O454" s="36"/>
      <c r="P454" s="36"/>
      <c r="Q454" s="36"/>
    </row>
    <row r="455" spans="1:17" ht="15.75" customHeight="1" x14ac:dyDescent="0.2">
      <c r="A455" s="36"/>
      <c r="B455" s="36"/>
      <c r="C455" s="35"/>
      <c r="D455" s="36"/>
      <c r="E455" s="36"/>
      <c r="F455" s="36"/>
      <c r="G455" s="36"/>
      <c r="H455" s="35"/>
      <c r="I455" s="35"/>
      <c r="J455" s="36"/>
      <c r="K455" s="36"/>
      <c r="L455" s="36"/>
      <c r="M455" s="36"/>
      <c r="N455" s="36"/>
      <c r="O455" s="36"/>
      <c r="P455" s="36"/>
      <c r="Q455" s="36"/>
    </row>
    <row r="456" spans="1:17" ht="15.75" customHeight="1" x14ac:dyDescent="0.2">
      <c r="A456" s="36"/>
      <c r="B456" s="36"/>
      <c r="C456" s="35"/>
      <c r="D456" s="36"/>
      <c r="E456" s="36"/>
      <c r="F456" s="36"/>
      <c r="G456" s="36"/>
      <c r="H456" s="35"/>
      <c r="I456" s="35"/>
      <c r="J456" s="36"/>
      <c r="K456" s="36"/>
      <c r="L456" s="36"/>
      <c r="M456" s="36"/>
      <c r="N456" s="36"/>
      <c r="O456" s="36"/>
      <c r="P456" s="36"/>
      <c r="Q456" s="36"/>
    </row>
    <row r="457" spans="1:17" ht="15.75" customHeight="1" x14ac:dyDescent="0.2">
      <c r="A457" s="36"/>
      <c r="B457" s="36"/>
      <c r="C457" s="35"/>
      <c r="D457" s="36"/>
      <c r="E457" s="36"/>
      <c r="F457" s="36"/>
      <c r="G457" s="36"/>
      <c r="H457" s="35"/>
      <c r="I457" s="35"/>
      <c r="J457" s="36"/>
      <c r="K457" s="36"/>
      <c r="L457" s="36"/>
      <c r="M457" s="36"/>
      <c r="N457" s="36"/>
      <c r="O457" s="36"/>
      <c r="P457" s="36"/>
      <c r="Q457" s="36"/>
    </row>
    <row r="458" spans="1:17" ht="15.75" customHeight="1" x14ac:dyDescent="0.2">
      <c r="A458" s="36"/>
      <c r="B458" s="36"/>
      <c r="C458" s="35"/>
      <c r="D458" s="36"/>
      <c r="E458" s="36"/>
      <c r="F458" s="36"/>
      <c r="G458" s="36"/>
      <c r="H458" s="35"/>
      <c r="I458" s="35"/>
      <c r="J458" s="36"/>
      <c r="K458" s="36"/>
      <c r="L458" s="36"/>
      <c r="M458" s="36"/>
      <c r="N458" s="36"/>
      <c r="O458" s="36"/>
      <c r="P458" s="36"/>
      <c r="Q458" s="36"/>
    </row>
    <row r="459" spans="1:17" ht="15.75" customHeight="1" x14ac:dyDescent="0.2">
      <c r="A459" s="36"/>
      <c r="B459" s="36"/>
      <c r="C459" s="35"/>
      <c r="D459" s="36"/>
      <c r="E459" s="36"/>
      <c r="F459" s="36"/>
      <c r="G459" s="36"/>
      <c r="H459" s="35"/>
      <c r="I459" s="35"/>
      <c r="J459" s="36"/>
      <c r="K459" s="36"/>
      <c r="L459" s="36"/>
      <c r="M459" s="36"/>
      <c r="N459" s="36"/>
      <c r="O459" s="36"/>
      <c r="P459" s="36"/>
      <c r="Q459" s="36"/>
    </row>
    <row r="460" spans="1:17" ht="15.75" customHeight="1" x14ac:dyDescent="0.2">
      <c r="A460" s="36"/>
      <c r="B460" s="36"/>
      <c r="C460" s="35"/>
      <c r="D460" s="36"/>
      <c r="E460" s="36"/>
      <c r="F460" s="36"/>
      <c r="G460" s="36"/>
      <c r="H460" s="35"/>
      <c r="I460" s="35"/>
      <c r="J460" s="36"/>
      <c r="K460" s="36"/>
      <c r="L460" s="36"/>
      <c r="M460" s="36"/>
      <c r="N460" s="36"/>
      <c r="O460" s="36"/>
      <c r="P460" s="36"/>
      <c r="Q460" s="36"/>
    </row>
    <row r="461" spans="1:17" ht="15.75" customHeight="1" x14ac:dyDescent="0.2">
      <c r="A461" s="36"/>
      <c r="B461" s="36"/>
      <c r="C461" s="35"/>
      <c r="D461" s="36"/>
      <c r="E461" s="36"/>
      <c r="F461" s="36"/>
      <c r="G461" s="36"/>
      <c r="H461" s="35"/>
      <c r="I461" s="35"/>
      <c r="J461" s="36"/>
      <c r="K461" s="36"/>
      <c r="L461" s="36"/>
      <c r="M461" s="36"/>
      <c r="N461" s="36"/>
      <c r="O461" s="36"/>
      <c r="P461" s="36"/>
      <c r="Q461" s="36"/>
    </row>
    <row r="462" spans="1:17" ht="15.75" customHeight="1" x14ac:dyDescent="0.2">
      <c r="A462" s="36"/>
      <c r="B462" s="36"/>
      <c r="C462" s="35"/>
      <c r="D462" s="36"/>
      <c r="E462" s="36"/>
      <c r="F462" s="36"/>
      <c r="G462" s="36"/>
      <c r="H462" s="35"/>
      <c r="I462" s="35"/>
      <c r="J462" s="36"/>
      <c r="K462" s="36"/>
      <c r="L462" s="36"/>
      <c r="M462" s="36"/>
      <c r="N462" s="36"/>
      <c r="O462" s="36"/>
      <c r="P462" s="36"/>
      <c r="Q462" s="36"/>
    </row>
    <row r="463" spans="1:17" ht="15.75" customHeight="1" x14ac:dyDescent="0.2">
      <c r="A463" s="36"/>
      <c r="B463" s="36"/>
      <c r="C463" s="35"/>
      <c r="D463" s="36"/>
      <c r="E463" s="36"/>
      <c r="F463" s="36"/>
      <c r="G463" s="36"/>
      <c r="H463" s="35"/>
      <c r="I463" s="35"/>
      <c r="J463" s="36"/>
      <c r="K463" s="36"/>
      <c r="L463" s="36"/>
      <c r="M463" s="36"/>
      <c r="N463" s="36"/>
      <c r="O463" s="36"/>
      <c r="P463" s="36"/>
      <c r="Q463" s="36"/>
    </row>
    <row r="464" spans="1:17" ht="15.75" customHeight="1" x14ac:dyDescent="0.2">
      <c r="A464" s="36"/>
      <c r="B464" s="36"/>
      <c r="C464" s="35"/>
      <c r="D464" s="36"/>
      <c r="E464" s="36"/>
      <c r="F464" s="36"/>
      <c r="G464" s="36"/>
      <c r="H464" s="35"/>
      <c r="I464" s="35"/>
      <c r="J464" s="36"/>
      <c r="K464" s="36"/>
      <c r="L464" s="36"/>
      <c r="M464" s="36"/>
      <c r="N464" s="36"/>
      <c r="O464" s="36"/>
      <c r="P464" s="36"/>
      <c r="Q464" s="36"/>
    </row>
    <row r="465" spans="1:17" ht="15.75" customHeight="1" x14ac:dyDescent="0.2">
      <c r="A465" s="36"/>
      <c r="B465" s="36"/>
      <c r="C465" s="35"/>
      <c r="D465" s="36"/>
      <c r="E465" s="36"/>
      <c r="F465" s="36"/>
      <c r="G465" s="36"/>
      <c r="H465" s="35"/>
      <c r="I465" s="35"/>
      <c r="J465" s="36"/>
      <c r="K465" s="36"/>
      <c r="L465" s="36"/>
      <c r="M465" s="36"/>
      <c r="N465" s="36"/>
      <c r="O465" s="36"/>
      <c r="P465" s="36"/>
      <c r="Q465" s="36"/>
    </row>
    <row r="466" spans="1:17" ht="15.75" customHeight="1" x14ac:dyDescent="0.2">
      <c r="A466" s="36"/>
      <c r="B466" s="36"/>
      <c r="C466" s="35"/>
      <c r="D466" s="36"/>
      <c r="E466" s="36"/>
      <c r="F466" s="36"/>
      <c r="G466" s="36"/>
      <c r="H466" s="35"/>
      <c r="I466" s="35"/>
      <c r="J466" s="36"/>
      <c r="K466" s="36"/>
      <c r="L466" s="36"/>
      <c r="M466" s="36"/>
      <c r="N466" s="36"/>
      <c r="O466" s="36"/>
      <c r="P466" s="36"/>
      <c r="Q466" s="36"/>
    </row>
    <row r="467" spans="1:17" ht="15.75" customHeight="1" x14ac:dyDescent="0.2">
      <c r="A467" s="36"/>
      <c r="B467" s="36"/>
      <c r="C467" s="35"/>
      <c r="D467" s="36"/>
      <c r="E467" s="36"/>
      <c r="F467" s="36"/>
      <c r="G467" s="36"/>
      <c r="H467" s="35"/>
      <c r="I467" s="35"/>
      <c r="J467" s="36"/>
      <c r="K467" s="36"/>
      <c r="L467" s="36"/>
      <c r="M467" s="36"/>
      <c r="N467" s="36"/>
      <c r="O467" s="36"/>
      <c r="P467" s="36"/>
      <c r="Q467" s="36"/>
    </row>
    <row r="468" spans="1:17" ht="15.75" customHeight="1" x14ac:dyDescent="0.2">
      <c r="A468" s="36"/>
      <c r="B468" s="36"/>
      <c r="C468" s="35"/>
      <c r="D468" s="36"/>
      <c r="E468" s="36"/>
      <c r="F468" s="36"/>
      <c r="G468" s="36"/>
      <c r="H468" s="35"/>
      <c r="I468" s="35"/>
      <c r="J468" s="36"/>
      <c r="K468" s="36"/>
      <c r="L468" s="36"/>
      <c r="M468" s="36"/>
      <c r="N468" s="36"/>
      <c r="O468" s="36"/>
      <c r="P468" s="36"/>
      <c r="Q468" s="36"/>
    </row>
    <row r="469" spans="1:17" ht="15.75" customHeight="1" x14ac:dyDescent="0.2">
      <c r="A469" s="36"/>
      <c r="B469" s="36"/>
      <c r="C469" s="35"/>
      <c r="D469" s="36"/>
      <c r="E469" s="36"/>
      <c r="F469" s="36"/>
      <c r="G469" s="36"/>
      <c r="H469" s="35"/>
      <c r="I469" s="35"/>
      <c r="J469" s="36"/>
      <c r="K469" s="36"/>
      <c r="L469" s="36"/>
      <c r="M469" s="36"/>
      <c r="N469" s="36"/>
      <c r="O469" s="36"/>
      <c r="P469" s="36"/>
      <c r="Q469" s="36"/>
    </row>
    <row r="470" spans="1:17" ht="15.75" customHeight="1" x14ac:dyDescent="0.2">
      <c r="A470" s="36"/>
      <c r="B470" s="36"/>
      <c r="C470" s="35"/>
      <c r="D470" s="36"/>
      <c r="E470" s="36"/>
      <c r="F470" s="36"/>
      <c r="G470" s="36"/>
      <c r="H470" s="35"/>
      <c r="I470" s="35"/>
      <c r="J470" s="36"/>
      <c r="K470" s="36"/>
      <c r="L470" s="36"/>
      <c r="M470" s="36"/>
      <c r="N470" s="36"/>
      <c r="O470" s="36"/>
      <c r="P470" s="36"/>
      <c r="Q470" s="36"/>
    </row>
    <row r="471" spans="1:17" ht="15.75" customHeight="1" x14ac:dyDescent="0.2">
      <c r="A471" s="36"/>
      <c r="B471" s="36"/>
      <c r="C471" s="35"/>
      <c r="D471" s="36"/>
      <c r="E471" s="36"/>
      <c r="F471" s="36"/>
      <c r="G471" s="36"/>
      <c r="H471" s="35"/>
      <c r="I471" s="35"/>
      <c r="J471" s="36"/>
      <c r="K471" s="36"/>
      <c r="L471" s="36"/>
      <c r="M471" s="36"/>
      <c r="N471" s="36"/>
      <c r="O471" s="36"/>
      <c r="P471" s="36"/>
      <c r="Q471" s="36"/>
    </row>
    <row r="472" spans="1:17" ht="15.75" customHeight="1" x14ac:dyDescent="0.2">
      <c r="A472" s="36"/>
      <c r="B472" s="36"/>
      <c r="C472" s="35"/>
      <c r="D472" s="36"/>
      <c r="E472" s="36"/>
      <c r="F472" s="36"/>
      <c r="G472" s="36"/>
      <c r="H472" s="35"/>
      <c r="I472" s="35"/>
      <c r="J472" s="36"/>
      <c r="K472" s="36"/>
      <c r="L472" s="36"/>
      <c r="M472" s="36"/>
      <c r="N472" s="36"/>
      <c r="O472" s="36"/>
      <c r="P472" s="36"/>
      <c r="Q472" s="36"/>
    </row>
    <row r="473" spans="1:17" ht="15.75" customHeight="1" x14ac:dyDescent="0.2">
      <c r="A473" s="36"/>
      <c r="B473" s="36"/>
      <c r="C473" s="35"/>
      <c r="D473" s="36"/>
      <c r="E473" s="36"/>
      <c r="F473" s="36"/>
      <c r="G473" s="36"/>
      <c r="H473" s="35"/>
      <c r="I473" s="35"/>
      <c r="J473" s="36"/>
      <c r="K473" s="36"/>
      <c r="L473" s="36"/>
      <c r="M473" s="36"/>
      <c r="N473" s="36"/>
      <c r="O473" s="36"/>
      <c r="P473" s="36"/>
      <c r="Q473" s="36"/>
    </row>
    <row r="474" spans="1:17" ht="15.75" customHeight="1" x14ac:dyDescent="0.2">
      <c r="A474" s="36"/>
      <c r="B474" s="36"/>
      <c r="C474" s="35"/>
      <c r="D474" s="36"/>
      <c r="E474" s="36"/>
      <c r="F474" s="36"/>
      <c r="G474" s="36"/>
      <c r="H474" s="35"/>
      <c r="I474" s="35"/>
      <c r="J474" s="36"/>
      <c r="K474" s="36"/>
      <c r="L474" s="36"/>
      <c r="M474" s="36"/>
      <c r="N474" s="36"/>
      <c r="O474" s="36"/>
      <c r="P474" s="36"/>
      <c r="Q474" s="36"/>
    </row>
    <row r="475" spans="1:17" ht="15.75" customHeight="1" x14ac:dyDescent="0.2">
      <c r="A475" s="36"/>
      <c r="B475" s="36"/>
      <c r="C475" s="35"/>
      <c r="D475" s="36"/>
      <c r="E475" s="36"/>
      <c r="F475" s="36"/>
      <c r="G475" s="36"/>
      <c r="H475" s="35"/>
      <c r="I475" s="35"/>
      <c r="J475" s="36"/>
      <c r="K475" s="36"/>
      <c r="L475" s="36"/>
      <c r="M475" s="36"/>
      <c r="N475" s="36"/>
      <c r="O475" s="36"/>
      <c r="P475" s="36"/>
      <c r="Q475" s="36"/>
    </row>
    <row r="476" spans="1:17" ht="15.75" customHeight="1" x14ac:dyDescent="0.2">
      <c r="A476" s="36"/>
      <c r="B476" s="36"/>
      <c r="C476" s="35"/>
      <c r="D476" s="36"/>
      <c r="E476" s="36"/>
      <c r="F476" s="36"/>
      <c r="G476" s="36"/>
      <c r="H476" s="35"/>
      <c r="I476" s="35"/>
      <c r="J476" s="36"/>
      <c r="K476" s="36"/>
      <c r="L476" s="36"/>
      <c r="M476" s="36"/>
      <c r="N476" s="36"/>
      <c r="O476" s="36"/>
      <c r="P476" s="36"/>
      <c r="Q476" s="36"/>
    </row>
    <row r="477" spans="1:17" ht="15.75" customHeight="1" x14ac:dyDescent="0.2">
      <c r="A477" s="36"/>
      <c r="B477" s="36"/>
      <c r="C477" s="35"/>
      <c r="D477" s="36"/>
      <c r="E477" s="36"/>
      <c r="F477" s="36"/>
      <c r="G477" s="36"/>
      <c r="H477" s="35"/>
      <c r="I477" s="35"/>
      <c r="J477" s="36"/>
      <c r="K477" s="36"/>
      <c r="L477" s="36"/>
      <c r="M477" s="36"/>
      <c r="N477" s="36"/>
      <c r="O477" s="36"/>
      <c r="P477" s="36"/>
      <c r="Q477" s="36"/>
    </row>
    <row r="478" spans="1:17" ht="15.75" customHeight="1" x14ac:dyDescent="0.2">
      <c r="A478" s="36"/>
      <c r="B478" s="36"/>
      <c r="C478" s="35"/>
      <c r="D478" s="36"/>
      <c r="E478" s="36"/>
      <c r="F478" s="36"/>
      <c r="G478" s="36"/>
      <c r="H478" s="35"/>
      <c r="I478" s="35"/>
      <c r="J478" s="36"/>
      <c r="K478" s="36"/>
      <c r="L478" s="36"/>
      <c r="M478" s="36"/>
      <c r="N478" s="36"/>
      <c r="O478" s="36"/>
      <c r="P478" s="36"/>
      <c r="Q478" s="36"/>
    </row>
    <row r="479" spans="1:17" ht="15.75" customHeight="1" x14ac:dyDescent="0.2">
      <c r="A479" s="36"/>
      <c r="B479" s="36"/>
      <c r="C479" s="35"/>
      <c r="D479" s="36"/>
      <c r="E479" s="36"/>
      <c r="F479" s="36"/>
      <c r="G479" s="36"/>
      <c r="H479" s="35"/>
      <c r="I479" s="35"/>
      <c r="J479" s="36"/>
      <c r="K479" s="36"/>
      <c r="L479" s="36"/>
      <c r="M479" s="36"/>
      <c r="N479" s="36"/>
      <c r="O479" s="36"/>
      <c r="P479" s="36"/>
      <c r="Q479" s="36"/>
    </row>
    <row r="480" spans="1:17" ht="15.75" customHeight="1" x14ac:dyDescent="0.2">
      <c r="A480" s="36"/>
      <c r="B480" s="36"/>
      <c r="C480" s="35"/>
      <c r="D480" s="36"/>
      <c r="E480" s="36"/>
      <c r="F480" s="36"/>
      <c r="G480" s="36"/>
      <c r="H480" s="35"/>
      <c r="I480" s="35"/>
      <c r="J480" s="36"/>
      <c r="K480" s="36"/>
      <c r="L480" s="36"/>
      <c r="M480" s="36"/>
      <c r="N480" s="36"/>
      <c r="O480" s="36"/>
      <c r="P480" s="36"/>
      <c r="Q480" s="36"/>
    </row>
    <row r="481" spans="1:17" ht="15.75" customHeight="1" x14ac:dyDescent="0.2">
      <c r="A481" s="36"/>
      <c r="B481" s="36"/>
      <c r="C481" s="35"/>
      <c r="D481" s="36"/>
      <c r="E481" s="36"/>
      <c r="F481" s="36"/>
      <c r="G481" s="36"/>
      <c r="H481" s="35"/>
      <c r="I481" s="35"/>
      <c r="J481" s="36"/>
      <c r="K481" s="36"/>
      <c r="L481" s="36"/>
      <c r="M481" s="36"/>
      <c r="N481" s="36"/>
      <c r="O481" s="36"/>
      <c r="P481" s="36"/>
      <c r="Q481" s="36"/>
    </row>
    <row r="482" spans="1:17" ht="15.75" customHeight="1" x14ac:dyDescent="0.2">
      <c r="A482" s="36"/>
      <c r="B482" s="36"/>
      <c r="C482" s="35"/>
      <c r="D482" s="36"/>
      <c r="E482" s="36"/>
      <c r="F482" s="36"/>
      <c r="G482" s="36"/>
      <c r="H482" s="35"/>
      <c r="I482" s="35"/>
      <c r="J482" s="36"/>
      <c r="K482" s="36"/>
      <c r="L482" s="36"/>
      <c r="M482" s="36"/>
      <c r="N482" s="36"/>
      <c r="O482" s="36"/>
      <c r="P482" s="36"/>
      <c r="Q482" s="36"/>
    </row>
    <row r="483" spans="1:17" ht="15.75" customHeight="1" x14ac:dyDescent="0.2">
      <c r="A483" s="36"/>
      <c r="B483" s="36"/>
      <c r="C483" s="35"/>
      <c r="D483" s="36"/>
      <c r="E483" s="36"/>
      <c r="F483" s="36"/>
      <c r="G483" s="36"/>
      <c r="H483" s="35"/>
      <c r="I483" s="35"/>
      <c r="J483" s="36"/>
      <c r="K483" s="36"/>
      <c r="L483" s="36"/>
      <c r="M483" s="36"/>
      <c r="N483" s="36"/>
      <c r="O483" s="36"/>
      <c r="P483" s="36"/>
      <c r="Q483" s="36"/>
    </row>
    <row r="484" spans="1:17" ht="15.75" customHeight="1" x14ac:dyDescent="0.2">
      <c r="A484" s="36"/>
      <c r="B484" s="36"/>
      <c r="C484" s="35"/>
      <c r="D484" s="36"/>
      <c r="E484" s="36"/>
      <c r="F484" s="36"/>
      <c r="G484" s="36"/>
      <c r="H484" s="35"/>
      <c r="I484" s="35"/>
      <c r="J484" s="36"/>
      <c r="K484" s="36"/>
      <c r="L484" s="36"/>
      <c r="M484" s="36"/>
      <c r="N484" s="36"/>
      <c r="O484" s="36"/>
      <c r="P484" s="36"/>
      <c r="Q484" s="36"/>
    </row>
    <row r="485" spans="1:17" ht="15.75" customHeight="1" x14ac:dyDescent="0.2">
      <c r="A485" s="36"/>
      <c r="B485" s="36"/>
      <c r="C485" s="35"/>
      <c r="D485" s="36"/>
      <c r="E485" s="36"/>
      <c r="F485" s="36"/>
      <c r="G485" s="36"/>
      <c r="H485" s="35"/>
      <c r="I485" s="35"/>
      <c r="J485" s="36"/>
      <c r="K485" s="36"/>
      <c r="L485" s="36"/>
      <c r="M485" s="36"/>
      <c r="N485" s="36"/>
      <c r="O485" s="36"/>
      <c r="P485" s="36"/>
      <c r="Q485" s="36"/>
    </row>
    <row r="486" spans="1:17" ht="15.75" customHeight="1" x14ac:dyDescent="0.2">
      <c r="A486" s="36"/>
      <c r="B486" s="36"/>
      <c r="C486" s="35"/>
      <c r="D486" s="36"/>
      <c r="E486" s="36"/>
      <c r="F486" s="36"/>
      <c r="G486" s="36"/>
      <c r="H486" s="35"/>
      <c r="I486" s="35"/>
      <c r="J486" s="36"/>
      <c r="K486" s="36"/>
      <c r="L486" s="36"/>
      <c r="M486" s="36"/>
      <c r="N486" s="36"/>
      <c r="O486" s="36"/>
      <c r="P486" s="36"/>
      <c r="Q486" s="36"/>
    </row>
    <row r="487" spans="1:17" ht="15.75" customHeight="1" x14ac:dyDescent="0.2">
      <c r="A487" s="36"/>
      <c r="B487" s="36"/>
      <c r="C487" s="35"/>
      <c r="D487" s="36"/>
      <c r="E487" s="36"/>
      <c r="F487" s="36"/>
      <c r="G487" s="36"/>
      <c r="H487" s="35"/>
      <c r="I487" s="35"/>
      <c r="J487" s="36"/>
      <c r="K487" s="36"/>
      <c r="L487" s="36"/>
      <c r="M487" s="36"/>
      <c r="N487" s="36"/>
      <c r="O487" s="36"/>
      <c r="P487" s="36"/>
      <c r="Q487" s="36"/>
    </row>
    <row r="488" spans="1:17" ht="15.75" customHeight="1" x14ac:dyDescent="0.2">
      <c r="A488" s="36"/>
      <c r="B488" s="36"/>
      <c r="C488" s="35"/>
      <c r="D488" s="36"/>
      <c r="E488" s="36"/>
      <c r="F488" s="36"/>
      <c r="G488" s="36"/>
      <c r="H488" s="35"/>
      <c r="I488" s="35"/>
      <c r="J488" s="36"/>
      <c r="K488" s="36"/>
      <c r="L488" s="36"/>
      <c r="M488" s="36"/>
      <c r="N488" s="36"/>
      <c r="O488" s="36"/>
      <c r="P488" s="36"/>
      <c r="Q488" s="36"/>
    </row>
    <row r="489" spans="1:17" ht="15.75" customHeight="1" x14ac:dyDescent="0.2">
      <c r="A489" s="36"/>
      <c r="B489" s="36"/>
      <c r="C489" s="35"/>
      <c r="D489" s="36"/>
      <c r="E489" s="36"/>
      <c r="F489" s="36"/>
      <c r="G489" s="36"/>
      <c r="H489" s="35"/>
      <c r="I489" s="35"/>
      <c r="J489" s="36"/>
      <c r="K489" s="36"/>
      <c r="L489" s="36"/>
      <c r="M489" s="36"/>
      <c r="N489" s="36"/>
      <c r="O489" s="36"/>
      <c r="P489" s="36"/>
      <c r="Q489" s="36"/>
    </row>
    <row r="490" spans="1:17" ht="15.75" customHeight="1" x14ac:dyDescent="0.2">
      <c r="A490" s="36"/>
      <c r="B490" s="36"/>
      <c r="C490" s="35"/>
      <c r="D490" s="36"/>
      <c r="E490" s="36"/>
      <c r="F490" s="36"/>
      <c r="G490" s="36"/>
      <c r="H490" s="35"/>
      <c r="I490" s="35"/>
      <c r="J490" s="36"/>
      <c r="K490" s="36"/>
      <c r="L490" s="36"/>
      <c r="M490" s="36"/>
      <c r="N490" s="36"/>
      <c r="O490" s="36"/>
      <c r="P490" s="36"/>
      <c r="Q490" s="36"/>
    </row>
    <row r="491" spans="1:17" ht="15.75" customHeight="1" x14ac:dyDescent="0.2">
      <c r="A491" s="36"/>
      <c r="B491" s="36"/>
      <c r="C491" s="35"/>
      <c r="D491" s="36"/>
      <c r="E491" s="36"/>
      <c r="F491" s="36"/>
      <c r="G491" s="36"/>
      <c r="H491" s="35"/>
      <c r="I491" s="35"/>
      <c r="J491" s="36"/>
      <c r="K491" s="36"/>
      <c r="L491" s="36"/>
      <c r="M491" s="36"/>
      <c r="N491" s="36"/>
      <c r="O491" s="36"/>
      <c r="P491" s="36"/>
      <c r="Q491" s="36"/>
    </row>
    <row r="492" spans="1:17" ht="15.75" customHeight="1" x14ac:dyDescent="0.2">
      <c r="A492" s="36"/>
      <c r="B492" s="36"/>
      <c r="C492" s="35"/>
      <c r="D492" s="36"/>
      <c r="E492" s="36"/>
      <c r="F492" s="36"/>
      <c r="G492" s="36"/>
      <c r="H492" s="35"/>
      <c r="I492" s="35"/>
      <c r="J492" s="36"/>
      <c r="K492" s="36"/>
      <c r="L492" s="36"/>
      <c r="M492" s="36"/>
      <c r="N492" s="36"/>
      <c r="O492" s="36"/>
      <c r="P492" s="36"/>
      <c r="Q492" s="36"/>
    </row>
    <row r="493" spans="1:17" ht="15.75" customHeight="1" x14ac:dyDescent="0.2">
      <c r="A493" s="36"/>
      <c r="B493" s="36"/>
      <c r="C493" s="35"/>
      <c r="D493" s="36"/>
      <c r="E493" s="36"/>
      <c r="F493" s="36"/>
      <c r="G493" s="36"/>
      <c r="H493" s="35"/>
      <c r="I493" s="35"/>
      <c r="J493" s="36"/>
      <c r="K493" s="36"/>
      <c r="L493" s="36"/>
      <c r="M493" s="36"/>
      <c r="N493" s="36"/>
      <c r="O493" s="36"/>
      <c r="P493" s="36"/>
      <c r="Q493" s="36"/>
    </row>
    <row r="494" spans="1:17" ht="15.75" customHeight="1" x14ac:dyDescent="0.2">
      <c r="A494" s="36"/>
      <c r="B494" s="36"/>
      <c r="C494" s="35"/>
      <c r="D494" s="36"/>
      <c r="E494" s="36"/>
      <c r="F494" s="36"/>
      <c r="G494" s="36"/>
      <c r="H494" s="35"/>
      <c r="I494" s="35"/>
      <c r="J494" s="36"/>
      <c r="K494" s="36"/>
      <c r="L494" s="36"/>
      <c r="M494" s="36"/>
      <c r="N494" s="36"/>
      <c r="O494" s="36"/>
      <c r="P494" s="36"/>
      <c r="Q494" s="36"/>
    </row>
    <row r="495" spans="1:17" ht="15.75" customHeight="1" x14ac:dyDescent="0.2">
      <c r="A495" s="36"/>
      <c r="B495" s="36"/>
      <c r="C495" s="35"/>
      <c r="D495" s="36"/>
      <c r="E495" s="36"/>
      <c r="F495" s="36"/>
      <c r="G495" s="36"/>
      <c r="H495" s="35"/>
      <c r="I495" s="35"/>
      <c r="J495" s="36"/>
      <c r="K495" s="36"/>
      <c r="L495" s="36"/>
      <c r="M495" s="36"/>
      <c r="N495" s="36"/>
      <c r="O495" s="36"/>
      <c r="P495" s="36"/>
      <c r="Q495" s="36"/>
    </row>
    <row r="496" spans="1:17" ht="15.75" customHeight="1" x14ac:dyDescent="0.2">
      <c r="A496" s="36"/>
      <c r="B496" s="36"/>
      <c r="C496" s="35"/>
      <c r="D496" s="36"/>
      <c r="E496" s="36"/>
      <c r="F496" s="36"/>
      <c r="G496" s="36"/>
      <c r="H496" s="35"/>
      <c r="I496" s="35"/>
      <c r="J496" s="36"/>
      <c r="K496" s="36"/>
      <c r="L496" s="36"/>
      <c r="M496" s="36"/>
      <c r="N496" s="36"/>
      <c r="O496" s="36"/>
      <c r="P496" s="36"/>
      <c r="Q496" s="36"/>
    </row>
    <row r="497" spans="1:17" ht="15.75" customHeight="1" x14ac:dyDescent="0.2">
      <c r="A497" s="36"/>
      <c r="B497" s="36"/>
      <c r="C497" s="35"/>
      <c r="D497" s="36"/>
      <c r="E497" s="36"/>
      <c r="F497" s="36"/>
      <c r="G497" s="36"/>
      <c r="H497" s="35"/>
      <c r="I497" s="35"/>
      <c r="J497" s="36"/>
      <c r="K497" s="36"/>
      <c r="L497" s="36"/>
      <c r="M497" s="36"/>
      <c r="N497" s="36"/>
      <c r="O497" s="36"/>
      <c r="P497" s="36"/>
      <c r="Q497" s="36"/>
    </row>
    <row r="498" spans="1:17" ht="15.75" customHeight="1" x14ac:dyDescent="0.2">
      <c r="A498" s="36"/>
      <c r="B498" s="36"/>
      <c r="C498" s="35"/>
      <c r="D498" s="36"/>
      <c r="E498" s="36"/>
      <c r="F498" s="36"/>
      <c r="G498" s="36"/>
      <c r="H498" s="35"/>
      <c r="I498" s="35"/>
      <c r="J498" s="36"/>
      <c r="K498" s="36"/>
      <c r="L498" s="36"/>
      <c r="M498" s="36"/>
      <c r="N498" s="36"/>
      <c r="O498" s="36"/>
      <c r="P498" s="36"/>
      <c r="Q498" s="36"/>
    </row>
    <row r="499" spans="1:17" ht="15.75" customHeight="1" x14ac:dyDescent="0.2">
      <c r="A499" s="36"/>
      <c r="B499" s="36"/>
      <c r="C499" s="35"/>
      <c r="D499" s="36"/>
      <c r="E499" s="36"/>
      <c r="F499" s="36"/>
      <c r="G499" s="36"/>
      <c r="H499" s="35"/>
      <c r="I499" s="35"/>
      <c r="J499" s="36"/>
      <c r="K499" s="36"/>
      <c r="L499" s="36"/>
      <c r="M499" s="36"/>
      <c r="N499" s="36"/>
      <c r="O499" s="36"/>
      <c r="P499" s="36"/>
      <c r="Q499" s="36"/>
    </row>
    <row r="500" spans="1:17" ht="15.75" customHeight="1" x14ac:dyDescent="0.2">
      <c r="A500" s="36"/>
      <c r="B500" s="36"/>
      <c r="C500" s="35"/>
      <c r="D500" s="36"/>
      <c r="E500" s="36"/>
      <c r="F500" s="36"/>
      <c r="G500" s="36"/>
      <c r="H500" s="35"/>
      <c r="I500" s="35"/>
      <c r="J500" s="36"/>
      <c r="K500" s="36"/>
      <c r="L500" s="36"/>
      <c r="M500" s="36"/>
      <c r="N500" s="36"/>
      <c r="O500" s="36"/>
      <c r="P500" s="36"/>
      <c r="Q500" s="36"/>
    </row>
    <row r="501" spans="1:17" ht="15.75" customHeight="1" x14ac:dyDescent="0.2">
      <c r="A501" s="36"/>
      <c r="B501" s="36"/>
      <c r="C501" s="35"/>
      <c r="D501" s="36"/>
      <c r="E501" s="36"/>
      <c r="F501" s="36"/>
      <c r="G501" s="36"/>
      <c r="H501" s="35"/>
      <c r="I501" s="35"/>
      <c r="J501" s="36"/>
      <c r="K501" s="36"/>
      <c r="L501" s="36"/>
      <c r="M501" s="36"/>
      <c r="N501" s="36"/>
      <c r="O501" s="36"/>
      <c r="P501" s="36"/>
      <c r="Q501" s="36"/>
    </row>
    <row r="502" spans="1:17" ht="15.75" customHeight="1" x14ac:dyDescent="0.2">
      <c r="A502" s="36"/>
      <c r="B502" s="36"/>
      <c r="C502" s="35"/>
      <c r="D502" s="36"/>
      <c r="E502" s="36"/>
      <c r="F502" s="36"/>
      <c r="G502" s="36"/>
      <c r="H502" s="35"/>
      <c r="I502" s="35"/>
      <c r="J502" s="36"/>
      <c r="K502" s="36"/>
      <c r="L502" s="36"/>
      <c r="M502" s="36"/>
      <c r="N502" s="36"/>
      <c r="O502" s="36"/>
      <c r="P502" s="36"/>
      <c r="Q502" s="36"/>
    </row>
    <row r="503" spans="1:17" ht="15.75" customHeight="1" x14ac:dyDescent="0.2">
      <c r="A503" s="36"/>
      <c r="B503" s="36"/>
      <c r="C503" s="35"/>
      <c r="D503" s="36"/>
      <c r="E503" s="36"/>
      <c r="F503" s="36"/>
      <c r="G503" s="36"/>
      <c r="H503" s="35"/>
      <c r="I503" s="35"/>
      <c r="J503" s="36"/>
      <c r="K503" s="36"/>
      <c r="L503" s="36"/>
      <c r="M503" s="36"/>
      <c r="N503" s="36"/>
      <c r="O503" s="36"/>
      <c r="P503" s="36"/>
      <c r="Q503" s="36"/>
    </row>
    <row r="504" spans="1:17" ht="15.75" customHeight="1" x14ac:dyDescent="0.2">
      <c r="A504" s="36"/>
      <c r="B504" s="36"/>
      <c r="C504" s="35"/>
      <c r="D504" s="36"/>
      <c r="E504" s="36"/>
      <c r="F504" s="36"/>
      <c r="G504" s="36"/>
      <c r="H504" s="35"/>
      <c r="I504" s="35"/>
      <c r="J504" s="36"/>
      <c r="K504" s="36"/>
      <c r="L504" s="36"/>
      <c r="M504" s="36"/>
      <c r="N504" s="36"/>
      <c r="O504" s="36"/>
      <c r="P504" s="36"/>
      <c r="Q504" s="36"/>
    </row>
    <row r="505" spans="1:17" ht="15.75" customHeight="1" x14ac:dyDescent="0.2">
      <c r="A505" s="36"/>
      <c r="B505" s="36"/>
      <c r="C505" s="35"/>
      <c r="D505" s="36"/>
      <c r="E505" s="36"/>
      <c r="F505" s="36"/>
      <c r="G505" s="36"/>
      <c r="H505" s="35"/>
      <c r="I505" s="35"/>
      <c r="J505" s="36"/>
      <c r="K505" s="36"/>
      <c r="L505" s="36"/>
      <c r="M505" s="36"/>
      <c r="N505" s="36"/>
      <c r="O505" s="36"/>
      <c r="P505" s="36"/>
      <c r="Q505" s="36"/>
    </row>
    <row r="506" spans="1:17" ht="15.75" customHeight="1" x14ac:dyDescent="0.2">
      <c r="A506" s="36"/>
      <c r="B506" s="36"/>
      <c r="C506" s="35"/>
      <c r="D506" s="36"/>
      <c r="E506" s="36"/>
      <c r="F506" s="36"/>
      <c r="G506" s="36"/>
      <c r="H506" s="35"/>
      <c r="I506" s="35"/>
      <c r="J506" s="36"/>
      <c r="K506" s="36"/>
      <c r="L506" s="36"/>
      <c r="M506" s="36"/>
      <c r="N506" s="36"/>
      <c r="O506" s="36"/>
      <c r="P506" s="36"/>
      <c r="Q506" s="36"/>
    </row>
    <row r="507" spans="1:17" ht="15.75" customHeight="1" x14ac:dyDescent="0.2">
      <c r="A507" s="36"/>
      <c r="B507" s="36"/>
      <c r="C507" s="35"/>
      <c r="D507" s="36"/>
      <c r="E507" s="36"/>
      <c r="F507" s="36"/>
      <c r="G507" s="36"/>
      <c r="H507" s="35"/>
      <c r="I507" s="35"/>
      <c r="J507" s="36"/>
      <c r="K507" s="36"/>
      <c r="L507" s="36"/>
      <c r="M507" s="36"/>
      <c r="N507" s="36"/>
      <c r="O507" s="36"/>
      <c r="P507" s="36"/>
      <c r="Q507" s="36"/>
    </row>
    <row r="508" spans="1:17" ht="15.75" customHeight="1" x14ac:dyDescent="0.2">
      <c r="A508" s="36"/>
      <c r="B508" s="36"/>
      <c r="C508" s="35"/>
      <c r="D508" s="36"/>
      <c r="E508" s="36"/>
      <c r="F508" s="36"/>
      <c r="G508" s="36"/>
      <c r="H508" s="35"/>
      <c r="I508" s="35"/>
      <c r="J508" s="36"/>
      <c r="K508" s="36"/>
      <c r="L508" s="36"/>
      <c r="M508" s="36"/>
      <c r="N508" s="36"/>
      <c r="O508" s="36"/>
      <c r="P508" s="36"/>
      <c r="Q508" s="36"/>
    </row>
    <row r="509" spans="1:17" ht="15.75" customHeight="1" x14ac:dyDescent="0.2">
      <c r="A509" s="36"/>
      <c r="B509" s="36"/>
      <c r="C509" s="35"/>
      <c r="D509" s="36"/>
      <c r="E509" s="36"/>
      <c r="F509" s="36"/>
      <c r="G509" s="36"/>
      <c r="H509" s="35"/>
      <c r="I509" s="35"/>
      <c r="J509" s="36"/>
      <c r="K509" s="36"/>
      <c r="L509" s="36"/>
      <c r="M509" s="36"/>
      <c r="N509" s="36"/>
      <c r="O509" s="36"/>
      <c r="P509" s="36"/>
      <c r="Q509" s="36"/>
    </row>
    <row r="510" spans="1:17" ht="15.75" customHeight="1" x14ac:dyDescent="0.2">
      <c r="A510" s="36"/>
      <c r="B510" s="36"/>
      <c r="C510" s="35"/>
      <c r="D510" s="36"/>
      <c r="E510" s="36"/>
      <c r="F510" s="36"/>
      <c r="G510" s="36"/>
      <c r="H510" s="35"/>
      <c r="I510" s="35"/>
      <c r="J510" s="36"/>
      <c r="K510" s="36"/>
      <c r="L510" s="36"/>
      <c r="M510" s="36"/>
      <c r="N510" s="36"/>
      <c r="O510" s="36"/>
      <c r="P510" s="36"/>
      <c r="Q510" s="36"/>
    </row>
    <row r="511" spans="1:17" ht="15.75" customHeight="1" x14ac:dyDescent="0.2">
      <c r="A511" s="36"/>
      <c r="B511" s="36"/>
      <c r="C511" s="35"/>
      <c r="D511" s="36"/>
      <c r="E511" s="36"/>
      <c r="F511" s="36"/>
      <c r="G511" s="36"/>
      <c r="H511" s="35"/>
      <c r="I511" s="35"/>
      <c r="J511" s="36"/>
      <c r="K511" s="36"/>
      <c r="L511" s="36"/>
      <c r="M511" s="36"/>
      <c r="N511" s="36"/>
      <c r="O511" s="36"/>
      <c r="P511" s="36"/>
      <c r="Q511" s="36"/>
    </row>
    <row r="512" spans="1:17" ht="15.75" customHeight="1" x14ac:dyDescent="0.2">
      <c r="A512" s="36"/>
      <c r="B512" s="36"/>
      <c r="C512" s="35"/>
      <c r="D512" s="36"/>
      <c r="E512" s="36"/>
      <c r="F512" s="36"/>
      <c r="G512" s="36"/>
      <c r="H512" s="35"/>
      <c r="I512" s="35"/>
      <c r="J512" s="36"/>
      <c r="K512" s="36"/>
      <c r="L512" s="36"/>
      <c r="M512" s="36"/>
      <c r="N512" s="36"/>
      <c r="O512" s="36"/>
      <c r="P512" s="36"/>
      <c r="Q512" s="36"/>
    </row>
    <row r="513" spans="1:17" ht="15.75" customHeight="1" x14ac:dyDescent="0.2">
      <c r="A513" s="36"/>
      <c r="B513" s="36"/>
      <c r="C513" s="35"/>
      <c r="D513" s="36"/>
      <c r="E513" s="36"/>
      <c r="F513" s="36"/>
      <c r="G513" s="36"/>
      <c r="H513" s="35"/>
      <c r="I513" s="35"/>
      <c r="J513" s="36"/>
      <c r="K513" s="36"/>
      <c r="L513" s="36"/>
      <c r="M513" s="36"/>
      <c r="N513" s="36"/>
      <c r="O513" s="36"/>
      <c r="P513" s="36"/>
      <c r="Q513" s="36"/>
    </row>
    <row r="514" spans="1:17" ht="15.75" customHeight="1" x14ac:dyDescent="0.2">
      <c r="A514" s="36"/>
      <c r="B514" s="36"/>
      <c r="C514" s="35"/>
      <c r="D514" s="36"/>
      <c r="E514" s="36"/>
      <c r="F514" s="36"/>
      <c r="G514" s="36"/>
      <c r="H514" s="35"/>
      <c r="I514" s="35"/>
      <c r="J514" s="36"/>
      <c r="K514" s="36"/>
      <c r="L514" s="36"/>
      <c r="M514" s="36"/>
      <c r="N514" s="36"/>
      <c r="O514" s="36"/>
      <c r="P514" s="36"/>
      <c r="Q514" s="36"/>
    </row>
    <row r="515" spans="1:17" ht="15.75" customHeight="1" x14ac:dyDescent="0.2">
      <c r="A515" s="36"/>
      <c r="B515" s="36"/>
      <c r="C515" s="35"/>
      <c r="D515" s="36"/>
      <c r="E515" s="36"/>
      <c r="F515" s="36"/>
      <c r="G515" s="36"/>
      <c r="H515" s="35"/>
      <c r="I515" s="35"/>
      <c r="J515" s="36"/>
      <c r="K515" s="36"/>
      <c r="L515" s="36"/>
      <c r="M515" s="36"/>
      <c r="N515" s="36"/>
      <c r="O515" s="36"/>
      <c r="P515" s="36"/>
      <c r="Q515" s="36"/>
    </row>
    <row r="516" spans="1:17" ht="15.75" customHeight="1" x14ac:dyDescent="0.2">
      <c r="A516" s="36"/>
      <c r="B516" s="36"/>
      <c r="C516" s="35"/>
      <c r="D516" s="36"/>
      <c r="E516" s="36"/>
      <c r="F516" s="36"/>
      <c r="G516" s="36"/>
      <c r="H516" s="35"/>
      <c r="I516" s="35"/>
      <c r="J516" s="36"/>
      <c r="K516" s="36"/>
      <c r="L516" s="36"/>
      <c r="M516" s="36"/>
      <c r="N516" s="36"/>
      <c r="O516" s="36"/>
      <c r="P516" s="36"/>
      <c r="Q516" s="36"/>
    </row>
    <row r="517" spans="1:17" ht="15.75" customHeight="1" x14ac:dyDescent="0.2">
      <c r="A517" s="36"/>
      <c r="B517" s="36"/>
      <c r="C517" s="35"/>
      <c r="D517" s="36"/>
      <c r="E517" s="36"/>
      <c r="F517" s="36"/>
      <c r="G517" s="36"/>
      <c r="H517" s="35"/>
      <c r="I517" s="35"/>
      <c r="J517" s="36"/>
      <c r="K517" s="36"/>
      <c r="L517" s="36"/>
      <c r="M517" s="36"/>
      <c r="N517" s="36"/>
      <c r="O517" s="36"/>
      <c r="P517" s="36"/>
      <c r="Q517" s="36"/>
    </row>
    <row r="518" spans="1:17" ht="15.75" customHeight="1" x14ac:dyDescent="0.2">
      <c r="A518" s="36"/>
      <c r="B518" s="36"/>
      <c r="C518" s="35"/>
      <c r="D518" s="36"/>
      <c r="E518" s="36"/>
      <c r="F518" s="36"/>
      <c r="G518" s="36"/>
      <c r="H518" s="35"/>
      <c r="I518" s="35"/>
      <c r="J518" s="36"/>
      <c r="K518" s="36"/>
      <c r="L518" s="36"/>
      <c r="M518" s="36"/>
      <c r="N518" s="36"/>
      <c r="O518" s="36"/>
      <c r="P518" s="36"/>
      <c r="Q518" s="36"/>
    </row>
    <row r="519" spans="1:17" ht="15.75" customHeight="1" x14ac:dyDescent="0.2">
      <c r="A519" s="36"/>
      <c r="B519" s="36"/>
      <c r="C519" s="35"/>
      <c r="D519" s="36"/>
      <c r="E519" s="36"/>
      <c r="F519" s="36"/>
      <c r="G519" s="36"/>
      <c r="H519" s="35"/>
      <c r="I519" s="35"/>
      <c r="J519" s="36"/>
      <c r="K519" s="36"/>
      <c r="L519" s="36"/>
      <c r="M519" s="36"/>
      <c r="N519" s="36"/>
      <c r="O519" s="36"/>
      <c r="P519" s="36"/>
      <c r="Q519" s="36"/>
    </row>
    <row r="520" spans="1:17" ht="15.75" customHeight="1" x14ac:dyDescent="0.2">
      <c r="A520" s="36"/>
      <c r="B520" s="36"/>
      <c r="C520" s="35"/>
      <c r="D520" s="36"/>
      <c r="E520" s="36"/>
      <c r="F520" s="36"/>
      <c r="G520" s="36"/>
      <c r="H520" s="35"/>
      <c r="I520" s="35"/>
      <c r="J520" s="36"/>
      <c r="K520" s="36"/>
      <c r="L520" s="36"/>
      <c r="M520" s="36"/>
      <c r="N520" s="36"/>
      <c r="O520" s="36"/>
      <c r="P520" s="36"/>
      <c r="Q520" s="36"/>
    </row>
    <row r="521" spans="1:17" ht="15.75" customHeight="1" x14ac:dyDescent="0.2">
      <c r="A521" s="36"/>
      <c r="B521" s="36"/>
      <c r="C521" s="35"/>
      <c r="D521" s="36"/>
      <c r="E521" s="36"/>
      <c r="F521" s="36"/>
      <c r="G521" s="36"/>
      <c r="H521" s="35"/>
      <c r="I521" s="35"/>
      <c r="J521" s="36"/>
      <c r="K521" s="36"/>
      <c r="L521" s="36"/>
      <c r="M521" s="36"/>
      <c r="N521" s="36"/>
      <c r="O521" s="36"/>
      <c r="P521" s="36"/>
      <c r="Q521" s="36"/>
    </row>
    <row r="522" spans="1:17" ht="15.75" customHeight="1" x14ac:dyDescent="0.2">
      <c r="A522" s="36"/>
      <c r="B522" s="36"/>
      <c r="C522" s="35"/>
      <c r="D522" s="36"/>
      <c r="E522" s="36"/>
      <c r="F522" s="36"/>
      <c r="G522" s="36"/>
      <c r="H522" s="35"/>
      <c r="I522" s="35"/>
      <c r="J522" s="36"/>
      <c r="K522" s="36"/>
      <c r="L522" s="36"/>
      <c r="M522" s="36"/>
      <c r="N522" s="36"/>
      <c r="O522" s="36"/>
      <c r="P522" s="36"/>
      <c r="Q522" s="36"/>
    </row>
    <row r="523" spans="1:17" ht="15.75" customHeight="1" x14ac:dyDescent="0.2">
      <c r="A523" s="36"/>
      <c r="B523" s="36"/>
      <c r="C523" s="35"/>
      <c r="D523" s="36"/>
      <c r="E523" s="36"/>
      <c r="F523" s="36"/>
      <c r="G523" s="36"/>
      <c r="H523" s="35"/>
      <c r="I523" s="35"/>
      <c r="J523" s="36"/>
      <c r="K523" s="36"/>
      <c r="L523" s="36"/>
      <c r="M523" s="36"/>
      <c r="N523" s="36"/>
      <c r="O523" s="36"/>
      <c r="P523" s="36"/>
      <c r="Q523" s="36"/>
    </row>
    <row r="524" spans="1:17" ht="15.75" customHeight="1" x14ac:dyDescent="0.2">
      <c r="A524" s="36"/>
      <c r="B524" s="36"/>
      <c r="C524" s="35"/>
      <c r="D524" s="36"/>
      <c r="E524" s="36"/>
      <c r="F524" s="36"/>
      <c r="G524" s="36"/>
      <c r="H524" s="35"/>
      <c r="I524" s="35"/>
      <c r="J524" s="36"/>
      <c r="K524" s="36"/>
      <c r="L524" s="36"/>
      <c r="M524" s="36"/>
      <c r="N524" s="36"/>
      <c r="O524" s="36"/>
      <c r="P524" s="36"/>
      <c r="Q524" s="36"/>
    </row>
    <row r="525" spans="1:17" ht="15.75" customHeight="1" x14ac:dyDescent="0.2">
      <c r="A525" s="36"/>
      <c r="B525" s="36"/>
      <c r="C525" s="35"/>
      <c r="D525" s="36"/>
      <c r="E525" s="36"/>
      <c r="F525" s="36"/>
      <c r="G525" s="36"/>
      <c r="H525" s="35"/>
      <c r="I525" s="35"/>
      <c r="J525" s="36"/>
      <c r="K525" s="36"/>
      <c r="L525" s="36"/>
      <c r="M525" s="36"/>
      <c r="N525" s="36"/>
      <c r="O525" s="36"/>
      <c r="P525" s="36"/>
      <c r="Q525" s="36"/>
    </row>
    <row r="526" spans="1:17" ht="15.75" customHeight="1" x14ac:dyDescent="0.2">
      <c r="A526" s="36"/>
      <c r="B526" s="36"/>
      <c r="C526" s="35"/>
      <c r="D526" s="36"/>
      <c r="E526" s="36"/>
      <c r="F526" s="36"/>
      <c r="G526" s="36"/>
      <c r="H526" s="35"/>
      <c r="I526" s="35"/>
      <c r="J526" s="36"/>
      <c r="K526" s="36"/>
      <c r="L526" s="36"/>
      <c r="M526" s="36"/>
      <c r="N526" s="36"/>
      <c r="O526" s="36"/>
      <c r="P526" s="36"/>
      <c r="Q526" s="36"/>
    </row>
    <row r="527" spans="1:17" ht="15.75" customHeight="1" x14ac:dyDescent="0.2">
      <c r="A527" s="36"/>
      <c r="B527" s="36"/>
      <c r="C527" s="35"/>
      <c r="D527" s="36"/>
      <c r="E527" s="36"/>
      <c r="F527" s="36"/>
      <c r="G527" s="36"/>
      <c r="H527" s="35"/>
      <c r="I527" s="35"/>
      <c r="J527" s="36"/>
      <c r="K527" s="36"/>
      <c r="L527" s="36"/>
      <c r="M527" s="36"/>
      <c r="N527" s="36"/>
      <c r="O527" s="36"/>
      <c r="P527" s="36"/>
      <c r="Q527" s="36"/>
    </row>
    <row r="528" spans="1:17" ht="15.75" customHeight="1" x14ac:dyDescent="0.2">
      <c r="A528" s="36"/>
      <c r="B528" s="36"/>
      <c r="C528" s="35"/>
      <c r="D528" s="36"/>
      <c r="E528" s="36"/>
      <c r="F528" s="36"/>
      <c r="G528" s="36"/>
      <c r="H528" s="35"/>
      <c r="I528" s="35"/>
      <c r="J528" s="36"/>
      <c r="K528" s="36"/>
      <c r="L528" s="36"/>
      <c r="M528" s="36"/>
      <c r="N528" s="36"/>
      <c r="O528" s="36"/>
      <c r="P528" s="36"/>
      <c r="Q528" s="36"/>
    </row>
    <row r="529" spans="1:17" ht="15.75" customHeight="1" x14ac:dyDescent="0.2">
      <c r="A529" s="36"/>
      <c r="B529" s="36"/>
      <c r="C529" s="35"/>
      <c r="D529" s="36"/>
      <c r="E529" s="36"/>
      <c r="F529" s="36"/>
      <c r="G529" s="36"/>
      <c r="H529" s="35"/>
      <c r="I529" s="35"/>
      <c r="J529" s="36"/>
      <c r="K529" s="36"/>
      <c r="L529" s="36"/>
      <c r="M529" s="36"/>
      <c r="N529" s="36"/>
      <c r="O529" s="36"/>
      <c r="P529" s="36"/>
      <c r="Q529" s="36"/>
    </row>
    <row r="530" spans="1:17" ht="15.75" customHeight="1" x14ac:dyDescent="0.2">
      <c r="A530" s="36"/>
      <c r="B530" s="36"/>
      <c r="C530" s="35"/>
      <c r="D530" s="36"/>
      <c r="E530" s="36"/>
      <c r="F530" s="36"/>
      <c r="G530" s="36"/>
      <c r="H530" s="35"/>
      <c r="I530" s="35"/>
      <c r="J530" s="36"/>
      <c r="K530" s="36"/>
      <c r="L530" s="36"/>
      <c r="M530" s="36"/>
      <c r="N530" s="36"/>
      <c r="O530" s="36"/>
      <c r="P530" s="36"/>
      <c r="Q530" s="36"/>
    </row>
    <row r="531" spans="1:17" ht="15.75" customHeight="1" x14ac:dyDescent="0.2">
      <c r="A531" s="36"/>
      <c r="B531" s="36"/>
      <c r="C531" s="35"/>
      <c r="D531" s="36"/>
      <c r="E531" s="36"/>
      <c r="F531" s="36"/>
      <c r="G531" s="36"/>
      <c r="H531" s="35"/>
      <c r="I531" s="35"/>
      <c r="J531" s="36"/>
      <c r="K531" s="36"/>
      <c r="L531" s="36"/>
      <c r="M531" s="36"/>
      <c r="N531" s="36"/>
      <c r="O531" s="36"/>
      <c r="P531" s="36"/>
      <c r="Q531" s="36"/>
    </row>
    <row r="532" spans="1:17" ht="15.75" customHeight="1" x14ac:dyDescent="0.2">
      <c r="A532" s="36"/>
      <c r="B532" s="36"/>
      <c r="C532" s="35"/>
      <c r="D532" s="36"/>
      <c r="E532" s="36"/>
      <c r="F532" s="36"/>
      <c r="G532" s="36"/>
      <c r="H532" s="35"/>
      <c r="I532" s="35"/>
      <c r="J532" s="36"/>
      <c r="K532" s="36"/>
      <c r="L532" s="36"/>
      <c r="M532" s="36"/>
      <c r="N532" s="36"/>
      <c r="O532" s="36"/>
      <c r="P532" s="36"/>
      <c r="Q532" s="36"/>
    </row>
    <row r="533" spans="1:17" ht="15.75" customHeight="1" x14ac:dyDescent="0.2">
      <c r="A533" s="36"/>
      <c r="B533" s="36"/>
      <c r="C533" s="35"/>
      <c r="D533" s="36"/>
      <c r="E533" s="36"/>
      <c r="F533" s="36"/>
      <c r="G533" s="36"/>
      <c r="H533" s="35"/>
      <c r="I533" s="35"/>
      <c r="J533" s="36"/>
      <c r="K533" s="36"/>
      <c r="L533" s="36"/>
      <c r="M533" s="36"/>
      <c r="N533" s="36"/>
      <c r="O533" s="36"/>
      <c r="P533" s="36"/>
      <c r="Q533" s="36"/>
    </row>
    <row r="534" spans="1:17" ht="15.75" customHeight="1" x14ac:dyDescent="0.2">
      <c r="A534" s="36"/>
      <c r="B534" s="36"/>
      <c r="C534" s="35"/>
      <c r="D534" s="36"/>
      <c r="E534" s="36"/>
      <c r="F534" s="36"/>
      <c r="G534" s="36"/>
      <c r="H534" s="35"/>
      <c r="I534" s="35"/>
      <c r="J534" s="36"/>
      <c r="K534" s="36"/>
      <c r="L534" s="36"/>
      <c r="M534" s="36"/>
      <c r="N534" s="36"/>
      <c r="O534" s="36"/>
      <c r="P534" s="36"/>
      <c r="Q534" s="36"/>
    </row>
    <row r="535" spans="1:17" ht="15.75" customHeight="1" x14ac:dyDescent="0.2">
      <c r="A535" s="36"/>
      <c r="B535" s="36"/>
      <c r="C535" s="35"/>
      <c r="D535" s="36"/>
      <c r="E535" s="36"/>
      <c r="F535" s="36"/>
      <c r="G535" s="36"/>
      <c r="H535" s="35"/>
      <c r="I535" s="35"/>
      <c r="J535" s="36"/>
      <c r="K535" s="36"/>
      <c r="L535" s="36"/>
      <c r="M535" s="36"/>
      <c r="N535" s="36"/>
      <c r="O535" s="36"/>
      <c r="P535" s="36"/>
      <c r="Q535" s="36"/>
    </row>
    <row r="536" spans="1:17" ht="15.75" customHeight="1" x14ac:dyDescent="0.2">
      <c r="A536" s="36"/>
      <c r="B536" s="36"/>
      <c r="C536" s="35"/>
      <c r="D536" s="36"/>
      <c r="E536" s="36"/>
      <c r="F536" s="36"/>
      <c r="G536" s="36"/>
      <c r="H536" s="35"/>
      <c r="I536" s="35"/>
      <c r="J536" s="36"/>
      <c r="K536" s="36"/>
      <c r="L536" s="36"/>
      <c r="M536" s="36"/>
      <c r="N536" s="36"/>
      <c r="O536" s="36"/>
      <c r="P536" s="36"/>
      <c r="Q536" s="36"/>
    </row>
    <row r="537" spans="1:17" ht="15.75" customHeight="1" x14ac:dyDescent="0.2">
      <c r="A537" s="36"/>
      <c r="B537" s="36"/>
      <c r="C537" s="35"/>
      <c r="D537" s="36"/>
      <c r="E537" s="36"/>
      <c r="F537" s="36"/>
      <c r="G537" s="36"/>
      <c r="H537" s="35"/>
      <c r="I537" s="35"/>
      <c r="J537" s="36"/>
      <c r="K537" s="36"/>
      <c r="L537" s="36"/>
      <c r="M537" s="36"/>
      <c r="N537" s="36"/>
      <c r="O537" s="36"/>
      <c r="P537" s="36"/>
      <c r="Q537" s="36"/>
    </row>
    <row r="538" spans="1:17" ht="15.75" customHeight="1" x14ac:dyDescent="0.2">
      <c r="A538" s="36"/>
      <c r="B538" s="36"/>
      <c r="C538" s="35"/>
      <c r="D538" s="36"/>
      <c r="E538" s="36"/>
      <c r="F538" s="36"/>
      <c r="G538" s="36"/>
      <c r="H538" s="35"/>
      <c r="I538" s="35"/>
      <c r="J538" s="36"/>
      <c r="K538" s="36"/>
      <c r="L538" s="36"/>
      <c r="M538" s="36"/>
      <c r="N538" s="36"/>
      <c r="O538" s="36"/>
      <c r="P538" s="36"/>
      <c r="Q538" s="36"/>
    </row>
    <row r="539" spans="1:17" ht="15.75" customHeight="1" x14ac:dyDescent="0.2">
      <c r="A539" s="36"/>
      <c r="B539" s="36"/>
      <c r="C539" s="35"/>
      <c r="D539" s="36"/>
      <c r="E539" s="36"/>
      <c r="F539" s="36"/>
      <c r="G539" s="36"/>
      <c r="H539" s="35"/>
      <c r="I539" s="35"/>
      <c r="J539" s="36"/>
      <c r="K539" s="36"/>
      <c r="L539" s="36"/>
      <c r="M539" s="36"/>
      <c r="N539" s="36"/>
      <c r="O539" s="36"/>
      <c r="P539" s="36"/>
      <c r="Q539" s="36"/>
    </row>
    <row r="540" spans="1:17" ht="15.75" customHeight="1" x14ac:dyDescent="0.2">
      <c r="A540" s="36"/>
      <c r="B540" s="36"/>
      <c r="C540" s="35"/>
      <c r="D540" s="36"/>
      <c r="E540" s="36"/>
      <c r="F540" s="36"/>
      <c r="G540" s="36"/>
      <c r="H540" s="35"/>
      <c r="I540" s="35"/>
      <c r="J540" s="36"/>
      <c r="K540" s="36"/>
      <c r="L540" s="36"/>
      <c r="M540" s="36"/>
      <c r="N540" s="36"/>
      <c r="O540" s="36"/>
      <c r="P540" s="36"/>
      <c r="Q540" s="36"/>
    </row>
    <row r="541" spans="1:17" ht="15.75" customHeight="1" x14ac:dyDescent="0.2">
      <c r="A541" s="36"/>
      <c r="B541" s="36"/>
      <c r="C541" s="35"/>
      <c r="D541" s="36"/>
      <c r="E541" s="36"/>
      <c r="F541" s="36"/>
      <c r="G541" s="36"/>
      <c r="H541" s="35"/>
      <c r="I541" s="35"/>
      <c r="J541" s="36"/>
      <c r="K541" s="36"/>
      <c r="L541" s="36"/>
      <c r="M541" s="36"/>
      <c r="N541" s="36"/>
      <c r="O541" s="36"/>
      <c r="P541" s="36"/>
      <c r="Q541" s="36"/>
    </row>
    <row r="542" spans="1:17" ht="15.75" customHeight="1" x14ac:dyDescent="0.2">
      <c r="A542" s="36"/>
      <c r="B542" s="36"/>
      <c r="C542" s="35"/>
      <c r="D542" s="36"/>
      <c r="E542" s="36"/>
      <c r="F542" s="36"/>
      <c r="G542" s="36"/>
      <c r="H542" s="35"/>
      <c r="I542" s="35"/>
      <c r="J542" s="36"/>
      <c r="K542" s="36"/>
      <c r="L542" s="36"/>
      <c r="M542" s="36"/>
      <c r="N542" s="36"/>
      <c r="O542" s="36"/>
      <c r="P542" s="36"/>
      <c r="Q542" s="36"/>
    </row>
    <row r="543" spans="1:17" ht="15.75" customHeight="1" x14ac:dyDescent="0.2">
      <c r="A543" s="36"/>
      <c r="B543" s="36"/>
      <c r="C543" s="35"/>
      <c r="D543" s="36"/>
      <c r="E543" s="36"/>
      <c r="F543" s="36"/>
      <c r="G543" s="36"/>
      <c r="H543" s="35"/>
      <c r="I543" s="35"/>
      <c r="J543" s="36"/>
      <c r="K543" s="36"/>
      <c r="L543" s="36"/>
      <c r="M543" s="36"/>
      <c r="N543" s="36"/>
      <c r="O543" s="36"/>
      <c r="P543" s="36"/>
      <c r="Q543" s="36"/>
    </row>
    <row r="544" spans="1:17" ht="15.75" customHeight="1" x14ac:dyDescent="0.2">
      <c r="A544" s="36"/>
      <c r="B544" s="36"/>
      <c r="C544" s="35"/>
      <c r="D544" s="36"/>
      <c r="E544" s="36"/>
      <c r="F544" s="36"/>
      <c r="G544" s="36"/>
      <c r="H544" s="35"/>
      <c r="I544" s="35"/>
      <c r="J544" s="36"/>
      <c r="K544" s="36"/>
      <c r="L544" s="36"/>
      <c r="M544" s="36"/>
      <c r="N544" s="36"/>
      <c r="O544" s="36"/>
      <c r="P544" s="36"/>
      <c r="Q544" s="36"/>
    </row>
    <row r="545" spans="1:17" ht="15.75" customHeight="1" x14ac:dyDescent="0.2">
      <c r="A545" s="36"/>
      <c r="B545" s="36"/>
      <c r="C545" s="35"/>
      <c r="D545" s="36"/>
      <c r="E545" s="36"/>
      <c r="F545" s="36"/>
      <c r="G545" s="36"/>
      <c r="H545" s="35"/>
      <c r="I545" s="35"/>
      <c r="J545" s="36"/>
      <c r="K545" s="36"/>
      <c r="L545" s="36"/>
      <c r="M545" s="36"/>
      <c r="N545" s="36"/>
      <c r="O545" s="36"/>
      <c r="P545" s="36"/>
      <c r="Q545" s="36"/>
    </row>
    <row r="546" spans="1:17" ht="15.75" customHeight="1" x14ac:dyDescent="0.2">
      <c r="A546" s="36"/>
      <c r="B546" s="36"/>
      <c r="C546" s="35"/>
      <c r="D546" s="36"/>
      <c r="E546" s="36"/>
      <c r="F546" s="36"/>
      <c r="G546" s="36"/>
      <c r="H546" s="35"/>
      <c r="I546" s="35"/>
      <c r="J546" s="36"/>
      <c r="K546" s="36"/>
      <c r="L546" s="36"/>
      <c r="M546" s="36"/>
      <c r="N546" s="36"/>
      <c r="O546" s="36"/>
      <c r="P546" s="36"/>
      <c r="Q546" s="36"/>
    </row>
    <row r="547" spans="1:17" ht="15.75" customHeight="1" x14ac:dyDescent="0.2">
      <c r="A547" s="36"/>
      <c r="B547" s="36"/>
      <c r="C547" s="35"/>
      <c r="D547" s="36"/>
      <c r="E547" s="36"/>
      <c r="F547" s="36"/>
      <c r="G547" s="36"/>
      <c r="H547" s="35"/>
      <c r="I547" s="35"/>
      <c r="J547" s="36"/>
      <c r="K547" s="36"/>
      <c r="L547" s="36"/>
      <c r="M547" s="36"/>
      <c r="N547" s="36"/>
      <c r="O547" s="36"/>
      <c r="P547" s="36"/>
      <c r="Q547" s="36"/>
    </row>
    <row r="548" spans="1:17" ht="15.75" customHeight="1" x14ac:dyDescent="0.2">
      <c r="A548" s="36"/>
      <c r="B548" s="36"/>
      <c r="C548" s="35"/>
      <c r="D548" s="36"/>
      <c r="E548" s="36"/>
      <c r="F548" s="36"/>
      <c r="G548" s="36"/>
      <c r="H548" s="35"/>
      <c r="I548" s="35"/>
      <c r="J548" s="36"/>
      <c r="K548" s="36"/>
      <c r="L548" s="36"/>
      <c r="M548" s="36"/>
      <c r="N548" s="36"/>
      <c r="O548" s="36"/>
      <c r="P548" s="36"/>
      <c r="Q548" s="36"/>
    </row>
    <row r="549" spans="1:17" ht="15.75" customHeight="1" x14ac:dyDescent="0.2">
      <c r="A549" s="36"/>
      <c r="B549" s="36"/>
      <c r="C549" s="35"/>
      <c r="D549" s="36"/>
      <c r="E549" s="36"/>
      <c r="F549" s="36"/>
      <c r="G549" s="36"/>
      <c r="H549" s="35"/>
      <c r="I549" s="35"/>
      <c r="J549" s="36"/>
      <c r="K549" s="36"/>
      <c r="L549" s="36"/>
      <c r="M549" s="36"/>
      <c r="N549" s="36"/>
      <c r="O549" s="36"/>
      <c r="P549" s="36"/>
      <c r="Q549" s="36"/>
    </row>
    <row r="550" spans="1:17" ht="15.75" customHeight="1" x14ac:dyDescent="0.2">
      <c r="A550" s="36"/>
      <c r="B550" s="36"/>
      <c r="C550" s="35"/>
      <c r="D550" s="36"/>
      <c r="E550" s="36"/>
      <c r="F550" s="36"/>
      <c r="G550" s="36"/>
      <c r="H550" s="35"/>
      <c r="I550" s="35"/>
      <c r="J550" s="36"/>
      <c r="K550" s="36"/>
      <c r="L550" s="36"/>
      <c r="M550" s="36"/>
      <c r="N550" s="36"/>
      <c r="O550" s="36"/>
      <c r="P550" s="36"/>
      <c r="Q550" s="36"/>
    </row>
    <row r="551" spans="1:17" ht="15.75" customHeight="1" x14ac:dyDescent="0.2">
      <c r="A551" s="36"/>
      <c r="B551" s="36"/>
      <c r="C551" s="35"/>
      <c r="D551" s="36"/>
      <c r="E551" s="36"/>
      <c r="F551" s="36"/>
      <c r="G551" s="36"/>
      <c r="H551" s="35"/>
      <c r="I551" s="35"/>
      <c r="J551" s="36"/>
      <c r="K551" s="36"/>
      <c r="L551" s="36"/>
      <c r="M551" s="36"/>
      <c r="N551" s="36"/>
      <c r="O551" s="36"/>
      <c r="P551" s="36"/>
      <c r="Q551" s="36"/>
    </row>
    <row r="552" spans="1:17" ht="15.75" customHeight="1" x14ac:dyDescent="0.2">
      <c r="A552" s="36"/>
      <c r="B552" s="36"/>
      <c r="C552" s="35"/>
      <c r="D552" s="36"/>
      <c r="E552" s="36"/>
      <c r="F552" s="36"/>
      <c r="G552" s="36"/>
      <c r="H552" s="35"/>
      <c r="I552" s="35"/>
      <c r="J552" s="36"/>
      <c r="K552" s="36"/>
      <c r="L552" s="36"/>
      <c r="M552" s="36"/>
      <c r="N552" s="36"/>
      <c r="O552" s="36"/>
      <c r="P552" s="36"/>
      <c r="Q552" s="36"/>
    </row>
    <row r="553" spans="1:17" ht="15.75" customHeight="1" x14ac:dyDescent="0.2">
      <c r="A553" s="36"/>
      <c r="B553" s="36"/>
      <c r="C553" s="35"/>
      <c r="D553" s="36"/>
      <c r="E553" s="36"/>
      <c r="F553" s="36"/>
      <c r="G553" s="36"/>
      <c r="H553" s="35"/>
      <c r="I553" s="35"/>
      <c r="J553" s="36"/>
      <c r="K553" s="36"/>
      <c r="L553" s="36"/>
      <c r="M553" s="36"/>
      <c r="N553" s="36"/>
      <c r="O553" s="36"/>
      <c r="P553" s="36"/>
      <c r="Q553" s="36"/>
    </row>
    <row r="554" spans="1:17" ht="15.75" customHeight="1" x14ac:dyDescent="0.2">
      <c r="A554" s="36"/>
      <c r="B554" s="36"/>
      <c r="C554" s="35"/>
      <c r="D554" s="36"/>
      <c r="E554" s="36"/>
      <c r="F554" s="36"/>
      <c r="G554" s="36"/>
      <c r="H554" s="35"/>
      <c r="I554" s="35"/>
      <c r="J554" s="36"/>
      <c r="K554" s="36"/>
      <c r="L554" s="36"/>
      <c r="M554" s="36"/>
      <c r="N554" s="36"/>
      <c r="O554" s="36"/>
      <c r="P554" s="36"/>
      <c r="Q554" s="36"/>
    </row>
    <row r="555" spans="1:17" ht="15.75" customHeight="1" x14ac:dyDescent="0.2">
      <c r="A555" s="36"/>
      <c r="B555" s="36"/>
      <c r="C555" s="35"/>
      <c r="D555" s="36"/>
      <c r="E555" s="36"/>
      <c r="F555" s="36"/>
      <c r="G555" s="36"/>
      <c r="H555" s="35"/>
      <c r="I555" s="35"/>
      <c r="J555" s="36"/>
      <c r="K555" s="36"/>
      <c r="L555" s="36"/>
      <c r="M555" s="36"/>
      <c r="N555" s="36"/>
      <c r="O555" s="36"/>
      <c r="P555" s="36"/>
      <c r="Q555" s="36"/>
    </row>
    <row r="556" spans="1:17" ht="15.75" customHeight="1" x14ac:dyDescent="0.2">
      <c r="A556" s="36"/>
      <c r="B556" s="36"/>
      <c r="C556" s="35"/>
      <c r="D556" s="36"/>
      <c r="E556" s="36"/>
      <c r="F556" s="36"/>
      <c r="G556" s="36"/>
      <c r="H556" s="35"/>
      <c r="I556" s="35"/>
      <c r="J556" s="36"/>
      <c r="K556" s="36"/>
      <c r="L556" s="36"/>
      <c r="M556" s="36"/>
      <c r="N556" s="36"/>
      <c r="O556" s="36"/>
      <c r="P556" s="36"/>
      <c r="Q556" s="36"/>
    </row>
    <row r="557" spans="1:17" ht="15.75" customHeight="1" x14ac:dyDescent="0.2">
      <c r="A557" s="36"/>
      <c r="B557" s="36"/>
      <c r="C557" s="35"/>
      <c r="D557" s="36"/>
      <c r="E557" s="36"/>
      <c r="F557" s="36"/>
      <c r="G557" s="36"/>
      <c r="H557" s="35"/>
      <c r="I557" s="35"/>
      <c r="J557" s="36"/>
      <c r="K557" s="36"/>
      <c r="L557" s="36"/>
      <c r="M557" s="36"/>
      <c r="N557" s="36"/>
      <c r="O557" s="36"/>
      <c r="P557" s="36"/>
      <c r="Q557" s="36"/>
    </row>
    <row r="558" spans="1:17" ht="15.75" customHeight="1" x14ac:dyDescent="0.2">
      <c r="A558" s="36"/>
      <c r="B558" s="36"/>
      <c r="C558" s="35"/>
      <c r="D558" s="36"/>
      <c r="E558" s="36"/>
      <c r="F558" s="36"/>
      <c r="G558" s="36"/>
      <c r="H558" s="35"/>
      <c r="I558" s="35"/>
      <c r="J558" s="36"/>
      <c r="K558" s="36"/>
      <c r="L558" s="36"/>
      <c r="M558" s="36"/>
      <c r="N558" s="36"/>
      <c r="O558" s="36"/>
      <c r="P558" s="36"/>
      <c r="Q558" s="36"/>
    </row>
    <row r="559" spans="1:17" ht="15.75" customHeight="1" x14ac:dyDescent="0.2">
      <c r="A559" s="36"/>
      <c r="B559" s="36"/>
      <c r="C559" s="35"/>
      <c r="D559" s="36"/>
      <c r="E559" s="36"/>
      <c r="F559" s="36"/>
      <c r="G559" s="36"/>
      <c r="H559" s="35"/>
      <c r="I559" s="35"/>
      <c r="J559" s="36"/>
      <c r="K559" s="36"/>
      <c r="L559" s="36"/>
      <c r="M559" s="36"/>
      <c r="N559" s="36"/>
      <c r="O559" s="36"/>
      <c r="P559" s="36"/>
      <c r="Q559" s="36"/>
    </row>
    <row r="560" spans="1:17" ht="15.75" customHeight="1" x14ac:dyDescent="0.2">
      <c r="A560" s="36"/>
      <c r="B560" s="36"/>
      <c r="C560" s="35"/>
      <c r="D560" s="36"/>
      <c r="E560" s="36"/>
      <c r="F560" s="36"/>
      <c r="G560" s="36"/>
      <c r="H560" s="35"/>
      <c r="I560" s="35"/>
      <c r="J560" s="36"/>
      <c r="K560" s="36"/>
      <c r="L560" s="36"/>
      <c r="M560" s="36"/>
      <c r="N560" s="36"/>
      <c r="O560" s="36"/>
      <c r="P560" s="36"/>
      <c r="Q560" s="36"/>
    </row>
    <row r="561" spans="1:17" ht="15.75" customHeight="1" x14ac:dyDescent="0.2">
      <c r="A561" s="36"/>
      <c r="B561" s="36"/>
      <c r="C561" s="35"/>
      <c r="D561" s="36"/>
      <c r="E561" s="36"/>
      <c r="F561" s="36"/>
      <c r="G561" s="36"/>
      <c r="H561" s="35"/>
      <c r="I561" s="35"/>
      <c r="J561" s="36"/>
      <c r="K561" s="36"/>
      <c r="L561" s="36"/>
      <c r="M561" s="36"/>
      <c r="N561" s="36"/>
      <c r="O561" s="36"/>
      <c r="P561" s="36"/>
      <c r="Q561" s="36"/>
    </row>
    <row r="562" spans="1:17" ht="15.75" customHeight="1" x14ac:dyDescent="0.2">
      <c r="A562" s="36"/>
      <c r="B562" s="36"/>
      <c r="C562" s="35"/>
      <c r="D562" s="36"/>
      <c r="E562" s="36"/>
      <c r="F562" s="36"/>
      <c r="G562" s="36"/>
      <c r="H562" s="35"/>
      <c r="I562" s="35"/>
      <c r="J562" s="36"/>
      <c r="K562" s="36"/>
      <c r="L562" s="36"/>
      <c r="M562" s="36"/>
      <c r="N562" s="36"/>
      <c r="O562" s="36"/>
      <c r="P562" s="36"/>
      <c r="Q562" s="36"/>
    </row>
    <row r="563" spans="1:17" ht="15.75" customHeight="1" x14ac:dyDescent="0.2">
      <c r="A563" s="36"/>
      <c r="B563" s="36"/>
      <c r="C563" s="35"/>
      <c r="D563" s="36"/>
      <c r="E563" s="36"/>
      <c r="F563" s="36"/>
      <c r="G563" s="36"/>
      <c r="H563" s="35"/>
      <c r="I563" s="35"/>
      <c r="J563" s="36"/>
      <c r="K563" s="36"/>
      <c r="L563" s="36"/>
      <c r="M563" s="36"/>
      <c r="N563" s="36"/>
      <c r="O563" s="36"/>
      <c r="P563" s="36"/>
      <c r="Q563" s="36"/>
    </row>
    <row r="564" spans="1:17" ht="15.75" customHeight="1" x14ac:dyDescent="0.2">
      <c r="A564" s="36"/>
      <c r="B564" s="36"/>
      <c r="C564" s="35"/>
      <c r="D564" s="36"/>
      <c r="E564" s="36"/>
      <c r="F564" s="36"/>
      <c r="G564" s="36"/>
      <c r="H564" s="35"/>
      <c r="I564" s="35"/>
      <c r="J564" s="36"/>
      <c r="K564" s="36"/>
      <c r="L564" s="36"/>
      <c r="M564" s="36"/>
      <c r="N564" s="36"/>
      <c r="O564" s="36"/>
      <c r="P564" s="36"/>
      <c r="Q564" s="36"/>
    </row>
    <row r="565" spans="1:17" ht="15.75" customHeight="1" x14ac:dyDescent="0.2">
      <c r="A565" s="36"/>
      <c r="B565" s="36"/>
      <c r="C565" s="35"/>
      <c r="D565" s="36"/>
      <c r="E565" s="36"/>
      <c r="F565" s="36"/>
      <c r="G565" s="36"/>
      <c r="H565" s="35"/>
      <c r="I565" s="35"/>
      <c r="J565" s="36"/>
      <c r="K565" s="36"/>
      <c r="L565" s="36"/>
      <c r="M565" s="36"/>
      <c r="N565" s="36"/>
      <c r="O565" s="36"/>
      <c r="P565" s="36"/>
      <c r="Q565" s="36"/>
    </row>
    <row r="566" spans="1:17" ht="15.75" customHeight="1" x14ac:dyDescent="0.2">
      <c r="A566" s="36"/>
      <c r="B566" s="36"/>
      <c r="C566" s="35"/>
      <c r="D566" s="36"/>
      <c r="E566" s="36"/>
      <c r="F566" s="36"/>
      <c r="G566" s="36"/>
      <c r="H566" s="35"/>
      <c r="I566" s="35"/>
      <c r="J566" s="36"/>
      <c r="K566" s="36"/>
      <c r="L566" s="36"/>
      <c r="M566" s="36"/>
      <c r="N566" s="36"/>
      <c r="O566" s="36"/>
      <c r="P566" s="36"/>
      <c r="Q566" s="36"/>
    </row>
    <row r="567" spans="1:17" ht="15.75" customHeight="1" x14ac:dyDescent="0.2">
      <c r="A567" s="36"/>
      <c r="B567" s="36"/>
      <c r="C567" s="35"/>
      <c r="D567" s="36"/>
      <c r="E567" s="36"/>
      <c r="F567" s="36"/>
      <c r="G567" s="36"/>
      <c r="H567" s="35"/>
      <c r="I567" s="35"/>
      <c r="J567" s="36"/>
      <c r="K567" s="36"/>
      <c r="L567" s="36"/>
      <c r="M567" s="36"/>
      <c r="N567" s="36"/>
      <c r="O567" s="36"/>
      <c r="P567" s="36"/>
      <c r="Q567" s="36"/>
    </row>
    <row r="568" spans="1:17" ht="15.75" customHeight="1" x14ac:dyDescent="0.2">
      <c r="A568" s="36"/>
      <c r="B568" s="36"/>
      <c r="C568" s="35"/>
      <c r="D568" s="36"/>
      <c r="E568" s="36"/>
      <c r="F568" s="36"/>
      <c r="G568" s="36"/>
      <c r="H568" s="35"/>
      <c r="I568" s="35"/>
      <c r="J568" s="36"/>
      <c r="K568" s="36"/>
      <c r="L568" s="36"/>
      <c r="M568" s="36"/>
      <c r="N568" s="36"/>
      <c r="O568" s="36"/>
      <c r="P568" s="36"/>
      <c r="Q568" s="36"/>
    </row>
    <row r="569" spans="1:17" ht="15.75" customHeight="1" x14ac:dyDescent="0.2">
      <c r="A569" s="36"/>
      <c r="B569" s="36"/>
      <c r="C569" s="35"/>
      <c r="D569" s="36"/>
      <c r="E569" s="36"/>
      <c r="F569" s="36"/>
      <c r="G569" s="36"/>
      <c r="H569" s="35"/>
      <c r="I569" s="35"/>
      <c r="J569" s="36"/>
      <c r="K569" s="36"/>
      <c r="L569" s="36"/>
      <c r="M569" s="36"/>
      <c r="N569" s="36"/>
      <c r="O569" s="36"/>
      <c r="P569" s="36"/>
      <c r="Q569" s="36"/>
    </row>
    <row r="570" spans="1:17" ht="15.75" customHeight="1" x14ac:dyDescent="0.2">
      <c r="A570" s="36"/>
      <c r="B570" s="36"/>
      <c r="C570" s="35"/>
      <c r="D570" s="36"/>
      <c r="E570" s="36"/>
      <c r="F570" s="36"/>
      <c r="G570" s="36"/>
      <c r="H570" s="35"/>
      <c r="I570" s="35"/>
      <c r="J570" s="36"/>
      <c r="K570" s="36"/>
      <c r="L570" s="36"/>
      <c r="M570" s="36"/>
      <c r="N570" s="36"/>
      <c r="O570" s="36"/>
      <c r="P570" s="36"/>
      <c r="Q570" s="36"/>
    </row>
    <row r="571" spans="1:17" ht="15.75" customHeight="1" x14ac:dyDescent="0.2">
      <c r="A571" s="36"/>
      <c r="B571" s="36"/>
      <c r="C571" s="35"/>
      <c r="D571" s="36"/>
      <c r="E571" s="36"/>
      <c r="F571" s="36"/>
      <c r="G571" s="36"/>
      <c r="H571" s="35"/>
      <c r="I571" s="35"/>
      <c r="J571" s="36"/>
      <c r="K571" s="36"/>
      <c r="L571" s="36"/>
      <c r="M571" s="36"/>
      <c r="N571" s="36"/>
      <c r="O571" s="36"/>
      <c r="P571" s="36"/>
      <c r="Q571" s="36"/>
    </row>
    <row r="572" spans="1:17" ht="15.75" customHeight="1" x14ac:dyDescent="0.2">
      <c r="A572" s="36"/>
      <c r="B572" s="36"/>
      <c r="C572" s="35"/>
      <c r="D572" s="36"/>
      <c r="E572" s="36"/>
      <c r="F572" s="36"/>
      <c r="G572" s="36"/>
      <c r="H572" s="35"/>
      <c r="I572" s="35"/>
      <c r="J572" s="36"/>
      <c r="K572" s="36"/>
      <c r="L572" s="36"/>
      <c r="M572" s="36"/>
      <c r="N572" s="36"/>
      <c r="O572" s="36"/>
      <c r="P572" s="36"/>
      <c r="Q572" s="36"/>
    </row>
    <row r="573" spans="1:17" ht="15.75" customHeight="1" x14ac:dyDescent="0.2">
      <c r="A573" s="36"/>
      <c r="B573" s="36"/>
      <c r="C573" s="35"/>
      <c r="D573" s="36"/>
      <c r="E573" s="36"/>
      <c r="F573" s="36"/>
      <c r="G573" s="36"/>
      <c r="H573" s="35"/>
      <c r="I573" s="35"/>
      <c r="J573" s="36"/>
      <c r="K573" s="36"/>
      <c r="L573" s="36"/>
      <c r="M573" s="36"/>
      <c r="N573" s="36"/>
      <c r="O573" s="36"/>
      <c r="P573" s="36"/>
      <c r="Q573" s="36"/>
    </row>
    <row r="574" spans="1:17" ht="15.75" customHeight="1" x14ac:dyDescent="0.2">
      <c r="A574" s="36"/>
      <c r="B574" s="36"/>
      <c r="C574" s="35"/>
      <c r="D574" s="36"/>
      <c r="E574" s="36"/>
      <c r="F574" s="36"/>
      <c r="G574" s="36"/>
      <c r="H574" s="35"/>
      <c r="I574" s="35"/>
      <c r="J574" s="36"/>
      <c r="K574" s="36"/>
      <c r="L574" s="36"/>
      <c r="M574" s="36"/>
      <c r="N574" s="36"/>
      <c r="O574" s="36"/>
      <c r="P574" s="36"/>
      <c r="Q574" s="36"/>
    </row>
    <row r="575" spans="1:17" ht="15.75" customHeight="1" x14ac:dyDescent="0.2">
      <c r="A575" s="36"/>
      <c r="B575" s="36"/>
      <c r="C575" s="35"/>
      <c r="D575" s="36"/>
      <c r="E575" s="36"/>
      <c r="F575" s="36"/>
      <c r="G575" s="36"/>
      <c r="H575" s="35"/>
      <c r="I575" s="35"/>
      <c r="J575" s="36"/>
      <c r="K575" s="36"/>
      <c r="L575" s="36"/>
      <c r="M575" s="36"/>
      <c r="N575" s="36"/>
      <c r="O575" s="36"/>
      <c r="P575" s="36"/>
      <c r="Q575" s="36"/>
    </row>
    <row r="576" spans="1:17" ht="15.75" customHeight="1" x14ac:dyDescent="0.2">
      <c r="A576" s="36"/>
      <c r="B576" s="36"/>
      <c r="C576" s="35"/>
      <c r="D576" s="36"/>
      <c r="E576" s="36"/>
      <c r="F576" s="36"/>
      <c r="G576" s="36"/>
      <c r="H576" s="35"/>
      <c r="I576" s="35"/>
      <c r="J576" s="36"/>
      <c r="K576" s="36"/>
      <c r="L576" s="36"/>
      <c r="M576" s="36"/>
      <c r="N576" s="36"/>
      <c r="O576" s="36"/>
      <c r="P576" s="36"/>
      <c r="Q576" s="36"/>
    </row>
    <row r="577" spans="1:17" ht="15.75" customHeight="1" x14ac:dyDescent="0.2">
      <c r="A577" s="36"/>
      <c r="B577" s="36"/>
      <c r="C577" s="35"/>
      <c r="D577" s="36"/>
      <c r="E577" s="36"/>
      <c r="F577" s="36"/>
      <c r="G577" s="36"/>
      <c r="H577" s="35"/>
      <c r="I577" s="35"/>
      <c r="J577" s="36"/>
      <c r="K577" s="36"/>
      <c r="L577" s="36"/>
      <c r="M577" s="36"/>
      <c r="N577" s="36"/>
      <c r="O577" s="36"/>
      <c r="P577" s="36"/>
      <c r="Q577" s="36"/>
    </row>
    <row r="578" spans="1:17" ht="15.75" customHeight="1" x14ac:dyDescent="0.2">
      <c r="A578" s="36"/>
      <c r="B578" s="36"/>
      <c r="C578" s="35"/>
      <c r="D578" s="36"/>
      <c r="E578" s="36"/>
      <c r="F578" s="36"/>
      <c r="G578" s="36"/>
      <c r="H578" s="35"/>
      <c r="I578" s="35"/>
      <c r="J578" s="36"/>
      <c r="K578" s="36"/>
      <c r="L578" s="36"/>
      <c r="M578" s="36"/>
      <c r="N578" s="36"/>
      <c r="O578" s="36"/>
      <c r="P578" s="36"/>
      <c r="Q578" s="36"/>
    </row>
    <row r="579" spans="1:17" ht="15.75" customHeight="1" x14ac:dyDescent="0.2">
      <c r="A579" s="36"/>
      <c r="B579" s="36"/>
      <c r="C579" s="35"/>
      <c r="D579" s="36"/>
      <c r="E579" s="36"/>
      <c r="F579" s="36"/>
      <c r="G579" s="36"/>
      <c r="H579" s="35"/>
      <c r="I579" s="35"/>
      <c r="J579" s="36"/>
      <c r="K579" s="36"/>
      <c r="L579" s="36"/>
      <c r="M579" s="36"/>
      <c r="N579" s="36"/>
      <c r="O579" s="36"/>
      <c r="P579" s="36"/>
      <c r="Q579" s="36"/>
    </row>
    <row r="580" spans="1:17" ht="15.75" customHeight="1" x14ac:dyDescent="0.2">
      <c r="A580" s="36"/>
      <c r="B580" s="36"/>
      <c r="C580" s="35"/>
      <c r="D580" s="36"/>
      <c r="E580" s="36"/>
      <c r="F580" s="36"/>
      <c r="G580" s="36"/>
      <c r="H580" s="35"/>
      <c r="I580" s="35"/>
      <c r="J580" s="36"/>
      <c r="K580" s="36"/>
      <c r="L580" s="36"/>
      <c r="M580" s="36"/>
      <c r="N580" s="36"/>
      <c r="O580" s="36"/>
      <c r="P580" s="36"/>
      <c r="Q580" s="36"/>
    </row>
    <row r="581" spans="1:17" ht="15.75" customHeight="1" x14ac:dyDescent="0.2">
      <c r="A581" s="36"/>
      <c r="B581" s="36"/>
      <c r="C581" s="35"/>
      <c r="D581" s="36"/>
      <c r="E581" s="36"/>
      <c r="F581" s="36"/>
      <c r="G581" s="36"/>
      <c r="H581" s="35"/>
      <c r="I581" s="35"/>
      <c r="J581" s="36"/>
      <c r="K581" s="36"/>
      <c r="L581" s="36"/>
      <c r="M581" s="36"/>
      <c r="N581" s="36"/>
      <c r="O581" s="36"/>
      <c r="P581" s="36"/>
      <c r="Q581" s="36"/>
    </row>
    <row r="582" spans="1:17" ht="15.75" customHeight="1" x14ac:dyDescent="0.2">
      <c r="A582" s="36"/>
      <c r="B582" s="36"/>
      <c r="C582" s="35"/>
      <c r="D582" s="36"/>
      <c r="E582" s="36"/>
      <c r="F582" s="36"/>
      <c r="G582" s="36"/>
      <c r="H582" s="35"/>
      <c r="I582" s="35"/>
      <c r="J582" s="36"/>
      <c r="K582" s="36"/>
      <c r="L582" s="36"/>
      <c r="M582" s="36"/>
      <c r="N582" s="36"/>
      <c r="O582" s="36"/>
      <c r="P582" s="36"/>
      <c r="Q582" s="36"/>
    </row>
    <row r="583" spans="1:17" ht="15.75" customHeight="1" x14ac:dyDescent="0.2">
      <c r="A583" s="36"/>
      <c r="B583" s="36"/>
      <c r="C583" s="35"/>
      <c r="D583" s="36"/>
      <c r="E583" s="36"/>
      <c r="F583" s="36"/>
      <c r="G583" s="36"/>
      <c r="H583" s="35"/>
      <c r="I583" s="35"/>
      <c r="J583" s="36"/>
      <c r="K583" s="36"/>
      <c r="L583" s="36"/>
      <c r="M583" s="36"/>
      <c r="N583" s="36"/>
      <c r="O583" s="36"/>
      <c r="P583" s="36"/>
      <c r="Q583" s="36"/>
    </row>
    <row r="584" spans="1:17" ht="15.75" customHeight="1" x14ac:dyDescent="0.2">
      <c r="A584" s="36"/>
      <c r="B584" s="36"/>
      <c r="C584" s="35"/>
      <c r="D584" s="36"/>
      <c r="E584" s="36"/>
      <c r="F584" s="36"/>
      <c r="G584" s="36"/>
      <c r="H584" s="35"/>
      <c r="I584" s="35"/>
      <c r="J584" s="36"/>
      <c r="K584" s="36"/>
      <c r="L584" s="36"/>
      <c r="M584" s="36"/>
      <c r="N584" s="36"/>
      <c r="O584" s="36"/>
      <c r="P584" s="36"/>
      <c r="Q584" s="36"/>
    </row>
    <row r="585" spans="1:17" ht="15.75" customHeight="1" x14ac:dyDescent="0.2">
      <c r="A585" s="36"/>
      <c r="B585" s="36"/>
      <c r="C585" s="35"/>
      <c r="D585" s="36"/>
      <c r="E585" s="36"/>
      <c r="F585" s="36"/>
      <c r="G585" s="36"/>
      <c r="H585" s="35"/>
      <c r="I585" s="35"/>
      <c r="J585" s="36"/>
      <c r="K585" s="36"/>
      <c r="L585" s="36"/>
      <c r="M585" s="36"/>
      <c r="N585" s="36"/>
      <c r="O585" s="36"/>
      <c r="P585" s="36"/>
      <c r="Q585" s="36"/>
    </row>
    <row r="586" spans="1:17" ht="15.75" customHeight="1" x14ac:dyDescent="0.2">
      <c r="A586" s="36"/>
      <c r="B586" s="36"/>
      <c r="C586" s="35"/>
      <c r="D586" s="36"/>
      <c r="E586" s="36"/>
      <c r="F586" s="36"/>
      <c r="G586" s="36"/>
      <c r="H586" s="35"/>
      <c r="I586" s="35"/>
      <c r="J586" s="36"/>
      <c r="K586" s="36"/>
      <c r="L586" s="36"/>
      <c r="M586" s="36"/>
      <c r="N586" s="36"/>
      <c r="O586" s="36"/>
      <c r="P586" s="36"/>
      <c r="Q586" s="36"/>
    </row>
    <row r="587" spans="1:17" ht="15.75" customHeight="1" x14ac:dyDescent="0.2">
      <c r="A587" s="36"/>
      <c r="B587" s="36"/>
      <c r="C587" s="35"/>
      <c r="D587" s="36"/>
      <c r="E587" s="36"/>
      <c r="F587" s="36"/>
      <c r="G587" s="36"/>
      <c r="H587" s="35"/>
      <c r="I587" s="35"/>
      <c r="J587" s="36"/>
      <c r="K587" s="36"/>
      <c r="L587" s="36"/>
      <c r="M587" s="36"/>
      <c r="N587" s="36"/>
      <c r="O587" s="36"/>
      <c r="P587" s="36"/>
      <c r="Q587" s="36"/>
    </row>
    <row r="588" spans="1:17" ht="15.75" customHeight="1" x14ac:dyDescent="0.2">
      <c r="A588" s="36"/>
      <c r="B588" s="36"/>
      <c r="C588" s="35"/>
      <c r="D588" s="36"/>
      <c r="E588" s="36"/>
      <c r="F588" s="36"/>
      <c r="G588" s="36"/>
      <c r="H588" s="35"/>
      <c r="I588" s="35"/>
      <c r="J588" s="36"/>
      <c r="K588" s="36"/>
      <c r="L588" s="36"/>
      <c r="M588" s="36"/>
      <c r="N588" s="36"/>
      <c r="O588" s="36"/>
      <c r="P588" s="36"/>
      <c r="Q588" s="36"/>
    </row>
    <row r="589" spans="1:17" ht="15.75" customHeight="1" x14ac:dyDescent="0.2">
      <c r="A589" s="36"/>
      <c r="B589" s="36"/>
      <c r="C589" s="35"/>
      <c r="D589" s="36"/>
      <c r="E589" s="36"/>
      <c r="F589" s="36"/>
      <c r="G589" s="36"/>
      <c r="H589" s="35"/>
      <c r="I589" s="35"/>
      <c r="J589" s="36"/>
      <c r="K589" s="36"/>
      <c r="L589" s="36"/>
      <c r="M589" s="36"/>
      <c r="N589" s="36"/>
      <c r="O589" s="36"/>
      <c r="P589" s="36"/>
      <c r="Q589" s="36"/>
    </row>
    <row r="590" spans="1:17" ht="15.75" customHeight="1" x14ac:dyDescent="0.2">
      <c r="A590" s="36"/>
      <c r="B590" s="36"/>
      <c r="C590" s="35"/>
      <c r="D590" s="36"/>
      <c r="E590" s="36"/>
      <c r="F590" s="36"/>
      <c r="G590" s="36"/>
      <c r="H590" s="35"/>
      <c r="I590" s="35"/>
      <c r="J590" s="36"/>
      <c r="K590" s="36"/>
      <c r="L590" s="36"/>
      <c r="M590" s="36"/>
      <c r="N590" s="36"/>
      <c r="O590" s="36"/>
      <c r="P590" s="36"/>
      <c r="Q590" s="36"/>
    </row>
    <row r="591" spans="1:17" ht="15.75" customHeight="1" x14ac:dyDescent="0.2">
      <c r="A591" s="36"/>
      <c r="B591" s="36"/>
      <c r="C591" s="35"/>
      <c r="D591" s="36"/>
      <c r="E591" s="36"/>
      <c r="F591" s="36"/>
      <c r="G591" s="36"/>
      <c r="H591" s="35"/>
      <c r="I591" s="35"/>
      <c r="J591" s="36"/>
      <c r="K591" s="36"/>
      <c r="L591" s="36"/>
      <c r="M591" s="36"/>
      <c r="N591" s="36"/>
      <c r="O591" s="36"/>
      <c r="P591" s="36"/>
      <c r="Q591" s="36"/>
    </row>
    <row r="592" spans="1:17" ht="15.75" customHeight="1" x14ac:dyDescent="0.2">
      <c r="A592" s="36"/>
      <c r="B592" s="36"/>
      <c r="C592" s="35"/>
      <c r="D592" s="36"/>
      <c r="E592" s="36"/>
      <c r="F592" s="36"/>
      <c r="G592" s="36"/>
      <c r="H592" s="35"/>
      <c r="I592" s="35"/>
      <c r="J592" s="36"/>
      <c r="K592" s="36"/>
      <c r="L592" s="36"/>
      <c r="M592" s="36"/>
      <c r="N592" s="36"/>
      <c r="O592" s="36"/>
      <c r="P592" s="36"/>
      <c r="Q592" s="36"/>
    </row>
    <row r="593" spans="1:17" ht="15.75" customHeight="1" x14ac:dyDescent="0.2">
      <c r="A593" s="36"/>
      <c r="B593" s="36"/>
      <c r="C593" s="35"/>
      <c r="D593" s="36"/>
      <c r="E593" s="36"/>
      <c r="F593" s="36"/>
      <c r="G593" s="36"/>
      <c r="H593" s="35"/>
      <c r="I593" s="35"/>
      <c r="J593" s="36"/>
      <c r="K593" s="36"/>
      <c r="L593" s="36"/>
      <c r="M593" s="36"/>
      <c r="N593" s="36"/>
      <c r="O593" s="36"/>
      <c r="P593" s="36"/>
      <c r="Q593" s="36"/>
    </row>
    <row r="594" spans="1:17" ht="15.75" customHeight="1" x14ac:dyDescent="0.2">
      <c r="A594" s="36"/>
      <c r="B594" s="36"/>
      <c r="C594" s="35"/>
      <c r="D594" s="36"/>
      <c r="E594" s="36"/>
      <c r="F594" s="36"/>
      <c r="G594" s="36"/>
      <c r="H594" s="35"/>
      <c r="I594" s="35"/>
      <c r="J594" s="36"/>
      <c r="K594" s="36"/>
      <c r="L594" s="36"/>
      <c r="M594" s="36"/>
      <c r="N594" s="36"/>
      <c r="O594" s="36"/>
      <c r="P594" s="36"/>
      <c r="Q594" s="36"/>
    </row>
    <row r="595" spans="1:17" ht="15.75" customHeight="1" x14ac:dyDescent="0.2">
      <c r="A595" s="36"/>
      <c r="B595" s="36"/>
      <c r="C595" s="35"/>
      <c r="D595" s="36"/>
      <c r="E595" s="36"/>
      <c r="F595" s="36"/>
      <c r="G595" s="36"/>
      <c r="H595" s="35"/>
      <c r="I595" s="35"/>
      <c r="J595" s="36"/>
      <c r="K595" s="36"/>
      <c r="L595" s="36"/>
      <c r="M595" s="36"/>
      <c r="N595" s="36"/>
      <c r="O595" s="36"/>
      <c r="P595" s="36"/>
      <c r="Q595" s="36"/>
    </row>
    <row r="596" spans="1:17" ht="15.75" customHeight="1" x14ac:dyDescent="0.2">
      <c r="A596" s="36"/>
      <c r="B596" s="36"/>
      <c r="C596" s="35"/>
      <c r="D596" s="36"/>
      <c r="E596" s="36"/>
      <c r="F596" s="36"/>
      <c r="G596" s="36"/>
      <c r="H596" s="35"/>
      <c r="I596" s="35"/>
      <c r="J596" s="36"/>
      <c r="K596" s="36"/>
      <c r="L596" s="36"/>
      <c r="M596" s="36"/>
      <c r="N596" s="36"/>
      <c r="O596" s="36"/>
      <c r="P596" s="36"/>
      <c r="Q596" s="36"/>
    </row>
    <row r="597" spans="1:17" ht="15.75" customHeight="1" x14ac:dyDescent="0.2">
      <c r="A597" s="36"/>
      <c r="B597" s="36"/>
      <c r="C597" s="35"/>
      <c r="D597" s="36"/>
      <c r="E597" s="36"/>
      <c r="F597" s="36"/>
      <c r="G597" s="36"/>
      <c r="H597" s="35"/>
      <c r="I597" s="35"/>
      <c r="J597" s="36"/>
      <c r="K597" s="36"/>
      <c r="L597" s="36"/>
      <c r="M597" s="36"/>
      <c r="N597" s="36"/>
      <c r="O597" s="36"/>
      <c r="P597" s="36"/>
      <c r="Q597" s="36"/>
    </row>
    <row r="598" spans="1:17" ht="15.75" customHeight="1" x14ac:dyDescent="0.2">
      <c r="A598" s="36"/>
      <c r="B598" s="36"/>
      <c r="C598" s="35"/>
      <c r="D598" s="36"/>
      <c r="E598" s="36"/>
      <c r="F598" s="36"/>
      <c r="G598" s="36"/>
      <c r="H598" s="35"/>
      <c r="I598" s="35"/>
      <c r="J598" s="36"/>
      <c r="K598" s="36"/>
      <c r="L598" s="36"/>
      <c r="M598" s="36"/>
      <c r="N598" s="36"/>
      <c r="O598" s="36"/>
      <c r="P598" s="36"/>
      <c r="Q598" s="36"/>
    </row>
    <row r="599" spans="1:17" ht="15.75" customHeight="1" x14ac:dyDescent="0.2">
      <c r="A599" s="36"/>
      <c r="B599" s="36"/>
      <c r="C599" s="35"/>
      <c r="D599" s="36"/>
      <c r="E599" s="36"/>
      <c r="F599" s="36"/>
      <c r="G599" s="36"/>
      <c r="H599" s="35"/>
      <c r="I599" s="35"/>
      <c r="J599" s="36"/>
      <c r="K599" s="36"/>
      <c r="L599" s="36"/>
      <c r="M599" s="36"/>
      <c r="N599" s="36"/>
      <c r="O599" s="36"/>
      <c r="P599" s="36"/>
      <c r="Q599" s="36"/>
    </row>
    <row r="600" spans="1:17" ht="15.75" customHeight="1" x14ac:dyDescent="0.2">
      <c r="A600" s="36"/>
      <c r="B600" s="36"/>
      <c r="C600" s="35"/>
      <c r="D600" s="36"/>
      <c r="E600" s="36"/>
      <c r="F600" s="36"/>
      <c r="G600" s="36"/>
      <c r="H600" s="35"/>
      <c r="I600" s="35"/>
      <c r="J600" s="36"/>
      <c r="K600" s="36"/>
      <c r="L600" s="36"/>
      <c r="M600" s="36"/>
      <c r="N600" s="36"/>
      <c r="O600" s="36"/>
      <c r="P600" s="36"/>
      <c r="Q600" s="36"/>
    </row>
    <row r="601" spans="1:17" ht="15.75" customHeight="1" x14ac:dyDescent="0.2">
      <c r="A601" s="36"/>
      <c r="B601" s="36"/>
      <c r="C601" s="35"/>
      <c r="D601" s="36"/>
      <c r="E601" s="36"/>
      <c r="F601" s="36"/>
      <c r="G601" s="36"/>
      <c r="H601" s="35"/>
      <c r="I601" s="35"/>
      <c r="J601" s="36"/>
      <c r="K601" s="36"/>
      <c r="L601" s="36"/>
      <c r="M601" s="36"/>
      <c r="N601" s="36"/>
      <c r="O601" s="36"/>
      <c r="P601" s="36"/>
      <c r="Q601" s="36"/>
    </row>
    <row r="602" spans="1:17" ht="15.75" customHeight="1" x14ac:dyDescent="0.2">
      <c r="A602" s="36"/>
      <c r="B602" s="36"/>
      <c r="C602" s="35"/>
      <c r="D602" s="36"/>
      <c r="E602" s="36"/>
      <c r="F602" s="36"/>
      <c r="G602" s="36"/>
      <c r="H602" s="35"/>
      <c r="I602" s="35"/>
      <c r="J602" s="36"/>
      <c r="K602" s="36"/>
      <c r="L602" s="36"/>
      <c r="M602" s="36"/>
      <c r="N602" s="36"/>
      <c r="O602" s="36"/>
      <c r="P602" s="36"/>
      <c r="Q602" s="36"/>
    </row>
    <row r="603" spans="1:17" ht="15.75" customHeight="1" x14ac:dyDescent="0.2">
      <c r="A603" s="36"/>
      <c r="B603" s="36"/>
      <c r="C603" s="35"/>
      <c r="D603" s="36"/>
      <c r="E603" s="36"/>
      <c r="F603" s="36"/>
      <c r="G603" s="36"/>
      <c r="H603" s="35"/>
      <c r="I603" s="35"/>
      <c r="J603" s="36"/>
      <c r="K603" s="36"/>
      <c r="L603" s="36"/>
      <c r="M603" s="36"/>
      <c r="N603" s="36"/>
      <c r="O603" s="36"/>
      <c r="P603" s="36"/>
      <c r="Q603" s="36"/>
    </row>
    <row r="604" spans="1:17" ht="15.75" customHeight="1" x14ac:dyDescent="0.2">
      <c r="A604" s="36"/>
      <c r="B604" s="36"/>
      <c r="C604" s="35"/>
      <c r="D604" s="36"/>
      <c r="E604" s="36"/>
      <c r="F604" s="36"/>
      <c r="G604" s="36"/>
      <c r="H604" s="35"/>
      <c r="I604" s="35"/>
      <c r="J604" s="36"/>
      <c r="K604" s="36"/>
      <c r="L604" s="36"/>
      <c r="M604" s="36"/>
      <c r="N604" s="36"/>
      <c r="O604" s="36"/>
      <c r="P604" s="36"/>
      <c r="Q604" s="36"/>
    </row>
    <row r="605" spans="1:17" ht="15.75" customHeight="1" x14ac:dyDescent="0.2">
      <c r="A605" s="36"/>
      <c r="B605" s="36"/>
      <c r="C605" s="35"/>
      <c r="D605" s="36"/>
      <c r="E605" s="36"/>
      <c r="F605" s="36"/>
      <c r="G605" s="36"/>
      <c r="H605" s="35"/>
      <c r="I605" s="35"/>
      <c r="J605" s="36"/>
      <c r="K605" s="36"/>
      <c r="L605" s="36"/>
      <c r="M605" s="36"/>
      <c r="N605" s="36"/>
      <c r="O605" s="36"/>
      <c r="P605" s="36"/>
      <c r="Q605" s="36"/>
    </row>
    <row r="606" spans="1:17" ht="15.75" customHeight="1" x14ac:dyDescent="0.2">
      <c r="A606" s="36"/>
      <c r="B606" s="36"/>
      <c r="C606" s="35"/>
      <c r="D606" s="36"/>
      <c r="E606" s="36"/>
      <c r="F606" s="36"/>
      <c r="G606" s="36"/>
      <c r="H606" s="35"/>
      <c r="I606" s="35"/>
      <c r="J606" s="36"/>
      <c r="K606" s="36"/>
      <c r="L606" s="36"/>
      <c r="M606" s="36"/>
      <c r="N606" s="36"/>
      <c r="O606" s="36"/>
      <c r="P606" s="36"/>
      <c r="Q606" s="36"/>
    </row>
    <row r="607" spans="1:17" ht="15.75" customHeight="1" x14ac:dyDescent="0.2">
      <c r="A607" s="36"/>
      <c r="B607" s="36"/>
      <c r="C607" s="35"/>
      <c r="D607" s="36"/>
      <c r="E607" s="36"/>
      <c r="F607" s="36"/>
      <c r="G607" s="36"/>
      <c r="H607" s="35"/>
      <c r="I607" s="35"/>
      <c r="J607" s="36"/>
      <c r="K607" s="36"/>
      <c r="L607" s="36"/>
      <c r="M607" s="36"/>
      <c r="N607" s="36"/>
      <c r="O607" s="36"/>
      <c r="P607" s="36"/>
      <c r="Q607" s="36"/>
    </row>
    <row r="608" spans="1:17" ht="15.75" customHeight="1" x14ac:dyDescent="0.2">
      <c r="A608" s="36"/>
      <c r="B608" s="36"/>
      <c r="C608" s="35"/>
      <c r="D608" s="36"/>
      <c r="E608" s="36"/>
      <c r="F608" s="36"/>
      <c r="G608" s="36"/>
      <c r="H608" s="35"/>
      <c r="I608" s="35"/>
      <c r="J608" s="36"/>
      <c r="K608" s="36"/>
      <c r="L608" s="36"/>
      <c r="M608" s="36"/>
      <c r="N608" s="36"/>
      <c r="O608" s="36"/>
      <c r="P608" s="36"/>
      <c r="Q608" s="36"/>
    </row>
    <row r="609" spans="1:17" ht="15.75" customHeight="1" x14ac:dyDescent="0.2">
      <c r="A609" s="36"/>
      <c r="B609" s="36"/>
      <c r="C609" s="35"/>
      <c r="D609" s="36"/>
      <c r="E609" s="36"/>
      <c r="F609" s="36"/>
      <c r="G609" s="36"/>
      <c r="H609" s="35"/>
      <c r="I609" s="35"/>
      <c r="J609" s="36"/>
      <c r="K609" s="36"/>
      <c r="L609" s="36"/>
      <c r="M609" s="36"/>
      <c r="N609" s="36"/>
      <c r="O609" s="36"/>
      <c r="P609" s="36"/>
      <c r="Q609" s="36"/>
    </row>
    <row r="610" spans="1:17" ht="15.75" customHeight="1" x14ac:dyDescent="0.2">
      <c r="A610" s="36"/>
      <c r="B610" s="36"/>
      <c r="C610" s="35"/>
      <c r="D610" s="36"/>
      <c r="E610" s="36"/>
      <c r="F610" s="36"/>
      <c r="G610" s="36"/>
      <c r="H610" s="35"/>
      <c r="I610" s="35"/>
      <c r="J610" s="36"/>
      <c r="K610" s="36"/>
      <c r="L610" s="36"/>
      <c r="M610" s="36"/>
      <c r="N610" s="36"/>
      <c r="O610" s="36"/>
      <c r="P610" s="36"/>
      <c r="Q610" s="36"/>
    </row>
    <row r="611" spans="1:17" ht="15.75" customHeight="1" x14ac:dyDescent="0.2">
      <c r="A611" s="36"/>
      <c r="B611" s="36"/>
      <c r="C611" s="35"/>
      <c r="D611" s="36"/>
      <c r="E611" s="36"/>
      <c r="F611" s="36"/>
      <c r="G611" s="36"/>
      <c r="H611" s="35"/>
      <c r="I611" s="35"/>
      <c r="J611" s="36"/>
      <c r="K611" s="36"/>
      <c r="L611" s="36"/>
      <c r="M611" s="36"/>
      <c r="N611" s="36"/>
      <c r="O611" s="36"/>
      <c r="P611" s="36"/>
      <c r="Q611" s="36"/>
    </row>
    <row r="612" spans="1:17" ht="15.75" customHeight="1" x14ac:dyDescent="0.2">
      <c r="A612" s="36"/>
      <c r="B612" s="36"/>
      <c r="C612" s="35"/>
      <c r="D612" s="36"/>
      <c r="E612" s="36"/>
      <c r="F612" s="36"/>
      <c r="G612" s="36"/>
      <c r="H612" s="35"/>
      <c r="I612" s="35"/>
      <c r="J612" s="36"/>
      <c r="K612" s="36"/>
      <c r="L612" s="36"/>
      <c r="M612" s="36"/>
      <c r="N612" s="36"/>
      <c r="O612" s="36"/>
      <c r="P612" s="36"/>
      <c r="Q612" s="36"/>
    </row>
    <row r="613" spans="1:17" ht="15.75" customHeight="1" x14ac:dyDescent="0.2">
      <c r="A613" s="36"/>
      <c r="B613" s="36"/>
      <c r="C613" s="35"/>
      <c r="D613" s="36"/>
      <c r="E613" s="36"/>
      <c r="F613" s="36"/>
      <c r="G613" s="36"/>
      <c r="H613" s="35"/>
      <c r="I613" s="35"/>
      <c r="J613" s="36"/>
      <c r="K613" s="36"/>
      <c r="L613" s="36"/>
      <c r="M613" s="36"/>
      <c r="N613" s="36"/>
      <c r="O613" s="36"/>
      <c r="P613" s="36"/>
      <c r="Q613" s="36"/>
    </row>
    <row r="614" spans="1:17" ht="15.75" customHeight="1" x14ac:dyDescent="0.2">
      <c r="A614" s="36"/>
      <c r="B614" s="36"/>
      <c r="C614" s="35"/>
      <c r="D614" s="36"/>
      <c r="E614" s="36"/>
      <c r="F614" s="36"/>
      <c r="G614" s="36"/>
      <c r="H614" s="35"/>
      <c r="I614" s="35"/>
      <c r="J614" s="36"/>
      <c r="K614" s="36"/>
      <c r="L614" s="36"/>
      <c r="M614" s="36"/>
      <c r="N614" s="36"/>
      <c r="O614" s="36"/>
      <c r="P614" s="36"/>
      <c r="Q614" s="36"/>
    </row>
    <row r="615" spans="1:17" ht="15.75" customHeight="1" x14ac:dyDescent="0.2">
      <c r="A615" s="36"/>
      <c r="B615" s="36"/>
      <c r="C615" s="35"/>
      <c r="D615" s="36"/>
      <c r="E615" s="36"/>
      <c r="F615" s="36"/>
      <c r="G615" s="36"/>
      <c r="H615" s="35"/>
      <c r="I615" s="35"/>
      <c r="J615" s="36"/>
      <c r="K615" s="36"/>
      <c r="L615" s="36"/>
      <c r="M615" s="36"/>
      <c r="N615" s="36"/>
      <c r="O615" s="36"/>
      <c r="P615" s="36"/>
      <c r="Q615" s="36"/>
    </row>
    <row r="616" spans="1:17" ht="15.75" customHeight="1" x14ac:dyDescent="0.2">
      <c r="A616" s="36"/>
      <c r="B616" s="36"/>
      <c r="C616" s="35"/>
      <c r="D616" s="36"/>
      <c r="E616" s="36"/>
      <c r="F616" s="36"/>
      <c r="G616" s="36"/>
      <c r="H616" s="35"/>
      <c r="I616" s="35"/>
      <c r="J616" s="36"/>
      <c r="K616" s="36"/>
      <c r="L616" s="36"/>
      <c r="M616" s="36"/>
      <c r="N616" s="36"/>
      <c r="O616" s="36"/>
      <c r="P616" s="36"/>
      <c r="Q616" s="36"/>
    </row>
    <row r="617" spans="1:17" ht="15.75" customHeight="1" x14ac:dyDescent="0.2">
      <c r="A617" s="36"/>
      <c r="B617" s="36"/>
      <c r="C617" s="35"/>
      <c r="D617" s="36"/>
      <c r="E617" s="36"/>
      <c r="F617" s="36"/>
      <c r="G617" s="36"/>
      <c r="H617" s="35"/>
      <c r="I617" s="35"/>
      <c r="J617" s="36"/>
      <c r="K617" s="36"/>
      <c r="L617" s="36"/>
      <c r="M617" s="36"/>
      <c r="N617" s="36"/>
      <c r="O617" s="36"/>
      <c r="P617" s="36"/>
      <c r="Q617" s="36"/>
    </row>
    <row r="618" spans="1:17" ht="15.75" customHeight="1" x14ac:dyDescent="0.2">
      <c r="A618" s="36"/>
      <c r="B618" s="36"/>
      <c r="C618" s="35"/>
      <c r="D618" s="36"/>
      <c r="E618" s="36"/>
      <c r="F618" s="36"/>
      <c r="G618" s="36"/>
      <c r="H618" s="35"/>
      <c r="I618" s="35"/>
      <c r="J618" s="36"/>
      <c r="K618" s="36"/>
      <c r="L618" s="36"/>
      <c r="M618" s="36"/>
      <c r="N618" s="36"/>
      <c r="O618" s="36"/>
      <c r="P618" s="36"/>
      <c r="Q618" s="36"/>
    </row>
    <row r="619" spans="1:17" ht="15.75" customHeight="1" x14ac:dyDescent="0.2">
      <c r="A619" s="36"/>
      <c r="B619" s="36"/>
      <c r="C619" s="35"/>
      <c r="D619" s="36"/>
      <c r="E619" s="36"/>
      <c r="F619" s="36"/>
      <c r="G619" s="36"/>
      <c r="H619" s="35"/>
      <c r="I619" s="35"/>
      <c r="J619" s="36"/>
      <c r="K619" s="36"/>
      <c r="L619" s="36"/>
      <c r="M619" s="36"/>
      <c r="N619" s="36"/>
      <c r="O619" s="36"/>
      <c r="P619" s="36"/>
      <c r="Q619" s="36"/>
    </row>
    <row r="620" spans="1:17" ht="15.75" customHeight="1" x14ac:dyDescent="0.2">
      <c r="A620" s="36"/>
      <c r="B620" s="36"/>
      <c r="C620" s="35"/>
      <c r="D620" s="36"/>
      <c r="E620" s="36"/>
      <c r="F620" s="36"/>
      <c r="G620" s="36"/>
      <c r="H620" s="35"/>
      <c r="I620" s="35"/>
      <c r="J620" s="36"/>
      <c r="K620" s="36"/>
      <c r="L620" s="36"/>
      <c r="M620" s="36"/>
      <c r="N620" s="36"/>
      <c r="O620" s="36"/>
      <c r="P620" s="36"/>
      <c r="Q620" s="36"/>
    </row>
    <row r="621" spans="1:17" ht="15.75" customHeight="1" x14ac:dyDescent="0.2">
      <c r="A621" s="36"/>
      <c r="B621" s="36"/>
      <c r="C621" s="35"/>
      <c r="D621" s="36"/>
      <c r="E621" s="36"/>
      <c r="F621" s="36"/>
      <c r="G621" s="36"/>
      <c r="H621" s="35"/>
      <c r="I621" s="35"/>
      <c r="J621" s="36"/>
      <c r="K621" s="36"/>
      <c r="L621" s="36"/>
      <c r="M621" s="36"/>
      <c r="N621" s="36"/>
      <c r="O621" s="36"/>
      <c r="P621" s="36"/>
      <c r="Q621" s="36"/>
    </row>
    <row r="622" spans="1:17" ht="15.75" customHeight="1" x14ac:dyDescent="0.2">
      <c r="A622" s="36"/>
      <c r="B622" s="36"/>
      <c r="C622" s="35"/>
      <c r="D622" s="36"/>
      <c r="E622" s="36"/>
      <c r="F622" s="36"/>
      <c r="G622" s="36"/>
      <c r="H622" s="35"/>
      <c r="I622" s="35"/>
      <c r="J622" s="36"/>
      <c r="K622" s="36"/>
      <c r="L622" s="36"/>
      <c r="M622" s="36"/>
      <c r="N622" s="36"/>
      <c r="O622" s="36"/>
      <c r="P622" s="36"/>
      <c r="Q622" s="36"/>
    </row>
    <row r="623" spans="1:17" ht="15.75" customHeight="1" x14ac:dyDescent="0.2">
      <c r="A623" s="36"/>
      <c r="B623" s="36"/>
      <c r="C623" s="35"/>
      <c r="D623" s="36"/>
      <c r="E623" s="36"/>
      <c r="F623" s="36"/>
      <c r="G623" s="36"/>
      <c r="H623" s="35"/>
      <c r="I623" s="35"/>
      <c r="J623" s="36"/>
      <c r="K623" s="36"/>
      <c r="L623" s="36"/>
      <c r="M623" s="36"/>
      <c r="N623" s="36"/>
      <c r="O623" s="36"/>
      <c r="P623" s="36"/>
      <c r="Q623" s="36"/>
    </row>
    <row r="624" spans="1:17" ht="15.75" customHeight="1" x14ac:dyDescent="0.2">
      <c r="A624" s="36"/>
      <c r="B624" s="36"/>
      <c r="C624" s="35"/>
      <c r="D624" s="36"/>
      <c r="E624" s="36"/>
      <c r="F624" s="36"/>
      <c r="G624" s="36"/>
      <c r="H624" s="35"/>
      <c r="I624" s="35"/>
      <c r="J624" s="36"/>
      <c r="K624" s="36"/>
      <c r="L624" s="36"/>
      <c r="M624" s="36"/>
      <c r="N624" s="36"/>
      <c r="O624" s="36"/>
      <c r="P624" s="36"/>
      <c r="Q624" s="36"/>
    </row>
    <row r="625" spans="1:17" ht="15.75" customHeight="1" x14ac:dyDescent="0.2">
      <c r="A625" s="36"/>
      <c r="B625" s="36"/>
      <c r="C625" s="35"/>
      <c r="D625" s="36"/>
      <c r="E625" s="36"/>
      <c r="F625" s="36"/>
      <c r="G625" s="36"/>
      <c r="H625" s="35"/>
      <c r="I625" s="35"/>
      <c r="J625" s="36"/>
      <c r="K625" s="36"/>
      <c r="L625" s="36"/>
      <c r="M625" s="36"/>
      <c r="N625" s="36"/>
      <c r="O625" s="36"/>
      <c r="P625" s="36"/>
      <c r="Q625" s="36"/>
    </row>
    <row r="626" spans="1:17" ht="15.75" customHeight="1" x14ac:dyDescent="0.2">
      <c r="A626" s="36"/>
      <c r="B626" s="36"/>
      <c r="C626" s="35"/>
      <c r="D626" s="36"/>
      <c r="E626" s="36"/>
      <c r="F626" s="36"/>
      <c r="G626" s="36"/>
      <c r="H626" s="35"/>
      <c r="I626" s="35"/>
      <c r="J626" s="36"/>
      <c r="K626" s="36"/>
      <c r="L626" s="36"/>
      <c r="M626" s="36"/>
      <c r="N626" s="36"/>
      <c r="O626" s="36"/>
      <c r="P626" s="36"/>
      <c r="Q626" s="36"/>
    </row>
    <row r="627" spans="1:17" ht="15.75" customHeight="1" x14ac:dyDescent="0.2">
      <c r="A627" s="36"/>
      <c r="B627" s="36"/>
      <c r="C627" s="35"/>
      <c r="D627" s="36"/>
      <c r="E627" s="36"/>
      <c r="F627" s="36"/>
      <c r="G627" s="36"/>
      <c r="H627" s="35"/>
      <c r="I627" s="35"/>
      <c r="J627" s="36"/>
      <c r="K627" s="36"/>
      <c r="L627" s="36"/>
      <c r="M627" s="36"/>
      <c r="N627" s="36"/>
      <c r="O627" s="36"/>
      <c r="P627" s="36"/>
      <c r="Q627" s="36"/>
    </row>
    <row r="628" spans="1:17" ht="15.75" customHeight="1" x14ac:dyDescent="0.2">
      <c r="A628" s="36"/>
      <c r="B628" s="36"/>
      <c r="C628" s="35"/>
      <c r="D628" s="36"/>
      <c r="E628" s="36"/>
      <c r="F628" s="36"/>
      <c r="G628" s="36"/>
      <c r="H628" s="35"/>
      <c r="I628" s="35"/>
      <c r="J628" s="36"/>
      <c r="K628" s="36"/>
      <c r="L628" s="36"/>
      <c r="M628" s="36"/>
      <c r="N628" s="36"/>
      <c r="O628" s="36"/>
      <c r="P628" s="36"/>
      <c r="Q628" s="36"/>
    </row>
    <row r="629" spans="1:17" ht="15.75" customHeight="1" x14ac:dyDescent="0.2">
      <c r="A629" s="36"/>
      <c r="B629" s="36"/>
      <c r="C629" s="35"/>
      <c r="D629" s="36"/>
      <c r="E629" s="36"/>
      <c r="F629" s="36"/>
      <c r="G629" s="36"/>
      <c r="H629" s="35"/>
      <c r="I629" s="35"/>
      <c r="J629" s="36"/>
      <c r="K629" s="36"/>
      <c r="L629" s="36"/>
      <c r="M629" s="36"/>
      <c r="N629" s="36"/>
      <c r="O629" s="36"/>
      <c r="P629" s="36"/>
      <c r="Q629" s="36"/>
    </row>
    <row r="630" spans="1:17" ht="15.75" customHeight="1" x14ac:dyDescent="0.2">
      <c r="A630" s="36"/>
      <c r="B630" s="36"/>
      <c r="C630" s="35"/>
      <c r="D630" s="36"/>
      <c r="E630" s="36"/>
      <c r="F630" s="36"/>
      <c r="G630" s="36"/>
      <c r="H630" s="35"/>
      <c r="I630" s="35"/>
      <c r="J630" s="36"/>
      <c r="K630" s="36"/>
      <c r="L630" s="36"/>
      <c r="M630" s="36"/>
      <c r="N630" s="36"/>
      <c r="O630" s="36"/>
      <c r="P630" s="36"/>
      <c r="Q630" s="36"/>
    </row>
    <row r="631" spans="1:17" ht="15.75" customHeight="1" x14ac:dyDescent="0.2">
      <c r="A631" s="36"/>
      <c r="B631" s="36"/>
      <c r="C631" s="35"/>
      <c r="D631" s="36"/>
      <c r="E631" s="36"/>
      <c r="F631" s="36"/>
      <c r="G631" s="36"/>
      <c r="H631" s="35"/>
      <c r="I631" s="35"/>
      <c r="J631" s="36"/>
      <c r="K631" s="36"/>
      <c r="L631" s="36"/>
      <c r="M631" s="36"/>
      <c r="N631" s="36"/>
      <c r="O631" s="36"/>
      <c r="P631" s="36"/>
      <c r="Q631" s="36"/>
    </row>
    <row r="632" spans="1:17" ht="15.75" customHeight="1" x14ac:dyDescent="0.2">
      <c r="A632" s="36"/>
      <c r="B632" s="36"/>
      <c r="C632" s="35"/>
      <c r="D632" s="36"/>
      <c r="E632" s="36"/>
      <c r="F632" s="36"/>
      <c r="G632" s="36"/>
      <c r="H632" s="35"/>
      <c r="I632" s="35"/>
      <c r="J632" s="36"/>
      <c r="K632" s="36"/>
      <c r="L632" s="36"/>
      <c r="M632" s="36"/>
      <c r="N632" s="36"/>
      <c r="O632" s="36"/>
      <c r="P632" s="36"/>
      <c r="Q632" s="36"/>
    </row>
    <row r="633" spans="1:17" ht="15.75" customHeight="1" x14ac:dyDescent="0.2">
      <c r="A633" s="36"/>
      <c r="B633" s="36"/>
      <c r="C633" s="35"/>
      <c r="D633" s="36"/>
      <c r="E633" s="36"/>
      <c r="F633" s="36"/>
      <c r="G633" s="36"/>
      <c r="H633" s="35"/>
      <c r="I633" s="35"/>
      <c r="J633" s="36"/>
      <c r="K633" s="36"/>
      <c r="L633" s="36"/>
      <c r="M633" s="36"/>
      <c r="N633" s="36"/>
      <c r="O633" s="36"/>
      <c r="P633" s="36"/>
      <c r="Q633" s="36"/>
    </row>
    <row r="634" spans="1:17" ht="15.75" customHeight="1" x14ac:dyDescent="0.2">
      <c r="A634" s="36"/>
      <c r="B634" s="36"/>
      <c r="C634" s="35"/>
      <c r="D634" s="36"/>
      <c r="E634" s="36"/>
      <c r="F634" s="36"/>
      <c r="G634" s="36"/>
      <c r="H634" s="35"/>
      <c r="I634" s="35"/>
      <c r="J634" s="36"/>
      <c r="K634" s="36"/>
      <c r="L634" s="36"/>
      <c r="M634" s="36"/>
      <c r="N634" s="36"/>
      <c r="O634" s="36"/>
      <c r="P634" s="36"/>
      <c r="Q634" s="36"/>
    </row>
    <row r="635" spans="1:17" ht="15.75" customHeight="1" x14ac:dyDescent="0.2">
      <c r="A635" s="36"/>
      <c r="B635" s="36"/>
      <c r="C635" s="35"/>
      <c r="D635" s="36"/>
      <c r="E635" s="36"/>
      <c r="F635" s="36"/>
      <c r="G635" s="36"/>
      <c r="H635" s="35"/>
      <c r="I635" s="35"/>
      <c r="J635" s="36"/>
      <c r="K635" s="36"/>
      <c r="L635" s="36"/>
      <c r="M635" s="36"/>
      <c r="N635" s="36"/>
      <c r="O635" s="36"/>
      <c r="P635" s="36"/>
      <c r="Q635" s="36"/>
    </row>
    <row r="636" spans="1:17" ht="15.75" customHeight="1" x14ac:dyDescent="0.2">
      <c r="A636" s="36"/>
      <c r="B636" s="36"/>
      <c r="C636" s="35"/>
      <c r="D636" s="36"/>
      <c r="E636" s="36"/>
      <c r="F636" s="36"/>
      <c r="G636" s="36"/>
      <c r="H636" s="35"/>
      <c r="I636" s="35"/>
      <c r="J636" s="36"/>
      <c r="K636" s="36"/>
      <c r="L636" s="36"/>
      <c r="M636" s="36"/>
      <c r="N636" s="36"/>
      <c r="O636" s="36"/>
      <c r="P636" s="36"/>
      <c r="Q636" s="36"/>
    </row>
    <row r="637" spans="1:17" ht="15.75" customHeight="1" x14ac:dyDescent="0.2">
      <c r="A637" s="36"/>
      <c r="B637" s="36"/>
      <c r="C637" s="35"/>
      <c r="D637" s="36"/>
      <c r="E637" s="36"/>
      <c r="F637" s="36"/>
      <c r="G637" s="36"/>
      <c r="H637" s="35"/>
      <c r="I637" s="35"/>
      <c r="J637" s="36"/>
      <c r="K637" s="36"/>
      <c r="L637" s="36"/>
      <c r="M637" s="36"/>
      <c r="N637" s="36"/>
      <c r="O637" s="36"/>
      <c r="P637" s="36"/>
      <c r="Q637" s="36"/>
    </row>
    <row r="638" spans="1:17" ht="15.75" customHeight="1" x14ac:dyDescent="0.2">
      <c r="A638" s="36"/>
      <c r="B638" s="36"/>
      <c r="C638" s="35"/>
      <c r="D638" s="36"/>
      <c r="E638" s="36"/>
      <c r="F638" s="36"/>
      <c r="G638" s="36"/>
      <c r="H638" s="35"/>
      <c r="I638" s="35"/>
      <c r="J638" s="36"/>
      <c r="K638" s="36"/>
      <c r="L638" s="36"/>
      <c r="M638" s="36"/>
      <c r="N638" s="36"/>
      <c r="O638" s="36"/>
      <c r="P638" s="36"/>
      <c r="Q638" s="36"/>
    </row>
    <row r="639" spans="1:17" ht="15.75" customHeight="1" x14ac:dyDescent="0.2">
      <c r="A639" s="36"/>
      <c r="B639" s="36"/>
      <c r="C639" s="35"/>
      <c r="D639" s="36"/>
      <c r="E639" s="36"/>
      <c r="F639" s="36"/>
      <c r="G639" s="36"/>
      <c r="H639" s="35"/>
      <c r="I639" s="35"/>
      <c r="J639" s="36"/>
      <c r="K639" s="36"/>
      <c r="L639" s="36"/>
      <c r="M639" s="36"/>
      <c r="N639" s="36"/>
      <c r="O639" s="36"/>
      <c r="P639" s="36"/>
      <c r="Q639" s="36"/>
    </row>
    <row r="640" spans="1:17" ht="15.75" customHeight="1" x14ac:dyDescent="0.2">
      <c r="A640" s="36"/>
      <c r="B640" s="36"/>
      <c r="C640" s="35"/>
      <c r="D640" s="36"/>
      <c r="E640" s="36"/>
      <c r="F640" s="36"/>
      <c r="G640" s="36"/>
      <c r="H640" s="35"/>
      <c r="I640" s="35"/>
      <c r="J640" s="36"/>
      <c r="K640" s="36"/>
      <c r="L640" s="36"/>
      <c r="M640" s="36"/>
      <c r="N640" s="36"/>
      <c r="O640" s="36"/>
      <c r="P640" s="36"/>
      <c r="Q640" s="36"/>
    </row>
    <row r="641" spans="1:17" ht="15.75" customHeight="1" x14ac:dyDescent="0.2">
      <c r="A641" s="36"/>
      <c r="B641" s="36"/>
      <c r="C641" s="35"/>
      <c r="D641" s="36"/>
      <c r="E641" s="36"/>
      <c r="F641" s="36"/>
      <c r="G641" s="36"/>
      <c r="H641" s="35"/>
      <c r="I641" s="35"/>
      <c r="J641" s="36"/>
      <c r="K641" s="36"/>
      <c r="L641" s="36"/>
      <c r="M641" s="36"/>
      <c r="N641" s="36"/>
      <c r="O641" s="36"/>
      <c r="P641" s="36"/>
      <c r="Q641" s="36"/>
    </row>
    <row r="642" spans="1:17" ht="15.75" customHeight="1" x14ac:dyDescent="0.2">
      <c r="A642" s="36"/>
      <c r="B642" s="36"/>
      <c r="C642" s="35"/>
      <c r="D642" s="36"/>
      <c r="E642" s="36"/>
      <c r="F642" s="36"/>
      <c r="G642" s="36"/>
      <c r="H642" s="35"/>
      <c r="I642" s="35"/>
      <c r="J642" s="36"/>
      <c r="K642" s="36"/>
      <c r="L642" s="36"/>
      <c r="M642" s="36"/>
      <c r="N642" s="36"/>
      <c r="O642" s="36"/>
      <c r="P642" s="36"/>
      <c r="Q642" s="36"/>
    </row>
    <row r="643" spans="1:17" ht="15.75" customHeight="1" x14ac:dyDescent="0.2">
      <c r="A643" s="36"/>
      <c r="B643" s="36"/>
      <c r="C643" s="35"/>
      <c r="D643" s="36"/>
      <c r="E643" s="36"/>
      <c r="F643" s="36"/>
      <c r="G643" s="36"/>
      <c r="H643" s="35"/>
      <c r="I643" s="35"/>
      <c r="J643" s="36"/>
      <c r="K643" s="36"/>
      <c r="L643" s="36"/>
      <c r="M643" s="36"/>
      <c r="N643" s="36"/>
      <c r="O643" s="36"/>
      <c r="P643" s="36"/>
      <c r="Q643" s="36"/>
    </row>
    <row r="644" spans="1:17" ht="15.75" customHeight="1" x14ac:dyDescent="0.2">
      <c r="A644" s="36"/>
      <c r="B644" s="36"/>
      <c r="C644" s="35"/>
      <c r="D644" s="36"/>
      <c r="E644" s="36"/>
      <c r="F644" s="36"/>
      <c r="G644" s="36"/>
      <c r="H644" s="35"/>
      <c r="I644" s="35"/>
      <c r="J644" s="36"/>
      <c r="K644" s="36"/>
      <c r="L644" s="36"/>
      <c r="M644" s="36"/>
      <c r="N644" s="36"/>
      <c r="O644" s="36"/>
      <c r="P644" s="36"/>
      <c r="Q644" s="36"/>
    </row>
    <row r="645" spans="1:17" ht="15.75" customHeight="1" x14ac:dyDescent="0.2">
      <c r="A645" s="36"/>
      <c r="B645" s="36"/>
      <c r="C645" s="35"/>
      <c r="D645" s="36"/>
      <c r="E645" s="36"/>
      <c r="F645" s="36"/>
      <c r="G645" s="36"/>
      <c r="H645" s="35"/>
      <c r="I645" s="35"/>
      <c r="J645" s="36"/>
      <c r="K645" s="36"/>
      <c r="L645" s="36"/>
      <c r="M645" s="36"/>
      <c r="N645" s="36"/>
      <c r="O645" s="36"/>
      <c r="P645" s="36"/>
      <c r="Q645" s="36"/>
    </row>
    <row r="646" spans="1:17" ht="15.75" customHeight="1" x14ac:dyDescent="0.2">
      <c r="A646" s="36"/>
      <c r="B646" s="36"/>
      <c r="C646" s="35"/>
      <c r="D646" s="36"/>
      <c r="E646" s="36"/>
      <c r="F646" s="36"/>
      <c r="G646" s="36"/>
      <c r="H646" s="35"/>
      <c r="I646" s="35"/>
      <c r="J646" s="36"/>
      <c r="K646" s="36"/>
      <c r="L646" s="36"/>
      <c r="M646" s="36"/>
      <c r="N646" s="36"/>
      <c r="O646" s="36"/>
      <c r="P646" s="36"/>
      <c r="Q646" s="36"/>
    </row>
    <row r="647" spans="1:17" ht="15.75" customHeight="1" x14ac:dyDescent="0.2">
      <c r="A647" s="36"/>
      <c r="B647" s="36"/>
      <c r="C647" s="35"/>
      <c r="D647" s="36"/>
      <c r="E647" s="36"/>
      <c r="F647" s="36"/>
      <c r="G647" s="36"/>
      <c r="H647" s="35"/>
      <c r="I647" s="35"/>
      <c r="J647" s="36"/>
      <c r="K647" s="36"/>
      <c r="L647" s="36"/>
      <c r="M647" s="36"/>
      <c r="N647" s="36"/>
      <c r="O647" s="36"/>
      <c r="P647" s="36"/>
      <c r="Q647" s="36"/>
    </row>
    <row r="648" spans="1:17" ht="15.75" customHeight="1" x14ac:dyDescent="0.2">
      <c r="A648" s="36"/>
      <c r="B648" s="36"/>
      <c r="C648" s="35"/>
      <c r="D648" s="36"/>
      <c r="E648" s="36"/>
      <c r="F648" s="36"/>
      <c r="G648" s="36"/>
      <c r="H648" s="35"/>
      <c r="I648" s="35"/>
      <c r="J648" s="36"/>
      <c r="K648" s="36"/>
      <c r="L648" s="36"/>
      <c r="M648" s="36"/>
      <c r="N648" s="36"/>
      <c r="O648" s="36"/>
      <c r="P648" s="36"/>
      <c r="Q648" s="36"/>
    </row>
    <row r="649" spans="1:17" ht="15.75" customHeight="1" x14ac:dyDescent="0.2">
      <c r="A649" s="36"/>
      <c r="B649" s="36"/>
      <c r="C649" s="35"/>
      <c r="D649" s="36"/>
      <c r="E649" s="36"/>
      <c r="F649" s="36"/>
      <c r="G649" s="36"/>
      <c r="H649" s="35"/>
      <c r="I649" s="35"/>
      <c r="J649" s="36"/>
      <c r="K649" s="36"/>
      <c r="L649" s="36"/>
      <c r="M649" s="36"/>
      <c r="N649" s="36"/>
      <c r="O649" s="36"/>
      <c r="P649" s="36"/>
      <c r="Q649" s="36"/>
    </row>
    <row r="650" spans="1:17" ht="15.75" customHeight="1" x14ac:dyDescent="0.2">
      <c r="A650" s="36"/>
      <c r="B650" s="36"/>
      <c r="C650" s="35"/>
      <c r="D650" s="36"/>
      <c r="E650" s="36"/>
      <c r="F650" s="36"/>
      <c r="G650" s="36"/>
      <c r="H650" s="35"/>
      <c r="I650" s="35"/>
      <c r="J650" s="36"/>
      <c r="K650" s="36"/>
      <c r="L650" s="36"/>
      <c r="M650" s="36"/>
      <c r="N650" s="36"/>
      <c r="O650" s="36"/>
      <c r="P650" s="36"/>
      <c r="Q650" s="36"/>
    </row>
    <row r="651" spans="1:17" ht="15.75" customHeight="1" x14ac:dyDescent="0.2">
      <c r="A651" s="36"/>
      <c r="B651" s="36"/>
      <c r="C651" s="35"/>
      <c r="D651" s="36"/>
      <c r="E651" s="36"/>
      <c r="F651" s="36"/>
      <c r="G651" s="36"/>
      <c r="H651" s="35"/>
      <c r="I651" s="35"/>
      <c r="J651" s="36"/>
      <c r="K651" s="36"/>
      <c r="L651" s="36"/>
      <c r="M651" s="36"/>
      <c r="N651" s="36"/>
      <c r="O651" s="36"/>
      <c r="P651" s="36"/>
      <c r="Q651" s="36"/>
    </row>
    <row r="652" spans="1:17" ht="15.75" customHeight="1" x14ac:dyDescent="0.2">
      <c r="A652" s="36"/>
      <c r="B652" s="36"/>
      <c r="C652" s="35"/>
      <c r="D652" s="36"/>
      <c r="E652" s="36"/>
      <c r="F652" s="36"/>
      <c r="G652" s="36"/>
      <c r="H652" s="35"/>
      <c r="I652" s="35"/>
      <c r="J652" s="36"/>
      <c r="K652" s="36"/>
      <c r="L652" s="36"/>
      <c r="M652" s="36"/>
      <c r="N652" s="36"/>
      <c r="O652" s="36"/>
      <c r="P652" s="36"/>
      <c r="Q652" s="36"/>
    </row>
    <row r="653" spans="1:17" ht="15.75" customHeight="1" x14ac:dyDescent="0.2">
      <c r="A653" s="36"/>
      <c r="B653" s="36"/>
      <c r="C653" s="35"/>
      <c r="D653" s="36"/>
      <c r="E653" s="36"/>
      <c r="F653" s="36"/>
      <c r="G653" s="36"/>
      <c r="H653" s="35"/>
      <c r="I653" s="35"/>
      <c r="J653" s="36"/>
      <c r="K653" s="36"/>
      <c r="L653" s="36"/>
      <c r="M653" s="36"/>
      <c r="N653" s="36"/>
      <c r="O653" s="36"/>
      <c r="P653" s="36"/>
      <c r="Q653" s="36"/>
    </row>
    <row r="654" spans="1:17" ht="15.75" customHeight="1" x14ac:dyDescent="0.2">
      <c r="A654" s="36"/>
      <c r="B654" s="36"/>
      <c r="C654" s="35"/>
      <c r="D654" s="36"/>
      <c r="E654" s="36"/>
      <c r="F654" s="36"/>
      <c r="G654" s="36"/>
      <c r="H654" s="35"/>
      <c r="I654" s="35"/>
      <c r="J654" s="36"/>
      <c r="K654" s="36"/>
      <c r="L654" s="36"/>
      <c r="M654" s="36"/>
      <c r="N654" s="36"/>
      <c r="O654" s="36"/>
      <c r="P654" s="36"/>
      <c r="Q654" s="36"/>
    </row>
    <row r="655" spans="1:17" ht="15.75" customHeight="1" x14ac:dyDescent="0.2">
      <c r="A655" s="36"/>
      <c r="B655" s="36"/>
      <c r="C655" s="35"/>
      <c r="D655" s="36"/>
      <c r="E655" s="36"/>
      <c r="F655" s="36"/>
      <c r="G655" s="36"/>
      <c r="H655" s="35"/>
      <c r="I655" s="35"/>
      <c r="J655" s="36"/>
      <c r="K655" s="36"/>
      <c r="L655" s="36"/>
      <c r="M655" s="36"/>
      <c r="N655" s="36"/>
      <c r="O655" s="36"/>
      <c r="P655" s="36"/>
      <c r="Q655" s="36"/>
    </row>
    <row r="656" spans="1:17" ht="15.75" customHeight="1" x14ac:dyDescent="0.2">
      <c r="A656" s="36"/>
      <c r="B656" s="36"/>
      <c r="C656" s="35"/>
      <c r="D656" s="36"/>
      <c r="E656" s="36"/>
      <c r="F656" s="36"/>
      <c r="G656" s="36"/>
      <c r="H656" s="35"/>
      <c r="I656" s="35"/>
      <c r="J656" s="36"/>
      <c r="K656" s="36"/>
      <c r="L656" s="36"/>
      <c r="M656" s="36"/>
      <c r="N656" s="36"/>
      <c r="O656" s="36"/>
      <c r="P656" s="36"/>
      <c r="Q656" s="36"/>
    </row>
    <row r="657" spans="1:17" ht="15.75" customHeight="1" x14ac:dyDescent="0.2">
      <c r="A657" s="36"/>
      <c r="B657" s="36"/>
      <c r="C657" s="35"/>
      <c r="D657" s="36"/>
      <c r="E657" s="36"/>
      <c r="F657" s="36"/>
      <c r="G657" s="36"/>
      <c r="H657" s="35"/>
      <c r="I657" s="35"/>
      <c r="J657" s="36"/>
      <c r="K657" s="36"/>
      <c r="L657" s="36"/>
      <c r="M657" s="36"/>
      <c r="N657" s="36"/>
      <c r="O657" s="36"/>
      <c r="P657" s="36"/>
      <c r="Q657" s="36"/>
    </row>
    <row r="658" spans="1:17" ht="15.75" customHeight="1" x14ac:dyDescent="0.2">
      <c r="A658" s="36"/>
      <c r="B658" s="36"/>
      <c r="C658" s="35"/>
      <c r="D658" s="36"/>
      <c r="E658" s="36"/>
      <c r="F658" s="36"/>
      <c r="G658" s="36"/>
      <c r="H658" s="35"/>
      <c r="I658" s="35"/>
      <c r="J658" s="36"/>
      <c r="K658" s="36"/>
      <c r="L658" s="36"/>
      <c r="M658" s="36"/>
      <c r="N658" s="36"/>
      <c r="O658" s="36"/>
      <c r="P658" s="36"/>
      <c r="Q658" s="36"/>
    </row>
    <row r="659" spans="1:17" ht="15.75" customHeight="1" x14ac:dyDescent="0.2">
      <c r="A659" s="36"/>
      <c r="B659" s="36"/>
      <c r="C659" s="35"/>
      <c r="D659" s="36"/>
      <c r="E659" s="36"/>
      <c r="F659" s="36"/>
      <c r="G659" s="36"/>
      <c r="H659" s="35"/>
      <c r="I659" s="35"/>
      <c r="J659" s="36"/>
      <c r="K659" s="36"/>
      <c r="L659" s="36"/>
      <c r="M659" s="36"/>
      <c r="N659" s="36"/>
      <c r="O659" s="36"/>
      <c r="P659" s="36"/>
      <c r="Q659" s="36"/>
    </row>
    <row r="660" spans="1:17" ht="15.75" customHeight="1" x14ac:dyDescent="0.2">
      <c r="A660" s="36"/>
      <c r="B660" s="36"/>
      <c r="C660" s="35"/>
      <c r="D660" s="36"/>
      <c r="E660" s="36"/>
      <c r="F660" s="36"/>
      <c r="G660" s="36"/>
      <c r="H660" s="35"/>
      <c r="I660" s="35"/>
      <c r="J660" s="36"/>
      <c r="K660" s="36"/>
      <c r="L660" s="36"/>
      <c r="M660" s="36"/>
      <c r="N660" s="36"/>
      <c r="O660" s="36"/>
      <c r="P660" s="36"/>
      <c r="Q660" s="36"/>
    </row>
    <row r="661" spans="1:17" ht="15.75" customHeight="1" x14ac:dyDescent="0.2">
      <c r="A661" s="36"/>
      <c r="B661" s="36"/>
      <c r="C661" s="35"/>
      <c r="D661" s="36"/>
      <c r="E661" s="36"/>
      <c r="F661" s="36"/>
      <c r="G661" s="36"/>
      <c r="H661" s="35"/>
      <c r="I661" s="35"/>
      <c r="J661" s="36"/>
      <c r="K661" s="36"/>
      <c r="L661" s="36"/>
      <c r="M661" s="36"/>
      <c r="N661" s="36"/>
      <c r="O661" s="36"/>
      <c r="P661" s="36"/>
      <c r="Q661" s="36"/>
    </row>
    <row r="662" spans="1:17" ht="15.75" customHeight="1" x14ac:dyDescent="0.2">
      <c r="A662" s="36"/>
      <c r="B662" s="36"/>
      <c r="C662" s="35"/>
      <c r="D662" s="36"/>
      <c r="E662" s="36"/>
      <c r="F662" s="36"/>
      <c r="G662" s="36"/>
      <c r="H662" s="35"/>
      <c r="I662" s="35"/>
      <c r="J662" s="36"/>
      <c r="K662" s="36"/>
      <c r="L662" s="36"/>
      <c r="M662" s="36"/>
      <c r="N662" s="36"/>
      <c r="O662" s="36"/>
      <c r="P662" s="36"/>
      <c r="Q662" s="36"/>
    </row>
    <row r="663" spans="1:17" ht="15.75" customHeight="1" x14ac:dyDescent="0.2">
      <c r="A663" s="36"/>
      <c r="B663" s="36"/>
      <c r="C663" s="35"/>
      <c r="D663" s="36"/>
      <c r="E663" s="36"/>
      <c r="F663" s="36"/>
      <c r="G663" s="36"/>
      <c r="H663" s="35"/>
      <c r="I663" s="35"/>
      <c r="J663" s="36"/>
      <c r="K663" s="36"/>
      <c r="L663" s="36"/>
      <c r="M663" s="36"/>
      <c r="N663" s="36"/>
      <c r="O663" s="36"/>
      <c r="P663" s="36"/>
      <c r="Q663" s="36"/>
    </row>
    <row r="664" spans="1:17" ht="15.75" customHeight="1" x14ac:dyDescent="0.2">
      <c r="A664" s="36"/>
      <c r="B664" s="36"/>
      <c r="C664" s="35"/>
      <c r="D664" s="36"/>
      <c r="E664" s="36"/>
      <c r="F664" s="36"/>
      <c r="G664" s="36"/>
      <c r="H664" s="35"/>
      <c r="I664" s="35"/>
      <c r="J664" s="36"/>
      <c r="K664" s="36"/>
      <c r="L664" s="36"/>
      <c r="M664" s="36"/>
      <c r="N664" s="36"/>
      <c r="O664" s="36"/>
      <c r="P664" s="36"/>
      <c r="Q664" s="36"/>
    </row>
    <row r="665" spans="1:17" ht="15.75" customHeight="1" x14ac:dyDescent="0.2">
      <c r="A665" s="36"/>
      <c r="B665" s="36"/>
      <c r="C665" s="35"/>
      <c r="D665" s="36"/>
      <c r="E665" s="36"/>
      <c r="F665" s="36"/>
      <c r="G665" s="36"/>
      <c r="H665" s="35"/>
      <c r="I665" s="35"/>
      <c r="J665" s="36"/>
      <c r="K665" s="36"/>
      <c r="L665" s="36"/>
      <c r="M665" s="36"/>
      <c r="N665" s="36"/>
      <c r="O665" s="36"/>
      <c r="P665" s="36"/>
      <c r="Q665" s="36"/>
    </row>
    <row r="666" spans="1:17" ht="15.75" customHeight="1" x14ac:dyDescent="0.2">
      <c r="A666" s="36"/>
      <c r="B666" s="36"/>
      <c r="C666" s="35"/>
      <c r="D666" s="36"/>
      <c r="E666" s="36"/>
      <c r="F666" s="36"/>
      <c r="G666" s="36"/>
      <c r="H666" s="35"/>
      <c r="I666" s="35"/>
      <c r="J666" s="36"/>
      <c r="K666" s="36"/>
      <c r="L666" s="36"/>
      <c r="M666" s="36"/>
      <c r="N666" s="36"/>
      <c r="O666" s="36"/>
      <c r="P666" s="36"/>
      <c r="Q666" s="36"/>
    </row>
    <row r="667" spans="1:17" ht="15.75" customHeight="1" x14ac:dyDescent="0.2">
      <c r="A667" s="36"/>
      <c r="B667" s="36"/>
      <c r="C667" s="35"/>
      <c r="D667" s="36"/>
      <c r="E667" s="36"/>
      <c r="F667" s="36"/>
      <c r="G667" s="36"/>
      <c r="H667" s="35"/>
      <c r="I667" s="35"/>
      <c r="J667" s="36"/>
      <c r="K667" s="36"/>
      <c r="L667" s="36"/>
      <c r="M667" s="36"/>
      <c r="N667" s="36"/>
      <c r="O667" s="36"/>
      <c r="P667" s="36"/>
      <c r="Q667" s="36"/>
    </row>
    <row r="668" spans="1:17" ht="15.75" customHeight="1" x14ac:dyDescent="0.2">
      <c r="A668" s="36"/>
      <c r="B668" s="36"/>
      <c r="C668" s="35"/>
      <c r="D668" s="36"/>
      <c r="E668" s="36"/>
      <c r="F668" s="36"/>
      <c r="G668" s="36"/>
      <c r="H668" s="35"/>
      <c r="I668" s="35"/>
      <c r="J668" s="36"/>
      <c r="K668" s="36"/>
      <c r="L668" s="36"/>
      <c r="M668" s="36"/>
      <c r="N668" s="36"/>
      <c r="O668" s="36"/>
      <c r="P668" s="36"/>
      <c r="Q668" s="36"/>
    </row>
    <row r="669" spans="1:17" ht="15.75" customHeight="1" x14ac:dyDescent="0.2">
      <c r="A669" s="36"/>
      <c r="B669" s="36"/>
      <c r="C669" s="35"/>
      <c r="D669" s="36"/>
      <c r="E669" s="36"/>
      <c r="F669" s="36"/>
      <c r="G669" s="36"/>
      <c r="H669" s="35"/>
      <c r="I669" s="35"/>
      <c r="J669" s="36"/>
      <c r="K669" s="36"/>
      <c r="L669" s="36"/>
      <c r="M669" s="36"/>
      <c r="N669" s="36"/>
      <c r="O669" s="36"/>
      <c r="P669" s="36"/>
      <c r="Q669" s="36"/>
    </row>
    <row r="670" spans="1:17" ht="15.75" customHeight="1" x14ac:dyDescent="0.2">
      <c r="A670" s="36"/>
      <c r="B670" s="36"/>
      <c r="C670" s="35"/>
      <c r="D670" s="36"/>
      <c r="E670" s="36"/>
      <c r="F670" s="36"/>
      <c r="G670" s="36"/>
      <c r="H670" s="35"/>
      <c r="I670" s="35"/>
      <c r="J670" s="36"/>
      <c r="K670" s="36"/>
      <c r="L670" s="36"/>
      <c r="M670" s="36"/>
      <c r="N670" s="36"/>
      <c r="O670" s="36"/>
      <c r="P670" s="36"/>
      <c r="Q670" s="36"/>
    </row>
    <row r="671" spans="1:17" ht="15.75" customHeight="1" x14ac:dyDescent="0.2">
      <c r="A671" s="36"/>
      <c r="B671" s="36"/>
      <c r="C671" s="35"/>
      <c r="D671" s="36"/>
      <c r="E671" s="36"/>
      <c r="F671" s="36"/>
      <c r="G671" s="36"/>
      <c r="H671" s="35"/>
      <c r="I671" s="35"/>
      <c r="J671" s="36"/>
      <c r="K671" s="36"/>
      <c r="L671" s="36"/>
      <c r="M671" s="36"/>
      <c r="N671" s="36"/>
      <c r="O671" s="36"/>
      <c r="P671" s="36"/>
      <c r="Q671" s="36"/>
    </row>
    <row r="672" spans="1:17" ht="15.75" customHeight="1" x14ac:dyDescent="0.2">
      <c r="A672" s="36"/>
      <c r="B672" s="36"/>
      <c r="C672" s="35"/>
      <c r="D672" s="36"/>
      <c r="E672" s="36"/>
      <c r="F672" s="36"/>
      <c r="G672" s="36"/>
      <c r="H672" s="35"/>
      <c r="I672" s="35"/>
      <c r="J672" s="36"/>
      <c r="K672" s="36"/>
      <c r="L672" s="36"/>
      <c r="M672" s="36"/>
      <c r="N672" s="36"/>
      <c r="O672" s="36"/>
      <c r="P672" s="36"/>
      <c r="Q672" s="36"/>
    </row>
    <row r="673" spans="1:17" ht="15.75" customHeight="1" x14ac:dyDescent="0.2">
      <c r="A673" s="36"/>
      <c r="B673" s="36"/>
      <c r="C673" s="35"/>
      <c r="D673" s="36"/>
      <c r="E673" s="36"/>
      <c r="F673" s="36"/>
      <c r="G673" s="36"/>
      <c r="H673" s="35"/>
      <c r="I673" s="35"/>
      <c r="J673" s="36"/>
      <c r="K673" s="36"/>
      <c r="L673" s="36"/>
      <c r="M673" s="36"/>
      <c r="N673" s="36"/>
      <c r="O673" s="36"/>
      <c r="P673" s="36"/>
      <c r="Q673" s="36"/>
    </row>
    <row r="674" spans="1:17" ht="15.75" customHeight="1" x14ac:dyDescent="0.2">
      <c r="A674" s="36"/>
      <c r="B674" s="36"/>
      <c r="C674" s="35"/>
      <c r="D674" s="36"/>
      <c r="E674" s="36"/>
      <c r="F674" s="36"/>
      <c r="G674" s="36"/>
      <c r="H674" s="35"/>
      <c r="I674" s="35"/>
      <c r="J674" s="36"/>
      <c r="K674" s="36"/>
      <c r="L674" s="36"/>
      <c r="M674" s="36"/>
      <c r="N674" s="36"/>
      <c r="O674" s="36"/>
      <c r="P674" s="36"/>
      <c r="Q674" s="36"/>
    </row>
    <row r="675" spans="1:17" ht="15.75" customHeight="1" x14ac:dyDescent="0.2">
      <c r="A675" s="36"/>
      <c r="B675" s="36"/>
      <c r="C675" s="35"/>
      <c r="D675" s="36"/>
      <c r="E675" s="36"/>
      <c r="F675" s="36"/>
      <c r="G675" s="36"/>
      <c r="H675" s="35"/>
      <c r="I675" s="35"/>
      <c r="J675" s="36"/>
      <c r="K675" s="36"/>
      <c r="L675" s="36"/>
      <c r="M675" s="36"/>
      <c r="N675" s="36"/>
      <c r="O675" s="36"/>
      <c r="P675" s="36"/>
      <c r="Q675" s="36"/>
    </row>
    <row r="676" spans="1:17" ht="15.75" customHeight="1" x14ac:dyDescent="0.2">
      <c r="A676" s="36"/>
      <c r="B676" s="36"/>
      <c r="C676" s="35"/>
      <c r="D676" s="36"/>
      <c r="E676" s="36"/>
      <c r="F676" s="36"/>
      <c r="G676" s="36"/>
      <c r="H676" s="35"/>
      <c r="I676" s="35"/>
      <c r="J676" s="36"/>
      <c r="K676" s="36"/>
      <c r="L676" s="36"/>
      <c r="M676" s="36"/>
      <c r="N676" s="36"/>
      <c r="O676" s="36"/>
      <c r="P676" s="36"/>
      <c r="Q676" s="36"/>
    </row>
    <row r="677" spans="1:17" ht="15.75" customHeight="1" x14ac:dyDescent="0.2">
      <c r="A677" s="36"/>
      <c r="B677" s="36"/>
      <c r="C677" s="35"/>
      <c r="D677" s="36"/>
      <c r="E677" s="36"/>
      <c r="F677" s="36"/>
      <c r="G677" s="36"/>
      <c r="H677" s="35"/>
      <c r="I677" s="35"/>
      <c r="J677" s="36"/>
      <c r="K677" s="36"/>
      <c r="L677" s="36"/>
      <c r="M677" s="36"/>
      <c r="N677" s="36"/>
      <c r="O677" s="36"/>
      <c r="P677" s="36"/>
      <c r="Q677" s="36"/>
    </row>
    <row r="678" spans="1:17" ht="15.75" customHeight="1" x14ac:dyDescent="0.2">
      <c r="A678" s="36"/>
      <c r="B678" s="36"/>
      <c r="C678" s="35"/>
      <c r="D678" s="36"/>
      <c r="E678" s="36"/>
      <c r="F678" s="36"/>
      <c r="G678" s="36"/>
      <c r="H678" s="35"/>
      <c r="I678" s="35"/>
      <c r="J678" s="36"/>
      <c r="K678" s="36"/>
      <c r="L678" s="36"/>
      <c r="M678" s="36"/>
      <c r="N678" s="36"/>
      <c r="O678" s="36"/>
      <c r="P678" s="36"/>
      <c r="Q678" s="36"/>
    </row>
    <row r="679" spans="1:17" ht="15.75" customHeight="1" x14ac:dyDescent="0.2">
      <c r="A679" s="36"/>
      <c r="B679" s="36"/>
      <c r="C679" s="35"/>
      <c r="D679" s="36"/>
      <c r="E679" s="36"/>
      <c r="F679" s="36"/>
      <c r="G679" s="36"/>
      <c r="H679" s="35"/>
      <c r="I679" s="35"/>
      <c r="J679" s="36"/>
      <c r="K679" s="36"/>
      <c r="L679" s="36"/>
      <c r="M679" s="36"/>
      <c r="N679" s="36"/>
      <c r="O679" s="36"/>
      <c r="P679" s="36"/>
      <c r="Q679" s="36"/>
    </row>
    <row r="680" spans="1:17" ht="15.75" customHeight="1" x14ac:dyDescent="0.2">
      <c r="A680" s="36"/>
      <c r="B680" s="36"/>
      <c r="C680" s="35"/>
      <c r="D680" s="36"/>
      <c r="E680" s="36"/>
      <c r="F680" s="36"/>
      <c r="G680" s="36"/>
      <c r="H680" s="35"/>
      <c r="I680" s="35"/>
      <c r="J680" s="36"/>
      <c r="K680" s="36"/>
      <c r="L680" s="36"/>
      <c r="M680" s="36"/>
      <c r="N680" s="36"/>
      <c r="O680" s="36"/>
      <c r="P680" s="36"/>
      <c r="Q680" s="36"/>
    </row>
    <row r="681" spans="1:17" ht="15.75" customHeight="1" x14ac:dyDescent="0.2">
      <c r="A681" s="36"/>
      <c r="B681" s="36"/>
      <c r="C681" s="35"/>
      <c r="D681" s="36"/>
      <c r="E681" s="36"/>
      <c r="F681" s="36"/>
      <c r="G681" s="36"/>
      <c r="H681" s="35"/>
      <c r="I681" s="35"/>
      <c r="J681" s="36"/>
      <c r="K681" s="36"/>
      <c r="L681" s="36"/>
      <c r="M681" s="36"/>
      <c r="N681" s="36"/>
      <c r="O681" s="36"/>
      <c r="P681" s="36"/>
      <c r="Q681" s="36"/>
    </row>
    <row r="682" spans="1:17" ht="15.75" customHeight="1" x14ac:dyDescent="0.2">
      <c r="A682" s="36"/>
      <c r="B682" s="36"/>
      <c r="C682" s="35"/>
      <c r="D682" s="36"/>
      <c r="E682" s="36"/>
      <c r="F682" s="36"/>
      <c r="G682" s="36"/>
      <c r="H682" s="35"/>
      <c r="I682" s="35"/>
      <c r="J682" s="36"/>
      <c r="K682" s="36"/>
      <c r="L682" s="36"/>
      <c r="M682" s="36"/>
      <c r="N682" s="36"/>
      <c r="O682" s="36"/>
      <c r="P682" s="36"/>
      <c r="Q682" s="36"/>
    </row>
    <row r="683" spans="1:17" ht="15.75" customHeight="1" x14ac:dyDescent="0.2">
      <c r="A683" s="36"/>
      <c r="B683" s="36"/>
      <c r="C683" s="35"/>
      <c r="D683" s="36"/>
      <c r="E683" s="36"/>
      <c r="F683" s="36"/>
      <c r="G683" s="36"/>
      <c r="H683" s="35"/>
      <c r="I683" s="35"/>
      <c r="J683" s="36"/>
      <c r="K683" s="36"/>
      <c r="L683" s="36"/>
      <c r="M683" s="36"/>
      <c r="N683" s="36"/>
      <c r="O683" s="36"/>
      <c r="P683" s="36"/>
      <c r="Q683" s="36"/>
    </row>
    <row r="684" spans="1:17" ht="15.75" customHeight="1" x14ac:dyDescent="0.2">
      <c r="A684" s="36"/>
      <c r="B684" s="36"/>
      <c r="C684" s="35"/>
      <c r="D684" s="36"/>
      <c r="E684" s="36"/>
      <c r="F684" s="36"/>
      <c r="G684" s="36"/>
      <c r="H684" s="35"/>
      <c r="I684" s="35"/>
      <c r="J684" s="36"/>
      <c r="K684" s="36"/>
      <c r="L684" s="36"/>
      <c r="M684" s="36"/>
      <c r="N684" s="36"/>
      <c r="O684" s="36"/>
      <c r="P684" s="36"/>
      <c r="Q684" s="36"/>
    </row>
    <row r="685" spans="1:17" ht="15.75" customHeight="1" x14ac:dyDescent="0.2">
      <c r="A685" s="36"/>
      <c r="B685" s="36"/>
      <c r="C685" s="35"/>
      <c r="D685" s="36"/>
      <c r="E685" s="36"/>
      <c r="F685" s="36"/>
      <c r="G685" s="36"/>
      <c r="H685" s="35"/>
      <c r="I685" s="35"/>
      <c r="J685" s="36"/>
      <c r="K685" s="36"/>
      <c r="L685" s="36"/>
      <c r="M685" s="36"/>
      <c r="N685" s="36"/>
      <c r="O685" s="36"/>
      <c r="P685" s="36"/>
      <c r="Q685" s="36"/>
    </row>
    <row r="686" spans="1:17" ht="15.75" customHeight="1" x14ac:dyDescent="0.2">
      <c r="A686" s="36"/>
      <c r="B686" s="36"/>
      <c r="C686" s="35"/>
      <c r="D686" s="36"/>
      <c r="E686" s="36"/>
      <c r="F686" s="36"/>
      <c r="G686" s="36"/>
      <c r="H686" s="35"/>
      <c r="I686" s="35"/>
      <c r="J686" s="36"/>
      <c r="K686" s="36"/>
      <c r="L686" s="36"/>
      <c r="M686" s="36"/>
      <c r="N686" s="36"/>
      <c r="O686" s="36"/>
      <c r="P686" s="36"/>
      <c r="Q686" s="36"/>
    </row>
    <row r="687" spans="1:17" ht="15.75" customHeight="1" x14ac:dyDescent="0.2">
      <c r="A687" s="36"/>
      <c r="B687" s="36"/>
      <c r="C687" s="35"/>
      <c r="D687" s="36"/>
      <c r="E687" s="36"/>
      <c r="F687" s="36"/>
      <c r="G687" s="36"/>
      <c r="H687" s="35"/>
      <c r="I687" s="35"/>
      <c r="J687" s="36"/>
      <c r="K687" s="36"/>
      <c r="L687" s="36"/>
      <c r="M687" s="36"/>
      <c r="N687" s="36"/>
      <c r="O687" s="36"/>
      <c r="P687" s="36"/>
      <c r="Q687" s="36"/>
    </row>
    <row r="688" spans="1:17" ht="15.75" customHeight="1" x14ac:dyDescent="0.2">
      <c r="A688" s="36"/>
      <c r="B688" s="36"/>
      <c r="C688" s="35"/>
      <c r="D688" s="36"/>
      <c r="E688" s="36"/>
      <c r="F688" s="36"/>
      <c r="G688" s="36"/>
      <c r="H688" s="35"/>
      <c r="I688" s="35"/>
      <c r="J688" s="36"/>
      <c r="K688" s="36"/>
      <c r="L688" s="36"/>
      <c r="M688" s="36"/>
      <c r="N688" s="36"/>
      <c r="O688" s="36"/>
      <c r="P688" s="36"/>
      <c r="Q688" s="36"/>
    </row>
    <row r="689" spans="1:17" ht="15.75" customHeight="1" x14ac:dyDescent="0.2">
      <c r="A689" s="36"/>
      <c r="B689" s="36"/>
      <c r="C689" s="35"/>
      <c r="D689" s="36"/>
      <c r="E689" s="36"/>
      <c r="F689" s="36"/>
      <c r="G689" s="36"/>
      <c r="H689" s="35"/>
      <c r="I689" s="35"/>
      <c r="J689" s="36"/>
      <c r="K689" s="36"/>
      <c r="L689" s="36"/>
      <c r="M689" s="36"/>
      <c r="N689" s="36"/>
      <c r="O689" s="36"/>
      <c r="P689" s="36"/>
      <c r="Q689" s="36"/>
    </row>
    <row r="690" spans="1:17" ht="15.75" customHeight="1" x14ac:dyDescent="0.2">
      <c r="A690" s="36"/>
      <c r="B690" s="36"/>
      <c r="C690" s="35"/>
      <c r="D690" s="36"/>
      <c r="E690" s="36"/>
      <c r="F690" s="36"/>
      <c r="G690" s="36"/>
      <c r="H690" s="35"/>
      <c r="I690" s="35"/>
      <c r="J690" s="36"/>
      <c r="K690" s="36"/>
      <c r="L690" s="36"/>
      <c r="M690" s="36"/>
      <c r="N690" s="36"/>
      <c r="O690" s="36"/>
      <c r="P690" s="36"/>
      <c r="Q690" s="36"/>
    </row>
    <row r="691" spans="1:17" ht="15.75" customHeight="1" x14ac:dyDescent="0.2">
      <c r="A691" s="36"/>
      <c r="B691" s="36"/>
      <c r="C691" s="35"/>
      <c r="D691" s="36"/>
      <c r="E691" s="36"/>
      <c r="F691" s="36"/>
      <c r="G691" s="36"/>
      <c r="H691" s="35"/>
      <c r="I691" s="35"/>
      <c r="J691" s="36"/>
      <c r="K691" s="36"/>
      <c r="L691" s="36"/>
      <c r="M691" s="36"/>
      <c r="N691" s="36"/>
      <c r="O691" s="36"/>
      <c r="P691" s="36"/>
      <c r="Q691" s="36"/>
    </row>
    <row r="692" spans="1:17" ht="15.75" customHeight="1" x14ac:dyDescent="0.2">
      <c r="A692" s="36"/>
      <c r="B692" s="36"/>
      <c r="C692" s="35"/>
      <c r="D692" s="36"/>
      <c r="E692" s="36"/>
      <c r="F692" s="36"/>
      <c r="G692" s="36"/>
      <c r="H692" s="35"/>
      <c r="I692" s="35"/>
      <c r="J692" s="36"/>
      <c r="K692" s="36"/>
      <c r="L692" s="36"/>
      <c r="M692" s="36"/>
      <c r="N692" s="36"/>
      <c r="O692" s="36"/>
      <c r="P692" s="36"/>
      <c r="Q692" s="36"/>
    </row>
    <row r="693" spans="1:17" ht="15.75" customHeight="1" x14ac:dyDescent="0.2">
      <c r="A693" s="36"/>
      <c r="B693" s="36"/>
      <c r="C693" s="35"/>
      <c r="D693" s="36"/>
      <c r="E693" s="36"/>
      <c r="F693" s="36"/>
      <c r="G693" s="36"/>
      <c r="H693" s="35"/>
      <c r="I693" s="35"/>
      <c r="J693" s="36"/>
      <c r="K693" s="36"/>
      <c r="L693" s="36"/>
      <c r="M693" s="36"/>
      <c r="N693" s="36"/>
      <c r="O693" s="36"/>
      <c r="P693" s="36"/>
      <c r="Q693" s="36"/>
    </row>
    <row r="694" spans="1:17" ht="15.75" customHeight="1" x14ac:dyDescent="0.2">
      <c r="A694" s="36"/>
      <c r="B694" s="36"/>
      <c r="C694" s="35"/>
      <c r="D694" s="36"/>
      <c r="E694" s="36"/>
      <c r="F694" s="36"/>
      <c r="G694" s="36"/>
      <c r="H694" s="35"/>
      <c r="I694" s="35"/>
      <c r="J694" s="36"/>
      <c r="K694" s="36"/>
      <c r="L694" s="36"/>
      <c r="M694" s="36"/>
      <c r="N694" s="36"/>
      <c r="O694" s="36"/>
      <c r="P694" s="36"/>
      <c r="Q694" s="36"/>
    </row>
    <row r="695" spans="1:17" ht="15.75" customHeight="1" x14ac:dyDescent="0.2">
      <c r="A695" s="36"/>
      <c r="B695" s="36"/>
      <c r="C695" s="35"/>
      <c r="D695" s="36"/>
      <c r="E695" s="36"/>
      <c r="F695" s="36"/>
      <c r="G695" s="36"/>
      <c r="H695" s="35"/>
      <c r="I695" s="35"/>
      <c r="J695" s="36"/>
      <c r="K695" s="36"/>
      <c r="L695" s="36"/>
      <c r="M695" s="36"/>
      <c r="N695" s="36"/>
      <c r="O695" s="36"/>
      <c r="P695" s="36"/>
      <c r="Q695" s="36"/>
    </row>
    <row r="696" spans="1:17" ht="15.75" customHeight="1" x14ac:dyDescent="0.2">
      <c r="A696" s="36"/>
      <c r="B696" s="36"/>
      <c r="C696" s="35"/>
      <c r="D696" s="36"/>
      <c r="E696" s="36"/>
      <c r="F696" s="36"/>
      <c r="G696" s="36"/>
      <c r="H696" s="35"/>
      <c r="I696" s="35"/>
      <c r="J696" s="36"/>
      <c r="K696" s="36"/>
      <c r="L696" s="36"/>
      <c r="M696" s="36"/>
      <c r="N696" s="36"/>
      <c r="O696" s="36"/>
      <c r="P696" s="36"/>
      <c r="Q696" s="36"/>
    </row>
    <row r="697" spans="1:17" ht="15.75" customHeight="1" x14ac:dyDescent="0.2">
      <c r="A697" s="36"/>
      <c r="B697" s="36"/>
      <c r="C697" s="35"/>
      <c r="D697" s="36"/>
      <c r="E697" s="36"/>
      <c r="F697" s="36"/>
      <c r="G697" s="36"/>
      <c r="H697" s="35"/>
      <c r="I697" s="35"/>
      <c r="J697" s="36"/>
      <c r="K697" s="36"/>
      <c r="L697" s="36"/>
      <c r="M697" s="36"/>
      <c r="N697" s="36"/>
      <c r="O697" s="36"/>
      <c r="P697" s="36"/>
      <c r="Q697" s="36"/>
    </row>
    <row r="698" spans="1:17" ht="15.75" customHeight="1" x14ac:dyDescent="0.2">
      <c r="A698" s="36"/>
      <c r="B698" s="36"/>
      <c r="C698" s="35"/>
      <c r="D698" s="36"/>
      <c r="E698" s="36"/>
      <c r="F698" s="36"/>
      <c r="G698" s="36"/>
      <c r="H698" s="35"/>
      <c r="I698" s="35"/>
      <c r="J698" s="36"/>
      <c r="K698" s="36"/>
      <c r="L698" s="36"/>
      <c r="M698" s="36"/>
      <c r="N698" s="36"/>
      <c r="O698" s="36"/>
      <c r="P698" s="36"/>
      <c r="Q698" s="36"/>
    </row>
    <row r="699" spans="1:17" ht="15.75" customHeight="1" x14ac:dyDescent="0.2">
      <c r="A699" s="36"/>
      <c r="B699" s="36"/>
      <c r="C699" s="35"/>
      <c r="D699" s="36"/>
      <c r="E699" s="36"/>
      <c r="F699" s="36"/>
      <c r="G699" s="36"/>
      <c r="H699" s="35"/>
      <c r="I699" s="35"/>
      <c r="J699" s="36"/>
      <c r="K699" s="36"/>
      <c r="L699" s="36"/>
      <c r="M699" s="36"/>
      <c r="N699" s="36"/>
      <c r="O699" s="36"/>
      <c r="P699" s="36"/>
      <c r="Q699" s="36"/>
    </row>
    <row r="700" spans="1:17" ht="15.75" customHeight="1" x14ac:dyDescent="0.2">
      <c r="A700" s="36"/>
      <c r="B700" s="36"/>
      <c r="C700" s="35"/>
      <c r="D700" s="36"/>
      <c r="E700" s="36"/>
      <c r="F700" s="36"/>
      <c r="G700" s="36"/>
      <c r="H700" s="35"/>
      <c r="I700" s="35"/>
      <c r="J700" s="36"/>
      <c r="K700" s="36"/>
      <c r="L700" s="36"/>
      <c r="M700" s="36"/>
      <c r="N700" s="36"/>
      <c r="O700" s="36"/>
      <c r="P700" s="36"/>
      <c r="Q700" s="36"/>
    </row>
    <row r="701" spans="1:17" ht="15.75" customHeight="1" x14ac:dyDescent="0.2">
      <c r="A701" s="36"/>
      <c r="B701" s="36"/>
      <c r="C701" s="35"/>
      <c r="D701" s="36"/>
      <c r="E701" s="36"/>
      <c r="F701" s="36"/>
      <c r="G701" s="36"/>
      <c r="H701" s="35"/>
      <c r="I701" s="35"/>
      <c r="J701" s="36"/>
      <c r="K701" s="36"/>
      <c r="L701" s="36"/>
      <c r="M701" s="36"/>
      <c r="N701" s="36"/>
      <c r="O701" s="36"/>
      <c r="P701" s="36"/>
      <c r="Q701" s="36"/>
    </row>
    <row r="702" spans="1:17" ht="15.75" customHeight="1" x14ac:dyDescent="0.2">
      <c r="A702" s="36"/>
      <c r="B702" s="36"/>
      <c r="C702" s="35"/>
      <c r="D702" s="36"/>
      <c r="E702" s="36"/>
      <c r="F702" s="36"/>
      <c r="G702" s="36"/>
      <c r="H702" s="35"/>
      <c r="I702" s="35"/>
      <c r="J702" s="36"/>
      <c r="K702" s="36"/>
      <c r="L702" s="36"/>
      <c r="M702" s="36"/>
      <c r="N702" s="36"/>
      <c r="O702" s="36"/>
      <c r="P702" s="36"/>
      <c r="Q702" s="36"/>
    </row>
    <row r="703" spans="1:17" ht="15.75" customHeight="1" x14ac:dyDescent="0.2">
      <c r="A703" s="36"/>
      <c r="B703" s="36"/>
      <c r="C703" s="35"/>
      <c r="D703" s="36"/>
      <c r="E703" s="36"/>
      <c r="F703" s="36"/>
      <c r="G703" s="36"/>
      <c r="H703" s="35"/>
      <c r="I703" s="35"/>
      <c r="J703" s="36"/>
      <c r="K703" s="36"/>
      <c r="L703" s="36"/>
      <c r="M703" s="36"/>
      <c r="N703" s="36"/>
      <c r="O703" s="36"/>
      <c r="P703" s="36"/>
      <c r="Q703" s="36"/>
    </row>
    <row r="704" spans="1:17" ht="15.75" customHeight="1" x14ac:dyDescent="0.2">
      <c r="A704" s="36"/>
      <c r="B704" s="36"/>
      <c r="C704" s="35"/>
      <c r="D704" s="36"/>
      <c r="E704" s="36"/>
      <c r="F704" s="36"/>
      <c r="G704" s="36"/>
      <c r="H704" s="35"/>
      <c r="I704" s="35"/>
      <c r="J704" s="36"/>
      <c r="K704" s="36"/>
      <c r="L704" s="36"/>
      <c r="M704" s="36"/>
      <c r="N704" s="36"/>
      <c r="O704" s="36"/>
      <c r="P704" s="36"/>
      <c r="Q704" s="36"/>
    </row>
    <row r="705" spans="1:17" ht="15.75" customHeight="1" x14ac:dyDescent="0.2">
      <c r="A705" s="36"/>
      <c r="B705" s="36"/>
      <c r="C705" s="35"/>
      <c r="D705" s="36"/>
      <c r="E705" s="36"/>
      <c r="F705" s="36"/>
      <c r="G705" s="36"/>
      <c r="H705" s="35"/>
      <c r="I705" s="35"/>
      <c r="J705" s="36"/>
      <c r="K705" s="36"/>
      <c r="L705" s="36"/>
      <c r="M705" s="36"/>
      <c r="N705" s="36"/>
      <c r="O705" s="36"/>
      <c r="P705" s="36"/>
      <c r="Q705" s="36"/>
    </row>
    <row r="706" spans="1:17" ht="15.75" customHeight="1" x14ac:dyDescent="0.2">
      <c r="A706" s="36"/>
      <c r="B706" s="36"/>
      <c r="C706" s="35"/>
      <c r="D706" s="36"/>
      <c r="E706" s="36"/>
      <c r="F706" s="36"/>
      <c r="G706" s="36"/>
      <c r="H706" s="35"/>
      <c r="I706" s="35"/>
      <c r="J706" s="36"/>
      <c r="K706" s="36"/>
      <c r="L706" s="36"/>
      <c r="M706" s="36"/>
      <c r="N706" s="36"/>
      <c r="O706" s="36"/>
      <c r="P706" s="36"/>
      <c r="Q706" s="36"/>
    </row>
    <row r="707" spans="1:17" ht="15.75" customHeight="1" x14ac:dyDescent="0.2">
      <c r="A707" s="36"/>
      <c r="B707" s="36"/>
      <c r="C707" s="35"/>
      <c r="D707" s="36"/>
      <c r="E707" s="36"/>
      <c r="F707" s="36"/>
      <c r="G707" s="36"/>
      <c r="H707" s="35"/>
      <c r="I707" s="35"/>
      <c r="J707" s="36"/>
      <c r="K707" s="36"/>
      <c r="L707" s="36"/>
      <c r="M707" s="36"/>
      <c r="N707" s="36"/>
      <c r="O707" s="36"/>
      <c r="P707" s="36"/>
      <c r="Q707" s="36"/>
    </row>
    <row r="708" spans="1:17" ht="15.75" customHeight="1" x14ac:dyDescent="0.2">
      <c r="A708" s="36"/>
      <c r="B708" s="36"/>
      <c r="C708" s="35"/>
      <c r="D708" s="36"/>
      <c r="E708" s="36"/>
      <c r="F708" s="36"/>
      <c r="G708" s="36"/>
      <c r="H708" s="35"/>
      <c r="I708" s="35"/>
      <c r="J708" s="36"/>
      <c r="K708" s="36"/>
      <c r="L708" s="36"/>
      <c r="M708" s="36"/>
      <c r="N708" s="36"/>
      <c r="O708" s="36"/>
      <c r="P708" s="36"/>
      <c r="Q708" s="36"/>
    </row>
    <row r="709" spans="1:17" ht="15.75" customHeight="1" x14ac:dyDescent="0.2">
      <c r="A709" s="36"/>
      <c r="B709" s="36"/>
      <c r="C709" s="35"/>
      <c r="D709" s="36"/>
      <c r="E709" s="36"/>
      <c r="F709" s="36"/>
      <c r="G709" s="36"/>
      <c r="H709" s="35"/>
      <c r="I709" s="35"/>
      <c r="J709" s="36"/>
      <c r="K709" s="36"/>
      <c r="L709" s="36"/>
      <c r="M709" s="36"/>
      <c r="N709" s="36"/>
      <c r="O709" s="36"/>
      <c r="P709" s="36"/>
      <c r="Q709" s="36"/>
    </row>
    <row r="710" spans="1:17" ht="15.75" customHeight="1" x14ac:dyDescent="0.2">
      <c r="A710" s="36"/>
      <c r="B710" s="36"/>
      <c r="C710" s="35"/>
      <c r="D710" s="36"/>
      <c r="E710" s="36"/>
      <c r="F710" s="36"/>
      <c r="G710" s="36"/>
      <c r="H710" s="35"/>
      <c r="I710" s="35"/>
      <c r="J710" s="36"/>
      <c r="K710" s="36"/>
      <c r="L710" s="36"/>
      <c r="M710" s="36"/>
      <c r="N710" s="36"/>
      <c r="O710" s="36"/>
      <c r="P710" s="36"/>
      <c r="Q710" s="36"/>
    </row>
    <row r="711" spans="1:17" ht="15.75" customHeight="1" x14ac:dyDescent="0.2">
      <c r="A711" s="36"/>
      <c r="B711" s="36"/>
      <c r="C711" s="35"/>
      <c r="D711" s="36"/>
      <c r="E711" s="36"/>
      <c r="F711" s="36"/>
      <c r="G711" s="36"/>
      <c r="H711" s="35"/>
      <c r="I711" s="35"/>
      <c r="J711" s="36"/>
      <c r="K711" s="36"/>
      <c r="L711" s="36"/>
      <c r="M711" s="36"/>
      <c r="N711" s="36"/>
      <c r="O711" s="36"/>
      <c r="P711" s="36"/>
      <c r="Q711" s="36"/>
    </row>
    <row r="712" spans="1:17" ht="15.75" customHeight="1" x14ac:dyDescent="0.2">
      <c r="A712" s="36"/>
      <c r="B712" s="36"/>
      <c r="C712" s="35"/>
      <c r="D712" s="36"/>
      <c r="E712" s="36"/>
      <c r="F712" s="36"/>
      <c r="G712" s="36"/>
      <c r="H712" s="35"/>
      <c r="I712" s="35"/>
      <c r="J712" s="36"/>
      <c r="K712" s="36"/>
      <c r="L712" s="36"/>
      <c r="M712" s="36"/>
      <c r="N712" s="36"/>
      <c r="O712" s="36"/>
      <c r="P712" s="36"/>
      <c r="Q712" s="36"/>
    </row>
    <row r="713" spans="1:17" ht="15.75" customHeight="1" x14ac:dyDescent="0.2">
      <c r="A713" s="36"/>
      <c r="B713" s="36"/>
      <c r="C713" s="35"/>
      <c r="D713" s="36"/>
      <c r="E713" s="36"/>
      <c r="F713" s="36"/>
      <c r="G713" s="36"/>
      <c r="H713" s="35"/>
      <c r="I713" s="35"/>
      <c r="J713" s="36"/>
      <c r="K713" s="36"/>
      <c r="L713" s="36"/>
      <c r="M713" s="36"/>
      <c r="N713" s="36"/>
      <c r="O713" s="36"/>
      <c r="P713" s="36"/>
      <c r="Q713" s="36"/>
    </row>
    <row r="714" spans="1:17" ht="15.75" customHeight="1" x14ac:dyDescent="0.2">
      <c r="A714" s="36"/>
      <c r="B714" s="36"/>
      <c r="C714" s="35"/>
      <c r="D714" s="36"/>
      <c r="E714" s="36"/>
      <c r="F714" s="36"/>
      <c r="G714" s="36"/>
      <c r="H714" s="35"/>
      <c r="I714" s="35"/>
      <c r="J714" s="36"/>
      <c r="K714" s="36"/>
      <c r="L714" s="36"/>
      <c r="M714" s="36"/>
      <c r="N714" s="36"/>
      <c r="O714" s="36"/>
      <c r="P714" s="36"/>
      <c r="Q714" s="36"/>
    </row>
    <row r="715" spans="1:17" ht="15.75" customHeight="1" x14ac:dyDescent="0.2">
      <c r="A715" s="36"/>
      <c r="B715" s="36"/>
      <c r="C715" s="35"/>
      <c r="D715" s="36"/>
      <c r="E715" s="36"/>
      <c r="F715" s="36"/>
      <c r="G715" s="36"/>
      <c r="H715" s="35"/>
      <c r="I715" s="35"/>
      <c r="J715" s="36"/>
      <c r="K715" s="36"/>
      <c r="L715" s="36"/>
      <c r="M715" s="36"/>
      <c r="N715" s="36"/>
      <c r="O715" s="36"/>
      <c r="P715" s="36"/>
      <c r="Q715" s="36"/>
    </row>
    <row r="716" spans="1:17" ht="15.75" customHeight="1" x14ac:dyDescent="0.2">
      <c r="A716" s="36"/>
      <c r="B716" s="36"/>
      <c r="C716" s="35"/>
      <c r="D716" s="36"/>
      <c r="E716" s="36"/>
      <c r="F716" s="36"/>
      <c r="G716" s="36"/>
      <c r="H716" s="35"/>
      <c r="I716" s="35"/>
      <c r="J716" s="36"/>
      <c r="K716" s="36"/>
      <c r="L716" s="36"/>
      <c r="M716" s="36"/>
      <c r="N716" s="36"/>
      <c r="O716" s="36"/>
      <c r="P716" s="36"/>
      <c r="Q716" s="36"/>
    </row>
    <row r="717" spans="1:17" ht="15.75" customHeight="1" x14ac:dyDescent="0.2">
      <c r="A717" s="36"/>
      <c r="B717" s="36"/>
      <c r="C717" s="35"/>
      <c r="D717" s="36"/>
      <c r="E717" s="36"/>
      <c r="F717" s="36"/>
      <c r="G717" s="36"/>
      <c r="H717" s="35"/>
      <c r="I717" s="35"/>
      <c r="J717" s="36"/>
      <c r="K717" s="36"/>
      <c r="L717" s="36"/>
      <c r="M717" s="36"/>
      <c r="N717" s="36"/>
      <c r="O717" s="36"/>
      <c r="P717" s="36"/>
      <c r="Q717" s="36"/>
    </row>
    <row r="718" spans="1:17" ht="15.75" customHeight="1" x14ac:dyDescent="0.2">
      <c r="A718" s="36"/>
      <c r="B718" s="36"/>
      <c r="C718" s="35"/>
      <c r="D718" s="36"/>
      <c r="E718" s="36"/>
      <c r="F718" s="36"/>
      <c r="G718" s="36"/>
      <c r="H718" s="35"/>
      <c r="I718" s="35"/>
      <c r="J718" s="36"/>
      <c r="K718" s="36"/>
      <c r="L718" s="36"/>
      <c r="M718" s="36"/>
      <c r="N718" s="36"/>
      <c r="O718" s="36"/>
      <c r="P718" s="36"/>
      <c r="Q718" s="36"/>
    </row>
    <row r="719" spans="1:17" ht="15.75" customHeight="1" x14ac:dyDescent="0.2">
      <c r="A719" s="36"/>
      <c r="B719" s="36"/>
      <c r="C719" s="35"/>
      <c r="D719" s="36"/>
      <c r="E719" s="36"/>
      <c r="F719" s="36"/>
      <c r="G719" s="36"/>
      <c r="H719" s="35"/>
      <c r="I719" s="35"/>
      <c r="J719" s="36"/>
      <c r="K719" s="36"/>
      <c r="L719" s="36"/>
      <c r="M719" s="36"/>
      <c r="N719" s="36"/>
      <c r="O719" s="36"/>
      <c r="P719" s="36"/>
      <c r="Q719" s="36"/>
    </row>
    <row r="720" spans="1:17" ht="15.75" customHeight="1" x14ac:dyDescent="0.2">
      <c r="A720" s="36"/>
      <c r="B720" s="36"/>
      <c r="C720" s="35"/>
      <c r="D720" s="36"/>
      <c r="E720" s="36"/>
      <c r="F720" s="36"/>
      <c r="G720" s="36"/>
      <c r="H720" s="35"/>
      <c r="I720" s="35"/>
      <c r="J720" s="36"/>
      <c r="K720" s="36"/>
      <c r="L720" s="36"/>
      <c r="M720" s="36"/>
      <c r="N720" s="36"/>
      <c r="O720" s="36"/>
      <c r="P720" s="36"/>
      <c r="Q720" s="36"/>
    </row>
    <row r="721" spans="1:17" ht="15.75" customHeight="1" x14ac:dyDescent="0.2">
      <c r="A721" s="36"/>
      <c r="B721" s="36"/>
      <c r="C721" s="35"/>
      <c r="D721" s="36"/>
      <c r="E721" s="36"/>
      <c r="F721" s="36"/>
      <c r="G721" s="36"/>
      <c r="H721" s="35"/>
      <c r="I721" s="35"/>
      <c r="J721" s="36"/>
      <c r="K721" s="36"/>
      <c r="L721" s="36"/>
      <c r="M721" s="36"/>
      <c r="N721" s="36"/>
      <c r="O721" s="36"/>
      <c r="P721" s="36"/>
      <c r="Q721" s="36"/>
    </row>
    <row r="722" spans="1:17" ht="15.75" customHeight="1" x14ac:dyDescent="0.2">
      <c r="A722" s="36"/>
      <c r="B722" s="36"/>
      <c r="C722" s="35"/>
      <c r="D722" s="36"/>
      <c r="E722" s="36"/>
      <c r="F722" s="36"/>
      <c r="G722" s="36"/>
      <c r="H722" s="35"/>
      <c r="I722" s="35"/>
      <c r="J722" s="36"/>
      <c r="K722" s="36"/>
      <c r="L722" s="36"/>
      <c r="M722" s="36"/>
      <c r="N722" s="36"/>
      <c r="O722" s="36"/>
      <c r="P722" s="36"/>
      <c r="Q722" s="36"/>
    </row>
    <row r="723" spans="1:17" ht="15.75" customHeight="1" x14ac:dyDescent="0.2">
      <c r="A723" s="36"/>
      <c r="B723" s="36"/>
      <c r="C723" s="35"/>
      <c r="D723" s="36"/>
      <c r="E723" s="36"/>
      <c r="F723" s="36"/>
      <c r="G723" s="36"/>
      <c r="H723" s="35"/>
      <c r="I723" s="35"/>
      <c r="J723" s="36"/>
      <c r="K723" s="36"/>
      <c r="L723" s="36"/>
      <c r="M723" s="36"/>
      <c r="N723" s="36"/>
      <c r="O723" s="36"/>
      <c r="P723" s="36"/>
      <c r="Q723" s="36"/>
    </row>
    <row r="724" spans="1:17" ht="15.75" customHeight="1" x14ac:dyDescent="0.2">
      <c r="A724" s="36"/>
      <c r="B724" s="36"/>
      <c r="C724" s="35"/>
      <c r="D724" s="36"/>
      <c r="E724" s="36"/>
      <c r="F724" s="36"/>
      <c r="G724" s="36"/>
      <c r="H724" s="35"/>
      <c r="I724" s="35"/>
      <c r="J724" s="36"/>
      <c r="K724" s="36"/>
      <c r="L724" s="36"/>
      <c r="M724" s="36"/>
      <c r="N724" s="36"/>
      <c r="O724" s="36"/>
      <c r="P724" s="36"/>
      <c r="Q724" s="36"/>
    </row>
    <row r="725" spans="1:17" ht="15.75" customHeight="1" x14ac:dyDescent="0.2">
      <c r="A725" s="36"/>
      <c r="B725" s="36"/>
      <c r="C725" s="35"/>
      <c r="D725" s="36"/>
      <c r="E725" s="36"/>
      <c r="F725" s="36"/>
      <c r="G725" s="36"/>
      <c r="H725" s="35"/>
      <c r="I725" s="35"/>
      <c r="J725" s="36"/>
      <c r="K725" s="36"/>
      <c r="L725" s="36"/>
      <c r="M725" s="36"/>
      <c r="N725" s="36"/>
      <c r="O725" s="36"/>
      <c r="P725" s="36"/>
      <c r="Q725" s="36"/>
    </row>
    <row r="726" spans="1:17" ht="15.75" customHeight="1" x14ac:dyDescent="0.2">
      <c r="A726" s="36"/>
      <c r="B726" s="36"/>
      <c r="C726" s="35"/>
      <c r="D726" s="36"/>
      <c r="E726" s="36"/>
      <c r="F726" s="36"/>
      <c r="G726" s="36"/>
      <c r="H726" s="35"/>
      <c r="I726" s="35"/>
      <c r="J726" s="36"/>
      <c r="K726" s="36"/>
      <c r="L726" s="36"/>
      <c r="M726" s="36"/>
      <c r="N726" s="36"/>
      <c r="O726" s="36"/>
      <c r="P726" s="36"/>
      <c r="Q726" s="36"/>
    </row>
    <row r="727" spans="1:17" ht="15.75" customHeight="1" x14ac:dyDescent="0.2">
      <c r="A727" s="36"/>
      <c r="B727" s="36"/>
      <c r="C727" s="35"/>
      <c r="D727" s="36"/>
      <c r="E727" s="36"/>
      <c r="F727" s="36"/>
      <c r="G727" s="36"/>
      <c r="H727" s="35"/>
      <c r="I727" s="35"/>
      <c r="J727" s="36"/>
      <c r="K727" s="36"/>
      <c r="L727" s="36"/>
      <c r="M727" s="36"/>
      <c r="N727" s="36"/>
      <c r="O727" s="36"/>
      <c r="P727" s="36"/>
      <c r="Q727" s="36"/>
    </row>
    <row r="728" spans="1:17" ht="15.75" customHeight="1" x14ac:dyDescent="0.2">
      <c r="A728" s="36"/>
      <c r="B728" s="36"/>
      <c r="C728" s="35"/>
      <c r="D728" s="36"/>
      <c r="E728" s="36"/>
      <c r="F728" s="36"/>
      <c r="G728" s="36"/>
      <c r="H728" s="35"/>
      <c r="I728" s="35"/>
      <c r="J728" s="36"/>
      <c r="K728" s="36"/>
      <c r="L728" s="36"/>
      <c r="M728" s="36"/>
      <c r="N728" s="36"/>
      <c r="O728" s="36"/>
      <c r="P728" s="36"/>
      <c r="Q728" s="36"/>
    </row>
    <row r="729" spans="1:17" ht="15.75" customHeight="1" x14ac:dyDescent="0.2">
      <c r="A729" s="36"/>
      <c r="B729" s="36"/>
      <c r="C729" s="35"/>
      <c r="D729" s="36"/>
      <c r="E729" s="36"/>
      <c r="F729" s="36"/>
      <c r="G729" s="36"/>
      <c r="H729" s="35"/>
      <c r="I729" s="35"/>
      <c r="J729" s="36"/>
      <c r="K729" s="36"/>
      <c r="L729" s="36"/>
      <c r="M729" s="36"/>
      <c r="N729" s="36"/>
      <c r="O729" s="36"/>
      <c r="P729" s="36"/>
      <c r="Q729" s="36"/>
    </row>
    <row r="730" spans="1:17" ht="15.75" customHeight="1" x14ac:dyDescent="0.2">
      <c r="A730" s="36"/>
      <c r="B730" s="36"/>
      <c r="C730" s="35"/>
      <c r="D730" s="36"/>
      <c r="E730" s="36"/>
      <c r="F730" s="36"/>
      <c r="G730" s="36"/>
      <c r="H730" s="35"/>
      <c r="I730" s="35"/>
      <c r="J730" s="36"/>
      <c r="K730" s="36"/>
      <c r="L730" s="36"/>
      <c r="M730" s="36"/>
      <c r="N730" s="36"/>
      <c r="O730" s="36"/>
      <c r="P730" s="36"/>
      <c r="Q730" s="36"/>
    </row>
    <row r="731" spans="1:17" ht="15.75" customHeight="1" x14ac:dyDescent="0.2">
      <c r="A731" s="36"/>
      <c r="B731" s="36"/>
      <c r="C731" s="35"/>
      <c r="D731" s="36"/>
      <c r="E731" s="36"/>
      <c r="F731" s="36"/>
      <c r="G731" s="36"/>
      <c r="H731" s="35"/>
      <c r="I731" s="35"/>
      <c r="J731" s="36"/>
      <c r="K731" s="36"/>
      <c r="L731" s="36"/>
      <c r="M731" s="36"/>
      <c r="N731" s="36"/>
      <c r="O731" s="36"/>
      <c r="P731" s="36"/>
      <c r="Q731" s="36"/>
    </row>
    <row r="732" spans="1:17" ht="15.75" customHeight="1" x14ac:dyDescent="0.2">
      <c r="A732" s="36"/>
      <c r="B732" s="36"/>
      <c r="C732" s="35"/>
      <c r="D732" s="36"/>
      <c r="E732" s="36"/>
      <c r="F732" s="36"/>
      <c r="G732" s="36"/>
      <c r="H732" s="35"/>
      <c r="I732" s="35"/>
      <c r="J732" s="36"/>
      <c r="K732" s="36"/>
      <c r="L732" s="36"/>
      <c r="M732" s="36"/>
      <c r="N732" s="36"/>
      <c r="O732" s="36"/>
      <c r="P732" s="36"/>
      <c r="Q732" s="36"/>
    </row>
    <row r="733" spans="1:17" ht="15.75" customHeight="1" x14ac:dyDescent="0.2">
      <c r="A733" s="36"/>
      <c r="B733" s="36"/>
      <c r="C733" s="35"/>
      <c r="D733" s="36"/>
      <c r="E733" s="36"/>
      <c r="F733" s="36"/>
      <c r="G733" s="36"/>
      <c r="H733" s="35"/>
      <c r="I733" s="35"/>
      <c r="J733" s="36"/>
      <c r="K733" s="36"/>
      <c r="L733" s="36"/>
      <c r="M733" s="36"/>
      <c r="N733" s="36"/>
      <c r="O733" s="36"/>
      <c r="P733" s="36"/>
      <c r="Q733" s="36"/>
    </row>
    <row r="734" spans="1:17" ht="15.75" customHeight="1" x14ac:dyDescent="0.2">
      <c r="A734" s="36"/>
      <c r="B734" s="36"/>
      <c r="C734" s="35"/>
      <c r="D734" s="36"/>
      <c r="E734" s="36"/>
      <c r="F734" s="36"/>
      <c r="G734" s="36"/>
      <c r="H734" s="35"/>
      <c r="I734" s="35"/>
      <c r="J734" s="36"/>
      <c r="K734" s="36"/>
      <c r="L734" s="36"/>
      <c r="M734" s="36"/>
      <c r="N734" s="36"/>
      <c r="O734" s="36"/>
      <c r="P734" s="36"/>
      <c r="Q734" s="36"/>
    </row>
    <row r="735" spans="1:17" ht="15.75" customHeight="1" x14ac:dyDescent="0.2">
      <c r="A735" s="36"/>
      <c r="B735" s="36"/>
      <c r="C735" s="35"/>
      <c r="D735" s="36"/>
      <c r="E735" s="36"/>
      <c r="F735" s="36"/>
      <c r="G735" s="36"/>
      <c r="H735" s="35"/>
      <c r="I735" s="35"/>
      <c r="J735" s="36"/>
      <c r="K735" s="36"/>
      <c r="L735" s="36"/>
      <c r="M735" s="36"/>
      <c r="N735" s="36"/>
      <c r="O735" s="36"/>
      <c r="P735" s="36"/>
      <c r="Q735" s="36"/>
    </row>
    <row r="736" spans="1:17" ht="15.75" customHeight="1" x14ac:dyDescent="0.2">
      <c r="A736" s="36"/>
      <c r="B736" s="36"/>
      <c r="C736" s="35"/>
      <c r="D736" s="36"/>
      <c r="E736" s="36"/>
      <c r="F736" s="36"/>
      <c r="G736" s="36"/>
      <c r="H736" s="35"/>
      <c r="I736" s="35"/>
      <c r="J736" s="36"/>
      <c r="K736" s="36"/>
      <c r="L736" s="36"/>
      <c r="M736" s="36"/>
      <c r="N736" s="36"/>
      <c r="O736" s="36"/>
      <c r="P736" s="36"/>
      <c r="Q736" s="36"/>
    </row>
    <row r="737" spans="1:17" ht="15.75" customHeight="1" x14ac:dyDescent="0.2">
      <c r="A737" s="36"/>
      <c r="B737" s="36"/>
      <c r="C737" s="35"/>
      <c r="D737" s="36"/>
      <c r="E737" s="36"/>
      <c r="F737" s="36"/>
      <c r="G737" s="36"/>
      <c r="H737" s="35"/>
      <c r="I737" s="35"/>
      <c r="J737" s="36"/>
      <c r="K737" s="36"/>
      <c r="L737" s="36"/>
      <c r="M737" s="36"/>
      <c r="N737" s="36"/>
      <c r="O737" s="36"/>
      <c r="P737" s="36"/>
      <c r="Q737" s="36"/>
    </row>
    <row r="738" spans="1:17" ht="15.75" customHeight="1" x14ac:dyDescent="0.2">
      <c r="A738" s="36"/>
      <c r="B738" s="36"/>
      <c r="C738" s="35"/>
      <c r="D738" s="36"/>
      <c r="E738" s="36"/>
      <c r="F738" s="36"/>
      <c r="G738" s="36"/>
      <c r="H738" s="35"/>
      <c r="I738" s="35"/>
      <c r="J738" s="36"/>
      <c r="K738" s="36"/>
      <c r="L738" s="36"/>
      <c r="M738" s="36"/>
      <c r="N738" s="36"/>
      <c r="O738" s="36"/>
      <c r="P738" s="36"/>
      <c r="Q738" s="36"/>
    </row>
    <row r="739" spans="1:17" ht="15.75" customHeight="1" x14ac:dyDescent="0.2">
      <c r="A739" s="36"/>
      <c r="B739" s="36"/>
      <c r="C739" s="35"/>
      <c r="D739" s="36"/>
      <c r="E739" s="36"/>
      <c r="F739" s="36"/>
      <c r="G739" s="36"/>
      <c r="H739" s="35"/>
      <c r="I739" s="35"/>
      <c r="J739" s="36"/>
      <c r="K739" s="36"/>
      <c r="L739" s="36"/>
      <c r="M739" s="36"/>
      <c r="N739" s="36"/>
      <c r="O739" s="36"/>
      <c r="P739" s="36"/>
      <c r="Q739" s="36"/>
    </row>
    <row r="740" spans="1:17" ht="15.75" customHeight="1" x14ac:dyDescent="0.2">
      <c r="A740" s="36"/>
      <c r="B740" s="36"/>
      <c r="C740" s="35"/>
      <c r="D740" s="36"/>
      <c r="E740" s="36"/>
      <c r="F740" s="36"/>
      <c r="G740" s="36"/>
      <c r="H740" s="35"/>
      <c r="I740" s="35"/>
      <c r="J740" s="36"/>
      <c r="K740" s="36"/>
      <c r="L740" s="36"/>
      <c r="M740" s="36"/>
      <c r="N740" s="36"/>
      <c r="O740" s="36"/>
      <c r="P740" s="36"/>
      <c r="Q740" s="36"/>
    </row>
    <row r="741" spans="1:17" ht="15.75" customHeight="1" x14ac:dyDescent="0.2">
      <c r="A741" s="36"/>
      <c r="B741" s="36"/>
      <c r="C741" s="35"/>
      <c r="D741" s="36"/>
      <c r="E741" s="36"/>
      <c r="F741" s="36"/>
      <c r="G741" s="36"/>
      <c r="H741" s="35"/>
      <c r="I741" s="35"/>
      <c r="J741" s="36"/>
      <c r="K741" s="36"/>
      <c r="L741" s="36"/>
      <c r="M741" s="36"/>
      <c r="N741" s="36"/>
      <c r="O741" s="36"/>
      <c r="P741" s="36"/>
      <c r="Q741" s="36"/>
    </row>
    <row r="742" spans="1:17" ht="15.75" customHeight="1" x14ac:dyDescent="0.2">
      <c r="A742" s="36"/>
      <c r="B742" s="36"/>
      <c r="C742" s="35"/>
      <c r="D742" s="36"/>
      <c r="E742" s="36"/>
      <c r="F742" s="36"/>
      <c r="G742" s="36"/>
      <c r="H742" s="35"/>
      <c r="I742" s="35"/>
      <c r="J742" s="36"/>
      <c r="K742" s="36"/>
      <c r="L742" s="36"/>
      <c r="M742" s="36"/>
      <c r="N742" s="36"/>
      <c r="O742" s="36"/>
      <c r="P742" s="36"/>
      <c r="Q742" s="36"/>
    </row>
    <row r="743" spans="1:17" ht="15.75" customHeight="1" x14ac:dyDescent="0.2">
      <c r="A743" s="36"/>
      <c r="B743" s="36"/>
      <c r="C743" s="35"/>
      <c r="D743" s="36"/>
      <c r="E743" s="36"/>
      <c r="F743" s="36"/>
      <c r="G743" s="36"/>
      <c r="H743" s="35"/>
      <c r="I743" s="35"/>
      <c r="J743" s="36"/>
      <c r="K743" s="36"/>
      <c r="L743" s="36"/>
      <c r="M743" s="36"/>
      <c r="N743" s="36"/>
      <c r="O743" s="36"/>
      <c r="P743" s="36"/>
      <c r="Q743" s="36"/>
    </row>
    <row r="744" spans="1:17" ht="15.75" customHeight="1" x14ac:dyDescent="0.2">
      <c r="A744" s="36"/>
      <c r="B744" s="36"/>
      <c r="C744" s="35"/>
      <c r="D744" s="36"/>
      <c r="E744" s="36"/>
      <c r="F744" s="36"/>
      <c r="G744" s="36"/>
      <c r="H744" s="35"/>
      <c r="I744" s="35"/>
      <c r="J744" s="36"/>
      <c r="K744" s="36"/>
      <c r="L744" s="36"/>
      <c r="M744" s="36"/>
      <c r="N744" s="36"/>
      <c r="O744" s="36"/>
      <c r="P744" s="36"/>
      <c r="Q744" s="36"/>
    </row>
    <row r="745" spans="1:17" ht="15.75" customHeight="1" x14ac:dyDescent="0.2">
      <c r="A745" s="36"/>
      <c r="B745" s="36"/>
      <c r="C745" s="35"/>
      <c r="D745" s="36"/>
      <c r="E745" s="36"/>
      <c r="F745" s="36"/>
      <c r="G745" s="36"/>
      <c r="H745" s="35"/>
      <c r="I745" s="35"/>
      <c r="J745" s="36"/>
      <c r="K745" s="36"/>
      <c r="L745" s="36"/>
      <c r="M745" s="36"/>
      <c r="N745" s="36"/>
      <c r="O745" s="36"/>
      <c r="P745" s="36"/>
      <c r="Q745" s="36"/>
    </row>
    <row r="746" spans="1:17" ht="15.75" customHeight="1" x14ac:dyDescent="0.2">
      <c r="A746" s="36"/>
      <c r="B746" s="36"/>
      <c r="C746" s="35"/>
      <c r="D746" s="36"/>
      <c r="E746" s="36"/>
      <c r="F746" s="36"/>
      <c r="G746" s="36"/>
      <c r="H746" s="35"/>
      <c r="I746" s="35"/>
      <c r="J746" s="36"/>
      <c r="K746" s="36"/>
      <c r="L746" s="36"/>
      <c r="M746" s="36"/>
      <c r="N746" s="36"/>
      <c r="O746" s="36"/>
      <c r="P746" s="36"/>
      <c r="Q746" s="36"/>
    </row>
    <row r="747" spans="1:17" ht="15.75" customHeight="1" x14ac:dyDescent="0.2">
      <c r="A747" s="36"/>
      <c r="B747" s="36"/>
      <c r="C747" s="35"/>
      <c r="D747" s="36"/>
      <c r="E747" s="36"/>
      <c r="F747" s="36"/>
      <c r="G747" s="36"/>
      <c r="H747" s="35"/>
      <c r="I747" s="35"/>
      <c r="J747" s="36"/>
      <c r="K747" s="36"/>
      <c r="L747" s="36"/>
      <c r="M747" s="36"/>
      <c r="N747" s="36"/>
      <c r="O747" s="36"/>
      <c r="P747" s="36"/>
      <c r="Q747" s="36"/>
    </row>
    <row r="748" spans="1:17" ht="15.75" customHeight="1" x14ac:dyDescent="0.2">
      <c r="A748" s="36"/>
      <c r="B748" s="36"/>
      <c r="C748" s="35"/>
      <c r="D748" s="36"/>
      <c r="E748" s="36"/>
      <c r="F748" s="36"/>
      <c r="G748" s="36"/>
      <c r="H748" s="35"/>
      <c r="I748" s="35"/>
      <c r="J748" s="36"/>
      <c r="K748" s="36"/>
      <c r="L748" s="36"/>
      <c r="M748" s="36"/>
      <c r="N748" s="36"/>
      <c r="O748" s="36"/>
      <c r="P748" s="36"/>
      <c r="Q748" s="36"/>
    </row>
    <row r="749" spans="1:17" ht="15.75" customHeight="1" x14ac:dyDescent="0.2">
      <c r="A749" s="36"/>
      <c r="B749" s="36"/>
      <c r="C749" s="35"/>
      <c r="D749" s="36"/>
      <c r="E749" s="36"/>
      <c r="F749" s="36"/>
      <c r="G749" s="36"/>
      <c r="H749" s="35"/>
      <c r="I749" s="35"/>
      <c r="J749" s="36"/>
      <c r="K749" s="36"/>
      <c r="L749" s="36"/>
      <c r="M749" s="36"/>
      <c r="N749" s="36"/>
      <c r="O749" s="36"/>
      <c r="P749" s="36"/>
      <c r="Q749" s="36"/>
    </row>
    <row r="750" spans="1:17" ht="15.75" customHeight="1" x14ac:dyDescent="0.2">
      <c r="A750" s="36"/>
      <c r="B750" s="36"/>
      <c r="C750" s="35"/>
      <c r="D750" s="36"/>
      <c r="E750" s="36"/>
      <c r="F750" s="36"/>
      <c r="G750" s="36"/>
      <c r="H750" s="35"/>
      <c r="I750" s="35"/>
      <c r="J750" s="36"/>
      <c r="K750" s="36"/>
      <c r="L750" s="36"/>
      <c r="M750" s="36"/>
      <c r="N750" s="36"/>
      <c r="O750" s="36"/>
      <c r="P750" s="36"/>
      <c r="Q750" s="36"/>
    </row>
    <row r="751" spans="1:17" ht="15.75" customHeight="1" x14ac:dyDescent="0.2">
      <c r="A751" s="36"/>
      <c r="B751" s="36"/>
      <c r="C751" s="35"/>
      <c r="D751" s="36"/>
      <c r="E751" s="36"/>
      <c r="F751" s="36"/>
      <c r="G751" s="36"/>
      <c r="H751" s="35"/>
      <c r="I751" s="35"/>
      <c r="J751" s="36"/>
      <c r="K751" s="36"/>
      <c r="L751" s="36"/>
      <c r="M751" s="36"/>
      <c r="N751" s="36"/>
      <c r="O751" s="36"/>
      <c r="P751" s="36"/>
      <c r="Q751" s="36"/>
    </row>
    <row r="752" spans="1:17" ht="15.75" customHeight="1" x14ac:dyDescent="0.2">
      <c r="A752" s="36"/>
      <c r="B752" s="36"/>
      <c r="C752" s="35"/>
      <c r="D752" s="36"/>
      <c r="E752" s="36"/>
      <c r="F752" s="36"/>
      <c r="G752" s="36"/>
      <c r="H752" s="35"/>
      <c r="I752" s="35"/>
      <c r="J752" s="36"/>
      <c r="K752" s="36"/>
      <c r="L752" s="36"/>
      <c r="M752" s="36"/>
      <c r="N752" s="36"/>
      <c r="O752" s="36"/>
      <c r="P752" s="36"/>
      <c r="Q752" s="36"/>
    </row>
    <row r="753" spans="1:17" ht="15.75" customHeight="1" x14ac:dyDescent="0.2">
      <c r="A753" s="36"/>
      <c r="B753" s="36"/>
      <c r="C753" s="35"/>
      <c r="D753" s="36"/>
      <c r="E753" s="36"/>
      <c r="F753" s="36"/>
      <c r="G753" s="36"/>
      <c r="H753" s="35"/>
      <c r="I753" s="35"/>
      <c r="J753" s="36"/>
      <c r="K753" s="36"/>
      <c r="L753" s="36"/>
      <c r="M753" s="36"/>
      <c r="N753" s="36"/>
      <c r="O753" s="36"/>
      <c r="P753" s="36"/>
      <c r="Q753" s="36"/>
    </row>
    <row r="754" spans="1:17" ht="15.75" customHeight="1" x14ac:dyDescent="0.2">
      <c r="A754" s="36"/>
      <c r="B754" s="36"/>
      <c r="C754" s="35"/>
      <c r="D754" s="36"/>
      <c r="E754" s="36"/>
      <c r="F754" s="36"/>
      <c r="G754" s="36"/>
      <c r="H754" s="35"/>
      <c r="I754" s="35"/>
      <c r="J754" s="36"/>
      <c r="K754" s="36"/>
      <c r="L754" s="36"/>
      <c r="M754" s="36"/>
      <c r="N754" s="36"/>
      <c r="O754" s="36"/>
      <c r="P754" s="36"/>
      <c r="Q754" s="36"/>
    </row>
    <row r="755" spans="1:17" ht="15.75" customHeight="1" x14ac:dyDescent="0.2">
      <c r="A755" s="36"/>
      <c r="B755" s="36"/>
      <c r="C755" s="35"/>
      <c r="D755" s="36"/>
      <c r="E755" s="36"/>
      <c r="F755" s="36"/>
      <c r="G755" s="36"/>
      <c r="H755" s="35"/>
      <c r="I755" s="35"/>
      <c r="J755" s="36"/>
      <c r="K755" s="36"/>
      <c r="L755" s="36"/>
      <c r="M755" s="36"/>
      <c r="N755" s="36"/>
      <c r="O755" s="36"/>
      <c r="P755" s="36"/>
      <c r="Q755" s="36"/>
    </row>
    <row r="756" spans="1:17" ht="15.75" customHeight="1" x14ac:dyDescent="0.2">
      <c r="A756" s="36"/>
      <c r="B756" s="36"/>
      <c r="C756" s="35"/>
      <c r="D756" s="36"/>
      <c r="E756" s="36"/>
      <c r="F756" s="36"/>
      <c r="G756" s="36"/>
      <c r="H756" s="35"/>
      <c r="I756" s="35"/>
      <c r="J756" s="36"/>
      <c r="K756" s="36"/>
      <c r="L756" s="36"/>
      <c r="M756" s="36"/>
      <c r="N756" s="36"/>
      <c r="O756" s="36"/>
      <c r="P756" s="36"/>
      <c r="Q756" s="36"/>
    </row>
    <row r="757" spans="1:17" ht="15.75" customHeight="1" x14ac:dyDescent="0.2">
      <c r="A757" s="36"/>
      <c r="B757" s="36"/>
      <c r="C757" s="35"/>
      <c r="D757" s="36"/>
      <c r="E757" s="36"/>
      <c r="F757" s="36"/>
      <c r="G757" s="36"/>
      <c r="H757" s="35"/>
      <c r="I757" s="35"/>
      <c r="J757" s="36"/>
      <c r="K757" s="36"/>
      <c r="L757" s="36"/>
      <c r="M757" s="36"/>
      <c r="N757" s="36"/>
      <c r="O757" s="36"/>
      <c r="P757" s="36"/>
      <c r="Q757" s="36"/>
    </row>
    <row r="758" spans="1:17" ht="15.75" customHeight="1" x14ac:dyDescent="0.2">
      <c r="A758" s="36"/>
      <c r="B758" s="36"/>
      <c r="C758" s="35"/>
      <c r="D758" s="36"/>
      <c r="E758" s="36"/>
      <c r="F758" s="36"/>
      <c r="G758" s="36"/>
      <c r="H758" s="35"/>
      <c r="I758" s="35"/>
      <c r="J758" s="36"/>
      <c r="K758" s="36"/>
      <c r="L758" s="36"/>
      <c r="M758" s="36"/>
      <c r="N758" s="36"/>
      <c r="O758" s="36"/>
      <c r="P758" s="36"/>
      <c r="Q758" s="36"/>
    </row>
    <row r="759" spans="1:17" ht="15.75" customHeight="1" x14ac:dyDescent="0.2">
      <c r="A759" s="36"/>
      <c r="B759" s="36"/>
      <c r="C759" s="35"/>
      <c r="D759" s="36"/>
      <c r="E759" s="36"/>
      <c r="F759" s="36"/>
      <c r="G759" s="36"/>
      <c r="H759" s="35"/>
      <c r="I759" s="35"/>
      <c r="J759" s="36"/>
      <c r="K759" s="36"/>
      <c r="L759" s="36"/>
      <c r="M759" s="36"/>
      <c r="N759" s="36"/>
      <c r="O759" s="36"/>
      <c r="P759" s="36"/>
      <c r="Q759" s="36"/>
    </row>
    <row r="760" spans="1:17" ht="15.75" customHeight="1" x14ac:dyDescent="0.2">
      <c r="A760" s="36"/>
      <c r="B760" s="36"/>
      <c r="C760" s="35"/>
      <c r="D760" s="36"/>
      <c r="E760" s="36"/>
      <c r="F760" s="36"/>
      <c r="G760" s="36"/>
      <c r="H760" s="35"/>
      <c r="I760" s="35"/>
      <c r="J760" s="36"/>
      <c r="K760" s="36"/>
      <c r="L760" s="36"/>
      <c r="M760" s="36"/>
      <c r="N760" s="36"/>
      <c r="O760" s="36"/>
      <c r="P760" s="36"/>
      <c r="Q760" s="36"/>
    </row>
    <row r="761" spans="1:17" ht="15.75" customHeight="1" x14ac:dyDescent="0.2">
      <c r="A761" s="36"/>
      <c r="B761" s="36"/>
      <c r="C761" s="35"/>
      <c r="D761" s="36"/>
      <c r="E761" s="36"/>
      <c r="F761" s="36"/>
      <c r="G761" s="36"/>
      <c r="H761" s="35"/>
      <c r="I761" s="35"/>
      <c r="J761" s="36"/>
      <c r="K761" s="36"/>
      <c r="L761" s="36"/>
      <c r="M761" s="36"/>
      <c r="N761" s="36"/>
      <c r="O761" s="36"/>
      <c r="P761" s="36"/>
      <c r="Q761" s="36"/>
    </row>
    <row r="762" spans="1:17" ht="15.75" customHeight="1" x14ac:dyDescent="0.2">
      <c r="A762" s="36"/>
      <c r="B762" s="36"/>
      <c r="C762" s="35"/>
      <c r="D762" s="36"/>
      <c r="E762" s="36"/>
      <c r="F762" s="36"/>
      <c r="G762" s="36"/>
      <c r="H762" s="35"/>
      <c r="I762" s="35"/>
      <c r="J762" s="36"/>
      <c r="K762" s="36"/>
      <c r="L762" s="36"/>
      <c r="M762" s="36"/>
      <c r="N762" s="36"/>
      <c r="O762" s="36"/>
      <c r="P762" s="36"/>
      <c r="Q762" s="36"/>
    </row>
    <row r="763" spans="1:17" ht="15.75" customHeight="1" x14ac:dyDescent="0.2">
      <c r="A763" s="36"/>
      <c r="B763" s="36"/>
      <c r="C763" s="35"/>
      <c r="D763" s="36"/>
      <c r="E763" s="36"/>
      <c r="F763" s="36"/>
      <c r="G763" s="36"/>
      <c r="H763" s="35"/>
      <c r="I763" s="35"/>
      <c r="J763" s="36"/>
      <c r="K763" s="36"/>
      <c r="L763" s="36"/>
      <c r="M763" s="36"/>
      <c r="N763" s="36"/>
      <c r="O763" s="36"/>
      <c r="P763" s="36"/>
      <c r="Q763" s="36"/>
    </row>
    <row r="764" spans="1:17" ht="15.75" customHeight="1" x14ac:dyDescent="0.2">
      <c r="A764" s="36"/>
      <c r="B764" s="36"/>
      <c r="C764" s="35"/>
      <c r="D764" s="36"/>
      <c r="E764" s="36"/>
      <c r="F764" s="36"/>
      <c r="G764" s="36"/>
      <c r="H764" s="35"/>
      <c r="I764" s="35"/>
      <c r="J764" s="36"/>
      <c r="K764" s="36"/>
      <c r="L764" s="36"/>
      <c r="M764" s="36"/>
      <c r="N764" s="36"/>
      <c r="O764" s="36"/>
      <c r="P764" s="36"/>
      <c r="Q764" s="36"/>
    </row>
    <row r="765" spans="1:17" ht="15.75" customHeight="1" x14ac:dyDescent="0.2">
      <c r="A765" s="36"/>
      <c r="B765" s="36"/>
      <c r="C765" s="35"/>
      <c r="D765" s="36"/>
      <c r="E765" s="36"/>
      <c r="F765" s="36"/>
      <c r="G765" s="36"/>
      <c r="H765" s="35"/>
      <c r="I765" s="35"/>
      <c r="J765" s="36"/>
      <c r="K765" s="36"/>
      <c r="L765" s="36"/>
      <c r="M765" s="36"/>
      <c r="N765" s="36"/>
      <c r="O765" s="36"/>
      <c r="P765" s="36"/>
      <c r="Q765" s="36"/>
    </row>
    <row r="766" spans="1:17" ht="15.75" customHeight="1" x14ac:dyDescent="0.2">
      <c r="A766" s="36"/>
      <c r="B766" s="36"/>
      <c r="C766" s="35"/>
      <c r="D766" s="36"/>
      <c r="E766" s="36"/>
      <c r="F766" s="36"/>
      <c r="G766" s="36"/>
      <c r="H766" s="35"/>
      <c r="I766" s="35"/>
      <c r="J766" s="36"/>
      <c r="K766" s="36"/>
      <c r="L766" s="36"/>
      <c r="M766" s="36"/>
      <c r="N766" s="36"/>
      <c r="O766" s="36"/>
      <c r="P766" s="36"/>
      <c r="Q766" s="36"/>
    </row>
    <row r="767" spans="1:17" ht="15.75" customHeight="1" x14ac:dyDescent="0.2">
      <c r="A767" s="36"/>
      <c r="B767" s="36"/>
      <c r="C767" s="35"/>
      <c r="D767" s="36"/>
      <c r="E767" s="36"/>
      <c r="F767" s="36"/>
      <c r="G767" s="36"/>
      <c r="H767" s="35"/>
      <c r="I767" s="35"/>
      <c r="J767" s="36"/>
      <c r="K767" s="36"/>
      <c r="L767" s="36"/>
      <c r="M767" s="36"/>
      <c r="N767" s="36"/>
      <c r="O767" s="36"/>
      <c r="P767" s="36"/>
      <c r="Q767" s="36"/>
    </row>
    <row r="768" spans="1:17" ht="15.75" customHeight="1" x14ac:dyDescent="0.2">
      <c r="A768" s="36"/>
      <c r="B768" s="36"/>
      <c r="C768" s="35"/>
      <c r="D768" s="36"/>
      <c r="E768" s="36"/>
      <c r="F768" s="36"/>
      <c r="G768" s="36"/>
      <c r="H768" s="35"/>
      <c r="I768" s="35"/>
      <c r="J768" s="36"/>
      <c r="K768" s="36"/>
      <c r="L768" s="36"/>
      <c r="M768" s="36"/>
      <c r="N768" s="36"/>
      <c r="O768" s="36"/>
      <c r="P768" s="36"/>
      <c r="Q768" s="36"/>
    </row>
    <row r="769" spans="1:17" ht="15.75" customHeight="1" x14ac:dyDescent="0.2">
      <c r="A769" s="36"/>
      <c r="B769" s="36"/>
      <c r="C769" s="35"/>
      <c r="D769" s="36"/>
      <c r="E769" s="36"/>
      <c r="F769" s="36"/>
      <c r="G769" s="36"/>
      <c r="H769" s="35"/>
      <c r="I769" s="35"/>
      <c r="J769" s="36"/>
      <c r="K769" s="36"/>
      <c r="L769" s="36"/>
      <c r="M769" s="36"/>
      <c r="N769" s="36"/>
      <c r="O769" s="36"/>
      <c r="P769" s="36"/>
      <c r="Q769" s="36"/>
    </row>
    <row r="770" spans="1:17" ht="15.75" customHeight="1" x14ac:dyDescent="0.2">
      <c r="A770" s="36"/>
      <c r="B770" s="36"/>
      <c r="C770" s="35"/>
      <c r="D770" s="36"/>
      <c r="E770" s="36"/>
      <c r="F770" s="36"/>
      <c r="G770" s="36"/>
      <c r="H770" s="35"/>
      <c r="I770" s="35"/>
      <c r="J770" s="36"/>
      <c r="K770" s="36"/>
      <c r="L770" s="36"/>
      <c r="M770" s="36"/>
      <c r="N770" s="36"/>
      <c r="O770" s="36"/>
      <c r="P770" s="36"/>
      <c r="Q770" s="36"/>
    </row>
    <row r="771" spans="1:17" ht="15.75" customHeight="1" x14ac:dyDescent="0.2">
      <c r="A771" s="36"/>
      <c r="B771" s="36"/>
      <c r="C771" s="35"/>
      <c r="D771" s="36"/>
      <c r="E771" s="36"/>
      <c r="F771" s="36"/>
      <c r="G771" s="36"/>
      <c r="H771" s="35"/>
      <c r="I771" s="35"/>
      <c r="J771" s="36"/>
      <c r="K771" s="36"/>
      <c r="L771" s="36"/>
      <c r="M771" s="36"/>
      <c r="N771" s="36"/>
      <c r="O771" s="36"/>
      <c r="P771" s="36"/>
      <c r="Q771" s="36"/>
    </row>
    <row r="772" spans="1:17" ht="15.75" customHeight="1" x14ac:dyDescent="0.2">
      <c r="A772" s="36"/>
      <c r="B772" s="36"/>
      <c r="C772" s="35"/>
      <c r="D772" s="36"/>
      <c r="E772" s="36"/>
      <c r="F772" s="36"/>
      <c r="G772" s="36"/>
      <c r="H772" s="35"/>
      <c r="I772" s="35"/>
      <c r="J772" s="36"/>
      <c r="K772" s="36"/>
      <c r="L772" s="36"/>
      <c r="M772" s="36"/>
      <c r="N772" s="36"/>
      <c r="O772" s="36"/>
      <c r="P772" s="36"/>
      <c r="Q772" s="36"/>
    </row>
    <row r="773" spans="1:17" ht="15.75" customHeight="1" x14ac:dyDescent="0.2">
      <c r="A773" s="36"/>
      <c r="B773" s="36"/>
      <c r="C773" s="35"/>
      <c r="D773" s="36"/>
      <c r="E773" s="36"/>
      <c r="F773" s="36"/>
      <c r="G773" s="36"/>
      <c r="H773" s="35"/>
      <c r="I773" s="35"/>
      <c r="J773" s="36"/>
      <c r="K773" s="36"/>
      <c r="L773" s="36"/>
      <c r="M773" s="36"/>
      <c r="N773" s="36"/>
      <c r="O773" s="36"/>
      <c r="P773" s="36"/>
      <c r="Q773" s="36"/>
    </row>
    <row r="774" spans="1:17" ht="15.75" customHeight="1" x14ac:dyDescent="0.2">
      <c r="A774" s="36"/>
      <c r="B774" s="36"/>
      <c r="C774" s="35"/>
      <c r="D774" s="36"/>
      <c r="E774" s="36"/>
      <c r="F774" s="36"/>
      <c r="G774" s="36"/>
      <c r="H774" s="35"/>
      <c r="I774" s="35"/>
      <c r="J774" s="36"/>
      <c r="K774" s="36"/>
      <c r="L774" s="36"/>
      <c r="M774" s="36"/>
      <c r="N774" s="36"/>
      <c r="O774" s="36"/>
      <c r="P774" s="36"/>
      <c r="Q774" s="36"/>
    </row>
    <row r="775" spans="1:17" ht="15.75" customHeight="1" x14ac:dyDescent="0.2">
      <c r="A775" s="36"/>
      <c r="B775" s="36"/>
      <c r="C775" s="35"/>
      <c r="D775" s="36"/>
      <c r="E775" s="36"/>
      <c r="F775" s="36"/>
      <c r="G775" s="36"/>
      <c r="H775" s="35"/>
      <c r="I775" s="35"/>
      <c r="J775" s="36"/>
      <c r="K775" s="36"/>
      <c r="L775" s="36"/>
      <c r="M775" s="36"/>
      <c r="N775" s="36"/>
      <c r="O775" s="36"/>
      <c r="P775" s="36"/>
      <c r="Q775" s="36"/>
    </row>
    <row r="776" spans="1:17" ht="15.75" customHeight="1" x14ac:dyDescent="0.2">
      <c r="A776" s="36"/>
      <c r="B776" s="36"/>
      <c r="C776" s="35"/>
      <c r="D776" s="36"/>
      <c r="E776" s="36"/>
      <c r="F776" s="36"/>
      <c r="G776" s="36"/>
      <c r="H776" s="35"/>
      <c r="I776" s="35"/>
      <c r="J776" s="36"/>
      <c r="K776" s="36"/>
      <c r="L776" s="36"/>
      <c r="M776" s="36"/>
      <c r="N776" s="36"/>
      <c r="O776" s="36"/>
      <c r="P776" s="36"/>
      <c r="Q776" s="36"/>
    </row>
    <row r="777" spans="1:17" ht="15.75" customHeight="1" x14ac:dyDescent="0.2">
      <c r="A777" s="36"/>
      <c r="B777" s="36"/>
      <c r="C777" s="35"/>
      <c r="D777" s="36"/>
      <c r="E777" s="36"/>
      <c r="F777" s="36"/>
      <c r="G777" s="36"/>
      <c r="H777" s="35"/>
      <c r="I777" s="35"/>
      <c r="J777" s="36"/>
      <c r="K777" s="36"/>
      <c r="L777" s="36"/>
      <c r="M777" s="36"/>
      <c r="N777" s="36"/>
      <c r="O777" s="36"/>
      <c r="P777" s="36"/>
      <c r="Q777" s="36"/>
    </row>
    <row r="778" spans="1:17" ht="15.75" customHeight="1" x14ac:dyDescent="0.2">
      <c r="A778" s="36"/>
      <c r="B778" s="36"/>
      <c r="C778" s="35"/>
      <c r="D778" s="36"/>
      <c r="E778" s="36"/>
      <c r="F778" s="36"/>
      <c r="G778" s="36"/>
      <c r="H778" s="35"/>
      <c r="I778" s="35"/>
      <c r="J778" s="36"/>
      <c r="K778" s="36"/>
      <c r="L778" s="36"/>
      <c r="M778" s="36"/>
      <c r="N778" s="36"/>
      <c r="O778" s="36"/>
      <c r="P778" s="36"/>
      <c r="Q778" s="36"/>
    </row>
    <row r="779" spans="1:17" ht="15.75" customHeight="1" x14ac:dyDescent="0.2">
      <c r="A779" s="36"/>
      <c r="B779" s="36"/>
      <c r="C779" s="35"/>
      <c r="D779" s="36"/>
      <c r="E779" s="36"/>
      <c r="F779" s="36"/>
      <c r="G779" s="36"/>
      <c r="H779" s="35"/>
      <c r="I779" s="35"/>
      <c r="J779" s="36"/>
      <c r="K779" s="36"/>
      <c r="L779" s="36"/>
      <c r="M779" s="36"/>
      <c r="N779" s="36"/>
      <c r="O779" s="36"/>
      <c r="P779" s="36"/>
      <c r="Q779" s="36"/>
    </row>
    <row r="780" spans="1:17" ht="15.75" customHeight="1" x14ac:dyDescent="0.2">
      <c r="A780" s="36"/>
      <c r="B780" s="36"/>
      <c r="C780" s="35"/>
      <c r="D780" s="36"/>
      <c r="E780" s="36"/>
      <c r="F780" s="36"/>
      <c r="G780" s="36"/>
      <c r="H780" s="35"/>
      <c r="I780" s="35"/>
      <c r="J780" s="36"/>
      <c r="K780" s="36"/>
      <c r="L780" s="36"/>
      <c r="M780" s="36"/>
      <c r="N780" s="36"/>
      <c r="O780" s="36"/>
      <c r="P780" s="36"/>
      <c r="Q780" s="36"/>
    </row>
    <row r="781" spans="1:17" ht="15.75" customHeight="1" x14ac:dyDescent="0.2">
      <c r="A781" s="36"/>
      <c r="B781" s="36"/>
      <c r="C781" s="35"/>
      <c r="D781" s="36"/>
      <c r="E781" s="36"/>
      <c r="F781" s="36"/>
      <c r="G781" s="36"/>
      <c r="H781" s="35"/>
      <c r="I781" s="35"/>
      <c r="J781" s="36"/>
      <c r="K781" s="36"/>
      <c r="L781" s="36"/>
      <c r="M781" s="36"/>
      <c r="N781" s="36"/>
      <c r="O781" s="36"/>
      <c r="P781" s="36"/>
      <c r="Q781" s="36"/>
    </row>
    <row r="782" spans="1:17" ht="15.75" customHeight="1" x14ac:dyDescent="0.2">
      <c r="A782" s="36"/>
      <c r="B782" s="36"/>
      <c r="C782" s="35"/>
      <c r="D782" s="36"/>
      <c r="E782" s="36"/>
      <c r="F782" s="36"/>
      <c r="G782" s="36"/>
      <c r="H782" s="35"/>
      <c r="I782" s="35"/>
      <c r="J782" s="36"/>
      <c r="K782" s="36"/>
      <c r="L782" s="36"/>
      <c r="M782" s="36"/>
      <c r="N782" s="36"/>
      <c r="O782" s="36"/>
      <c r="P782" s="36"/>
      <c r="Q782" s="36"/>
    </row>
    <row r="783" spans="1:17" ht="15.75" customHeight="1" x14ac:dyDescent="0.2">
      <c r="A783" s="36"/>
      <c r="B783" s="36"/>
      <c r="C783" s="35"/>
      <c r="D783" s="36"/>
      <c r="E783" s="36"/>
      <c r="F783" s="36"/>
      <c r="G783" s="36"/>
      <c r="H783" s="35"/>
      <c r="I783" s="35"/>
      <c r="J783" s="36"/>
      <c r="K783" s="36"/>
      <c r="L783" s="36"/>
      <c r="M783" s="36"/>
      <c r="N783" s="36"/>
      <c r="O783" s="36"/>
      <c r="P783" s="36"/>
      <c r="Q783" s="36"/>
    </row>
    <row r="784" spans="1:17" ht="15.75" customHeight="1" x14ac:dyDescent="0.2">
      <c r="A784" s="36"/>
      <c r="B784" s="36"/>
      <c r="C784" s="35"/>
      <c r="D784" s="36"/>
      <c r="E784" s="36"/>
      <c r="F784" s="36"/>
      <c r="G784" s="36"/>
      <c r="H784" s="35"/>
      <c r="I784" s="35"/>
      <c r="J784" s="36"/>
      <c r="K784" s="36"/>
      <c r="L784" s="36"/>
      <c r="M784" s="36"/>
      <c r="N784" s="36"/>
      <c r="O784" s="36"/>
      <c r="P784" s="36"/>
      <c r="Q784" s="36"/>
    </row>
    <row r="785" spans="1:17" ht="15.75" customHeight="1" x14ac:dyDescent="0.2">
      <c r="A785" s="36"/>
      <c r="B785" s="36"/>
      <c r="C785" s="35"/>
      <c r="D785" s="36"/>
      <c r="E785" s="36"/>
      <c r="F785" s="36"/>
      <c r="G785" s="36"/>
      <c r="H785" s="35"/>
      <c r="I785" s="35"/>
      <c r="J785" s="36"/>
      <c r="K785" s="36"/>
      <c r="L785" s="36"/>
      <c r="M785" s="36"/>
      <c r="N785" s="36"/>
      <c r="O785" s="36"/>
      <c r="P785" s="36"/>
      <c r="Q785" s="36"/>
    </row>
    <row r="786" spans="1:17" ht="15.75" customHeight="1" x14ac:dyDescent="0.2">
      <c r="A786" s="36"/>
      <c r="B786" s="36"/>
      <c r="C786" s="35"/>
      <c r="D786" s="36"/>
      <c r="E786" s="36"/>
      <c r="F786" s="36"/>
      <c r="G786" s="36"/>
      <c r="H786" s="35"/>
      <c r="I786" s="35"/>
      <c r="J786" s="36"/>
      <c r="K786" s="36"/>
      <c r="L786" s="36"/>
      <c r="M786" s="36"/>
      <c r="N786" s="36"/>
      <c r="O786" s="36"/>
      <c r="P786" s="36"/>
      <c r="Q786" s="36"/>
    </row>
    <row r="787" spans="1:17" ht="15.75" customHeight="1" x14ac:dyDescent="0.2">
      <c r="A787" s="36"/>
      <c r="B787" s="36"/>
      <c r="C787" s="35"/>
      <c r="D787" s="36"/>
      <c r="E787" s="36"/>
      <c r="F787" s="36"/>
      <c r="G787" s="36"/>
      <c r="H787" s="35"/>
      <c r="I787" s="35"/>
      <c r="J787" s="36"/>
      <c r="K787" s="36"/>
      <c r="L787" s="36"/>
      <c r="M787" s="36"/>
      <c r="N787" s="36"/>
      <c r="O787" s="36"/>
      <c r="P787" s="36"/>
      <c r="Q787" s="36"/>
    </row>
    <row r="788" spans="1:17" ht="15.75" customHeight="1" x14ac:dyDescent="0.2">
      <c r="A788" s="36"/>
      <c r="B788" s="36"/>
      <c r="C788" s="35"/>
      <c r="D788" s="36"/>
      <c r="E788" s="36"/>
      <c r="F788" s="36"/>
      <c r="G788" s="36"/>
      <c r="H788" s="35"/>
      <c r="I788" s="35"/>
      <c r="J788" s="36"/>
      <c r="K788" s="36"/>
      <c r="L788" s="36"/>
      <c r="M788" s="36"/>
      <c r="N788" s="36"/>
      <c r="O788" s="36"/>
      <c r="P788" s="36"/>
      <c r="Q788" s="36"/>
    </row>
    <row r="789" spans="1:17" ht="15.75" customHeight="1" x14ac:dyDescent="0.2">
      <c r="A789" s="36"/>
      <c r="B789" s="36"/>
      <c r="C789" s="35"/>
      <c r="D789" s="36"/>
      <c r="E789" s="36"/>
      <c r="F789" s="36"/>
      <c r="G789" s="36"/>
      <c r="H789" s="35"/>
      <c r="I789" s="35"/>
      <c r="J789" s="36"/>
      <c r="K789" s="36"/>
      <c r="L789" s="36"/>
      <c r="M789" s="36"/>
      <c r="N789" s="36"/>
      <c r="O789" s="36"/>
      <c r="P789" s="36"/>
      <c r="Q789" s="36"/>
    </row>
    <row r="790" spans="1:17" ht="15.75" customHeight="1" x14ac:dyDescent="0.2">
      <c r="A790" s="36"/>
      <c r="B790" s="36"/>
      <c r="C790" s="35"/>
      <c r="D790" s="36"/>
      <c r="E790" s="36"/>
      <c r="F790" s="36"/>
      <c r="G790" s="36"/>
      <c r="H790" s="35"/>
      <c r="I790" s="35"/>
      <c r="J790" s="36"/>
      <c r="K790" s="36"/>
      <c r="L790" s="36"/>
      <c r="M790" s="36"/>
      <c r="N790" s="36"/>
      <c r="O790" s="36"/>
      <c r="P790" s="36"/>
      <c r="Q790" s="36"/>
    </row>
    <row r="791" spans="1:17" ht="15.75" customHeight="1" x14ac:dyDescent="0.2">
      <c r="A791" s="36"/>
      <c r="B791" s="36"/>
      <c r="C791" s="35"/>
      <c r="D791" s="36"/>
      <c r="E791" s="36"/>
      <c r="F791" s="36"/>
      <c r="G791" s="36"/>
      <c r="H791" s="35"/>
      <c r="I791" s="35"/>
      <c r="J791" s="36"/>
      <c r="K791" s="36"/>
      <c r="L791" s="36"/>
      <c r="M791" s="36"/>
      <c r="N791" s="36"/>
      <c r="O791" s="36"/>
      <c r="P791" s="36"/>
      <c r="Q791" s="36"/>
    </row>
    <row r="792" spans="1:17" ht="15.75" customHeight="1" x14ac:dyDescent="0.2">
      <c r="A792" s="36"/>
      <c r="B792" s="36"/>
      <c r="C792" s="35"/>
      <c r="D792" s="36"/>
      <c r="E792" s="36"/>
      <c r="F792" s="36"/>
      <c r="G792" s="36"/>
      <c r="H792" s="35"/>
      <c r="I792" s="35"/>
      <c r="J792" s="36"/>
      <c r="K792" s="36"/>
      <c r="L792" s="36"/>
      <c r="M792" s="36"/>
      <c r="N792" s="36"/>
      <c r="O792" s="36"/>
      <c r="P792" s="36"/>
      <c r="Q792" s="36"/>
    </row>
    <row r="793" spans="1:17" ht="15.75" customHeight="1" x14ac:dyDescent="0.2">
      <c r="A793" s="36"/>
      <c r="B793" s="36"/>
      <c r="C793" s="35"/>
      <c r="D793" s="36"/>
      <c r="E793" s="36"/>
      <c r="F793" s="36"/>
      <c r="G793" s="36"/>
      <c r="H793" s="35"/>
      <c r="I793" s="35"/>
      <c r="J793" s="36"/>
      <c r="K793" s="36"/>
      <c r="L793" s="36"/>
      <c r="M793" s="36"/>
      <c r="N793" s="36"/>
      <c r="O793" s="36"/>
      <c r="P793" s="36"/>
      <c r="Q793" s="36"/>
    </row>
    <row r="794" spans="1:17" ht="15.75" customHeight="1" x14ac:dyDescent="0.2">
      <c r="A794" s="36"/>
      <c r="B794" s="36"/>
      <c r="C794" s="35"/>
      <c r="D794" s="36"/>
      <c r="E794" s="36"/>
      <c r="F794" s="36"/>
      <c r="G794" s="36"/>
      <c r="H794" s="35"/>
      <c r="I794" s="35"/>
      <c r="J794" s="36"/>
      <c r="K794" s="36"/>
      <c r="L794" s="36"/>
      <c r="M794" s="36"/>
      <c r="N794" s="36"/>
      <c r="O794" s="36"/>
      <c r="P794" s="36"/>
      <c r="Q794" s="36"/>
    </row>
    <row r="795" spans="1:17" ht="15.75" customHeight="1" x14ac:dyDescent="0.2">
      <c r="A795" s="36"/>
      <c r="B795" s="36"/>
      <c r="C795" s="35"/>
      <c r="D795" s="36"/>
      <c r="E795" s="36"/>
      <c r="F795" s="36"/>
      <c r="G795" s="36"/>
      <c r="H795" s="35"/>
      <c r="I795" s="35"/>
      <c r="J795" s="36"/>
      <c r="K795" s="36"/>
      <c r="L795" s="36"/>
      <c r="M795" s="36"/>
      <c r="N795" s="36"/>
      <c r="O795" s="36"/>
      <c r="P795" s="36"/>
      <c r="Q795" s="36"/>
    </row>
    <row r="796" spans="1:17" ht="15.75" customHeight="1" x14ac:dyDescent="0.2">
      <c r="A796" s="36"/>
      <c r="B796" s="36"/>
      <c r="C796" s="35"/>
      <c r="D796" s="36"/>
      <c r="E796" s="36"/>
      <c r="F796" s="36"/>
      <c r="G796" s="36"/>
      <c r="H796" s="35"/>
      <c r="I796" s="35"/>
      <c r="J796" s="36"/>
      <c r="K796" s="36"/>
      <c r="L796" s="36"/>
      <c r="M796" s="36"/>
      <c r="N796" s="36"/>
      <c r="O796" s="36"/>
      <c r="P796" s="36"/>
      <c r="Q796" s="36"/>
    </row>
    <row r="797" spans="1:17" ht="15.75" customHeight="1" x14ac:dyDescent="0.2">
      <c r="A797" s="36"/>
      <c r="B797" s="36"/>
      <c r="C797" s="35"/>
      <c r="D797" s="36"/>
      <c r="E797" s="36"/>
      <c r="F797" s="36"/>
      <c r="G797" s="36"/>
      <c r="H797" s="35"/>
      <c r="I797" s="35"/>
      <c r="J797" s="36"/>
      <c r="K797" s="36"/>
      <c r="L797" s="36"/>
      <c r="M797" s="36"/>
      <c r="N797" s="36"/>
      <c r="O797" s="36"/>
      <c r="P797" s="36"/>
      <c r="Q797" s="36"/>
    </row>
    <row r="798" spans="1:17" ht="15.75" customHeight="1" x14ac:dyDescent="0.2">
      <c r="A798" s="36"/>
      <c r="B798" s="36"/>
      <c r="C798" s="35"/>
      <c r="D798" s="36"/>
      <c r="E798" s="36"/>
      <c r="F798" s="36"/>
      <c r="G798" s="36"/>
      <c r="H798" s="35"/>
      <c r="I798" s="35"/>
      <c r="J798" s="36"/>
      <c r="K798" s="36"/>
      <c r="L798" s="36"/>
      <c r="M798" s="36"/>
      <c r="N798" s="36"/>
      <c r="O798" s="36"/>
      <c r="P798" s="36"/>
      <c r="Q798" s="36"/>
    </row>
    <row r="799" spans="1:17" ht="15.75" customHeight="1" x14ac:dyDescent="0.2">
      <c r="A799" s="36"/>
      <c r="B799" s="36"/>
      <c r="C799" s="35"/>
      <c r="D799" s="36"/>
      <c r="E799" s="36"/>
      <c r="F799" s="36"/>
      <c r="G799" s="36"/>
      <c r="H799" s="35"/>
      <c r="I799" s="35"/>
      <c r="J799" s="36"/>
      <c r="K799" s="36"/>
      <c r="L799" s="36"/>
      <c r="M799" s="36"/>
      <c r="N799" s="36"/>
      <c r="O799" s="36"/>
      <c r="P799" s="36"/>
      <c r="Q799" s="36"/>
    </row>
    <row r="800" spans="1:17" ht="15.75" customHeight="1" x14ac:dyDescent="0.2">
      <c r="A800" s="36"/>
      <c r="B800" s="36"/>
      <c r="C800" s="35"/>
      <c r="D800" s="36"/>
      <c r="E800" s="36"/>
      <c r="F800" s="36"/>
      <c r="G800" s="36"/>
      <c r="H800" s="35"/>
      <c r="I800" s="35"/>
      <c r="J800" s="36"/>
      <c r="K800" s="36"/>
      <c r="L800" s="36"/>
      <c r="M800" s="36"/>
      <c r="N800" s="36"/>
      <c r="O800" s="36"/>
      <c r="P800" s="36"/>
      <c r="Q800" s="36"/>
    </row>
    <row r="801" spans="1:17" ht="15.75" customHeight="1" x14ac:dyDescent="0.2">
      <c r="A801" s="36"/>
      <c r="B801" s="36"/>
      <c r="C801" s="35"/>
      <c r="D801" s="36"/>
      <c r="E801" s="36"/>
      <c r="F801" s="36"/>
      <c r="G801" s="36"/>
      <c r="H801" s="35"/>
      <c r="I801" s="35"/>
      <c r="J801" s="36"/>
      <c r="K801" s="36"/>
      <c r="L801" s="36"/>
      <c r="M801" s="36"/>
      <c r="N801" s="36"/>
      <c r="O801" s="36"/>
      <c r="P801" s="36"/>
      <c r="Q801" s="36"/>
    </row>
    <row r="802" spans="1:17" ht="15.75" customHeight="1" x14ac:dyDescent="0.2">
      <c r="A802" s="36"/>
      <c r="B802" s="36"/>
      <c r="C802" s="35"/>
      <c r="D802" s="36"/>
      <c r="E802" s="36"/>
      <c r="F802" s="36"/>
      <c r="G802" s="36"/>
      <c r="H802" s="35"/>
      <c r="I802" s="35"/>
      <c r="J802" s="36"/>
      <c r="K802" s="36"/>
      <c r="L802" s="36"/>
      <c r="M802" s="36"/>
      <c r="N802" s="36"/>
      <c r="O802" s="36"/>
      <c r="P802" s="36"/>
      <c r="Q802" s="36"/>
    </row>
    <row r="803" spans="1:17" ht="15.75" customHeight="1" x14ac:dyDescent="0.2">
      <c r="A803" s="36"/>
      <c r="B803" s="36"/>
      <c r="C803" s="35"/>
      <c r="D803" s="36"/>
      <c r="E803" s="36"/>
      <c r="F803" s="36"/>
      <c r="G803" s="36"/>
      <c r="H803" s="35"/>
      <c r="I803" s="35"/>
      <c r="J803" s="36"/>
      <c r="K803" s="36"/>
      <c r="L803" s="36"/>
      <c r="M803" s="36"/>
      <c r="N803" s="36"/>
      <c r="O803" s="36"/>
      <c r="P803" s="36"/>
      <c r="Q803" s="36"/>
    </row>
    <row r="804" spans="1:17" ht="15.75" customHeight="1" x14ac:dyDescent="0.2">
      <c r="A804" s="36"/>
      <c r="B804" s="36"/>
      <c r="C804" s="35"/>
      <c r="D804" s="36"/>
      <c r="E804" s="36"/>
      <c r="F804" s="36"/>
      <c r="G804" s="36"/>
      <c r="H804" s="35"/>
      <c r="I804" s="35"/>
      <c r="J804" s="36"/>
      <c r="K804" s="36"/>
      <c r="L804" s="36"/>
      <c r="M804" s="36"/>
      <c r="N804" s="36"/>
      <c r="O804" s="36"/>
      <c r="P804" s="36"/>
      <c r="Q804" s="36"/>
    </row>
    <row r="805" spans="1:17" ht="15.75" customHeight="1" x14ac:dyDescent="0.2">
      <c r="A805" s="36"/>
      <c r="B805" s="36"/>
      <c r="C805" s="35"/>
      <c r="D805" s="36"/>
      <c r="E805" s="36"/>
      <c r="F805" s="36"/>
      <c r="G805" s="36"/>
      <c r="H805" s="35"/>
      <c r="I805" s="35"/>
      <c r="J805" s="36"/>
      <c r="K805" s="36"/>
      <c r="L805" s="36"/>
      <c r="M805" s="36"/>
      <c r="N805" s="36"/>
      <c r="O805" s="36"/>
      <c r="P805" s="36"/>
      <c r="Q805" s="36"/>
    </row>
    <row r="806" spans="1:17" ht="15.75" customHeight="1" x14ac:dyDescent="0.2">
      <c r="A806" s="36"/>
      <c r="B806" s="36"/>
      <c r="C806" s="35"/>
      <c r="D806" s="36"/>
      <c r="E806" s="36"/>
      <c r="F806" s="36"/>
      <c r="G806" s="36"/>
      <c r="H806" s="35"/>
      <c r="I806" s="35"/>
      <c r="J806" s="36"/>
      <c r="K806" s="36"/>
      <c r="L806" s="36"/>
      <c r="M806" s="36"/>
      <c r="N806" s="36"/>
      <c r="O806" s="36"/>
      <c r="P806" s="36"/>
      <c r="Q806" s="36"/>
    </row>
    <row r="807" spans="1:17" ht="15.75" customHeight="1" x14ac:dyDescent="0.2">
      <c r="A807" s="36"/>
      <c r="B807" s="36"/>
      <c r="C807" s="35"/>
      <c r="D807" s="36"/>
      <c r="E807" s="36"/>
      <c r="F807" s="36"/>
      <c r="G807" s="36"/>
      <c r="H807" s="35"/>
      <c r="I807" s="35"/>
      <c r="J807" s="36"/>
      <c r="K807" s="36"/>
      <c r="L807" s="36"/>
      <c r="M807" s="36"/>
      <c r="N807" s="36"/>
      <c r="O807" s="36"/>
      <c r="P807" s="36"/>
      <c r="Q807" s="36"/>
    </row>
    <row r="808" spans="1:17" ht="15.75" customHeight="1" x14ac:dyDescent="0.2">
      <c r="A808" s="36"/>
      <c r="B808" s="36"/>
      <c r="C808" s="35"/>
      <c r="D808" s="36"/>
      <c r="E808" s="36"/>
      <c r="F808" s="36"/>
      <c r="G808" s="36"/>
      <c r="H808" s="35"/>
      <c r="I808" s="35"/>
      <c r="J808" s="36"/>
      <c r="K808" s="36"/>
      <c r="L808" s="36"/>
      <c r="M808" s="36"/>
      <c r="N808" s="36"/>
      <c r="O808" s="36"/>
      <c r="P808" s="36"/>
      <c r="Q808" s="36"/>
    </row>
    <row r="809" spans="1:17" ht="15.75" customHeight="1" x14ac:dyDescent="0.2">
      <c r="A809" s="36"/>
      <c r="B809" s="36"/>
      <c r="C809" s="35"/>
      <c r="D809" s="36"/>
      <c r="E809" s="36"/>
      <c r="F809" s="36"/>
      <c r="G809" s="36"/>
      <c r="H809" s="35"/>
      <c r="I809" s="35"/>
      <c r="J809" s="36"/>
      <c r="K809" s="36"/>
      <c r="L809" s="36"/>
      <c r="M809" s="36"/>
      <c r="N809" s="36"/>
      <c r="O809" s="36"/>
      <c r="P809" s="36"/>
      <c r="Q809" s="36"/>
    </row>
    <row r="810" spans="1:17" ht="15.75" customHeight="1" x14ac:dyDescent="0.2">
      <c r="A810" s="36"/>
      <c r="B810" s="36"/>
      <c r="C810" s="35"/>
      <c r="D810" s="36"/>
      <c r="E810" s="36"/>
      <c r="F810" s="36"/>
      <c r="G810" s="36"/>
      <c r="H810" s="35"/>
      <c r="I810" s="35"/>
      <c r="J810" s="36"/>
      <c r="K810" s="36"/>
      <c r="L810" s="36"/>
      <c r="M810" s="36"/>
      <c r="N810" s="36"/>
      <c r="O810" s="36"/>
      <c r="P810" s="36"/>
      <c r="Q810" s="36"/>
    </row>
    <row r="811" spans="1:17" ht="15.75" customHeight="1" x14ac:dyDescent="0.2">
      <c r="A811" s="36"/>
      <c r="B811" s="36"/>
      <c r="C811" s="35"/>
      <c r="D811" s="36"/>
      <c r="E811" s="36"/>
      <c r="F811" s="36"/>
      <c r="G811" s="36"/>
      <c r="H811" s="35"/>
      <c r="I811" s="35"/>
      <c r="J811" s="36"/>
      <c r="K811" s="36"/>
      <c r="L811" s="36"/>
      <c r="M811" s="36"/>
      <c r="N811" s="36"/>
      <c r="O811" s="36"/>
      <c r="P811" s="36"/>
      <c r="Q811" s="36"/>
    </row>
    <row r="812" spans="1:17" ht="15.75" customHeight="1" x14ac:dyDescent="0.2">
      <c r="A812" s="36"/>
      <c r="B812" s="36"/>
      <c r="C812" s="35"/>
      <c r="D812" s="36"/>
      <c r="E812" s="36"/>
      <c r="F812" s="36"/>
      <c r="G812" s="36"/>
      <c r="H812" s="35"/>
      <c r="I812" s="35"/>
      <c r="J812" s="36"/>
      <c r="K812" s="36"/>
      <c r="L812" s="36"/>
      <c r="M812" s="36"/>
      <c r="N812" s="36"/>
      <c r="O812" s="36"/>
      <c r="P812" s="36"/>
      <c r="Q812" s="36"/>
    </row>
    <row r="813" spans="1:17" ht="15.75" customHeight="1" x14ac:dyDescent="0.2">
      <c r="A813" s="36"/>
      <c r="B813" s="36"/>
      <c r="C813" s="35"/>
      <c r="D813" s="36"/>
      <c r="E813" s="36"/>
      <c r="F813" s="36"/>
      <c r="G813" s="36"/>
      <c r="H813" s="35"/>
      <c r="I813" s="35"/>
      <c r="J813" s="36"/>
      <c r="K813" s="36"/>
      <c r="L813" s="36"/>
      <c r="M813" s="36"/>
      <c r="N813" s="36"/>
      <c r="O813" s="36"/>
      <c r="P813" s="36"/>
      <c r="Q813" s="36"/>
    </row>
    <row r="814" spans="1:17" ht="15.75" customHeight="1" x14ac:dyDescent="0.2">
      <c r="A814" s="36"/>
      <c r="B814" s="36"/>
      <c r="C814" s="35"/>
      <c r="D814" s="36"/>
      <c r="E814" s="36"/>
      <c r="F814" s="36"/>
      <c r="G814" s="36"/>
      <c r="H814" s="35"/>
      <c r="I814" s="35"/>
      <c r="J814" s="36"/>
      <c r="K814" s="36"/>
      <c r="L814" s="36"/>
      <c r="M814" s="36"/>
      <c r="N814" s="36"/>
      <c r="O814" s="36"/>
      <c r="P814" s="36"/>
      <c r="Q814" s="36"/>
    </row>
    <row r="815" spans="1:17" ht="15.75" customHeight="1" x14ac:dyDescent="0.2">
      <c r="A815" s="36"/>
      <c r="B815" s="36"/>
      <c r="C815" s="35"/>
      <c r="D815" s="36"/>
      <c r="E815" s="36"/>
      <c r="F815" s="36"/>
      <c r="G815" s="36"/>
      <c r="H815" s="35"/>
      <c r="I815" s="35"/>
      <c r="J815" s="36"/>
      <c r="K815" s="36"/>
      <c r="L815" s="36"/>
      <c r="M815" s="36"/>
      <c r="N815" s="36"/>
      <c r="O815" s="36"/>
      <c r="P815" s="36"/>
      <c r="Q815" s="36"/>
    </row>
    <row r="816" spans="1:17" ht="15.75" customHeight="1" x14ac:dyDescent="0.2">
      <c r="A816" s="36"/>
      <c r="B816" s="36"/>
      <c r="C816" s="35"/>
      <c r="D816" s="36"/>
      <c r="E816" s="36"/>
      <c r="F816" s="36"/>
      <c r="G816" s="36"/>
      <c r="H816" s="35"/>
      <c r="I816" s="35"/>
      <c r="J816" s="36"/>
      <c r="K816" s="36"/>
      <c r="L816" s="36"/>
      <c r="M816" s="36"/>
      <c r="N816" s="36"/>
      <c r="O816" s="36"/>
      <c r="P816" s="36"/>
      <c r="Q816" s="36"/>
    </row>
    <row r="817" spans="1:17" ht="15.75" customHeight="1" x14ac:dyDescent="0.2">
      <c r="A817" s="36"/>
      <c r="B817" s="36"/>
      <c r="C817" s="35"/>
      <c r="D817" s="36"/>
      <c r="E817" s="36"/>
      <c r="F817" s="36"/>
      <c r="G817" s="36"/>
      <c r="H817" s="35"/>
      <c r="I817" s="35"/>
      <c r="J817" s="36"/>
      <c r="K817" s="36"/>
      <c r="L817" s="36"/>
      <c r="M817" s="36"/>
      <c r="N817" s="36"/>
      <c r="O817" s="36"/>
      <c r="P817" s="36"/>
      <c r="Q817" s="36"/>
    </row>
    <row r="818" spans="1:17" ht="15.75" customHeight="1" x14ac:dyDescent="0.2">
      <c r="A818" s="36"/>
      <c r="B818" s="36"/>
      <c r="C818" s="35"/>
      <c r="D818" s="36"/>
      <c r="E818" s="36"/>
      <c r="F818" s="36"/>
      <c r="G818" s="36"/>
      <c r="H818" s="35"/>
      <c r="I818" s="35"/>
      <c r="J818" s="36"/>
      <c r="K818" s="36"/>
      <c r="L818" s="36"/>
      <c r="M818" s="36"/>
      <c r="N818" s="36"/>
      <c r="O818" s="36"/>
      <c r="P818" s="36"/>
      <c r="Q818" s="36"/>
    </row>
    <row r="819" spans="1:17" ht="15.75" customHeight="1" x14ac:dyDescent="0.2">
      <c r="A819" s="36"/>
      <c r="B819" s="36"/>
      <c r="C819" s="35"/>
      <c r="D819" s="36"/>
      <c r="E819" s="36"/>
      <c r="F819" s="36"/>
      <c r="G819" s="36"/>
      <c r="H819" s="35"/>
      <c r="I819" s="35"/>
      <c r="J819" s="36"/>
      <c r="K819" s="36"/>
      <c r="L819" s="36"/>
      <c r="M819" s="36"/>
      <c r="N819" s="36"/>
      <c r="O819" s="36"/>
      <c r="P819" s="36"/>
      <c r="Q819" s="36"/>
    </row>
    <row r="820" spans="1:17" ht="15.75" customHeight="1" x14ac:dyDescent="0.2">
      <c r="A820" s="36"/>
      <c r="B820" s="36"/>
      <c r="C820" s="35"/>
      <c r="D820" s="36"/>
      <c r="E820" s="36"/>
      <c r="F820" s="36"/>
      <c r="G820" s="36"/>
      <c r="H820" s="35"/>
      <c r="I820" s="35"/>
      <c r="J820" s="36"/>
      <c r="K820" s="36"/>
      <c r="L820" s="36"/>
      <c r="M820" s="36"/>
      <c r="N820" s="36"/>
      <c r="O820" s="36"/>
      <c r="P820" s="36"/>
      <c r="Q820" s="36"/>
    </row>
    <row r="821" spans="1:17" ht="15.75" customHeight="1" x14ac:dyDescent="0.2">
      <c r="A821" s="36"/>
      <c r="B821" s="36"/>
      <c r="C821" s="35"/>
      <c r="D821" s="36"/>
      <c r="E821" s="36"/>
      <c r="F821" s="36"/>
      <c r="G821" s="36"/>
      <c r="H821" s="35"/>
      <c r="I821" s="35"/>
      <c r="J821" s="36"/>
      <c r="K821" s="36"/>
      <c r="L821" s="36"/>
      <c r="M821" s="36"/>
      <c r="N821" s="36"/>
      <c r="O821" s="36"/>
      <c r="P821" s="36"/>
      <c r="Q821" s="36"/>
    </row>
    <row r="822" spans="1:17" ht="15.75" customHeight="1" x14ac:dyDescent="0.2">
      <c r="A822" s="36"/>
      <c r="B822" s="36"/>
      <c r="C822" s="35"/>
      <c r="D822" s="36"/>
      <c r="E822" s="36"/>
      <c r="F822" s="36"/>
      <c r="G822" s="36"/>
      <c r="H822" s="35"/>
      <c r="I822" s="35"/>
      <c r="J822" s="36"/>
      <c r="K822" s="36"/>
      <c r="L822" s="36"/>
      <c r="M822" s="36"/>
      <c r="N822" s="36"/>
      <c r="O822" s="36"/>
      <c r="P822" s="36"/>
      <c r="Q822" s="36"/>
    </row>
    <row r="823" spans="1:17" ht="15.75" customHeight="1" x14ac:dyDescent="0.2">
      <c r="A823" s="36"/>
      <c r="B823" s="36"/>
      <c r="C823" s="35"/>
      <c r="D823" s="36"/>
      <c r="E823" s="36"/>
      <c r="F823" s="36"/>
      <c r="G823" s="36"/>
      <c r="H823" s="35"/>
      <c r="I823" s="35"/>
      <c r="J823" s="36"/>
      <c r="K823" s="36"/>
      <c r="L823" s="36"/>
      <c r="M823" s="36"/>
      <c r="N823" s="36"/>
      <c r="O823" s="36"/>
      <c r="P823" s="36"/>
      <c r="Q823" s="36"/>
    </row>
    <row r="824" spans="1:17" ht="15.75" customHeight="1" x14ac:dyDescent="0.2">
      <c r="A824" s="36"/>
      <c r="B824" s="36"/>
      <c r="C824" s="35"/>
      <c r="D824" s="36"/>
      <c r="E824" s="36"/>
      <c r="F824" s="36"/>
      <c r="G824" s="36"/>
      <c r="H824" s="35"/>
      <c r="I824" s="35"/>
      <c r="J824" s="36"/>
      <c r="K824" s="36"/>
      <c r="L824" s="36"/>
      <c r="M824" s="36"/>
      <c r="N824" s="36"/>
      <c r="O824" s="36"/>
      <c r="P824" s="36"/>
      <c r="Q824" s="36"/>
    </row>
    <row r="825" spans="1:17" ht="15.75" customHeight="1" x14ac:dyDescent="0.2">
      <c r="A825" s="36"/>
      <c r="B825" s="36"/>
      <c r="C825" s="35"/>
      <c r="D825" s="36"/>
      <c r="E825" s="36"/>
      <c r="F825" s="36"/>
      <c r="G825" s="36"/>
      <c r="H825" s="35"/>
      <c r="I825" s="35"/>
      <c r="J825" s="36"/>
      <c r="K825" s="36"/>
      <c r="L825" s="36"/>
      <c r="M825" s="36"/>
      <c r="N825" s="36"/>
      <c r="O825" s="36"/>
      <c r="P825" s="36"/>
      <c r="Q825" s="36"/>
    </row>
    <row r="826" spans="1:17" ht="15.75" customHeight="1" x14ac:dyDescent="0.2">
      <c r="A826" s="36"/>
      <c r="B826" s="36"/>
      <c r="C826" s="35"/>
      <c r="D826" s="36"/>
      <c r="E826" s="36"/>
      <c r="F826" s="36"/>
      <c r="G826" s="36"/>
      <c r="H826" s="35"/>
      <c r="I826" s="35"/>
      <c r="J826" s="36"/>
      <c r="K826" s="36"/>
      <c r="L826" s="36"/>
      <c r="M826" s="36"/>
      <c r="N826" s="36"/>
      <c r="O826" s="36"/>
      <c r="P826" s="36"/>
      <c r="Q826" s="36"/>
    </row>
    <row r="827" spans="1:17" ht="15.75" customHeight="1" x14ac:dyDescent="0.2">
      <c r="A827" s="36"/>
      <c r="B827" s="36"/>
      <c r="C827" s="35"/>
      <c r="D827" s="36"/>
      <c r="E827" s="36"/>
      <c r="F827" s="36"/>
      <c r="G827" s="36"/>
      <c r="H827" s="35"/>
      <c r="I827" s="35"/>
      <c r="J827" s="36"/>
      <c r="K827" s="36"/>
      <c r="L827" s="36"/>
      <c r="M827" s="36"/>
      <c r="N827" s="36"/>
      <c r="O827" s="36"/>
      <c r="P827" s="36"/>
      <c r="Q827" s="36"/>
    </row>
    <row r="828" spans="1:17" ht="15.75" customHeight="1" x14ac:dyDescent="0.2">
      <c r="A828" s="36"/>
      <c r="B828" s="36"/>
      <c r="C828" s="35"/>
      <c r="D828" s="36"/>
      <c r="E828" s="36"/>
      <c r="F828" s="36"/>
      <c r="G828" s="36"/>
      <c r="H828" s="35"/>
      <c r="I828" s="35"/>
      <c r="J828" s="36"/>
      <c r="K828" s="36"/>
      <c r="L828" s="36"/>
      <c r="M828" s="36"/>
      <c r="N828" s="36"/>
      <c r="O828" s="36"/>
      <c r="P828" s="36"/>
      <c r="Q828" s="36"/>
    </row>
    <row r="829" spans="1:17" ht="15.75" customHeight="1" x14ac:dyDescent="0.2">
      <c r="A829" s="36"/>
      <c r="B829" s="36"/>
      <c r="C829" s="35"/>
      <c r="D829" s="36"/>
      <c r="E829" s="36"/>
      <c r="F829" s="36"/>
      <c r="G829" s="36"/>
      <c r="H829" s="35"/>
      <c r="I829" s="35"/>
      <c r="J829" s="36"/>
      <c r="K829" s="36"/>
      <c r="L829" s="36"/>
      <c r="M829" s="36"/>
      <c r="N829" s="36"/>
      <c r="O829" s="36"/>
      <c r="P829" s="36"/>
      <c r="Q829" s="36"/>
    </row>
    <row r="830" spans="1:17" ht="15.75" customHeight="1" x14ac:dyDescent="0.2">
      <c r="A830" s="36"/>
      <c r="B830" s="36"/>
      <c r="C830" s="35"/>
      <c r="D830" s="36"/>
      <c r="E830" s="36"/>
      <c r="F830" s="36"/>
      <c r="G830" s="36"/>
      <c r="H830" s="35"/>
      <c r="I830" s="35"/>
      <c r="J830" s="36"/>
      <c r="K830" s="36"/>
      <c r="L830" s="36"/>
      <c r="M830" s="36"/>
      <c r="N830" s="36"/>
      <c r="O830" s="36"/>
      <c r="P830" s="36"/>
      <c r="Q830" s="36"/>
    </row>
    <row r="831" spans="1:17" ht="15.75" customHeight="1" x14ac:dyDescent="0.2">
      <c r="A831" s="36"/>
      <c r="B831" s="36"/>
      <c r="C831" s="35"/>
      <c r="D831" s="36"/>
      <c r="E831" s="36"/>
      <c r="F831" s="36"/>
      <c r="G831" s="36"/>
      <c r="H831" s="35"/>
      <c r="I831" s="35"/>
      <c r="J831" s="36"/>
      <c r="K831" s="36"/>
      <c r="L831" s="36"/>
      <c r="M831" s="36"/>
      <c r="N831" s="36"/>
      <c r="O831" s="36"/>
      <c r="P831" s="36"/>
      <c r="Q831" s="36"/>
    </row>
    <row r="832" spans="1:17" ht="15.75" customHeight="1" x14ac:dyDescent="0.2">
      <c r="A832" s="36"/>
      <c r="B832" s="36"/>
      <c r="C832" s="35"/>
      <c r="D832" s="36"/>
      <c r="E832" s="36"/>
      <c r="F832" s="36"/>
      <c r="G832" s="36"/>
      <c r="H832" s="35"/>
      <c r="I832" s="35"/>
      <c r="J832" s="36"/>
      <c r="K832" s="36"/>
      <c r="L832" s="36"/>
      <c r="M832" s="36"/>
      <c r="N832" s="36"/>
      <c r="O832" s="36"/>
      <c r="P832" s="36"/>
      <c r="Q832" s="36"/>
    </row>
    <row r="833" spans="1:17" ht="15.75" customHeight="1" x14ac:dyDescent="0.2">
      <c r="A833" s="36"/>
      <c r="B833" s="36"/>
      <c r="C833" s="35"/>
      <c r="D833" s="36"/>
      <c r="E833" s="36"/>
      <c r="F833" s="36"/>
      <c r="G833" s="36"/>
      <c r="H833" s="35"/>
      <c r="I833" s="35"/>
      <c r="J833" s="36"/>
      <c r="K833" s="36"/>
      <c r="L833" s="36"/>
      <c r="M833" s="36"/>
      <c r="N833" s="36"/>
      <c r="O833" s="36"/>
      <c r="P833" s="36"/>
      <c r="Q833" s="36"/>
    </row>
    <row r="834" spans="1:17" ht="15.75" customHeight="1" x14ac:dyDescent="0.2">
      <c r="A834" s="36"/>
      <c r="B834" s="36"/>
      <c r="C834" s="35"/>
      <c r="D834" s="36"/>
      <c r="E834" s="36"/>
      <c r="F834" s="36"/>
      <c r="G834" s="36"/>
      <c r="H834" s="35"/>
      <c r="I834" s="35"/>
      <c r="J834" s="36"/>
      <c r="K834" s="36"/>
      <c r="L834" s="36"/>
      <c r="M834" s="36"/>
      <c r="N834" s="36"/>
      <c r="O834" s="36"/>
      <c r="P834" s="36"/>
      <c r="Q834" s="36"/>
    </row>
    <row r="835" spans="1:17" ht="15.75" customHeight="1" x14ac:dyDescent="0.2">
      <c r="A835" s="36"/>
      <c r="B835" s="36"/>
      <c r="C835" s="35"/>
      <c r="D835" s="36"/>
      <c r="E835" s="36"/>
      <c r="F835" s="36"/>
      <c r="G835" s="36"/>
      <c r="H835" s="35"/>
      <c r="I835" s="35"/>
      <c r="J835" s="36"/>
      <c r="K835" s="36"/>
      <c r="L835" s="36"/>
      <c r="M835" s="36"/>
      <c r="N835" s="36"/>
      <c r="O835" s="36"/>
      <c r="P835" s="36"/>
      <c r="Q835" s="36"/>
    </row>
    <row r="836" spans="1:17" ht="15.75" customHeight="1" x14ac:dyDescent="0.2">
      <c r="A836" s="36"/>
      <c r="B836" s="36"/>
      <c r="C836" s="35"/>
      <c r="D836" s="36"/>
      <c r="E836" s="36"/>
      <c r="F836" s="36"/>
      <c r="G836" s="36"/>
      <c r="H836" s="35"/>
      <c r="I836" s="35"/>
      <c r="J836" s="36"/>
      <c r="K836" s="36"/>
      <c r="L836" s="36"/>
      <c r="M836" s="36"/>
      <c r="N836" s="36"/>
      <c r="O836" s="36"/>
      <c r="P836" s="36"/>
      <c r="Q836" s="36"/>
    </row>
    <row r="837" spans="1:17" ht="15.75" customHeight="1" x14ac:dyDescent="0.2">
      <c r="A837" s="36"/>
      <c r="B837" s="36"/>
      <c r="C837" s="35"/>
      <c r="D837" s="36"/>
      <c r="E837" s="36"/>
      <c r="F837" s="36"/>
      <c r="G837" s="36"/>
      <c r="H837" s="35"/>
      <c r="I837" s="35"/>
      <c r="J837" s="36"/>
      <c r="K837" s="36"/>
      <c r="L837" s="36"/>
      <c r="M837" s="36"/>
      <c r="N837" s="36"/>
      <c r="O837" s="36"/>
      <c r="P837" s="36"/>
      <c r="Q837" s="36"/>
    </row>
    <row r="838" spans="1:17" ht="15.75" customHeight="1" x14ac:dyDescent="0.2">
      <c r="A838" s="36"/>
      <c r="B838" s="36"/>
      <c r="C838" s="35"/>
      <c r="D838" s="36"/>
      <c r="E838" s="36"/>
      <c r="F838" s="36"/>
      <c r="G838" s="36"/>
      <c r="H838" s="35"/>
      <c r="I838" s="35"/>
      <c r="J838" s="36"/>
      <c r="K838" s="36"/>
      <c r="L838" s="36"/>
      <c r="M838" s="36"/>
      <c r="N838" s="36"/>
      <c r="O838" s="36"/>
      <c r="P838" s="36"/>
      <c r="Q838" s="36"/>
    </row>
    <row r="839" spans="1:17" ht="15.75" customHeight="1" x14ac:dyDescent="0.2">
      <c r="A839" s="36"/>
      <c r="B839" s="36"/>
      <c r="C839" s="35"/>
      <c r="D839" s="36"/>
      <c r="E839" s="36"/>
      <c r="F839" s="36"/>
      <c r="G839" s="36"/>
      <c r="H839" s="35"/>
      <c r="I839" s="35"/>
      <c r="J839" s="36"/>
      <c r="K839" s="36"/>
      <c r="L839" s="36"/>
      <c r="M839" s="36"/>
      <c r="N839" s="36"/>
      <c r="O839" s="36"/>
      <c r="P839" s="36"/>
      <c r="Q839" s="36"/>
    </row>
    <row r="840" spans="1:17" ht="15.75" customHeight="1" x14ac:dyDescent="0.2">
      <c r="A840" s="36"/>
      <c r="B840" s="36"/>
      <c r="C840" s="35"/>
      <c r="D840" s="36"/>
      <c r="E840" s="36"/>
      <c r="F840" s="36"/>
      <c r="G840" s="36"/>
      <c r="H840" s="35"/>
      <c r="I840" s="35"/>
      <c r="J840" s="36"/>
      <c r="K840" s="36"/>
      <c r="L840" s="36"/>
      <c r="M840" s="36"/>
      <c r="N840" s="36"/>
      <c r="O840" s="36"/>
      <c r="P840" s="36"/>
      <c r="Q840" s="36"/>
    </row>
    <row r="841" spans="1:17" ht="15.75" customHeight="1" x14ac:dyDescent="0.2">
      <c r="A841" s="36"/>
      <c r="B841" s="36"/>
      <c r="C841" s="35"/>
      <c r="D841" s="36"/>
      <c r="E841" s="36"/>
      <c r="F841" s="36"/>
      <c r="G841" s="36"/>
      <c r="H841" s="35"/>
      <c r="I841" s="35"/>
      <c r="J841" s="36"/>
      <c r="K841" s="36"/>
      <c r="L841" s="36"/>
      <c r="M841" s="36"/>
      <c r="N841" s="36"/>
      <c r="O841" s="36"/>
      <c r="P841" s="36"/>
      <c r="Q841" s="36"/>
    </row>
    <row r="842" spans="1:17" ht="15.75" customHeight="1" x14ac:dyDescent="0.2">
      <c r="A842" s="36"/>
      <c r="B842" s="36"/>
      <c r="C842" s="35"/>
      <c r="D842" s="36"/>
      <c r="E842" s="36"/>
      <c r="F842" s="36"/>
      <c r="G842" s="36"/>
      <c r="H842" s="35"/>
      <c r="I842" s="35"/>
      <c r="J842" s="36"/>
      <c r="K842" s="36"/>
      <c r="L842" s="36"/>
      <c r="M842" s="36"/>
      <c r="N842" s="36"/>
      <c r="O842" s="36"/>
      <c r="P842" s="36"/>
      <c r="Q842" s="36"/>
    </row>
    <row r="843" spans="1:17" ht="15.75" customHeight="1" x14ac:dyDescent="0.2">
      <c r="A843" s="36"/>
      <c r="B843" s="36"/>
      <c r="C843" s="35"/>
      <c r="D843" s="36"/>
      <c r="E843" s="36"/>
      <c r="F843" s="36"/>
      <c r="G843" s="36"/>
      <c r="H843" s="35"/>
      <c r="I843" s="35"/>
      <c r="J843" s="36"/>
      <c r="K843" s="36"/>
      <c r="L843" s="36"/>
      <c r="M843" s="36"/>
      <c r="N843" s="36"/>
      <c r="O843" s="36"/>
      <c r="P843" s="36"/>
      <c r="Q843" s="36"/>
    </row>
    <row r="844" spans="1:17" ht="15.75" customHeight="1" x14ac:dyDescent="0.2">
      <c r="A844" s="36"/>
      <c r="B844" s="36"/>
      <c r="C844" s="35"/>
      <c r="D844" s="36"/>
      <c r="E844" s="36"/>
      <c r="F844" s="36"/>
      <c r="G844" s="36"/>
      <c r="H844" s="35"/>
      <c r="I844" s="35"/>
      <c r="J844" s="36"/>
      <c r="K844" s="36"/>
      <c r="L844" s="36"/>
      <c r="M844" s="36"/>
      <c r="N844" s="36"/>
      <c r="O844" s="36"/>
      <c r="P844" s="36"/>
      <c r="Q844" s="36"/>
    </row>
    <row r="845" spans="1:17" ht="15.75" customHeight="1" x14ac:dyDescent="0.2">
      <c r="A845" s="36"/>
      <c r="B845" s="36"/>
      <c r="C845" s="35"/>
      <c r="D845" s="36"/>
      <c r="E845" s="36"/>
      <c r="F845" s="36"/>
      <c r="G845" s="36"/>
      <c r="H845" s="35"/>
      <c r="I845" s="35"/>
      <c r="J845" s="36"/>
      <c r="K845" s="36"/>
      <c r="L845" s="36"/>
      <c r="M845" s="36"/>
      <c r="N845" s="36"/>
      <c r="O845" s="36"/>
      <c r="P845" s="36"/>
      <c r="Q845" s="36"/>
    </row>
    <row r="846" spans="1:17" ht="15.75" customHeight="1" x14ac:dyDescent="0.2">
      <c r="A846" s="36"/>
      <c r="B846" s="36"/>
      <c r="C846" s="35"/>
      <c r="D846" s="36"/>
      <c r="E846" s="36"/>
      <c r="F846" s="36"/>
      <c r="G846" s="36"/>
      <c r="H846" s="35"/>
      <c r="I846" s="35"/>
      <c r="J846" s="36"/>
      <c r="K846" s="36"/>
      <c r="L846" s="36"/>
      <c r="M846" s="36"/>
      <c r="N846" s="36"/>
      <c r="O846" s="36"/>
      <c r="P846" s="36"/>
      <c r="Q846" s="36"/>
    </row>
    <row r="847" spans="1:17" ht="15.75" customHeight="1" x14ac:dyDescent="0.2">
      <c r="A847" s="36"/>
      <c r="B847" s="36"/>
      <c r="C847" s="35"/>
      <c r="D847" s="36"/>
      <c r="E847" s="36"/>
      <c r="F847" s="36"/>
      <c r="G847" s="36"/>
      <c r="H847" s="35"/>
      <c r="I847" s="35"/>
      <c r="J847" s="36"/>
      <c r="K847" s="36"/>
      <c r="L847" s="36"/>
      <c r="M847" s="36"/>
      <c r="N847" s="36"/>
      <c r="O847" s="36"/>
      <c r="P847" s="36"/>
      <c r="Q847" s="36"/>
    </row>
    <row r="848" spans="1:17" ht="15.75" customHeight="1" x14ac:dyDescent="0.2">
      <c r="A848" s="36"/>
      <c r="B848" s="36"/>
      <c r="C848" s="35"/>
      <c r="D848" s="36"/>
      <c r="E848" s="36"/>
      <c r="F848" s="36"/>
      <c r="G848" s="36"/>
      <c r="H848" s="35"/>
      <c r="I848" s="35"/>
      <c r="J848" s="36"/>
      <c r="K848" s="36"/>
      <c r="L848" s="36"/>
      <c r="M848" s="36"/>
      <c r="N848" s="36"/>
      <c r="O848" s="36"/>
      <c r="P848" s="36"/>
      <c r="Q848" s="36"/>
    </row>
    <row r="849" spans="1:17" ht="15.75" customHeight="1" x14ac:dyDescent="0.2">
      <c r="A849" s="36"/>
      <c r="B849" s="36"/>
      <c r="C849" s="35"/>
      <c r="D849" s="36"/>
      <c r="E849" s="36"/>
      <c r="F849" s="36"/>
      <c r="G849" s="36"/>
      <c r="H849" s="35"/>
      <c r="I849" s="35"/>
      <c r="J849" s="36"/>
      <c r="K849" s="36"/>
      <c r="L849" s="36"/>
      <c r="M849" s="36"/>
      <c r="N849" s="36"/>
      <c r="O849" s="36"/>
      <c r="P849" s="36"/>
      <c r="Q849" s="36"/>
    </row>
    <row r="850" spans="1:17" ht="15.75" customHeight="1" x14ac:dyDescent="0.2">
      <c r="A850" s="36"/>
      <c r="B850" s="36"/>
      <c r="C850" s="35"/>
      <c r="D850" s="36"/>
      <c r="E850" s="36"/>
      <c r="F850" s="36"/>
      <c r="G850" s="36"/>
      <c r="H850" s="35"/>
      <c r="I850" s="35"/>
      <c r="J850" s="36"/>
      <c r="K850" s="36"/>
      <c r="L850" s="36"/>
      <c r="M850" s="36"/>
      <c r="N850" s="36"/>
      <c r="O850" s="36"/>
      <c r="P850" s="36"/>
      <c r="Q850" s="36"/>
    </row>
    <row r="851" spans="1:17" ht="15.75" customHeight="1" x14ac:dyDescent="0.2">
      <c r="A851" s="36"/>
      <c r="B851" s="36"/>
      <c r="C851" s="35"/>
      <c r="D851" s="36"/>
      <c r="E851" s="36"/>
      <c r="F851" s="36"/>
      <c r="G851" s="36"/>
      <c r="H851" s="35"/>
      <c r="I851" s="35"/>
      <c r="J851" s="36"/>
      <c r="K851" s="36"/>
      <c r="L851" s="36"/>
      <c r="M851" s="36"/>
      <c r="N851" s="36"/>
      <c r="O851" s="36"/>
      <c r="P851" s="36"/>
      <c r="Q851" s="36"/>
    </row>
    <row r="852" spans="1:17" ht="15.75" customHeight="1" x14ac:dyDescent="0.2">
      <c r="A852" s="36"/>
      <c r="B852" s="36"/>
      <c r="C852" s="35"/>
      <c r="D852" s="36"/>
      <c r="E852" s="36"/>
      <c r="F852" s="36"/>
      <c r="G852" s="36"/>
      <c r="H852" s="35"/>
      <c r="I852" s="35"/>
      <c r="J852" s="36"/>
      <c r="K852" s="36"/>
      <c r="L852" s="36"/>
      <c r="M852" s="36"/>
      <c r="N852" s="36"/>
      <c r="O852" s="36"/>
      <c r="P852" s="36"/>
      <c r="Q852" s="36"/>
    </row>
    <row r="853" spans="1:17" ht="15.75" customHeight="1" x14ac:dyDescent="0.2">
      <c r="A853" s="36"/>
      <c r="B853" s="36"/>
      <c r="C853" s="35"/>
      <c r="D853" s="36"/>
      <c r="E853" s="36"/>
      <c r="F853" s="36"/>
      <c r="G853" s="36"/>
      <c r="H853" s="35"/>
      <c r="I853" s="35"/>
      <c r="J853" s="36"/>
      <c r="K853" s="36"/>
      <c r="L853" s="36"/>
      <c r="M853" s="36"/>
      <c r="N853" s="36"/>
      <c r="O853" s="36"/>
      <c r="P853" s="36"/>
      <c r="Q853" s="36"/>
    </row>
    <row r="854" spans="1:17" ht="15.75" customHeight="1" x14ac:dyDescent="0.2">
      <c r="A854" s="36"/>
      <c r="B854" s="36"/>
      <c r="C854" s="35"/>
      <c r="D854" s="36"/>
      <c r="E854" s="36"/>
      <c r="F854" s="36"/>
      <c r="G854" s="36"/>
      <c r="H854" s="35"/>
      <c r="I854" s="35"/>
      <c r="J854" s="36"/>
      <c r="K854" s="36"/>
      <c r="L854" s="36"/>
      <c r="M854" s="36"/>
      <c r="N854" s="36"/>
      <c r="O854" s="36"/>
      <c r="P854" s="36"/>
      <c r="Q854" s="36"/>
    </row>
    <row r="855" spans="1:17" ht="15.75" customHeight="1" x14ac:dyDescent="0.2">
      <c r="A855" s="36"/>
      <c r="B855" s="36"/>
      <c r="C855" s="35"/>
      <c r="D855" s="36"/>
      <c r="E855" s="36"/>
      <c r="F855" s="36"/>
      <c r="G855" s="36"/>
      <c r="H855" s="35"/>
      <c r="I855" s="35"/>
      <c r="J855" s="36"/>
      <c r="K855" s="36"/>
      <c r="L855" s="36"/>
      <c r="M855" s="36"/>
      <c r="N855" s="36"/>
      <c r="O855" s="36"/>
      <c r="P855" s="36"/>
      <c r="Q855" s="36"/>
    </row>
    <row r="856" spans="1:17" ht="15.75" customHeight="1" x14ac:dyDescent="0.2">
      <c r="A856" s="36"/>
      <c r="B856" s="36"/>
      <c r="C856" s="35"/>
      <c r="D856" s="36"/>
      <c r="E856" s="36"/>
      <c r="F856" s="36"/>
      <c r="G856" s="36"/>
      <c r="H856" s="35"/>
      <c r="I856" s="35"/>
      <c r="J856" s="36"/>
      <c r="K856" s="36"/>
      <c r="L856" s="36"/>
      <c r="M856" s="36"/>
      <c r="N856" s="36"/>
      <c r="O856" s="36"/>
      <c r="P856" s="36"/>
      <c r="Q856" s="36"/>
    </row>
    <row r="857" spans="1:17" ht="15.75" customHeight="1" x14ac:dyDescent="0.2">
      <c r="A857" s="36"/>
      <c r="B857" s="36"/>
      <c r="C857" s="35"/>
      <c r="D857" s="36"/>
      <c r="E857" s="36"/>
      <c r="F857" s="36"/>
      <c r="G857" s="36"/>
      <c r="H857" s="35"/>
      <c r="I857" s="35"/>
      <c r="J857" s="36"/>
      <c r="K857" s="36"/>
      <c r="L857" s="36"/>
      <c r="M857" s="36"/>
      <c r="N857" s="36"/>
      <c r="O857" s="36"/>
      <c r="P857" s="36"/>
      <c r="Q857" s="36"/>
    </row>
    <row r="858" spans="1:17" ht="15.75" customHeight="1" x14ac:dyDescent="0.2">
      <c r="A858" s="36"/>
      <c r="B858" s="36"/>
      <c r="C858" s="35"/>
      <c r="D858" s="36"/>
      <c r="E858" s="36"/>
      <c r="F858" s="36"/>
      <c r="G858" s="36"/>
      <c r="H858" s="35"/>
      <c r="I858" s="35"/>
      <c r="J858" s="36"/>
      <c r="K858" s="36"/>
      <c r="L858" s="36"/>
      <c r="M858" s="36"/>
      <c r="N858" s="36"/>
      <c r="O858" s="36"/>
      <c r="P858" s="36"/>
      <c r="Q858" s="36"/>
    </row>
    <row r="859" spans="1:17" ht="15.75" customHeight="1" x14ac:dyDescent="0.2">
      <c r="A859" s="36"/>
      <c r="B859" s="36"/>
      <c r="C859" s="35"/>
      <c r="D859" s="36"/>
      <c r="E859" s="36"/>
      <c r="F859" s="36"/>
      <c r="G859" s="36"/>
      <c r="H859" s="35"/>
      <c r="I859" s="35"/>
      <c r="J859" s="36"/>
      <c r="K859" s="36"/>
      <c r="L859" s="36"/>
      <c r="M859" s="36"/>
      <c r="N859" s="36"/>
      <c r="O859" s="36"/>
      <c r="P859" s="36"/>
      <c r="Q859" s="36"/>
    </row>
    <row r="860" spans="1:17" ht="15.75" customHeight="1" x14ac:dyDescent="0.2">
      <c r="A860" s="36"/>
      <c r="B860" s="36"/>
      <c r="C860" s="35"/>
      <c r="D860" s="36"/>
      <c r="E860" s="36"/>
      <c r="F860" s="36"/>
      <c r="G860" s="36"/>
      <c r="H860" s="35"/>
      <c r="I860" s="35"/>
      <c r="J860" s="36"/>
      <c r="K860" s="36"/>
      <c r="L860" s="36"/>
      <c r="M860" s="36"/>
      <c r="N860" s="36"/>
      <c r="O860" s="36"/>
      <c r="P860" s="36"/>
      <c r="Q860" s="36"/>
    </row>
    <row r="861" spans="1:17" ht="15.75" customHeight="1" x14ac:dyDescent="0.2">
      <c r="A861" s="36"/>
      <c r="B861" s="36"/>
      <c r="C861" s="35"/>
      <c r="D861" s="36"/>
      <c r="E861" s="36"/>
      <c r="F861" s="36"/>
      <c r="G861" s="36"/>
      <c r="H861" s="35"/>
      <c r="I861" s="35"/>
      <c r="J861" s="36"/>
      <c r="K861" s="36"/>
      <c r="L861" s="36"/>
      <c r="M861" s="36"/>
      <c r="N861" s="36"/>
      <c r="O861" s="36"/>
      <c r="P861" s="36"/>
      <c r="Q861" s="36"/>
    </row>
    <row r="862" spans="1:17" ht="15.75" customHeight="1" x14ac:dyDescent="0.2">
      <c r="A862" s="36"/>
      <c r="B862" s="36"/>
      <c r="C862" s="35"/>
      <c r="D862" s="36"/>
      <c r="E862" s="36"/>
      <c r="F862" s="36"/>
      <c r="G862" s="36"/>
      <c r="H862" s="35"/>
      <c r="I862" s="35"/>
      <c r="J862" s="36"/>
      <c r="K862" s="36"/>
      <c r="L862" s="36"/>
      <c r="M862" s="36"/>
      <c r="N862" s="36"/>
      <c r="O862" s="36"/>
      <c r="P862" s="36"/>
      <c r="Q862" s="36"/>
    </row>
    <row r="863" spans="1:17" ht="15.75" customHeight="1" x14ac:dyDescent="0.2">
      <c r="A863" s="36"/>
      <c r="B863" s="36"/>
      <c r="C863" s="35"/>
      <c r="D863" s="36"/>
      <c r="E863" s="36"/>
      <c r="F863" s="36"/>
      <c r="G863" s="36"/>
      <c r="H863" s="35"/>
      <c r="I863" s="35"/>
      <c r="J863" s="36"/>
      <c r="K863" s="36"/>
      <c r="L863" s="36"/>
      <c r="M863" s="36"/>
      <c r="N863" s="36"/>
      <c r="O863" s="36"/>
      <c r="P863" s="36"/>
      <c r="Q863" s="36"/>
    </row>
    <row r="864" spans="1:17" ht="15.75" customHeight="1" x14ac:dyDescent="0.2">
      <c r="A864" s="36"/>
      <c r="B864" s="36"/>
      <c r="C864" s="35"/>
      <c r="D864" s="36"/>
      <c r="E864" s="36"/>
      <c r="F864" s="36"/>
      <c r="G864" s="36"/>
      <c r="H864" s="35"/>
      <c r="I864" s="35"/>
      <c r="J864" s="36"/>
      <c r="K864" s="36"/>
      <c r="L864" s="36"/>
      <c r="M864" s="36"/>
      <c r="N864" s="36"/>
      <c r="O864" s="36"/>
      <c r="P864" s="36"/>
      <c r="Q864" s="36"/>
    </row>
    <row r="865" spans="1:17" ht="15.75" customHeight="1" x14ac:dyDescent="0.2">
      <c r="A865" s="36"/>
      <c r="B865" s="36"/>
      <c r="C865" s="35"/>
      <c r="D865" s="36"/>
      <c r="E865" s="36"/>
      <c r="F865" s="36"/>
      <c r="G865" s="36"/>
      <c r="H865" s="35"/>
      <c r="I865" s="35"/>
      <c r="J865" s="36"/>
      <c r="K865" s="36"/>
      <c r="L865" s="36"/>
      <c r="M865" s="36"/>
      <c r="N865" s="36"/>
      <c r="O865" s="36"/>
      <c r="P865" s="36"/>
      <c r="Q865" s="36"/>
    </row>
    <row r="866" spans="1:17" ht="15.75" customHeight="1" x14ac:dyDescent="0.2">
      <c r="A866" s="36"/>
      <c r="B866" s="36"/>
      <c r="C866" s="35"/>
      <c r="D866" s="36"/>
      <c r="E866" s="36"/>
      <c r="F866" s="36"/>
      <c r="G866" s="36"/>
      <c r="H866" s="35"/>
      <c r="I866" s="35"/>
      <c r="J866" s="36"/>
      <c r="K866" s="36"/>
      <c r="L866" s="36"/>
      <c r="M866" s="36"/>
      <c r="N866" s="36"/>
      <c r="O866" s="36"/>
      <c r="P866" s="36"/>
      <c r="Q866" s="36"/>
    </row>
    <row r="867" spans="1:17" ht="15.75" customHeight="1" x14ac:dyDescent="0.2">
      <c r="A867" s="36"/>
      <c r="B867" s="36"/>
      <c r="C867" s="35"/>
      <c r="D867" s="36"/>
      <c r="E867" s="36"/>
      <c r="F867" s="36"/>
      <c r="G867" s="36"/>
      <c r="H867" s="35"/>
      <c r="I867" s="35"/>
      <c r="J867" s="36"/>
      <c r="K867" s="36"/>
      <c r="L867" s="36"/>
      <c r="M867" s="36"/>
      <c r="N867" s="36"/>
      <c r="O867" s="36"/>
      <c r="P867" s="36"/>
      <c r="Q867" s="36"/>
    </row>
    <row r="868" spans="1:17" ht="15.75" customHeight="1" x14ac:dyDescent="0.2">
      <c r="A868" s="36"/>
      <c r="B868" s="36"/>
      <c r="C868" s="35"/>
      <c r="D868" s="36"/>
      <c r="E868" s="36"/>
      <c r="F868" s="36"/>
      <c r="G868" s="36"/>
      <c r="H868" s="35"/>
      <c r="I868" s="35"/>
      <c r="J868" s="36"/>
      <c r="K868" s="36"/>
      <c r="L868" s="36"/>
      <c r="M868" s="36"/>
      <c r="N868" s="36"/>
      <c r="O868" s="36"/>
      <c r="P868" s="36"/>
      <c r="Q868" s="36"/>
    </row>
    <row r="869" spans="1:17" ht="15.75" customHeight="1" x14ac:dyDescent="0.2">
      <c r="A869" s="36"/>
      <c r="B869" s="36"/>
      <c r="C869" s="35"/>
      <c r="D869" s="36"/>
      <c r="E869" s="36"/>
      <c r="F869" s="36"/>
      <c r="G869" s="36"/>
      <c r="H869" s="35"/>
      <c r="I869" s="35"/>
      <c r="J869" s="36"/>
      <c r="K869" s="36"/>
      <c r="L869" s="36"/>
      <c r="M869" s="36"/>
      <c r="N869" s="36"/>
      <c r="O869" s="36"/>
      <c r="P869" s="36"/>
      <c r="Q869" s="36"/>
    </row>
    <row r="870" spans="1:17" ht="15.75" customHeight="1" x14ac:dyDescent="0.2">
      <c r="A870" s="36"/>
      <c r="B870" s="36"/>
      <c r="C870" s="35"/>
      <c r="D870" s="36"/>
      <c r="E870" s="36"/>
      <c r="F870" s="36"/>
      <c r="G870" s="36"/>
      <c r="H870" s="35"/>
      <c r="I870" s="35"/>
      <c r="J870" s="36"/>
      <c r="K870" s="36"/>
      <c r="L870" s="36"/>
      <c r="M870" s="36"/>
      <c r="N870" s="36"/>
      <c r="O870" s="36"/>
      <c r="P870" s="36"/>
      <c r="Q870" s="36"/>
    </row>
    <row r="871" spans="1:17" ht="15.75" customHeight="1" x14ac:dyDescent="0.2">
      <c r="A871" s="36"/>
      <c r="B871" s="36"/>
      <c r="C871" s="35"/>
      <c r="D871" s="36"/>
      <c r="E871" s="36"/>
      <c r="F871" s="36"/>
      <c r="G871" s="36"/>
      <c r="H871" s="35"/>
      <c r="I871" s="35"/>
      <c r="J871" s="36"/>
      <c r="K871" s="36"/>
      <c r="L871" s="36"/>
      <c r="M871" s="36"/>
      <c r="N871" s="36"/>
      <c r="O871" s="36"/>
      <c r="P871" s="36"/>
      <c r="Q871" s="36"/>
    </row>
    <row r="872" spans="1:17" ht="15.75" customHeight="1" x14ac:dyDescent="0.2">
      <c r="A872" s="36"/>
      <c r="B872" s="36"/>
      <c r="C872" s="35"/>
      <c r="D872" s="36"/>
      <c r="E872" s="36"/>
      <c r="F872" s="36"/>
      <c r="G872" s="36"/>
      <c r="H872" s="35"/>
      <c r="I872" s="35"/>
      <c r="J872" s="36"/>
      <c r="K872" s="36"/>
      <c r="L872" s="36"/>
      <c r="M872" s="36"/>
      <c r="N872" s="36"/>
      <c r="O872" s="36"/>
      <c r="P872" s="36"/>
      <c r="Q872" s="36"/>
    </row>
    <row r="873" spans="1:17" ht="15.75" customHeight="1" x14ac:dyDescent="0.2">
      <c r="A873" s="36"/>
      <c r="B873" s="36"/>
      <c r="C873" s="35"/>
      <c r="D873" s="36"/>
      <c r="E873" s="36"/>
      <c r="F873" s="36"/>
      <c r="G873" s="36"/>
      <c r="H873" s="35"/>
      <c r="I873" s="35"/>
      <c r="J873" s="36"/>
      <c r="K873" s="36"/>
      <c r="L873" s="36"/>
      <c r="M873" s="36"/>
      <c r="N873" s="36"/>
      <c r="O873" s="36"/>
      <c r="P873" s="36"/>
      <c r="Q873" s="36"/>
    </row>
    <row r="874" spans="1:17" ht="15.75" customHeight="1" x14ac:dyDescent="0.2">
      <c r="A874" s="36"/>
      <c r="B874" s="36"/>
      <c r="C874" s="35"/>
      <c r="D874" s="36"/>
      <c r="E874" s="36"/>
      <c r="F874" s="36"/>
      <c r="G874" s="36"/>
      <c r="H874" s="35"/>
      <c r="I874" s="35"/>
      <c r="J874" s="36"/>
      <c r="K874" s="36"/>
      <c r="L874" s="36"/>
      <c r="M874" s="36"/>
      <c r="N874" s="36"/>
      <c r="O874" s="36"/>
      <c r="P874" s="36"/>
      <c r="Q874" s="36"/>
    </row>
    <row r="875" spans="1:17" ht="15.75" customHeight="1" x14ac:dyDescent="0.2">
      <c r="A875" s="36"/>
      <c r="B875" s="36"/>
      <c r="C875" s="35"/>
      <c r="D875" s="36"/>
      <c r="E875" s="36"/>
      <c r="F875" s="36"/>
      <c r="G875" s="36"/>
      <c r="H875" s="35"/>
      <c r="I875" s="35"/>
      <c r="J875" s="36"/>
      <c r="K875" s="36"/>
      <c r="L875" s="36"/>
      <c r="M875" s="36"/>
      <c r="N875" s="36"/>
      <c r="O875" s="36"/>
      <c r="P875" s="36"/>
      <c r="Q875" s="36"/>
    </row>
    <row r="876" spans="1:17" ht="15.75" customHeight="1" x14ac:dyDescent="0.2">
      <c r="A876" s="36"/>
      <c r="B876" s="36"/>
      <c r="C876" s="35"/>
      <c r="D876" s="36"/>
      <c r="E876" s="36"/>
      <c r="F876" s="36"/>
      <c r="G876" s="36"/>
      <c r="H876" s="35"/>
      <c r="I876" s="35"/>
      <c r="J876" s="36"/>
      <c r="K876" s="36"/>
      <c r="L876" s="36"/>
      <c r="M876" s="36"/>
      <c r="N876" s="36"/>
      <c r="O876" s="36"/>
      <c r="P876" s="36"/>
      <c r="Q876" s="36"/>
    </row>
    <row r="877" spans="1:17" ht="15.75" customHeight="1" x14ac:dyDescent="0.2">
      <c r="A877" s="36"/>
      <c r="B877" s="36"/>
      <c r="C877" s="35"/>
      <c r="D877" s="36"/>
      <c r="E877" s="36"/>
      <c r="F877" s="36"/>
      <c r="G877" s="36"/>
      <c r="H877" s="35"/>
      <c r="I877" s="35"/>
      <c r="J877" s="36"/>
      <c r="K877" s="36"/>
      <c r="L877" s="36"/>
      <c r="M877" s="36"/>
      <c r="N877" s="36"/>
      <c r="O877" s="36"/>
      <c r="P877" s="36"/>
      <c r="Q877" s="36"/>
    </row>
    <row r="878" spans="1:17" ht="15.75" customHeight="1" x14ac:dyDescent="0.2">
      <c r="A878" s="36"/>
      <c r="B878" s="36"/>
      <c r="C878" s="35"/>
      <c r="D878" s="36"/>
      <c r="E878" s="36"/>
      <c r="F878" s="36"/>
      <c r="G878" s="36"/>
      <c r="H878" s="35"/>
      <c r="I878" s="35"/>
      <c r="J878" s="36"/>
      <c r="K878" s="36"/>
      <c r="L878" s="36"/>
      <c r="M878" s="36"/>
      <c r="N878" s="36"/>
      <c r="O878" s="36"/>
      <c r="P878" s="36"/>
      <c r="Q878" s="36"/>
    </row>
    <row r="879" spans="1:17" ht="15.75" customHeight="1" x14ac:dyDescent="0.2">
      <c r="A879" s="36"/>
      <c r="B879" s="36"/>
      <c r="C879" s="35"/>
      <c r="D879" s="36"/>
      <c r="E879" s="36"/>
      <c r="F879" s="36"/>
      <c r="G879" s="36"/>
      <c r="H879" s="35"/>
      <c r="I879" s="35"/>
      <c r="J879" s="36"/>
      <c r="K879" s="36"/>
      <c r="L879" s="36"/>
      <c r="M879" s="36"/>
      <c r="N879" s="36"/>
      <c r="O879" s="36"/>
      <c r="P879" s="36"/>
      <c r="Q879" s="36"/>
    </row>
    <row r="880" spans="1:17" ht="15.75" customHeight="1" x14ac:dyDescent="0.2">
      <c r="A880" s="36"/>
      <c r="B880" s="36"/>
      <c r="C880" s="35"/>
      <c r="D880" s="36"/>
      <c r="E880" s="36"/>
      <c r="F880" s="36"/>
      <c r="G880" s="36"/>
      <c r="H880" s="35"/>
      <c r="I880" s="35"/>
      <c r="J880" s="36"/>
      <c r="K880" s="36"/>
      <c r="L880" s="36"/>
      <c r="M880" s="36"/>
      <c r="N880" s="36"/>
      <c r="O880" s="36"/>
      <c r="P880" s="36"/>
      <c r="Q880" s="36"/>
    </row>
    <row r="881" spans="1:17" ht="15.75" customHeight="1" x14ac:dyDescent="0.2">
      <c r="A881" s="36"/>
      <c r="B881" s="36"/>
      <c r="C881" s="35"/>
      <c r="D881" s="36"/>
      <c r="E881" s="36"/>
      <c r="F881" s="36"/>
      <c r="G881" s="36"/>
      <c r="H881" s="35"/>
      <c r="I881" s="35"/>
      <c r="J881" s="36"/>
      <c r="K881" s="36"/>
      <c r="L881" s="36"/>
      <c r="M881" s="36"/>
      <c r="N881" s="36"/>
      <c r="O881" s="36"/>
      <c r="P881" s="36"/>
      <c r="Q881" s="36"/>
    </row>
    <row r="882" spans="1:17" ht="15.75" customHeight="1" x14ac:dyDescent="0.2">
      <c r="A882" s="36"/>
      <c r="B882" s="36"/>
      <c r="C882" s="35"/>
      <c r="D882" s="36"/>
      <c r="E882" s="36"/>
      <c r="F882" s="36"/>
      <c r="G882" s="36"/>
      <c r="H882" s="35"/>
      <c r="I882" s="35"/>
      <c r="J882" s="36"/>
      <c r="K882" s="36"/>
      <c r="L882" s="36"/>
      <c r="M882" s="36"/>
      <c r="N882" s="36"/>
      <c r="O882" s="36"/>
      <c r="P882" s="36"/>
      <c r="Q882" s="36"/>
    </row>
    <row r="883" spans="1:17" ht="15.75" customHeight="1" x14ac:dyDescent="0.2">
      <c r="A883" s="36"/>
      <c r="B883" s="36"/>
      <c r="C883" s="35"/>
      <c r="D883" s="36"/>
      <c r="E883" s="36"/>
      <c r="F883" s="36"/>
      <c r="G883" s="36"/>
      <c r="H883" s="35"/>
      <c r="I883" s="35"/>
      <c r="J883" s="36"/>
      <c r="K883" s="36"/>
      <c r="L883" s="36"/>
      <c r="M883" s="36"/>
      <c r="N883" s="36"/>
      <c r="O883" s="36"/>
      <c r="P883" s="36"/>
      <c r="Q883" s="36"/>
    </row>
    <row r="884" spans="1:17" ht="15.75" customHeight="1" x14ac:dyDescent="0.2">
      <c r="A884" s="36"/>
      <c r="B884" s="36"/>
      <c r="C884" s="35"/>
      <c r="D884" s="36"/>
      <c r="E884" s="36"/>
      <c r="F884" s="36"/>
      <c r="G884" s="36"/>
      <c r="H884" s="35"/>
      <c r="I884" s="35"/>
      <c r="J884" s="36"/>
      <c r="K884" s="36"/>
      <c r="L884" s="36"/>
      <c r="M884" s="36"/>
      <c r="N884" s="36"/>
      <c r="O884" s="36"/>
      <c r="P884" s="36"/>
      <c r="Q884" s="36"/>
    </row>
    <row r="885" spans="1:17" ht="15.75" customHeight="1" x14ac:dyDescent="0.2">
      <c r="A885" s="36"/>
      <c r="B885" s="36"/>
      <c r="C885" s="35"/>
      <c r="D885" s="36"/>
      <c r="E885" s="36"/>
      <c r="F885" s="36"/>
      <c r="G885" s="36"/>
      <c r="H885" s="35"/>
      <c r="I885" s="35"/>
      <c r="J885" s="36"/>
      <c r="K885" s="36"/>
      <c r="L885" s="36"/>
      <c r="M885" s="36"/>
      <c r="N885" s="36"/>
      <c r="O885" s="36"/>
      <c r="P885" s="36"/>
      <c r="Q885" s="36"/>
    </row>
    <row r="886" spans="1:17" ht="15.75" customHeight="1" x14ac:dyDescent="0.2">
      <c r="A886" s="36"/>
      <c r="B886" s="36"/>
      <c r="C886" s="35"/>
      <c r="D886" s="36"/>
      <c r="E886" s="36"/>
      <c r="F886" s="36"/>
      <c r="G886" s="36"/>
      <c r="H886" s="35"/>
      <c r="I886" s="35"/>
      <c r="J886" s="36"/>
      <c r="K886" s="36"/>
      <c r="L886" s="36"/>
      <c r="M886" s="36"/>
      <c r="N886" s="36"/>
      <c r="O886" s="36"/>
      <c r="P886" s="36"/>
      <c r="Q886" s="36"/>
    </row>
    <row r="887" spans="1:17" ht="15.75" customHeight="1" x14ac:dyDescent="0.2">
      <c r="A887" s="36"/>
      <c r="B887" s="36"/>
      <c r="C887" s="35"/>
      <c r="D887" s="36"/>
      <c r="E887" s="36"/>
      <c r="F887" s="36"/>
      <c r="G887" s="36"/>
      <c r="H887" s="35"/>
      <c r="I887" s="35"/>
      <c r="J887" s="36"/>
      <c r="K887" s="36"/>
      <c r="L887" s="36"/>
      <c r="M887" s="36"/>
      <c r="N887" s="36"/>
      <c r="O887" s="36"/>
      <c r="P887" s="36"/>
      <c r="Q887" s="36"/>
    </row>
    <row r="888" spans="1:17" ht="15.75" customHeight="1" x14ac:dyDescent="0.2">
      <c r="A888" s="36"/>
      <c r="B888" s="36"/>
      <c r="C888" s="35"/>
      <c r="D888" s="36"/>
      <c r="E888" s="36"/>
      <c r="F888" s="36"/>
      <c r="G888" s="36"/>
      <c r="H888" s="35"/>
      <c r="I888" s="35"/>
      <c r="J888" s="36"/>
      <c r="K888" s="36"/>
      <c r="L888" s="36"/>
      <c r="M888" s="36"/>
      <c r="N888" s="36"/>
      <c r="O888" s="36"/>
      <c r="P888" s="36"/>
      <c r="Q888" s="36"/>
    </row>
    <row r="889" spans="1:17" ht="15.75" customHeight="1" x14ac:dyDescent="0.2">
      <c r="A889" s="36"/>
      <c r="B889" s="36"/>
      <c r="C889" s="35"/>
      <c r="D889" s="36"/>
      <c r="E889" s="36"/>
      <c r="F889" s="36"/>
      <c r="G889" s="36"/>
      <c r="H889" s="35"/>
      <c r="I889" s="35"/>
      <c r="J889" s="36"/>
      <c r="K889" s="36"/>
      <c r="L889" s="36"/>
      <c r="M889" s="36"/>
      <c r="N889" s="36"/>
      <c r="O889" s="36"/>
      <c r="P889" s="36"/>
      <c r="Q889" s="36"/>
    </row>
    <row r="890" spans="1:17" ht="15.75" customHeight="1" x14ac:dyDescent="0.2">
      <c r="A890" s="36"/>
      <c r="B890" s="36"/>
      <c r="C890" s="35"/>
      <c r="D890" s="36"/>
      <c r="E890" s="36"/>
      <c r="F890" s="36"/>
      <c r="G890" s="36"/>
      <c r="H890" s="35"/>
      <c r="I890" s="35"/>
      <c r="J890" s="36"/>
      <c r="K890" s="36"/>
      <c r="L890" s="36"/>
      <c r="M890" s="36"/>
      <c r="N890" s="36"/>
      <c r="O890" s="36"/>
      <c r="P890" s="36"/>
      <c r="Q890" s="36"/>
    </row>
    <row r="891" spans="1:17" ht="15.75" customHeight="1" x14ac:dyDescent="0.2">
      <c r="A891" s="36"/>
      <c r="B891" s="36"/>
      <c r="C891" s="35"/>
      <c r="D891" s="36"/>
      <c r="E891" s="36"/>
      <c r="F891" s="36"/>
      <c r="G891" s="36"/>
      <c r="H891" s="35"/>
      <c r="I891" s="35"/>
      <c r="J891" s="36"/>
      <c r="K891" s="36"/>
      <c r="L891" s="36"/>
      <c r="M891" s="36"/>
      <c r="N891" s="36"/>
      <c r="O891" s="36"/>
      <c r="P891" s="36"/>
      <c r="Q891" s="36"/>
    </row>
    <row r="892" spans="1:17" ht="15.75" customHeight="1" x14ac:dyDescent="0.2">
      <c r="A892" s="36"/>
      <c r="B892" s="36"/>
      <c r="C892" s="35"/>
      <c r="D892" s="36"/>
      <c r="E892" s="36"/>
      <c r="F892" s="36"/>
      <c r="G892" s="36"/>
      <c r="H892" s="35"/>
      <c r="I892" s="35"/>
      <c r="J892" s="36"/>
      <c r="K892" s="36"/>
      <c r="L892" s="36"/>
      <c r="M892" s="36"/>
      <c r="N892" s="36"/>
      <c r="O892" s="36"/>
      <c r="P892" s="36"/>
      <c r="Q892" s="36"/>
    </row>
    <row r="893" spans="1:17" ht="15.75" customHeight="1" x14ac:dyDescent="0.2">
      <c r="A893" s="36"/>
      <c r="B893" s="36"/>
      <c r="C893" s="35"/>
      <c r="D893" s="36"/>
      <c r="E893" s="36"/>
      <c r="F893" s="36"/>
      <c r="G893" s="36"/>
      <c r="H893" s="35"/>
      <c r="I893" s="35"/>
      <c r="J893" s="36"/>
      <c r="K893" s="36"/>
      <c r="L893" s="36"/>
      <c r="M893" s="36"/>
      <c r="N893" s="36"/>
      <c r="O893" s="36"/>
      <c r="P893" s="36"/>
      <c r="Q893" s="36"/>
    </row>
    <row r="894" spans="1:17" ht="15.75" customHeight="1" x14ac:dyDescent="0.2">
      <c r="A894" s="36"/>
      <c r="B894" s="36"/>
      <c r="C894" s="35"/>
      <c r="D894" s="36"/>
      <c r="E894" s="36"/>
      <c r="F894" s="36"/>
      <c r="G894" s="36"/>
      <c r="H894" s="35"/>
      <c r="I894" s="35"/>
      <c r="J894" s="36"/>
      <c r="K894" s="36"/>
      <c r="L894" s="36"/>
      <c r="M894" s="36"/>
      <c r="N894" s="36"/>
      <c r="O894" s="36"/>
      <c r="P894" s="36"/>
      <c r="Q894" s="36"/>
    </row>
    <row r="895" spans="1:17" ht="15.75" customHeight="1" x14ac:dyDescent="0.2">
      <c r="A895" s="36"/>
      <c r="B895" s="36"/>
      <c r="C895" s="35"/>
      <c r="D895" s="36"/>
      <c r="E895" s="36"/>
      <c r="F895" s="36"/>
      <c r="G895" s="36"/>
      <c r="H895" s="35"/>
      <c r="I895" s="35"/>
      <c r="J895" s="36"/>
      <c r="K895" s="36"/>
      <c r="L895" s="36"/>
      <c r="M895" s="36"/>
      <c r="N895" s="36"/>
      <c r="O895" s="36"/>
      <c r="P895" s="36"/>
      <c r="Q895" s="36"/>
    </row>
    <row r="896" spans="1:17" ht="15.75" customHeight="1" x14ac:dyDescent="0.2">
      <c r="A896" s="36"/>
      <c r="B896" s="36"/>
      <c r="C896" s="35"/>
      <c r="D896" s="36"/>
      <c r="E896" s="36"/>
      <c r="F896" s="36"/>
      <c r="G896" s="36"/>
      <c r="H896" s="35"/>
      <c r="I896" s="35"/>
      <c r="J896" s="36"/>
      <c r="K896" s="36"/>
      <c r="L896" s="36"/>
      <c r="M896" s="36"/>
      <c r="N896" s="36"/>
      <c r="O896" s="36"/>
      <c r="P896" s="36"/>
      <c r="Q896" s="36"/>
    </row>
    <row r="897" spans="1:17" ht="15.75" customHeight="1" x14ac:dyDescent="0.2">
      <c r="A897" s="36"/>
      <c r="B897" s="36"/>
      <c r="C897" s="35"/>
      <c r="D897" s="36"/>
      <c r="E897" s="36"/>
      <c r="F897" s="36"/>
      <c r="G897" s="36"/>
      <c r="H897" s="35"/>
      <c r="I897" s="35"/>
      <c r="J897" s="36"/>
      <c r="K897" s="36"/>
      <c r="L897" s="36"/>
      <c r="M897" s="36"/>
      <c r="N897" s="36"/>
      <c r="O897" s="36"/>
      <c r="P897" s="36"/>
      <c r="Q897" s="36"/>
    </row>
    <row r="898" spans="1:17" ht="15.75" customHeight="1" x14ac:dyDescent="0.2">
      <c r="A898" s="36"/>
      <c r="B898" s="36"/>
      <c r="C898" s="35"/>
      <c r="D898" s="36"/>
      <c r="E898" s="36"/>
      <c r="F898" s="36"/>
      <c r="G898" s="36"/>
      <c r="H898" s="35"/>
      <c r="I898" s="35"/>
      <c r="J898" s="36"/>
      <c r="K898" s="36"/>
      <c r="L898" s="36"/>
      <c r="M898" s="36"/>
      <c r="N898" s="36"/>
      <c r="O898" s="36"/>
      <c r="P898" s="36"/>
      <c r="Q898" s="36"/>
    </row>
    <row r="899" spans="1:17" ht="15.75" customHeight="1" x14ac:dyDescent="0.2">
      <c r="A899" s="36"/>
      <c r="B899" s="36"/>
      <c r="C899" s="35"/>
      <c r="D899" s="36"/>
      <c r="E899" s="36"/>
      <c r="F899" s="36"/>
      <c r="G899" s="36"/>
      <c r="H899" s="35"/>
      <c r="I899" s="35"/>
      <c r="J899" s="36"/>
      <c r="K899" s="36"/>
      <c r="L899" s="36"/>
      <c r="M899" s="36"/>
      <c r="N899" s="36"/>
      <c r="O899" s="36"/>
      <c r="P899" s="36"/>
      <c r="Q899" s="36"/>
    </row>
    <row r="900" spans="1:17" ht="15.75" customHeight="1" x14ac:dyDescent="0.2">
      <c r="A900" s="36"/>
      <c r="B900" s="36"/>
      <c r="C900" s="35"/>
      <c r="D900" s="36"/>
      <c r="E900" s="36"/>
      <c r="F900" s="36"/>
      <c r="G900" s="36"/>
      <c r="H900" s="35"/>
      <c r="I900" s="35"/>
      <c r="J900" s="36"/>
      <c r="K900" s="36"/>
      <c r="L900" s="36"/>
      <c r="M900" s="36"/>
      <c r="N900" s="36"/>
      <c r="O900" s="36"/>
      <c r="P900" s="36"/>
      <c r="Q900" s="36"/>
    </row>
    <row r="901" spans="1:17" ht="15.75" customHeight="1" x14ac:dyDescent="0.2">
      <c r="A901" s="36"/>
      <c r="B901" s="36"/>
      <c r="C901" s="35"/>
      <c r="D901" s="36"/>
      <c r="E901" s="36"/>
      <c r="F901" s="36"/>
      <c r="G901" s="36"/>
      <c r="H901" s="35"/>
      <c r="I901" s="35"/>
      <c r="J901" s="36"/>
      <c r="K901" s="36"/>
      <c r="L901" s="36"/>
      <c r="M901" s="36"/>
      <c r="N901" s="36"/>
      <c r="O901" s="36"/>
      <c r="P901" s="36"/>
      <c r="Q901" s="36"/>
    </row>
    <row r="902" spans="1:17" ht="15.75" customHeight="1" x14ac:dyDescent="0.2">
      <c r="A902" s="36"/>
      <c r="B902" s="36"/>
      <c r="C902" s="35"/>
      <c r="D902" s="36"/>
      <c r="E902" s="36"/>
      <c r="F902" s="36"/>
      <c r="G902" s="36"/>
      <c r="H902" s="35"/>
      <c r="I902" s="35"/>
      <c r="J902" s="36"/>
      <c r="K902" s="36"/>
      <c r="L902" s="36"/>
      <c r="M902" s="36"/>
      <c r="N902" s="36"/>
      <c r="O902" s="36"/>
      <c r="P902" s="36"/>
      <c r="Q902" s="36"/>
    </row>
    <row r="903" spans="1:17" ht="15.75" customHeight="1" x14ac:dyDescent="0.2">
      <c r="A903" s="36"/>
      <c r="B903" s="36"/>
      <c r="C903" s="35"/>
      <c r="D903" s="36"/>
      <c r="E903" s="36"/>
      <c r="F903" s="36"/>
      <c r="G903" s="36"/>
      <c r="H903" s="35"/>
      <c r="I903" s="35"/>
      <c r="J903" s="36"/>
      <c r="K903" s="36"/>
      <c r="L903" s="36"/>
      <c r="M903" s="36"/>
      <c r="N903" s="36"/>
      <c r="O903" s="36"/>
      <c r="P903" s="36"/>
      <c r="Q903" s="36"/>
    </row>
    <row r="904" spans="1:17" ht="15.75" customHeight="1" x14ac:dyDescent="0.2">
      <c r="A904" s="36"/>
      <c r="B904" s="36"/>
      <c r="C904" s="35"/>
      <c r="D904" s="36"/>
      <c r="E904" s="36"/>
      <c r="F904" s="36"/>
      <c r="G904" s="36"/>
      <c r="H904" s="35"/>
      <c r="I904" s="35"/>
      <c r="J904" s="36"/>
      <c r="K904" s="36"/>
      <c r="L904" s="36"/>
      <c r="M904" s="36"/>
      <c r="N904" s="36"/>
      <c r="O904" s="36"/>
      <c r="P904" s="36"/>
      <c r="Q904" s="36"/>
    </row>
    <row r="905" spans="1:17" ht="15.75" customHeight="1" x14ac:dyDescent="0.2">
      <c r="A905" s="36"/>
      <c r="B905" s="36"/>
      <c r="C905" s="35"/>
      <c r="D905" s="36"/>
      <c r="E905" s="36"/>
      <c r="F905" s="36"/>
      <c r="G905" s="36"/>
      <c r="H905" s="35"/>
      <c r="I905" s="35"/>
      <c r="J905" s="36"/>
      <c r="K905" s="36"/>
      <c r="L905" s="36"/>
      <c r="M905" s="36"/>
      <c r="N905" s="36"/>
      <c r="O905" s="36"/>
      <c r="P905" s="36"/>
      <c r="Q905" s="36"/>
    </row>
    <row r="906" spans="1:17" ht="15.75" customHeight="1" x14ac:dyDescent="0.2">
      <c r="A906" s="36"/>
      <c r="B906" s="36"/>
      <c r="C906" s="35"/>
      <c r="D906" s="36"/>
      <c r="E906" s="36"/>
      <c r="F906" s="36"/>
      <c r="G906" s="36"/>
      <c r="H906" s="35"/>
      <c r="I906" s="35"/>
      <c r="J906" s="36"/>
      <c r="K906" s="36"/>
      <c r="L906" s="36"/>
      <c r="M906" s="36"/>
      <c r="N906" s="36"/>
      <c r="O906" s="36"/>
      <c r="P906" s="36"/>
      <c r="Q906" s="36"/>
    </row>
    <row r="907" spans="1:17" ht="15.75" customHeight="1" x14ac:dyDescent="0.2">
      <c r="A907" s="36"/>
      <c r="B907" s="36"/>
      <c r="C907" s="35"/>
      <c r="D907" s="36"/>
      <c r="E907" s="36"/>
      <c r="F907" s="36"/>
      <c r="G907" s="36"/>
      <c r="H907" s="35"/>
      <c r="I907" s="35"/>
      <c r="J907" s="36"/>
      <c r="K907" s="36"/>
      <c r="L907" s="36"/>
      <c r="M907" s="36"/>
      <c r="N907" s="36"/>
      <c r="O907" s="36"/>
      <c r="P907" s="36"/>
      <c r="Q907" s="36"/>
    </row>
    <row r="908" spans="1:17" ht="15.75" customHeight="1" x14ac:dyDescent="0.2">
      <c r="A908" s="36"/>
      <c r="B908" s="36"/>
      <c r="C908" s="35"/>
      <c r="D908" s="36"/>
      <c r="E908" s="36"/>
      <c r="F908" s="36"/>
      <c r="G908" s="36"/>
      <c r="H908" s="35"/>
      <c r="I908" s="35"/>
      <c r="J908" s="36"/>
      <c r="K908" s="36"/>
      <c r="L908" s="36"/>
      <c r="M908" s="36"/>
      <c r="N908" s="36"/>
      <c r="O908" s="36"/>
      <c r="P908" s="36"/>
      <c r="Q908" s="36"/>
    </row>
    <row r="909" spans="1:17" ht="15.75" customHeight="1" x14ac:dyDescent="0.2">
      <c r="A909" s="36"/>
      <c r="B909" s="36"/>
      <c r="C909" s="35"/>
      <c r="D909" s="36"/>
      <c r="E909" s="36"/>
      <c r="F909" s="36"/>
      <c r="G909" s="36"/>
      <c r="H909" s="35"/>
      <c r="I909" s="35"/>
      <c r="J909" s="36"/>
      <c r="K909" s="36"/>
      <c r="L909" s="36"/>
      <c r="M909" s="36"/>
      <c r="N909" s="36"/>
      <c r="O909" s="36"/>
      <c r="P909" s="36"/>
      <c r="Q909" s="36"/>
    </row>
    <row r="910" spans="1:17" ht="15.75" customHeight="1" x14ac:dyDescent="0.2">
      <c r="A910" s="36"/>
      <c r="B910" s="36"/>
      <c r="C910" s="35"/>
      <c r="D910" s="36"/>
      <c r="E910" s="36"/>
      <c r="F910" s="36"/>
      <c r="G910" s="36"/>
      <c r="H910" s="35"/>
      <c r="I910" s="35"/>
      <c r="J910" s="36"/>
      <c r="K910" s="36"/>
      <c r="L910" s="36"/>
      <c r="M910" s="36"/>
      <c r="N910" s="36"/>
      <c r="O910" s="36"/>
      <c r="P910" s="36"/>
      <c r="Q910" s="36"/>
    </row>
    <row r="911" spans="1:17" ht="15.75" customHeight="1" x14ac:dyDescent="0.2">
      <c r="A911" s="36"/>
      <c r="B911" s="36"/>
      <c r="C911" s="35"/>
      <c r="D911" s="36"/>
      <c r="E911" s="36"/>
      <c r="F911" s="36"/>
      <c r="G911" s="36"/>
      <c r="H911" s="35"/>
      <c r="I911" s="35"/>
      <c r="J911" s="36"/>
      <c r="K911" s="36"/>
      <c r="L911" s="36"/>
      <c r="M911" s="36"/>
      <c r="N911" s="36"/>
      <c r="O911" s="36"/>
      <c r="P911" s="36"/>
      <c r="Q911" s="36"/>
    </row>
    <row r="912" spans="1:17" ht="15.75" customHeight="1" x14ac:dyDescent="0.2">
      <c r="A912" s="36"/>
      <c r="B912" s="36"/>
      <c r="C912" s="35"/>
      <c r="D912" s="36"/>
      <c r="E912" s="36"/>
      <c r="F912" s="36"/>
      <c r="G912" s="36"/>
      <c r="H912" s="35"/>
      <c r="I912" s="35"/>
      <c r="J912" s="36"/>
      <c r="K912" s="36"/>
      <c r="L912" s="36"/>
      <c r="M912" s="36"/>
      <c r="N912" s="36"/>
      <c r="O912" s="36"/>
      <c r="P912" s="36"/>
      <c r="Q912" s="36"/>
    </row>
    <row r="913" spans="1:17" ht="15.75" customHeight="1" x14ac:dyDescent="0.2">
      <c r="A913" s="36"/>
      <c r="B913" s="36"/>
      <c r="C913" s="35"/>
      <c r="D913" s="36"/>
      <c r="E913" s="36"/>
      <c r="F913" s="36"/>
      <c r="G913" s="36"/>
      <c r="H913" s="35"/>
      <c r="I913" s="35"/>
      <c r="J913" s="36"/>
      <c r="K913" s="36"/>
      <c r="L913" s="36"/>
      <c r="M913" s="36"/>
      <c r="N913" s="36"/>
      <c r="O913" s="36"/>
      <c r="P913" s="36"/>
      <c r="Q913" s="36"/>
    </row>
    <row r="914" spans="1:17" ht="15.75" customHeight="1" x14ac:dyDescent="0.2">
      <c r="A914" s="36"/>
      <c r="B914" s="36"/>
      <c r="C914" s="35"/>
      <c r="D914" s="36"/>
      <c r="E914" s="36"/>
      <c r="F914" s="36"/>
      <c r="G914" s="36"/>
      <c r="H914" s="35"/>
      <c r="I914" s="35"/>
      <c r="J914" s="36"/>
      <c r="K914" s="36"/>
      <c r="L914" s="36"/>
      <c r="M914" s="36"/>
      <c r="N914" s="36"/>
      <c r="O914" s="36"/>
      <c r="P914" s="36"/>
      <c r="Q914" s="36"/>
    </row>
    <row r="915" spans="1:17" ht="15.75" customHeight="1" x14ac:dyDescent="0.2">
      <c r="A915" s="36"/>
      <c r="B915" s="36"/>
      <c r="C915" s="35"/>
      <c r="D915" s="36"/>
      <c r="E915" s="36"/>
      <c r="F915" s="36"/>
      <c r="G915" s="36"/>
      <c r="H915" s="35"/>
      <c r="I915" s="35"/>
      <c r="J915" s="36"/>
      <c r="K915" s="36"/>
      <c r="L915" s="36"/>
      <c r="M915" s="36"/>
      <c r="N915" s="36"/>
      <c r="O915" s="36"/>
      <c r="P915" s="36"/>
      <c r="Q915" s="36"/>
    </row>
    <row r="916" spans="1:17" ht="15.75" customHeight="1" x14ac:dyDescent="0.2">
      <c r="A916" s="36"/>
      <c r="B916" s="36"/>
      <c r="C916" s="35"/>
      <c r="D916" s="36"/>
      <c r="E916" s="36"/>
      <c r="F916" s="36"/>
      <c r="G916" s="36"/>
      <c r="H916" s="35"/>
      <c r="I916" s="35"/>
      <c r="J916" s="36"/>
      <c r="K916" s="36"/>
      <c r="L916" s="36"/>
      <c r="M916" s="36"/>
      <c r="N916" s="36"/>
      <c r="O916" s="36"/>
      <c r="P916" s="36"/>
      <c r="Q916" s="36"/>
    </row>
    <row r="917" spans="1:17" ht="15.75" customHeight="1" x14ac:dyDescent="0.2">
      <c r="A917" s="36"/>
      <c r="B917" s="36"/>
      <c r="C917" s="35"/>
      <c r="D917" s="36"/>
      <c r="E917" s="36"/>
      <c r="F917" s="36"/>
      <c r="G917" s="36"/>
      <c r="H917" s="35"/>
      <c r="I917" s="35"/>
      <c r="J917" s="36"/>
      <c r="K917" s="36"/>
      <c r="L917" s="36"/>
      <c r="M917" s="36"/>
      <c r="N917" s="36"/>
      <c r="O917" s="36"/>
      <c r="P917" s="36"/>
      <c r="Q917" s="36"/>
    </row>
    <row r="918" spans="1:17" ht="15.75" customHeight="1" x14ac:dyDescent="0.2">
      <c r="A918" s="36"/>
      <c r="B918" s="36"/>
      <c r="C918" s="35"/>
      <c r="D918" s="36"/>
      <c r="E918" s="36"/>
      <c r="F918" s="36"/>
      <c r="G918" s="36"/>
      <c r="H918" s="35"/>
      <c r="I918" s="35"/>
      <c r="J918" s="36"/>
      <c r="K918" s="36"/>
      <c r="L918" s="36"/>
      <c r="M918" s="36"/>
      <c r="N918" s="36"/>
      <c r="O918" s="36"/>
      <c r="P918" s="36"/>
      <c r="Q918" s="36"/>
    </row>
    <row r="919" spans="1:17" ht="15.75" customHeight="1" x14ac:dyDescent="0.2">
      <c r="A919" s="36"/>
      <c r="B919" s="36"/>
      <c r="C919" s="35"/>
      <c r="D919" s="36"/>
      <c r="E919" s="36"/>
      <c r="F919" s="36"/>
      <c r="G919" s="36"/>
      <c r="H919" s="35"/>
      <c r="I919" s="35"/>
      <c r="J919" s="36"/>
      <c r="K919" s="36"/>
      <c r="L919" s="36"/>
      <c r="M919" s="36"/>
      <c r="N919" s="36"/>
      <c r="O919" s="36"/>
      <c r="P919" s="36"/>
      <c r="Q919" s="36"/>
    </row>
    <row r="920" spans="1:17" ht="15.75" customHeight="1" x14ac:dyDescent="0.2">
      <c r="A920" s="36"/>
      <c r="B920" s="36"/>
      <c r="C920" s="35"/>
      <c r="D920" s="36"/>
      <c r="E920" s="36"/>
      <c r="F920" s="36"/>
      <c r="G920" s="36"/>
      <c r="H920" s="35"/>
      <c r="I920" s="35"/>
      <c r="J920" s="36"/>
      <c r="K920" s="36"/>
      <c r="L920" s="36"/>
      <c r="M920" s="36"/>
      <c r="N920" s="36"/>
      <c r="O920" s="36"/>
      <c r="P920" s="36"/>
      <c r="Q920" s="36"/>
    </row>
    <row r="921" spans="1:17" ht="15.75" customHeight="1" x14ac:dyDescent="0.2">
      <c r="A921" s="36"/>
      <c r="B921" s="36"/>
      <c r="C921" s="35"/>
      <c r="D921" s="36"/>
      <c r="E921" s="36"/>
      <c r="F921" s="36"/>
      <c r="G921" s="36"/>
      <c r="H921" s="35"/>
      <c r="I921" s="35"/>
      <c r="J921" s="36"/>
      <c r="K921" s="36"/>
      <c r="L921" s="36"/>
      <c r="M921" s="36"/>
      <c r="N921" s="36"/>
      <c r="O921" s="36"/>
      <c r="P921" s="36"/>
      <c r="Q921" s="36"/>
    </row>
    <row r="922" spans="1:17" ht="15.75" customHeight="1" x14ac:dyDescent="0.2">
      <c r="A922" s="36"/>
      <c r="B922" s="36"/>
      <c r="C922" s="35"/>
      <c r="D922" s="36"/>
      <c r="E922" s="36"/>
      <c r="F922" s="36"/>
      <c r="G922" s="36"/>
      <c r="H922" s="35"/>
      <c r="I922" s="35"/>
      <c r="J922" s="36"/>
      <c r="K922" s="36"/>
      <c r="L922" s="36"/>
      <c r="M922" s="36"/>
      <c r="N922" s="36"/>
      <c r="O922" s="36"/>
      <c r="P922" s="36"/>
      <c r="Q922" s="36"/>
    </row>
    <row r="923" spans="1:17" ht="15.75" customHeight="1" x14ac:dyDescent="0.2">
      <c r="A923" s="36"/>
      <c r="B923" s="36"/>
      <c r="C923" s="35"/>
      <c r="D923" s="36"/>
      <c r="E923" s="36"/>
      <c r="F923" s="36"/>
      <c r="G923" s="36"/>
      <c r="H923" s="35"/>
      <c r="I923" s="35"/>
      <c r="J923" s="36"/>
      <c r="K923" s="36"/>
      <c r="L923" s="36"/>
      <c r="M923" s="36"/>
      <c r="N923" s="36"/>
      <c r="O923" s="36"/>
      <c r="P923" s="36"/>
      <c r="Q923" s="36"/>
    </row>
    <row r="924" spans="1:17" ht="15.75" customHeight="1" x14ac:dyDescent="0.2">
      <c r="A924" s="36"/>
      <c r="B924" s="36"/>
      <c r="C924" s="35"/>
      <c r="D924" s="36"/>
      <c r="E924" s="36"/>
      <c r="F924" s="36"/>
      <c r="G924" s="36"/>
      <c r="H924" s="35"/>
      <c r="I924" s="35"/>
      <c r="J924" s="36"/>
      <c r="K924" s="36"/>
      <c r="L924" s="36"/>
      <c r="M924" s="36"/>
      <c r="N924" s="36"/>
      <c r="O924" s="36"/>
      <c r="P924" s="36"/>
      <c r="Q924" s="36"/>
    </row>
    <row r="925" spans="1:17" ht="15.75" customHeight="1" x14ac:dyDescent="0.2">
      <c r="A925" s="36"/>
      <c r="B925" s="36"/>
      <c r="C925" s="35"/>
      <c r="D925" s="36"/>
      <c r="E925" s="36"/>
      <c r="F925" s="36"/>
      <c r="G925" s="36"/>
      <c r="H925" s="35"/>
      <c r="I925" s="35"/>
      <c r="J925" s="36"/>
      <c r="K925" s="36"/>
      <c r="L925" s="36"/>
      <c r="M925" s="36"/>
      <c r="N925" s="36"/>
      <c r="O925" s="36"/>
      <c r="P925" s="36"/>
      <c r="Q925" s="36"/>
    </row>
    <row r="926" spans="1:17" ht="15.75" customHeight="1" x14ac:dyDescent="0.2">
      <c r="A926" s="36"/>
      <c r="B926" s="36"/>
      <c r="C926" s="35"/>
      <c r="D926" s="36"/>
      <c r="E926" s="36"/>
      <c r="F926" s="36"/>
      <c r="G926" s="36"/>
      <c r="H926" s="35"/>
      <c r="I926" s="35"/>
      <c r="J926" s="36"/>
      <c r="K926" s="36"/>
      <c r="L926" s="36"/>
      <c r="M926" s="36"/>
      <c r="N926" s="36"/>
      <c r="O926" s="36"/>
      <c r="P926" s="36"/>
      <c r="Q926" s="36"/>
    </row>
    <row r="927" spans="1:17" ht="14.25" customHeight="1" x14ac:dyDescent="0.2">
      <c r="A927" s="36"/>
      <c r="B927" s="36"/>
      <c r="C927" s="35"/>
      <c r="D927" s="36"/>
      <c r="E927" s="36"/>
      <c r="F927" s="36"/>
      <c r="G927" s="36"/>
      <c r="H927" s="35"/>
      <c r="I927" s="35"/>
      <c r="J927" s="36"/>
      <c r="K927" s="36"/>
      <c r="L927" s="36"/>
      <c r="M927" s="36"/>
      <c r="N927" s="36"/>
      <c r="O927" s="36"/>
      <c r="P927" s="36"/>
      <c r="Q927" s="36"/>
    </row>
    <row r="928" spans="1:17" ht="14.25" customHeight="1" x14ac:dyDescent="0.2">
      <c r="A928" s="36"/>
      <c r="B928" s="36"/>
      <c r="C928" s="35"/>
      <c r="D928" s="36"/>
      <c r="E928" s="36"/>
      <c r="F928" s="36"/>
      <c r="G928" s="36"/>
      <c r="H928" s="35"/>
      <c r="I928" s="35"/>
      <c r="J928" s="36"/>
      <c r="K928" s="36"/>
      <c r="L928" s="36"/>
      <c r="M928" s="36"/>
      <c r="N928" s="36"/>
      <c r="O928" s="36"/>
      <c r="P928" s="36"/>
      <c r="Q928" s="36"/>
    </row>
    <row r="929" spans="1:17" ht="14.25" customHeight="1" x14ac:dyDescent="0.2">
      <c r="A929" s="36"/>
      <c r="B929" s="36"/>
      <c r="C929" s="35"/>
      <c r="D929" s="36"/>
      <c r="E929" s="36"/>
      <c r="F929" s="36"/>
      <c r="G929" s="36"/>
      <c r="H929" s="35"/>
      <c r="I929" s="35"/>
      <c r="J929" s="36"/>
      <c r="K929" s="36"/>
      <c r="L929" s="36"/>
      <c r="M929" s="36"/>
      <c r="N929" s="36"/>
      <c r="O929" s="36"/>
      <c r="P929" s="36"/>
      <c r="Q929" s="36"/>
    </row>
    <row r="930" spans="1:17" ht="14.25" customHeight="1" x14ac:dyDescent="0.2">
      <c r="A930" s="36"/>
      <c r="B930" s="36"/>
      <c r="C930" s="35"/>
      <c r="D930" s="36"/>
      <c r="E930" s="36"/>
      <c r="F930" s="36"/>
      <c r="G930" s="36"/>
      <c r="H930" s="35"/>
      <c r="I930" s="35"/>
      <c r="J930" s="36"/>
      <c r="K930" s="36"/>
      <c r="L930" s="36"/>
      <c r="M930" s="36"/>
      <c r="N930" s="36"/>
      <c r="O930" s="36"/>
      <c r="P930" s="36"/>
      <c r="Q930" s="36"/>
    </row>
    <row r="931" spans="1:17" ht="14.25" customHeight="1" x14ac:dyDescent="0.2">
      <c r="A931" s="36"/>
      <c r="B931" s="36"/>
      <c r="C931" s="35"/>
      <c r="D931" s="36"/>
      <c r="E931" s="36"/>
      <c r="F931" s="36"/>
      <c r="G931" s="36"/>
      <c r="H931" s="35"/>
      <c r="I931" s="35"/>
      <c r="J931" s="36"/>
      <c r="K931" s="36"/>
      <c r="L931" s="36"/>
      <c r="M931" s="36"/>
      <c r="N931" s="36"/>
      <c r="O931" s="36"/>
      <c r="P931" s="36"/>
      <c r="Q931" s="36"/>
    </row>
    <row r="932" spans="1:17" ht="14.25" customHeight="1" x14ac:dyDescent="0.2">
      <c r="A932" s="36"/>
      <c r="B932" s="36"/>
      <c r="C932" s="35"/>
      <c r="D932" s="36"/>
      <c r="E932" s="36"/>
      <c r="F932" s="36"/>
      <c r="G932" s="36"/>
      <c r="H932" s="35"/>
      <c r="I932" s="35"/>
      <c r="J932" s="36"/>
      <c r="K932" s="36"/>
      <c r="L932" s="36"/>
      <c r="M932" s="36"/>
      <c r="N932" s="36"/>
      <c r="O932" s="36"/>
      <c r="P932" s="36"/>
      <c r="Q932" s="36"/>
    </row>
    <row r="933" spans="1:17" ht="14.25" customHeight="1" x14ac:dyDescent="0.2">
      <c r="A933" s="36"/>
      <c r="B933" s="36"/>
      <c r="C933" s="35"/>
      <c r="D933" s="36"/>
      <c r="E933" s="36"/>
      <c r="F933" s="36"/>
      <c r="G933" s="36"/>
      <c r="H933" s="35"/>
      <c r="I933" s="35"/>
      <c r="J933" s="36"/>
      <c r="K933" s="36"/>
      <c r="L933" s="36"/>
      <c r="M933" s="36"/>
      <c r="N933" s="36"/>
      <c r="O933" s="36"/>
      <c r="P933" s="36"/>
      <c r="Q933" s="36"/>
    </row>
    <row r="934" spans="1:17" ht="14.25" customHeight="1" x14ac:dyDescent="0.2">
      <c r="A934" s="36"/>
      <c r="B934" s="36"/>
      <c r="C934" s="35"/>
      <c r="D934" s="36"/>
      <c r="E934" s="36"/>
      <c r="F934" s="36"/>
      <c r="G934" s="36"/>
      <c r="H934" s="35"/>
      <c r="I934" s="35"/>
      <c r="J934" s="36"/>
      <c r="K934" s="36"/>
      <c r="L934" s="36"/>
      <c r="M934" s="36"/>
      <c r="N934" s="36"/>
      <c r="O934" s="36"/>
      <c r="P934" s="36"/>
      <c r="Q934" s="36"/>
    </row>
    <row r="935" spans="1:17" ht="14.25" customHeight="1" x14ac:dyDescent="0.2">
      <c r="A935" s="36"/>
      <c r="B935" s="36"/>
      <c r="C935" s="35"/>
      <c r="D935" s="36"/>
      <c r="E935" s="36"/>
      <c r="F935" s="36"/>
      <c r="G935" s="36"/>
      <c r="H935" s="35"/>
      <c r="I935" s="35"/>
      <c r="J935" s="36"/>
      <c r="K935" s="36"/>
      <c r="L935" s="36"/>
      <c r="M935" s="36"/>
      <c r="N935" s="36"/>
      <c r="O935" s="36"/>
      <c r="P935" s="36"/>
      <c r="Q935" s="36"/>
    </row>
    <row r="936" spans="1:17" ht="14.25" customHeight="1" x14ac:dyDescent="0.2">
      <c r="A936" s="36"/>
      <c r="B936" s="36"/>
      <c r="C936" s="35"/>
      <c r="D936" s="36"/>
      <c r="E936" s="36"/>
      <c r="F936" s="36"/>
      <c r="G936" s="36"/>
      <c r="H936" s="35"/>
      <c r="I936" s="35"/>
      <c r="J936" s="36"/>
      <c r="K936" s="36"/>
      <c r="L936" s="36"/>
      <c r="M936" s="36"/>
      <c r="N936" s="36"/>
      <c r="O936" s="36"/>
      <c r="P936" s="36"/>
      <c r="Q936" s="36"/>
    </row>
    <row r="937" spans="1:17" ht="14.25" customHeight="1" x14ac:dyDescent="0.2">
      <c r="A937" s="36"/>
      <c r="B937" s="36"/>
      <c r="C937" s="35"/>
      <c r="D937" s="36"/>
      <c r="E937" s="36"/>
      <c r="F937" s="36"/>
      <c r="G937" s="36"/>
      <c r="H937" s="35"/>
      <c r="I937" s="35"/>
      <c r="J937" s="36"/>
      <c r="K937" s="36"/>
      <c r="L937" s="36"/>
      <c r="M937" s="36"/>
      <c r="N937" s="36"/>
      <c r="O937" s="36"/>
      <c r="P937" s="36"/>
      <c r="Q937" s="36"/>
    </row>
    <row r="938" spans="1:17" ht="14.25" customHeight="1" x14ac:dyDescent="0.2">
      <c r="A938" s="36"/>
      <c r="B938" s="36"/>
      <c r="C938" s="35"/>
      <c r="D938" s="36"/>
      <c r="E938" s="36"/>
      <c r="F938" s="36"/>
      <c r="G938" s="36"/>
      <c r="H938" s="35"/>
      <c r="I938" s="35"/>
      <c r="J938" s="36"/>
      <c r="K938" s="36"/>
      <c r="L938" s="36"/>
      <c r="M938" s="36"/>
      <c r="N938" s="36"/>
      <c r="O938" s="36"/>
      <c r="P938" s="36"/>
      <c r="Q938" s="36"/>
    </row>
    <row r="939" spans="1:17" ht="14.25" customHeight="1" x14ac:dyDescent="0.2">
      <c r="A939" s="36"/>
      <c r="B939" s="36"/>
      <c r="C939" s="35"/>
      <c r="D939" s="36"/>
      <c r="E939" s="36"/>
      <c r="F939" s="36"/>
      <c r="G939" s="36"/>
      <c r="H939" s="35"/>
      <c r="I939" s="35"/>
      <c r="J939" s="36"/>
      <c r="K939" s="36"/>
      <c r="L939" s="36"/>
      <c r="M939" s="36"/>
      <c r="N939" s="36"/>
      <c r="O939" s="36"/>
      <c r="P939" s="36"/>
      <c r="Q939" s="36"/>
    </row>
    <row r="940" spans="1:17" ht="14.25" customHeight="1" x14ac:dyDescent="0.2">
      <c r="A940" s="36"/>
      <c r="B940" s="36"/>
      <c r="C940" s="35"/>
      <c r="D940" s="36"/>
      <c r="E940" s="36"/>
      <c r="F940" s="36"/>
      <c r="G940" s="36"/>
      <c r="H940" s="35"/>
      <c r="I940" s="35"/>
      <c r="J940" s="36"/>
      <c r="K940" s="36"/>
      <c r="L940" s="36"/>
      <c r="M940" s="36"/>
      <c r="N940" s="36"/>
      <c r="O940" s="36"/>
      <c r="P940" s="36"/>
      <c r="Q940" s="36"/>
    </row>
    <row r="941" spans="1:17" ht="14.25" customHeight="1" x14ac:dyDescent="0.2">
      <c r="A941" s="36"/>
      <c r="B941" s="36"/>
      <c r="C941" s="35"/>
      <c r="D941" s="36"/>
      <c r="E941" s="36"/>
      <c r="F941" s="36"/>
      <c r="G941" s="36"/>
      <c r="H941" s="35"/>
      <c r="I941" s="35"/>
      <c r="J941" s="36"/>
      <c r="K941" s="36"/>
      <c r="L941" s="36"/>
      <c r="M941" s="36"/>
      <c r="N941" s="36"/>
      <c r="O941" s="36"/>
      <c r="P941" s="36"/>
      <c r="Q941" s="36"/>
    </row>
    <row r="942" spans="1:17" ht="14.25" customHeight="1" x14ac:dyDescent="0.2">
      <c r="A942" s="36"/>
      <c r="B942" s="36"/>
      <c r="C942" s="35"/>
      <c r="D942" s="36"/>
      <c r="E942" s="36"/>
      <c r="F942" s="36"/>
      <c r="G942" s="36"/>
      <c r="H942" s="35"/>
      <c r="I942" s="35"/>
      <c r="J942" s="36"/>
      <c r="K942" s="36"/>
      <c r="L942" s="36"/>
      <c r="M942" s="36"/>
      <c r="N942" s="36"/>
      <c r="O942" s="36"/>
      <c r="P942" s="36"/>
      <c r="Q942" s="36"/>
    </row>
    <row r="943" spans="1:17" ht="14.25" customHeight="1" x14ac:dyDescent="0.2">
      <c r="A943" s="36"/>
      <c r="B943" s="36"/>
      <c r="C943" s="35"/>
      <c r="D943" s="36"/>
      <c r="E943" s="36"/>
      <c r="F943" s="36"/>
      <c r="G943" s="36"/>
      <c r="H943" s="35"/>
      <c r="I943" s="35"/>
      <c r="J943" s="36"/>
      <c r="K943" s="36"/>
      <c r="L943" s="36"/>
      <c r="M943" s="36"/>
      <c r="N943" s="36"/>
      <c r="O943" s="36"/>
      <c r="P943" s="36"/>
      <c r="Q943" s="36"/>
    </row>
    <row r="944" spans="1:17" ht="14.25" customHeight="1" x14ac:dyDescent="0.2">
      <c r="A944" s="36"/>
      <c r="B944" s="36"/>
      <c r="C944" s="35"/>
      <c r="D944" s="36"/>
      <c r="E944" s="36"/>
      <c r="F944" s="36"/>
      <c r="G944" s="36"/>
      <c r="H944" s="35"/>
      <c r="I944" s="35"/>
      <c r="J944" s="36"/>
      <c r="K944" s="36"/>
      <c r="L944" s="36"/>
      <c r="M944" s="36"/>
      <c r="N944" s="36"/>
      <c r="O944" s="36"/>
      <c r="P944" s="36"/>
      <c r="Q944" s="36"/>
    </row>
    <row r="945" spans="1:17" ht="14.25" customHeight="1" x14ac:dyDescent="0.2">
      <c r="A945" s="36"/>
      <c r="B945" s="36"/>
      <c r="C945" s="35"/>
      <c r="D945" s="36"/>
      <c r="E945" s="36"/>
      <c r="F945" s="36"/>
      <c r="G945" s="36"/>
      <c r="H945" s="35"/>
      <c r="I945" s="35"/>
      <c r="J945" s="36"/>
      <c r="K945" s="36"/>
      <c r="L945" s="36"/>
      <c r="M945" s="36"/>
      <c r="N945" s="36"/>
      <c r="O945" s="36"/>
      <c r="P945" s="36"/>
      <c r="Q945" s="36"/>
    </row>
    <row r="946" spans="1:17" ht="14.25" customHeight="1" x14ac:dyDescent="0.2">
      <c r="A946" s="36"/>
      <c r="B946" s="36"/>
      <c r="C946" s="35"/>
      <c r="D946" s="36"/>
      <c r="E946" s="36"/>
      <c r="F946" s="36"/>
      <c r="G946" s="36"/>
      <c r="H946" s="35"/>
      <c r="I946" s="35"/>
      <c r="J946" s="36"/>
      <c r="K946" s="36"/>
      <c r="L946" s="36"/>
      <c r="M946" s="36"/>
      <c r="N946" s="36"/>
      <c r="O946" s="36"/>
      <c r="P946" s="36"/>
      <c r="Q946" s="36"/>
    </row>
    <row r="947" spans="1:17" ht="14.25" customHeight="1" x14ac:dyDescent="0.2">
      <c r="A947" s="36"/>
      <c r="B947" s="36"/>
      <c r="C947" s="35"/>
      <c r="D947" s="36"/>
      <c r="E947" s="36"/>
      <c r="F947" s="36"/>
      <c r="G947" s="36"/>
      <c r="H947" s="35"/>
      <c r="I947" s="35"/>
      <c r="J947" s="36"/>
      <c r="K947" s="36"/>
      <c r="L947" s="36"/>
      <c r="M947" s="36"/>
      <c r="N947" s="36"/>
      <c r="O947" s="36"/>
      <c r="P947" s="36"/>
      <c r="Q947" s="36"/>
    </row>
    <row r="948" spans="1:17" ht="14.25" customHeight="1" x14ac:dyDescent="0.2">
      <c r="A948" s="36"/>
      <c r="B948" s="36"/>
      <c r="C948" s="35"/>
      <c r="D948" s="36"/>
      <c r="E948" s="36"/>
      <c r="F948" s="36"/>
      <c r="G948" s="36"/>
      <c r="H948" s="35"/>
      <c r="I948" s="35"/>
      <c r="J948" s="36"/>
      <c r="K948" s="36"/>
      <c r="L948" s="36"/>
      <c r="M948" s="36"/>
      <c r="N948" s="36"/>
      <c r="O948" s="36"/>
      <c r="P948" s="36"/>
      <c r="Q948" s="36"/>
    </row>
    <row r="949" spans="1:17" ht="14.25" customHeight="1" x14ac:dyDescent="0.2">
      <c r="A949" s="36"/>
      <c r="B949" s="36"/>
      <c r="C949" s="35"/>
      <c r="D949" s="36"/>
      <c r="E949" s="36"/>
      <c r="F949" s="36"/>
      <c r="G949" s="36"/>
      <c r="H949" s="35"/>
      <c r="I949" s="35"/>
      <c r="J949" s="36"/>
      <c r="K949" s="36"/>
      <c r="L949" s="36"/>
      <c r="M949" s="36"/>
      <c r="N949" s="36"/>
      <c r="O949" s="36"/>
      <c r="P949" s="36"/>
      <c r="Q949" s="36"/>
    </row>
    <row r="950" spans="1:17" ht="14.25" customHeight="1" x14ac:dyDescent="0.2">
      <c r="A950" s="36"/>
      <c r="B950" s="36"/>
      <c r="C950" s="35"/>
      <c r="D950" s="36"/>
      <c r="E950" s="36"/>
      <c r="F950" s="36"/>
      <c r="G950" s="36"/>
      <c r="H950" s="35"/>
      <c r="I950" s="35"/>
      <c r="J950" s="36"/>
      <c r="K950" s="36"/>
      <c r="L950" s="36"/>
      <c r="M950" s="36"/>
      <c r="N950" s="36"/>
      <c r="O950" s="36"/>
      <c r="P950" s="36"/>
      <c r="Q950" s="36"/>
    </row>
    <row r="951" spans="1:17" ht="14.25" customHeight="1" x14ac:dyDescent="0.2">
      <c r="A951" s="36"/>
      <c r="B951" s="36"/>
      <c r="C951" s="35"/>
      <c r="D951" s="36"/>
      <c r="E951" s="36"/>
      <c r="F951" s="36"/>
      <c r="G951" s="36"/>
      <c r="H951" s="35"/>
      <c r="I951" s="35"/>
      <c r="J951" s="36"/>
      <c r="K951" s="36"/>
      <c r="L951" s="36"/>
      <c r="M951" s="36"/>
      <c r="N951" s="36"/>
      <c r="O951" s="36"/>
      <c r="P951" s="36"/>
      <c r="Q951" s="36"/>
    </row>
    <row r="952" spans="1:17" ht="14.25" customHeight="1" x14ac:dyDescent="0.2">
      <c r="A952" s="36"/>
      <c r="B952" s="36"/>
      <c r="C952" s="35"/>
      <c r="D952" s="36"/>
      <c r="E952" s="36"/>
      <c r="F952" s="36"/>
      <c r="G952" s="36"/>
      <c r="H952" s="35"/>
      <c r="I952" s="35"/>
      <c r="J952" s="36"/>
      <c r="K952" s="36"/>
      <c r="L952" s="36"/>
      <c r="M952" s="36"/>
      <c r="N952" s="36"/>
      <c r="O952" s="36"/>
      <c r="P952" s="36"/>
      <c r="Q952" s="36"/>
    </row>
    <row r="953" spans="1:17" ht="14.25" customHeight="1" x14ac:dyDescent="0.2">
      <c r="A953" s="36"/>
      <c r="B953" s="36"/>
      <c r="C953" s="35"/>
      <c r="D953" s="36"/>
      <c r="E953" s="36"/>
      <c r="F953" s="36"/>
      <c r="G953" s="36"/>
      <c r="H953" s="35"/>
      <c r="I953" s="35"/>
      <c r="J953" s="36"/>
      <c r="K953" s="36"/>
      <c r="L953" s="36"/>
      <c r="M953" s="36"/>
      <c r="N953" s="36"/>
      <c r="O953" s="36"/>
      <c r="P953" s="36"/>
      <c r="Q953" s="36"/>
    </row>
    <row r="954" spans="1:17" ht="14.25" customHeight="1" x14ac:dyDescent="0.2">
      <c r="A954" s="36"/>
      <c r="B954" s="36"/>
      <c r="C954" s="35"/>
      <c r="D954" s="36"/>
      <c r="E954" s="36"/>
      <c r="F954" s="36"/>
      <c r="G954" s="36"/>
      <c r="H954" s="35"/>
      <c r="I954" s="35"/>
      <c r="J954" s="36"/>
      <c r="K954" s="36"/>
      <c r="L954" s="36"/>
      <c r="M954" s="36"/>
      <c r="N954" s="36"/>
      <c r="O954" s="36"/>
      <c r="P954" s="36"/>
      <c r="Q954" s="36"/>
    </row>
    <row r="955" spans="1:17" ht="14.25" customHeight="1" x14ac:dyDescent="0.2">
      <c r="A955" s="36"/>
      <c r="B955" s="36"/>
      <c r="C955" s="35"/>
      <c r="D955" s="36"/>
      <c r="E955" s="36"/>
      <c r="F955" s="36"/>
      <c r="G955" s="36"/>
      <c r="H955" s="35"/>
      <c r="I955" s="35"/>
      <c r="J955" s="36"/>
      <c r="K955" s="36"/>
      <c r="L955" s="36"/>
      <c r="M955" s="36"/>
      <c r="N955" s="36"/>
      <c r="O955" s="36"/>
      <c r="P955" s="36"/>
      <c r="Q955" s="36"/>
    </row>
    <row r="956" spans="1:17" ht="14.25" customHeight="1" x14ac:dyDescent="0.2">
      <c r="A956" s="36"/>
      <c r="B956" s="36"/>
      <c r="C956" s="35"/>
      <c r="D956" s="36"/>
      <c r="E956" s="36"/>
      <c r="F956" s="36"/>
      <c r="G956" s="36"/>
      <c r="H956" s="35"/>
      <c r="I956" s="35"/>
      <c r="J956" s="36"/>
      <c r="K956" s="36"/>
      <c r="L956" s="36"/>
      <c r="M956" s="36"/>
      <c r="N956" s="36"/>
      <c r="O956" s="36"/>
      <c r="P956" s="36"/>
      <c r="Q956" s="36"/>
    </row>
    <row r="957" spans="1:17" ht="14.25" customHeight="1" x14ac:dyDescent="0.2">
      <c r="A957" s="36"/>
      <c r="B957" s="36"/>
      <c r="C957" s="35"/>
      <c r="D957" s="36"/>
      <c r="E957" s="36"/>
      <c r="F957" s="36"/>
      <c r="G957" s="36"/>
      <c r="H957" s="35"/>
      <c r="I957" s="35"/>
      <c r="J957" s="36"/>
      <c r="K957" s="36"/>
      <c r="L957" s="36"/>
      <c r="M957" s="36"/>
      <c r="N957" s="36"/>
      <c r="O957" s="36"/>
      <c r="P957" s="36"/>
      <c r="Q957" s="36"/>
    </row>
    <row r="958" spans="1:17" ht="14.25" customHeight="1" x14ac:dyDescent="0.2">
      <c r="A958" s="36"/>
      <c r="B958" s="36"/>
      <c r="C958" s="35"/>
      <c r="D958" s="36"/>
      <c r="E958" s="36"/>
      <c r="F958" s="36"/>
      <c r="G958" s="36"/>
      <c r="H958" s="35"/>
      <c r="I958" s="35"/>
      <c r="J958" s="36"/>
      <c r="K958" s="36"/>
      <c r="L958" s="36"/>
      <c r="M958" s="36"/>
      <c r="N958" s="36"/>
      <c r="O958" s="36"/>
      <c r="P958" s="36"/>
      <c r="Q958" s="36"/>
    </row>
    <row r="959" spans="1:17" ht="14.25" customHeight="1" x14ac:dyDescent="0.2">
      <c r="A959" s="36"/>
      <c r="B959" s="36"/>
      <c r="C959" s="35"/>
      <c r="D959" s="36"/>
      <c r="E959" s="36"/>
      <c r="F959" s="36"/>
      <c r="G959" s="36"/>
      <c r="H959" s="35"/>
      <c r="I959" s="35"/>
      <c r="J959" s="36"/>
      <c r="K959" s="36"/>
      <c r="L959" s="36"/>
      <c r="M959" s="36"/>
      <c r="N959" s="36"/>
      <c r="O959" s="36"/>
      <c r="P959" s="36"/>
      <c r="Q959" s="36"/>
    </row>
    <row r="960" spans="1:17" ht="14.25" customHeight="1" x14ac:dyDescent="0.2">
      <c r="A960" s="36"/>
      <c r="B960" s="36"/>
      <c r="C960" s="35"/>
      <c r="D960" s="36"/>
      <c r="E960" s="36"/>
      <c r="F960" s="36"/>
      <c r="G960" s="36"/>
      <c r="H960" s="35"/>
      <c r="I960" s="35"/>
      <c r="J960" s="36"/>
      <c r="K960" s="36"/>
      <c r="L960" s="36"/>
      <c r="M960" s="36"/>
      <c r="N960" s="36"/>
      <c r="O960" s="36"/>
      <c r="P960" s="36"/>
      <c r="Q960" s="36"/>
    </row>
    <row r="961" spans="1:17" ht="14.25" customHeight="1" x14ac:dyDescent="0.2">
      <c r="A961" s="36"/>
      <c r="B961" s="36"/>
      <c r="C961" s="35"/>
      <c r="D961" s="36"/>
      <c r="E961" s="36"/>
      <c r="F961" s="36"/>
      <c r="G961" s="36"/>
      <c r="H961" s="35"/>
      <c r="I961" s="35"/>
      <c r="J961" s="36"/>
      <c r="K961" s="36"/>
      <c r="L961" s="36"/>
      <c r="M961" s="36"/>
      <c r="N961" s="36"/>
      <c r="O961" s="36"/>
      <c r="P961" s="36"/>
      <c r="Q961" s="36"/>
    </row>
    <row r="962" spans="1:17" ht="14.25" customHeight="1" x14ac:dyDescent="0.2">
      <c r="A962" s="36"/>
      <c r="B962" s="36"/>
      <c r="C962" s="35"/>
      <c r="D962" s="36"/>
      <c r="E962" s="36"/>
      <c r="F962" s="36"/>
      <c r="G962" s="36"/>
      <c r="H962" s="35"/>
      <c r="I962" s="35"/>
      <c r="J962" s="36"/>
      <c r="K962" s="36"/>
      <c r="L962" s="36"/>
      <c r="M962" s="36"/>
      <c r="N962" s="36"/>
      <c r="O962" s="36"/>
      <c r="P962" s="36"/>
      <c r="Q962" s="36"/>
    </row>
    <row r="963" spans="1:17" ht="14.25" customHeight="1" x14ac:dyDescent="0.2">
      <c r="A963" s="36"/>
      <c r="B963" s="36"/>
      <c r="C963" s="35"/>
      <c r="D963" s="36"/>
      <c r="E963" s="36"/>
      <c r="F963" s="36"/>
      <c r="G963" s="36"/>
      <c r="H963" s="35"/>
      <c r="I963" s="35"/>
      <c r="J963" s="36"/>
      <c r="K963" s="36"/>
      <c r="L963" s="36"/>
      <c r="M963" s="36"/>
      <c r="N963" s="36"/>
      <c r="O963" s="36"/>
      <c r="P963" s="36"/>
      <c r="Q963" s="36"/>
    </row>
    <row r="964" spans="1:17" ht="14.25" customHeight="1" x14ac:dyDescent="0.2">
      <c r="A964" s="36"/>
      <c r="B964" s="36"/>
      <c r="C964" s="35"/>
      <c r="D964" s="36"/>
      <c r="E964" s="36"/>
      <c r="F964" s="36"/>
      <c r="G964" s="36"/>
      <c r="H964" s="35"/>
      <c r="I964" s="35"/>
      <c r="J964" s="36"/>
      <c r="K964" s="36"/>
      <c r="L964" s="36"/>
      <c r="M964" s="36"/>
      <c r="N964" s="36"/>
      <c r="O964" s="36"/>
      <c r="P964" s="36"/>
      <c r="Q964" s="36"/>
    </row>
    <row r="965" spans="1:17" ht="14.25" customHeight="1" x14ac:dyDescent="0.2">
      <c r="A965" s="36"/>
      <c r="B965" s="36"/>
      <c r="C965" s="35"/>
      <c r="D965" s="36"/>
      <c r="E965" s="36"/>
      <c r="F965" s="36"/>
      <c r="G965" s="36"/>
      <c r="H965" s="35"/>
      <c r="I965" s="35"/>
      <c r="J965" s="36"/>
      <c r="K965" s="36"/>
      <c r="L965" s="36"/>
      <c r="M965" s="36"/>
      <c r="N965" s="36"/>
      <c r="O965" s="36"/>
      <c r="P965" s="36"/>
      <c r="Q965" s="36"/>
    </row>
    <row r="966" spans="1:17" ht="14.25" customHeight="1" x14ac:dyDescent="0.2">
      <c r="A966" s="36"/>
      <c r="B966" s="36"/>
      <c r="C966" s="35"/>
      <c r="D966" s="36"/>
      <c r="E966" s="36"/>
      <c r="F966" s="36"/>
      <c r="G966" s="36"/>
      <c r="H966" s="35"/>
      <c r="I966" s="35"/>
      <c r="J966" s="36"/>
      <c r="K966" s="36"/>
      <c r="L966" s="36"/>
      <c r="M966" s="36"/>
      <c r="N966" s="36"/>
      <c r="O966" s="36"/>
      <c r="P966" s="36"/>
      <c r="Q966" s="36"/>
    </row>
    <row r="967" spans="1:17" ht="14.25" customHeight="1" x14ac:dyDescent="0.2">
      <c r="A967" s="36"/>
      <c r="B967" s="36"/>
      <c r="C967" s="35"/>
      <c r="D967" s="36"/>
      <c r="E967" s="36"/>
      <c r="F967" s="36"/>
      <c r="G967" s="36"/>
      <c r="H967" s="35"/>
      <c r="I967" s="35"/>
      <c r="J967" s="36"/>
      <c r="K967" s="36"/>
      <c r="L967" s="36"/>
      <c r="M967" s="36"/>
      <c r="N967" s="36"/>
      <c r="O967" s="36"/>
      <c r="P967" s="36"/>
      <c r="Q967" s="36"/>
    </row>
    <row r="968" spans="1:17" ht="14.25" customHeight="1" x14ac:dyDescent="0.2">
      <c r="A968" s="36"/>
      <c r="B968" s="36"/>
      <c r="C968" s="35"/>
      <c r="D968" s="36"/>
      <c r="E968" s="36"/>
      <c r="F968" s="36"/>
      <c r="G968" s="36"/>
      <c r="H968" s="35"/>
      <c r="I968" s="35"/>
      <c r="J968" s="36"/>
      <c r="K968" s="36"/>
      <c r="L968" s="36"/>
      <c r="M968" s="36"/>
      <c r="N968" s="36"/>
      <c r="O968" s="36"/>
      <c r="P968" s="36"/>
      <c r="Q968" s="36"/>
    </row>
    <row r="969" spans="1:17" ht="14.25" customHeight="1" x14ac:dyDescent="0.2">
      <c r="A969" s="36"/>
      <c r="B969" s="36"/>
      <c r="C969" s="35"/>
      <c r="D969" s="36"/>
      <c r="E969" s="36"/>
      <c r="F969" s="36"/>
      <c r="G969" s="36"/>
      <c r="H969" s="35"/>
      <c r="I969" s="35"/>
      <c r="J969" s="36"/>
      <c r="K969" s="36"/>
      <c r="L969" s="36"/>
      <c r="M969" s="36"/>
      <c r="N969" s="36"/>
      <c r="O969" s="36"/>
      <c r="P969" s="36"/>
      <c r="Q969" s="36"/>
    </row>
    <row r="970" spans="1:17" ht="14.25" customHeight="1" x14ac:dyDescent="0.2">
      <c r="A970" s="36"/>
      <c r="B970" s="36"/>
      <c r="C970" s="35"/>
      <c r="D970" s="36"/>
      <c r="E970" s="36"/>
      <c r="F970" s="36"/>
      <c r="G970" s="36"/>
      <c r="H970" s="35"/>
      <c r="I970" s="35"/>
      <c r="J970" s="36"/>
      <c r="K970" s="36"/>
      <c r="L970" s="36"/>
      <c r="M970" s="36"/>
      <c r="N970" s="36"/>
      <c r="O970" s="36"/>
      <c r="P970" s="36"/>
      <c r="Q970" s="36"/>
    </row>
    <row r="971" spans="1:17" ht="14.25" customHeight="1" x14ac:dyDescent="0.2">
      <c r="A971" s="36"/>
      <c r="B971" s="36"/>
      <c r="C971" s="35"/>
      <c r="D971" s="36"/>
      <c r="E971" s="36"/>
      <c r="F971" s="36"/>
      <c r="G971" s="36"/>
      <c r="H971" s="35"/>
      <c r="I971" s="35"/>
      <c r="J971" s="36"/>
      <c r="K971" s="36"/>
      <c r="L971" s="36"/>
      <c r="M971" s="36"/>
      <c r="N971" s="36"/>
      <c r="O971" s="36"/>
      <c r="P971" s="36"/>
      <c r="Q971" s="36"/>
    </row>
    <row r="972" spans="1:17" ht="14.25" customHeight="1" x14ac:dyDescent="0.2">
      <c r="A972" s="36"/>
      <c r="B972" s="36"/>
      <c r="C972" s="35"/>
      <c r="D972" s="36"/>
      <c r="E972" s="36"/>
      <c r="F972" s="36"/>
      <c r="G972" s="36"/>
      <c r="H972" s="35"/>
      <c r="I972" s="35"/>
      <c r="J972" s="36"/>
      <c r="K972" s="36"/>
      <c r="L972" s="36"/>
      <c r="M972" s="36"/>
      <c r="N972" s="36"/>
      <c r="O972" s="36"/>
      <c r="P972" s="36"/>
      <c r="Q972" s="36"/>
    </row>
    <row r="973" spans="1:17" ht="14.25" customHeight="1" x14ac:dyDescent="0.2">
      <c r="A973" s="36"/>
      <c r="B973" s="36"/>
      <c r="C973" s="35"/>
      <c r="D973" s="36"/>
      <c r="E973" s="36"/>
      <c r="F973" s="36"/>
      <c r="G973" s="36"/>
      <c r="H973" s="35"/>
      <c r="I973" s="35"/>
      <c r="J973" s="36"/>
      <c r="K973" s="36"/>
      <c r="L973" s="36"/>
      <c r="M973" s="36"/>
      <c r="N973" s="36"/>
      <c r="O973" s="36"/>
      <c r="P973" s="36"/>
      <c r="Q973" s="36"/>
    </row>
    <row r="974" spans="1:17" ht="14.25" customHeight="1" x14ac:dyDescent="0.2">
      <c r="A974" s="36"/>
      <c r="B974" s="36"/>
      <c r="C974" s="35"/>
      <c r="D974" s="36"/>
      <c r="E974" s="36"/>
      <c r="F974" s="36"/>
      <c r="G974" s="36"/>
      <c r="H974" s="35"/>
      <c r="I974" s="35"/>
      <c r="J974" s="36"/>
      <c r="K974" s="36"/>
      <c r="L974" s="36"/>
      <c r="M974" s="36"/>
      <c r="N974" s="36"/>
      <c r="O974" s="36"/>
      <c r="P974" s="36"/>
      <c r="Q974" s="36"/>
    </row>
    <row r="975" spans="1:17" ht="14.25" customHeight="1" x14ac:dyDescent="0.2">
      <c r="A975" s="36"/>
      <c r="B975" s="36"/>
      <c r="C975" s="35"/>
      <c r="D975" s="36"/>
      <c r="E975" s="36"/>
      <c r="F975" s="36"/>
      <c r="G975" s="36"/>
      <c r="H975" s="35"/>
      <c r="I975" s="35"/>
      <c r="J975" s="36"/>
      <c r="K975" s="36"/>
      <c r="L975" s="36"/>
      <c r="M975" s="36"/>
      <c r="N975" s="36"/>
      <c r="O975" s="36"/>
      <c r="P975" s="36"/>
      <c r="Q975" s="36"/>
    </row>
    <row r="976" spans="1:17" ht="14.25" customHeight="1" x14ac:dyDescent="0.2">
      <c r="A976" s="36"/>
      <c r="B976" s="36"/>
      <c r="C976" s="35"/>
      <c r="D976" s="36"/>
      <c r="E976" s="36"/>
      <c r="F976" s="36"/>
      <c r="G976" s="36"/>
      <c r="H976" s="35"/>
      <c r="I976" s="35"/>
      <c r="J976" s="36"/>
      <c r="K976" s="36"/>
      <c r="L976" s="36"/>
      <c r="M976" s="36"/>
      <c r="N976" s="36"/>
      <c r="O976" s="36"/>
      <c r="P976" s="36"/>
      <c r="Q976" s="36"/>
    </row>
    <row r="977" spans="1:17" ht="14.25" customHeight="1" x14ac:dyDescent="0.2">
      <c r="A977" s="36"/>
      <c r="B977" s="36"/>
      <c r="C977" s="35"/>
      <c r="D977" s="36"/>
      <c r="E977" s="36"/>
      <c r="F977" s="36"/>
      <c r="G977" s="36"/>
      <c r="H977" s="35"/>
      <c r="I977" s="35"/>
      <c r="J977" s="36"/>
      <c r="K977" s="36"/>
      <c r="L977" s="36"/>
      <c r="M977" s="36"/>
      <c r="N977" s="36"/>
      <c r="O977" s="36"/>
      <c r="P977" s="36"/>
      <c r="Q977" s="36"/>
    </row>
    <row r="978" spans="1:17" ht="14.25" customHeight="1" x14ac:dyDescent="0.2">
      <c r="A978" s="36"/>
      <c r="B978" s="36"/>
      <c r="C978" s="35"/>
      <c r="D978" s="36"/>
      <c r="E978" s="36"/>
      <c r="F978" s="36"/>
      <c r="G978" s="36"/>
      <c r="H978" s="35"/>
      <c r="I978" s="35"/>
      <c r="J978" s="36"/>
      <c r="K978" s="36"/>
      <c r="L978" s="36"/>
      <c r="M978" s="36"/>
      <c r="N978" s="36"/>
      <c r="O978" s="36"/>
      <c r="P978" s="36"/>
      <c r="Q978" s="36"/>
    </row>
    <row r="979" spans="1:17" ht="14.25" customHeight="1" x14ac:dyDescent="0.2">
      <c r="A979" s="36"/>
      <c r="B979" s="36"/>
      <c r="C979" s="35"/>
      <c r="D979" s="36"/>
      <c r="E979" s="36"/>
      <c r="F979" s="36"/>
      <c r="G979" s="36"/>
      <c r="H979" s="35"/>
      <c r="I979" s="35"/>
      <c r="J979" s="36"/>
      <c r="K979" s="36"/>
      <c r="L979" s="36"/>
      <c r="M979" s="36"/>
      <c r="N979" s="36"/>
      <c r="O979" s="36"/>
      <c r="P979" s="36"/>
      <c r="Q979" s="36"/>
    </row>
    <row r="980" spans="1:17" ht="14.25" customHeight="1" x14ac:dyDescent="0.2">
      <c r="A980" s="36"/>
      <c r="B980" s="36"/>
      <c r="C980" s="35"/>
      <c r="D980" s="36"/>
      <c r="E980" s="36"/>
      <c r="F980" s="36"/>
      <c r="G980" s="36"/>
      <c r="H980" s="35"/>
      <c r="I980" s="35"/>
      <c r="J980" s="36"/>
      <c r="K980" s="36"/>
      <c r="L980" s="36"/>
      <c r="M980" s="36"/>
      <c r="N980" s="36"/>
      <c r="O980" s="36"/>
      <c r="P980" s="36"/>
      <c r="Q980" s="36"/>
    </row>
  </sheetData>
  <sortState xmlns:xlrd2="http://schemas.microsoft.com/office/spreadsheetml/2017/richdata2" ref="A2:Q57">
    <sortCondition ref="A2:A57"/>
  </sortState>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FDE40C-36F4-4C69-968F-F6B5747BF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BASE DE DATOS SCOPUS</vt:lpstr>
      <vt:lpstr>Figura 1</vt:lpstr>
      <vt:lpstr>PLANTILLA</vt:lpstr>
      <vt:lpstr>otros</vt:lpstr>
      <vt:lpstr>IDENTIFICATION - REMOVED</vt:lpstr>
      <vt:lpstr>SCREENING - EXCLUDED</vt:lpstr>
      <vt:lpstr>SCREENING - RETRIEVED</vt:lpstr>
      <vt:lpstr>SCREENING 2- FULL TEXT EXCLUDED</vt:lpstr>
      <vt:lpstr>INCLUDED</vt:lpstr>
      <vt:lpstr>'BASE DE DATOS SCOPUS'!scopus__6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Bejarano</dc:creator>
  <cp:lastModifiedBy>dayssi mercado lopèz</cp:lastModifiedBy>
  <dcterms:created xsi:type="dcterms:W3CDTF">2015-06-05T18:19:34Z</dcterms:created>
  <dcterms:modified xsi:type="dcterms:W3CDTF">2026-04-04T14:14:41Z</dcterms:modified>
</cp:coreProperties>
</file>